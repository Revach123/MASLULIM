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8_{F7117DF9-7D59-4080-9196-28A68A2E0D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52" i="1" l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X349" i="1" s="1"/>
  <c r="AX355" i="1" s="1"/>
  <c r="AW342" i="1"/>
  <c r="AW349" i="1" s="1"/>
  <c r="AW358" i="1" s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D349" i="1" s="1"/>
  <c r="AD354" i="1" s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J349" i="1" s="1"/>
  <c r="J354" i="1" s="1"/>
  <c r="I342" i="1"/>
  <c r="I349" i="1" s="1"/>
  <c r="I357" i="1" s="1"/>
  <c r="H342" i="1"/>
  <c r="G342" i="1"/>
  <c r="F342" i="1"/>
  <c r="E342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I358" i="1" l="1"/>
  <c r="AV349" i="1"/>
  <c r="AV351" i="1" s="1"/>
  <c r="AD356" i="1"/>
  <c r="AC357" i="1"/>
  <c r="AW355" i="1"/>
  <c r="AV356" i="1"/>
  <c r="I356" i="1"/>
  <c r="AW356" i="1"/>
  <c r="AB349" i="1"/>
  <c r="AB351" i="1" s="1"/>
  <c r="AC349" i="1"/>
  <c r="AC358" i="1" s="1"/>
  <c r="AW357" i="1"/>
  <c r="AC355" i="1"/>
  <c r="BB349" i="1"/>
  <c r="BB357" i="1" s="1"/>
  <c r="AB355" i="1"/>
  <c r="AW351" i="1"/>
  <c r="AC351" i="1"/>
  <c r="AC354" i="1"/>
  <c r="J353" i="1"/>
  <c r="I354" i="1"/>
  <c r="AD355" i="1"/>
  <c r="AA349" i="1"/>
  <c r="AA351" i="1" s="1"/>
  <c r="AU349" i="1"/>
  <c r="AU351" i="1" s="1"/>
  <c r="BB354" i="1"/>
  <c r="BB353" i="1"/>
  <c r="P349" i="1"/>
  <c r="P356" i="1" s="1"/>
  <c r="O349" i="1"/>
  <c r="O355" i="1" s="1"/>
  <c r="M349" i="1"/>
  <c r="T349" i="1"/>
  <c r="T351" i="1" s="1"/>
  <c r="N349" i="1"/>
  <c r="N358" i="1" s="1"/>
  <c r="BB355" i="1"/>
  <c r="BC349" i="1"/>
  <c r="BC357" i="1" s="1"/>
  <c r="Q349" i="1"/>
  <c r="Q355" i="1" s="1"/>
  <c r="AK349" i="1"/>
  <c r="AK357" i="1" s="1"/>
  <c r="BC355" i="1"/>
  <c r="BB356" i="1"/>
  <c r="BD349" i="1"/>
  <c r="BD354" i="1" s="1"/>
  <c r="AX356" i="1"/>
  <c r="AM349" i="1"/>
  <c r="AM351" i="1" s="1"/>
  <c r="BG349" i="1"/>
  <c r="BG351" i="1" s="1"/>
  <c r="S354" i="1"/>
  <c r="E349" i="1"/>
  <c r="E351" i="1" s="1"/>
  <c r="E353" i="1"/>
  <c r="F349" i="1"/>
  <c r="F354" i="1" s="1"/>
  <c r="BI355" i="1"/>
  <c r="R349" i="1"/>
  <c r="R356" i="1" s="1"/>
  <c r="R354" i="1"/>
  <c r="S349" i="1"/>
  <c r="S351" i="1" s="1"/>
  <c r="BH349" i="1"/>
  <c r="BH351" i="1" s="1"/>
  <c r="W349" i="1"/>
  <c r="W356" i="1" s="1"/>
  <c r="AT353" i="1"/>
  <c r="AD358" i="1"/>
  <c r="AD357" i="1"/>
  <c r="AD351" i="1"/>
  <c r="AD353" i="1"/>
  <c r="AG349" i="1"/>
  <c r="AH349" i="1"/>
  <c r="AL349" i="1"/>
  <c r="U349" i="1"/>
  <c r="U351" i="1" s="1"/>
  <c r="U353" i="1"/>
  <c r="AM355" i="1"/>
  <c r="U354" i="1"/>
  <c r="AI349" i="1"/>
  <c r="AI357" i="1" s="1"/>
  <c r="BB358" i="1"/>
  <c r="AO349" i="1"/>
  <c r="AO351" i="1" s="1"/>
  <c r="AO353" i="1"/>
  <c r="BG355" i="1"/>
  <c r="AO354" i="1"/>
  <c r="AK358" i="1"/>
  <c r="AJ349" i="1"/>
  <c r="AJ353" i="1" s="1"/>
  <c r="BF349" i="1"/>
  <c r="BF358" i="1" s="1"/>
  <c r="BF354" i="1"/>
  <c r="AN353" i="1"/>
  <c r="AN349" i="1"/>
  <c r="AN351" i="1" s="1"/>
  <c r="BI349" i="1"/>
  <c r="BI351" i="1" s="1"/>
  <c r="BI353" i="1"/>
  <c r="AP349" i="1"/>
  <c r="AP354" i="1" s="1"/>
  <c r="BH355" i="1"/>
  <c r="AQ349" i="1"/>
  <c r="AM357" i="1"/>
  <c r="AX358" i="1"/>
  <c r="AX357" i="1"/>
  <c r="AX351" i="1"/>
  <c r="AX353" i="1"/>
  <c r="AX354" i="1"/>
  <c r="AN354" i="1"/>
  <c r="V349" i="1"/>
  <c r="V355" i="1" s="1"/>
  <c r="AN355" i="1"/>
  <c r="BG356" i="1"/>
  <c r="G349" i="1"/>
  <c r="BA349" i="1"/>
  <c r="BA356" i="1" s="1"/>
  <c r="U358" i="1"/>
  <c r="BI358" i="1"/>
  <c r="J358" i="1"/>
  <c r="J357" i="1"/>
  <c r="J351" i="1"/>
  <c r="H357" i="1"/>
  <c r="J356" i="1"/>
  <c r="AB354" i="1"/>
  <c r="AV354" i="1"/>
  <c r="AA355" i="1"/>
  <c r="AV358" i="1"/>
  <c r="K349" i="1"/>
  <c r="K358" i="1" s="1"/>
  <c r="AE349" i="1"/>
  <c r="AE358" i="1" s="1"/>
  <c r="AY349" i="1"/>
  <c r="I355" i="1"/>
  <c r="AB356" i="1"/>
  <c r="L349" i="1"/>
  <c r="AF349" i="1"/>
  <c r="AF358" i="1" s="1"/>
  <c r="AZ349" i="1"/>
  <c r="AZ358" i="1" s="1"/>
  <c r="J355" i="1"/>
  <c r="AC356" i="1"/>
  <c r="AV357" i="1"/>
  <c r="I351" i="1"/>
  <c r="AP355" i="1"/>
  <c r="U356" i="1"/>
  <c r="BI356" i="1"/>
  <c r="AN357" i="1"/>
  <c r="S358" i="1"/>
  <c r="AM358" i="1"/>
  <c r="BG358" i="1"/>
  <c r="AA353" i="1"/>
  <c r="AB358" i="1"/>
  <c r="W355" i="1"/>
  <c r="F356" i="1"/>
  <c r="V356" i="1"/>
  <c r="AP356" i="1"/>
  <c r="E357" i="1"/>
  <c r="BI357" i="1"/>
  <c r="AN358" i="1"/>
  <c r="AW354" i="1"/>
  <c r="AB353" i="1"/>
  <c r="AV353" i="1"/>
  <c r="I353" i="1"/>
  <c r="AC353" i="1"/>
  <c r="AW353" i="1"/>
  <c r="BE349" i="1"/>
  <c r="BE353" i="1" s="1"/>
  <c r="H349" i="1"/>
  <c r="H355" i="1" s="1"/>
  <c r="X349" i="1"/>
  <c r="X355" i="1" s="1"/>
  <c r="AR349" i="1"/>
  <c r="Z349" i="1"/>
  <c r="Z356" i="1" s="1"/>
  <c r="AT349" i="1"/>
  <c r="AT356" i="1" s="1"/>
  <c r="Y349" i="1"/>
  <c r="Y356" i="1" s="1"/>
  <c r="AS349" i="1"/>
  <c r="AS357" i="1" s="1"/>
  <c r="U355" i="1" l="1"/>
  <c r="AI355" i="1"/>
  <c r="BE358" i="1"/>
  <c r="S355" i="1"/>
  <c r="AM356" i="1"/>
  <c r="AM353" i="1"/>
  <c r="AV355" i="1"/>
  <c r="AU357" i="1"/>
  <c r="AN356" i="1"/>
  <c r="BI354" i="1"/>
  <c r="BB351" i="1"/>
  <c r="AB357" i="1"/>
  <c r="AU358" i="1"/>
  <c r="BA357" i="1"/>
  <c r="Y354" i="1"/>
  <c r="P357" i="1"/>
  <c r="AS356" i="1"/>
  <c r="AK353" i="1"/>
  <c r="E354" i="1"/>
  <c r="BC358" i="1"/>
  <c r="BF356" i="1"/>
  <c r="BF355" i="1"/>
  <c r="R358" i="1"/>
  <c r="AK356" i="1"/>
  <c r="P354" i="1"/>
  <c r="AK355" i="1"/>
  <c r="AT355" i="1"/>
  <c r="AO356" i="1"/>
  <c r="T354" i="1"/>
  <c r="AZ357" i="1"/>
  <c r="AU354" i="1"/>
  <c r="AI358" i="1"/>
  <c r="H353" i="1"/>
  <c r="Y357" i="1"/>
  <c r="BE356" i="1"/>
  <c r="AF357" i="1"/>
  <c r="AA354" i="1"/>
  <c r="E356" i="1"/>
  <c r="AU353" i="1"/>
  <c r="H358" i="1"/>
  <c r="AA358" i="1"/>
  <c r="AM354" i="1"/>
  <c r="AU356" i="1"/>
  <c r="AA356" i="1"/>
  <c r="E358" i="1"/>
  <c r="AU355" i="1"/>
  <c r="E355" i="1"/>
  <c r="AA357" i="1"/>
  <c r="AQ351" i="1"/>
  <c r="AQ357" i="1"/>
  <c r="AL353" i="1"/>
  <c r="AL351" i="1"/>
  <c r="G351" i="1"/>
  <c r="G357" i="1"/>
  <c r="AR351" i="1"/>
  <c r="AR356" i="1"/>
  <c r="Q353" i="1"/>
  <c r="X358" i="1"/>
  <c r="BD353" i="1"/>
  <c r="G356" i="1"/>
  <c r="Q357" i="1"/>
  <c r="AL358" i="1"/>
  <c r="BH358" i="1"/>
  <c r="AR355" i="1"/>
  <c r="BF353" i="1"/>
  <c r="BF351" i="1"/>
  <c r="BD356" i="1"/>
  <c r="T358" i="1"/>
  <c r="Z355" i="1"/>
  <c r="AJ355" i="1"/>
  <c r="AJ351" i="1"/>
  <c r="W351" i="1"/>
  <c r="W357" i="1"/>
  <c r="BE355" i="1"/>
  <c r="AJ354" i="1"/>
  <c r="T353" i="1"/>
  <c r="AS351" i="1"/>
  <c r="AS358" i="1"/>
  <c r="AS355" i="1"/>
  <c r="BH357" i="1"/>
  <c r="AS354" i="1"/>
  <c r="AJ357" i="1"/>
  <c r="W353" i="1"/>
  <c r="R353" i="1"/>
  <c r="R351" i="1"/>
  <c r="Y351" i="1"/>
  <c r="Y358" i="1"/>
  <c r="Y355" i="1"/>
  <c r="AO357" i="1"/>
  <c r="AZ356" i="1"/>
  <c r="AZ355" i="1"/>
  <c r="AZ353" i="1"/>
  <c r="AZ354" i="1"/>
  <c r="AZ351" i="1"/>
  <c r="BA358" i="1"/>
  <c r="BA355" i="1"/>
  <c r="BA354" i="1"/>
  <c r="BA353" i="1"/>
  <c r="BA351" i="1"/>
  <c r="R355" i="1"/>
  <c r="R357" i="1"/>
  <c r="BG357" i="1"/>
  <c r="BG353" i="1"/>
  <c r="AT351" i="1"/>
  <c r="AT354" i="1"/>
  <c r="AT357" i="1"/>
  <c r="AT358" i="1"/>
  <c r="U357" i="1"/>
  <c r="T357" i="1"/>
  <c r="AF356" i="1"/>
  <c r="AF355" i="1"/>
  <c r="AF354" i="1"/>
  <c r="AF351" i="1"/>
  <c r="AF353" i="1"/>
  <c r="S357" i="1"/>
  <c r="AO355" i="1"/>
  <c r="AJ356" i="1"/>
  <c r="S356" i="1"/>
  <c r="T356" i="1"/>
  <c r="AK354" i="1"/>
  <c r="AK351" i="1"/>
  <c r="Z351" i="1"/>
  <c r="Z357" i="1"/>
  <c r="Z358" i="1"/>
  <c r="Z354" i="1"/>
  <c r="L356" i="1"/>
  <c r="L355" i="1"/>
  <c r="L351" i="1"/>
  <c r="L354" i="1"/>
  <c r="L353" i="1"/>
  <c r="AQ353" i="1"/>
  <c r="AL354" i="1"/>
  <c r="Q354" i="1"/>
  <c r="Q351" i="1"/>
  <c r="G353" i="1"/>
  <c r="AL357" i="1"/>
  <c r="AH357" i="1"/>
  <c r="AH354" i="1"/>
  <c r="AH353" i="1"/>
  <c r="AH351" i="1"/>
  <c r="BD355" i="1"/>
  <c r="BD351" i="1"/>
  <c r="X351" i="1"/>
  <c r="X356" i="1"/>
  <c r="AG358" i="1"/>
  <c r="AG355" i="1"/>
  <c r="AG354" i="1"/>
  <c r="AG351" i="1"/>
  <c r="AG353" i="1"/>
  <c r="BC356" i="1"/>
  <c r="BC353" i="1"/>
  <c r="BC351" i="1"/>
  <c r="M358" i="1"/>
  <c r="M355" i="1"/>
  <c r="M354" i="1"/>
  <c r="M351" i="1"/>
  <c r="M353" i="1"/>
  <c r="H351" i="1"/>
  <c r="H356" i="1"/>
  <c r="AQ355" i="1"/>
  <c r="AY357" i="1"/>
  <c r="AY356" i="1"/>
  <c r="AY351" i="1"/>
  <c r="AY355" i="1"/>
  <c r="AY353" i="1"/>
  <c r="AY354" i="1"/>
  <c r="AP351" i="1"/>
  <c r="AP358" i="1"/>
  <c r="AY358" i="1"/>
  <c r="M356" i="1"/>
  <c r="BE354" i="1"/>
  <c r="BE351" i="1"/>
  <c r="AE357" i="1"/>
  <c r="AE356" i="1"/>
  <c r="AE351" i="1"/>
  <c r="AE353" i="1"/>
  <c r="AE355" i="1"/>
  <c r="AE354" i="1"/>
  <c r="AO358" i="1"/>
  <c r="V351" i="1"/>
  <c r="V358" i="1"/>
  <c r="AP353" i="1"/>
  <c r="BD357" i="1"/>
  <c r="BH353" i="1"/>
  <c r="F351" i="1"/>
  <c r="F358" i="1"/>
  <c r="L358" i="1"/>
  <c r="AH355" i="1"/>
  <c r="G355" i="1"/>
  <c r="F355" i="1"/>
  <c r="K357" i="1"/>
  <c r="K356" i="1"/>
  <c r="K351" i="1"/>
  <c r="K354" i="1"/>
  <c r="K353" i="1"/>
  <c r="K355" i="1"/>
  <c r="V353" i="1"/>
  <c r="BE357" i="1"/>
  <c r="AL355" i="1"/>
  <c r="AH358" i="1"/>
  <c r="F353" i="1"/>
  <c r="L357" i="1"/>
  <c r="BC354" i="1"/>
  <c r="AR354" i="1"/>
  <c r="AQ354" i="1"/>
  <c r="AQ358" i="1"/>
  <c r="AJ358" i="1"/>
  <c r="BD358" i="1"/>
  <c r="AG357" i="1"/>
  <c r="AG356" i="1"/>
  <c r="O353" i="1"/>
  <c r="O356" i="1"/>
  <c r="O351" i="1"/>
  <c r="X354" i="1"/>
  <c r="W354" i="1"/>
  <c r="W358" i="1"/>
  <c r="AP357" i="1"/>
  <c r="AI356" i="1"/>
  <c r="AI353" i="1"/>
  <c r="AI351" i="1"/>
  <c r="S353" i="1"/>
  <c r="AL356" i="1"/>
  <c r="M357" i="1"/>
  <c r="O354" i="1"/>
  <c r="H354" i="1"/>
  <c r="G354" i="1"/>
  <c r="G358" i="1"/>
  <c r="V357" i="1"/>
  <c r="BH356" i="1"/>
  <c r="BF357" i="1"/>
  <c r="BH354" i="1"/>
  <c r="N357" i="1"/>
  <c r="N354" i="1"/>
  <c r="N353" i="1"/>
  <c r="N351" i="1"/>
  <c r="P355" i="1"/>
  <c r="P351" i="1"/>
  <c r="AS353" i="1"/>
  <c r="AR353" i="1"/>
  <c r="AR357" i="1"/>
  <c r="F357" i="1"/>
  <c r="BG354" i="1"/>
  <c r="O358" i="1"/>
  <c r="V354" i="1"/>
  <c r="Z353" i="1"/>
  <c r="T355" i="1"/>
  <c r="AH356" i="1"/>
  <c r="N355" i="1"/>
  <c r="P353" i="1"/>
  <c r="Y353" i="1"/>
  <c r="X353" i="1"/>
  <c r="AR358" i="1"/>
  <c r="X357" i="1"/>
  <c r="AQ356" i="1"/>
  <c r="O357" i="1"/>
  <c r="Q358" i="1"/>
  <c r="P358" i="1"/>
  <c r="N356" i="1"/>
  <c r="AI354" i="1"/>
  <c r="Q356" i="1"/>
</calcChain>
</file>

<file path=xl/sharedStrings.xml><?xml version="1.0" encoding="utf-8"?>
<sst xmlns="http://schemas.openxmlformats.org/spreadsheetml/2006/main" count="764" uniqueCount="696">
  <si>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</si>
  <si>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</si>
  <si>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</si>
  <si>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</si>
  <si>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</si>
  <si>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</si>
  <si>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</si>
  <si>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</si>
  <si>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</si>
  <si>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</si>
  <si>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</si>
  <si>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</si>
  <si>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</si>
  <si>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</si>
  <si>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</si>
  <si>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</si>
  <si>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</si>
  <si>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</si>
  <si>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</si>
  <si>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</si>
  <si>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</si>
  <si>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</si>
  <si>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</si>
  <si>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</si>
  <si>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</si>
  <si>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</si>
  <si>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</si>
  <si>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</si>
  <si>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</si>
  <si>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</si>
  <si>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</si>
  <si>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</si>
  <si>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</si>
  <si>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</si>
  <si>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</si>
  <si>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</si>
  <si>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</si>
  <si>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</si>
  <si>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</si>
  <si>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</si>
  <si>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</si>
  <si>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</si>
  <si>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</si>
  <si>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</si>
  <si>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</si>
  <si>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</si>
  <si>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</si>
  <si>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</si>
  <si>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</si>
  <si>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</si>
  <si>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</si>
  <si>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</si>
  <si>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</si>
  <si>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</si>
  <si>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</si>
  <si>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</si>
  <si>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</si>
  <si>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</si>
  <si>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</si>
  <si>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</si>
  <si>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</si>
  <si>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</si>
  <si>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</si>
  <si>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</si>
  <si>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</si>
  <si>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</si>
  <si>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</si>
  <si>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</si>
  <si>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</si>
  <si>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</si>
  <si>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</si>
  <si>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</si>
  <si>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</si>
  <si>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</si>
  <si>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</si>
  <si>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</si>
  <si>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</si>
  <si>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</si>
  <si>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</si>
  <si>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</si>
  <si>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</si>
  <si>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</si>
  <si>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</si>
  <si>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</si>
  <si>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</si>
  <si>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</si>
  <si>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</si>
  <si>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</si>
  <si>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</si>
  <si>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</si>
  <si>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</si>
  <si>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</si>
  <si>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</si>
  <si>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</si>
  <si>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</si>
  <si>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</si>
  <si>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</si>
  <si>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</si>
  <si>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</si>
  <si>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</si>
  <si>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</si>
  <si>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</si>
  <si>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</si>
  <si>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</si>
  <si>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</si>
  <si>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</si>
  <si>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</si>
  <si>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</si>
  <si>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</si>
  <si>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</si>
  <si>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</si>
  <si>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</si>
  <si>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</si>
  <si>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</si>
  <si>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</si>
  <si>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</si>
  <si>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</si>
  <si>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</si>
  <si>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</si>
  <si>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</si>
  <si>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</si>
  <si>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</si>
  <si>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</si>
  <si>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</si>
  <si>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</si>
  <si>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</si>
  <si>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</si>
  <si>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</si>
  <si>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</si>
  <si>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</si>
  <si>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</si>
  <si>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</si>
  <si>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</si>
  <si>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</si>
  <si>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</si>
  <si>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</si>
  <si>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</si>
  <si>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</si>
  <si>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</si>
  <si>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</si>
  <si>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</si>
  <si>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</si>
  <si>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</si>
  <si>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</si>
  <si>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</si>
  <si>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</si>
  <si>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</si>
  <si>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</si>
  <si>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</si>
  <si>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</si>
  <si>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</si>
  <si>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</si>
  <si>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</si>
  <si>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</si>
  <si>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</si>
  <si>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</si>
  <si>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</si>
  <si>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</si>
  <si>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</si>
  <si>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</si>
  <si>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</si>
  <si>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</si>
  <si>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</si>
  <si>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</si>
  <si>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</si>
  <si>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</si>
  <si>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</si>
  <si>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</si>
  <si>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</si>
  <si>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</si>
  <si>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</si>
  <si>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</si>
  <si>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</si>
  <si>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</si>
  <si>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</si>
  <si>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</si>
  <si>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</si>
  <si>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</si>
  <si>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</si>
  <si>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</si>
  <si>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</si>
  <si>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</si>
  <si>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</si>
  <si>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</si>
  <si>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</si>
  <si>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</si>
  <si>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</si>
  <si>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</si>
  <si>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</si>
  <si>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</si>
  <si>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</si>
  <si>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</si>
  <si>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</si>
  <si>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</si>
  <si>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</si>
  <si>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</si>
  <si>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</si>
  <si>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</si>
  <si>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</si>
  <si>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</si>
  <si>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</si>
  <si>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</si>
  <si>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</si>
  <si>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</si>
  <si>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</si>
  <si>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</si>
  <si>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</si>
  <si>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</si>
  <si>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</si>
  <si>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</si>
  <si>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</si>
  <si>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</si>
  <si>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</si>
  <si>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</si>
  <si>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</si>
  <si>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</si>
  <si>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</si>
  <si>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</si>
  <si>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</si>
  <si>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</si>
  <si>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</si>
  <si>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</si>
  <si>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</si>
  <si>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</si>
  <si>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</si>
  <si>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</si>
  <si>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</si>
  <si>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</si>
  <si>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</si>
  <si>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</si>
  <si>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</si>
  <si>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</si>
  <si>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</si>
  <si>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</si>
  <si>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</si>
  <si>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</si>
  <si>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</si>
  <si>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</si>
  <si>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</si>
  <si>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</si>
  <si>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</si>
  <si>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</si>
  <si>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</si>
  <si>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</si>
  <si>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</si>
  <si>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</si>
  <si>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</si>
  <si>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</si>
  <si>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</si>
  <si>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</si>
  <si>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</si>
  <si>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</si>
  <si>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</si>
  <si>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</si>
  <si>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</si>
  <si>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</si>
  <si>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</si>
  <si>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</si>
  <si>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</si>
  <si>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</si>
  <si>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</si>
  <si>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</si>
  <si>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</si>
  <si>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</si>
  <si>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</si>
  <si>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</si>
  <si>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</si>
  <si>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</si>
  <si>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</si>
  <si>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</si>
  <si>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</si>
  <si>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</si>
  <si>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</si>
  <si>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</si>
  <si>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</si>
  <si>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</si>
  <si>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</si>
  <si>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</si>
  <si>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</si>
  <si>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</si>
  <si>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</si>
  <si>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</si>
  <si>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</si>
  <si>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</si>
  <si>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</si>
  <si>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</si>
  <si>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</si>
  <si>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</si>
  <si>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</si>
  <si>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</si>
  <si>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</si>
  <si>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</si>
  <si>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</si>
  <si>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</si>
  <si>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</si>
  <si>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</si>
  <si>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</si>
  <si>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</si>
  <si>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</si>
  <si>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</si>
  <si>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</si>
  <si>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</si>
  <si>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</si>
  <si>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</si>
  <si>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</si>
  <si>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</si>
  <si>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</si>
  <si>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</si>
  <si>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</si>
  <si>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</si>
  <si>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</si>
  <si>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</si>
  <si>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</si>
  <si>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</si>
  <si>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</si>
  <si>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</si>
  <si>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</si>
  <si>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</si>
  <si>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</si>
  <si>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</si>
  <si>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</si>
  <si>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</si>
  <si>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</si>
  <si>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</si>
  <si>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</si>
  <si>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</si>
  <si>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</si>
  <si>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</si>
  <si>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</si>
  <si>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</si>
  <si>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</si>
  <si>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</si>
  <si>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</si>
  <si>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</si>
  <si>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</si>
  <si>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</si>
  <si>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</si>
  <si>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</si>
  <si>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</si>
  <si>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</si>
  <si>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</si>
  <si>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</si>
  <si>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</si>
  <si>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</si>
  <si>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</si>
  <si>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</si>
  <si>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</si>
  <si>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</si>
  <si>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</si>
  <si>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</si>
  <si>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</si>
  <si>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</si>
  <si>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</si>
  <si>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</si>
  <si>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</si>
  <si>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</si>
  <si>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</si>
  <si>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</si>
  <si>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</si>
  <si>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</si>
  <si>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</si>
  <si>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</si>
  <si>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</si>
  <si>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</si>
  <si>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</si>
  <si>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</si>
  <si>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</si>
  <si>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</si>
  <si>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</si>
  <si>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</si>
  <si>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</si>
  <si>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</si>
  <si>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</si>
  <si>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</si>
  <si>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</si>
  <si>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</si>
  <si>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</si>
  <si>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</si>
  <si>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</si>
  <si>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</si>
  <si>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</si>
  <si>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</si>
  <si>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</si>
  <si>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</si>
  <si>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</si>
  <si>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</si>
  <si>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</si>
  <si>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</si>
  <si>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</si>
  <si>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</si>
  <si>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</si>
  <si>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</si>
  <si>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</si>
  <si>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</si>
  <si>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</si>
  <si>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</si>
  <si>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</si>
  <si>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</si>
  <si>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</si>
  <si>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</si>
  <si>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</si>
  <si>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</si>
  <si>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</si>
  <si>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</si>
  <si>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</si>
  <si>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</si>
  <si>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</si>
  <si>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</si>
  <si>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</si>
  <si>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</si>
  <si>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</si>
  <si>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</si>
  <si>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</si>
  <si>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</si>
  <si>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</si>
  <si>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</si>
  <si>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</si>
  <si>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</si>
  <si>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</si>
  <si>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</si>
  <si>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</si>
  <si>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</si>
  <si>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</si>
  <si>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</si>
  <si>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</si>
  <si>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</si>
  <si>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</si>
  <si>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</si>
  <si>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</si>
  <si>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</si>
  <si>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</si>
  <si>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</si>
  <si>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</si>
  <si>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</si>
  <si>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</si>
  <si>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</si>
  <si>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</si>
  <si>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</si>
  <si>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</si>
  <si>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</si>
  <si>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</si>
  <si>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</si>
  <si>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</si>
  <si>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</si>
  <si>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</si>
  <si>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</si>
  <si>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</si>
  <si>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</si>
  <si>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</si>
  <si>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</si>
  <si>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</si>
  <si>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</si>
  <si>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</si>
  <si>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</si>
  <si>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</si>
  <si>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</si>
  <si>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</si>
  <si>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</si>
  <si>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</si>
  <si>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</si>
  <si>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</si>
  <si>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</si>
  <si>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</si>
  <si>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</si>
  <si>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</si>
  <si>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</si>
  <si>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</si>
  <si>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</si>
  <si>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</si>
  <si>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</si>
  <si>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</si>
  <si>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</si>
  <si>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</si>
  <si>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</si>
  <si>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</si>
  <si>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</si>
  <si>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</si>
  <si>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</si>
  <si>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</si>
  <si>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</si>
  <si>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</si>
  <si>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</si>
  <si>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</si>
  <si>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</si>
  <si>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</si>
  <si>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</si>
  <si>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</si>
  <si>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</si>
  <si>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</si>
  <si>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</si>
  <si>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</si>
  <si>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</si>
  <si>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</si>
  <si>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</si>
  <si>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</si>
  <si>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</si>
  <si>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</si>
  <si>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</si>
  <si>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</si>
  <si>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</si>
  <si>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</si>
  <si>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</si>
  <si>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</si>
  <si>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</si>
  <si>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</si>
  <si>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</si>
  <si>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</si>
  <si>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</si>
  <si>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</si>
  <si>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</si>
  <si>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</si>
  <si>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</si>
  <si>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</si>
  <si>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</si>
  <si>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</si>
  <si>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</si>
  <si>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</si>
  <si>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</si>
  <si>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</si>
  <si>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</si>
  <si>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</si>
  <si>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</si>
  <si>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</si>
  <si>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</si>
  <si>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</si>
  <si>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</si>
  <si>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</si>
  <si>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</si>
  <si>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</si>
  <si>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</si>
  <si>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</si>
  <si>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</si>
  <si>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</si>
  <si>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</si>
  <si>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</si>
  <si>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</si>
  <si>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</si>
  <si>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</si>
  <si>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</si>
  <si>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</si>
  <si>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</si>
  <si>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</si>
  <si>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</si>
  <si>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</si>
  <si>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</si>
  <si>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</si>
  <si>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</si>
  <si>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</si>
  <si>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</si>
  <si>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</si>
  <si>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</si>
  <si>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</si>
  <si>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</si>
  <si>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</si>
  <si>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</si>
  <si>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</si>
  <si>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</si>
  <si>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</si>
  <si>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</si>
  <si>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</si>
  <si>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</si>
  <si>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</si>
  <si>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</si>
  <si>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</si>
  <si>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</si>
  <si>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</si>
  <si>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</si>
  <si>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</si>
  <si>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</si>
  <si>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</si>
  <si>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</si>
  <si>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</si>
  <si>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</si>
  <si>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</si>
  <si>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</si>
  <si>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</si>
  <si>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</si>
  <si>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</si>
  <si>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</si>
  <si>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</si>
  <si>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</si>
  <si>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</si>
  <si>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</si>
  <si>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</si>
  <si>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</si>
  <si>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</si>
  <si>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</si>
  <si>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</si>
  <si>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</si>
  <si>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</si>
  <si>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</si>
  <si>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</si>
  <si>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</si>
  <si>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</si>
  <si>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</si>
  <si>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</si>
  <si>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</si>
  <si>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</si>
  <si>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</si>
  <si>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</si>
  <si>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</si>
  <si>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</si>
  <si>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</si>
  <si>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</si>
  <si>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</si>
  <si>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</si>
  <si>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</si>
  <si>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</si>
  <si>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</si>
  <si>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</si>
  <si>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</si>
  <si>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</si>
  <si>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</si>
  <si>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</si>
  <si>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</si>
  <si>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</si>
  <si>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</si>
  <si>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</si>
  <si>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</si>
  <si>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</si>
  <si>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</si>
  <si>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</si>
  <si>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</si>
  <si>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</si>
  <si>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</si>
  <si>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</si>
  <si>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</si>
  <si>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</si>
  <si>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</si>
  <si>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</si>
  <si>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</si>
  <si>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</si>
  <si>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</si>
  <si>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</si>
  <si>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</si>
  <si>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</si>
  <si>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</si>
  <si>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</si>
  <si>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</si>
  <si>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</si>
  <si>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</si>
  <si>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</si>
  <si>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</si>
  <si>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</si>
  <si>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</si>
  <si>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</si>
  <si>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</si>
  <si>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</si>
  <si>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</si>
  <si>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</si>
  <si>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</si>
  <si>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</si>
  <si>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</si>
  <si>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</si>
  <si>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</si>
  <si>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</si>
  <si>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</si>
  <si>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</si>
  <si>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</si>
  <si>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</si>
  <si>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</si>
  <si>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</si>
  <si>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</si>
  <si>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</si>
  <si>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</si>
  <si>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</si>
  <si>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</si>
  <si>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</si>
  <si>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</si>
  <si>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</si>
  <si>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</si>
  <si>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</si>
  <si>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</si>
  <si>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</si>
  <si>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</si>
  <si>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</si>
  <si>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</si>
  <si>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</si>
  <si>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</si>
  <si>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</si>
  <si>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</si>
  <si>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</si>
  <si>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</si>
  <si>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</si>
  <si>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</si>
  <si>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</si>
  <si>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</si>
  <si>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</si>
  <si>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</si>
  <si>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</si>
  <si>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</si>
  <si>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</si>
  <si>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</si>
  <si>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</si>
  <si>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 xml:space="preserve">סיום מידע טבלה </t>
  </si>
  <si>
    <t>סיום מידע טבלה צד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</si>
</sst>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0</xdr:rowOff>
    </xdr:from>
    <xdr:to>
      <xdr:col>3</xdr:col>
      <xdr:colOff>257175</xdr:colOff>
      <xdr:row>3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1280086025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61</xdr:col>
      <xdr:colOff>89647</xdr:colOff>
      <xdr:row>0</xdr:row>
      <xdr:rowOff>0</xdr:rowOff>
    </xdr:from>
    <xdr:to>
      <xdr:col>61</xdr:col>
      <xdr:colOff>455407</xdr:colOff>
      <xdr:row>1</xdr:row>
      <xdr:rowOff>152400</xdr:rowOff>
    </xdr:to>
    <xdr:pic>
      <xdr:nvPicPr>
        <xdr:cNvPr id="3" name="Picture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D3411322-5301-4655-A009-F5BF6DD8B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4361652" y="0"/>
          <a:ext cx="365760" cy="3496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122"/>
      <sheetName val="גיליון124"/>
      <sheetName val="גיליון126"/>
      <sheetName val="גיליון128"/>
      <sheetName val="גיליון130"/>
      <sheetName val="גיליון132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59"/>
  <sheetViews>
    <sheetView rightToLeft="1" tabSelected="1" topLeftCell="AY1" zoomScale="85" zoomScaleNormal="85" workbookViewId="0">
      <selection activeCell="BK1" sqref="BK1"/>
    </sheetView>
  </sheetViews>
  <sheetFormatPr defaultRowHeight="13.8" x14ac:dyDescent="0.25"/>
  <sheetData>
    <row r="1" spans="1:62" ht="15.6" x14ac:dyDescent="0.3">
      <c r="A1" s="1"/>
      <c r="B1" s="2"/>
      <c r="C1" s="2"/>
      <c r="D1" s="2"/>
      <c r="E1">
        <v>6</v>
      </c>
      <c r="F1">
        <v>10</v>
      </c>
      <c r="G1">
        <v>30</v>
      </c>
      <c r="H1">
        <v>50</v>
      </c>
      <c r="I1">
        <v>93</v>
      </c>
      <c r="J1">
        <v>99</v>
      </c>
      <c r="K1">
        <v>102</v>
      </c>
      <c r="L1">
        <v>122</v>
      </c>
      <c r="M1">
        <v>142</v>
      </c>
      <c r="N1">
        <v>164</v>
      </c>
      <c r="O1">
        <v>167</v>
      </c>
      <c r="P1">
        <v>169</v>
      </c>
      <c r="Q1">
        <v>425</v>
      </c>
      <c r="R1">
        <v>426</v>
      </c>
      <c r="S1">
        <v>499</v>
      </c>
      <c r="T1">
        <v>519</v>
      </c>
      <c r="U1">
        <v>526</v>
      </c>
      <c r="V1">
        <v>570</v>
      </c>
      <c r="W1">
        <v>571</v>
      </c>
      <c r="X1">
        <v>572</v>
      </c>
      <c r="Y1">
        <v>573</v>
      </c>
      <c r="Z1">
        <v>574</v>
      </c>
      <c r="AA1">
        <v>628</v>
      </c>
      <c r="AB1">
        <v>629</v>
      </c>
      <c r="AC1">
        <v>631</v>
      </c>
      <c r="AD1">
        <v>632</v>
      </c>
      <c r="AE1">
        <v>658</v>
      </c>
      <c r="AF1">
        <v>660</v>
      </c>
      <c r="AG1">
        <v>662</v>
      </c>
      <c r="AH1">
        <v>664</v>
      </c>
      <c r="AI1">
        <v>666</v>
      </c>
      <c r="AJ1">
        <v>726</v>
      </c>
      <c r="AK1">
        <v>737</v>
      </c>
      <c r="AL1">
        <v>827</v>
      </c>
      <c r="AM1">
        <v>575</v>
      </c>
      <c r="AN1">
        <v>576</v>
      </c>
      <c r="AO1">
        <v>359</v>
      </c>
      <c r="AP1" s="9">
        <v>828</v>
      </c>
      <c r="AQ1" s="9">
        <v>844</v>
      </c>
      <c r="AR1" s="9">
        <v>839</v>
      </c>
      <c r="AS1" s="9">
        <v>857</v>
      </c>
      <c r="AT1" s="9">
        <v>851</v>
      </c>
      <c r="AU1" s="9">
        <v>849</v>
      </c>
      <c r="AV1" s="9">
        <v>846</v>
      </c>
      <c r="AW1" s="9">
        <v>834</v>
      </c>
      <c r="AX1" s="9">
        <v>506</v>
      </c>
      <c r="AY1" s="9">
        <v>521</v>
      </c>
      <c r="AZ1" s="9">
        <v>522</v>
      </c>
      <c r="BA1" s="9">
        <v>528</v>
      </c>
      <c r="BB1" s="9">
        <v>548</v>
      </c>
      <c r="BC1" s="9">
        <v>551</v>
      </c>
      <c r="BD1" s="9">
        <v>555</v>
      </c>
      <c r="BE1" s="9">
        <v>558</v>
      </c>
      <c r="BF1" s="9">
        <v>558</v>
      </c>
      <c r="BG1" s="9">
        <v>578</v>
      </c>
      <c r="BH1" s="9">
        <v>580</v>
      </c>
      <c r="BI1" s="9">
        <v>577</v>
      </c>
      <c r="BJ1" s="21" t="s">
        <v>695</v>
      </c>
    </row>
    <row r="2" spans="1:62" x14ac:dyDescent="0.25">
      <c r="E2" s="10">
        <v>401</v>
      </c>
      <c r="F2" s="10">
        <v>242</v>
      </c>
      <c r="G2" s="10">
        <v>385</v>
      </c>
      <c r="H2" s="10">
        <v>528</v>
      </c>
      <c r="I2" s="10">
        <v>384</v>
      </c>
      <c r="J2" s="10">
        <v>716</v>
      </c>
      <c r="K2" s="10">
        <v>715</v>
      </c>
      <c r="L2" s="10">
        <v>9916</v>
      </c>
      <c r="M2" s="10">
        <v>1100</v>
      </c>
      <c r="N2" s="10">
        <v>801</v>
      </c>
      <c r="O2" s="10">
        <v>804</v>
      </c>
      <c r="P2" s="10">
        <v>806</v>
      </c>
      <c r="Q2" s="10">
        <v>8765</v>
      </c>
      <c r="R2" s="10">
        <v>8766</v>
      </c>
      <c r="S2" s="10">
        <v>9418</v>
      </c>
      <c r="T2" s="10">
        <v>9475</v>
      </c>
      <c r="U2" s="10">
        <v>9906</v>
      </c>
      <c r="V2" s="10">
        <v>7905</v>
      </c>
      <c r="W2" s="10">
        <v>7906</v>
      </c>
      <c r="X2" s="10">
        <v>7907</v>
      </c>
      <c r="Y2" s="10">
        <v>7908</v>
      </c>
      <c r="Z2" s="10">
        <v>7909</v>
      </c>
      <c r="AA2" s="10">
        <v>11310</v>
      </c>
      <c r="AB2" s="10">
        <v>11311</v>
      </c>
      <c r="AC2" s="10">
        <v>11312</v>
      </c>
      <c r="AD2" s="10">
        <v>11335</v>
      </c>
      <c r="AE2" s="10">
        <v>9529</v>
      </c>
      <c r="AF2" s="10">
        <v>961</v>
      </c>
      <c r="AG2" s="10">
        <v>9528</v>
      </c>
      <c r="AH2" s="10">
        <v>964</v>
      </c>
      <c r="AI2" s="10">
        <v>968</v>
      </c>
      <c r="AJ2" s="10">
        <v>8629</v>
      </c>
      <c r="AK2" s="10">
        <v>13264</v>
      </c>
      <c r="AL2" s="10">
        <v>13263</v>
      </c>
      <c r="AM2" s="10">
        <v>13209</v>
      </c>
      <c r="AN2" s="10">
        <v>13250</v>
      </c>
      <c r="AO2" s="10">
        <v>14281</v>
      </c>
      <c r="AP2" s="11">
        <v>2049</v>
      </c>
      <c r="AQ2" s="12">
        <v>7975</v>
      </c>
      <c r="AR2" s="12">
        <v>8004</v>
      </c>
      <c r="AS2" s="11">
        <v>1008</v>
      </c>
      <c r="AT2" s="11">
        <v>9484</v>
      </c>
      <c r="AU2" s="11">
        <v>682</v>
      </c>
      <c r="AV2" s="11">
        <v>11352</v>
      </c>
      <c r="AW2" s="11">
        <v>2058</v>
      </c>
      <c r="AX2" s="11">
        <v>15007</v>
      </c>
      <c r="AY2" s="11">
        <v>15208</v>
      </c>
      <c r="AZ2" s="11">
        <v>15209</v>
      </c>
      <c r="BA2" s="11">
        <v>15210</v>
      </c>
      <c r="BB2" s="11">
        <v>15211</v>
      </c>
      <c r="BC2" s="11">
        <v>15212</v>
      </c>
      <c r="BD2" s="11">
        <v>15232</v>
      </c>
      <c r="BE2" s="11">
        <v>15214</v>
      </c>
      <c r="BF2" s="11">
        <v>15214</v>
      </c>
      <c r="BG2" s="11">
        <v>15233</v>
      </c>
      <c r="BH2" s="11">
        <v>15234</v>
      </c>
      <c r="BI2" s="11">
        <v>15215</v>
      </c>
      <c r="BJ2" s="21"/>
    </row>
    <row r="3" spans="1:62" ht="15.6" x14ac:dyDescent="0.3">
      <c r="A3" s="3">
        <v>46082</v>
      </c>
      <c r="B3" s="2"/>
      <c r="C3" s="2"/>
      <c r="D3" s="2"/>
      <c r="E3" t="s">
        <v>614</v>
      </c>
      <c r="F3" t="s">
        <v>615</v>
      </c>
      <c r="G3" t="s">
        <v>616</v>
      </c>
      <c r="H3" t="s">
        <v>617</v>
      </c>
      <c r="I3" t="s">
        <v>618</v>
      </c>
      <c r="J3" t="s">
        <v>619</v>
      </c>
      <c r="K3" t="s">
        <v>620</v>
      </c>
      <c r="L3" t="s">
        <v>621</v>
      </c>
      <c r="M3" t="s">
        <v>622</v>
      </c>
      <c r="N3" t="s">
        <v>623</v>
      </c>
      <c r="O3" t="s">
        <v>624</v>
      </c>
      <c r="P3" t="s">
        <v>625</v>
      </c>
      <c r="Q3" t="s">
        <v>626</v>
      </c>
      <c r="R3" t="s">
        <v>627</v>
      </c>
      <c r="S3" t="s">
        <v>628</v>
      </c>
      <c r="T3" t="s">
        <v>629</v>
      </c>
      <c r="U3" t="s">
        <v>630</v>
      </c>
      <c r="V3" t="s">
        <v>631</v>
      </c>
      <c r="W3" t="s">
        <v>632</v>
      </c>
      <c r="X3" t="s">
        <v>633</v>
      </c>
      <c r="Y3" t="s">
        <v>634</v>
      </c>
      <c r="Z3" t="s">
        <v>635</v>
      </c>
      <c r="AA3" t="s">
        <v>636</v>
      </c>
      <c r="AB3" t="s">
        <v>637</v>
      </c>
      <c r="AC3" t="s">
        <v>638</v>
      </c>
      <c r="AD3" t="s">
        <v>639</v>
      </c>
      <c r="AE3" t="s">
        <v>640</v>
      </c>
      <c r="AF3" t="s">
        <v>641</v>
      </c>
      <c r="AG3" t="s">
        <v>642</v>
      </c>
      <c r="AH3" t="s">
        <v>643</v>
      </c>
      <c r="AI3" t="s">
        <v>644</v>
      </c>
      <c r="AJ3" t="s">
        <v>645</v>
      </c>
      <c r="AK3" t="s">
        <v>646</v>
      </c>
      <c r="AL3" t="s">
        <v>647</v>
      </c>
      <c r="AM3" t="s">
        <v>648</v>
      </c>
      <c r="AN3" t="s">
        <v>649</v>
      </c>
      <c r="AO3" t="s">
        <v>650</v>
      </c>
      <c r="AP3" s="13" t="s">
        <v>651</v>
      </c>
      <c r="AQ3" s="14" t="s">
        <v>652</v>
      </c>
      <c r="AR3" s="13" t="s">
        <v>653</v>
      </c>
      <c r="AS3" s="13" t="s">
        <v>654</v>
      </c>
      <c r="AT3" s="13" t="s">
        <v>655</v>
      </c>
      <c r="AU3" s="13" t="s">
        <v>656</v>
      </c>
      <c r="AV3" s="13" t="s">
        <v>657</v>
      </c>
      <c r="AW3" s="13" t="s">
        <v>658</v>
      </c>
      <c r="AX3" s="13" t="s">
        <v>659</v>
      </c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21"/>
    </row>
    <row r="4" spans="1:62" ht="15.6" x14ac:dyDescent="0.3">
      <c r="A4" s="4"/>
      <c r="B4" s="5"/>
      <c r="C4" s="5"/>
      <c r="D4" s="6" t="s">
        <v>0</v>
      </c>
      <c r="E4" s="15" t="s">
        <v>660</v>
      </c>
      <c r="F4" s="15" t="s">
        <v>661</v>
      </c>
      <c r="G4" s="15" t="s">
        <v>662</v>
      </c>
      <c r="H4" s="15" t="s">
        <v>663</v>
      </c>
      <c r="I4" s="15" t="s">
        <v>664</v>
      </c>
      <c r="J4" s="15" t="s">
        <v>665</v>
      </c>
      <c r="K4" s="15" t="s">
        <v>666</v>
      </c>
      <c r="L4" s="15" t="s">
        <v>667</v>
      </c>
      <c r="M4" s="15" t="s">
        <v>668</v>
      </c>
      <c r="N4" s="15" t="s">
        <v>669</v>
      </c>
      <c r="O4" s="15" t="s">
        <v>670</v>
      </c>
      <c r="P4" s="15" t="s">
        <v>671</v>
      </c>
      <c r="Q4" s="15" t="s">
        <v>672</v>
      </c>
      <c r="R4" s="15" t="s">
        <v>673</v>
      </c>
      <c r="S4" s="15" t="s">
        <v>674</v>
      </c>
      <c r="T4" s="15" t="s">
        <v>675</v>
      </c>
      <c r="U4" s="15" t="s">
        <v>676</v>
      </c>
      <c r="V4" s="15" t="s">
        <v>677</v>
      </c>
      <c r="W4" s="15" t="s">
        <v>678</v>
      </c>
      <c r="X4" s="15" t="s">
        <v>679</v>
      </c>
      <c r="Y4" s="15" t="s">
        <v>680</v>
      </c>
      <c r="Z4" s="15" t="s">
        <v>681</v>
      </c>
      <c r="AA4" s="15" t="s">
        <v>682</v>
      </c>
      <c r="AB4" s="15" t="s">
        <v>683</v>
      </c>
      <c r="AC4" s="15" t="s">
        <v>684</v>
      </c>
      <c r="AD4" s="15" t="s">
        <v>685</v>
      </c>
      <c r="AE4" s="15" t="s">
        <v>686</v>
      </c>
      <c r="AF4" s="15" t="s">
        <v>687</v>
      </c>
      <c r="AG4" s="15" t="s">
        <v>688</v>
      </c>
      <c r="AH4" s="15" t="s">
        <v>689</v>
      </c>
      <c r="AI4" s="15" t="s">
        <v>690</v>
      </c>
      <c r="AJ4" s="15" t="s">
        <v>691</v>
      </c>
      <c r="AK4" s="15" t="s">
        <v>692</v>
      </c>
      <c r="AL4" s="15" t="s">
        <v>693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21"/>
    </row>
    <row r="5" spans="1:62" ht="15.6" x14ac:dyDescent="0.3">
      <c r="A5" s="5" t="s">
        <v>1</v>
      </c>
      <c r="B5" s="5" t="s">
        <v>2</v>
      </c>
      <c r="C5" s="7">
        <v>1</v>
      </c>
      <c r="D5" s="7">
        <v>1</v>
      </c>
      <c r="E5" s="7">
        <v>175253.13699999999</v>
      </c>
      <c r="F5" s="7">
        <v>15901.549000000001</v>
      </c>
      <c r="G5" s="7">
        <v>28905.092000000001</v>
      </c>
      <c r="H5" s="7">
        <v>-5.91</v>
      </c>
      <c r="I5" s="7">
        <v>3574.0230000000001</v>
      </c>
      <c r="J5" s="7">
        <v>18198.743999999999</v>
      </c>
      <c r="K5" s="7">
        <v>3774.3719999999998</v>
      </c>
      <c r="L5" s="7">
        <v>82168.934999999998</v>
      </c>
      <c r="M5" s="7">
        <v>55911.411</v>
      </c>
      <c r="N5" s="7">
        <v>3.0070000000000001</v>
      </c>
      <c r="O5" s="7">
        <v>1531.828</v>
      </c>
      <c r="P5" s="7">
        <v>257.11399999999998</v>
      </c>
      <c r="Q5" s="7">
        <v>798.39599999999996</v>
      </c>
      <c r="R5" s="7">
        <v>398.55200000000002</v>
      </c>
      <c r="S5" s="7">
        <v>3877.5639999999999</v>
      </c>
      <c r="T5" s="7">
        <v>0.8</v>
      </c>
      <c r="U5" s="7">
        <v>3215.13</v>
      </c>
      <c r="V5" s="7">
        <v>3552.7979999999998</v>
      </c>
      <c r="W5" s="7">
        <v>5954.8040000000001</v>
      </c>
      <c r="X5" s="7">
        <v>10827.05</v>
      </c>
      <c r="Y5" s="7">
        <v>39954.993999999999</v>
      </c>
      <c r="Z5" s="7">
        <v>5080.808</v>
      </c>
      <c r="AA5" s="7">
        <v>34354.409</v>
      </c>
      <c r="AB5" s="7">
        <v>46861.917000000001</v>
      </c>
      <c r="AC5" s="7">
        <v>3167.8919999999998</v>
      </c>
      <c r="AD5" s="7">
        <v>2578.6990000000001</v>
      </c>
      <c r="AE5" s="7">
        <v>138444.35800000001</v>
      </c>
      <c r="AF5" s="7">
        <v>-6899.7150000000001</v>
      </c>
      <c r="AG5" s="7">
        <v>17253.153999999999</v>
      </c>
      <c r="AH5" s="7">
        <v>268840.391</v>
      </c>
      <c r="AI5" s="7">
        <v>-5722.8040000000001</v>
      </c>
      <c r="AJ5" s="7">
        <v>24490.678</v>
      </c>
      <c r="AK5" s="7">
        <v>166118.71799999999</v>
      </c>
      <c r="AL5" s="7">
        <v>86572.005999999994</v>
      </c>
      <c r="AM5" s="7">
        <v>805.36800000000005</v>
      </c>
      <c r="AN5" s="7">
        <v>57180.73</v>
      </c>
      <c r="AO5" s="7">
        <v>2325.605</v>
      </c>
      <c r="AP5" s="7">
        <v>4199.1009999999997</v>
      </c>
      <c r="AQ5" s="7">
        <v>260.77699999999999</v>
      </c>
      <c r="AR5" s="7">
        <v>714.30600000000004</v>
      </c>
      <c r="AS5" s="7">
        <v>88.656000000000006</v>
      </c>
      <c r="AT5" s="7">
        <v>0</v>
      </c>
      <c r="AU5" s="7">
        <v>7523.3029999999999</v>
      </c>
      <c r="AV5" s="7">
        <v>2219.7440000000001</v>
      </c>
      <c r="AW5" s="7">
        <v>7434.1530000000002</v>
      </c>
      <c r="AX5" s="7">
        <v>13796.275</v>
      </c>
      <c r="AY5" s="7">
        <v>3057.6990000000001</v>
      </c>
      <c r="AZ5" s="7">
        <v>32871.091</v>
      </c>
      <c r="BA5" s="7">
        <v>13002.12</v>
      </c>
      <c r="BB5" s="7">
        <v>2826.703</v>
      </c>
      <c r="BC5" s="7">
        <v>973.12599999999998</v>
      </c>
      <c r="BD5" s="7">
        <v>38538.283000000003</v>
      </c>
      <c r="BE5" s="7">
        <v>752.69799999999998</v>
      </c>
      <c r="BF5" s="7">
        <v>752.69799999999998</v>
      </c>
      <c r="BG5" s="7">
        <v>12879.197</v>
      </c>
      <c r="BH5" s="7">
        <v>16121.495999999999</v>
      </c>
      <c r="BI5" s="7">
        <v>449.49200000000002</v>
      </c>
      <c r="BJ5" s="21"/>
    </row>
    <row r="6" spans="1:62" ht="15.6" x14ac:dyDescent="0.3">
      <c r="A6" s="5" t="s">
        <v>3</v>
      </c>
      <c r="B6" s="5" t="s">
        <v>4</v>
      </c>
      <c r="C6" s="7">
        <v>1</v>
      </c>
      <c r="D6" s="7">
        <v>1</v>
      </c>
      <c r="E6" s="7">
        <v>121737.341</v>
      </c>
      <c r="F6" s="7">
        <v>10432.612999999999</v>
      </c>
      <c r="G6" s="7">
        <v>10878.916999999999</v>
      </c>
      <c r="H6" s="7">
        <v>65.213999999999999</v>
      </c>
      <c r="I6" s="7">
        <v>3245.9029999999998</v>
      </c>
      <c r="J6" s="7">
        <v>5939.0020000000004</v>
      </c>
      <c r="K6" s="7">
        <v>0</v>
      </c>
      <c r="L6" s="7">
        <v>182789.67199999999</v>
      </c>
      <c r="M6" s="7">
        <v>26644.213</v>
      </c>
      <c r="N6" s="7">
        <v>0</v>
      </c>
      <c r="O6" s="7">
        <v>95.337999999999994</v>
      </c>
      <c r="P6" s="7">
        <v>398.88299999999998</v>
      </c>
      <c r="Q6" s="7">
        <v>53.427999999999997</v>
      </c>
      <c r="R6" s="7">
        <v>290.029</v>
      </c>
      <c r="S6" s="7">
        <v>2538.1840000000002</v>
      </c>
      <c r="T6" s="7">
        <v>0</v>
      </c>
      <c r="U6" s="7">
        <v>0</v>
      </c>
      <c r="V6" s="7">
        <v>816.23</v>
      </c>
      <c r="W6" s="7">
        <v>3440.252</v>
      </c>
      <c r="X6" s="7">
        <v>39.840000000000003</v>
      </c>
      <c r="Y6" s="7">
        <v>38947.646999999997</v>
      </c>
      <c r="Z6" s="7">
        <v>2205.692</v>
      </c>
      <c r="AA6" s="7">
        <v>22584.154999999999</v>
      </c>
      <c r="AB6" s="7">
        <v>2546.7440000000001</v>
      </c>
      <c r="AC6" s="7">
        <v>2525.4070000000002</v>
      </c>
      <c r="AD6" s="7">
        <v>535.78</v>
      </c>
      <c r="AE6" s="7">
        <v>105202.145</v>
      </c>
      <c r="AF6" s="7">
        <v>27742.937999999998</v>
      </c>
      <c r="AG6" s="7">
        <v>2720.7330000000002</v>
      </c>
      <c r="AH6" s="7">
        <v>255876.87899999999</v>
      </c>
      <c r="AI6" s="7">
        <v>38695.872000000003</v>
      </c>
      <c r="AJ6" s="7">
        <v>10413.594999999999</v>
      </c>
      <c r="AK6" s="7">
        <v>60660.288</v>
      </c>
      <c r="AL6" s="7">
        <v>30167.69</v>
      </c>
      <c r="AM6" s="7">
        <v>0</v>
      </c>
      <c r="AN6" s="7">
        <v>19735.681</v>
      </c>
      <c r="AO6" s="7">
        <v>1403.7950000000001</v>
      </c>
      <c r="AP6" s="7">
        <v>6830.2669999999998</v>
      </c>
      <c r="AQ6" s="7">
        <v>9408.4650000000001</v>
      </c>
      <c r="AR6" s="7">
        <v>2034.39</v>
      </c>
      <c r="AS6" s="7">
        <v>32.683999999999997</v>
      </c>
      <c r="AT6" s="7">
        <v>0</v>
      </c>
      <c r="AU6" s="7">
        <v>3438.134</v>
      </c>
      <c r="AV6" s="7">
        <v>5054.232</v>
      </c>
      <c r="AW6" s="7">
        <v>9289.9590000000007</v>
      </c>
      <c r="AX6" s="7">
        <v>16.126999999999999</v>
      </c>
      <c r="AY6" s="7">
        <v>340.81900000000002</v>
      </c>
      <c r="AZ6" s="7">
        <v>1724.413</v>
      </c>
      <c r="BA6" s="7">
        <v>-9.8789999999999996</v>
      </c>
      <c r="BB6" s="7">
        <v>543.71299999999997</v>
      </c>
      <c r="BC6" s="7">
        <v>256.30399999999997</v>
      </c>
      <c r="BD6" s="7">
        <v>2160.7150000000001</v>
      </c>
      <c r="BE6" s="7">
        <v>173.029</v>
      </c>
      <c r="BF6" s="7">
        <v>173.029</v>
      </c>
      <c r="BG6" s="7">
        <v>744.69899999999996</v>
      </c>
      <c r="BH6" s="7">
        <v>7578.5119999999997</v>
      </c>
      <c r="BI6" s="7">
        <v>43.543999999999997</v>
      </c>
      <c r="BJ6" s="21"/>
    </row>
    <row r="7" spans="1:62" ht="15.6" x14ac:dyDescent="0.3">
      <c r="A7" s="5" t="s">
        <v>5</v>
      </c>
      <c r="B7" s="5" t="s">
        <v>6</v>
      </c>
      <c r="C7" s="7">
        <v>1</v>
      </c>
      <c r="D7" s="7">
        <v>1</v>
      </c>
      <c r="E7" s="7">
        <v>200281.66500000001</v>
      </c>
      <c r="F7" s="7">
        <v>3922.4160000000002</v>
      </c>
      <c r="G7" s="7">
        <v>33036.451000000001</v>
      </c>
      <c r="H7" s="7">
        <v>2036.549</v>
      </c>
      <c r="I7" s="7">
        <v>1451.9590000000001</v>
      </c>
      <c r="J7" s="7">
        <v>26437.006000000001</v>
      </c>
      <c r="K7" s="7">
        <v>4140.3720000000003</v>
      </c>
      <c r="L7" s="7">
        <v>155141.50599999999</v>
      </c>
      <c r="M7" s="7">
        <v>11496.95</v>
      </c>
      <c r="N7" s="7">
        <v>93.016000000000005</v>
      </c>
      <c r="O7" s="7">
        <v>1156.394</v>
      </c>
      <c r="P7" s="7">
        <v>0.29899999999999999</v>
      </c>
      <c r="Q7" s="7">
        <v>859.38099999999997</v>
      </c>
      <c r="R7" s="7">
        <v>301.17700000000002</v>
      </c>
      <c r="S7" s="7">
        <v>3451.123</v>
      </c>
      <c r="T7" s="7">
        <v>21.803999999999998</v>
      </c>
      <c r="U7" s="7">
        <v>2114.799</v>
      </c>
      <c r="V7" s="7">
        <v>1867.768</v>
      </c>
      <c r="W7" s="7">
        <v>2896.5430000000001</v>
      </c>
      <c r="X7" s="7">
        <v>1431.614</v>
      </c>
      <c r="Y7" s="7">
        <v>37894.146999999997</v>
      </c>
      <c r="Z7" s="7">
        <v>3391.578</v>
      </c>
      <c r="AA7" s="7">
        <v>11828.978999999999</v>
      </c>
      <c r="AB7" s="7">
        <v>42595.906000000003</v>
      </c>
      <c r="AC7" s="7">
        <v>1777.1110000000001</v>
      </c>
      <c r="AD7" s="7">
        <v>2616.8290000000002</v>
      </c>
      <c r="AE7" s="7">
        <v>132505.92600000001</v>
      </c>
      <c r="AF7" s="7">
        <v>15801.583000000001</v>
      </c>
      <c r="AG7" s="7">
        <v>18208.401999999998</v>
      </c>
      <c r="AH7" s="7">
        <v>308070.853</v>
      </c>
      <c r="AI7" s="7">
        <v>32138.557000000001</v>
      </c>
      <c r="AJ7" s="7">
        <v>13086.28</v>
      </c>
      <c r="AK7" s="7">
        <v>82113.603000000003</v>
      </c>
      <c r="AL7" s="7">
        <v>41508.502999999997</v>
      </c>
      <c r="AM7" s="7">
        <v>838.85699999999997</v>
      </c>
      <c r="AN7" s="7">
        <v>26661.003000000001</v>
      </c>
      <c r="AO7" s="7">
        <v>4384.62</v>
      </c>
      <c r="AP7" s="7">
        <v>0</v>
      </c>
      <c r="AQ7" s="7">
        <v>2588.069</v>
      </c>
      <c r="AR7" s="7">
        <v>0</v>
      </c>
      <c r="AS7" s="7">
        <v>14.993</v>
      </c>
      <c r="AT7" s="7">
        <v>0</v>
      </c>
      <c r="AU7" s="7">
        <v>264.65499999999997</v>
      </c>
      <c r="AV7" s="7">
        <v>0</v>
      </c>
      <c r="AW7" s="7">
        <v>0</v>
      </c>
      <c r="AX7" s="7">
        <v>5170.4970000000003</v>
      </c>
      <c r="AY7" s="7">
        <v>481.93200000000002</v>
      </c>
      <c r="AZ7" s="7">
        <v>2189.9059999999999</v>
      </c>
      <c r="BA7" s="7">
        <v>486.1</v>
      </c>
      <c r="BB7" s="7">
        <v>247.82599999999999</v>
      </c>
      <c r="BC7" s="7">
        <v>226.08699999999999</v>
      </c>
      <c r="BD7" s="7">
        <v>2760.4540000000002</v>
      </c>
      <c r="BE7" s="7">
        <v>72.228999999999999</v>
      </c>
      <c r="BF7" s="7">
        <v>72.228999999999999</v>
      </c>
      <c r="BG7" s="7">
        <v>945.68899999999996</v>
      </c>
      <c r="BH7" s="7">
        <v>7604.4030000000002</v>
      </c>
      <c r="BI7" s="7">
        <v>60.869</v>
      </c>
      <c r="BJ7" s="21"/>
    </row>
    <row r="8" spans="1:62" ht="15.6" x14ac:dyDescent="0.3">
      <c r="A8" s="5" t="s">
        <v>7</v>
      </c>
      <c r="B8" s="5" t="s">
        <v>8</v>
      </c>
      <c r="C8" s="7">
        <v>1</v>
      </c>
      <c r="D8" s="7">
        <v>1</v>
      </c>
      <c r="E8" s="7">
        <v>686569.42299999995</v>
      </c>
      <c r="F8" s="7">
        <v>94035.437999999995</v>
      </c>
      <c r="G8" s="7">
        <v>0</v>
      </c>
      <c r="H8" s="7">
        <v>0</v>
      </c>
      <c r="I8" s="7">
        <v>2626.7440000000001</v>
      </c>
      <c r="J8" s="7">
        <v>0</v>
      </c>
      <c r="K8" s="7">
        <v>0</v>
      </c>
      <c r="L8" s="7">
        <v>1373864.59</v>
      </c>
      <c r="M8" s="7">
        <v>34622.356</v>
      </c>
      <c r="N8" s="7">
        <v>0</v>
      </c>
      <c r="O8" s="7">
        <v>8912.5169999999998</v>
      </c>
      <c r="P8" s="7">
        <v>0</v>
      </c>
      <c r="Q8" s="7">
        <v>4926.1639999999998</v>
      </c>
      <c r="R8" s="7">
        <v>1172.201</v>
      </c>
      <c r="S8" s="7">
        <v>29943.456999999999</v>
      </c>
      <c r="T8" s="7">
        <v>0</v>
      </c>
      <c r="U8" s="7">
        <v>0</v>
      </c>
      <c r="V8" s="7">
        <v>0</v>
      </c>
      <c r="W8" s="7">
        <v>9728.3909999999996</v>
      </c>
      <c r="X8" s="7">
        <v>83033.58</v>
      </c>
      <c r="Y8" s="7">
        <v>333998.609</v>
      </c>
      <c r="Z8" s="7">
        <v>37222.146999999997</v>
      </c>
      <c r="AA8" s="7">
        <v>58065.932999999997</v>
      </c>
      <c r="AB8" s="7">
        <v>310769.12800000003</v>
      </c>
      <c r="AC8" s="7">
        <v>19282.272000000001</v>
      </c>
      <c r="AD8" s="7">
        <v>13728.054</v>
      </c>
      <c r="AE8" s="7">
        <v>922350.14899999998</v>
      </c>
      <c r="AF8" s="7">
        <v>798209.92200000002</v>
      </c>
      <c r="AG8" s="7">
        <v>88643.793000000005</v>
      </c>
      <c r="AH8" s="7">
        <v>2483302.3760000002</v>
      </c>
      <c r="AI8" s="7">
        <v>1159000.2990000001</v>
      </c>
      <c r="AJ8" s="7">
        <v>180180.70499999999</v>
      </c>
      <c r="AK8" s="7">
        <v>5375294.3820000002</v>
      </c>
      <c r="AL8" s="7">
        <v>2801359.5639999998</v>
      </c>
      <c r="AM8" s="7">
        <v>0</v>
      </c>
      <c r="AN8" s="7">
        <v>1850293.797</v>
      </c>
      <c r="AO8" s="7">
        <v>28243.025000000001</v>
      </c>
      <c r="AP8" s="7">
        <v>0</v>
      </c>
      <c r="AQ8" s="7">
        <v>318725.75400000002</v>
      </c>
      <c r="AR8" s="7">
        <v>0</v>
      </c>
      <c r="AS8" s="7">
        <v>303.11</v>
      </c>
      <c r="AT8" s="7">
        <v>0</v>
      </c>
      <c r="AU8" s="7">
        <v>1981.125</v>
      </c>
      <c r="AV8" s="7">
        <v>0</v>
      </c>
      <c r="AW8" s="7">
        <v>0</v>
      </c>
      <c r="AX8" s="7">
        <v>105804.955</v>
      </c>
      <c r="AY8" s="7">
        <v>0</v>
      </c>
      <c r="AZ8" s="7">
        <v>0</v>
      </c>
      <c r="BA8" s="7">
        <v>79157.159</v>
      </c>
      <c r="BB8" s="7">
        <v>12494.146000000001</v>
      </c>
      <c r="BC8" s="7">
        <v>0</v>
      </c>
      <c r="BD8" s="7">
        <v>0</v>
      </c>
      <c r="BE8" s="7">
        <v>3725.6019999999999</v>
      </c>
      <c r="BF8" s="7">
        <v>3725.6019999999999</v>
      </c>
      <c r="BG8" s="7">
        <v>0</v>
      </c>
      <c r="BH8" s="7">
        <v>112073.09</v>
      </c>
      <c r="BI8" s="7">
        <v>0</v>
      </c>
      <c r="BJ8" s="21"/>
    </row>
    <row r="9" spans="1:62" ht="15.6" x14ac:dyDescent="0.3">
      <c r="A9" s="5" t="s">
        <v>9</v>
      </c>
      <c r="B9" s="5" t="s">
        <v>10</v>
      </c>
      <c r="C9" s="7">
        <v>1</v>
      </c>
      <c r="D9" s="7">
        <v>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21"/>
    </row>
    <row r="10" spans="1:62" ht="15.6" x14ac:dyDescent="0.3">
      <c r="A10" s="5" t="s">
        <v>11</v>
      </c>
      <c r="B10" s="5" t="s">
        <v>12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21"/>
    </row>
    <row r="11" spans="1:62" ht="15.6" x14ac:dyDescent="0.3">
      <c r="A11" s="5" t="s">
        <v>13</v>
      </c>
      <c r="B11" s="5" t="s">
        <v>14</v>
      </c>
      <c r="C11" s="7">
        <v>1</v>
      </c>
      <c r="D11" s="7">
        <v>1</v>
      </c>
      <c r="E11" s="7">
        <v>137202.46900000001</v>
      </c>
      <c r="F11" s="7">
        <v>17805.788</v>
      </c>
      <c r="G11" s="7">
        <v>3106.9470000000001</v>
      </c>
      <c r="H11" s="7">
        <v>0</v>
      </c>
      <c r="I11" s="7">
        <v>902.98800000000006</v>
      </c>
      <c r="J11" s="7">
        <v>2465.902</v>
      </c>
      <c r="K11" s="7">
        <v>0</v>
      </c>
      <c r="L11" s="7">
        <v>234021.14</v>
      </c>
      <c r="M11" s="7">
        <v>26753.203000000001</v>
      </c>
      <c r="N11" s="7">
        <v>0</v>
      </c>
      <c r="O11" s="7">
        <v>619.48599999999999</v>
      </c>
      <c r="P11" s="7">
        <v>36.299999999999997</v>
      </c>
      <c r="Q11" s="7">
        <v>201.869</v>
      </c>
      <c r="R11" s="7">
        <v>24.771999999999998</v>
      </c>
      <c r="S11" s="7">
        <v>5453.81</v>
      </c>
      <c r="T11" s="7">
        <v>0</v>
      </c>
      <c r="U11" s="7">
        <v>0</v>
      </c>
      <c r="V11" s="7">
        <v>537.77200000000005</v>
      </c>
      <c r="W11" s="7">
        <v>2273.1819999999998</v>
      </c>
      <c r="X11" s="7">
        <v>11455.123</v>
      </c>
      <c r="Y11" s="7">
        <v>58059.32</v>
      </c>
      <c r="Z11" s="7">
        <v>2513.5500000000002</v>
      </c>
      <c r="AA11" s="7">
        <v>14204.52</v>
      </c>
      <c r="AB11" s="7">
        <v>14904.556</v>
      </c>
      <c r="AC11" s="7">
        <v>3528.192</v>
      </c>
      <c r="AD11" s="7">
        <v>736.404</v>
      </c>
      <c r="AE11" s="7">
        <v>156475.58900000001</v>
      </c>
      <c r="AF11" s="7">
        <v>131715.671</v>
      </c>
      <c r="AG11" s="7">
        <v>5810.893</v>
      </c>
      <c r="AH11" s="7">
        <v>445618.91</v>
      </c>
      <c r="AI11" s="7">
        <v>207485.20800000001</v>
      </c>
      <c r="AJ11" s="7">
        <v>12415.554</v>
      </c>
      <c r="AK11" s="7">
        <v>717049.97</v>
      </c>
      <c r="AL11" s="7">
        <v>373693.91399999999</v>
      </c>
      <c r="AM11" s="7">
        <v>0</v>
      </c>
      <c r="AN11" s="7">
        <v>246824.27100000001</v>
      </c>
      <c r="AO11" s="7">
        <v>4921.57</v>
      </c>
      <c r="AP11" s="7">
        <v>0</v>
      </c>
      <c r="AQ11" s="7">
        <v>52347.4</v>
      </c>
      <c r="AR11" s="7">
        <v>0</v>
      </c>
      <c r="AS11" s="7">
        <v>52.381999999999998</v>
      </c>
      <c r="AT11" s="7">
        <v>0</v>
      </c>
      <c r="AU11" s="7">
        <v>399.60399999999998</v>
      </c>
      <c r="AV11" s="7">
        <v>0</v>
      </c>
      <c r="AW11" s="7">
        <v>0</v>
      </c>
      <c r="AX11" s="7">
        <v>14596.583000000001</v>
      </c>
      <c r="AY11" s="7">
        <v>162.989</v>
      </c>
      <c r="AZ11" s="7">
        <v>0</v>
      </c>
      <c r="BA11" s="7">
        <v>10920.321</v>
      </c>
      <c r="BB11" s="7">
        <v>2175.942</v>
      </c>
      <c r="BC11" s="7">
        <v>94.786000000000001</v>
      </c>
      <c r="BD11" s="7">
        <v>0</v>
      </c>
      <c r="BE11" s="7">
        <v>649.29200000000003</v>
      </c>
      <c r="BF11" s="7">
        <v>649.29200000000003</v>
      </c>
      <c r="BG11" s="7">
        <v>0</v>
      </c>
      <c r="BH11" s="7">
        <v>7311.8109999999997</v>
      </c>
      <c r="BI11" s="7">
        <v>27.004000000000001</v>
      </c>
      <c r="BJ11" s="21"/>
    </row>
    <row r="12" spans="1:62" ht="15.6" x14ac:dyDescent="0.3">
      <c r="A12" s="5" t="s">
        <v>3</v>
      </c>
      <c r="B12" s="5" t="s">
        <v>15</v>
      </c>
      <c r="C12" s="7">
        <v>1</v>
      </c>
      <c r="D12" s="7">
        <v>1</v>
      </c>
      <c r="E12" s="7">
        <v>28.899000000000001</v>
      </c>
      <c r="F12" s="7">
        <v>3.9980000000000002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128.82300000000001</v>
      </c>
      <c r="M12" s="7">
        <v>9.5619999999999994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8.8260000000000005</v>
      </c>
      <c r="AF12" s="7">
        <v>1.3140000000000001</v>
      </c>
      <c r="AG12" s="7">
        <v>0</v>
      </c>
      <c r="AH12" s="7">
        <v>82.718000000000004</v>
      </c>
      <c r="AI12" s="7">
        <v>0.89100000000000001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21"/>
    </row>
    <row r="13" spans="1:62" ht="15.6" x14ac:dyDescent="0.3">
      <c r="A13" s="5" t="s">
        <v>16</v>
      </c>
      <c r="B13" s="5" t="s">
        <v>17</v>
      </c>
      <c r="C13" s="7">
        <v>1</v>
      </c>
      <c r="D13" s="7">
        <v>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21"/>
    </row>
    <row r="14" spans="1:62" ht="15.6" x14ac:dyDescent="0.3">
      <c r="A14" s="5" t="s">
        <v>18</v>
      </c>
      <c r="B14" s="5" t="s">
        <v>19</v>
      </c>
      <c r="C14" s="7">
        <v>2</v>
      </c>
      <c r="D14" s="7">
        <v>2</v>
      </c>
      <c r="E14" s="7">
        <v>947440.46799999999</v>
      </c>
      <c r="F14" s="7">
        <v>72818.929000000004</v>
      </c>
      <c r="G14" s="7">
        <v>166416.22700000001</v>
      </c>
      <c r="H14" s="7">
        <v>0</v>
      </c>
      <c r="I14" s="7">
        <v>22177.420999999998</v>
      </c>
      <c r="J14" s="7">
        <v>106025.171</v>
      </c>
      <c r="K14" s="7">
        <v>0</v>
      </c>
      <c r="L14" s="7">
        <v>325423.96799999999</v>
      </c>
      <c r="M14" s="7">
        <v>281729.99</v>
      </c>
      <c r="N14" s="7">
        <v>0</v>
      </c>
      <c r="O14" s="7">
        <v>0</v>
      </c>
      <c r="P14" s="7">
        <v>13758.304</v>
      </c>
      <c r="Q14" s="7">
        <v>927.73099999999999</v>
      </c>
      <c r="R14" s="7">
        <v>1284.2840000000001</v>
      </c>
      <c r="S14" s="7">
        <v>22241.598999999998</v>
      </c>
      <c r="T14" s="7">
        <v>0</v>
      </c>
      <c r="U14" s="7">
        <v>0</v>
      </c>
      <c r="V14" s="7">
        <v>18147.963</v>
      </c>
      <c r="W14" s="7">
        <v>25560.510999999999</v>
      </c>
      <c r="X14" s="7">
        <v>0</v>
      </c>
      <c r="Y14" s="7">
        <v>211577.89199999999</v>
      </c>
      <c r="Z14" s="7">
        <v>0</v>
      </c>
      <c r="AA14" s="7">
        <v>231172.12599999999</v>
      </c>
      <c r="AB14" s="7">
        <v>0</v>
      </c>
      <c r="AC14" s="7">
        <v>9880.1530000000002</v>
      </c>
      <c r="AD14" s="7">
        <v>5618.43</v>
      </c>
      <c r="AE14" s="7">
        <v>574964.11199999996</v>
      </c>
      <c r="AF14" s="7">
        <v>0</v>
      </c>
      <c r="AG14" s="7">
        <v>23840.720000000001</v>
      </c>
      <c r="AH14" s="7">
        <v>1130160.5179999999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14136.207</v>
      </c>
      <c r="AP14" s="7">
        <v>0</v>
      </c>
      <c r="AQ14" s="7">
        <v>0</v>
      </c>
      <c r="AR14" s="7">
        <v>0</v>
      </c>
      <c r="AS14" s="7">
        <v>647.98599999999999</v>
      </c>
      <c r="AT14" s="7">
        <v>0</v>
      </c>
      <c r="AU14" s="7">
        <v>14383.486999999999</v>
      </c>
      <c r="AV14" s="7">
        <v>0</v>
      </c>
      <c r="AW14" s="7">
        <v>0</v>
      </c>
      <c r="AX14" s="7">
        <v>0</v>
      </c>
      <c r="AY14" s="7">
        <v>14829.709000000001</v>
      </c>
      <c r="AZ14" s="7">
        <v>0</v>
      </c>
      <c r="BA14" s="7">
        <v>0</v>
      </c>
      <c r="BB14" s="7">
        <v>6673.0469999999996</v>
      </c>
      <c r="BC14" s="7">
        <v>6975.1049999999996</v>
      </c>
      <c r="BD14" s="7">
        <v>0</v>
      </c>
      <c r="BE14" s="7">
        <v>1841.69</v>
      </c>
      <c r="BF14" s="7">
        <v>1841.69</v>
      </c>
      <c r="BG14" s="7">
        <v>0</v>
      </c>
      <c r="BH14" s="7">
        <v>0</v>
      </c>
      <c r="BI14" s="7">
        <v>1727.4970000000001</v>
      </c>
      <c r="BJ14" s="21"/>
    </row>
    <row r="15" spans="1:62" ht="15.6" x14ac:dyDescent="0.3">
      <c r="A15" s="5" t="s">
        <v>20</v>
      </c>
      <c r="B15" s="5" t="s">
        <v>21</v>
      </c>
      <c r="C15" s="7">
        <v>2</v>
      </c>
      <c r="D15" s="7">
        <v>2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21"/>
    </row>
    <row r="16" spans="1:62" ht="15.6" x14ac:dyDescent="0.3">
      <c r="A16" s="5" t="s">
        <v>22</v>
      </c>
      <c r="B16" s="5" t="s">
        <v>23</v>
      </c>
      <c r="C16" s="7">
        <v>2</v>
      </c>
      <c r="D16" s="7">
        <v>2</v>
      </c>
      <c r="E16" s="7">
        <v>988993.147</v>
      </c>
      <c r="F16" s="7">
        <v>76012.607999999993</v>
      </c>
      <c r="G16" s="7">
        <v>173714.87899999999</v>
      </c>
      <c r="H16" s="7">
        <v>0</v>
      </c>
      <c r="I16" s="7">
        <v>23150.076000000001</v>
      </c>
      <c r="J16" s="7">
        <v>110675.20299999999</v>
      </c>
      <c r="K16" s="7">
        <v>76656.205000000002</v>
      </c>
      <c r="L16" s="7">
        <v>339696.35600000003</v>
      </c>
      <c r="M16" s="7">
        <v>294086.054</v>
      </c>
      <c r="N16" s="7">
        <v>12196.817999999999</v>
      </c>
      <c r="O16" s="7">
        <v>0</v>
      </c>
      <c r="P16" s="7">
        <v>0</v>
      </c>
      <c r="Q16" s="7">
        <v>1444.8510000000001</v>
      </c>
      <c r="R16" s="7">
        <v>2000.146</v>
      </c>
      <c r="S16" s="7">
        <v>23217.064999999999</v>
      </c>
      <c r="T16" s="7">
        <v>0</v>
      </c>
      <c r="U16" s="7">
        <v>65288.705000000002</v>
      </c>
      <c r="V16" s="7">
        <v>18943.892</v>
      </c>
      <c r="W16" s="7">
        <v>26681.537</v>
      </c>
      <c r="X16" s="7">
        <v>0</v>
      </c>
      <c r="Y16" s="7">
        <v>220857.24</v>
      </c>
      <c r="Z16" s="7">
        <v>0</v>
      </c>
      <c r="AA16" s="7">
        <v>241310.83300000001</v>
      </c>
      <c r="AB16" s="7">
        <v>0</v>
      </c>
      <c r="AC16" s="7">
        <v>10313.473</v>
      </c>
      <c r="AD16" s="7">
        <v>5864.84</v>
      </c>
      <c r="AE16" s="7">
        <v>600180.78700000001</v>
      </c>
      <c r="AF16" s="7">
        <v>0</v>
      </c>
      <c r="AG16" s="7">
        <v>24886.321</v>
      </c>
      <c r="AH16" s="7">
        <v>1180086.9269999999</v>
      </c>
      <c r="AI16" s="7">
        <v>0</v>
      </c>
      <c r="AJ16" s="7">
        <v>0</v>
      </c>
      <c r="AK16" s="7">
        <v>0</v>
      </c>
      <c r="AL16" s="7">
        <v>0</v>
      </c>
      <c r="AM16" s="7">
        <v>16369.213</v>
      </c>
      <c r="AN16" s="7">
        <v>0</v>
      </c>
      <c r="AO16" s="7">
        <v>14756.189</v>
      </c>
      <c r="AP16" s="7">
        <v>0</v>
      </c>
      <c r="AQ16" s="7">
        <v>0</v>
      </c>
      <c r="AR16" s="7">
        <v>0</v>
      </c>
      <c r="AS16" s="7">
        <v>676.40700000000004</v>
      </c>
      <c r="AT16" s="7">
        <v>0</v>
      </c>
      <c r="AU16" s="7">
        <v>15222.877</v>
      </c>
      <c r="AV16" s="7">
        <v>0</v>
      </c>
      <c r="AW16" s="7">
        <v>0</v>
      </c>
      <c r="AX16" s="7">
        <v>0</v>
      </c>
      <c r="AY16" s="7">
        <v>15480.108</v>
      </c>
      <c r="AZ16" s="7">
        <v>0</v>
      </c>
      <c r="BA16" s="7">
        <v>0</v>
      </c>
      <c r="BB16" s="7">
        <v>6965.71</v>
      </c>
      <c r="BC16" s="7">
        <v>7281.0169999999998</v>
      </c>
      <c r="BD16" s="7">
        <v>0</v>
      </c>
      <c r="BE16" s="7">
        <v>1922.463</v>
      </c>
      <c r="BF16" s="7">
        <v>1922.463</v>
      </c>
      <c r="BG16" s="7">
        <v>0</v>
      </c>
      <c r="BH16" s="7">
        <v>0</v>
      </c>
      <c r="BI16" s="7">
        <v>1803.261</v>
      </c>
      <c r="BJ16" s="21"/>
    </row>
    <row r="17" spans="1:62" ht="15.6" x14ac:dyDescent="0.3">
      <c r="A17" s="5" t="s">
        <v>24</v>
      </c>
      <c r="B17" s="5" t="s">
        <v>25</v>
      </c>
      <c r="C17" s="7">
        <v>2</v>
      </c>
      <c r="D17" s="7">
        <v>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18287.135999999999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15575.300999999999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85.888000000000005</v>
      </c>
      <c r="AI17" s="7">
        <v>0</v>
      </c>
      <c r="AJ17" s="7">
        <v>0</v>
      </c>
      <c r="AK17" s="7">
        <v>0</v>
      </c>
      <c r="AL17" s="7">
        <v>0</v>
      </c>
      <c r="AM17" s="7">
        <v>3905.0459999999998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17.507999999999999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21"/>
    </row>
    <row r="18" spans="1:62" ht="15.6" x14ac:dyDescent="0.3">
      <c r="A18" s="5" t="s">
        <v>26</v>
      </c>
      <c r="B18" s="5" t="s">
        <v>27</v>
      </c>
      <c r="C18" s="7">
        <v>2</v>
      </c>
      <c r="D18" s="7">
        <v>2</v>
      </c>
      <c r="E18" s="7">
        <v>231524.818</v>
      </c>
      <c r="F18" s="7">
        <v>33070.374000000003</v>
      </c>
      <c r="G18" s="7">
        <v>0</v>
      </c>
      <c r="H18" s="7">
        <v>0</v>
      </c>
      <c r="I18" s="7">
        <v>923.77200000000005</v>
      </c>
      <c r="J18" s="7">
        <v>0</v>
      </c>
      <c r="K18" s="7">
        <v>120225.405</v>
      </c>
      <c r="L18" s="7">
        <v>483158.16100000002</v>
      </c>
      <c r="M18" s="7">
        <v>12175.986999999999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10530.514999999999</v>
      </c>
      <c r="T18" s="7">
        <v>992.55600000000004</v>
      </c>
      <c r="U18" s="7">
        <v>102396.943</v>
      </c>
      <c r="V18" s="7">
        <v>0</v>
      </c>
      <c r="W18" s="7">
        <v>3421.2809999999999</v>
      </c>
      <c r="X18" s="7">
        <v>28643.469000000001</v>
      </c>
      <c r="Y18" s="7">
        <v>115710.78599999999</v>
      </c>
      <c r="Z18" s="7">
        <v>0</v>
      </c>
      <c r="AA18" s="7">
        <v>20225.838</v>
      </c>
      <c r="AB18" s="7">
        <v>0</v>
      </c>
      <c r="AC18" s="7">
        <v>6781.1880000000001</v>
      </c>
      <c r="AD18" s="7">
        <v>0</v>
      </c>
      <c r="AE18" s="7">
        <v>312598.777</v>
      </c>
      <c r="AF18" s="7">
        <v>280714.19</v>
      </c>
      <c r="AG18" s="7">
        <v>0</v>
      </c>
      <c r="AH18" s="7">
        <v>871420.93200000003</v>
      </c>
      <c r="AI18" s="7">
        <v>407597.12599999999</v>
      </c>
      <c r="AJ18" s="7">
        <v>0</v>
      </c>
      <c r="AK18" s="7">
        <v>0</v>
      </c>
      <c r="AL18" s="7">
        <v>0</v>
      </c>
      <c r="AM18" s="7">
        <v>25673.006000000001</v>
      </c>
      <c r="AN18" s="7">
        <v>0</v>
      </c>
      <c r="AO18" s="7">
        <v>9932.5030000000006</v>
      </c>
      <c r="AP18" s="7">
        <v>0</v>
      </c>
      <c r="AQ18" s="7">
        <v>112089.447</v>
      </c>
      <c r="AR18" s="7">
        <v>0</v>
      </c>
      <c r="AS18" s="7">
        <v>106.599</v>
      </c>
      <c r="AT18" s="7">
        <v>0</v>
      </c>
      <c r="AU18" s="7">
        <v>765.56200000000001</v>
      </c>
      <c r="AV18" s="7">
        <v>0</v>
      </c>
      <c r="AW18" s="7">
        <v>0</v>
      </c>
      <c r="AX18" s="7">
        <v>36498.737999999998</v>
      </c>
      <c r="AY18" s="7">
        <v>0</v>
      </c>
      <c r="AZ18" s="7">
        <v>0</v>
      </c>
      <c r="BA18" s="7">
        <v>27306.249</v>
      </c>
      <c r="BB18" s="7">
        <v>4393.942</v>
      </c>
      <c r="BC18" s="7">
        <v>0</v>
      </c>
      <c r="BD18" s="7">
        <v>0</v>
      </c>
      <c r="BE18" s="7">
        <v>1310.22</v>
      </c>
      <c r="BF18" s="7">
        <v>1310.22</v>
      </c>
      <c r="BG18" s="7">
        <v>0</v>
      </c>
      <c r="BH18" s="7">
        <v>0</v>
      </c>
      <c r="BI18" s="7">
        <v>0</v>
      </c>
      <c r="BJ18" s="21"/>
    </row>
    <row r="19" spans="1:62" ht="15.6" x14ac:dyDescent="0.3">
      <c r="A19" s="5" t="s">
        <v>28</v>
      </c>
      <c r="B19" s="5" t="s">
        <v>29</v>
      </c>
      <c r="C19" s="7">
        <v>6</v>
      </c>
      <c r="D19" s="7">
        <v>6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21"/>
    </row>
    <row r="20" spans="1:62" ht="15.6" x14ac:dyDescent="0.3">
      <c r="A20" s="5" t="s">
        <v>30</v>
      </c>
      <c r="B20" s="5" t="s">
        <v>31</v>
      </c>
      <c r="C20" s="7">
        <v>5</v>
      </c>
      <c r="D20" s="7">
        <v>5</v>
      </c>
      <c r="E20" s="7">
        <v>0</v>
      </c>
      <c r="F20" s="7">
        <v>0</v>
      </c>
      <c r="G20" s="7">
        <v>0</v>
      </c>
      <c r="H20" s="7">
        <v>966328.75899999996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21"/>
    </row>
    <row r="21" spans="1:62" ht="15.6" x14ac:dyDescent="0.3">
      <c r="A21" s="5" t="s">
        <v>32</v>
      </c>
      <c r="B21" s="5" t="s">
        <v>33</v>
      </c>
      <c r="C21" s="7">
        <v>2</v>
      </c>
      <c r="D21" s="7">
        <v>2</v>
      </c>
      <c r="E21" s="7">
        <v>34781.273000000001</v>
      </c>
      <c r="F21" s="7">
        <v>2191.5</v>
      </c>
      <c r="G21" s="7">
        <v>6614.85</v>
      </c>
      <c r="H21" s="7">
        <v>0</v>
      </c>
      <c r="I21" s="7">
        <v>667.43399999999997</v>
      </c>
      <c r="J21" s="7">
        <v>4423.4880000000003</v>
      </c>
      <c r="K21" s="7">
        <v>0</v>
      </c>
      <c r="L21" s="7">
        <v>13713.609</v>
      </c>
      <c r="M21" s="7">
        <v>10625.619000000001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669.36500000000001</v>
      </c>
      <c r="T21" s="7">
        <v>0</v>
      </c>
      <c r="U21" s="7">
        <v>0</v>
      </c>
      <c r="V21" s="7">
        <v>546.16700000000003</v>
      </c>
      <c r="W21" s="7">
        <v>769.24900000000002</v>
      </c>
      <c r="X21" s="7">
        <v>0</v>
      </c>
      <c r="Y21" s="7">
        <v>6367.4780000000001</v>
      </c>
      <c r="Z21" s="7">
        <v>0</v>
      </c>
      <c r="AA21" s="7">
        <v>6957.1710000000003</v>
      </c>
      <c r="AB21" s="7">
        <v>0</v>
      </c>
      <c r="AC21" s="7">
        <v>297.34500000000003</v>
      </c>
      <c r="AD21" s="7">
        <v>169.08799999999999</v>
      </c>
      <c r="AE21" s="7">
        <v>18033.895</v>
      </c>
      <c r="AF21" s="7">
        <v>0</v>
      </c>
      <c r="AG21" s="7">
        <v>717.49099999999999</v>
      </c>
      <c r="AH21" s="7">
        <v>37698.637999999999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425.43200000000002</v>
      </c>
      <c r="AP21" s="7">
        <v>0</v>
      </c>
      <c r="AQ21" s="7">
        <v>0</v>
      </c>
      <c r="AR21" s="7">
        <v>0</v>
      </c>
      <c r="AS21" s="7">
        <v>19.501000000000001</v>
      </c>
      <c r="AT21" s="7">
        <v>0</v>
      </c>
      <c r="AU21" s="7">
        <v>323.67899999999997</v>
      </c>
      <c r="AV21" s="7">
        <v>0</v>
      </c>
      <c r="AW21" s="7">
        <v>0</v>
      </c>
      <c r="AX21" s="7">
        <v>0</v>
      </c>
      <c r="AY21" s="7">
        <v>446.303</v>
      </c>
      <c r="AZ21" s="7">
        <v>0</v>
      </c>
      <c r="BA21" s="7">
        <v>0</v>
      </c>
      <c r="BB21" s="7">
        <v>200.827</v>
      </c>
      <c r="BC21" s="7">
        <v>209.917</v>
      </c>
      <c r="BD21" s="7">
        <v>0</v>
      </c>
      <c r="BE21" s="7">
        <v>55.426000000000002</v>
      </c>
      <c r="BF21" s="7">
        <v>55.426000000000002</v>
      </c>
      <c r="BG21" s="7">
        <v>0</v>
      </c>
      <c r="BH21" s="7">
        <v>7624.8980000000001</v>
      </c>
      <c r="BI21" s="7">
        <v>51.988999999999997</v>
      </c>
      <c r="BJ21" s="21"/>
    </row>
    <row r="22" spans="1:62" ht="15.6" x14ac:dyDescent="0.3">
      <c r="A22" s="5" t="s">
        <v>34</v>
      </c>
      <c r="B22" s="5" t="s">
        <v>35</v>
      </c>
      <c r="C22" s="7">
        <v>2</v>
      </c>
      <c r="D22" s="7">
        <v>2</v>
      </c>
      <c r="E22" s="7">
        <v>81556.797000000006</v>
      </c>
      <c r="F22" s="7">
        <v>8334.32</v>
      </c>
      <c r="G22" s="7">
        <v>7964.0420000000004</v>
      </c>
      <c r="H22" s="7">
        <v>0</v>
      </c>
      <c r="I22" s="7">
        <v>1358.0319999999999</v>
      </c>
      <c r="J22" s="7">
        <v>5509.7079999999996</v>
      </c>
      <c r="K22" s="7">
        <v>0</v>
      </c>
      <c r="L22" s="7">
        <v>74239.805999999997</v>
      </c>
      <c r="M22" s="7">
        <v>15493.558999999999</v>
      </c>
      <c r="N22" s="7">
        <v>0</v>
      </c>
      <c r="O22" s="7">
        <v>139.68899999999999</v>
      </c>
      <c r="P22" s="7">
        <v>0</v>
      </c>
      <c r="Q22" s="7">
        <v>43.216999999999999</v>
      </c>
      <c r="R22" s="7">
        <v>0</v>
      </c>
      <c r="S22" s="7">
        <v>2640.6060000000002</v>
      </c>
      <c r="T22" s="7">
        <v>0</v>
      </c>
      <c r="U22" s="7">
        <v>0</v>
      </c>
      <c r="V22" s="7">
        <v>1217.6469999999999</v>
      </c>
      <c r="W22" s="7">
        <v>2455.1889999999999</v>
      </c>
      <c r="X22" s="7">
        <v>1223.1890000000001</v>
      </c>
      <c r="Y22" s="7">
        <v>32185.665000000001</v>
      </c>
      <c r="Z22" s="7">
        <v>330.70600000000002</v>
      </c>
      <c r="AA22" s="7">
        <v>7685.9459999999999</v>
      </c>
      <c r="AB22" s="7">
        <v>3392.357</v>
      </c>
      <c r="AC22" s="7">
        <v>1596.3420000000001</v>
      </c>
      <c r="AD22" s="7">
        <v>184.90899999999999</v>
      </c>
      <c r="AE22" s="7">
        <v>108233.959</v>
      </c>
      <c r="AF22" s="7">
        <v>10106.065000000001</v>
      </c>
      <c r="AG22" s="7">
        <v>1528.0250000000001</v>
      </c>
      <c r="AH22" s="7">
        <v>193817.42499999999</v>
      </c>
      <c r="AI22" s="7">
        <v>14674.01</v>
      </c>
      <c r="AJ22" s="7">
        <v>1546.7819999999999</v>
      </c>
      <c r="AK22" s="7">
        <v>1589653.162</v>
      </c>
      <c r="AL22" s="7">
        <v>828455.10699999996</v>
      </c>
      <c r="AM22" s="7">
        <v>0</v>
      </c>
      <c r="AN22" s="7">
        <v>547193.35800000001</v>
      </c>
      <c r="AO22" s="7">
        <v>1167.8230000000001</v>
      </c>
      <c r="AP22" s="7">
        <v>0</v>
      </c>
      <c r="AQ22" s="7">
        <v>4035.3609999999999</v>
      </c>
      <c r="AR22" s="7">
        <v>0</v>
      </c>
      <c r="AS22" s="7">
        <v>8.7859999999999996</v>
      </c>
      <c r="AT22" s="7">
        <v>0</v>
      </c>
      <c r="AU22" s="7">
        <v>144.898</v>
      </c>
      <c r="AV22" s="7">
        <v>0</v>
      </c>
      <c r="AW22" s="7">
        <v>0</v>
      </c>
      <c r="AX22" s="7">
        <v>1558.64</v>
      </c>
      <c r="AY22" s="7">
        <v>41.502000000000002</v>
      </c>
      <c r="AZ22" s="7">
        <v>0</v>
      </c>
      <c r="BA22" s="7">
        <v>1166.085</v>
      </c>
      <c r="BB22" s="7">
        <v>530.09400000000005</v>
      </c>
      <c r="BC22" s="7">
        <v>19.521000000000001</v>
      </c>
      <c r="BD22" s="7">
        <v>0</v>
      </c>
      <c r="BE22" s="7">
        <v>182.01499999999999</v>
      </c>
      <c r="BF22" s="7">
        <v>182.01499999999999</v>
      </c>
      <c r="BG22" s="7">
        <v>0</v>
      </c>
      <c r="BH22" s="7">
        <v>8050.8770000000004</v>
      </c>
      <c r="BI22" s="7">
        <v>4.835</v>
      </c>
      <c r="BJ22" s="21"/>
    </row>
    <row r="23" spans="1:62" ht="15.6" x14ac:dyDescent="0.3">
      <c r="A23" s="5" t="s">
        <v>36</v>
      </c>
      <c r="B23" s="5" t="s">
        <v>37</v>
      </c>
      <c r="C23" s="7">
        <v>6</v>
      </c>
      <c r="D23" s="7">
        <v>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21"/>
    </row>
    <row r="24" spans="1:62" ht="15.6" x14ac:dyDescent="0.3">
      <c r="A24" s="5" t="s">
        <v>38</v>
      </c>
      <c r="B24" s="5" t="s">
        <v>39</v>
      </c>
      <c r="C24" s="7">
        <v>6</v>
      </c>
      <c r="D24" s="7">
        <v>6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21"/>
    </row>
    <row r="25" spans="1:62" ht="15.6" x14ac:dyDescent="0.3">
      <c r="A25" s="5" t="s">
        <v>40</v>
      </c>
      <c r="B25" s="5" t="s">
        <v>41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21"/>
    </row>
    <row r="26" spans="1:62" ht="15.6" x14ac:dyDescent="0.3">
      <c r="A26" s="5" t="s">
        <v>42</v>
      </c>
      <c r="B26" s="5" t="s">
        <v>43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21"/>
    </row>
    <row r="27" spans="1:62" ht="15.6" x14ac:dyDescent="0.3">
      <c r="A27" s="5" t="s">
        <v>44</v>
      </c>
      <c r="B27" s="5" t="s">
        <v>45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21"/>
    </row>
    <row r="28" spans="1:62" ht="15.6" x14ac:dyDescent="0.3">
      <c r="A28" s="5" t="s">
        <v>46</v>
      </c>
      <c r="B28" s="5" t="s">
        <v>47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21"/>
    </row>
    <row r="29" spans="1:62" ht="15.6" x14ac:dyDescent="0.3">
      <c r="A29" s="5" t="s">
        <v>48</v>
      </c>
      <c r="B29" s="5" t="s">
        <v>49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21"/>
    </row>
    <row r="30" spans="1:62" ht="15.6" x14ac:dyDescent="0.3">
      <c r="A30" s="5" t="s">
        <v>50</v>
      </c>
      <c r="B30" s="5" t="s">
        <v>51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21"/>
    </row>
    <row r="31" spans="1:62" ht="15.6" x14ac:dyDescent="0.3">
      <c r="A31" s="5" t="s">
        <v>52</v>
      </c>
      <c r="B31" s="5" t="s">
        <v>53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21"/>
    </row>
    <row r="32" spans="1:62" ht="15.6" x14ac:dyDescent="0.3">
      <c r="A32" s="5" t="s">
        <v>54</v>
      </c>
      <c r="B32" s="5" t="s">
        <v>55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21"/>
    </row>
    <row r="33" spans="1:62" ht="15.6" x14ac:dyDescent="0.3">
      <c r="A33" s="5" t="s">
        <v>56</v>
      </c>
      <c r="B33" s="5" t="s">
        <v>57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21"/>
    </row>
    <row r="34" spans="1:62" ht="15.6" x14ac:dyDescent="0.3">
      <c r="A34" s="5" t="s">
        <v>58</v>
      </c>
      <c r="B34" s="5" t="s">
        <v>59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21"/>
    </row>
    <row r="35" spans="1:62" ht="15.6" x14ac:dyDescent="0.3">
      <c r="A35" s="5" t="s">
        <v>60</v>
      </c>
      <c r="B35" s="5" t="s">
        <v>61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21"/>
    </row>
    <row r="36" spans="1:62" ht="15.6" x14ac:dyDescent="0.3">
      <c r="A36" s="5" t="s">
        <v>62</v>
      </c>
      <c r="B36" s="5" t="s">
        <v>63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21"/>
    </row>
    <row r="37" spans="1:62" ht="15.6" x14ac:dyDescent="0.3">
      <c r="A37" s="5" t="s">
        <v>64</v>
      </c>
      <c r="B37" s="5" t="s">
        <v>65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21"/>
    </row>
    <row r="38" spans="1:62" ht="15.6" x14ac:dyDescent="0.3">
      <c r="A38" s="5" t="s">
        <v>66</v>
      </c>
      <c r="B38" s="5" t="s">
        <v>67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21"/>
    </row>
    <row r="39" spans="1:62" ht="15.6" x14ac:dyDescent="0.3">
      <c r="A39" s="5" t="s">
        <v>68</v>
      </c>
      <c r="B39" s="5" t="s">
        <v>69</v>
      </c>
      <c r="C39" s="7">
        <v>6</v>
      </c>
      <c r="D39" s="7">
        <v>6</v>
      </c>
      <c r="E39" s="7">
        <v>6010.5690000000004</v>
      </c>
      <c r="F39" s="7">
        <v>886.89700000000005</v>
      </c>
      <c r="G39" s="7">
        <v>1353.223</v>
      </c>
      <c r="H39" s="7">
        <v>0</v>
      </c>
      <c r="I39" s="7">
        <v>124.137</v>
      </c>
      <c r="J39" s="7">
        <v>780.35</v>
      </c>
      <c r="K39" s="7">
        <v>2037.7049999999999</v>
      </c>
      <c r="L39" s="7">
        <v>2203.06</v>
      </c>
      <c r="M39" s="7">
        <v>2800.59</v>
      </c>
      <c r="N39" s="7">
        <v>0</v>
      </c>
      <c r="O39" s="7">
        <v>0</v>
      </c>
      <c r="P39" s="7">
        <v>0.113</v>
      </c>
      <c r="Q39" s="7">
        <v>0</v>
      </c>
      <c r="R39" s="7">
        <v>0</v>
      </c>
      <c r="S39" s="7">
        <v>396.8</v>
      </c>
      <c r="T39" s="7">
        <v>0</v>
      </c>
      <c r="U39" s="7">
        <v>1735.53</v>
      </c>
      <c r="V39" s="7">
        <v>227.06399999999999</v>
      </c>
      <c r="W39" s="7">
        <v>268.428</v>
      </c>
      <c r="X39" s="7">
        <v>0</v>
      </c>
      <c r="Y39" s="7">
        <v>986.53899999999999</v>
      </c>
      <c r="Z39" s="7">
        <v>0</v>
      </c>
      <c r="AA39" s="7">
        <v>1625.97</v>
      </c>
      <c r="AB39" s="7">
        <v>0</v>
      </c>
      <c r="AC39" s="7">
        <v>137.048</v>
      </c>
      <c r="AD39" s="7">
        <v>0</v>
      </c>
      <c r="AE39" s="7">
        <v>949.92499999999995</v>
      </c>
      <c r="AF39" s="7">
        <v>0</v>
      </c>
      <c r="AG39" s="7">
        <v>0</v>
      </c>
      <c r="AH39" s="7">
        <v>5257.5190000000002</v>
      </c>
      <c r="AI39" s="7">
        <v>0</v>
      </c>
      <c r="AJ39" s="7">
        <v>0</v>
      </c>
      <c r="AK39" s="7">
        <v>0</v>
      </c>
      <c r="AL39" s="7">
        <v>0</v>
      </c>
      <c r="AM39" s="7">
        <v>435.13299999999998</v>
      </c>
      <c r="AN39" s="7">
        <v>0</v>
      </c>
      <c r="AO39" s="7">
        <v>164.90899999999999</v>
      </c>
      <c r="AP39" s="7">
        <v>0</v>
      </c>
      <c r="AQ39" s="7">
        <v>0</v>
      </c>
      <c r="AR39" s="7">
        <v>0</v>
      </c>
      <c r="AS39" s="7">
        <v>3.375</v>
      </c>
      <c r="AT39" s="7">
        <v>0</v>
      </c>
      <c r="AU39" s="7">
        <v>93.412999999999997</v>
      </c>
      <c r="AV39" s="7">
        <v>0</v>
      </c>
      <c r="AW39" s="7">
        <v>0</v>
      </c>
      <c r="AX39" s="7">
        <v>0</v>
      </c>
      <c r="AY39" s="7">
        <v>178.45599999999999</v>
      </c>
      <c r="AZ39" s="7">
        <v>0</v>
      </c>
      <c r="BA39" s="7">
        <v>0</v>
      </c>
      <c r="BB39" s="7">
        <v>73.061999999999998</v>
      </c>
      <c r="BC39" s="7">
        <v>111.96299999999999</v>
      </c>
      <c r="BD39" s="7">
        <v>0</v>
      </c>
      <c r="BE39" s="7">
        <v>21.792999999999999</v>
      </c>
      <c r="BF39" s="7">
        <v>21.792999999999999</v>
      </c>
      <c r="BG39" s="7">
        <v>0</v>
      </c>
      <c r="BH39" s="7">
        <v>0</v>
      </c>
      <c r="BI39" s="7">
        <v>33.19</v>
      </c>
      <c r="BJ39" s="21"/>
    </row>
    <row r="40" spans="1:62" ht="15.6" x14ac:dyDescent="0.3">
      <c r="A40" s="5" t="s">
        <v>70</v>
      </c>
      <c r="B40" s="5" t="s">
        <v>71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21"/>
    </row>
    <row r="41" spans="1:62" ht="15.6" x14ac:dyDescent="0.3">
      <c r="A41" s="5" t="s">
        <v>72</v>
      </c>
      <c r="B41" s="5" t="s">
        <v>73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21"/>
    </row>
    <row r="42" spans="1:62" ht="15.6" x14ac:dyDescent="0.3">
      <c r="A42" s="5" t="s">
        <v>74</v>
      </c>
      <c r="B42" s="5" t="s">
        <v>75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21"/>
    </row>
    <row r="43" spans="1:62" ht="15.6" x14ac:dyDescent="0.3">
      <c r="A43" s="5" t="s">
        <v>76</v>
      </c>
      <c r="B43" s="5" t="s">
        <v>77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21"/>
    </row>
    <row r="44" spans="1:62" ht="15.6" x14ac:dyDescent="0.3">
      <c r="A44" s="5" t="s">
        <v>78</v>
      </c>
      <c r="B44" s="5" t="s">
        <v>79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21"/>
    </row>
    <row r="45" spans="1:62" ht="15.6" x14ac:dyDescent="0.3">
      <c r="A45" s="5" t="s">
        <v>80</v>
      </c>
      <c r="B45" s="5" t="s">
        <v>81</v>
      </c>
      <c r="C45" s="7">
        <v>6</v>
      </c>
      <c r="D45" s="7">
        <v>6</v>
      </c>
      <c r="E45" s="7">
        <v>1503.7329999999999</v>
      </c>
      <c r="F45" s="7">
        <v>221.88499999999999</v>
      </c>
      <c r="G45" s="7">
        <v>338.55099999999999</v>
      </c>
      <c r="H45" s="7">
        <v>0</v>
      </c>
      <c r="I45" s="7">
        <v>31.056999999999999</v>
      </c>
      <c r="J45" s="7">
        <v>195.22900000000001</v>
      </c>
      <c r="K45" s="7">
        <v>7922.2479999999996</v>
      </c>
      <c r="L45" s="7">
        <v>551.16499999999996</v>
      </c>
      <c r="M45" s="7">
        <v>700.65599999999995</v>
      </c>
      <c r="N45" s="7">
        <v>0</v>
      </c>
      <c r="O45" s="7">
        <v>0</v>
      </c>
      <c r="P45" s="7">
        <v>2.8000000000000001E-2</v>
      </c>
      <c r="Q45" s="7">
        <v>0</v>
      </c>
      <c r="R45" s="7">
        <v>0</v>
      </c>
      <c r="S45" s="7">
        <v>99.272000000000006</v>
      </c>
      <c r="T45" s="7">
        <v>0</v>
      </c>
      <c r="U45" s="7">
        <v>6747.442</v>
      </c>
      <c r="V45" s="7">
        <v>56.807000000000002</v>
      </c>
      <c r="W45" s="7">
        <v>67.156000000000006</v>
      </c>
      <c r="X45" s="7">
        <v>0</v>
      </c>
      <c r="Y45" s="7">
        <v>246.81399999999999</v>
      </c>
      <c r="Z45" s="7">
        <v>0</v>
      </c>
      <c r="AA45" s="7">
        <v>406.78699999999998</v>
      </c>
      <c r="AB45" s="7">
        <v>0</v>
      </c>
      <c r="AC45" s="7">
        <v>34.286999999999999</v>
      </c>
      <c r="AD45" s="7">
        <v>0</v>
      </c>
      <c r="AE45" s="7">
        <v>237.654</v>
      </c>
      <c r="AF45" s="7">
        <v>0</v>
      </c>
      <c r="AG45" s="7">
        <v>0</v>
      </c>
      <c r="AH45" s="7">
        <v>1350.1479999999999</v>
      </c>
      <c r="AI45" s="7">
        <v>0</v>
      </c>
      <c r="AJ45" s="7">
        <v>0</v>
      </c>
      <c r="AK45" s="7">
        <v>0</v>
      </c>
      <c r="AL45" s="7">
        <v>0</v>
      </c>
      <c r="AM45" s="7">
        <v>1691.722</v>
      </c>
      <c r="AN45" s="7">
        <v>0</v>
      </c>
      <c r="AO45" s="7">
        <v>41.256999999999998</v>
      </c>
      <c r="AP45" s="7">
        <v>0</v>
      </c>
      <c r="AQ45" s="7">
        <v>0</v>
      </c>
      <c r="AR45" s="7">
        <v>0</v>
      </c>
      <c r="AS45" s="7">
        <v>0.84399999999999997</v>
      </c>
      <c r="AT45" s="7">
        <v>0</v>
      </c>
      <c r="AU45" s="7">
        <v>27.617000000000001</v>
      </c>
      <c r="AV45" s="7">
        <v>0</v>
      </c>
      <c r="AW45" s="7">
        <v>0</v>
      </c>
      <c r="AX45" s="7">
        <v>0</v>
      </c>
      <c r="AY45" s="7">
        <v>44.646000000000001</v>
      </c>
      <c r="AZ45" s="7">
        <v>0</v>
      </c>
      <c r="BA45" s="7">
        <v>0</v>
      </c>
      <c r="BB45" s="7">
        <v>18.279</v>
      </c>
      <c r="BC45" s="7">
        <v>28.010999999999999</v>
      </c>
      <c r="BD45" s="7">
        <v>0</v>
      </c>
      <c r="BE45" s="7">
        <v>5.452</v>
      </c>
      <c r="BF45" s="7">
        <v>5.452</v>
      </c>
      <c r="BG45" s="7">
        <v>0</v>
      </c>
      <c r="BH45" s="7">
        <v>0</v>
      </c>
      <c r="BI45" s="7">
        <v>8.3040000000000003</v>
      </c>
      <c r="BJ45" s="21"/>
    </row>
    <row r="46" spans="1:62" ht="15.6" x14ac:dyDescent="0.3">
      <c r="A46" s="5" t="s">
        <v>82</v>
      </c>
      <c r="B46" s="5" t="s">
        <v>83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21"/>
    </row>
    <row r="47" spans="1:62" ht="15.6" x14ac:dyDescent="0.3">
      <c r="A47" s="5" t="s">
        <v>84</v>
      </c>
      <c r="B47" s="5" t="s">
        <v>85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21"/>
    </row>
    <row r="48" spans="1:62" ht="15.6" x14ac:dyDescent="0.3">
      <c r="A48" s="5" t="s">
        <v>86</v>
      </c>
      <c r="B48" s="5" t="s">
        <v>87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21"/>
    </row>
    <row r="49" spans="1:62" ht="15.6" x14ac:dyDescent="0.3">
      <c r="A49" s="5" t="s">
        <v>88</v>
      </c>
      <c r="B49" s="5" t="s">
        <v>89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21"/>
    </row>
    <row r="50" spans="1:62" ht="15.6" x14ac:dyDescent="0.3">
      <c r="A50" s="5" t="s">
        <v>90</v>
      </c>
      <c r="B50" s="5" t="s">
        <v>91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21"/>
    </row>
    <row r="51" spans="1:62" ht="15.6" x14ac:dyDescent="0.3">
      <c r="A51" s="5" t="s">
        <v>92</v>
      </c>
      <c r="B51" s="5" t="s">
        <v>93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21"/>
    </row>
    <row r="52" spans="1:62" ht="15.6" x14ac:dyDescent="0.3">
      <c r="A52" s="5" t="s">
        <v>94</v>
      </c>
      <c r="B52" s="5" t="s">
        <v>95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21"/>
    </row>
    <row r="53" spans="1:62" ht="15.6" x14ac:dyDescent="0.3">
      <c r="A53" s="5" t="s">
        <v>96</v>
      </c>
      <c r="B53" s="5" t="s">
        <v>97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21"/>
    </row>
    <row r="54" spans="1:62" ht="15.6" x14ac:dyDescent="0.3">
      <c r="A54" s="5" t="s">
        <v>98</v>
      </c>
      <c r="B54" s="5" t="s">
        <v>99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21"/>
    </row>
    <row r="55" spans="1:62" ht="15.6" x14ac:dyDescent="0.3">
      <c r="A55" s="5" t="s">
        <v>100</v>
      </c>
      <c r="B55" s="5" t="s">
        <v>101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21"/>
    </row>
    <row r="56" spans="1:62" ht="15.6" x14ac:dyDescent="0.3">
      <c r="A56" s="5" t="s">
        <v>102</v>
      </c>
      <c r="B56" s="5" t="s">
        <v>103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21"/>
    </row>
    <row r="57" spans="1:62" ht="15.6" x14ac:dyDescent="0.3">
      <c r="A57" s="5" t="s">
        <v>104</v>
      </c>
      <c r="B57" s="5" t="s">
        <v>105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21"/>
    </row>
    <row r="58" spans="1:62" ht="15.6" x14ac:dyDescent="0.3">
      <c r="A58" s="5" t="s">
        <v>106</v>
      </c>
      <c r="B58" s="5" t="s">
        <v>107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21"/>
    </row>
    <row r="59" spans="1:62" ht="15.6" x14ac:dyDescent="0.3">
      <c r="A59" s="5" t="s">
        <v>108</v>
      </c>
      <c r="B59" s="5" t="s">
        <v>109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21"/>
    </row>
    <row r="60" spans="1:62" ht="15.6" x14ac:dyDescent="0.3">
      <c r="A60" s="5" t="s">
        <v>110</v>
      </c>
      <c r="B60" s="5" t="s">
        <v>111</v>
      </c>
      <c r="C60" s="7">
        <v>3</v>
      </c>
      <c r="D60" s="7">
        <v>3</v>
      </c>
      <c r="E60" s="7">
        <v>998934.52300000004</v>
      </c>
      <c r="F60" s="7">
        <v>103884.682</v>
      </c>
      <c r="G60" s="7">
        <v>223150.61199999999</v>
      </c>
      <c r="H60" s="7">
        <v>0</v>
      </c>
      <c r="I60" s="7">
        <v>19490.378000000001</v>
      </c>
      <c r="J60" s="7">
        <v>153702.46599999999</v>
      </c>
      <c r="K60" s="7">
        <v>0</v>
      </c>
      <c r="L60" s="7">
        <v>413518.48700000002</v>
      </c>
      <c r="M60" s="7">
        <v>467358.84100000001</v>
      </c>
      <c r="N60" s="7">
        <v>0</v>
      </c>
      <c r="O60" s="7">
        <v>0</v>
      </c>
      <c r="P60" s="7">
        <v>30.448</v>
      </c>
      <c r="Q60" s="7">
        <v>1894.2149999999999</v>
      </c>
      <c r="R60" s="7">
        <v>4904.6909999999998</v>
      </c>
      <c r="S60" s="7">
        <v>41524.421000000002</v>
      </c>
      <c r="T60" s="7">
        <v>0</v>
      </c>
      <c r="U60" s="7">
        <v>0</v>
      </c>
      <c r="V60" s="7">
        <v>30215.401000000002</v>
      </c>
      <c r="W60" s="7">
        <v>51701.716</v>
      </c>
      <c r="X60" s="7">
        <v>0</v>
      </c>
      <c r="Y60" s="7">
        <v>213090.06099999999</v>
      </c>
      <c r="Z60" s="7">
        <v>0</v>
      </c>
      <c r="AA60" s="7">
        <v>230306.807</v>
      </c>
      <c r="AB60" s="7">
        <v>0</v>
      </c>
      <c r="AC60" s="7">
        <v>18285.222000000002</v>
      </c>
      <c r="AD60" s="7">
        <v>187.93700000000001</v>
      </c>
      <c r="AE60" s="7">
        <v>582638.17200000002</v>
      </c>
      <c r="AF60" s="7">
        <v>0</v>
      </c>
      <c r="AG60" s="7">
        <v>4.7649999999999997</v>
      </c>
      <c r="AH60" s="7">
        <v>1188713.73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22722.112000000001</v>
      </c>
      <c r="AP60" s="7">
        <v>0</v>
      </c>
      <c r="AQ60" s="7">
        <v>0</v>
      </c>
      <c r="AR60" s="7">
        <v>0</v>
      </c>
      <c r="AS60" s="7">
        <v>259.95800000000003</v>
      </c>
      <c r="AT60" s="7">
        <v>0</v>
      </c>
      <c r="AU60" s="7">
        <v>9538.2420000000002</v>
      </c>
      <c r="AV60" s="7">
        <v>0</v>
      </c>
      <c r="AW60" s="7">
        <v>0</v>
      </c>
      <c r="AX60" s="7">
        <v>0</v>
      </c>
      <c r="AY60" s="7">
        <v>24272.803</v>
      </c>
      <c r="AZ60" s="7">
        <v>0</v>
      </c>
      <c r="BA60" s="7">
        <v>0</v>
      </c>
      <c r="BB60" s="7">
        <v>10284.741</v>
      </c>
      <c r="BC60" s="7">
        <v>15413.611000000001</v>
      </c>
      <c r="BD60" s="7">
        <v>0</v>
      </c>
      <c r="BE60" s="7">
        <v>3109.8539999999998</v>
      </c>
      <c r="BF60" s="7">
        <v>3109.8539999999998</v>
      </c>
      <c r="BG60" s="7">
        <v>0</v>
      </c>
      <c r="BH60" s="7">
        <v>0</v>
      </c>
      <c r="BI60" s="7">
        <v>4575.4520000000002</v>
      </c>
      <c r="BJ60" s="21"/>
    </row>
    <row r="61" spans="1:62" ht="15.6" x14ac:dyDescent="0.3">
      <c r="A61" s="5" t="s">
        <v>112</v>
      </c>
      <c r="B61" s="5" t="s">
        <v>113</v>
      </c>
      <c r="C61" s="7">
        <v>3</v>
      </c>
      <c r="D61" s="7">
        <v>3</v>
      </c>
      <c r="E61" s="7">
        <v>5170.6469999999999</v>
      </c>
      <c r="F61" s="7">
        <v>750.53300000000002</v>
      </c>
      <c r="G61" s="7">
        <v>1163.6220000000001</v>
      </c>
      <c r="H61" s="7">
        <v>0</v>
      </c>
      <c r="I61" s="7">
        <v>106.464</v>
      </c>
      <c r="J61" s="7">
        <v>678.16099999999994</v>
      </c>
      <c r="K61" s="7">
        <v>0</v>
      </c>
      <c r="L61" s="7">
        <v>1908.7339999999999</v>
      </c>
      <c r="M61" s="7">
        <v>2409.7800000000002</v>
      </c>
      <c r="N61" s="7">
        <v>0</v>
      </c>
      <c r="O61" s="7">
        <v>0</v>
      </c>
      <c r="P61" s="7">
        <v>0.10100000000000001</v>
      </c>
      <c r="Q61" s="7">
        <v>90.069000000000003</v>
      </c>
      <c r="R61" s="7">
        <v>233.214</v>
      </c>
      <c r="S61" s="7">
        <v>334.375</v>
      </c>
      <c r="T61" s="7">
        <v>0</v>
      </c>
      <c r="U61" s="7">
        <v>0</v>
      </c>
      <c r="V61" s="7">
        <v>193.185</v>
      </c>
      <c r="W61" s="7">
        <v>232.941</v>
      </c>
      <c r="X61" s="7">
        <v>0</v>
      </c>
      <c r="Y61" s="7">
        <v>862.71199999999999</v>
      </c>
      <c r="Z61" s="7">
        <v>0</v>
      </c>
      <c r="AA61" s="7">
        <v>1387.3520000000001</v>
      </c>
      <c r="AB61" s="7">
        <v>0</v>
      </c>
      <c r="AC61" s="7">
        <v>116.61499999999999</v>
      </c>
      <c r="AD61" s="7">
        <v>0</v>
      </c>
      <c r="AE61" s="7">
        <v>938.505</v>
      </c>
      <c r="AF61" s="7">
        <v>0</v>
      </c>
      <c r="AG61" s="7">
        <v>0</v>
      </c>
      <c r="AH61" s="7">
        <v>4605.0039999999999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140.52500000000001</v>
      </c>
      <c r="AP61" s="7">
        <v>0</v>
      </c>
      <c r="AQ61" s="7">
        <v>0</v>
      </c>
      <c r="AR61" s="7">
        <v>0</v>
      </c>
      <c r="AS61" s="7">
        <v>2.8180000000000001</v>
      </c>
      <c r="AT61" s="7">
        <v>0</v>
      </c>
      <c r="AU61" s="7">
        <v>77.599000000000004</v>
      </c>
      <c r="AV61" s="7">
        <v>0</v>
      </c>
      <c r="AW61" s="7">
        <v>0</v>
      </c>
      <c r="AX61" s="7">
        <v>0</v>
      </c>
      <c r="AY61" s="7">
        <v>151.97900000000001</v>
      </c>
      <c r="AZ61" s="7">
        <v>0</v>
      </c>
      <c r="BA61" s="7">
        <v>0</v>
      </c>
      <c r="BB61" s="7">
        <v>62.322000000000003</v>
      </c>
      <c r="BC61" s="7">
        <v>95.405000000000001</v>
      </c>
      <c r="BD61" s="7">
        <v>0</v>
      </c>
      <c r="BE61" s="7">
        <v>18.602</v>
      </c>
      <c r="BF61" s="7">
        <v>18.602</v>
      </c>
      <c r="BG61" s="7">
        <v>0</v>
      </c>
      <c r="BH61" s="7">
        <v>0</v>
      </c>
      <c r="BI61" s="7">
        <v>28.283000000000001</v>
      </c>
      <c r="BJ61" s="21"/>
    </row>
    <row r="62" spans="1:62" ht="15.6" x14ac:dyDescent="0.3">
      <c r="A62" s="5" t="s">
        <v>114</v>
      </c>
      <c r="B62" s="5" t="s">
        <v>115</v>
      </c>
      <c r="C62" s="7">
        <v>3</v>
      </c>
      <c r="D62" s="7">
        <v>3</v>
      </c>
      <c r="E62" s="7">
        <v>230131.54699999999</v>
      </c>
      <c r="F62" s="7">
        <v>29464.723999999998</v>
      </c>
      <c r="G62" s="7">
        <v>51631.264999999999</v>
      </c>
      <c r="H62" s="7">
        <v>0</v>
      </c>
      <c r="I62" s="7">
        <v>4635.1689999999999</v>
      </c>
      <c r="J62" s="7">
        <v>32356.916000000001</v>
      </c>
      <c r="K62" s="7">
        <v>13225.755999999999</v>
      </c>
      <c r="L62" s="7">
        <v>89241.868000000002</v>
      </c>
      <c r="M62" s="7">
        <v>107425.776</v>
      </c>
      <c r="N62" s="7">
        <v>0</v>
      </c>
      <c r="O62" s="7">
        <v>0</v>
      </c>
      <c r="P62" s="7">
        <v>5.54</v>
      </c>
      <c r="Q62" s="7">
        <v>641.68299999999999</v>
      </c>
      <c r="R62" s="7">
        <v>1661.5060000000001</v>
      </c>
      <c r="S62" s="7">
        <v>12671.129000000001</v>
      </c>
      <c r="T62" s="7">
        <v>0</v>
      </c>
      <c r="U62" s="7">
        <v>11264.483</v>
      </c>
      <c r="V62" s="7">
        <v>7917.1890000000003</v>
      </c>
      <c r="W62" s="7">
        <v>11009.511</v>
      </c>
      <c r="X62" s="7">
        <v>0</v>
      </c>
      <c r="Y62" s="7">
        <v>42844.934000000001</v>
      </c>
      <c r="Z62" s="7">
        <v>0</v>
      </c>
      <c r="AA62" s="7">
        <v>58132.946000000004</v>
      </c>
      <c r="AB62" s="7">
        <v>0</v>
      </c>
      <c r="AC62" s="7">
        <v>4783.5209999999997</v>
      </c>
      <c r="AD62" s="7">
        <v>0</v>
      </c>
      <c r="AE62" s="7">
        <v>80225.213000000003</v>
      </c>
      <c r="AF62" s="7">
        <v>0</v>
      </c>
      <c r="AG62" s="7">
        <v>0</v>
      </c>
      <c r="AH62" s="7">
        <v>233674.03700000001</v>
      </c>
      <c r="AI62" s="7">
        <v>0</v>
      </c>
      <c r="AJ62" s="7">
        <v>0</v>
      </c>
      <c r="AK62" s="7">
        <v>0</v>
      </c>
      <c r="AL62" s="7">
        <v>0</v>
      </c>
      <c r="AM62" s="7">
        <v>2824.2350000000001</v>
      </c>
      <c r="AN62" s="7">
        <v>0</v>
      </c>
      <c r="AO62" s="7">
        <v>5830.2910000000002</v>
      </c>
      <c r="AP62" s="7">
        <v>0</v>
      </c>
      <c r="AQ62" s="7">
        <v>0</v>
      </c>
      <c r="AR62" s="7">
        <v>0</v>
      </c>
      <c r="AS62" s="7">
        <v>98.158000000000001</v>
      </c>
      <c r="AT62" s="7">
        <v>0</v>
      </c>
      <c r="AU62" s="7">
        <v>3010.8359999999998</v>
      </c>
      <c r="AV62" s="7">
        <v>0</v>
      </c>
      <c r="AW62" s="7">
        <v>0</v>
      </c>
      <c r="AX62" s="7">
        <v>0</v>
      </c>
      <c r="AY62" s="7">
        <v>6276.625</v>
      </c>
      <c r="AZ62" s="7">
        <v>0</v>
      </c>
      <c r="BA62" s="7">
        <v>0</v>
      </c>
      <c r="BB62" s="7">
        <v>2605.5630000000001</v>
      </c>
      <c r="BC62" s="7">
        <v>3957.0369999999998</v>
      </c>
      <c r="BD62" s="7">
        <v>0</v>
      </c>
      <c r="BE62" s="7">
        <v>781.54</v>
      </c>
      <c r="BF62" s="7">
        <v>781.54</v>
      </c>
      <c r="BG62" s="7">
        <v>0</v>
      </c>
      <c r="BH62" s="7">
        <v>0</v>
      </c>
      <c r="BI62" s="7">
        <v>1173.6579999999999</v>
      </c>
      <c r="BJ62" s="21"/>
    </row>
    <row r="63" spans="1:62" ht="15.6" x14ac:dyDescent="0.3">
      <c r="A63" s="5" t="s">
        <v>116</v>
      </c>
      <c r="B63" s="5" t="s">
        <v>117</v>
      </c>
      <c r="C63" s="7">
        <v>3</v>
      </c>
      <c r="D63" s="7">
        <v>3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21"/>
    </row>
    <row r="64" spans="1:62" ht="15.6" x14ac:dyDescent="0.3">
      <c r="A64" s="5" t="s">
        <v>118</v>
      </c>
      <c r="B64" s="5" t="s">
        <v>119</v>
      </c>
      <c r="C64" s="7">
        <v>3</v>
      </c>
      <c r="D64" s="7">
        <v>3</v>
      </c>
      <c r="E64" s="7">
        <v>183976.75099999999</v>
      </c>
      <c r="F64" s="7">
        <v>27168.84</v>
      </c>
      <c r="G64" s="7">
        <v>41667.686000000002</v>
      </c>
      <c r="H64" s="7">
        <v>3204.3870000000002</v>
      </c>
      <c r="I64" s="7">
        <v>3770.8490000000002</v>
      </c>
      <c r="J64" s="7">
        <v>24185.715</v>
      </c>
      <c r="K64" s="7">
        <v>0</v>
      </c>
      <c r="L64" s="7">
        <v>70319.206999999995</v>
      </c>
      <c r="M64" s="7">
        <v>86052.672999999995</v>
      </c>
      <c r="N64" s="7">
        <v>0</v>
      </c>
      <c r="O64" s="7">
        <v>0</v>
      </c>
      <c r="P64" s="7">
        <v>3.4350000000000001</v>
      </c>
      <c r="Q64" s="7">
        <v>475.452</v>
      </c>
      <c r="R64" s="7">
        <v>1231.097</v>
      </c>
      <c r="S64" s="7">
        <v>12053.35</v>
      </c>
      <c r="T64" s="7">
        <v>0</v>
      </c>
      <c r="U64" s="7">
        <v>0</v>
      </c>
      <c r="V64" s="7">
        <v>6897.3869999999997</v>
      </c>
      <c r="W64" s="7">
        <v>8153.8680000000004</v>
      </c>
      <c r="X64" s="7">
        <v>0</v>
      </c>
      <c r="Y64" s="7">
        <v>30102.457999999999</v>
      </c>
      <c r="Z64" s="7">
        <v>0</v>
      </c>
      <c r="AA64" s="7">
        <v>49478.807000000001</v>
      </c>
      <c r="AB64" s="7">
        <v>0</v>
      </c>
      <c r="AC64" s="7">
        <v>4163.0150000000003</v>
      </c>
      <c r="AD64" s="7">
        <v>0</v>
      </c>
      <c r="AE64" s="7">
        <v>29686.100999999999</v>
      </c>
      <c r="AF64" s="7">
        <v>0</v>
      </c>
      <c r="AG64" s="7">
        <v>0</v>
      </c>
      <c r="AH64" s="7">
        <v>162276.783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5009.3609999999999</v>
      </c>
      <c r="AP64" s="7">
        <v>0</v>
      </c>
      <c r="AQ64" s="7">
        <v>0</v>
      </c>
      <c r="AR64" s="7">
        <v>0</v>
      </c>
      <c r="AS64" s="7">
        <v>102.54</v>
      </c>
      <c r="AT64" s="7">
        <v>0</v>
      </c>
      <c r="AU64" s="7">
        <v>2831.623</v>
      </c>
      <c r="AV64" s="7">
        <v>0</v>
      </c>
      <c r="AW64" s="7">
        <v>0</v>
      </c>
      <c r="AX64" s="7">
        <v>0</v>
      </c>
      <c r="AY64" s="7">
        <v>5420.8590000000004</v>
      </c>
      <c r="AZ64" s="7">
        <v>0</v>
      </c>
      <c r="BA64" s="7">
        <v>0</v>
      </c>
      <c r="BB64" s="7">
        <v>2219.3580000000002</v>
      </c>
      <c r="BC64" s="7">
        <v>3401.04</v>
      </c>
      <c r="BD64" s="7">
        <v>0</v>
      </c>
      <c r="BE64" s="7">
        <v>661.995</v>
      </c>
      <c r="BF64" s="7">
        <v>661.995</v>
      </c>
      <c r="BG64" s="7">
        <v>0</v>
      </c>
      <c r="BH64" s="7">
        <v>0</v>
      </c>
      <c r="BI64" s="7">
        <v>1008.197</v>
      </c>
      <c r="BJ64" s="21"/>
    </row>
    <row r="65" spans="1:62" ht="15.6" x14ac:dyDescent="0.3">
      <c r="A65" s="5" t="s">
        <v>120</v>
      </c>
      <c r="B65" s="5" t="s">
        <v>121</v>
      </c>
      <c r="C65" s="7">
        <v>3</v>
      </c>
      <c r="D65" s="7">
        <v>3</v>
      </c>
      <c r="E65" s="7">
        <v>5341.3440000000001</v>
      </c>
      <c r="F65" s="7">
        <v>788.15</v>
      </c>
      <c r="G65" s="7">
        <v>1202.5530000000001</v>
      </c>
      <c r="H65" s="7">
        <v>0</v>
      </c>
      <c r="I65" s="7">
        <v>110.316</v>
      </c>
      <c r="J65" s="7">
        <v>693.46500000000003</v>
      </c>
      <c r="K65" s="7">
        <v>0</v>
      </c>
      <c r="L65" s="7">
        <v>1957.768</v>
      </c>
      <c r="M65" s="7">
        <v>2488.7689999999998</v>
      </c>
      <c r="N65" s="7">
        <v>0</v>
      </c>
      <c r="O65" s="7">
        <v>0</v>
      </c>
      <c r="P65" s="7">
        <v>0.10100000000000001</v>
      </c>
      <c r="Q65" s="7">
        <v>29.597999999999999</v>
      </c>
      <c r="R65" s="7">
        <v>76.637</v>
      </c>
      <c r="S65" s="7">
        <v>352.62</v>
      </c>
      <c r="T65" s="7">
        <v>0</v>
      </c>
      <c r="U65" s="7">
        <v>0</v>
      </c>
      <c r="V65" s="7">
        <v>201.78200000000001</v>
      </c>
      <c r="W65" s="7">
        <v>238.54</v>
      </c>
      <c r="X65" s="7">
        <v>0</v>
      </c>
      <c r="Y65" s="7">
        <v>876.697</v>
      </c>
      <c r="Z65" s="7">
        <v>0</v>
      </c>
      <c r="AA65" s="7">
        <v>1444.933</v>
      </c>
      <c r="AB65" s="7">
        <v>0</v>
      </c>
      <c r="AC65" s="7">
        <v>121.788</v>
      </c>
      <c r="AD65" s="7">
        <v>0</v>
      </c>
      <c r="AE65" s="7">
        <v>844.15800000000002</v>
      </c>
      <c r="AF65" s="7">
        <v>0</v>
      </c>
      <c r="AG65" s="7">
        <v>0</v>
      </c>
      <c r="AH65" s="7">
        <v>4663.6360000000004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146.548</v>
      </c>
      <c r="AP65" s="7">
        <v>0</v>
      </c>
      <c r="AQ65" s="7">
        <v>0</v>
      </c>
      <c r="AR65" s="7">
        <v>0</v>
      </c>
      <c r="AS65" s="7">
        <v>3.0009999999999999</v>
      </c>
      <c r="AT65" s="7">
        <v>0</v>
      </c>
      <c r="AU65" s="7">
        <v>90.456999999999994</v>
      </c>
      <c r="AV65" s="7">
        <v>0</v>
      </c>
      <c r="AW65" s="7">
        <v>0</v>
      </c>
      <c r="AX65" s="7">
        <v>0</v>
      </c>
      <c r="AY65" s="7">
        <v>158.58699999999999</v>
      </c>
      <c r="AZ65" s="7">
        <v>0</v>
      </c>
      <c r="BA65" s="7">
        <v>0</v>
      </c>
      <c r="BB65" s="7">
        <v>64.927000000000007</v>
      </c>
      <c r="BC65" s="7">
        <v>99.497</v>
      </c>
      <c r="BD65" s="7">
        <v>0</v>
      </c>
      <c r="BE65" s="7">
        <v>19.366</v>
      </c>
      <c r="BF65" s="7">
        <v>19.366</v>
      </c>
      <c r="BG65" s="7">
        <v>0</v>
      </c>
      <c r="BH65" s="7">
        <v>0</v>
      </c>
      <c r="BI65" s="7">
        <v>29.495000000000001</v>
      </c>
      <c r="BJ65" s="21"/>
    </row>
    <row r="66" spans="1:62" ht="15.6" x14ac:dyDescent="0.3">
      <c r="A66" s="5" t="s">
        <v>122</v>
      </c>
      <c r="B66" s="5" t="s">
        <v>123</v>
      </c>
      <c r="C66" s="7">
        <v>3</v>
      </c>
      <c r="D66" s="7">
        <v>3</v>
      </c>
      <c r="E66" s="7">
        <v>185373.397</v>
      </c>
      <c r="F66" s="7">
        <v>27365.678</v>
      </c>
      <c r="G66" s="7">
        <v>41694.803</v>
      </c>
      <c r="H66" s="7">
        <v>0</v>
      </c>
      <c r="I66" s="7">
        <v>3825.616</v>
      </c>
      <c r="J66" s="7">
        <v>24043.728999999999</v>
      </c>
      <c r="K66" s="7">
        <v>777.72299999999996</v>
      </c>
      <c r="L66" s="7">
        <v>68330.554000000004</v>
      </c>
      <c r="M66" s="7">
        <v>86311.089000000007</v>
      </c>
      <c r="N66" s="7">
        <v>0</v>
      </c>
      <c r="O66" s="7">
        <v>0</v>
      </c>
      <c r="P66" s="7">
        <v>3.4969999999999999</v>
      </c>
      <c r="Q66" s="7">
        <v>827.27099999999996</v>
      </c>
      <c r="R66" s="7">
        <v>2142.06</v>
      </c>
      <c r="S66" s="7">
        <v>12238.745999999999</v>
      </c>
      <c r="T66" s="7">
        <v>0</v>
      </c>
      <c r="U66" s="7">
        <v>662.39200000000005</v>
      </c>
      <c r="V66" s="7">
        <v>6996.1689999999999</v>
      </c>
      <c r="W66" s="7">
        <v>8275.1360000000004</v>
      </c>
      <c r="X66" s="7">
        <v>0</v>
      </c>
      <c r="Y66" s="7">
        <v>30487.037</v>
      </c>
      <c r="Z66" s="7">
        <v>0</v>
      </c>
      <c r="AA66" s="7">
        <v>50112.438000000002</v>
      </c>
      <c r="AB66" s="7">
        <v>0</v>
      </c>
      <c r="AC66" s="7">
        <v>4230.7969999999996</v>
      </c>
      <c r="AD66" s="7">
        <v>0</v>
      </c>
      <c r="AE66" s="7">
        <v>29513.609</v>
      </c>
      <c r="AF66" s="7">
        <v>266.745</v>
      </c>
      <c r="AG66" s="7">
        <v>0</v>
      </c>
      <c r="AH66" s="7">
        <v>162409.644</v>
      </c>
      <c r="AI66" s="7">
        <v>420.89600000000002</v>
      </c>
      <c r="AJ66" s="7">
        <v>0</v>
      </c>
      <c r="AK66" s="7">
        <v>0</v>
      </c>
      <c r="AL66" s="7">
        <v>0</v>
      </c>
      <c r="AM66" s="7">
        <v>166.07499999999999</v>
      </c>
      <c r="AN66" s="7">
        <v>0</v>
      </c>
      <c r="AO66" s="7">
        <v>5090.0169999999998</v>
      </c>
      <c r="AP66" s="7">
        <v>0</v>
      </c>
      <c r="AQ66" s="7">
        <v>105.018</v>
      </c>
      <c r="AR66" s="7">
        <v>0</v>
      </c>
      <c r="AS66" s="7">
        <v>104.11799999999999</v>
      </c>
      <c r="AT66" s="7">
        <v>0</v>
      </c>
      <c r="AU66" s="7">
        <v>2893.2040000000002</v>
      </c>
      <c r="AV66" s="7">
        <v>0</v>
      </c>
      <c r="AW66" s="7">
        <v>0</v>
      </c>
      <c r="AX66" s="7">
        <v>0</v>
      </c>
      <c r="AY66" s="7">
        <v>5503.0919999999996</v>
      </c>
      <c r="AZ66" s="7">
        <v>179.404</v>
      </c>
      <c r="BA66" s="7">
        <v>0</v>
      </c>
      <c r="BB66" s="7">
        <v>2254.9580000000001</v>
      </c>
      <c r="BC66" s="7">
        <v>3449.7550000000001</v>
      </c>
      <c r="BD66" s="7">
        <v>226.14500000000001</v>
      </c>
      <c r="BE66" s="7">
        <v>672.58399999999995</v>
      </c>
      <c r="BF66" s="7">
        <v>672.58399999999995</v>
      </c>
      <c r="BG66" s="7">
        <v>77.474000000000004</v>
      </c>
      <c r="BH66" s="7">
        <v>0</v>
      </c>
      <c r="BI66" s="7">
        <v>1022.636</v>
      </c>
      <c r="BJ66" s="21"/>
    </row>
    <row r="67" spans="1:62" ht="15.6" x14ac:dyDescent="0.3">
      <c r="A67" s="5" t="s">
        <v>124</v>
      </c>
      <c r="B67" s="5" t="s">
        <v>125</v>
      </c>
      <c r="C67" s="7">
        <v>3</v>
      </c>
      <c r="D67" s="7">
        <v>3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21"/>
    </row>
    <row r="68" spans="1:62" ht="15.6" x14ac:dyDescent="0.3">
      <c r="A68" s="5" t="s">
        <v>126</v>
      </c>
      <c r="B68" s="5" t="s">
        <v>127</v>
      </c>
      <c r="C68" s="7">
        <v>3</v>
      </c>
      <c r="D68" s="7">
        <v>3</v>
      </c>
      <c r="E68" s="7">
        <v>66717.255000000005</v>
      </c>
      <c r="F68" s="7">
        <v>9844.5519999999997</v>
      </c>
      <c r="G68" s="7">
        <v>15020.761</v>
      </c>
      <c r="H68" s="7">
        <v>20867.219000000001</v>
      </c>
      <c r="I68" s="7">
        <v>1377.925</v>
      </c>
      <c r="J68" s="7">
        <v>8661.8739999999998</v>
      </c>
      <c r="K68" s="7">
        <v>0</v>
      </c>
      <c r="L68" s="7">
        <v>24453.94</v>
      </c>
      <c r="M68" s="7">
        <v>31086.524000000001</v>
      </c>
      <c r="N68" s="7">
        <v>0</v>
      </c>
      <c r="O68" s="7">
        <v>0</v>
      </c>
      <c r="P68" s="7">
        <v>1.2549999999999999</v>
      </c>
      <c r="Q68" s="7">
        <v>36.526000000000003</v>
      </c>
      <c r="R68" s="7">
        <v>94.578000000000003</v>
      </c>
      <c r="S68" s="7">
        <v>4404.4690000000001</v>
      </c>
      <c r="T68" s="7">
        <v>0</v>
      </c>
      <c r="U68" s="7">
        <v>0</v>
      </c>
      <c r="V68" s="7">
        <v>2520.4059999999999</v>
      </c>
      <c r="W68" s="7">
        <v>2979.5459999999998</v>
      </c>
      <c r="X68" s="7">
        <v>0</v>
      </c>
      <c r="Y68" s="7">
        <v>10950.578</v>
      </c>
      <c r="Z68" s="7">
        <v>0</v>
      </c>
      <c r="AA68" s="7">
        <v>18048.246999999999</v>
      </c>
      <c r="AB68" s="7">
        <v>0</v>
      </c>
      <c r="AC68" s="7">
        <v>1521.2280000000001</v>
      </c>
      <c r="AD68" s="7">
        <v>0</v>
      </c>
      <c r="AE68" s="7">
        <v>10544.156000000001</v>
      </c>
      <c r="AF68" s="7">
        <v>0</v>
      </c>
      <c r="AG68" s="7">
        <v>0</v>
      </c>
      <c r="AH68" s="7">
        <v>58252.184000000001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1830.49</v>
      </c>
      <c r="AP68" s="7">
        <v>0</v>
      </c>
      <c r="AQ68" s="7">
        <v>0</v>
      </c>
      <c r="AR68" s="7">
        <v>0</v>
      </c>
      <c r="AS68" s="7">
        <v>37.468000000000004</v>
      </c>
      <c r="AT68" s="7">
        <v>0</v>
      </c>
      <c r="AU68" s="7">
        <v>1023.905</v>
      </c>
      <c r="AV68" s="7">
        <v>0</v>
      </c>
      <c r="AW68" s="7">
        <v>0</v>
      </c>
      <c r="AX68" s="7">
        <v>0</v>
      </c>
      <c r="AY68" s="7">
        <v>1980.865</v>
      </c>
      <c r="AZ68" s="7">
        <v>0</v>
      </c>
      <c r="BA68" s="7">
        <v>0</v>
      </c>
      <c r="BB68" s="7">
        <v>810.98599999999999</v>
      </c>
      <c r="BC68" s="7">
        <v>1242.7909999999999</v>
      </c>
      <c r="BD68" s="7">
        <v>0</v>
      </c>
      <c r="BE68" s="7">
        <v>241.90299999999999</v>
      </c>
      <c r="BF68" s="7">
        <v>241.90299999999999</v>
      </c>
      <c r="BG68" s="7">
        <v>0</v>
      </c>
      <c r="BH68" s="7">
        <v>0</v>
      </c>
      <c r="BI68" s="7">
        <v>368.40800000000002</v>
      </c>
      <c r="BJ68" s="21"/>
    </row>
    <row r="69" spans="1:62" ht="15.6" x14ac:dyDescent="0.3">
      <c r="A69" s="5" t="s">
        <v>128</v>
      </c>
      <c r="B69" s="5" t="s">
        <v>129</v>
      </c>
      <c r="C69" s="7">
        <v>3</v>
      </c>
      <c r="D69" s="7">
        <v>3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21"/>
    </row>
    <row r="70" spans="1:62" ht="15.6" x14ac:dyDescent="0.3">
      <c r="A70" s="5" t="s">
        <v>130</v>
      </c>
      <c r="B70" s="5" t="s">
        <v>131</v>
      </c>
      <c r="C70" s="7">
        <v>3</v>
      </c>
      <c r="D70" s="7">
        <v>3</v>
      </c>
      <c r="E70" s="7">
        <v>123089.876</v>
      </c>
      <c r="F70" s="7">
        <v>16041.16</v>
      </c>
      <c r="G70" s="7">
        <v>27627.201000000001</v>
      </c>
      <c r="H70" s="7">
        <v>28065.397000000001</v>
      </c>
      <c r="I70" s="7">
        <v>2486.576</v>
      </c>
      <c r="J70" s="7">
        <v>17151.363000000001</v>
      </c>
      <c r="K70" s="7">
        <v>11587.763000000001</v>
      </c>
      <c r="L70" s="7">
        <v>47426.146000000001</v>
      </c>
      <c r="M70" s="7">
        <v>57446.19</v>
      </c>
      <c r="N70" s="7">
        <v>0</v>
      </c>
      <c r="O70" s="7">
        <v>0</v>
      </c>
      <c r="P70" s="7">
        <v>2.8860000000000001</v>
      </c>
      <c r="Q70" s="7">
        <v>81.111000000000004</v>
      </c>
      <c r="R70" s="7">
        <v>210.01900000000001</v>
      </c>
      <c r="S70" s="7">
        <v>6935.3270000000002</v>
      </c>
      <c r="T70" s="7">
        <v>0</v>
      </c>
      <c r="U70" s="7">
        <v>9869.3909999999996</v>
      </c>
      <c r="V70" s="7">
        <v>4283.299</v>
      </c>
      <c r="W70" s="7">
        <v>5842.77</v>
      </c>
      <c r="X70" s="7">
        <v>0</v>
      </c>
      <c r="Y70" s="7">
        <v>22598.597000000002</v>
      </c>
      <c r="Z70" s="7">
        <v>0</v>
      </c>
      <c r="AA70" s="7">
        <v>31351.632000000001</v>
      </c>
      <c r="AB70" s="7">
        <v>0</v>
      </c>
      <c r="AC70" s="7">
        <v>2587.6039999999998</v>
      </c>
      <c r="AD70" s="7">
        <v>0</v>
      </c>
      <c r="AE70" s="7">
        <v>40162.607000000004</v>
      </c>
      <c r="AF70" s="7">
        <v>8.9969999999999999</v>
      </c>
      <c r="AG70" s="7">
        <v>0</v>
      </c>
      <c r="AH70" s="7">
        <v>122958.663</v>
      </c>
      <c r="AI70" s="7">
        <v>31.225000000000001</v>
      </c>
      <c r="AJ70" s="7">
        <v>0</v>
      </c>
      <c r="AK70" s="7">
        <v>0</v>
      </c>
      <c r="AL70" s="7">
        <v>0</v>
      </c>
      <c r="AM70" s="7">
        <v>2474.4569999999999</v>
      </c>
      <c r="AN70" s="7">
        <v>0</v>
      </c>
      <c r="AO70" s="7">
        <v>3148.7370000000001</v>
      </c>
      <c r="AP70" s="7">
        <v>0</v>
      </c>
      <c r="AQ70" s="7">
        <v>0</v>
      </c>
      <c r="AR70" s="7">
        <v>0</v>
      </c>
      <c r="AS70" s="7">
        <v>54.448999999999998</v>
      </c>
      <c r="AT70" s="7">
        <v>0</v>
      </c>
      <c r="AU70" s="7">
        <v>1596.412</v>
      </c>
      <c r="AV70" s="7">
        <v>0</v>
      </c>
      <c r="AW70" s="7">
        <v>0</v>
      </c>
      <c r="AX70" s="7">
        <v>0</v>
      </c>
      <c r="AY70" s="7">
        <v>3391.9969999999998</v>
      </c>
      <c r="AZ70" s="7">
        <v>0</v>
      </c>
      <c r="BA70" s="7">
        <v>0</v>
      </c>
      <c r="BB70" s="7">
        <v>1405.644</v>
      </c>
      <c r="BC70" s="7">
        <v>2137.1509999999998</v>
      </c>
      <c r="BD70" s="7">
        <v>0</v>
      </c>
      <c r="BE70" s="7">
        <v>421.33300000000003</v>
      </c>
      <c r="BF70" s="7">
        <v>421.33300000000003</v>
      </c>
      <c r="BG70" s="7">
        <v>0</v>
      </c>
      <c r="BH70" s="7">
        <v>0</v>
      </c>
      <c r="BI70" s="7">
        <v>633.83799999999997</v>
      </c>
      <c r="BJ70" s="21"/>
    </row>
    <row r="71" spans="1:62" ht="15.6" x14ac:dyDescent="0.3">
      <c r="A71" s="5" t="s">
        <v>132</v>
      </c>
      <c r="B71" s="5" t="s">
        <v>133</v>
      </c>
      <c r="C71" s="7">
        <v>3</v>
      </c>
      <c r="D71" s="7">
        <v>3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21"/>
    </row>
    <row r="72" spans="1:62" ht="15.6" x14ac:dyDescent="0.3">
      <c r="A72" s="5" t="s">
        <v>134</v>
      </c>
      <c r="B72" s="5" t="s">
        <v>135</v>
      </c>
      <c r="C72" s="7">
        <v>6</v>
      </c>
      <c r="D72" s="7">
        <v>6</v>
      </c>
      <c r="E72" s="7">
        <v>71341.476999999999</v>
      </c>
      <c r="F72" s="7">
        <v>6568.9040000000005</v>
      </c>
      <c r="G72" s="7">
        <v>16021.646000000001</v>
      </c>
      <c r="H72" s="7">
        <v>1791.0340000000001</v>
      </c>
      <c r="I72" s="7">
        <v>1316.3820000000001</v>
      </c>
      <c r="J72" s="7">
        <v>11986.814</v>
      </c>
      <c r="K72" s="7">
        <v>0</v>
      </c>
      <c r="L72" s="7">
        <v>33387.233999999997</v>
      </c>
      <c r="M72" s="7">
        <v>32973.362999999998</v>
      </c>
      <c r="N72" s="7">
        <v>0</v>
      </c>
      <c r="O72" s="7">
        <v>0</v>
      </c>
      <c r="P72" s="7">
        <v>30.7</v>
      </c>
      <c r="Q72" s="7">
        <v>0</v>
      </c>
      <c r="R72" s="7">
        <v>125.7</v>
      </c>
      <c r="S72" s="7">
        <v>2057.4340000000002</v>
      </c>
      <c r="T72" s="7">
        <v>0</v>
      </c>
      <c r="U72" s="7">
        <v>0</v>
      </c>
      <c r="V72" s="7">
        <v>1780.384</v>
      </c>
      <c r="W72" s="7">
        <v>3537.7910000000002</v>
      </c>
      <c r="X72" s="7">
        <v>0</v>
      </c>
      <c r="Y72" s="7">
        <v>16002.880999999999</v>
      </c>
      <c r="Z72" s="7">
        <v>0</v>
      </c>
      <c r="AA72" s="7">
        <v>13937.39</v>
      </c>
      <c r="AB72" s="7">
        <v>0</v>
      </c>
      <c r="AC72" s="7">
        <v>1142.0060000000001</v>
      </c>
      <c r="AD72" s="7">
        <v>0</v>
      </c>
      <c r="AE72" s="7">
        <v>55541.063999999998</v>
      </c>
      <c r="AF72" s="7">
        <v>0</v>
      </c>
      <c r="AG72" s="7">
        <v>0</v>
      </c>
      <c r="AH72" s="7">
        <v>99312.778000000006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1287.096</v>
      </c>
      <c r="AP72" s="7">
        <v>0</v>
      </c>
      <c r="AQ72" s="7">
        <v>0</v>
      </c>
      <c r="AR72" s="7">
        <v>0</v>
      </c>
      <c r="AS72" s="7">
        <v>10.128</v>
      </c>
      <c r="AT72" s="7">
        <v>0</v>
      </c>
      <c r="AU72" s="7">
        <v>441.80700000000002</v>
      </c>
      <c r="AV72" s="7">
        <v>0</v>
      </c>
      <c r="AW72" s="7">
        <v>0</v>
      </c>
      <c r="AX72" s="7">
        <v>0</v>
      </c>
      <c r="AY72" s="7">
        <v>1367.856</v>
      </c>
      <c r="AZ72" s="7">
        <v>0</v>
      </c>
      <c r="BA72" s="7">
        <v>0</v>
      </c>
      <c r="BB72" s="7">
        <v>587.46400000000006</v>
      </c>
      <c r="BC72" s="7">
        <v>872.80799999999999</v>
      </c>
      <c r="BD72" s="7">
        <v>0</v>
      </c>
      <c r="BE72" s="7">
        <v>178.56</v>
      </c>
      <c r="BF72" s="7">
        <v>178.56</v>
      </c>
      <c r="BG72" s="7">
        <v>0</v>
      </c>
      <c r="BH72" s="7">
        <v>0</v>
      </c>
      <c r="BI72" s="7">
        <v>259.23</v>
      </c>
      <c r="BJ72" s="21"/>
    </row>
    <row r="73" spans="1:62" ht="15.6" x14ac:dyDescent="0.3">
      <c r="A73" s="5" t="s">
        <v>136</v>
      </c>
      <c r="B73" s="5" t="s">
        <v>137</v>
      </c>
      <c r="C73" s="7">
        <v>6</v>
      </c>
      <c r="D73" s="7">
        <v>6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21"/>
    </row>
    <row r="74" spans="1:62" ht="15.6" x14ac:dyDescent="0.3">
      <c r="A74" s="5" t="s">
        <v>138</v>
      </c>
      <c r="B74" s="5" t="s">
        <v>139</v>
      </c>
      <c r="C74" s="7">
        <v>6</v>
      </c>
      <c r="D74" s="7">
        <v>6</v>
      </c>
      <c r="E74" s="7">
        <v>9791.4419999999991</v>
      </c>
      <c r="F74" s="7">
        <v>1708.0920000000001</v>
      </c>
      <c r="G74" s="7">
        <v>1323.8109999999999</v>
      </c>
      <c r="H74" s="7">
        <v>0</v>
      </c>
      <c r="I74" s="7">
        <v>140.273</v>
      </c>
      <c r="J74" s="7">
        <v>1321.9590000000001</v>
      </c>
      <c r="K74" s="7">
        <v>0</v>
      </c>
      <c r="L74" s="7">
        <v>15427.717000000001</v>
      </c>
      <c r="M74" s="7">
        <v>3829.2449999999999</v>
      </c>
      <c r="N74" s="7">
        <v>0</v>
      </c>
      <c r="O74" s="7">
        <v>0</v>
      </c>
      <c r="P74" s="7">
        <v>7.3010000000000002</v>
      </c>
      <c r="Q74" s="7">
        <v>0</v>
      </c>
      <c r="R74" s="7">
        <v>217.08500000000001</v>
      </c>
      <c r="S74" s="7">
        <v>320.55099999999999</v>
      </c>
      <c r="T74" s="7">
        <v>0</v>
      </c>
      <c r="U74" s="7">
        <v>0</v>
      </c>
      <c r="V74" s="7">
        <v>206.797</v>
      </c>
      <c r="W74" s="7">
        <v>287.149</v>
      </c>
      <c r="X74" s="7">
        <v>0</v>
      </c>
      <c r="Y74" s="7">
        <v>1351.479</v>
      </c>
      <c r="Z74" s="7">
        <v>0</v>
      </c>
      <c r="AA74" s="7">
        <v>1502.5830000000001</v>
      </c>
      <c r="AB74" s="7">
        <v>0</v>
      </c>
      <c r="AC74" s="7">
        <v>140.82900000000001</v>
      </c>
      <c r="AD74" s="7">
        <v>0</v>
      </c>
      <c r="AE74" s="7">
        <v>3972.6080000000002</v>
      </c>
      <c r="AF74" s="7">
        <v>0</v>
      </c>
      <c r="AG74" s="7">
        <v>0</v>
      </c>
      <c r="AH74" s="7">
        <v>16246.458000000001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133.22</v>
      </c>
      <c r="AP74" s="7">
        <v>0</v>
      </c>
      <c r="AQ74" s="7">
        <v>0</v>
      </c>
      <c r="AR74" s="7">
        <v>0</v>
      </c>
      <c r="AS74" s="7">
        <v>2.726</v>
      </c>
      <c r="AT74" s="7">
        <v>0</v>
      </c>
      <c r="AU74" s="7">
        <v>74.516999999999996</v>
      </c>
      <c r="AV74" s="7">
        <v>0</v>
      </c>
      <c r="AW74" s="7">
        <v>0</v>
      </c>
      <c r="AX74" s="7">
        <v>0</v>
      </c>
      <c r="AY74" s="7">
        <v>144.16399999999999</v>
      </c>
      <c r="AZ74" s="7">
        <v>0</v>
      </c>
      <c r="BA74" s="7">
        <v>0</v>
      </c>
      <c r="BB74" s="7">
        <v>59.023000000000003</v>
      </c>
      <c r="BC74" s="7">
        <v>90.448999999999998</v>
      </c>
      <c r="BD74" s="7">
        <v>0</v>
      </c>
      <c r="BE74" s="7">
        <v>17.605</v>
      </c>
      <c r="BF74" s="7">
        <v>17.605</v>
      </c>
      <c r="BG74" s="7">
        <v>0</v>
      </c>
      <c r="BH74" s="7">
        <v>0</v>
      </c>
      <c r="BI74" s="7">
        <v>26.812000000000001</v>
      </c>
      <c r="BJ74" s="21"/>
    </row>
    <row r="75" spans="1:62" ht="15.6" x14ac:dyDescent="0.3">
      <c r="A75" s="5" t="s">
        <v>140</v>
      </c>
      <c r="B75" s="5" t="s">
        <v>141</v>
      </c>
      <c r="C75" s="7">
        <v>6</v>
      </c>
      <c r="D75" s="7">
        <v>6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21"/>
    </row>
    <row r="76" spans="1:62" ht="15.6" x14ac:dyDescent="0.3">
      <c r="A76" s="5" t="s">
        <v>142</v>
      </c>
      <c r="B76" s="5" t="s">
        <v>143</v>
      </c>
      <c r="C76" s="7">
        <v>6</v>
      </c>
      <c r="D76" s="7">
        <v>6</v>
      </c>
      <c r="E76" s="7">
        <v>8820.4500000000007</v>
      </c>
      <c r="F76" s="7">
        <v>1169.923</v>
      </c>
      <c r="G76" s="7">
        <v>1761.4380000000001</v>
      </c>
      <c r="H76" s="7">
        <v>5352.1549999999997</v>
      </c>
      <c r="I76" s="7">
        <v>183.583</v>
      </c>
      <c r="J76" s="7">
        <v>1024.0350000000001</v>
      </c>
      <c r="K76" s="7">
        <v>0</v>
      </c>
      <c r="L76" s="7">
        <v>3998.28</v>
      </c>
      <c r="M76" s="7">
        <v>3814.779</v>
      </c>
      <c r="N76" s="7">
        <v>0</v>
      </c>
      <c r="O76" s="7">
        <v>0</v>
      </c>
      <c r="P76" s="7">
        <v>8.5459999999999994</v>
      </c>
      <c r="Q76" s="7">
        <v>0</v>
      </c>
      <c r="R76" s="7">
        <v>0</v>
      </c>
      <c r="S76" s="7">
        <v>437.51400000000001</v>
      </c>
      <c r="T76" s="7">
        <v>0</v>
      </c>
      <c r="U76" s="7">
        <v>0</v>
      </c>
      <c r="V76" s="7">
        <v>277.654</v>
      </c>
      <c r="W76" s="7">
        <v>378.08100000000002</v>
      </c>
      <c r="X76" s="7">
        <v>0</v>
      </c>
      <c r="Y76" s="7">
        <v>1735.4290000000001</v>
      </c>
      <c r="Z76" s="7">
        <v>0</v>
      </c>
      <c r="AA76" s="7">
        <v>2013.624</v>
      </c>
      <c r="AB76" s="7">
        <v>0</v>
      </c>
      <c r="AC76" s="7">
        <v>186.28399999999999</v>
      </c>
      <c r="AD76" s="7">
        <v>0</v>
      </c>
      <c r="AE76" s="7">
        <v>3151.902</v>
      </c>
      <c r="AF76" s="7">
        <v>0</v>
      </c>
      <c r="AG76" s="7">
        <v>0</v>
      </c>
      <c r="AH76" s="7">
        <v>10388.534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181.83099999999999</v>
      </c>
      <c r="AP76" s="7">
        <v>0</v>
      </c>
      <c r="AQ76" s="7">
        <v>0</v>
      </c>
      <c r="AR76" s="7">
        <v>0</v>
      </c>
      <c r="AS76" s="7">
        <v>3.722</v>
      </c>
      <c r="AT76" s="7">
        <v>0</v>
      </c>
      <c r="AU76" s="7">
        <v>101.709</v>
      </c>
      <c r="AV76" s="7">
        <v>0</v>
      </c>
      <c r="AW76" s="7">
        <v>0</v>
      </c>
      <c r="AX76" s="7">
        <v>0</v>
      </c>
      <c r="AY76" s="7">
        <v>196.768</v>
      </c>
      <c r="AZ76" s="7">
        <v>0</v>
      </c>
      <c r="BA76" s="7">
        <v>0</v>
      </c>
      <c r="BB76" s="7">
        <v>80.558999999999997</v>
      </c>
      <c r="BC76" s="7">
        <v>123.452</v>
      </c>
      <c r="BD76" s="7">
        <v>0</v>
      </c>
      <c r="BE76" s="7">
        <v>24.029</v>
      </c>
      <c r="BF76" s="7">
        <v>24.029</v>
      </c>
      <c r="BG76" s="7">
        <v>0</v>
      </c>
      <c r="BH76" s="7">
        <v>0</v>
      </c>
      <c r="BI76" s="7">
        <v>36.595999999999997</v>
      </c>
      <c r="BJ76" s="21"/>
    </row>
    <row r="77" spans="1:62" ht="15.6" x14ac:dyDescent="0.3">
      <c r="A77" s="5" t="s">
        <v>144</v>
      </c>
      <c r="B77" s="5" t="s">
        <v>145</v>
      </c>
      <c r="C77" s="7">
        <v>6</v>
      </c>
      <c r="D77" s="7">
        <v>6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21"/>
    </row>
    <row r="78" spans="1:62" ht="15.6" x14ac:dyDescent="0.3">
      <c r="A78" s="5" t="s">
        <v>146</v>
      </c>
      <c r="B78" s="5" t="s">
        <v>147</v>
      </c>
      <c r="C78" s="7">
        <v>6</v>
      </c>
      <c r="D78" s="7">
        <v>6</v>
      </c>
      <c r="E78" s="7">
        <v>5910.9129999999996</v>
      </c>
      <c r="F78" s="7">
        <v>857.28899999999999</v>
      </c>
      <c r="G78" s="7">
        <v>1288.4749999999999</v>
      </c>
      <c r="H78" s="7">
        <v>0</v>
      </c>
      <c r="I78" s="7">
        <v>91.423000000000002</v>
      </c>
      <c r="J78" s="7">
        <v>921.92899999999997</v>
      </c>
      <c r="K78" s="7">
        <v>0</v>
      </c>
      <c r="L78" s="7">
        <v>7339.2139999999999</v>
      </c>
      <c r="M78" s="7">
        <v>2205.0160000000001</v>
      </c>
      <c r="N78" s="7">
        <v>0</v>
      </c>
      <c r="O78" s="7">
        <v>0</v>
      </c>
      <c r="P78" s="7">
        <v>9.4559999999999995</v>
      </c>
      <c r="Q78" s="7">
        <v>0</v>
      </c>
      <c r="R78" s="7">
        <v>93.218999999999994</v>
      </c>
      <c r="S78" s="7">
        <v>125.22199999999999</v>
      </c>
      <c r="T78" s="7">
        <v>0</v>
      </c>
      <c r="U78" s="7">
        <v>0</v>
      </c>
      <c r="V78" s="7">
        <v>102.18600000000001</v>
      </c>
      <c r="W78" s="7">
        <v>176.56</v>
      </c>
      <c r="X78" s="7">
        <v>0</v>
      </c>
      <c r="Y78" s="7">
        <v>1179.115</v>
      </c>
      <c r="Z78" s="7">
        <v>0</v>
      </c>
      <c r="AA78" s="7">
        <v>829.48900000000003</v>
      </c>
      <c r="AB78" s="7">
        <v>0</v>
      </c>
      <c r="AC78" s="7">
        <v>82.594999999999999</v>
      </c>
      <c r="AD78" s="7">
        <v>0</v>
      </c>
      <c r="AE78" s="7">
        <v>3571.9050000000002</v>
      </c>
      <c r="AF78" s="7">
        <v>0</v>
      </c>
      <c r="AG78" s="7">
        <v>0</v>
      </c>
      <c r="AH78" s="7">
        <v>10652.898999999999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52.042000000000002</v>
      </c>
      <c r="AP78" s="7">
        <v>0</v>
      </c>
      <c r="AQ78" s="7">
        <v>0</v>
      </c>
      <c r="AR78" s="7">
        <v>0</v>
      </c>
      <c r="AS78" s="7">
        <v>1.0649999999999999</v>
      </c>
      <c r="AT78" s="7">
        <v>0</v>
      </c>
      <c r="AU78" s="7">
        <v>29.11</v>
      </c>
      <c r="AV78" s="7">
        <v>0</v>
      </c>
      <c r="AW78" s="7">
        <v>0</v>
      </c>
      <c r="AX78" s="7">
        <v>0</v>
      </c>
      <c r="AY78" s="7">
        <v>56.317</v>
      </c>
      <c r="AZ78" s="7">
        <v>0</v>
      </c>
      <c r="BA78" s="7">
        <v>0</v>
      </c>
      <c r="BB78" s="7">
        <v>23.056999999999999</v>
      </c>
      <c r="BC78" s="7">
        <v>35.332999999999998</v>
      </c>
      <c r="BD78" s="7">
        <v>0</v>
      </c>
      <c r="BE78" s="7">
        <v>6.8769999999999998</v>
      </c>
      <c r="BF78" s="7">
        <v>6.8769999999999998</v>
      </c>
      <c r="BG78" s="7">
        <v>0</v>
      </c>
      <c r="BH78" s="7">
        <v>0</v>
      </c>
      <c r="BI78" s="7">
        <v>10.474</v>
      </c>
      <c r="BJ78" s="21"/>
    </row>
    <row r="79" spans="1:62" ht="15.6" x14ac:dyDescent="0.3">
      <c r="A79" s="5" t="s">
        <v>148</v>
      </c>
      <c r="B79" s="5" t="s">
        <v>149</v>
      </c>
      <c r="C79" s="7">
        <v>6</v>
      </c>
      <c r="D79" s="7">
        <v>6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21"/>
    </row>
    <row r="80" spans="1:62" ht="15.6" x14ac:dyDescent="0.3">
      <c r="A80" s="5" t="s">
        <v>150</v>
      </c>
      <c r="B80" s="5" t="s">
        <v>151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21"/>
    </row>
    <row r="81" spans="1:62" ht="15.6" x14ac:dyDescent="0.3">
      <c r="A81" s="5" t="s">
        <v>152</v>
      </c>
      <c r="B81" s="5" t="s">
        <v>153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21"/>
    </row>
    <row r="82" spans="1:62" ht="15.6" x14ac:dyDescent="0.3">
      <c r="A82" s="5" t="s">
        <v>154</v>
      </c>
      <c r="B82" s="5" t="s">
        <v>155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21"/>
    </row>
    <row r="83" spans="1:62" ht="15.6" x14ac:dyDescent="0.3">
      <c r="A83" s="5" t="s">
        <v>156</v>
      </c>
      <c r="B83" s="5" t="s">
        <v>157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21"/>
    </row>
    <row r="84" spans="1:62" ht="15.6" x14ac:dyDescent="0.3">
      <c r="A84" s="5" t="s">
        <v>158</v>
      </c>
      <c r="B84" s="5" t="s">
        <v>159</v>
      </c>
      <c r="C84" s="7">
        <v>6</v>
      </c>
      <c r="D84" s="7">
        <v>6</v>
      </c>
      <c r="E84" s="7">
        <v>17139.237000000001</v>
      </c>
      <c r="F84" s="7">
        <v>2917.087</v>
      </c>
      <c r="G84" s="7">
        <v>3415.357</v>
      </c>
      <c r="H84" s="7">
        <v>2107.098</v>
      </c>
      <c r="I84" s="7">
        <v>496.4</v>
      </c>
      <c r="J84" s="7">
        <v>2193.9299999999998</v>
      </c>
      <c r="K84" s="7">
        <v>0</v>
      </c>
      <c r="L84" s="7">
        <v>16192.003000000001</v>
      </c>
      <c r="M84" s="7">
        <v>7296.9340000000002</v>
      </c>
      <c r="N84" s="7">
        <v>0</v>
      </c>
      <c r="O84" s="7">
        <v>0</v>
      </c>
      <c r="P84" s="7">
        <v>66.728999999999999</v>
      </c>
      <c r="Q84" s="7">
        <v>0</v>
      </c>
      <c r="R84" s="7">
        <v>107.98099999999999</v>
      </c>
      <c r="S84" s="7">
        <v>897.21600000000001</v>
      </c>
      <c r="T84" s="7">
        <v>0</v>
      </c>
      <c r="U84" s="7">
        <v>0</v>
      </c>
      <c r="V84" s="7">
        <v>513.40499999999997</v>
      </c>
      <c r="W84" s="7">
        <v>606.89099999999996</v>
      </c>
      <c r="X84" s="7">
        <v>0</v>
      </c>
      <c r="Y84" s="7">
        <v>2230.462</v>
      </c>
      <c r="Z84" s="7">
        <v>0</v>
      </c>
      <c r="AA84" s="7">
        <v>3676.7269999999999</v>
      </c>
      <c r="AB84" s="7">
        <v>0</v>
      </c>
      <c r="AC84" s="7">
        <v>309.90300000000002</v>
      </c>
      <c r="AD84" s="7">
        <v>0</v>
      </c>
      <c r="AE84" s="7">
        <v>3033.2049999999999</v>
      </c>
      <c r="AF84" s="7">
        <v>6.0000000000000001E-3</v>
      </c>
      <c r="AG84" s="7">
        <v>0</v>
      </c>
      <c r="AH84" s="7">
        <v>22914.36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372.97199999999998</v>
      </c>
      <c r="AP84" s="7">
        <v>0</v>
      </c>
      <c r="AQ84" s="7">
        <v>1E-3</v>
      </c>
      <c r="AR84" s="7">
        <v>0</v>
      </c>
      <c r="AS84" s="7">
        <v>7.6319999999999997</v>
      </c>
      <c r="AT84" s="7">
        <v>0</v>
      </c>
      <c r="AU84" s="7">
        <v>208.54400000000001</v>
      </c>
      <c r="AV84" s="7">
        <v>0</v>
      </c>
      <c r="AW84" s="7">
        <v>0</v>
      </c>
      <c r="AX84" s="7">
        <v>0</v>
      </c>
      <c r="AY84" s="7">
        <v>403.44600000000003</v>
      </c>
      <c r="AZ84" s="7">
        <v>0</v>
      </c>
      <c r="BA84" s="7">
        <v>0</v>
      </c>
      <c r="BB84" s="7">
        <v>165.24100000000001</v>
      </c>
      <c r="BC84" s="7">
        <v>253.12100000000001</v>
      </c>
      <c r="BD84" s="7">
        <v>0</v>
      </c>
      <c r="BE84" s="7">
        <v>49.289000000000001</v>
      </c>
      <c r="BF84" s="7">
        <v>49.289000000000001</v>
      </c>
      <c r="BG84" s="7">
        <v>0</v>
      </c>
      <c r="BH84" s="7">
        <v>0</v>
      </c>
      <c r="BI84" s="7">
        <v>75.034999999999997</v>
      </c>
      <c r="BJ84" s="21"/>
    </row>
    <row r="85" spans="1:62" ht="15.6" x14ac:dyDescent="0.3">
      <c r="A85" s="5" t="s">
        <v>160</v>
      </c>
      <c r="B85" s="5" t="s">
        <v>161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21"/>
    </row>
    <row r="86" spans="1:62" ht="15.6" x14ac:dyDescent="0.3">
      <c r="A86" s="5" t="s">
        <v>162</v>
      </c>
      <c r="B86" s="5" t="s">
        <v>163</v>
      </c>
      <c r="C86" s="7">
        <v>6</v>
      </c>
      <c r="D86" s="7">
        <v>6</v>
      </c>
      <c r="E86" s="7">
        <v>35633.832000000002</v>
      </c>
      <c r="F86" s="7">
        <v>5210.5389999999998</v>
      </c>
      <c r="G86" s="7">
        <v>7943.99</v>
      </c>
      <c r="H86" s="7">
        <v>2422.3829999999998</v>
      </c>
      <c r="I86" s="7">
        <v>734.53499999999997</v>
      </c>
      <c r="J86" s="7">
        <v>4583.165</v>
      </c>
      <c r="K86" s="7">
        <v>0</v>
      </c>
      <c r="L86" s="7">
        <v>13469.468000000001</v>
      </c>
      <c r="M86" s="7">
        <v>16496.099999999999</v>
      </c>
      <c r="N86" s="7">
        <v>0</v>
      </c>
      <c r="O86" s="7">
        <v>0</v>
      </c>
      <c r="P86" s="7">
        <v>2.8769999999999998</v>
      </c>
      <c r="Q86" s="7">
        <v>0</v>
      </c>
      <c r="R86" s="7">
        <v>0</v>
      </c>
      <c r="S86" s="7">
        <v>2308.5729999999999</v>
      </c>
      <c r="T86" s="7">
        <v>0</v>
      </c>
      <c r="U86" s="7">
        <v>0</v>
      </c>
      <c r="V86" s="7">
        <v>1328.2439999999999</v>
      </c>
      <c r="W86" s="7">
        <v>1583.337</v>
      </c>
      <c r="X86" s="7">
        <v>0</v>
      </c>
      <c r="Y86" s="7">
        <v>6019.01</v>
      </c>
      <c r="Z86" s="7">
        <v>0</v>
      </c>
      <c r="AA86" s="7">
        <v>9518.0380000000005</v>
      </c>
      <c r="AB86" s="7">
        <v>0</v>
      </c>
      <c r="AC86" s="7">
        <v>806.60799999999995</v>
      </c>
      <c r="AD86" s="7">
        <v>0</v>
      </c>
      <c r="AE86" s="7">
        <v>6298.1239999999998</v>
      </c>
      <c r="AF86" s="7">
        <v>0</v>
      </c>
      <c r="AG86" s="7">
        <v>0</v>
      </c>
      <c r="AH86" s="7">
        <v>32201.040000000001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959.44100000000003</v>
      </c>
      <c r="AP86" s="7">
        <v>0</v>
      </c>
      <c r="AQ86" s="7">
        <v>0</v>
      </c>
      <c r="AR86" s="7">
        <v>0</v>
      </c>
      <c r="AS86" s="7">
        <v>19.637</v>
      </c>
      <c r="AT86" s="7">
        <v>0</v>
      </c>
      <c r="AU86" s="7">
        <v>536.68399999999997</v>
      </c>
      <c r="AV86" s="7">
        <v>0</v>
      </c>
      <c r="AW86" s="7">
        <v>0</v>
      </c>
      <c r="AX86" s="7">
        <v>0</v>
      </c>
      <c r="AY86" s="7">
        <v>1038.2550000000001</v>
      </c>
      <c r="AZ86" s="7">
        <v>0</v>
      </c>
      <c r="BA86" s="7">
        <v>0</v>
      </c>
      <c r="BB86" s="7">
        <v>425.07299999999998</v>
      </c>
      <c r="BC86" s="7">
        <v>651.40200000000004</v>
      </c>
      <c r="BD86" s="7">
        <v>0</v>
      </c>
      <c r="BE86" s="7">
        <v>126.791</v>
      </c>
      <c r="BF86" s="7">
        <v>126.791</v>
      </c>
      <c r="BG86" s="7">
        <v>0</v>
      </c>
      <c r="BH86" s="7">
        <v>0</v>
      </c>
      <c r="BI86" s="7">
        <v>193.09800000000001</v>
      </c>
      <c r="BJ86" s="21"/>
    </row>
    <row r="87" spans="1:62" ht="15.6" x14ac:dyDescent="0.3">
      <c r="A87" s="5" t="s">
        <v>164</v>
      </c>
      <c r="B87" s="5" t="s">
        <v>165</v>
      </c>
      <c r="C87" s="7">
        <v>6</v>
      </c>
      <c r="D87" s="7">
        <v>6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21"/>
    </row>
    <row r="88" spans="1:62" ht="15.6" x14ac:dyDescent="0.3">
      <c r="A88" s="5" t="s">
        <v>166</v>
      </c>
      <c r="B88" s="5" t="s">
        <v>167</v>
      </c>
      <c r="C88" s="7">
        <v>3</v>
      </c>
      <c r="D88" s="7">
        <v>3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21"/>
    </row>
    <row r="89" spans="1:62" ht="15.6" x14ac:dyDescent="0.3">
      <c r="A89" s="5" t="s">
        <v>168</v>
      </c>
      <c r="B89" s="5" t="s">
        <v>169</v>
      </c>
      <c r="C89" s="7">
        <v>3</v>
      </c>
      <c r="D89" s="7">
        <v>3</v>
      </c>
      <c r="E89" s="7">
        <v>70603.736000000004</v>
      </c>
      <c r="F89" s="7">
        <v>9195.1710000000003</v>
      </c>
      <c r="G89" s="7">
        <v>16754.616000000002</v>
      </c>
      <c r="H89" s="7">
        <v>0</v>
      </c>
      <c r="I89" s="7">
        <v>1384.4390000000001</v>
      </c>
      <c r="J89" s="7">
        <v>10958.671</v>
      </c>
      <c r="K89" s="7">
        <v>0</v>
      </c>
      <c r="L89" s="7">
        <v>27213.040000000001</v>
      </c>
      <c r="M89" s="7">
        <v>33650.038999999997</v>
      </c>
      <c r="N89" s="7">
        <v>0</v>
      </c>
      <c r="O89" s="7">
        <v>0</v>
      </c>
      <c r="P89" s="7">
        <v>1.59</v>
      </c>
      <c r="Q89" s="7">
        <v>0</v>
      </c>
      <c r="R89" s="7">
        <v>126.04900000000001</v>
      </c>
      <c r="S89" s="7">
        <v>3888.0970000000002</v>
      </c>
      <c r="T89" s="7">
        <v>0</v>
      </c>
      <c r="U89" s="7">
        <v>0</v>
      </c>
      <c r="V89" s="7">
        <v>2391.7860000000001</v>
      </c>
      <c r="W89" s="7">
        <v>3240.739</v>
      </c>
      <c r="X89" s="7">
        <v>0</v>
      </c>
      <c r="Y89" s="7">
        <v>12507.144</v>
      </c>
      <c r="Z89" s="7">
        <v>0</v>
      </c>
      <c r="AA89" s="7">
        <v>17487.637999999999</v>
      </c>
      <c r="AB89" s="7">
        <v>0</v>
      </c>
      <c r="AC89" s="7">
        <v>1444.847</v>
      </c>
      <c r="AD89" s="7">
        <v>0</v>
      </c>
      <c r="AE89" s="7">
        <v>25731.37</v>
      </c>
      <c r="AF89" s="7">
        <v>0</v>
      </c>
      <c r="AG89" s="7">
        <v>0</v>
      </c>
      <c r="AH89" s="7">
        <v>72160.581000000006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1757.1859999999999</v>
      </c>
      <c r="AP89" s="7">
        <v>0</v>
      </c>
      <c r="AQ89" s="7">
        <v>0</v>
      </c>
      <c r="AR89" s="7">
        <v>0</v>
      </c>
      <c r="AS89" s="7">
        <v>30.661999999999999</v>
      </c>
      <c r="AT89" s="7">
        <v>0</v>
      </c>
      <c r="AU89" s="7">
        <v>891.93799999999999</v>
      </c>
      <c r="AV89" s="7">
        <v>0</v>
      </c>
      <c r="AW89" s="7">
        <v>0</v>
      </c>
      <c r="AX89" s="7">
        <v>0</v>
      </c>
      <c r="AY89" s="7">
        <v>1893.367</v>
      </c>
      <c r="AZ89" s="7">
        <v>0</v>
      </c>
      <c r="BA89" s="7">
        <v>0</v>
      </c>
      <c r="BB89" s="7">
        <v>784.14200000000005</v>
      </c>
      <c r="BC89" s="7">
        <v>1192.6790000000001</v>
      </c>
      <c r="BD89" s="7">
        <v>0</v>
      </c>
      <c r="BE89" s="7">
        <v>234.98400000000001</v>
      </c>
      <c r="BF89" s="7">
        <v>234.98400000000001</v>
      </c>
      <c r="BG89" s="7">
        <v>0</v>
      </c>
      <c r="BH89" s="7">
        <v>0</v>
      </c>
      <c r="BI89" s="7">
        <v>353.71600000000001</v>
      </c>
      <c r="BJ89" s="21"/>
    </row>
    <row r="90" spans="1:62" ht="15.6" x14ac:dyDescent="0.3">
      <c r="A90" s="5" t="s">
        <v>170</v>
      </c>
      <c r="B90" s="5" t="s">
        <v>171</v>
      </c>
      <c r="C90" s="7">
        <v>3</v>
      </c>
      <c r="D90" s="7">
        <v>3</v>
      </c>
      <c r="E90" s="7">
        <v>59134.307999999997</v>
      </c>
      <c r="F90" s="7">
        <v>8725.6380000000008</v>
      </c>
      <c r="G90" s="7">
        <v>13313.532999999999</v>
      </c>
      <c r="H90" s="7">
        <v>0</v>
      </c>
      <c r="I90" s="7">
        <v>1221.3119999999999</v>
      </c>
      <c r="J90" s="7">
        <v>7677.3819999999996</v>
      </c>
      <c r="K90" s="7">
        <v>0</v>
      </c>
      <c r="L90" s="7">
        <v>21674.555</v>
      </c>
      <c r="M90" s="7">
        <v>27553.291000000001</v>
      </c>
      <c r="N90" s="7">
        <v>0</v>
      </c>
      <c r="O90" s="7">
        <v>0</v>
      </c>
      <c r="P90" s="7">
        <v>1.115</v>
      </c>
      <c r="Q90" s="7">
        <v>0</v>
      </c>
      <c r="R90" s="7">
        <v>0</v>
      </c>
      <c r="S90" s="7">
        <v>3903.8679999999999</v>
      </c>
      <c r="T90" s="7">
        <v>0</v>
      </c>
      <c r="U90" s="7">
        <v>0</v>
      </c>
      <c r="V90" s="7">
        <v>2233.94</v>
      </c>
      <c r="W90" s="7">
        <v>2640.895</v>
      </c>
      <c r="X90" s="7">
        <v>0</v>
      </c>
      <c r="Y90" s="7">
        <v>9705.9560000000001</v>
      </c>
      <c r="Z90" s="7">
        <v>0</v>
      </c>
      <c r="AA90" s="7">
        <v>15996.919</v>
      </c>
      <c r="AB90" s="7">
        <v>0</v>
      </c>
      <c r="AC90" s="7">
        <v>1348.328</v>
      </c>
      <c r="AD90" s="7">
        <v>0</v>
      </c>
      <c r="AE90" s="7">
        <v>9345.73</v>
      </c>
      <c r="AF90" s="7">
        <v>0</v>
      </c>
      <c r="AG90" s="7">
        <v>0</v>
      </c>
      <c r="AH90" s="7">
        <v>51631.357000000004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1622.444</v>
      </c>
      <c r="AP90" s="7">
        <v>0</v>
      </c>
      <c r="AQ90" s="7">
        <v>0</v>
      </c>
      <c r="AR90" s="7">
        <v>0</v>
      </c>
      <c r="AS90" s="7">
        <v>33.207999999999998</v>
      </c>
      <c r="AT90" s="7">
        <v>0</v>
      </c>
      <c r="AU90" s="7">
        <v>907.53899999999999</v>
      </c>
      <c r="AV90" s="7">
        <v>0</v>
      </c>
      <c r="AW90" s="7">
        <v>0</v>
      </c>
      <c r="AX90" s="7">
        <v>0</v>
      </c>
      <c r="AY90" s="7">
        <v>1755.722</v>
      </c>
      <c r="AZ90" s="7">
        <v>0</v>
      </c>
      <c r="BA90" s="7">
        <v>0</v>
      </c>
      <c r="BB90" s="7">
        <v>718.81</v>
      </c>
      <c r="BC90" s="7">
        <v>1101.539</v>
      </c>
      <c r="BD90" s="7">
        <v>0</v>
      </c>
      <c r="BE90" s="7">
        <v>214.40700000000001</v>
      </c>
      <c r="BF90" s="7">
        <v>214.40700000000001</v>
      </c>
      <c r="BG90" s="7">
        <v>0</v>
      </c>
      <c r="BH90" s="7">
        <v>0</v>
      </c>
      <c r="BI90" s="7">
        <v>326.53699999999998</v>
      </c>
      <c r="BJ90" s="21"/>
    </row>
    <row r="91" spans="1:62" ht="15.6" x14ac:dyDescent="0.3">
      <c r="A91" s="5" t="s">
        <v>172</v>
      </c>
      <c r="B91" s="5" t="s">
        <v>173</v>
      </c>
      <c r="C91" s="7">
        <v>3</v>
      </c>
      <c r="D91" s="7">
        <v>3</v>
      </c>
      <c r="E91" s="7">
        <v>15441.538</v>
      </c>
      <c r="F91" s="7">
        <v>1688.9829999999999</v>
      </c>
      <c r="G91" s="7">
        <v>4697.3429999999998</v>
      </c>
      <c r="H91" s="7">
        <v>0</v>
      </c>
      <c r="I91" s="7">
        <v>29.425999999999998</v>
      </c>
      <c r="J91" s="7">
        <v>1327.75</v>
      </c>
      <c r="K91" s="7">
        <v>0</v>
      </c>
      <c r="L91" s="7">
        <v>17596.203000000001</v>
      </c>
      <c r="M91" s="7">
        <v>2919.2739999999999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697.23699999999997</v>
      </c>
      <c r="T91" s="7">
        <v>0</v>
      </c>
      <c r="U91" s="7">
        <v>0</v>
      </c>
      <c r="V91" s="7">
        <v>450.63400000000001</v>
      </c>
      <c r="W91" s="7">
        <v>145.81899999999999</v>
      </c>
      <c r="X91" s="7">
        <v>0</v>
      </c>
      <c r="Y91" s="7">
        <v>5189.51</v>
      </c>
      <c r="Z91" s="7">
        <v>0</v>
      </c>
      <c r="AA91" s="7">
        <v>2441.9960000000001</v>
      </c>
      <c r="AB91" s="7">
        <v>0</v>
      </c>
      <c r="AC91" s="7">
        <v>841.47</v>
      </c>
      <c r="AD91" s="7">
        <v>0</v>
      </c>
      <c r="AE91" s="7">
        <v>51368.565999999999</v>
      </c>
      <c r="AF91" s="7">
        <v>0</v>
      </c>
      <c r="AG91" s="7">
        <v>0</v>
      </c>
      <c r="AH91" s="7">
        <v>50899.25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882.39400000000001</v>
      </c>
      <c r="AP91" s="7">
        <v>0</v>
      </c>
      <c r="AQ91" s="7">
        <v>0</v>
      </c>
      <c r="AR91" s="7">
        <v>0</v>
      </c>
      <c r="AS91" s="7">
        <v>2.0150000000000001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385.25400000000002</v>
      </c>
      <c r="BC91" s="7">
        <v>0</v>
      </c>
      <c r="BD91" s="7">
        <v>0</v>
      </c>
      <c r="BE91" s="7">
        <v>114.181</v>
      </c>
      <c r="BF91" s="7">
        <v>114.181</v>
      </c>
      <c r="BG91" s="7">
        <v>0</v>
      </c>
      <c r="BH91" s="7">
        <v>0</v>
      </c>
      <c r="BI91" s="7">
        <v>0</v>
      </c>
      <c r="BJ91" s="21"/>
    </row>
    <row r="92" spans="1:62" ht="15.6" x14ac:dyDescent="0.3">
      <c r="A92" s="5" t="s">
        <v>174</v>
      </c>
      <c r="B92" s="5" t="s">
        <v>175</v>
      </c>
      <c r="C92" s="7">
        <v>3</v>
      </c>
      <c r="D92" s="7">
        <v>3</v>
      </c>
      <c r="E92" s="7">
        <v>82715.048999999999</v>
      </c>
      <c r="F92" s="7">
        <v>16460.406999999999</v>
      </c>
      <c r="G92" s="7">
        <v>20834.96</v>
      </c>
      <c r="H92" s="7">
        <v>0</v>
      </c>
      <c r="I92" s="7">
        <v>782.43299999999999</v>
      </c>
      <c r="J92" s="7">
        <v>11893.064</v>
      </c>
      <c r="K92" s="7">
        <v>0</v>
      </c>
      <c r="L92" s="7">
        <v>102746.11</v>
      </c>
      <c r="M92" s="7">
        <v>14999.535</v>
      </c>
      <c r="N92" s="7">
        <v>0</v>
      </c>
      <c r="O92" s="7">
        <v>0</v>
      </c>
      <c r="P92" s="7">
        <v>0.27300000000000002</v>
      </c>
      <c r="Q92" s="7">
        <v>0</v>
      </c>
      <c r="R92" s="7">
        <v>0</v>
      </c>
      <c r="S92" s="7">
        <v>6656.3720000000003</v>
      </c>
      <c r="T92" s="7">
        <v>0</v>
      </c>
      <c r="U92" s="7">
        <v>0</v>
      </c>
      <c r="V92" s="7">
        <v>3295.92</v>
      </c>
      <c r="W92" s="7">
        <v>829.72</v>
      </c>
      <c r="X92" s="7">
        <v>0</v>
      </c>
      <c r="Y92" s="7">
        <v>24922.530999999999</v>
      </c>
      <c r="Z92" s="7">
        <v>0</v>
      </c>
      <c r="AA92" s="7">
        <v>26795.174999999999</v>
      </c>
      <c r="AB92" s="7">
        <v>0</v>
      </c>
      <c r="AC92" s="7">
        <v>5109.7489999999998</v>
      </c>
      <c r="AD92" s="7">
        <v>0</v>
      </c>
      <c r="AE92" s="7">
        <v>228541.91099999999</v>
      </c>
      <c r="AF92" s="7">
        <v>6260.9989999999998</v>
      </c>
      <c r="AG92" s="7">
        <v>0</v>
      </c>
      <c r="AH92" s="7">
        <v>261917.71400000001</v>
      </c>
      <c r="AI92" s="7">
        <v>9647.76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7395.4719999999998</v>
      </c>
      <c r="AP92" s="7">
        <v>0</v>
      </c>
      <c r="AQ92" s="7">
        <v>2428.819</v>
      </c>
      <c r="AR92" s="7">
        <v>0</v>
      </c>
      <c r="AS92" s="7">
        <v>22.808</v>
      </c>
      <c r="AT92" s="7">
        <v>0</v>
      </c>
      <c r="AU92" s="7">
        <v>32.633000000000003</v>
      </c>
      <c r="AV92" s="7">
        <v>0</v>
      </c>
      <c r="AW92" s="7">
        <v>0</v>
      </c>
      <c r="AX92" s="7">
        <v>0</v>
      </c>
      <c r="AY92" s="7">
        <v>143.495</v>
      </c>
      <c r="AZ92" s="7">
        <v>4112.2510000000002</v>
      </c>
      <c r="BA92" s="7">
        <v>0</v>
      </c>
      <c r="BB92" s="7">
        <v>3219.0540000000001</v>
      </c>
      <c r="BC92" s="7">
        <v>24.568000000000001</v>
      </c>
      <c r="BD92" s="7">
        <v>5183.6379999999999</v>
      </c>
      <c r="BE92" s="7">
        <v>957.18299999999999</v>
      </c>
      <c r="BF92" s="7">
        <v>957.18299999999999</v>
      </c>
      <c r="BG92" s="7">
        <v>1775.8340000000001</v>
      </c>
      <c r="BH92" s="7">
        <v>0</v>
      </c>
      <c r="BI92" s="7">
        <v>7.3</v>
      </c>
      <c r="BJ92" s="21"/>
    </row>
    <row r="93" spans="1:62" ht="15.6" x14ac:dyDescent="0.3">
      <c r="A93" s="5" t="s">
        <v>176</v>
      </c>
      <c r="B93" s="5" t="s">
        <v>177</v>
      </c>
      <c r="C93" s="7">
        <v>3</v>
      </c>
      <c r="D93" s="7">
        <v>3</v>
      </c>
      <c r="E93" s="7">
        <v>62590.373</v>
      </c>
      <c r="F93" s="7">
        <v>30247.149000000001</v>
      </c>
      <c r="G93" s="7">
        <v>3347.2170000000001</v>
      </c>
      <c r="H93" s="7">
        <v>978.79</v>
      </c>
      <c r="I93" s="7">
        <v>2005.5160000000001</v>
      </c>
      <c r="J93" s="7">
        <v>18589.868999999999</v>
      </c>
      <c r="K93" s="7">
        <v>0</v>
      </c>
      <c r="L93" s="7">
        <v>109213.481</v>
      </c>
      <c r="M93" s="7">
        <v>11086.892</v>
      </c>
      <c r="N93" s="7">
        <v>0</v>
      </c>
      <c r="O93" s="7">
        <v>0</v>
      </c>
      <c r="P93" s="7">
        <v>1.139</v>
      </c>
      <c r="Q93" s="7">
        <v>0</v>
      </c>
      <c r="R93" s="7">
        <v>0</v>
      </c>
      <c r="S93" s="7">
        <v>11948.919</v>
      </c>
      <c r="T93" s="7">
        <v>0</v>
      </c>
      <c r="U93" s="7">
        <v>0</v>
      </c>
      <c r="V93" s="7">
        <v>4233.9369999999999</v>
      </c>
      <c r="W93" s="7">
        <v>822.08399999999995</v>
      </c>
      <c r="X93" s="7">
        <v>0</v>
      </c>
      <c r="Y93" s="7">
        <v>13693.545</v>
      </c>
      <c r="Z93" s="7">
        <v>0</v>
      </c>
      <c r="AA93" s="7">
        <v>50216.953999999998</v>
      </c>
      <c r="AB93" s="7">
        <v>0</v>
      </c>
      <c r="AC93" s="7">
        <v>5156.1589999999997</v>
      </c>
      <c r="AD93" s="7">
        <v>0</v>
      </c>
      <c r="AE93" s="7">
        <v>48205.447</v>
      </c>
      <c r="AF93" s="7">
        <v>32593.112000000001</v>
      </c>
      <c r="AG93" s="7">
        <v>0</v>
      </c>
      <c r="AH93" s="7">
        <v>178376.772</v>
      </c>
      <c r="AI93" s="7">
        <v>50740.574999999997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11481.165999999999</v>
      </c>
      <c r="AP93" s="7">
        <v>0</v>
      </c>
      <c r="AQ93" s="7">
        <v>12724.547</v>
      </c>
      <c r="AR93" s="7">
        <v>0</v>
      </c>
      <c r="AS93" s="7">
        <v>51.335999999999999</v>
      </c>
      <c r="AT93" s="7">
        <v>0</v>
      </c>
      <c r="AU93" s="7">
        <v>191.17699999999999</v>
      </c>
      <c r="AV93" s="7">
        <v>0</v>
      </c>
      <c r="AW93" s="7">
        <v>0</v>
      </c>
      <c r="AX93" s="7">
        <v>0</v>
      </c>
      <c r="AY93" s="7">
        <v>707.02099999999996</v>
      </c>
      <c r="AZ93" s="7">
        <v>21627.72</v>
      </c>
      <c r="BA93" s="7">
        <v>0</v>
      </c>
      <c r="BB93" s="7">
        <v>4978.0720000000001</v>
      </c>
      <c r="BC93" s="7">
        <v>96.688999999999993</v>
      </c>
      <c r="BD93" s="7">
        <v>27262.507000000001</v>
      </c>
      <c r="BE93" s="7">
        <v>1483.2170000000001</v>
      </c>
      <c r="BF93" s="7">
        <v>1483.2170000000001</v>
      </c>
      <c r="BG93" s="7">
        <v>9339.7109999999993</v>
      </c>
      <c r="BH93" s="7">
        <v>0</v>
      </c>
      <c r="BI93" s="7">
        <v>28.661999999999999</v>
      </c>
      <c r="BJ93" s="21"/>
    </row>
    <row r="94" spans="1:62" ht="15.6" x14ac:dyDescent="0.3">
      <c r="A94" s="5" t="s">
        <v>178</v>
      </c>
      <c r="B94" s="5" t="s">
        <v>179</v>
      </c>
      <c r="C94" s="7">
        <v>6</v>
      </c>
      <c r="D94" s="7">
        <v>6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21"/>
    </row>
    <row r="95" spans="1:62" ht="15.6" x14ac:dyDescent="0.3">
      <c r="A95" s="5" t="s">
        <v>180</v>
      </c>
      <c r="B95" s="5" t="s">
        <v>181</v>
      </c>
      <c r="C95" s="7">
        <v>6</v>
      </c>
      <c r="D95" s="7">
        <v>6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21"/>
    </row>
    <row r="96" spans="1:62" ht="15.6" x14ac:dyDescent="0.3">
      <c r="A96" s="5" t="s">
        <v>182</v>
      </c>
      <c r="B96" s="5" t="s">
        <v>183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21"/>
    </row>
    <row r="97" spans="1:62" ht="15.6" x14ac:dyDescent="0.3">
      <c r="A97" s="5" t="s">
        <v>184</v>
      </c>
      <c r="B97" s="5" t="s">
        <v>185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21"/>
    </row>
    <row r="98" spans="1:62" ht="15.6" x14ac:dyDescent="0.3">
      <c r="A98" s="5" t="s">
        <v>186</v>
      </c>
      <c r="B98" s="5" t="s">
        <v>187</v>
      </c>
      <c r="C98" s="7">
        <v>6</v>
      </c>
      <c r="D98" s="7">
        <v>6</v>
      </c>
      <c r="E98" s="7">
        <v>2506.8719999999998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748.32</v>
      </c>
      <c r="M98" s="7">
        <v>112.248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374.16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3217.7759999999998</v>
      </c>
      <c r="AF98" s="7">
        <v>0</v>
      </c>
      <c r="AG98" s="7">
        <v>0</v>
      </c>
      <c r="AH98" s="7">
        <v>5425.32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21"/>
    </row>
    <row r="99" spans="1:62" ht="15.6" x14ac:dyDescent="0.3">
      <c r="A99" s="5" t="s">
        <v>188</v>
      </c>
      <c r="B99" s="5" t="s">
        <v>189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21"/>
    </row>
    <row r="100" spans="1:62" ht="15.6" x14ac:dyDescent="0.3">
      <c r="A100" s="5" t="s">
        <v>190</v>
      </c>
      <c r="B100" s="5" t="s">
        <v>191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21"/>
    </row>
    <row r="101" spans="1:62" ht="15.6" x14ac:dyDescent="0.3">
      <c r="A101" s="5" t="s">
        <v>192</v>
      </c>
      <c r="B101" s="5" t="s">
        <v>193</v>
      </c>
      <c r="C101" s="7">
        <v>6</v>
      </c>
      <c r="D101" s="7">
        <v>6</v>
      </c>
      <c r="E101" s="7">
        <v>27455.573</v>
      </c>
      <c r="F101" s="7">
        <v>0</v>
      </c>
      <c r="G101" s="7">
        <v>0</v>
      </c>
      <c r="H101" s="7">
        <v>1607.93</v>
      </c>
      <c r="I101" s="7">
        <v>0</v>
      </c>
      <c r="J101" s="7">
        <v>0</v>
      </c>
      <c r="K101" s="7">
        <v>0</v>
      </c>
      <c r="L101" s="7">
        <v>21387.356</v>
      </c>
      <c r="M101" s="7">
        <v>19537.013999999999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1317.9449999999999</v>
      </c>
      <c r="AF101" s="7">
        <v>0</v>
      </c>
      <c r="AG101" s="7">
        <v>0</v>
      </c>
      <c r="AH101" s="7">
        <v>20782.952000000001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21"/>
    </row>
    <row r="102" spans="1:62" ht="15.6" x14ac:dyDescent="0.3">
      <c r="A102" s="5" t="s">
        <v>194</v>
      </c>
      <c r="B102" s="5" t="s">
        <v>195</v>
      </c>
      <c r="C102" s="7">
        <v>4</v>
      </c>
      <c r="D102" s="7">
        <v>4</v>
      </c>
      <c r="E102" s="7">
        <v>424673.11800000002</v>
      </c>
      <c r="F102" s="7">
        <v>97018.267000000007</v>
      </c>
      <c r="G102" s="7">
        <v>420.303</v>
      </c>
      <c r="H102" s="7">
        <v>16622.866000000002</v>
      </c>
      <c r="I102" s="7">
        <v>1805.8230000000001</v>
      </c>
      <c r="J102" s="7">
        <v>242.37200000000001</v>
      </c>
      <c r="K102" s="7">
        <v>0</v>
      </c>
      <c r="L102" s="7">
        <v>1068596.838</v>
      </c>
      <c r="M102" s="7">
        <v>49394.752999999997</v>
      </c>
      <c r="N102" s="7">
        <v>0</v>
      </c>
      <c r="O102" s="7">
        <v>391.11</v>
      </c>
      <c r="P102" s="7">
        <v>18.873000000000001</v>
      </c>
      <c r="Q102" s="7">
        <v>346.16699999999997</v>
      </c>
      <c r="R102" s="7">
        <v>0</v>
      </c>
      <c r="S102" s="7">
        <v>29938.245999999999</v>
      </c>
      <c r="T102" s="7">
        <v>0</v>
      </c>
      <c r="U102" s="7">
        <v>0</v>
      </c>
      <c r="V102" s="7">
        <v>70.525000000000006</v>
      </c>
      <c r="W102" s="7">
        <v>10564.172</v>
      </c>
      <c r="X102" s="7">
        <v>0</v>
      </c>
      <c r="Y102" s="7">
        <v>211237.98499999999</v>
      </c>
      <c r="Z102" s="7">
        <v>0</v>
      </c>
      <c r="AA102" s="7">
        <v>32991.767999999996</v>
      </c>
      <c r="AB102" s="7">
        <v>25265.168000000001</v>
      </c>
      <c r="AC102" s="7">
        <v>19074.314999999999</v>
      </c>
      <c r="AD102" s="7">
        <v>0</v>
      </c>
      <c r="AE102" s="7">
        <v>575932.33700000006</v>
      </c>
      <c r="AF102" s="7">
        <v>623037.19700000004</v>
      </c>
      <c r="AG102" s="7">
        <v>0</v>
      </c>
      <c r="AH102" s="7">
        <v>1672883.6810000001</v>
      </c>
      <c r="AI102" s="7">
        <v>983087.66899999999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20866.042000000001</v>
      </c>
      <c r="AP102" s="7">
        <v>0</v>
      </c>
      <c r="AQ102" s="7">
        <v>245292.005</v>
      </c>
      <c r="AR102" s="7">
        <v>0</v>
      </c>
      <c r="AS102" s="7">
        <v>281.791</v>
      </c>
      <c r="AT102" s="7">
        <v>0</v>
      </c>
      <c r="AU102" s="7">
        <v>2104.547</v>
      </c>
      <c r="AV102" s="7">
        <v>0</v>
      </c>
      <c r="AW102" s="7">
        <v>0</v>
      </c>
      <c r="AX102" s="7">
        <v>0</v>
      </c>
      <c r="AY102" s="7">
        <v>10768.004999999999</v>
      </c>
      <c r="AZ102" s="7">
        <v>419035.08899999998</v>
      </c>
      <c r="BA102" s="7">
        <v>0</v>
      </c>
      <c r="BB102" s="7">
        <v>8936.0360000000001</v>
      </c>
      <c r="BC102" s="7">
        <v>34.774999999999999</v>
      </c>
      <c r="BD102" s="7">
        <v>528208.59600000002</v>
      </c>
      <c r="BE102" s="7">
        <v>2595.6480000000001</v>
      </c>
      <c r="BF102" s="7">
        <v>2595.6480000000001</v>
      </c>
      <c r="BG102" s="7">
        <v>180956.06</v>
      </c>
      <c r="BH102" s="7">
        <v>0</v>
      </c>
      <c r="BI102" s="7">
        <v>10.308999999999999</v>
      </c>
      <c r="BJ102" s="21"/>
    </row>
    <row r="103" spans="1:62" ht="15.6" x14ac:dyDescent="0.3">
      <c r="A103" s="5" t="s">
        <v>196</v>
      </c>
      <c r="B103" s="5" t="s">
        <v>197</v>
      </c>
      <c r="C103" s="7">
        <v>4</v>
      </c>
      <c r="D103" s="7">
        <v>4</v>
      </c>
      <c r="E103" s="7">
        <v>200203.50700000001</v>
      </c>
      <c r="F103" s="7">
        <v>43575.351000000002</v>
      </c>
      <c r="G103" s="7">
        <v>189.249</v>
      </c>
      <c r="H103" s="7">
        <v>11509.448</v>
      </c>
      <c r="I103" s="7">
        <v>858.88699999999994</v>
      </c>
      <c r="J103" s="7">
        <v>109.13200000000001</v>
      </c>
      <c r="K103" s="7">
        <v>0</v>
      </c>
      <c r="L103" s="7">
        <v>501951.07400000002</v>
      </c>
      <c r="M103" s="7">
        <v>23497.895</v>
      </c>
      <c r="N103" s="7">
        <v>0</v>
      </c>
      <c r="O103" s="7">
        <v>96.515000000000001</v>
      </c>
      <c r="P103" s="7">
        <v>8.9849999999999994</v>
      </c>
      <c r="Q103" s="7">
        <v>85.426000000000002</v>
      </c>
      <c r="R103" s="7">
        <v>0</v>
      </c>
      <c r="S103" s="7">
        <v>14252.573</v>
      </c>
      <c r="T103" s="7">
        <v>0</v>
      </c>
      <c r="U103" s="7">
        <v>0</v>
      </c>
      <c r="V103" s="7">
        <v>31.754999999999999</v>
      </c>
      <c r="W103" s="7">
        <v>5028.21</v>
      </c>
      <c r="X103" s="7">
        <v>0</v>
      </c>
      <c r="Y103" s="7">
        <v>100577.77899999999</v>
      </c>
      <c r="Z103" s="7">
        <v>0</v>
      </c>
      <c r="AA103" s="7">
        <v>15696.683999999999</v>
      </c>
      <c r="AB103" s="7">
        <v>6234.835</v>
      </c>
      <c r="AC103" s="7">
        <v>9081.5640000000003</v>
      </c>
      <c r="AD103" s="7">
        <v>0</v>
      </c>
      <c r="AE103" s="7">
        <v>273468.95299999998</v>
      </c>
      <c r="AF103" s="7">
        <v>296673.17200000002</v>
      </c>
      <c r="AG103" s="7">
        <v>0</v>
      </c>
      <c r="AH103" s="7">
        <v>789203.74800000002</v>
      </c>
      <c r="AI103" s="7">
        <v>468119.29599999997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9934.5069999999996</v>
      </c>
      <c r="AP103" s="7">
        <v>0</v>
      </c>
      <c r="AQ103" s="7">
        <v>116801.302</v>
      </c>
      <c r="AR103" s="7">
        <v>0</v>
      </c>
      <c r="AS103" s="7">
        <v>134.15600000000001</v>
      </c>
      <c r="AT103" s="7">
        <v>0</v>
      </c>
      <c r="AU103" s="7">
        <v>1001.364</v>
      </c>
      <c r="AV103" s="7">
        <v>0</v>
      </c>
      <c r="AW103" s="7">
        <v>0</v>
      </c>
      <c r="AX103" s="7">
        <v>0</v>
      </c>
      <c r="AY103" s="7">
        <v>5125.9920000000002</v>
      </c>
      <c r="AZ103" s="7">
        <v>199532.98699999999</v>
      </c>
      <c r="BA103" s="7">
        <v>0</v>
      </c>
      <c r="BB103" s="7">
        <v>4254.5060000000003</v>
      </c>
      <c r="BC103" s="7">
        <v>15.657999999999999</v>
      </c>
      <c r="BD103" s="7">
        <v>251518.39499999999</v>
      </c>
      <c r="BE103" s="7">
        <v>1235.798</v>
      </c>
      <c r="BF103" s="7">
        <v>1235.798</v>
      </c>
      <c r="BG103" s="7">
        <v>86166.292000000001</v>
      </c>
      <c r="BH103" s="7">
        <v>0</v>
      </c>
      <c r="BI103" s="7">
        <v>4.6420000000000003</v>
      </c>
      <c r="BJ103" s="21"/>
    </row>
    <row r="104" spans="1:62" ht="15.6" x14ac:dyDescent="0.3">
      <c r="A104" s="5" t="s">
        <v>198</v>
      </c>
      <c r="B104" s="5" t="s">
        <v>199</v>
      </c>
      <c r="C104" s="7">
        <v>4</v>
      </c>
      <c r="D104" s="7">
        <v>4</v>
      </c>
      <c r="E104" s="7">
        <v>95508.225000000006</v>
      </c>
      <c r="F104" s="7">
        <v>20699.287</v>
      </c>
      <c r="G104" s="7">
        <v>338.02300000000002</v>
      </c>
      <c r="H104" s="7">
        <v>8446.3019999999997</v>
      </c>
      <c r="I104" s="7">
        <v>422.59899999999999</v>
      </c>
      <c r="J104" s="7">
        <v>194.92400000000001</v>
      </c>
      <c r="K104" s="7">
        <v>0</v>
      </c>
      <c r="L104" s="7">
        <v>235669.29199999999</v>
      </c>
      <c r="M104" s="7">
        <v>12194.263999999999</v>
      </c>
      <c r="N104" s="7">
        <v>0</v>
      </c>
      <c r="O104" s="7">
        <v>153.822</v>
      </c>
      <c r="P104" s="7">
        <v>4.2030000000000003</v>
      </c>
      <c r="Q104" s="7">
        <v>136.14599999999999</v>
      </c>
      <c r="R104" s="7">
        <v>0</v>
      </c>
      <c r="S104" s="7">
        <v>6705.4790000000003</v>
      </c>
      <c r="T104" s="7">
        <v>0</v>
      </c>
      <c r="U104" s="7">
        <v>0</v>
      </c>
      <c r="V104" s="7">
        <v>56.719000000000001</v>
      </c>
      <c r="W104" s="7">
        <v>2389.37</v>
      </c>
      <c r="X104" s="7">
        <v>0</v>
      </c>
      <c r="Y104" s="7">
        <v>46984.345999999998</v>
      </c>
      <c r="Z104" s="7">
        <v>0</v>
      </c>
      <c r="AA104" s="7">
        <v>7604.5169999999998</v>
      </c>
      <c r="AB104" s="7">
        <v>9936.7049999999999</v>
      </c>
      <c r="AC104" s="7">
        <v>4251.2579999999998</v>
      </c>
      <c r="AD104" s="7">
        <v>0</v>
      </c>
      <c r="AE104" s="7">
        <v>128359.974</v>
      </c>
      <c r="AF104" s="7">
        <v>138056.37400000001</v>
      </c>
      <c r="AG104" s="7">
        <v>0</v>
      </c>
      <c r="AH104" s="7">
        <v>370462.39</v>
      </c>
      <c r="AI104" s="7">
        <v>217847.42199999999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4653.3159999999998</v>
      </c>
      <c r="AP104" s="7">
        <v>0</v>
      </c>
      <c r="AQ104" s="7">
        <v>54351.451999999997</v>
      </c>
      <c r="AR104" s="7">
        <v>0</v>
      </c>
      <c r="AS104" s="7">
        <v>63.05</v>
      </c>
      <c r="AT104" s="7">
        <v>0</v>
      </c>
      <c r="AU104" s="7">
        <v>482.923</v>
      </c>
      <c r="AV104" s="7">
        <v>0</v>
      </c>
      <c r="AW104" s="7">
        <v>0</v>
      </c>
      <c r="AX104" s="7">
        <v>0</v>
      </c>
      <c r="AY104" s="7">
        <v>2418.2530000000002</v>
      </c>
      <c r="AZ104" s="7">
        <v>92849.195999999996</v>
      </c>
      <c r="BA104" s="7">
        <v>0</v>
      </c>
      <c r="BB104" s="7">
        <v>1993.2529999999999</v>
      </c>
      <c r="BC104" s="7">
        <v>27.968</v>
      </c>
      <c r="BD104" s="7">
        <v>117039.705</v>
      </c>
      <c r="BE104" s="7">
        <v>579.08399999999995</v>
      </c>
      <c r="BF104" s="7">
        <v>579.08399999999995</v>
      </c>
      <c r="BG104" s="7">
        <v>40095.983999999997</v>
      </c>
      <c r="BH104" s="7">
        <v>0</v>
      </c>
      <c r="BI104" s="7">
        <v>8.2910000000000004</v>
      </c>
      <c r="BJ104" s="21"/>
    </row>
    <row r="105" spans="1:62" ht="15.6" x14ac:dyDescent="0.3">
      <c r="A105" s="5" t="s">
        <v>200</v>
      </c>
      <c r="B105" s="5" t="s">
        <v>201</v>
      </c>
      <c r="C105" s="7">
        <v>4</v>
      </c>
      <c r="D105" s="7">
        <v>4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21"/>
    </row>
    <row r="106" spans="1:62" ht="15.6" x14ac:dyDescent="0.3">
      <c r="A106" s="5" t="s">
        <v>202</v>
      </c>
      <c r="B106" s="5" t="s">
        <v>203</v>
      </c>
      <c r="C106" s="7">
        <v>4</v>
      </c>
      <c r="D106" s="7">
        <v>4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21"/>
    </row>
    <row r="107" spans="1:62" ht="15.6" x14ac:dyDescent="0.3">
      <c r="A107" s="5" t="s">
        <v>204</v>
      </c>
      <c r="B107" s="5" t="s">
        <v>205</v>
      </c>
      <c r="C107" s="7">
        <v>4</v>
      </c>
      <c r="D107" s="7">
        <v>4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21"/>
    </row>
    <row r="108" spans="1:62" ht="15.6" x14ac:dyDescent="0.3">
      <c r="A108" s="5" t="s">
        <v>206</v>
      </c>
      <c r="B108" s="5" t="s">
        <v>207</v>
      </c>
      <c r="C108" s="7">
        <v>6</v>
      </c>
      <c r="D108" s="7">
        <v>6</v>
      </c>
      <c r="E108" s="7">
        <v>107156.031</v>
      </c>
      <c r="F108" s="7">
        <v>430.14499999999998</v>
      </c>
      <c r="G108" s="7">
        <v>0</v>
      </c>
      <c r="H108" s="7">
        <v>10061.700000000001</v>
      </c>
      <c r="I108" s="7">
        <v>0.02</v>
      </c>
      <c r="J108" s="7">
        <v>0</v>
      </c>
      <c r="K108" s="7">
        <v>0</v>
      </c>
      <c r="L108" s="7">
        <v>154337.22700000001</v>
      </c>
      <c r="M108" s="7">
        <v>24663.686000000002</v>
      </c>
      <c r="N108" s="7">
        <v>0</v>
      </c>
      <c r="O108" s="7">
        <v>0</v>
      </c>
      <c r="P108" s="7">
        <v>0</v>
      </c>
      <c r="Q108" s="7">
        <v>0</v>
      </c>
      <c r="R108" s="7">
        <v>1E-3</v>
      </c>
      <c r="S108" s="7">
        <v>0.33900000000000002</v>
      </c>
      <c r="T108" s="7">
        <v>0</v>
      </c>
      <c r="U108" s="7">
        <v>0</v>
      </c>
      <c r="V108" s="7">
        <v>0</v>
      </c>
      <c r="W108" s="7">
        <v>0.11899999999999999</v>
      </c>
      <c r="X108" s="7">
        <v>0</v>
      </c>
      <c r="Y108" s="7">
        <v>39091.779000000002</v>
      </c>
      <c r="Z108" s="7">
        <v>0</v>
      </c>
      <c r="AA108" s="7">
        <v>0.36899999999999999</v>
      </c>
      <c r="AB108" s="7">
        <v>0</v>
      </c>
      <c r="AC108" s="7">
        <v>0.216</v>
      </c>
      <c r="AD108" s="7">
        <v>0</v>
      </c>
      <c r="AE108" s="7">
        <v>129145.272</v>
      </c>
      <c r="AF108" s="7">
        <v>6296.125</v>
      </c>
      <c r="AG108" s="7">
        <v>0</v>
      </c>
      <c r="AH108" s="7">
        <v>374202.58500000002</v>
      </c>
      <c r="AI108" s="7">
        <v>10727.213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0.23599999999999999</v>
      </c>
      <c r="AP108" s="7">
        <v>0</v>
      </c>
      <c r="AQ108" s="7">
        <v>2.7890000000000001</v>
      </c>
      <c r="AR108" s="7">
        <v>0</v>
      </c>
      <c r="AS108" s="7">
        <v>8.0000000000000002E-3</v>
      </c>
      <c r="AT108" s="7">
        <v>0</v>
      </c>
      <c r="AU108" s="7">
        <v>1.2999999999999999E-2</v>
      </c>
      <c r="AV108" s="7">
        <v>0</v>
      </c>
      <c r="AW108" s="7">
        <v>0</v>
      </c>
      <c r="AX108" s="7">
        <v>0</v>
      </c>
      <c r="AY108" s="7">
        <v>0.121</v>
      </c>
      <c r="AZ108" s="7">
        <v>4.766</v>
      </c>
      <c r="BA108" s="7">
        <v>0</v>
      </c>
      <c r="BB108" s="7">
        <v>0.10100000000000001</v>
      </c>
      <c r="BC108" s="7">
        <v>0</v>
      </c>
      <c r="BD108" s="7">
        <v>6.0069999999999997</v>
      </c>
      <c r="BE108" s="7">
        <v>2.9000000000000001E-2</v>
      </c>
      <c r="BF108" s="7">
        <v>2.9000000000000001E-2</v>
      </c>
      <c r="BG108" s="7">
        <v>2.0579999999999998</v>
      </c>
      <c r="BH108" s="7">
        <v>0</v>
      </c>
      <c r="BI108" s="7">
        <v>0</v>
      </c>
      <c r="BJ108" s="21"/>
    </row>
    <row r="109" spans="1:62" ht="15.6" x14ac:dyDescent="0.3">
      <c r="A109" s="5" t="s">
        <v>208</v>
      </c>
      <c r="B109" s="5" t="s">
        <v>209</v>
      </c>
      <c r="C109" s="7">
        <v>4</v>
      </c>
      <c r="D109" s="7">
        <v>4</v>
      </c>
      <c r="E109" s="7">
        <v>114716.462</v>
      </c>
      <c r="F109" s="7">
        <v>25057.552</v>
      </c>
      <c r="G109" s="7">
        <v>0</v>
      </c>
      <c r="H109" s="7">
        <v>0</v>
      </c>
      <c r="I109" s="7">
        <v>484.53399999999999</v>
      </c>
      <c r="J109" s="7">
        <v>0</v>
      </c>
      <c r="K109" s="7">
        <v>0</v>
      </c>
      <c r="L109" s="7">
        <v>289646.72600000002</v>
      </c>
      <c r="M109" s="7">
        <v>13317.145</v>
      </c>
      <c r="N109" s="7">
        <v>0</v>
      </c>
      <c r="O109" s="7">
        <v>0</v>
      </c>
      <c r="P109" s="7">
        <v>5.165</v>
      </c>
      <c r="Q109" s="7">
        <v>0</v>
      </c>
      <c r="R109" s="7">
        <v>0</v>
      </c>
      <c r="S109" s="7">
        <v>8174.3770000000004</v>
      </c>
      <c r="T109" s="7">
        <v>0</v>
      </c>
      <c r="U109" s="7">
        <v>0</v>
      </c>
      <c r="V109" s="7">
        <v>0</v>
      </c>
      <c r="W109" s="7">
        <v>2873.5219999999999</v>
      </c>
      <c r="X109" s="7">
        <v>0</v>
      </c>
      <c r="Y109" s="7">
        <v>57870.303999999996</v>
      </c>
      <c r="Z109" s="7">
        <v>0</v>
      </c>
      <c r="AA109" s="7">
        <v>8906.89</v>
      </c>
      <c r="AB109" s="7">
        <v>6.5339999999999998</v>
      </c>
      <c r="AC109" s="7">
        <v>5217.9319999999998</v>
      </c>
      <c r="AD109" s="7">
        <v>0</v>
      </c>
      <c r="AE109" s="7">
        <v>157089.22200000001</v>
      </c>
      <c r="AF109" s="7">
        <v>170883.38200000001</v>
      </c>
      <c r="AG109" s="7">
        <v>0</v>
      </c>
      <c r="AH109" s="7">
        <v>455319.47200000001</v>
      </c>
      <c r="AI109" s="7">
        <v>269598.38299999997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5706.7950000000001</v>
      </c>
      <c r="AP109" s="7">
        <v>0</v>
      </c>
      <c r="AQ109" s="7">
        <v>67258.221999999994</v>
      </c>
      <c r="AR109" s="7">
        <v>0</v>
      </c>
      <c r="AS109" s="7">
        <v>76.972999999999999</v>
      </c>
      <c r="AT109" s="7">
        <v>0</v>
      </c>
      <c r="AU109" s="7">
        <v>790.97500000000002</v>
      </c>
      <c r="AV109" s="7">
        <v>0</v>
      </c>
      <c r="AW109" s="7">
        <v>0</v>
      </c>
      <c r="AX109" s="7">
        <v>0</v>
      </c>
      <c r="AY109" s="7">
        <v>2937.0639999999999</v>
      </c>
      <c r="AZ109" s="7">
        <v>114886.811</v>
      </c>
      <c r="BA109" s="7">
        <v>0</v>
      </c>
      <c r="BB109" s="7">
        <v>2443.768</v>
      </c>
      <c r="BC109" s="7">
        <v>0</v>
      </c>
      <c r="BD109" s="7">
        <v>144818.899</v>
      </c>
      <c r="BE109" s="7">
        <v>709.79300000000001</v>
      </c>
      <c r="BF109" s="7">
        <v>709.79300000000001</v>
      </c>
      <c r="BG109" s="7">
        <v>49612.703999999998</v>
      </c>
      <c r="BH109" s="7">
        <v>0</v>
      </c>
      <c r="BI109" s="7">
        <v>0</v>
      </c>
      <c r="BJ109" s="21"/>
    </row>
    <row r="110" spans="1:62" ht="15.6" x14ac:dyDescent="0.3">
      <c r="A110" s="5" t="s">
        <v>210</v>
      </c>
      <c r="B110" s="5" t="s">
        <v>211</v>
      </c>
      <c r="C110" s="7">
        <v>4</v>
      </c>
      <c r="D110" s="7">
        <v>4</v>
      </c>
      <c r="E110" s="7">
        <v>254780.87100000001</v>
      </c>
      <c r="F110" s="7">
        <v>40136.262000000002</v>
      </c>
      <c r="G110" s="7">
        <v>15.285</v>
      </c>
      <c r="H110" s="7">
        <v>0</v>
      </c>
      <c r="I110" s="7">
        <v>1246.548</v>
      </c>
      <c r="J110" s="7">
        <v>163.423</v>
      </c>
      <c r="K110" s="7">
        <v>0</v>
      </c>
      <c r="L110" s="7">
        <v>534218.20600000001</v>
      </c>
      <c r="M110" s="7">
        <v>18324.167000000001</v>
      </c>
      <c r="N110" s="7">
        <v>0</v>
      </c>
      <c r="O110" s="7">
        <v>0</v>
      </c>
      <c r="P110" s="7">
        <v>0.25600000000000001</v>
      </c>
      <c r="Q110" s="7">
        <v>0</v>
      </c>
      <c r="R110" s="7">
        <v>0</v>
      </c>
      <c r="S110" s="7">
        <v>12723.061</v>
      </c>
      <c r="T110" s="7">
        <v>0</v>
      </c>
      <c r="U110" s="7">
        <v>0</v>
      </c>
      <c r="V110" s="7">
        <v>36.679000000000002</v>
      </c>
      <c r="W110" s="7">
        <v>4142.3379999999997</v>
      </c>
      <c r="X110" s="7">
        <v>34275.195</v>
      </c>
      <c r="Y110" s="7">
        <v>127189.666</v>
      </c>
      <c r="Z110" s="7">
        <v>0</v>
      </c>
      <c r="AA110" s="7">
        <v>22600.493999999999</v>
      </c>
      <c r="AB110" s="7">
        <v>0</v>
      </c>
      <c r="AC110" s="7">
        <v>8022.732</v>
      </c>
      <c r="AD110" s="7">
        <v>0</v>
      </c>
      <c r="AE110" s="7">
        <v>343719.478</v>
      </c>
      <c r="AF110" s="7">
        <v>316564.38900000002</v>
      </c>
      <c r="AG110" s="7">
        <v>0</v>
      </c>
      <c r="AH110" s="7">
        <v>1064216.2990000001</v>
      </c>
      <c r="AI110" s="7">
        <v>462329.25099999999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11046.477000000001</v>
      </c>
      <c r="AP110" s="7">
        <v>97213.343999999997</v>
      </c>
      <c r="AQ110" s="7">
        <v>124558.015</v>
      </c>
      <c r="AR110" s="7">
        <v>24942.829000000002</v>
      </c>
      <c r="AS110" s="7">
        <v>118.634</v>
      </c>
      <c r="AT110" s="7">
        <v>0</v>
      </c>
      <c r="AU110" s="7">
        <v>776.69500000000005</v>
      </c>
      <c r="AV110" s="7">
        <v>68190.91</v>
      </c>
      <c r="AW110" s="7">
        <v>142103.49799999999</v>
      </c>
      <c r="AX110" s="7">
        <v>43674.932999999997</v>
      </c>
      <c r="AY110" s="7">
        <v>145.41300000000001</v>
      </c>
      <c r="AZ110" s="7">
        <v>5688.0010000000002</v>
      </c>
      <c r="BA110" s="7">
        <v>32675.062999999998</v>
      </c>
      <c r="BB110" s="7">
        <v>4881.9579999999996</v>
      </c>
      <c r="BC110" s="7">
        <v>0</v>
      </c>
      <c r="BD110" s="7">
        <v>7169.9279999999999</v>
      </c>
      <c r="BE110" s="7">
        <v>1454.827</v>
      </c>
      <c r="BF110" s="7">
        <v>1454.827</v>
      </c>
      <c r="BG110" s="7">
        <v>2456.306</v>
      </c>
      <c r="BH110" s="7">
        <v>0</v>
      </c>
      <c r="BI110" s="7">
        <v>0</v>
      </c>
      <c r="BJ110" s="21"/>
    </row>
    <row r="111" spans="1:62" ht="15.6" x14ac:dyDescent="0.3">
      <c r="A111" s="5" t="s">
        <v>212</v>
      </c>
      <c r="B111" s="5" t="s">
        <v>213</v>
      </c>
      <c r="C111" s="7">
        <v>4</v>
      </c>
      <c r="D111" s="7">
        <v>4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21"/>
    </row>
    <row r="112" spans="1:62" ht="15.6" x14ac:dyDescent="0.3">
      <c r="A112" s="5" t="s">
        <v>214</v>
      </c>
      <c r="B112" s="5" t="s">
        <v>215</v>
      </c>
      <c r="C112" s="7">
        <v>6</v>
      </c>
      <c r="D112" s="7">
        <v>6</v>
      </c>
      <c r="E112" s="7">
        <v>0.63300000000000001</v>
      </c>
      <c r="F112" s="7">
        <v>0.184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0.01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1.538</v>
      </c>
      <c r="AF112" s="7">
        <v>0.10299999999999999</v>
      </c>
      <c r="AG112" s="7">
        <v>0</v>
      </c>
      <c r="AH112" s="7">
        <v>1.284</v>
      </c>
      <c r="AI112" s="7">
        <v>5.3999999999999999E-2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21"/>
    </row>
    <row r="113" spans="1:62" ht="15.6" x14ac:dyDescent="0.3">
      <c r="A113" s="5" t="s">
        <v>216</v>
      </c>
      <c r="B113" s="5" t="s">
        <v>217</v>
      </c>
      <c r="C113" s="7">
        <v>6</v>
      </c>
      <c r="D113" s="7">
        <v>6</v>
      </c>
      <c r="E113" s="7">
        <v>72298.607999999993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166720.304</v>
      </c>
      <c r="M113" s="7">
        <v>33375.328999999998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17582.587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52194.281000000003</v>
      </c>
      <c r="AF113" s="7">
        <v>7.0000000000000001E-3</v>
      </c>
      <c r="AG113" s="7">
        <v>0</v>
      </c>
      <c r="AH113" s="7">
        <v>241663.98300000001</v>
      </c>
      <c r="AI113" s="7">
        <v>1.0999999999999999E-2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21"/>
    </row>
    <row r="114" spans="1:62" ht="15.6" x14ac:dyDescent="0.3">
      <c r="A114" s="5" t="s">
        <v>218</v>
      </c>
      <c r="B114" s="5" t="s">
        <v>219</v>
      </c>
      <c r="C114" s="7">
        <v>4</v>
      </c>
      <c r="D114" s="7">
        <v>4</v>
      </c>
      <c r="E114" s="7">
        <v>47326.934999999998</v>
      </c>
      <c r="F114" s="7">
        <v>10335.585999999999</v>
      </c>
      <c r="G114" s="7">
        <v>0</v>
      </c>
      <c r="H114" s="7">
        <v>23841.281999999999</v>
      </c>
      <c r="I114" s="7">
        <v>200.17</v>
      </c>
      <c r="J114" s="7">
        <v>0</v>
      </c>
      <c r="K114" s="7">
        <v>0</v>
      </c>
      <c r="L114" s="7">
        <v>119323.685</v>
      </c>
      <c r="M114" s="7">
        <v>5496.183</v>
      </c>
      <c r="N114" s="7">
        <v>0</v>
      </c>
      <c r="O114" s="7">
        <v>0</v>
      </c>
      <c r="P114" s="7">
        <v>2.133</v>
      </c>
      <c r="Q114" s="7">
        <v>0</v>
      </c>
      <c r="R114" s="7">
        <v>0</v>
      </c>
      <c r="S114" s="7">
        <v>3377.002</v>
      </c>
      <c r="T114" s="7">
        <v>0</v>
      </c>
      <c r="U114" s="7">
        <v>0</v>
      </c>
      <c r="V114" s="7">
        <v>0</v>
      </c>
      <c r="W114" s="7">
        <v>1187.1099999999999</v>
      </c>
      <c r="X114" s="7">
        <v>0</v>
      </c>
      <c r="Y114" s="7">
        <v>23891.204000000002</v>
      </c>
      <c r="Z114" s="7">
        <v>0</v>
      </c>
      <c r="AA114" s="7">
        <v>3679.6179999999999</v>
      </c>
      <c r="AB114" s="7">
        <v>0</v>
      </c>
      <c r="AC114" s="7">
        <v>2155.6329999999998</v>
      </c>
      <c r="AD114" s="7">
        <v>14699.616</v>
      </c>
      <c r="AE114" s="7">
        <v>64821.19</v>
      </c>
      <c r="AF114" s="7">
        <v>70568.426999999996</v>
      </c>
      <c r="AG114" s="7">
        <v>68246.096999999994</v>
      </c>
      <c r="AH114" s="7">
        <v>187550.07199999999</v>
      </c>
      <c r="AI114" s="7">
        <v>111349.61199999999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2357.5949999999998</v>
      </c>
      <c r="AP114" s="7">
        <v>0</v>
      </c>
      <c r="AQ114" s="7">
        <v>27783.044999999998</v>
      </c>
      <c r="AR114" s="7">
        <v>0</v>
      </c>
      <c r="AS114" s="7">
        <v>31.798999999999999</v>
      </c>
      <c r="AT114" s="7">
        <v>0</v>
      </c>
      <c r="AU114" s="7">
        <v>3297.8139999999999</v>
      </c>
      <c r="AV114" s="7">
        <v>0</v>
      </c>
      <c r="AW114" s="7">
        <v>0</v>
      </c>
      <c r="AX114" s="7">
        <v>0</v>
      </c>
      <c r="AY114" s="7">
        <v>1213.3630000000001</v>
      </c>
      <c r="AZ114" s="7">
        <v>73054.339000000007</v>
      </c>
      <c r="BA114" s="7">
        <v>0</v>
      </c>
      <c r="BB114" s="7">
        <v>1009.57</v>
      </c>
      <c r="BC114" s="7">
        <v>0</v>
      </c>
      <c r="BD114" s="7">
        <v>59827.646999999997</v>
      </c>
      <c r="BE114" s="7">
        <v>293.23</v>
      </c>
      <c r="BF114" s="7">
        <v>293.23</v>
      </c>
      <c r="BG114" s="7">
        <v>20496.022000000001</v>
      </c>
      <c r="BH114" s="7">
        <v>0</v>
      </c>
      <c r="BI114" s="7">
        <v>0</v>
      </c>
      <c r="BJ114" s="21"/>
    </row>
    <row r="115" spans="1:62" ht="15.6" x14ac:dyDescent="0.3">
      <c r="A115" s="5" t="s">
        <v>220</v>
      </c>
      <c r="B115" s="5" t="s">
        <v>221</v>
      </c>
      <c r="C115" s="7">
        <v>4</v>
      </c>
      <c r="D115" s="7">
        <v>4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242.06899999999999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599692.799</v>
      </c>
      <c r="AL115" s="7">
        <v>312532.68</v>
      </c>
      <c r="AM115" s="7">
        <v>0</v>
      </c>
      <c r="AN115" s="7">
        <v>206427.367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676.03</v>
      </c>
      <c r="AV115" s="7">
        <v>0</v>
      </c>
      <c r="AW115" s="7">
        <v>0</v>
      </c>
      <c r="AX115" s="7">
        <v>308.45499999999998</v>
      </c>
      <c r="AY115" s="7">
        <v>0</v>
      </c>
      <c r="AZ115" s="7">
        <v>0</v>
      </c>
      <c r="BA115" s="7">
        <v>230.768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21"/>
    </row>
    <row r="116" spans="1:62" ht="15.6" x14ac:dyDescent="0.3">
      <c r="A116" s="5" t="s">
        <v>222</v>
      </c>
      <c r="B116" s="5" t="s">
        <v>223</v>
      </c>
      <c r="C116" s="7">
        <v>4</v>
      </c>
      <c r="D116" s="7">
        <v>3</v>
      </c>
      <c r="E116" s="7">
        <v>10553.583000000001</v>
      </c>
      <c r="F116" s="7">
        <v>1556.4870000000001</v>
      </c>
      <c r="G116" s="7">
        <v>2376.011</v>
      </c>
      <c r="H116" s="7">
        <v>0</v>
      </c>
      <c r="I116" s="7">
        <v>217.94300000000001</v>
      </c>
      <c r="J116" s="7">
        <v>1370.587</v>
      </c>
      <c r="K116" s="7">
        <v>10657.040999999999</v>
      </c>
      <c r="L116" s="7">
        <v>3869.0430000000001</v>
      </c>
      <c r="M116" s="7">
        <v>4917.4129999999996</v>
      </c>
      <c r="N116" s="7">
        <v>2929.0740000000001</v>
      </c>
      <c r="O116" s="7">
        <v>0</v>
      </c>
      <c r="P116" s="7">
        <v>0.19800000000000001</v>
      </c>
      <c r="Q116" s="7">
        <v>0</v>
      </c>
      <c r="R116" s="7">
        <v>0</v>
      </c>
      <c r="S116" s="7">
        <v>696.28899999999999</v>
      </c>
      <c r="T116" s="7">
        <v>0</v>
      </c>
      <c r="U116" s="7">
        <v>9076.6869999999999</v>
      </c>
      <c r="V116" s="7">
        <v>398.55500000000001</v>
      </c>
      <c r="W116" s="7">
        <v>471.43900000000002</v>
      </c>
      <c r="X116" s="7">
        <v>0</v>
      </c>
      <c r="Y116" s="7">
        <v>1733.0630000000001</v>
      </c>
      <c r="Z116" s="7">
        <v>0</v>
      </c>
      <c r="AA116" s="7">
        <v>2854.24</v>
      </c>
      <c r="AB116" s="7">
        <v>0</v>
      </c>
      <c r="AC116" s="7">
        <v>240.55500000000001</v>
      </c>
      <c r="AD116" s="7">
        <v>11769.817999999999</v>
      </c>
      <c r="AE116" s="7">
        <v>1675.345</v>
      </c>
      <c r="AF116" s="7">
        <v>0</v>
      </c>
      <c r="AG116" s="7">
        <v>48881.379000000001</v>
      </c>
      <c r="AH116" s="7">
        <v>9270.1350000000002</v>
      </c>
      <c r="AI116" s="7">
        <v>0</v>
      </c>
      <c r="AJ116" s="7">
        <v>0</v>
      </c>
      <c r="AK116" s="7">
        <v>0</v>
      </c>
      <c r="AL116" s="7">
        <v>0</v>
      </c>
      <c r="AM116" s="7">
        <v>2275.7109999999998</v>
      </c>
      <c r="AN116" s="7">
        <v>0</v>
      </c>
      <c r="AO116" s="7">
        <v>289.47199999999998</v>
      </c>
      <c r="AP116" s="7">
        <v>0</v>
      </c>
      <c r="AQ116" s="7">
        <v>0</v>
      </c>
      <c r="AR116" s="7">
        <v>0</v>
      </c>
      <c r="AS116" s="7">
        <v>52.145000000000003</v>
      </c>
      <c r="AT116" s="7">
        <v>0</v>
      </c>
      <c r="AU116" s="7">
        <v>2445.7719999999999</v>
      </c>
      <c r="AV116" s="7">
        <v>0</v>
      </c>
      <c r="AW116" s="7">
        <v>0</v>
      </c>
      <c r="AX116" s="7">
        <v>0</v>
      </c>
      <c r="AY116" s="7">
        <v>313.24599999999998</v>
      </c>
      <c r="AZ116" s="7">
        <v>0</v>
      </c>
      <c r="BA116" s="7">
        <v>0</v>
      </c>
      <c r="BB116" s="7">
        <v>128.251</v>
      </c>
      <c r="BC116" s="7">
        <v>196.53399999999999</v>
      </c>
      <c r="BD116" s="7">
        <v>0</v>
      </c>
      <c r="BE116" s="7">
        <v>38.256</v>
      </c>
      <c r="BF116" s="7">
        <v>38.256</v>
      </c>
      <c r="BG116" s="7">
        <v>0</v>
      </c>
      <c r="BH116" s="7">
        <v>0</v>
      </c>
      <c r="BI116" s="7">
        <v>58.261000000000003</v>
      </c>
      <c r="BJ116" s="21"/>
    </row>
    <row r="117" spans="1:62" ht="15.6" x14ac:dyDescent="0.3">
      <c r="A117" s="5" t="s">
        <v>224</v>
      </c>
      <c r="B117" s="5" t="s">
        <v>225</v>
      </c>
      <c r="C117" s="7">
        <v>4</v>
      </c>
      <c r="D117" s="7">
        <v>3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21"/>
    </row>
    <row r="118" spans="1:62" ht="15.6" x14ac:dyDescent="0.3">
      <c r="A118" s="5" t="s">
        <v>226</v>
      </c>
      <c r="B118" s="5" t="s">
        <v>227</v>
      </c>
      <c r="C118" s="7">
        <v>4</v>
      </c>
      <c r="D118" s="7">
        <v>4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21"/>
    </row>
    <row r="119" spans="1:62" ht="15.6" x14ac:dyDescent="0.3">
      <c r="A119" s="5" t="s">
        <v>228</v>
      </c>
      <c r="B119" s="5" t="s">
        <v>229</v>
      </c>
      <c r="C119" s="7">
        <v>4</v>
      </c>
      <c r="D119" s="7">
        <v>6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21"/>
    </row>
    <row r="120" spans="1:62" ht="15.6" x14ac:dyDescent="0.3">
      <c r="A120" s="5" t="s">
        <v>230</v>
      </c>
      <c r="B120" s="5" t="s">
        <v>231</v>
      </c>
      <c r="C120" s="7">
        <v>4</v>
      </c>
      <c r="D120" s="7">
        <v>4</v>
      </c>
      <c r="E120" s="7">
        <v>497222.09499999997</v>
      </c>
      <c r="F120" s="7">
        <v>71073.245999999999</v>
      </c>
      <c r="G120" s="7">
        <v>0</v>
      </c>
      <c r="H120" s="7">
        <v>0</v>
      </c>
      <c r="I120" s="7">
        <v>1987.3869999999999</v>
      </c>
      <c r="J120" s="7">
        <v>0</v>
      </c>
      <c r="K120" s="7">
        <v>0</v>
      </c>
      <c r="L120" s="7">
        <v>1037633.312</v>
      </c>
      <c r="M120" s="7">
        <v>26223.831999999999</v>
      </c>
      <c r="N120" s="7">
        <v>0</v>
      </c>
      <c r="O120" s="7">
        <v>2195.125</v>
      </c>
      <c r="P120" s="7">
        <v>0</v>
      </c>
      <c r="Q120" s="7">
        <v>501.63200000000001</v>
      </c>
      <c r="R120" s="7">
        <v>0</v>
      </c>
      <c r="S120" s="7">
        <v>22630.234</v>
      </c>
      <c r="T120" s="7">
        <v>0</v>
      </c>
      <c r="U120" s="7">
        <v>0</v>
      </c>
      <c r="V120" s="7">
        <v>0</v>
      </c>
      <c r="W120" s="7">
        <v>7352.8329999999996</v>
      </c>
      <c r="X120" s="7">
        <v>41215.987999999998</v>
      </c>
      <c r="Y120" s="7">
        <v>248499.71299999999</v>
      </c>
      <c r="Z120" s="7">
        <v>30783.616999999998</v>
      </c>
      <c r="AA120" s="7">
        <v>43436.857000000004</v>
      </c>
      <c r="AB120" s="7">
        <v>47565.908000000003</v>
      </c>
      <c r="AC120" s="7">
        <v>14570.495999999999</v>
      </c>
      <c r="AD120" s="7">
        <v>7084.6790000000001</v>
      </c>
      <c r="AE120" s="7">
        <v>683856.82400000002</v>
      </c>
      <c r="AF120" s="7">
        <v>602966.81799999997</v>
      </c>
      <c r="AG120" s="7">
        <v>29812.356</v>
      </c>
      <c r="AH120" s="7">
        <v>1871973.0989999999</v>
      </c>
      <c r="AI120" s="7">
        <v>875534.62800000003</v>
      </c>
      <c r="AJ120" s="7">
        <v>162405.97899999999</v>
      </c>
      <c r="AK120" s="7">
        <v>1212431.8940000001</v>
      </c>
      <c r="AL120" s="7">
        <v>631864.49800000002</v>
      </c>
      <c r="AM120" s="7">
        <v>0</v>
      </c>
      <c r="AN120" s="7">
        <v>417345.55499999999</v>
      </c>
      <c r="AO120" s="7">
        <v>21330.97</v>
      </c>
      <c r="AP120" s="7">
        <v>0</v>
      </c>
      <c r="AQ120" s="7">
        <v>240735.74900000001</v>
      </c>
      <c r="AR120" s="7">
        <v>0</v>
      </c>
      <c r="AS120" s="7">
        <v>228.93299999999999</v>
      </c>
      <c r="AT120" s="7">
        <v>0</v>
      </c>
      <c r="AU120" s="7">
        <v>1496.2729999999999</v>
      </c>
      <c r="AV120" s="7">
        <v>0</v>
      </c>
      <c r="AW120" s="7">
        <v>0</v>
      </c>
      <c r="AX120" s="7">
        <v>52519.182999999997</v>
      </c>
      <c r="AY120" s="7">
        <v>0</v>
      </c>
      <c r="AZ120" s="7">
        <v>0</v>
      </c>
      <c r="BA120" s="7">
        <v>39291.822</v>
      </c>
      <c r="BB120" s="7">
        <v>9436.3960000000006</v>
      </c>
      <c r="BC120" s="7">
        <v>0</v>
      </c>
      <c r="BD120" s="7">
        <v>0</v>
      </c>
      <c r="BE120" s="7">
        <v>2813.8159999999998</v>
      </c>
      <c r="BF120" s="7">
        <v>2813.8159999999998</v>
      </c>
      <c r="BG120" s="7">
        <v>0</v>
      </c>
      <c r="BH120" s="7">
        <v>61362.091999999997</v>
      </c>
      <c r="BI120" s="7">
        <v>0</v>
      </c>
      <c r="BJ120" s="21"/>
    </row>
    <row r="121" spans="1:62" ht="15.6" x14ac:dyDescent="0.3">
      <c r="A121" s="5" t="s">
        <v>232</v>
      </c>
      <c r="B121" s="5" t="s">
        <v>233</v>
      </c>
      <c r="C121" s="7">
        <v>4</v>
      </c>
      <c r="D121" s="7">
        <v>3</v>
      </c>
      <c r="E121" s="7">
        <v>4596.375</v>
      </c>
      <c r="F121" s="7">
        <v>1066.4449999999999</v>
      </c>
      <c r="G121" s="7">
        <v>1162.441</v>
      </c>
      <c r="H121" s="7">
        <v>0</v>
      </c>
      <c r="I121" s="7">
        <v>55.765000000000001</v>
      </c>
      <c r="J121" s="7">
        <v>796.25400000000002</v>
      </c>
      <c r="K121" s="7">
        <v>0</v>
      </c>
      <c r="L121" s="7">
        <v>5564.93</v>
      </c>
      <c r="M121" s="7">
        <v>767.04399999999998</v>
      </c>
      <c r="N121" s="7">
        <v>0</v>
      </c>
      <c r="O121" s="7">
        <v>0</v>
      </c>
      <c r="P121" s="7">
        <v>2E-3</v>
      </c>
      <c r="Q121" s="7">
        <v>249.833</v>
      </c>
      <c r="R121" s="7">
        <v>343.38099999999997</v>
      </c>
      <c r="S121" s="7">
        <v>435.95600000000002</v>
      </c>
      <c r="T121" s="7">
        <v>0</v>
      </c>
      <c r="U121" s="7">
        <v>0</v>
      </c>
      <c r="V121" s="7">
        <v>215.023</v>
      </c>
      <c r="W121" s="7">
        <v>35.591000000000001</v>
      </c>
      <c r="X121" s="7">
        <v>0</v>
      </c>
      <c r="Y121" s="7">
        <v>1272.0129999999999</v>
      </c>
      <c r="Z121" s="7">
        <v>5258.2569999999996</v>
      </c>
      <c r="AA121" s="7">
        <v>1847.9359999999999</v>
      </c>
      <c r="AB121" s="7">
        <v>0</v>
      </c>
      <c r="AC121" s="7">
        <v>307.32</v>
      </c>
      <c r="AD121" s="7">
        <v>2033.4870000000001</v>
      </c>
      <c r="AE121" s="7">
        <v>12550.47</v>
      </c>
      <c r="AF121" s="7">
        <v>11.792</v>
      </c>
      <c r="AG121" s="7">
        <v>8349.9950000000008</v>
      </c>
      <c r="AH121" s="7">
        <v>14346.975</v>
      </c>
      <c r="AI121" s="7">
        <v>8.9999999999999993E-3</v>
      </c>
      <c r="AJ121" s="7">
        <v>25390.687999999998</v>
      </c>
      <c r="AK121" s="7">
        <v>0</v>
      </c>
      <c r="AL121" s="7">
        <v>0</v>
      </c>
      <c r="AM121" s="7">
        <v>0</v>
      </c>
      <c r="AN121" s="7">
        <v>0</v>
      </c>
      <c r="AO121" s="7">
        <v>484.78100000000001</v>
      </c>
      <c r="AP121" s="7">
        <v>0</v>
      </c>
      <c r="AQ121" s="7">
        <v>1.7370000000000001</v>
      </c>
      <c r="AR121" s="7">
        <v>0</v>
      </c>
      <c r="AS121" s="7">
        <v>1.39</v>
      </c>
      <c r="AT121" s="7">
        <v>0</v>
      </c>
      <c r="AU121" s="7">
        <v>41.162999999999997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210.93899999999999</v>
      </c>
      <c r="BC121" s="7">
        <v>0</v>
      </c>
      <c r="BD121" s="7">
        <v>0</v>
      </c>
      <c r="BE121" s="7">
        <v>62.8</v>
      </c>
      <c r="BF121" s="7">
        <v>62.8</v>
      </c>
      <c r="BG121" s="7">
        <v>0</v>
      </c>
      <c r="BH121" s="7">
        <v>16728.876</v>
      </c>
      <c r="BI121" s="7">
        <v>0</v>
      </c>
      <c r="BJ121" s="21"/>
    </row>
    <row r="122" spans="1:62" ht="15.6" x14ac:dyDescent="0.3">
      <c r="A122" s="5" t="s">
        <v>234</v>
      </c>
      <c r="B122" s="5" t="s">
        <v>235</v>
      </c>
      <c r="C122" s="7">
        <v>4</v>
      </c>
      <c r="D122" s="7">
        <v>4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21"/>
    </row>
    <row r="123" spans="1:62" ht="15.6" x14ac:dyDescent="0.3">
      <c r="A123" s="5" t="s">
        <v>228</v>
      </c>
      <c r="B123" s="5" t="s">
        <v>236</v>
      </c>
      <c r="C123" s="7">
        <v>4</v>
      </c>
      <c r="D123" s="7">
        <v>6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21"/>
    </row>
    <row r="124" spans="1:62" ht="15.6" x14ac:dyDescent="0.3">
      <c r="A124" s="5" t="s">
        <v>237</v>
      </c>
      <c r="B124" s="5" t="s">
        <v>238</v>
      </c>
      <c r="C124" s="7">
        <v>4</v>
      </c>
      <c r="D124" s="7">
        <v>4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92.980999999999995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21"/>
    </row>
    <row r="125" spans="1:62" ht="15.6" x14ac:dyDescent="0.3">
      <c r="A125" s="5" t="s">
        <v>239</v>
      </c>
      <c r="B125" s="5" t="s">
        <v>240</v>
      </c>
      <c r="C125" s="7">
        <v>4</v>
      </c>
      <c r="D125" s="7">
        <v>3</v>
      </c>
      <c r="E125" s="7">
        <v>2317.0839999999998</v>
      </c>
      <c r="F125" s="7">
        <v>1668.8510000000001</v>
      </c>
      <c r="G125" s="7">
        <v>112.819</v>
      </c>
      <c r="H125" s="7">
        <v>0</v>
      </c>
      <c r="I125" s="7">
        <v>122.44499999999999</v>
      </c>
      <c r="J125" s="7">
        <v>1206.204</v>
      </c>
      <c r="K125" s="7">
        <v>0</v>
      </c>
      <c r="L125" s="7">
        <v>3461.9609999999998</v>
      </c>
      <c r="M125" s="7">
        <v>183.29300000000001</v>
      </c>
      <c r="N125" s="7">
        <v>0</v>
      </c>
      <c r="O125" s="7">
        <v>0</v>
      </c>
      <c r="P125" s="7">
        <v>4.0000000000000001E-3</v>
      </c>
      <c r="Q125" s="7">
        <v>0</v>
      </c>
      <c r="R125" s="7">
        <v>0</v>
      </c>
      <c r="S125" s="7">
        <v>678.15800000000002</v>
      </c>
      <c r="T125" s="7">
        <v>0</v>
      </c>
      <c r="U125" s="7">
        <v>0</v>
      </c>
      <c r="V125" s="7">
        <v>270.721</v>
      </c>
      <c r="W125" s="7">
        <v>2.2610000000000001</v>
      </c>
      <c r="X125" s="7">
        <v>0</v>
      </c>
      <c r="Y125" s="7">
        <v>93.95</v>
      </c>
      <c r="Z125" s="7">
        <v>0</v>
      </c>
      <c r="AA125" s="7">
        <v>3181.3119999999999</v>
      </c>
      <c r="AB125" s="7">
        <v>0</v>
      </c>
      <c r="AC125" s="7">
        <v>269.00200000000001</v>
      </c>
      <c r="AD125" s="7">
        <v>0</v>
      </c>
      <c r="AE125" s="7">
        <v>828.01</v>
      </c>
      <c r="AF125" s="7">
        <v>29.608000000000001</v>
      </c>
      <c r="AG125" s="7">
        <v>0</v>
      </c>
      <c r="AH125" s="7">
        <v>5619.28</v>
      </c>
      <c r="AI125" s="7">
        <v>2.1999999999999999E-2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690.15099999999995</v>
      </c>
      <c r="AP125" s="7">
        <v>0</v>
      </c>
      <c r="AQ125" s="7">
        <v>4.3620000000000001</v>
      </c>
      <c r="AR125" s="7">
        <v>0</v>
      </c>
      <c r="AS125" s="7">
        <v>2.2879999999999998</v>
      </c>
      <c r="AT125" s="7">
        <v>0</v>
      </c>
      <c r="AU125" s="7">
        <v>0.29699999999999999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299.52</v>
      </c>
      <c r="BC125" s="7">
        <v>0</v>
      </c>
      <c r="BD125" s="7">
        <v>0</v>
      </c>
      <c r="BE125" s="7">
        <v>89.478999999999999</v>
      </c>
      <c r="BF125" s="7">
        <v>89.478999999999999</v>
      </c>
      <c r="BG125" s="7">
        <v>0</v>
      </c>
      <c r="BH125" s="7">
        <v>0</v>
      </c>
      <c r="BI125" s="7">
        <v>0</v>
      </c>
      <c r="BJ125" s="21"/>
    </row>
    <row r="126" spans="1:62" ht="15.6" x14ac:dyDescent="0.3">
      <c r="A126" s="5" t="s">
        <v>241</v>
      </c>
      <c r="B126" s="5" t="s">
        <v>242</v>
      </c>
      <c r="C126" s="7">
        <v>2</v>
      </c>
      <c r="D126" s="7">
        <v>2</v>
      </c>
      <c r="E126" s="7">
        <v>105489.378</v>
      </c>
      <c r="F126" s="7">
        <v>10323.290999999999</v>
      </c>
      <c r="G126" s="7">
        <v>10299.915000000001</v>
      </c>
      <c r="H126" s="7">
        <v>0</v>
      </c>
      <c r="I126" s="7">
        <v>1960.905</v>
      </c>
      <c r="J126" s="7">
        <v>7736.84</v>
      </c>
      <c r="K126" s="7">
        <v>0</v>
      </c>
      <c r="L126" s="7">
        <v>82019.676000000007</v>
      </c>
      <c r="M126" s="7">
        <v>21386.95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3223.2539999999999</v>
      </c>
      <c r="T126" s="7">
        <v>0</v>
      </c>
      <c r="U126" s="7">
        <v>0</v>
      </c>
      <c r="V126" s="7">
        <v>1686.1759999999999</v>
      </c>
      <c r="W126" s="7">
        <v>3482.703</v>
      </c>
      <c r="X126" s="7">
        <v>0</v>
      </c>
      <c r="Y126" s="7">
        <v>41240.949000000001</v>
      </c>
      <c r="Z126" s="7">
        <v>0</v>
      </c>
      <c r="AA126" s="7">
        <v>9118.0830000000005</v>
      </c>
      <c r="AB126" s="7">
        <v>0</v>
      </c>
      <c r="AC126" s="7">
        <v>1815.9760000000001</v>
      </c>
      <c r="AD126" s="7">
        <v>0</v>
      </c>
      <c r="AE126" s="7">
        <v>133157.095</v>
      </c>
      <c r="AF126" s="7">
        <v>0</v>
      </c>
      <c r="AG126" s="7">
        <v>0</v>
      </c>
      <c r="AH126" s="7">
        <v>233359.236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939.83600000000001</v>
      </c>
      <c r="AP126" s="7">
        <v>0</v>
      </c>
      <c r="AQ126" s="7">
        <v>0</v>
      </c>
      <c r="AR126" s="7">
        <v>0</v>
      </c>
      <c r="AS126" s="7">
        <v>4.2880000000000003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436.471</v>
      </c>
      <c r="BC126" s="7">
        <v>0</v>
      </c>
      <c r="BD126" s="7">
        <v>0</v>
      </c>
      <c r="BE126" s="7">
        <v>168.35400000000001</v>
      </c>
      <c r="BF126" s="7">
        <v>168.35400000000001</v>
      </c>
      <c r="BG126" s="7">
        <v>0</v>
      </c>
      <c r="BH126" s="7">
        <v>0</v>
      </c>
      <c r="BI126" s="7">
        <v>0</v>
      </c>
      <c r="BJ126" s="21"/>
    </row>
    <row r="127" spans="1:62" ht="15.6" x14ac:dyDescent="0.3">
      <c r="A127" s="5" t="s">
        <v>243</v>
      </c>
      <c r="B127" s="5" t="s">
        <v>244</v>
      </c>
      <c r="C127" s="7">
        <v>4</v>
      </c>
      <c r="D127" s="7">
        <v>4</v>
      </c>
      <c r="E127" s="7">
        <v>33720.819000000003</v>
      </c>
      <c r="F127" s="7">
        <v>4816.5910000000003</v>
      </c>
      <c r="G127" s="7">
        <v>0</v>
      </c>
      <c r="H127" s="7">
        <v>0</v>
      </c>
      <c r="I127" s="7">
        <v>134.54400000000001</v>
      </c>
      <c r="J127" s="7">
        <v>0</v>
      </c>
      <c r="K127" s="7">
        <v>0</v>
      </c>
      <c r="L127" s="7">
        <v>70370.376999999993</v>
      </c>
      <c r="M127" s="7">
        <v>1773.3920000000001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1533.7339999999999</v>
      </c>
      <c r="T127" s="7">
        <v>0</v>
      </c>
      <c r="U127" s="7">
        <v>0</v>
      </c>
      <c r="V127" s="7">
        <v>0</v>
      </c>
      <c r="W127" s="7">
        <v>498.29899999999998</v>
      </c>
      <c r="X127" s="7">
        <v>0</v>
      </c>
      <c r="Y127" s="7">
        <v>16852.89</v>
      </c>
      <c r="Z127" s="7">
        <v>0</v>
      </c>
      <c r="AA127" s="7">
        <v>2945.8249999999998</v>
      </c>
      <c r="AB127" s="7">
        <v>0</v>
      </c>
      <c r="AC127" s="7">
        <v>987.65700000000004</v>
      </c>
      <c r="AD127" s="7">
        <v>0</v>
      </c>
      <c r="AE127" s="7">
        <v>45528.97</v>
      </c>
      <c r="AF127" s="7">
        <v>40885.087</v>
      </c>
      <c r="AG127" s="7">
        <v>0</v>
      </c>
      <c r="AH127" s="7">
        <v>126837.31600000001</v>
      </c>
      <c r="AI127" s="7">
        <v>59365.165000000001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1446.636</v>
      </c>
      <c r="AP127" s="7">
        <v>0</v>
      </c>
      <c r="AQ127" s="7">
        <v>16325.455</v>
      </c>
      <c r="AR127" s="7">
        <v>0</v>
      </c>
      <c r="AS127" s="7">
        <v>15.525</v>
      </c>
      <c r="AT127" s="7">
        <v>0</v>
      </c>
      <c r="AU127" s="7">
        <v>101.477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639.96299999999997</v>
      </c>
      <c r="BC127" s="7">
        <v>0</v>
      </c>
      <c r="BD127" s="7">
        <v>0</v>
      </c>
      <c r="BE127" s="7">
        <v>190.82900000000001</v>
      </c>
      <c r="BF127" s="7">
        <v>190.82900000000001</v>
      </c>
      <c r="BG127" s="7">
        <v>0</v>
      </c>
      <c r="BH127" s="7">
        <v>0</v>
      </c>
      <c r="BI127" s="7">
        <v>0</v>
      </c>
      <c r="BJ127" s="21"/>
    </row>
    <row r="128" spans="1:62" ht="15.6" x14ac:dyDescent="0.3">
      <c r="A128" s="5" t="s">
        <v>245</v>
      </c>
      <c r="B128" s="5" t="s">
        <v>246</v>
      </c>
      <c r="C128" s="7">
        <v>4</v>
      </c>
      <c r="D128" s="7">
        <v>6</v>
      </c>
      <c r="E128" s="7">
        <v>21.526</v>
      </c>
      <c r="F128" s="7">
        <v>15.504</v>
      </c>
      <c r="G128" s="7">
        <v>1.048</v>
      </c>
      <c r="H128" s="7">
        <v>0</v>
      </c>
      <c r="I128" s="7">
        <v>1.1379999999999999</v>
      </c>
      <c r="J128" s="7">
        <v>11.206</v>
      </c>
      <c r="K128" s="7">
        <v>0</v>
      </c>
      <c r="L128" s="7">
        <v>32.161999999999999</v>
      </c>
      <c r="M128" s="7">
        <v>1.7030000000000001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6.3</v>
      </c>
      <c r="T128" s="7">
        <v>0</v>
      </c>
      <c r="U128" s="7">
        <v>0</v>
      </c>
      <c r="V128" s="7">
        <v>2.5150000000000001</v>
      </c>
      <c r="W128" s="7">
        <v>2.1000000000000001E-2</v>
      </c>
      <c r="X128" s="7">
        <v>0</v>
      </c>
      <c r="Y128" s="7">
        <v>0.873</v>
      </c>
      <c r="Z128" s="7">
        <v>0</v>
      </c>
      <c r="AA128" s="7">
        <v>29.555</v>
      </c>
      <c r="AB128" s="7">
        <v>0</v>
      </c>
      <c r="AC128" s="7">
        <v>2.4990000000000001</v>
      </c>
      <c r="AD128" s="7">
        <v>0</v>
      </c>
      <c r="AE128" s="7">
        <v>7.6920000000000002</v>
      </c>
      <c r="AF128" s="7">
        <v>0.27500000000000002</v>
      </c>
      <c r="AG128" s="7">
        <v>0</v>
      </c>
      <c r="AH128" s="7">
        <v>52.204000000000001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6.4119999999999999</v>
      </c>
      <c r="AP128" s="7">
        <v>0</v>
      </c>
      <c r="AQ128" s="7">
        <v>4.1000000000000002E-2</v>
      </c>
      <c r="AR128" s="7">
        <v>0</v>
      </c>
      <c r="AS128" s="7">
        <v>2.1000000000000001E-2</v>
      </c>
      <c r="AT128" s="7">
        <v>0</v>
      </c>
      <c r="AU128" s="7">
        <v>1E-3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2.7829999999999999</v>
      </c>
      <c r="BC128" s="7">
        <v>0</v>
      </c>
      <c r="BD128" s="7">
        <v>0</v>
      </c>
      <c r="BE128" s="7">
        <v>0.83099999999999996</v>
      </c>
      <c r="BF128" s="7">
        <v>0.83099999999999996</v>
      </c>
      <c r="BG128" s="7">
        <v>0</v>
      </c>
      <c r="BH128" s="7">
        <v>0</v>
      </c>
      <c r="BI128" s="7">
        <v>0</v>
      </c>
      <c r="BJ128" s="21"/>
    </row>
    <row r="129" spans="1:62" ht="15.6" x14ac:dyDescent="0.3">
      <c r="A129" s="5" t="s">
        <v>247</v>
      </c>
      <c r="B129" s="5" t="s">
        <v>248</v>
      </c>
      <c r="C129" s="7">
        <v>6</v>
      </c>
      <c r="D129" s="7">
        <v>6</v>
      </c>
      <c r="E129" s="7">
        <v>52737.031999999999</v>
      </c>
      <c r="F129" s="7">
        <v>216.41800000000001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73917.645999999993</v>
      </c>
      <c r="M129" s="7">
        <v>11667.272999999999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6098.4089999999997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28145.455000000002</v>
      </c>
      <c r="AF129" s="7">
        <v>172.44</v>
      </c>
      <c r="AG129" s="7">
        <v>0</v>
      </c>
      <c r="AH129" s="7">
        <v>141040.77499999999</v>
      </c>
      <c r="AI129" s="7">
        <v>316.553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21"/>
    </row>
    <row r="130" spans="1:62" ht="15.6" x14ac:dyDescent="0.3">
      <c r="A130" s="5" t="s">
        <v>249</v>
      </c>
      <c r="B130" s="5" t="s">
        <v>250</v>
      </c>
      <c r="C130" s="7">
        <v>6</v>
      </c>
      <c r="D130" s="7">
        <v>6</v>
      </c>
      <c r="E130" s="7">
        <v>7185.9359999999997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17369.919000000002</v>
      </c>
      <c r="M130" s="7">
        <v>590.26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1073.634</v>
      </c>
      <c r="AF130" s="7">
        <v>0</v>
      </c>
      <c r="AG130" s="7">
        <v>0</v>
      </c>
      <c r="AH130" s="7">
        <v>7416.0320000000002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21"/>
    </row>
    <row r="131" spans="1:62" ht="15.6" x14ac:dyDescent="0.3">
      <c r="A131" s="5" t="s">
        <v>251</v>
      </c>
      <c r="B131" s="5" t="s">
        <v>252</v>
      </c>
      <c r="C131" s="7">
        <v>6</v>
      </c>
      <c r="D131" s="7">
        <v>6</v>
      </c>
      <c r="E131" s="7">
        <v>15940.829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88176.960000000006</v>
      </c>
      <c r="M131" s="7">
        <v>2315.3910000000001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268.428</v>
      </c>
      <c r="AB131" s="7">
        <v>0</v>
      </c>
      <c r="AC131" s="7">
        <v>0</v>
      </c>
      <c r="AD131" s="7">
        <v>0</v>
      </c>
      <c r="AE131" s="7">
        <v>21431.771000000001</v>
      </c>
      <c r="AF131" s="7">
        <v>0</v>
      </c>
      <c r="AG131" s="7">
        <v>0</v>
      </c>
      <c r="AH131" s="7">
        <v>122875.49</v>
      </c>
      <c r="AI131" s="7">
        <v>24241.473999999998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21"/>
    </row>
    <row r="132" spans="1:62" ht="15.6" x14ac:dyDescent="0.3">
      <c r="A132" s="5" t="s">
        <v>253</v>
      </c>
      <c r="B132" s="5" t="s">
        <v>254</v>
      </c>
      <c r="C132" s="7">
        <v>6</v>
      </c>
      <c r="D132" s="7">
        <v>6</v>
      </c>
      <c r="E132" s="7">
        <v>279118.61900000001</v>
      </c>
      <c r="F132" s="7">
        <v>14478.635</v>
      </c>
      <c r="G132" s="7">
        <v>11985.264999999999</v>
      </c>
      <c r="H132" s="7">
        <v>3980.3319999999999</v>
      </c>
      <c r="I132" s="7">
        <v>2114.973</v>
      </c>
      <c r="J132" s="7">
        <v>7699.51</v>
      </c>
      <c r="K132" s="7">
        <v>0</v>
      </c>
      <c r="L132" s="7">
        <v>328505.61599999998</v>
      </c>
      <c r="M132" s="7">
        <v>69742.005999999994</v>
      </c>
      <c r="N132" s="7">
        <v>0</v>
      </c>
      <c r="O132" s="7">
        <v>0</v>
      </c>
      <c r="P132" s="7">
        <v>285.93799999999999</v>
      </c>
      <c r="Q132" s="7">
        <v>0</v>
      </c>
      <c r="R132" s="7">
        <v>84.147000000000006</v>
      </c>
      <c r="S132" s="7">
        <v>3339.1</v>
      </c>
      <c r="T132" s="7">
        <v>0</v>
      </c>
      <c r="U132" s="7">
        <v>0</v>
      </c>
      <c r="V132" s="7">
        <v>1356.231</v>
      </c>
      <c r="W132" s="7">
        <v>3856.7640000000001</v>
      </c>
      <c r="X132" s="7">
        <v>0</v>
      </c>
      <c r="Y132" s="7">
        <v>53949.114999999998</v>
      </c>
      <c r="Z132" s="7">
        <v>0</v>
      </c>
      <c r="AA132" s="7">
        <v>12040.017</v>
      </c>
      <c r="AB132" s="7">
        <v>0</v>
      </c>
      <c r="AC132" s="7">
        <v>2060.7069999999999</v>
      </c>
      <c r="AD132" s="7">
        <v>0</v>
      </c>
      <c r="AE132" s="7">
        <v>192335.25899999999</v>
      </c>
      <c r="AF132" s="7">
        <v>10396.263000000001</v>
      </c>
      <c r="AG132" s="7">
        <v>0</v>
      </c>
      <c r="AH132" s="7">
        <v>628091.41799999995</v>
      </c>
      <c r="AI132" s="7">
        <v>13101.248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34.67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21"/>
    </row>
    <row r="133" spans="1:62" ht="15.6" x14ac:dyDescent="0.3">
      <c r="A133" s="5" t="s">
        <v>255</v>
      </c>
      <c r="B133" s="5" t="s">
        <v>256</v>
      </c>
      <c r="C133" s="7">
        <v>6</v>
      </c>
      <c r="D133" s="7">
        <v>6</v>
      </c>
      <c r="E133" s="7">
        <v>16592.561000000002</v>
      </c>
      <c r="F133" s="7">
        <v>1E-3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12084.201999999999</v>
      </c>
      <c r="M133" s="7">
        <v>1562.124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1795.846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8393.5059999999994</v>
      </c>
      <c r="AF133" s="7">
        <v>997.29300000000001</v>
      </c>
      <c r="AG133" s="7">
        <v>0</v>
      </c>
      <c r="AH133" s="7">
        <v>31012.614000000001</v>
      </c>
      <c r="AI133" s="7">
        <v>3292.384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21"/>
    </row>
    <row r="134" spans="1:62" ht="15.6" x14ac:dyDescent="0.3">
      <c r="A134" s="5" t="s">
        <v>257</v>
      </c>
      <c r="B134" s="5" t="s">
        <v>258</v>
      </c>
      <c r="C134" s="7">
        <v>6</v>
      </c>
      <c r="D134" s="7">
        <v>6</v>
      </c>
      <c r="E134" s="7">
        <v>143167.03899999999</v>
      </c>
      <c r="F134" s="7">
        <v>6283.4160000000002</v>
      </c>
      <c r="G134" s="7">
        <v>6317.7920000000004</v>
      </c>
      <c r="H134" s="7">
        <v>0</v>
      </c>
      <c r="I134" s="7">
        <v>1113.5889999999999</v>
      </c>
      <c r="J134" s="7">
        <v>3840.95</v>
      </c>
      <c r="K134" s="7">
        <v>0</v>
      </c>
      <c r="L134" s="7">
        <v>125600.223</v>
      </c>
      <c r="M134" s="7">
        <v>42650.483999999997</v>
      </c>
      <c r="N134" s="7">
        <v>0</v>
      </c>
      <c r="O134" s="7">
        <v>0</v>
      </c>
      <c r="P134" s="7">
        <v>184.34399999999999</v>
      </c>
      <c r="Q134" s="7">
        <v>0</v>
      </c>
      <c r="R134" s="7">
        <v>1.349</v>
      </c>
      <c r="S134" s="7">
        <v>0</v>
      </c>
      <c r="T134" s="7">
        <v>0</v>
      </c>
      <c r="U134" s="7">
        <v>0</v>
      </c>
      <c r="V134" s="7">
        <v>689.60299999999995</v>
      </c>
      <c r="W134" s="7">
        <v>2026.7760000000001</v>
      </c>
      <c r="X134" s="7">
        <v>0</v>
      </c>
      <c r="Y134" s="7">
        <v>25966.412</v>
      </c>
      <c r="Z134" s="7">
        <v>0</v>
      </c>
      <c r="AA134" s="7">
        <v>6418.0739999999996</v>
      </c>
      <c r="AB134" s="7">
        <v>0</v>
      </c>
      <c r="AC134" s="7">
        <v>955.875</v>
      </c>
      <c r="AD134" s="7">
        <v>0</v>
      </c>
      <c r="AE134" s="7">
        <v>109645.19500000001</v>
      </c>
      <c r="AF134" s="7">
        <v>1339.7170000000001</v>
      </c>
      <c r="AG134" s="7">
        <v>0</v>
      </c>
      <c r="AH134" s="7">
        <v>315647.522</v>
      </c>
      <c r="AI134" s="7">
        <v>1769.18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21"/>
    </row>
    <row r="135" spans="1:62" ht="15.6" x14ac:dyDescent="0.3">
      <c r="A135" s="5" t="s">
        <v>259</v>
      </c>
      <c r="B135" s="5" t="s">
        <v>260</v>
      </c>
      <c r="C135" s="7">
        <v>6</v>
      </c>
      <c r="D135" s="7">
        <v>6</v>
      </c>
      <c r="E135" s="7">
        <v>24997.054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48505.961000000003</v>
      </c>
      <c r="M135" s="7">
        <v>4168.1189999999997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6949.5659999999998</v>
      </c>
      <c r="AF135" s="7">
        <v>0</v>
      </c>
      <c r="AG135" s="7">
        <v>0</v>
      </c>
      <c r="AH135" s="7">
        <v>88254.856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21"/>
    </row>
    <row r="136" spans="1:62" ht="15.6" x14ac:dyDescent="0.3">
      <c r="A136" s="5" t="s">
        <v>261</v>
      </c>
      <c r="B136" s="5" t="s">
        <v>262</v>
      </c>
      <c r="C136" s="7">
        <v>6</v>
      </c>
      <c r="D136" s="7">
        <v>6</v>
      </c>
      <c r="E136" s="7">
        <v>958813.88399999996</v>
      </c>
      <c r="F136" s="7">
        <v>15211.109</v>
      </c>
      <c r="G136" s="7">
        <v>17245.919999999998</v>
      </c>
      <c r="H136" s="7">
        <v>2120.8539999999998</v>
      </c>
      <c r="I136" s="7">
        <v>3344.2190000000001</v>
      </c>
      <c r="J136" s="7">
        <v>9966.8819999999996</v>
      </c>
      <c r="K136" s="7">
        <v>0</v>
      </c>
      <c r="L136" s="7">
        <v>917908.78500000003</v>
      </c>
      <c r="M136" s="7">
        <v>255073.82</v>
      </c>
      <c r="N136" s="7">
        <v>0</v>
      </c>
      <c r="O136" s="7">
        <v>0</v>
      </c>
      <c r="P136" s="7">
        <v>501.52600000000001</v>
      </c>
      <c r="Q136" s="7">
        <v>0</v>
      </c>
      <c r="R136" s="7">
        <v>4.9240000000000004</v>
      </c>
      <c r="S136" s="7">
        <v>0</v>
      </c>
      <c r="T136" s="7">
        <v>0</v>
      </c>
      <c r="U136" s="7">
        <v>0</v>
      </c>
      <c r="V136" s="7">
        <v>1424.5509999999999</v>
      </c>
      <c r="W136" s="7">
        <v>4193.8500000000004</v>
      </c>
      <c r="X136" s="7">
        <v>0</v>
      </c>
      <c r="Y136" s="7">
        <v>177012.88699999999</v>
      </c>
      <c r="Z136" s="7">
        <v>0</v>
      </c>
      <c r="AA136" s="7">
        <v>33739.58</v>
      </c>
      <c r="AB136" s="7">
        <v>0</v>
      </c>
      <c r="AC136" s="7">
        <v>2080.9409999999998</v>
      </c>
      <c r="AD136" s="7">
        <v>0</v>
      </c>
      <c r="AE136" s="7">
        <v>604225.86800000002</v>
      </c>
      <c r="AF136" s="7">
        <v>20139.323</v>
      </c>
      <c r="AG136" s="7">
        <v>0</v>
      </c>
      <c r="AH136" s="7">
        <v>2140792.9670000002</v>
      </c>
      <c r="AI136" s="7">
        <v>60588.845999999998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87.427999999999997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21"/>
    </row>
    <row r="137" spans="1:62" ht="15.6" x14ac:dyDescent="0.3">
      <c r="A137" s="5" t="s">
        <v>263</v>
      </c>
      <c r="B137" s="5" t="s">
        <v>264</v>
      </c>
      <c r="C137" s="7">
        <v>4</v>
      </c>
      <c r="D137" s="7">
        <v>4</v>
      </c>
      <c r="E137" s="7">
        <v>3942.98</v>
      </c>
      <c r="F137" s="7">
        <v>641.12300000000005</v>
      </c>
      <c r="G137" s="7">
        <v>699.20699999999999</v>
      </c>
      <c r="H137" s="7">
        <v>510.005</v>
      </c>
      <c r="I137" s="7">
        <v>67.680999999999997</v>
      </c>
      <c r="J137" s="7">
        <v>403.20499999999998</v>
      </c>
      <c r="K137" s="7">
        <v>0</v>
      </c>
      <c r="L137" s="7">
        <v>3249.4580000000001</v>
      </c>
      <c r="M137" s="7">
        <v>1544.3</v>
      </c>
      <c r="N137" s="7">
        <v>0</v>
      </c>
      <c r="O137" s="7">
        <v>0</v>
      </c>
      <c r="P137" s="7">
        <v>9.5000000000000001E-2</v>
      </c>
      <c r="Q137" s="7">
        <v>0</v>
      </c>
      <c r="R137" s="7">
        <v>0</v>
      </c>
      <c r="S137" s="7">
        <v>264.77199999999999</v>
      </c>
      <c r="T137" s="7">
        <v>0</v>
      </c>
      <c r="U137" s="7">
        <v>0</v>
      </c>
      <c r="V137" s="7">
        <v>117.32299999999999</v>
      </c>
      <c r="W137" s="7">
        <v>159.69900000000001</v>
      </c>
      <c r="X137" s="7">
        <v>0</v>
      </c>
      <c r="Y137" s="7">
        <v>932.43799999999999</v>
      </c>
      <c r="Z137" s="7">
        <v>0</v>
      </c>
      <c r="AA137" s="7">
        <v>905.23599999999999</v>
      </c>
      <c r="AB137" s="7">
        <v>0</v>
      </c>
      <c r="AC137" s="7">
        <v>108.95099999999999</v>
      </c>
      <c r="AD137" s="7">
        <v>0</v>
      </c>
      <c r="AE137" s="7">
        <v>1637.6780000000001</v>
      </c>
      <c r="AF137" s="7">
        <v>1249.2639999999999</v>
      </c>
      <c r="AG137" s="7">
        <v>0</v>
      </c>
      <c r="AH137" s="7">
        <v>6029.8450000000003</v>
      </c>
      <c r="AI137" s="7">
        <v>1972.5889999999999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126.92</v>
      </c>
      <c r="AP137" s="7">
        <v>0</v>
      </c>
      <c r="AQ137" s="7">
        <v>491.55399999999997</v>
      </c>
      <c r="AR137" s="7">
        <v>0</v>
      </c>
      <c r="AS137" s="7">
        <v>2.3069999999999999</v>
      </c>
      <c r="AT137" s="7">
        <v>0</v>
      </c>
      <c r="AU137" s="7">
        <v>51.802</v>
      </c>
      <c r="AV137" s="7">
        <v>0</v>
      </c>
      <c r="AW137" s="7">
        <v>0</v>
      </c>
      <c r="AX137" s="7">
        <v>0</v>
      </c>
      <c r="AY137" s="7">
        <v>113.676</v>
      </c>
      <c r="AZ137" s="7">
        <v>839.726</v>
      </c>
      <c r="BA137" s="7">
        <v>0</v>
      </c>
      <c r="BB137" s="7">
        <v>55.613</v>
      </c>
      <c r="BC137" s="7">
        <v>57.850999999999999</v>
      </c>
      <c r="BD137" s="7">
        <v>1058.5060000000001</v>
      </c>
      <c r="BE137" s="7">
        <v>16.446999999999999</v>
      </c>
      <c r="BF137" s="7">
        <v>16.446999999999999</v>
      </c>
      <c r="BG137" s="7">
        <v>362.62700000000001</v>
      </c>
      <c r="BH137" s="7">
        <v>0</v>
      </c>
      <c r="BI137" s="7">
        <v>17.149999999999999</v>
      </c>
      <c r="BJ137" s="21"/>
    </row>
    <row r="138" spans="1:62" ht="15.6" x14ac:dyDescent="0.3">
      <c r="A138" s="5" t="s">
        <v>265</v>
      </c>
      <c r="B138" s="5" t="s">
        <v>266</v>
      </c>
      <c r="C138" s="7">
        <v>6</v>
      </c>
      <c r="D138" s="7">
        <v>6</v>
      </c>
      <c r="E138" s="7">
        <v>3840.9580000000001</v>
      </c>
      <c r="F138" s="7">
        <v>0</v>
      </c>
      <c r="G138" s="7">
        <v>0</v>
      </c>
      <c r="H138" s="7">
        <v>1.0999999999999999E-2</v>
      </c>
      <c r="I138" s="7">
        <v>0</v>
      </c>
      <c r="J138" s="7">
        <v>0</v>
      </c>
      <c r="K138" s="7">
        <v>0</v>
      </c>
      <c r="L138" s="7">
        <v>6201.7969999999996</v>
      </c>
      <c r="M138" s="7">
        <v>1202.6859999999999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1032.6220000000001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4397.4049999999997</v>
      </c>
      <c r="AF138" s="7">
        <v>6.0000000000000001E-3</v>
      </c>
      <c r="AG138" s="7">
        <v>0</v>
      </c>
      <c r="AH138" s="7">
        <v>14290.439</v>
      </c>
      <c r="AI138" s="7">
        <v>8.9999999999999993E-3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21"/>
    </row>
    <row r="139" spans="1:62" ht="15.6" x14ac:dyDescent="0.3">
      <c r="A139" s="5" t="s">
        <v>267</v>
      </c>
      <c r="B139" s="5" t="s">
        <v>268</v>
      </c>
      <c r="C139" s="7">
        <v>4</v>
      </c>
      <c r="D139" s="7">
        <v>4</v>
      </c>
      <c r="E139" s="7">
        <v>0.51800000000000002</v>
      </c>
      <c r="F139" s="7">
        <v>7.3999999999999996E-2</v>
      </c>
      <c r="G139" s="7">
        <v>0</v>
      </c>
      <c r="H139" s="7">
        <v>0</v>
      </c>
      <c r="I139" s="7">
        <v>2E-3</v>
      </c>
      <c r="J139" s="7">
        <v>0</v>
      </c>
      <c r="K139" s="7">
        <v>0</v>
      </c>
      <c r="L139" s="7">
        <v>1.079</v>
      </c>
      <c r="M139" s="7">
        <v>2.8000000000000001E-2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2.4E-2</v>
      </c>
      <c r="T139" s="7">
        <v>0</v>
      </c>
      <c r="U139" s="7">
        <v>0</v>
      </c>
      <c r="V139" s="7">
        <v>0</v>
      </c>
      <c r="W139" s="7">
        <v>8.0000000000000002E-3</v>
      </c>
      <c r="X139" s="7">
        <v>0</v>
      </c>
      <c r="Y139" s="7">
        <v>0.25900000000000001</v>
      </c>
      <c r="Z139" s="7">
        <v>0</v>
      </c>
      <c r="AA139" s="7">
        <v>4.4999999999999998E-2</v>
      </c>
      <c r="AB139" s="7">
        <v>0</v>
      </c>
      <c r="AC139" s="7">
        <v>1.4999999999999999E-2</v>
      </c>
      <c r="AD139" s="7">
        <v>0</v>
      </c>
      <c r="AE139" s="7">
        <v>0.69899999999999995</v>
      </c>
      <c r="AF139" s="7">
        <v>0.626</v>
      </c>
      <c r="AG139" s="7">
        <v>0</v>
      </c>
      <c r="AH139" s="7">
        <v>1.9450000000000001</v>
      </c>
      <c r="AI139" s="7">
        <v>0.91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2.3E-2</v>
      </c>
      <c r="AP139" s="7">
        <v>0</v>
      </c>
      <c r="AQ139" s="7">
        <v>0.251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0.01</v>
      </c>
      <c r="BC139" s="7">
        <v>0</v>
      </c>
      <c r="BD139" s="7">
        <v>0</v>
      </c>
      <c r="BE139" s="7">
        <v>2E-3</v>
      </c>
      <c r="BF139" s="7">
        <v>2E-3</v>
      </c>
      <c r="BG139" s="7">
        <v>0</v>
      </c>
      <c r="BH139" s="7">
        <v>0</v>
      </c>
      <c r="BI139" s="7">
        <v>0</v>
      </c>
      <c r="BJ139" s="21"/>
    </row>
    <row r="140" spans="1:62" ht="15.6" x14ac:dyDescent="0.3">
      <c r="A140" s="5" t="s">
        <v>269</v>
      </c>
      <c r="B140" s="5" t="s">
        <v>270</v>
      </c>
      <c r="C140" s="7">
        <v>6</v>
      </c>
      <c r="D140" s="7">
        <v>6</v>
      </c>
      <c r="E140" s="7">
        <v>1394.703</v>
      </c>
      <c r="F140" s="7">
        <v>11.778</v>
      </c>
      <c r="G140" s="7">
        <v>16.521999999999998</v>
      </c>
      <c r="H140" s="7">
        <v>0</v>
      </c>
      <c r="I140" s="7">
        <v>2.8650000000000002</v>
      </c>
      <c r="J140" s="7">
        <v>10.036</v>
      </c>
      <c r="K140" s="7">
        <v>0</v>
      </c>
      <c r="L140" s="7">
        <v>2084.1410000000001</v>
      </c>
      <c r="M140" s="7">
        <v>459.90899999999999</v>
      </c>
      <c r="N140" s="7">
        <v>0</v>
      </c>
      <c r="O140" s="7">
        <v>0</v>
      </c>
      <c r="P140" s="7">
        <v>0.51600000000000001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1.6739999999999999</v>
      </c>
      <c r="W140" s="7">
        <v>5.0359999999999996</v>
      </c>
      <c r="X140" s="7">
        <v>0</v>
      </c>
      <c r="Y140" s="7">
        <v>419.55500000000001</v>
      </c>
      <c r="Z140" s="7">
        <v>0</v>
      </c>
      <c r="AA140" s="7">
        <v>13.544</v>
      </c>
      <c r="AB140" s="7">
        <v>0</v>
      </c>
      <c r="AC140" s="7">
        <v>2.157</v>
      </c>
      <c r="AD140" s="7">
        <v>0</v>
      </c>
      <c r="AE140" s="7">
        <v>1637.752</v>
      </c>
      <c r="AF140" s="7">
        <v>0</v>
      </c>
      <c r="AG140" s="7">
        <v>0</v>
      </c>
      <c r="AH140" s="7">
        <v>4410.7060000000001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21"/>
    </row>
    <row r="141" spans="1:62" ht="15.6" x14ac:dyDescent="0.3">
      <c r="A141" s="5" t="s">
        <v>271</v>
      </c>
      <c r="B141" s="5" t="s">
        <v>272</v>
      </c>
      <c r="C141" s="7">
        <v>4</v>
      </c>
      <c r="D141" s="7">
        <v>4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21"/>
    </row>
    <row r="142" spans="1:62" ht="15.6" x14ac:dyDescent="0.3">
      <c r="A142" s="5" t="s">
        <v>273</v>
      </c>
      <c r="B142" s="5" t="s">
        <v>274</v>
      </c>
      <c r="C142" s="7">
        <v>6</v>
      </c>
      <c r="D142" s="7">
        <v>6</v>
      </c>
      <c r="E142" s="7">
        <v>381.93700000000001</v>
      </c>
      <c r="F142" s="7">
        <v>152.15700000000001</v>
      </c>
      <c r="G142" s="7">
        <v>0</v>
      </c>
      <c r="H142" s="7">
        <v>0</v>
      </c>
      <c r="I142" s="7">
        <v>2.948</v>
      </c>
      <c r="J142" s="7">
        <v>0</v>
      </c>
      <c r="K142" s="7">
        <v>0</v>
      </c>
      <c r="L142" s="7">
        <v>1756.4280000000001</v>
      </c>
      <c r="M142" s="7">
        <v>80.912000000000006</v>
      </c>
      <c r="N142" s="7">
        <v>0</v>
      </c>
      <c r="O142" s="7">
        <v>-76.311999999999998</v>
      </c>
      <c r="P142" s="7">
        <v>0.03</v>
      </c>
      <c r="Q142" s="7">
        <v>-67.546000000000006</v>
      </c>
      <c r="R142" s="7">
        <v>0</v>
      </c>
      <c r="S142" s="7">
        <v>49.716999999999999</v>
      </c>
      <c r="T142" s="7">
        <v>0</v>
      </c>
      <c r="U142" s="7">
        <v>0</v>
      </c>
      <c r="V142" s="7">
        <v>0</v>
      </c>
      <c r="W142" s="7">
        <v>17.477</v>
      </c>
      <c r="X142" s="7">
        <v>0</v>
      </c>
      <c r="Y142" s="7">
        <v>351.72199999999998</v>
      </c>
      <c r="Z142" s="7">
        <v>0</v>
      </c>
      <c r="AA142" s="7">
        <v>54.168999999999997</v>
      </c>
      <c r="AB142" s="7">
        <v>-4929.7460000000001</v>
      </c>
      <c r="AC142" s="7">
        <v>31.734000000000002</v>
      </c>
      <c r="AD142" s="7">
        <v>0</v>
      </c>
      <c r="AE142" s="7">
        <v>302.28500000000003</v>
      </c>
      <c r="AF142" s="7">
        <v>1038.8900000000001</v>
      </c>
      <c r="AG142" s="7">
        <v>0</v>
      </c>
      <c r="AH142" s="7">
        <v>2761.0590000000002</v>
      </c>
      <c r="AI142" s="7">
        <v>1639.26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34.707000000000001</v>
      </c>
      <c r="AP142" s="7">
        <v>0</v>
      </c>
      <c r="AQ142" s="7">
        <v>409.017</v>
      </c>
      <c r="AR142" s="7">
        <v>0</v>
      </c>
      <c r="AS142" s="7">
        <v>0.46800000000000003</v>
      </c>
      <c r="AT142" s="7">
        <v>0</v>
      </c>
      <c r="AU142" s="7">
        <v>3.464</v>
      </c>
      <c r="AV142" s="7">
        <v>0</v>
      </c>
      <c r="AW142" s="7">
        <v>0</v>
      </c>
      <c r="AX142" s="7">
        <v>0</v>
      </c>
      <c r="AY142" s="7">
        <v>17.864000000000001</v>
      </c>
      <c r="AZ142" s="7">
        <v>698.721</v>
      </c>
      <c r="BA142" s="7">
        <v>0</v>
      </c>
      <c r="BB142" s="7">
        <v>14.864000000000001</v>
      </c>
      <c r="BC142" s="7">
        <v>0</v>
      </c>
      <c r="BD142" s="7">
        <v>880.76700000000005</v>
      </c>
      <c r="BE142" s="7">
        <v>4.3170000000000002</v>
      </c>
      <c r="BF142" s="7">
        <v>4.3170000000000002</v>
      </c>
      <c r="BG142" s="7">
        <v>301.738</v>
      </c>
      <c r="BH142" s="7">
        <v>0</v>
      </c>
      <c r="BI142" s="7">
        <v>0</v>
      </c>
      <c r="BJ142" s="21"/>
    </row>
    <row r="143" spans="1:62" ht="15.6" x14ac:dyDescent="0.3">
      <c r="A143" s="5" t="s">
        <v>275</v>
      </c>
      <c r="B143" s="5" t="s">
        <v>276</v>
      </c>
      <c r="C143" s="7">
        <v>6</v>
      </c>
      <c r="D143" s="7">
        <v>6</v>
      </c>
      <c r="E143" s="7">
        <v>3987.1979999999999</v>
      </c>
      <c r="F143" s="7">
        <v>1859.694</v>
      </c>
      <c r="G143" s="7">
        <v>1368.415</v>
      </c>
      <c r="H143" s="7">
        <v>145.02199999999999</v>
      </c>
      <c r="I143" s="7">
        <v>207.625</v>
      </c>
      <c r="J143" s="7">
        <v>807.44799999999998</v>
      </c>
      <c r="K143" s="7">
        <v>0</v>
      </c>
      <c r="L143" s="7">
        <v>806.57100000000003</v>
      </c>
      <c r="M143" s="7">
        <v>2498.2840000000001</v>
      </c>
      <c r="N143" s="7">
        <v>0</v>
      </c>
      <c r="O143" s="7">
        <v>18.956</v>
      </c>
      <c r="P143" s="7">
        <v>30.231000000000002</v>
      </c>
      <c r="Q143" s="7">
        <v>14.542</v>
      </c>
      <c r="R143" s="7">
        <v>14.048</v>
      </c>
      <c r="S143" s="7">
        <v>305.81799999999998</v>
      </c>
      <c r="T143" s="7">
        <v>0</v>
      </c>
      <c r="U143" s="7">
        <v>0</v>
      </c>
      <c r="V143" s="7">
        <v>137.76</v>
      </c>
      <c r="W143" s="7">
        <v>397.88799999999998</v>
      </c>
      <c r="X143" s="7">
        <v>1582.4949999999999</v>
      </c>
      <c r="Y143" s="7">
        <v>3926.4740000000002</v>
      </c>
      <c r="Z143" s="7">
        <v>372.82</v>
      </c>
      <c r="AA143" s="7">
        <v>1833.07</v>
      </c>
      <c r="AB143" s="7">
        <v>406.41300000000001</v>
      </c>
      <c r="AC143" s="7">
        <v>290.99299999999999</v>
      </c>
      <c r="AD143" s="7">
        <v>46.691000000000003</v>
      </c>
      <c r="AE143" s="7">
        <v>10092.800999999999</v>
      </c>
      <c r="AF143" s="7">
        <v>7084.7049999999999</v>
      </c>
      <c r="AG143" s="7">
        <v>195.04900000000001</v>
      </c>
      <c r="AH143" s="7">
        <v>-6359.1859999999997</v>
      </c>
      <c r="AI143" s="7">
        <v>11950.684999999999</v>
      </c>
      <c r="AJ143" s="7">
        <v>1873.8</v>
      </c>
      <c r="AK143" s="7">
        <v>62579.455000000002</v>
      </c>
      <c r="AL143" s="7">
        <v>32613.575000000001</v>
      </c>
      <c r="AM143" s="7">
        <v>0</v>
      </c>
      <c r="AN143" s="7">
        <v>21541.215</v>
      </c>
      <c r="AO143" s="7">
        <v>271.48099999999999</v>
      </c>
      <c r="AP143" s="7">
        <v>0</v>
      </c>
      <c r="AQ143" s="7">
        <v>2882.4380000000001</v>
      </c>
      <c r="AR143" s="7">
        <v>0</v>
      </c>
      <c r="AS143" s="7">
        <v>5.9240000000000004</v>
      </c>
      <c r="AT143" s="7">
        <v>0</v>
      </c>
      <c r="AU143" s="7">
        <v>13.384</v>
      </c>
      <c r="AV143" s="7">
        <v>0</v>
      </c>
      <c r="AW143" s="7">
        <v>0</v>
      </c>
      <c r="AX143" s="7">
        <v>2016.4870000000001</v>
      </c>
      <c r="AY143" s="7">
        <v>84.646000000000001</v>
      </c>
      <c r="AZ143" s="7">
        <v>94.039000000000001</v>
      </c>
      <c r="BA143" s="7">
        <v>1516.2370000000001</v>
      </c>
      <c r="BB143" s="7">
        <v>135.89099999999999</v>
      </c>
      <c r="BC143" s="7">
        <v>44.176000000000002</v>
      </c>
      <c r="BD143" s="7">
        <v>56.262999999999998</v>
      </c>
      <c r="BE143" s="7">
        <v>39.615000000000002</v>
      </c>
      <c r="BF143" s="7">
        <v>39.615000000000002</v>
      </c>
      <c r="BG143" s="7">
        <v>51.48</v>
      </c>
      <c r="BH143" s="7">
        <v>1141.0340000000001</v>
      </c>
      <c r="BI143" s="7">
        <v>18.364999999999998</v>
      </c>
      <c r="BJ143" s="21"/>
    </row>
    <row r="144" spans="1:62" ht="15.6" x14ac:dyDescent="0.3">
      <c r="A144" s="5" t="s">
        <v>277</v>
      </c>
      <c r="B144" s="5" t="s">
        <v>278</v>
      </c>
      <c r="C144" s="7">
        <v>6</v>
      </c>
      <c r="D144" s="7">
        <v>6</v>
      </c>
      <c r="E144" s="7">
        <v>6772.8680000000004</v>
      </c>
      <c r="F144" s="7">
        <v>484.80700000000002</v>
      </c>
      <c r="G144" s="7">
        <v>202.85300000000001</v>
      </c>
      <c r="H144" s="7">
        <v>0</v>
      </c>
      <c r="I144" s="7">
        <v>111.684</v>
      </c>
      <c r="J144" s="7">
        <v>165.51400000000001</v>
      </c>
      <c r="K144" s="7">
        <v>0</v>
      </c>
      <c r="L144" s="7">
        <v>8229.6470000000008</v>
      </c>
      <c r="M144" s="7">
        <v>1294.5329999999999</v>
      </c>
      <c r="N144" s="7">
        <v>0</v>
      </c>
      <c r="O144" s="7">
        <v>0</v>
      </c>
      <c r="P144" s="7">
        <v>8.2780000000000005</v>
      </c>
      <c r="Q144" s="7">
        <v>0</v>
      </c>
      <c r="R144" s="7">
        <v>0.26200000000000001</v>
      </c>
      <c r="S144" s="7">
        <v>175.12100000000001</v>
      </c>
      <c r="T144" s="7">
        <v>0</v>
      </c>
      <c r="U144" s="7">
        <v>0</v>
      </c>
      <c r="V144" s="7">
        <v>68.432000000000002</v>
      </c>
      <c r="W144" s="7">
        <v>146.37299999999999</v>
      </c>
      <c r="X144" s="7">
        <v>0</v>
      </c>
      <c r="Y144" s="7">
        <v>1753.4280000000001</v>
      </c>
      <c r="Z144" s="7">
        <v>0</v>
      </c>
      <c r="AA144" s="7">
        <v>739.86500000000001</v>
      </c>
      <c r="AB144" s="7">
        <v>0</v>
      </c>
      <c r="AC144" s="7">
        <v>125.20699999999999</v>
      </c>
      <c r="AD144" s="7">
        <v>2.1999999999999999E-2</v>
      </c>
      <c r="AE144" s="7">
        <v>5731.3739999999998</v>
      </c>
      <c r="AF144" s="7">
        <v>1988.674</v>
      </c>
      <c r="AG144" s="7">
        <v>9.4E-2</v>
      </c>
      <c r="AH144" s="7">
        <v>16540.352999999999</v>
      </c>
      <c r="AI144" s="7">
        <v>2907.34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128.828</v>
      </c>
      <c r="AP144" s="7">
        <v>0</v>
      </c>
      <c r="AQ144" s="7">
        <v>773.72500000000002</v>
      </c>
      <c r="AR144" s="7">
        <v>0</v>
      </c>
      <c r="AS144" s="7">
        <v>0.45100000000000001</v>
      </c>
      <c r="AT144" s="7">
        <v>0</v>
      </c>
      <c r="AU144" s="7">
        <v>6.1289999999999996</v>
      </c>
      <c r="AV144" s="7">
        <v>0</v>
      </c>
      <c r="AW144" s="7">
        <v>0</v>
      </c>
      <c r="AX144" s="7">
        <v>0</v>
      </c>
      <c r="AY144" s="7">
        <v>1.6479999999999999</v>
      </c>
      <c r="AZ144" s="7">
        <v>9.3870000000000005</v>
      </c>
      <c r="BA144" s="7">
        <v>0</v>
      </c>
      <c r="BB144" s="7">
        <v>60.113</v>
      </c>
      <c r="BC144" s="7">
        <v>-0.77800000000000002</v>
      </c>
      <c r="BD144" s="7">
        <v>10.83</v>
      </c>
      <c r="BE144" s="7">
        <v>18.423999999999999</v>
      </c>
      <c r="BF144" s="7">
        <v>18.423999999999999</v>
      </c>
      <c r="BG144" s="7">
        <v>3.8279999999999998</v>
      </c>
      <c r="BH144" s="7">
        <v>0</v>
      </c>
      <c r="BI144" s="7">
        <v>-0.437</v>
      </c>
      <c r="BJ144" s="21"/>
    </row>
    <row r="145" spans="1:62" ht="15.6" x14ac:dyDescent="0.3">
      <c r="A145" s="5" t="s">
        <v>279</v>
      </c>
      <c r="B145" s="5" t="s">
        <v>280</v>
      </c>
      <c r="C145" s="7">
        <v>6</v>
      </c>
      <c r="D145" s="7">
        <v>6</v>
      </c>
      <c r="E145" s="7">
        <v>-1064.9549999999999</v>
      </c>
      <c r="F145" s="7">
        <v>-85.522999999999996</v>
      </c>
      <c r="G145" s="7">
        <v>-173.428</v>
      </c>
      <c r="H145" s="7">
        <v>0</v>
      </c>
      <c r="I145" s="7">
        <v>-24.088000000000001</v>
      </c>
      <c r="J145" s="7">
        <v>-112.438</v>
      </c>
      <c r="K145" s="7">
        <v>15.986000000000001</v>
      </c>
      <c r="L145" s="7">
        <v>-441.60399999999998</v>
      </c>
      <c r="M145" s="7">
        <v>-300.14600000000002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-26.236999999999998</v>
      </c>
      <c r="T145" s="7">
        <v>0</v>
      </c>
      <c r="U145" s="7">
        <v>13.615</v>
      </c>
      <c r="V145" s="7">
        <v>-19.846</v>
      </c>
      <c r="W145" s="7">
        <v>-29.783000000000001</v>
      </c>
      <c r="X145" s="7">
        <v>0</v>
      </c>
      <c r="Y145" s="7">
        <v>-267.10899999999998</v>
      </c>
      <c r="Z145" s="7">
        <v>0</v>
      </c>
      <c r="AA145" s="7">
        <v>-232.32</v>
      </c>
      <c r="AB145" s="7">
        <v>0</v>
      </c>
      <c r="AC145" s="7">
        <v>-12.295999999999999</v>
      </c>
      <c r="AD145" s="7">
        <v>-5.2770000000000001</v>
      </c>
      <c r="AE145" s="7">
        <v>-760.77200000000005</v>
      </c>
      <c r="AF145" s="7">
        <v>0</v>
      </c>
      <c r="AG145" s="7">
        <v>-22.402000000000001</v>
      </c>
      <c r="AH145" s="7">
        <v>-1448.3230000000001</v>
      </c>
      <c r="AI145" s="7">
        <v>0</v>
      </c>
      <c r="AJ145" s="7">
        <v>0</v>
      </c>
      <c r="AK145" s="7">
        <v>0</v>
      </c>
      <c r="AL145" s="7">
        <v>0</v>
      </c>
      <c r="AM145" s="7">
        <v>3.4140000000000001</v>
      </c>
      <c r="AN145" s="7">
        <v>0</v>
      </c>
      <c r="AO145" s="7">
        <v>-14.845000000000001</v>
      </c>
      <c r="AP145" s="7">
        <v>0</v>
      </c>
      <c r="AQ145" s="7">
        <v>0</v>
      </c>
      <c r="AR145" s="7">
        <v>0</v>
      </c>
      <c r="AS145" s="7">
        <v>-0.61399999999999999</v>
      </c>
      <c r="AT145" s="7">
        <v>0</v>
      </c>
      <c r="AU145" s="7">
        <v>-10.116</v>
      </c>
      <c r="AV145" s="7">
        <v>0</v>
      </c>
      <c r="AW145" s="7">
        <v>0</v>
      </c>
      <c r="AX145" s="7">
        <v>0</v>
      </c>
      <c r="AY145" s="7">
        <v>-13.932</v>
      </c>
      <c r="AZ145" s="7">
        <v>0</v>
      </c>
      <c r="BA145" s="7">
        <v>0</v>
      </c>
      <c r="BB145" s="7">
        <v>-6.992</v>
      </c>
      <c r="BC145" s="7">
        <v>-6.55</v>
      </c>
      <c r="BD145" s="7">
        <v>0</v>
      </c>
      <c r="BE145" s="7">
        <v>-2.012</v>
      </c>
      <c r="BF145" s="7">
        <v>-2.012</v>
      </c>
      <c r="BG145" s="7">
        <v>0</v>
      </c>
      <c r="BH145" s="7">
        <v>0</v>
      </c>
      <c r="BI145" s="7">
        <v>-1.623</v>
      </c>
      <c r="BJ145" s="21"/>
    </row>
    <row r="146" spans="1:62" ht="15.6" x14ac:dyDescent="0.3">
      <c r="A146" s="5" t="s">
        <v>281</v>
      </c>
      <c r="B146" s="5" t="s">
        <v>282</v>
      </c>
      <c r="C146" s="7">
        <v>6</v>
      </c>
      <c r="D146" s="7">
        <v>6</v>
      </c>
      <c r="E146" s="7">
        <v>-69.332999999999998</v>
      </c>
      <c r="F146" s="7">
        <v>-5.3280000000000003</v>
      </c>
      <c r="G146" s="7">
        <v>182.447</v>
      </c>
      <c r="H146" s="7">
        <v>0</v>
      </c>
      <c r="I146" s="7">
        <v>-1.6220000000000001</v>
      </c>
      <c r="J146" s="7">
        <v>141.571</v>
      </c>
      <c r="K146" s="7">
        <v>0</v>
      </c>
      <c r="L146" s="7">
        <v>55.804000000000002</v>
      </c>
      <c r="M146" s="7">
        <v>121.636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-1.6279999999999999</v>
      </c>
      <c r="T146" s="7">
        <v>0</v>
      </c>
      <c r="U146" s="7">
        <v>0</v>
      </c>
      <c r="V146" s="7">
        <v>-1.327</v>
      </c>
      <c r="W146" s="7">
        <v>-1.87</v>
      </c>
      <c r="X146" s="7">
        <v>0</v>
      </c>
      <c r="Y146" s="7">
        <v>-15.484</v>
      </c>
      <c r="Z146" s="7">
        <v>0</v>
      </c>
      <c r="AA146" s="7">
        <v>-16.916</v>
      </c>
      <c r="AB146" s="7">
        <v>0</v>
      </c>
      <c r="AC146" s="7">
        <v>-0.72299999999999998</v>
      </c>
      <c r="AD146" s="7">
        <v>-0.41099999999999998</v>
      </c>
      <c r="AE146" s="7">
        <v>46.393000000000001</v>
      </c>
      <c r="AF146" s="7">
        <v>0</v>
      </c>
      <c r="AG146" s="7">
        <v>-1.744</v>
      </c>
      <c r="AH146" s="7">
        <v>-82.703000000000003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-1.0349999999999999</v>
      </c>
      <c r="AP146" s="7">
        <v>0</v>
      </c>
      <c r="AQ146" s="7">
        <v>0</v>
      </c>
      <c r="AR146" s="7">
        <v>0</v>
      </c>
      <c r="AS146" s="7">
        <v>-4.5999999999999999E-2</v>
      </c>
      <c r="AT146" s="7">
        <v>0</v>
      </c>
      <c r="AU146" s="7">
        <v>-0.78</v>
      </c>
      <c r="AV146" s="7">
        <v>0</v>
      </c>
      <c r="AW146" s="7">
        <v>0</v>
      </c>
      <c r="AX146" s="7">
        <v>0</v>
      </c>
      <c r="AY146" s="7">
        <v>-1.0840000000000001</v>
      </c>
      <c r="AZ146" s="7">
        <v>0</v>
      </c>
      <c r="BA146" s="7">
        <v>0</v>
      </c>
      <c r="BB146" s="7">
        <v>-0.48799999999999999</v>
      </c>
      <c r="BC146" s="7">
        <v>-0.51100000000000001</v>
      </c>
      <c r="BD146" s="7">
        <v>0</v>
      </c>
      <c r="BE146" s="7">
        <v>-0.13500000000000001</v>
      </c>
      <c r="BF146" s="7">
        <v>-0.13500000000000001</v>
      </c>
      <c r="BG146" s="7">
        <v>0</v>
      </c>
      <c r="BH146" s="7">
        <v>0</v>
      </c>
      <c r="BI146" s="7">
        <v>-0.127</v>
      </c>
      <c r="BJ146" s="21"/>
    </row>
    <row r="147" spans="1:62" ht="15.6" x14ac:dyDescent="0.3">
      <c r="A147" s="5" t="s">
        <v>283</v>
      </c>
      <c r="B147" s="5" t="s">
        <v>284</v>
      </c>
      <c r="C147" s="7">
        <v>4</v>
      </c>
      <c r="D147" s="7">
        <v>4</v>
      </c>
      <c r="E147" s="7">
        <v>-11639.366</v>
      </c>
      <c r="F147" s="7">
        <v>-1813.0550000000001</v>
      </c>
      <c r="G147" s="7">
        <v>-5.8890000000000002</v>
      </c>
      <c r="H147" s="7">
        <v>0</v>
      </c>
      <c r="I147" s="7">
        <v>-52.881</v>
      </c>
      <c r="J147" s="7">
        <v>-5.39</v>
      </c>
      <c r="K147" s="7">
        <v>0</v>
      </c>
      <c r="L147" s="7">
        <v>-27497.866999999998</v>
      </c>
      <c r="M147" s="7">
        <v>-3185.569</v>
      </c>
      <c r="N147" s="7">
        <v>0</v>
      </c>
      <c r="O147" s="7">
        <v>-43.774000000000001</v>
      </c>
      <c r="P147" s="7">
        <v>0</v>
      </c>
      <c r="Q147" s="7">
        <v>-14.84</v>
      </c>
      <c r="R147" s="7">
        <v>0</v>
      </c>
      <c r="S147" s="7">
        <v>-576.63699999999994</v>
      </c>
      <c r="T147" s="7">
        <v>0</v>
      </c>
      <c r="U147" s="7">
        <v>0</v>
      </c>
      <c r="V147" s="7">
        <v>-1.427</v>
      </c>
      <c r="W147" s="7">
        <v>-190.01</v>
      </c>
      <c r="X147" s="7">
        <v>64.67</v>
      </c>
      <c r="Y147" s="7">
        <v>-5587.7030000000004</v>
      </c>
      <c r="Z147" s="7">
        <v>-17.925999999999998</v>
      </c>
      <c r="AA147" s="7">
        <v>-1089.03</v>
      </c>
      <c r="AB147" s="7">
        <v>-1105.0350000000001</v>
      </c>
      <c r="AC147" s="7">
        <v>-370.11700000000002</v>
      </c>
      <c r="AD147" s="7">
        <v>-70.927000000000007</v>
      </c>
      <c r="AE147" s="7">
        <v>-14028.64</v>
      </c>
      <c r="AF147" s="7">
        <v>-15956.450999999999</v>
      </c>
      <c r="AG147" s="7">
        <v>-607.56700000000001</v>
      </c>
      <c r="AH147" s="7">
        <v>-43567.955999999998</v>
      </c>
      <c r="AI147" s="7">
        <v>-24908.306</v>
      </c>
      <c r="AJ147" s="7">
        <v>-8.3740000000000006</v>
      </c>
      <c r="AK147" s="7">
        <v>1050.518</v>
      </c>
      <c r="AL147" s="7">
        <v>547.48199999999997</v>
      </c>
      <c r="AM147" s="7">
        <v>0</v>
      </c>
      <c r="AN147" s="7">
        <v>361.61099999999999</v>
      </c>
      <c r="AO147" s="7">
        <v>-534.92700000000002</v>
      </c>
      <c r="AP147" s="7">
        <v>0</v>
      </c>
      <c r="AQ147" s="7">
        <v>-6351.6570000000002</v>
      </c>
      <c r="AR147" s="7">
        <v>0</v>
      </c>
      <c r="AS147" s="7">
        <v>-5.7080000000000002</v>
      </c>
      <c r="AT147" s="7">
        <v>0</v>
      </c>
      <c r="AU147" s="7">
        <v>-36.93</v>
      </c>
      <c r="AV147" s="7">
        <v>0</v>
      </c>
      <c r="AW147" s="7">
        <v>0</v>
      </c>
      <c r="AX147" s="7">
        <v>82.405000000000001</v>
      </c>
      <c r="AY147" s="7">
        <v>0.755</v>
      </c>
      <c r="AZ147" s="7">
        <v>0</v>
      </c>
      <c r="BA147" s="7">
        <v>61.65</v>
      </c>
      <c r="BB147" s="7">
        <v>-236.648</v>
      </c>
      <c r="BC147" s="7">
        <v>0.35399999999999998</v>
      </c>
      <c r="BD147" s="7">
        <v>0</v>
      </c>
      <c r="BE147" s="7">
        <v>-70.626999999999995</v>
      </c>
      <c r="BF147" s="7">
        <v>-70.626999999999995</v>
      </c>
      <c r="BG147" s="7">
        <v>0</v>
      </c>
      <c r="BH147" s="7">
        <v>-44.377000000000002</v>
      </c>
      <c r="BI147" s="7">
        <v>8.7999999999999995E-2</v>
      </c>
      <c r="BJ147" s="21"/>
    </row>
    <row r="148" spans="1:62" ht="15.6" x14ac:dyDescent="0.3">
      <c r="A148" s="5" t="s">
        <v>285</v>
      </c>
      <c r="B148" s="5" t="s">
        <v>286</v>
      </c>
      <c r="C148" s="7">
        <v>6</v>
      </c>
      <c r="D148" s="7">
        <v>6</v>
      </c>
      <c r="E148" s="7">
        <v>-12992.962</v>
      </c>
      <c r="F148" s="7">
        <v>-1838.277</v>
      </c>
      <c r="G148" s="7">
        <v>0</v>
      </c>
      <c r="H148" s="7">
        <v>0</v>
      </c>
      <c r="I148" s="7">
        <v>-51.347000000000001</v>
      </c>
      <c r="J148" s="7">
        <v>0</v>
      </c>
      <c r="K148" s="7">
        <v>0</v>
      </c>
      <c r="L148" s="7">
        <v>-26857.316999999999</v>
      </c>
      <c r="M148" s="7">
        <v>-676.82299999999998</v>
      </c>
      <c r="N148" s="7">
        <v>0</v>
      </c>
      <c r="O148" s="7">
        <v>-483.49</v>
      </c>
      <c r="P148" s="7">
        <v>0</v>
      </c>
      <c r="Q148" s="7">
        <v>-160.661</v>
      </c>
      <c r="R148" s="7">
        <v>0</v>
      </c>
      <c r="S148" s="7">
        <v>-585.35400000000004</v>
      </c>
      <c r="T148" s="7">
        <v>0</v>
      </c>
      <c r="U148" s="7">
        <v>0</v>
      </c>
      <c r="V148" s="7">
        <v>0</v>
      </c>
      <c r="W148" s="7">
        <v>-190.17699999999999</v>
      </c>
      <c r="X148" s="7">
        <v>-7630.0249999999996</v>
      </c>
      <c r="Y148" s="7">
        <v>-6431.9989999999998</v>
      </c>
      <c r="Z148" s="7">
        <v>-1477.893</v>
      </c>
      <c r="AA148" s="7">
        <v>-1124.288</v>
      </c>
      <c r="AB148" s="7">
        <v>-12747.901</v>
      </c>
      <c r="AC148" s="7">
        <v>-376.94799999999998</v>
      </c>
      <c r="AD148" s="7">
        <v>-463.62400000000002</v>
      </c>
      <c r="AE148" s="7">
        <v>-18649.078000000001</v>
      </c>
      <c r="AF148" s="7">
        <v>-15604.008</v>
      </c>
      <c r="AG148" s="7">
        <v>-4034.1709999999998</v>
      </c>
      <c r="AH148" s="7">
        <v>-48408.135999999999</v>
      </c>
      <c r="AI148" s="7">
        <v>-22657.028999999999</v>
      </c>
      <c r="AJ148" s="7">
        <v>-7268.152</v>
      </c>
      <c r="AK148" s="7">
        <v>-482742.40399999998</v>
      </c>
      <c r="AL148" s="7">
        <v>-251583.43900000001</v>
      </c>
      <c r="AM148" s="7">
        <v>0</v>
      </c>
      <c r="AN148" s="7">
        <v>-166170.484</v>
      </c>
      <c r="AO148" s="7">
        <v>-552.11699999999996</v>
      </c>
      <c r="AP148" s="7">
        <v>0</v>
      </c>
      <c r="AQ148" s="7">
        <v>-6230.6970000000001</v>
      </c>
      <c r="AR148" s="7">
        <v>0</v>
      </c>
      <c r="AS148" s="7">
        <v>-5.9240000000000004</v>
      </c>
      <c r="AT148" s="7">
        <v>0</v>
      </c>
      <c r="AU148" s="7">
        <v>-38.722999999999999</v>
      </c>
      <c r="AV148" s="7">
        <v>0</v>
      </c>
      <c r="AW148" s="7">
        <v>0</v>
      </c>
      <c r="AX148" s="7">
        <v>-9722.5059999999994</v>
      </c>
      <c r="AY148" s="7">
        <v>0</v>
      </c>
      <c r="AZ148" s="7">
        <v>0</v>
      </c>
      <c r="BA148" s="7">
        <v>-7273.817</v>
      </c>
      <c r="BB148" s="7">
        <v>-244.24299999999999</v>
      </c>
      <c r="BC148" s="7">
        <v>0</v>
      </c>
      <c r="BD148" s="7">
        <v>0</v>
      </c>
      <c r="BE148" s="7">
        <v>-72.828000000000003</v>
      </c>
      <c r="BF148" s="7">
        <v>-72.828000000000003</v>
      </c>
      <c r="BG148" s="7">
        <v>0</v>
      </c>
      <c r="BH148" s="7">
        <v>-4223.4830000000002</v>
      </c>
      <c r="BI148" s="7">
        <v>0</v>
      </c>
      <c r="BJ148" s="21"/>
    </row>
    <row r="149" spans="1:62" ht="15.6" x14ac:dyDescent="0.3">
      <c r="A149" s="5" t="s">
        <v>287</v>
      </c>
      <c r="B149" s="5" t="s">
        <v>288</v>
      </c>
      <c r="C149" s="7">
        <v>6</v>
      </c>
      <c r="D149" s="7">
        <v>6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21"/>
    </row>
    <row r="150" spans="1:62" ht="15.6" x14ac:dyDescent="0.3">
      <c r="A150" s="5" t="s">
        <v>289</v>
      </c>
      <c r="B150" s="5" t="s">
        <v>290</v>
      </c>
      <c r="C150" s="7">
        <v>6</v>
      </c>
      <c r="D150" s="7">
        <v>6</v>
      </c>
      <c r="E150" s="7">
        <v>-7.6779999999999999</v>
      </c>
      <c r="F150" s="7">
        <v>-0.34799999999999998</v>
      </c>
      <c r="G150" s="7">
        <v>-2.5419999999999998</v>
      </c>
      <c r="H150" s="7">
        <v>0</v>
      </c>
      <c r="I150" s="7">
        <v>2.7E-2</v>
      </c>
      <c r="J150" s="7">
        <v>-0.31</v>
      </c>
      <c r="K150" s="7">
        <v>0</v>
      </c>
      <c r="L150" s="7">
        <v>-8.4629999999999992</v>
      </c>
      <c r="M150" s="7">
        <v>-1.538</v>
      </c>
      <c r="N150" s="7">
        <v>0</v>
      </c>
      <c r="O150" s="7">
        <v>0</v>
      </c>
      <c r="P150" s="7">
        <v>0</v>
      </c>
      <c r="Q150" s="7">
        <v>-6.2119999999999997</v>
      </c>
      <c r="R150" s="7">
        <v>-8.5350000000000001</v>
      </c>
      <c r="S150" s="7">
        <v>-0.14699999999999999</v>
      </c>
      <c r="T150" s="7">
        <v>0</v>
      </c>
      <c r="U150" s="7">
        <v>0</v>
      </c>
      <c r="V150" s="7">
        <v>-0.153</v>
      </c>
      <c r="W150" s="7">
        <v>-7.9000000000000001E-2</v>
      </c>
      <c r="X150" s="7">
        <v>0</v>
      </c>
      <c r="Y150" s="7">
        <v>-2.8170000000000002</v>
      </c>
      <c r="Z150" s="7">
        <v>-130.696</v>
      </c>
      <c r="AA150" s="7">
        <v>-0.23599999999999999</v>
      </c>
      <c r="AB150" s="7">
        <v>0</v>
      </c>
      <c r="AC150" s="7">
        <v>-0.36899999999999999</v>
      </c>
      <c r="AD150" s="7">
        <v>-52.252000000000002</v>
      </c>
      <c r="AE150" s="7">
        <v>-27.933</v>
      </c>
      <c r="AF150" s="7">
        <v>0.01</v>
      </c>
      <c r="AG150" s="7">
        <v>-215.38</v>
      </c>
      <c r="AH150" s="7">
        <v>-26.009</v>
      </c>
      <c r="AI150" s="7">
        <v>0</v>
      </c>
      <c r="AJ150" s="7">
        <v>-631.09299999999996</v>
      </c>
      <c r="AK150" s="7">
        <v>0</v>
      </c>
      <c r="AL150" s="7">
        <v>0</v>
      </c>
      <c r="AM150" s="7">
        <v>0</v>
      </c>
      <c r="AN150" s="7">
        <v>0</v>
      </c>
      <c r="AO150" s="7">
        <v>-0.245</v>
      </c>
      <c r="AP150" s="7">
        <v>0</v>
      </c>
      <c r="AQ150" s="7">
        <v>1E-3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-0.108</v>
      </c>
      <c r="BC150" s="7">
        <v>0</v>
      </c>
      <c r="BD150" s="7">
        <v>0</v>
      </c>
      <c r="BE150" s="7">
        <v>-3.2000000000000001E-2</v>
      </c>
      <c r="BF150" s="7">
        <v>-3.2000000000000001E-2</v>
      </c>
      <c r="BG150" s="7">
        <v>0</v>
      </c>
      <c r="BH150" s="7">
        <v>-415.8</v>
      </c>
      <c r="BI150" s="7">
        <v>0</v>
      </c>
      <c r="BJ150" s="21"/>
    </row>
    <row r="151" spans="1:62" ht="15.6" x14ac:dyDescent="0.3">
      <c r="A151" s="5" t="s">
        <v>291</v>
      </c>
      <c r="B151" s="5" t="s">
        <v>292</v>
      </c>
      <c r="C151" s="7">
        <v>6</v>
      </c>
      <c r="D151" s="7">
        <v>6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21"/>
    </row>
    <row r="152" spans="1:62" ht="15.6" x14ac:dyDescent="0.3">
      <c r="A152" s="5" t="s">
        <v>293</v>
      </c>
      <c r="B152" s="5" t="s">
        <v>294</v>
      </c>
      <c r="C152" s="7">
        <v>4</v>
      </c>
      <c r="D152" s="7">
        <v>4</v>
      </c>
      <c r="E152" s="7">
        <v>7069.4269999999997</v>
      </c>
      <c r="F152" s="7">
        <v>1543.8710000000001</v>
      </c>
      <c r="G152" s="7">
        <v>0</v>
      </c>
      <c r="H152" s="7">
        <v>0</v>
      </c>
      <c r="I152" s="7">
        <v>29.901</v>
      </c>
      <c r="J152" s="7">
        <v>0</v>
      </c>
      <c r="K152" s="7">
        <v>0</v>
      </c>
      <c r="L152" s="7">
        <v>17823.891</v>
      </c>
      <c r="M152" s="7">
        <v>820.98900000000003</v>
      </c>
      <c r="N152" s="7">
        <v>0</v>
      </c>
      <c r="O152" s="7">
        <v>0</v>
      </c>
      <c r="P152" s="7">
        <v>0.31900000000000001</v>
      </c>
      <c r="Q152" s="7">
        <v>0</v>
      </c>
      <c r="R152" s="7">
        <v>0</v>
      </c>
      <c r="S152" s="7">
        <v>504.43799999999999</v>
      </c>
      <c r="T152" s="7">
        <v>0</v>
      </c>
      <c r="U152" s="7">
        <v>0</v>
      </c>
      <c r="V152" s="7">
        <v>0</v>
      </c>
      <c r="W152" s="7">
        <v>177.32400000000001</v>
      </c>
      <c r="X152" s="7">
        <v>0</v>
      </c>
      <c r="Y152" s="7">
        <v>3568.7310000000002</v>
      </c>
      <c r="Z152" s="7">
        <v>0</v>
      </c>
      <c r="AA152" s="7">
        <v>549.63900000000001</v>
      </c>
      <c r="AB152" s="7">
        <v>0</v>
      </c>
      <c r="AC152" s="7">
        <v>321.99700000000001</v>
      </c>
      <c r="AD152" s="7">
        <v>0</v>
      </c>
      <c r="AE152" s="7">
        <v>9682.6190000000006</v>
      </c>
      <c r="AF152" s="7">
        <v>10541.11</v>
      </c>
      <c r="AG152" s="7">
        <v>0</v>
      </c>
      <c r="AH152" s="7">
        <v>28015.16</v>
      </c>
      <c r="AI152" s="7">
        <v>16632.771000000001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352.16399999999999</v>
      </c>
      <c r="AP152" s="7">
        <v>0</v>
      </c>
      <c r="AQ152" s="7">
        <v>4150.0720000000001</v>
      </c>
      <c r="AR152" s="7">
        <v>0</v>
      </c>
      <c r="AS152" s="7">
        <v>4.75</v>
      </c>
      <c r="AT152" s="7">
        <v>0</v>
      </c>
      <c r="AU152" s="7">
        <v>35.116999999999997</v>
      </c>
      <c r="AV152" s="7">
        <v>0</v>
      </c>
      <c r="AW152" s="7">
        <v>0</v>
      </c>
      <c r="AX152" s="7">
        <v>0</v>
      </c>
      <c r="AY152" s="7">
        <v>181.244</v>
      </c>
      <c r="AZ152" s="7">
        <v>7089.616</v>
      </c>
      <c r="BA152" s="7">
        <v>0</v>
      </c>
      <c r="BB152" s="7">
        <v>150.80500000000001</v>
      </c>
      <c r="BC152" s="7">
        <v>0</v>
      </c>
      <c r="BD152" s="7">
        <v>8936.7119999999995</v>
      </c>
      <c r="BE152" s="7">
        <v>43.802</v>
      </c>
      <c r="BF152" s="7">
        <v>43.802</v>
      </c>
      <c r="BG152" s="7">
        <v>3061.5790000000002</v>
      </c>
      <c r="BH152" s="7">
        <v>0</v>
      </c>
      <c r="BI152" s="7">
        <v>0</v>
      </c>
      <c r="BJ152" s="21"/>
    </row>
    <row r="153" spans="1:62" ht="15.6" x14ac:dyDescent="0.3">
      <c r="A153" s="5" t="s">
        <v>295</v>
      </c>
      <c r="B153" s="5" t="s">
        <v>296</v>
      </c>
      <c r="C153" s="7">
        <v>4</v>
      </c>
      <c r="D153" s="7">
        <v>4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21"/>
    </row>
    <row r="154" spans="1:62" ht="15.6" x14ac:dyDescent="0.3">
      <c r="A154" s="5" t="s">
        <v>297</v>
      </c>
      <c r="B154" s="5" t="s">
        <v>298</v>
      </c>
      <c r="C154" s="7">
        <v>4</v>
      </c>
      <c r="D154" s="7">
        <v>4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21"/>
    </row>
    <row r="155" spans="1:62" ht="15.6" x14ac:dyDescent="0.3">
      <c r="A155" s="5" t="s">
        <v>299</v>
      </c>
      <c r="B155" s="5" t="s">
        <v>300</v>
      </c>
      <c r="C155" s="7">
        <v>4</v>
      </c>
      <c r="D155" s="7">
        <v>4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21"/>
    </row>
    <row r="156" spans="1:62" ht="15.6" x14ac:dyDescent="0.3">
      <c r="A156" s="5" t="s">
        <v>301</v>
      </c>
      <c r="B156" s="5" t="s">
        <v>302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21"/>
    </row>
    <row r="157" spans="1:62" ht="15.6" x14ac:dyDescent="0.3">
      <c r="A157" s="5" t="s">
        <v>303</v>
      </c>
      <c r="B157" s="5" t="s">
        <v>304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21"/>
    </row>
    <row r="158" spans="1:62" ht="15.6" x14ac:dyDescent="0.3">
      <c r="A158" s="5" t="s">
        <v>305</v>
      </c>
      <c r="B158" s="5" t="s">
        <v>306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21"/>
    </row>
    <row r="159" spans="1:62" ht="15.6" x14ac:dyDescent="0.3">
      <c r="A159" s="5" t="s">
        <v>307</v>
      </c>
      <c r="B159" s="5" t="s">
        <v>308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21"/>
    </row>
    <row r="160" spans="1:62" ht="15.6" x14ac:dyDescent="0.3">
      <c r="A160" s="5" t="s">
        <v>293</v>
      </c>
      <c r="B160" s="5" t="s">
        <v>309</v>
      </c>
      <c r="C160" s="7">
        <v>6</v>
      </c>
      <c r="D160" s="7">
        <v>6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21"/>
    </row>
    <row r="161" spans="1:62" ht="15.6" x14ac:dyDescent="0.3">
      <c r="A161" s="5" t="s">
        <v>310</v>
      </c>
      <c r="B161" s="5" t="s">
        <v>311</v>
      </c>
      <c r="C161" s="7">
        <v>6</v>
      </c>
      <c r="D161" s="7">
        <v>6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21"/>
    </row>
    <row r="162" spans="1:62" ht="15.6" x14ac:dyDescent="0.3">
      <c r="A162" s="5" t="s">
        <v>312</v>
      </c>
      <c r="B162" s="5" t="s">
        <v>313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21"/>
    </row>
    <row r="163" spans="1:62" ht="15.6" x14ac:dyDescent="0.3">
      <c r="A163" s="5" t="s">
        <v>297</v>
      </c>
      <c r="B163" s="5" t="s">
        <v>314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21"/>
    </row>
    <row r="164" spans="1:62" ht="15.6" x14ac:dyDescent="0.3">
      <c r="A164" s="5" t="s">
        <v>299</v>
      </c>
      <c r="B164" s="5" t="s">
        <v>315</v>
      </c>
      <c r="C164" s="7">
        <v>6</v>
      </c>
      <c r="D164" s="7">
        <v>6</v>
      </c>
      <c r="E164" s="7">
        <v>1356.413</v>
      </c>
      <c r="F164" s="7">
        <v>118.762</v>
      </c>
      <c r="G164" s="7">
        <v>166.59399999999999</v>
      </c>
      <c r="H164" s="7">
        <v>3387.0340000000001</v>
      </c>
      <c r="I164" s="7">
        <v>28.887</v>
      </c>
      <c r="J164" s="7">
        <v>101.19199999999999</v>
      </c>
      <c r="K164" s="7">
        <v>0</v>
      </c>
      <c r="L164" s="7">
        <v>970.49699999999996</v>
      </c>
      <c r="M164" s="7">
        <v>449.52499999999998</v>
      </c>
      <c r="N164" s="7">
        <v>0</v>
      </c>
      <c r="O164" s="7">
        <v>0</v>
      </c>
      <c r="P164" s="7">
        <v>5.2080000000000002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16.879000000000001</v>
      </c>
      <c r="W164" s="7">
        <v>50.783999999999999</v>
      </c>
      <c r="X164" s="7">
        <v>0</v>
      </c>
      <c r="Y164" s="7">
        <v>400.565</v>
      </c>
      <c r="Z164" s="7">
        <v>0</v>
      </c>
      <c r="AA164" s="7">
        <v>136.56800000000001</v>
      </c>
      <c r="AB164" s="7">
        <v>0</v>
      </c>
      <c r="AC164" s="7">
        <v>21.754000000000001</v>
      </c>
      <c r="AD164" s="7">
        <v>0</v>
      </c>
      <c r="AE164" s="7">
        <v>1301.5940000000001</v>
      </c>
      <c r="AF164" s="7">
        <v>0</v>
      </c>
      <c r="AG164" s="7">
        <v>0</v>
      </c>
      <c r="AH164" s="7">
        <v>2846.3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21"/>
    </row>
    <row r="165" spans="1:62" ht="15.6" x14ac:dyDescent="0.3">
      <c r="A165" s="5" t="s">
        <v>301</v>
      </c>
      <c r="B165" s="5" t="s">
        <v>316</v>
      </c>
      <c r="C165" s="7">
        <v>6</v>
      </c>
      <c r="D165" s="7">
        <v>6</v>
      </c>
      <c r="E165" s="7">
        <v>493.98200000000003</v>
      </c>
      <c r="F165" s="7">
        <v>104.886</v>
      </c>
      <c r="G165" s="7">
        <v>9.5150000000000006</v>
      </c>
      <c r="H165" s="7">
        <v>0</v>
      </c>
      <c r="I165" s="7">
        <v>2.782</v>
      </c>
      <c r="J165" s="7">
        <v>5.4870000000000001</v>
      </c>
      <c r="K165" s="7">
        <v>0</v>
      </c>
      <c r="L165" s="7">
        <v>1154.3979999999999</v>
      </c>
      <c r="M165" s="7">
        <v>72.150999999999996</v>
      </c>
      <c r="N165" s="7">
        <v>0</v>
      </c>
      <c r="O165" s="7">
        <v>0</v>
      </c>
      <c r="P165" s="7">
        <v>2.1000000000000001E-2</v>
      </c>
      <c r="Q165" s="7">
        <v>0</v>
      </c>
      <c r="R165" s="7">
        <v>0</v>
      </c>
      <c r="S165" s="7">
        <v>35.021999999999998</v>
      </c>
      <c r="T165" s="7">
        <v>0</v>
      </c>
      <c r="U165" s="7">
        <v>0</v>
      </c>
      <c r="V165" s="7">
        <v>1.597</v>
      </c>
      <c r="W165" s="7">
        <v>13.217000000000001</v>
      </c>
      <c r="X165" s="7">
        <v>0</v>
      </c>
      <c r="Y165" s="7">
        <v>234.97</v>
      </c>
      <c r="Z165" s="7">
        <v>0</v>
      </c>
      <c r="AA165" s="7">
        <v>46.554000000000002</v>
      </c>
      <c r="AB165" s="7">
        <v>0</v>
      </c>
      <c r="AC165" s="7">
        <v>21.539000000000001</v>
      </c>
      <c r="AD165" s="7">
        <v>0</v>
      </c>
      <c r="AE165" s="7">
        <v>625.37800000000004</v>
      </c>
      <c r="AF165" s="7">
        <v>673.553</v>
      </c>
      <c r="AG165" s="7">
        <v>0</v>
      </c>
      <c r="AH165" s="7">
        <v>1827.0060000000001</v>
      </c>
      <c r="AI165" s="7">
        <v>1062.797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23.661999999999999</v>
      </c>
      <c r="AP165" s="7">
        <v>0</v>
      </c>
      <c r="AQ165" s="7">
        <v>265.18</v>
      </c>
      <c r="AR165" s="7">
        <v>0</v>
      </c>
      <c r="AS165" s="7">
        <v>0.32800000000000001</v>
      </c>
      <c r="AT165" s="7">
        <v>0</v>
      </c>
      <c r="AU165" s="7">
        <v>2.8919999999999999</v>
      </c>
      <c r="AV165" s="7">
        <v>0</v>
      </c>
      <c r="AW165" s="7">
        <v>0</v>
      </c>
      <c r="AX165" s="7">
        <v>0</v>
      </c>
      <c r="AY165" s="7">
        <v>12.837</v>
      </c>
      <c r="AZ165" s="7">
        <v>453.01100000000002</v>
      </c>
      <c r="BA165" s="7">
        <v>0</v>
      </c>
      <c r="BB165" s="7">
        <v>10.15</v>
      </c>
      <c r="BC165" s="7">
        <v>0.78700000000000003</v>
      </c>
      <c r="BD165" s="7">
        <v>571.03599999999994</v>
      </c>
      <c r="BE165" s="7">
        <v>2.9510000000000001</v>
      </c>
      <c r="BF165" s="7">
        <v>2.9510000000000001</v>
      </c>
      <c r="BG165" s="7">
        <v>195.62700000000001</v>
      </c>
      <c r="BH165" s="7">
        <v>0</v>
      </c>
      <c r="BI165" s="7">
        <v>0.23300000000000001</v>
      </c>
      <c r="BJ165" s="21"/>
    </row>
    <row r="166" spans="1:62" ht="15.6" x14ac:dyDescent="0.3">
      <c r="A166" s="5" t="s">
        <v>317</v>
      </c>
      <c r="B166" s="5" t="s">
        <v>318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21"/>
    </row>
    <row r="167" spans="1:62" ht="15.6" x14ac:dyDescent="0.3">
      <c r="A167" s="5" t="s">
        <v>319</v>
      </c>
      <c r="B167" s="5" t="s">
        <v>320</v>
      </c>
      <c r="C167" s="7">
        <v>6</v>
      </c>
      <c r="D167" s="7">
        <v>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21"/>
    </row>
    <row r="168" spans="1:62" ht="15.6" x14ac:dyDescent="0.3">
      <c r="A168" s="5" t="s">
        <v>305</v>
      </c>
      <c r="B168" s="5" t="s">
        <v>321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21"/>
    </row>
    <row r="169" spans="1:62" ht="15.6" x14ac:dyDescent="0.3">
      <c r="A169" s="5" t="s">
        <v>307</v>
      </c>
      <c r="B169" s="5" t="s">
        <v>322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21"/>
    </row>
    <row r="170" spans="1:62" ht="15.6" x14ac:dyDescent="0.3">
      <c r="A170" s="5" t="s">
        <v>323</v>
      </c>
      <c r="B170" s="5" t="s">
        <v>324</v>
      </c>
      <c r="C170" s="7">
        <v>4</v>
      </c>
      <c r="D170" s="7">
        <v>4</v>
      </c>
      <c r="E170" s="7">
        <v>3723.277</v>
      </c>
      <c r="F170" s="7">
        <v>16.190000000000001</v>
      </c>
      <c r="G170" s="7">
        <v>0</v>
      </c>
      <c r="H170" s="7">
        <v>0</v>
      </c>
      <c r="I170" s="7">
        <v>1.089</v>
      </c>
      <c r="J170" s="7">
        <v>0</v>
      </c>
      <c r="K170" s="7">
        <v>0</v>
      </c>
      <c r="L170" s="7">
        <v>5726.5690000000004</v>
      </c>
      <c r="M170" s="7">
        <v>1998.2570000000001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4.7149999999999999</v>
      </c>
      <c r="T170" s="7">
        <v>0</v>
      </c>
      <c r="U170" s="7">
        <v>0</v>
      </c>
      <c r="V170" s="7">
        <v>0</v>
      </c>
      <c r="W170" s="7">
        <v>1.6739999999999999</v>
      </c>
      <c r="X170" s="7">
        <v>0</v>
      </c>
      <c r="Y170" s="7">
        <v>608.15700000000004</v>
      </c>
      <c r="Z170" s="7">
        <v>0</v>
      </c>
      <c r="AA170" s="7">
        <v>6.9000000000000006E-2</v>
      </c>
      <c r="AB170" s="7">
        <v>0</v>
      </c>
      <c r="AC170" s="7">
        <v>2.2949999999999999</v>
      </c>
      <c r="AD170" s="7">
        <v>0</v>
      </c>
      <c r="AE170" s="7">
        <v>1.29</v>
      </c>
      <c r="AF170" s="7">
        <v>34.558</v>
      </c>
      <c r="AG170" s="7">
        <v>0</v>
      </c>
      <c r="AH170" s="7">
        <v>8895.3889999999992</v>
      </c>
      <c r="AI170" s="7">
        <v>58.58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4.3999999999999997E-2</v>
      </c>
      <c r="AP170" s="7">
        <v>0</v>
      </c>
      <c r="AQ170" s="7">
        <v>4.6440000000000001</v>
      </c>
      <c r="AR170" s="7">
        <v>0</v>
      </c>
      <c r="AS170" s="7">
        <v>1E-3</v>
      </c>
      <c r="AT170" s="7">
        <v>0</v>
      </c>
      <c r="AU170" s="7">
        <v>3.0000000000000001E-3</v>
      </c>
      <c r="AV170" s="7">
        <v>0</v>
      </c>
      <c r="AW170" s="7">
        <v>0</v>
      </c>
      <c r="AX170" s="7">
        <v>0</v>
      </c>
      <c r="AY170" s="7">
        <v>2.3E-2</v>
      </c>
      <c r="AZ170" s="7">
        <v>0.88900000000000001</v>
      </c>
      <c r="BA170" s="7">
        <v>0</v>
      </c>
      <c r="BB170" s="7">
        <v>1.9E-2</v>
      </c>
      <c r="BC170" s="7">
        <v>0</v>
      </c>
      <c r="BD170" s="7">
        <v>1.121</v>
      </c>
      <c r="BE170" s="7">
        <v>6.0000000000000001E-3</v>
      </c>
      <c r="BF170" s="7">
        <v>6.0000000000000001E-3</v>
      </c>
      <c r="BG170" s="7">
        <v>0.38400000000000001</v>
      </c>
      <c r="BH170" s="7">
        <v>0</v>
      </c>
      <c r="BI170" s="7">
        <v>0</v>
      </c>
      <c r="BJ170" s="21"/>
    </row>
    <row r="171" spans="1:62" ht="15.6" x14ac:dyDescent="0.3">
      <c r="A171" s="5" t="s">
        <v>325</v>
      </c>
      <c r="B171" s="5" t="s">
        <v>326</v>
      </c>
      <c r="C171" s="7">
        <v>4</v>
      </c>
      <c r="D171" s="7">
        <v>4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21"/>
    </row>
    <row r="172" spans="1:62" ht="15.6" x14ac:dyDescent="0.3">
      <c r="A172" s="5" t="s">
        <v>327</v>
      </c>
      <c r="B172" s="5" t="s">
        <v>328</v>
      </c>
      <c r="C172" s="7">
        <v>4</v>
      </c>
      <c r="D172" s="7">
        <v>4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21"/>
    </row>
    <row r="173" spans="1:62" ht="15.6" x14ac:dyDescent="0.3">
      <c r="A173" s="5" t="s">
        <v>329</v>
      </c>
      <c r="B173" s="5" t="s">
        <v>330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21"/>
    </row>
    <row r="174" spans="1:62" ht="15.6" x14ac:dyDescent="0.3">
      <c r="A174" s="5" t="s">
        <v>331</v>
      </c>
      <c r="B174" s="5" t="s">
        <v>332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21"/>
    </row>
    <row r="175" spans="1:62" ht="15.6" x14ac:dyDescent="0.3">
      <c r="A175" s="5" t="s">
        <v>333</v>
      </c>
      <c r="B175" s="5" t="s">
        <v>334</v>
      </c>
      <c r="C175" s="7">
        <v>4</v>
      </c>
      <c r="D175" s="7">
        <v>4</v>
      </c>
      <c r="E175" s="7">
        <v>-910.07500000000005</v>
      </c>
      <c r="F175" s="7">
        <v>-28.08</v>
      </c>
      <c r="G175" s="7">
        <v>0</v>
      </c>
      <c r="H175" s="7">
        <v>0</v>
      </c>
      <c r="I175" s="7">
        <v>-1.8819999999999999</v>
      </c>
      <c r="J175" s="7">
        <v>0</v>
      </c>
      <c r="K175" s="7">
        <v>0</v>
      </c>
      <c r="L175" s="7">
        <v>-1403.876</v>
      </c>
      <c r="M175" s="7">
        <v>-521.678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-8.1769999999999996</v>
      </c>
      <c r="T175" s="7">
        <v>0</v>
      </c>
      <c r="U175" s="7">
        <v>0</v>
      </c>
      <c r="V175" s="7">
        <v>0</v>
      </c>
      <c r="W175" s="7">
        <v>-2.91</v>
      </c>
      <c r="X175" s="7">
        <v>0</v>
      </c>
      <c r="Y175" s="7">
        <v>-149.28399999999999</v>
      </c>
      <c r="Z175" s="7">
        <v>0</v>
      </c>
      <c r="AA175" s="7">
        <v>-0.17199999999999999</v>
      </c>
      <c r="AB175" s="7">
        <v>0</v>
      </c>
      <c r="AC175" s="7">
        <v>-3.988</v>
      </c>
      <c r="AD175" s="7">
        <v>0</v>
      </c>
      <c r="AE175" s="7">
        <v>-3.1720000000000002</v>
      </c>
      <c r="AF175" s="7">
        <v>-60.654000000000003</v>
      </c>
      <c r="AG175" s="7">
        <v>0</v>
      </c>
      <c r="AH175" s="7">
        <v>-2970.7330000000002</v>
      </c>
      <c r="AI175" s="7">
        <v>-102.68600000000001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-0.11</v>
      </c>
      <c r="AP175" s="7">
        <v>0</v>
      </c>
      <c r="AQ175" s="7">
        <v>-8.4149999999999991</v>
      </c>
      <c r="AR175" s="7">
        <v>0</v>
      </c>
      <c r="AS175" s="7">
        <v>-1E-3</v>
      </c>
      <c r="AT175" s="7">
        <v>0</v>
      </c>
      <c r="AU175" s="7">
        <v>-8.9999999999999993E-3</v>
      </c>
      <c r="AV175" s="7">
        <v>0</v>
      </c>
      <c r="AW175" s="7">
        <v>0</v>
      </c>
      <c r="AX175" s="7">
        <v>0</v>
      </c>
      <c r="AY175" s="7">
        <v>-5.7000000000000002E-2</v>
      </c>
      <c r="AZ175" s="7">
        <v>-2.2229999999999999</v>
      </c>
      <c r="BA175" s="7">
        <v>0</v>
      </c>
      <c r="BB175" s="7">
        <v>-4.7E-2</v>
      </c>
      <c r="BC175" s="7">
        <v>0</v>
      </c>
      <c r="BD175" s="7">
        <v>-2.8029999999999999</v>
      </c>
      <c r="BE175" s="7">
        <v>-1.4E-2</v>
      </c>
      <c r="BF175" s="7">
        <v>-1.4E-2</v>
      </c>
      <c r="BG175" s="7">
        <v>-0.96</v>
      </c>
      <c r="BH175" s="7">
        <v>0</v>
      </c>
      <c r="BI175" s="7">
        <v>0</v>
      </c>
      <c r="BJ175" s="21"/>
    </row>
    <row r="176" spans="1:62" ht="15.6" x14ac:dyDescent="0.3">
      <c r="A176" s="5" t="s">
        <v>335</v>
      </c>
      <c r="B176" s="5" t="s">
        <v>336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21"/>
    </row>
    <row r="177" spans="1:62" ht="15.6" x14ac:dyDescent="0.3">
      <c r="A177" s="5" t="s">
        <v>337</v>
      </c>
      <c r="B177" s="5" t="s">
        <v>338</v>
      </c>
      <c r="C177" s="7">
        <v>4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21"/>
    </row>
    <row r="178" spans="1:62" ht="15.6" x14ac:dyDescent="0.3">
      <c r="A178" s="5" t="s">
        <v>339</v>
      </c>
      <c r="B178" s="5" t="s">
        <v>340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21"/>
    </row>
    <row r="179" spans="1:62" ht="15.6" x14ac:dyDescent="0.3">
      <c r="A179" s="5" t="s">
        <v>341</v>
      </c>
      <c r="B179" s="5" t="s">
        <v>342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21"/>
    </row>
    <row r="180" spans="1:62" ht="15.6" x14ac:dyDescent="0.3">
      <c r="A180" s="5" t="s">
        <v>323</v>
      </c>
      <c r="B180" s="5" t="s">
        <v>343</v>
      </c>
      <c r="C180" s="7">
        <v>6</v>
      </c>
      <c r="D180" s="7">
        <v>6</v>
      </c>
      <c r="E180" s="7">
        <v>0.02</v>
      </c>
      <c r="F180" s="7">
        <v>4.0000000000000001E-3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5.0999999999999997E-2</v>
      </c>
      <c r="M180" s="7">
        <v>2E-3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1E-3</v>
      </c>
      <c r="T180" s="7">
        <v>0</v>
      </c>
      <c r="U180" s="7">
        <v>0</v>
      </c>
      <c r="V180" s="7">
        <v>0</v>
      </c>
      <c r="W180" s="7">
        <v>1E-3</v>
      </c>
      <c r="X180" s="7">
        <v>0</v>
      </c>
      <c r="Y180" s="7">
        <v>0.01</v>
      </c>
      <c r="Z180" s="7">
        <v>0</v>
      </c>
      <c r="AA180" s="7">
        <v>2E-3</v>
      </c>
      <c r="AB180" s="7">
        <v>0</v>
      </c>
      <c r="AC180" s="7">
        <v>1E-3</v>
      </c>
      <c r="AD180" s="7">
        <v>0</v>
      </c>
      <c r="AE180" s="7">
        <v>2.8000000000000001E-2</v>
      </c>
      <c r="AF180" s="7">
        <v>0.03</v>
      </c>
      <c r="AG180" s="7">
        <v>0</v>
      </c>
      <c r="AH180" s="7">
        <v>8.1000000000000003E-2</v>
      </c>
      <c r="AI180" s="7">
        <v>4.8000000000000001E-2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1E-3</v>
      </c>
      <c r="AP180" s="7">
        <v>0</v>
      </c>
      <c r="AQ180" s="7">
        <v>1.2E-2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1E-3</v>
      </c>
      <c r="AZ180" s="7">
        <v>0.02</v>
      </c>
      <c r="BA180" s="7">
        <v>0</v>
      </c>
      <c r="BB180" s="7">
        <v>0</v>
      </c>
      <c r="BC180" s="7">
        <v>0</v>
      </c>
      <c r="BD180" s="7">
        <v>2.5999999999999999E-2</v>
      </c>
      <c r="BE180" s="7">
        <v>0</v>
      </c>
      <c r="BF180" s="7">
        <v>0</v>
      </c>
      <c r="BG180" s="7">
        <v>8.9999999999999993E-3</v>
      </c>
      <c r="BH180" s="7">
        <v>0</v>
      </c>
      <c r="BI180" s="7">
        <v>0</v>
      </c>
      <c r="BJ180" s="21"/>
    </row>
    <row r="181" spans="1:62" ht="15.6" x14ac:dyDescent="0.3">
      <c r="A181" s="5" t="s">
        <v>325</v>
      </c>
      <c r="B181" s="5" t="s">
        <v>344</v>
      </c>
      <c r="C181" s="7">
        <v>6</v>
      </c>
      <c r="D181" s="7">
        <v>6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21"/>
    </row>
    <row r="182" spans="1:62" ht="15.6" x14ac:dyDescent="0.3">
      <c r="A182" s="5" t="s">
        <v>327</v>
      </c>
      <c r="B182" s="5" t="s">
        <v>345</v>
      </c>
      <c r="C182" s="7">
        <v>6</v>
      </c>
      <c r="D182" s="7">
        <v>6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21"/>
    </row>
    <row r="183" spans="1:62" ht="15.6" x14ac:dyDescent="0.3">
      <c r="A183" s="5" t="s">
        <v>329</v>
      </c>
      <c r="B183" s="5" t="s">
        <v>346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21"/>
    </row>
    <row r="184" spans="1:62" ht="15.6" x14ac:dyDescent="0.3">
      <c r="A184" s="5" t="s">
        <v>331</v>
      </c>
      <c r="B184" s="5" t="s">
        <v>347</v>
      </c>
      <c r="C184" s="7">
        <v>6</v>
      </c>
      <c r="D184" s="7">
        <v>6</v>
      </c>
      <c r="E184" s="7">
        <v>97.501999999999995</v>
      </c>
      <c r="F184" s="7">
        <v>8.5370000000000008</v>
      </c>
      <c r="G184" s="7">
        <v>11.975</v>
      </c>
      <c r="H184" s="7">
        <v>0</v>
      </c>
      <c r="I184" s="7">
        <v>2.077</v>
      </c>
      <c r="J184" s="7">
        <v>7.274</v>
      </c>
      <c r="K184" s="7">
        <v>0</v>
      </c>
      <c r="L184" s="7">
        <v>69.762</v>
      </c>
      <c r="M184" s="7">
        <v>32.313000000000002</v>
      </c>
      <c r="N184" s="7">
        <v>0</v>
      </c>
      <c r="O184" s="7">
        <v>0</v>
      </c>
      <c r="P184" s="7">
        <v>0.374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1.2130000000000001</v>
      </c>
      <c r="W184" s="7">
        <v>3.65</v>
      </c>
      <c r="X184" s="7">
        <v>0</v>
      </c>
      <c r="Y184" s="7">
        <v>28.794</v>
      </c>
      <c r="Z184" s="7">
        <v>0</v>
      </c>
      <c r="AA184" s="7">
        <v>9.8170000000000002</v>
      </c>
      <c r="AB184" s="7">
        <v>0</v>
      </c>
      <c r="AC184" s="7">
        <v>1.5640000000000001</v>
      </c>
      <c r="AD184" s="7">
        <v>0</v>
      </c>
      <c r="AE184" s="7">
        <v>93.561000000000007</v>
      </c>
      <c r="AF184" s="7">
        <v>0</v>
      </c>
      <c r="AG184" s="7">
        <v>0</v>
      </c>
      <c r="AH184" s="7">
        <v>204.59800000000001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21"/>
    </row>
    <row r="185" spans="1:62" ht="15.6" x14ac:dyDescent="0.3">
      <c r="A185" s="5" t="s">
        <v>333</v>
      </c>
      <c r="B185" s="5" t="s">
        <v>348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21"/>
    </row>
    <row r="186" spans="1:62" ht="15.6" x14ac:dyDescent="0.3">
      <c r="A186" s="5" t="s">
        <v>335</v>
      </c>
      <c r="B186" s="5" t="s">
        <v>349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21"/>
    </row>
    <row r="187" spans="1:62" ht="15.6" x14ac:dyDescent="0.3">
      <c r="A187" s="5" t="s">
        <v>337</v>
      </c>
      <c r="B187" s="5" t="s">
        <v>350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21"/>
    </row>
    <row r="188" spans="1:62" ht="15.6" x14ac:dyDescent="0.3">
      <c r="A188" s="5" t="s">
        <v>339</v>
      </c>
      <c r="B188" s="5" t="s">
        <v>351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21"/>
    </row>
    <row r="189" spans="1:62" ht="15.6" x14ac:dyDescent="0.3">
      <c r="A189" s="5" t="s">
        <v>341</v>
      </c>
      <c r="B189" s="5" t="s">
        <v>352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21"/>
    </row>
    <row r="190" spans="1:62" ht="15.6" x14ac:dyDescent="0.3">
      <c r="A190" s="5" t="s">
        <v>353</v>
      </c>
      <c r="B190" s="5" t="s">
        <v>354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21"/>
    </row>
    <row r="191" spans="1:62" ht="15.6" x14ac:dyDescent="0.3">
      <c r="A191" s="5" t="s">
        <v>355</v>
      </c>
      <c r="B191" s="5" t="s">
        <v>356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21"/>
    </row>
    <row r="192" spans="1:62" ht="15.6" x14ac:dyDescent="0.3">
      <c r="A192" s="5" t="s">
        <v>357</v>
      </c>
      <c r="B192" s="5" t="s">
        <v>358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21"/>
    </row>
    <row r="193" spans="1:62" ht="15.6" x14ac:dyDescent="0.3">
      <c r="A193" s="5" t="s">
        <v>359</v>
      </c>
      <c r="B193" s="5" t="s">
        <v>360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21"/>
    </row>
    <row r="194" spans="1:62" ht="15.6" x14ac:dyDescent="0.3">
      <c r="A194" s="5" t="s">
        <v>361</v>
      </c>
      <c r="B194" s="5" t="s">
        <v>362</v>
      </c>
      <c r="C194" s="7">
        <v>6</v>
      </c>
      <c r="D194" s="7">
        <v>6</v>
      </c>
      <c r="E194" s="7">
        <v>124.369</v>
      </c>
      <c r="F194" s="7">
        <v>0</v>
      </c>
      <c r="G194" s="7">
        <v>30.283999999999999</v>
      </c>
      <c r="H194" s="7">
        <v>0</v>
      </c>
      <c r="I194" s="7">
        <v>0</v>
      </c>
      <c r="J194" s="7">
        <v>52.676000000000002</v>
      </c>
      <c r="K194" s="7">
        <v>0</v>
      </c>
      <c r="L194" s="7">
        <v>447.32900000000001</v>
      </c>
      <c r="M194" s="7">
        <v>64.864000000000004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383.46699999999998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21"/>
    </row>
    <row r="195" spans="1:62" ht="15.6" x14ac:dyDescent="0.3">
      <c r="A195" s="5" t="s">
        <v>363</v>
      </c>
      <c r="B195" s="5" t="s">
        <v>364</v>
      </c>
      <c r="C195" s="7">
        <v>6</v>
      </c>
      <c r="D195" s="7">
        <v>6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21"/>
    </row>
    <row r="196" spans="1:62" ht="15.6" x14ac:dyDescent="0.3">
      <c r="A196" s="5" t="s">
        <v>365</v>
      </c>
      <c r="B196" s="5" t="s">
        <v>366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21"/>
    </row>
    <row r="197" spans="1:62" ht="15.6" x14ac:dyDescent="0.3">
      <c r="A197" s="5" t="s">
        <v>367</v>
      </c>
      <c r="B197" s="5" t="s">
        <v>368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21"/>
    </row>
    <row r="198" spans="1:62" ht="15.6" x14ac:dyDescent="0.3">
      <c r="A198" s="5" t="s">
        <v>369</v>
      </c>
      <c r="B198" s="5" t="s">
        <v>370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21"/>
    </row>
    <row r="199" spans="1:62" ht="15.6" x14ac:dyDescent="0.3">
      <c r="A199" s="5" t="s">
        <v>371</v>
      </c>
      <c r="B199" s="5" t="s">
        <v>372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21"/>
    </row>
    <row r="200" spans="1:62" ht="15.6" x14ac:dyDescent="0.3">
      <c r="A200" s="5" t="s">
        <v>373</v>
      </c>
      <c r="B200" s="5" t="s">
        <v>374</v>
      </c>
      <c r="C200" s="7">
        <v>3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21"/>
    </row>
    <row r="201" spans="1:62" ht="15.6" x14ac:dyDescent="0.3">
      <c r="A201" s="5" t="s">
        <v>375</v>
      </c>
      <c r="B201" s="5" t="s">
        <v>376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21"/>
    </row>
    <row r="202" spans="1:62" ht="15.6" x14ac:dyDescent="0.3">
      <c r="A202" s="5" t="s">
        <v>377</v>
      </c>
      <c r="B202" s="5" t="s">
        <v>378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21"/>
    </row>
    <row r="203" spans="1:62" ht="15.6" x14ac:dyDescent="0.3">
      <c r="A203" s="5" t="s">
        <v>379</v>
      </c>
      <c r="B203" s="5" t="s">
        <v>380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21"/>
    </row>
    <row r="204" spans="1:62" ht="15.6" x14ac:dyDescent="0.3">
      <c r="A204" s="5" t="s">
        <v>381</v>
      </c>
      <c r="B204" s="5" t="s">
        <v>382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21"/>
    </row>
    <row r="205" spans="1:62" ht="15.6" x14ac:dyDescent="0.3">
      <c r="A205" s="5" t="s">
        <v>383</v>
      </c>
      <c r="B205" s="5" t="s">
        <v>384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21"/>
    </row>
    <row r="206" spans="1:62" ht="15.6" x14ac:dyDescent="0.3">
      <c r="A206" s="5" t="s">
        <v>385</v>
      </c>
      <c r="B206" s="5" t="s">
        <v>386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21"/>
    </row>
    <row r="207" spans="1:62" ht="15.6" x14ac:dyDescent="0.3">
      <c r="A207" s="5" t="s">
        <v>387</v>
      </c>
      <c r="B207" s="5" t="s">
        <v>388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21"/>
    </row>
    <row r="208" spans="1:62" ht="15.6" x14ac:dyDescent="0.3">
      <c r="A208" s="5" t="s">
        <v>389</v>
      </c>
      <c r="B208" s="5" t="s">
        <v>390</v>
      </c>
      <c r="C208" s="7">
        <v>6</v>
      </c>
      <c r="D208" s="7">
        <v>6</v>
      </c>
      <c r="E208" s="7">
        <v>29.024000000000001</v>
      </c>
      <c r="F208" s="7">
        <v>2.375</v>
      </c>
      <c r="G208" s="7">
        <v>6.4580000000000002</v>
      </c>
      <c r="H208" s="7">
        <v>0</v>
      </c>
      <c r="I208" s="7">
        <v>0.54900000000000004</v>
      </c>
      <c r="J208" s="7">
        <v>4.8209999999999997</v>
      </c>
      <c r="K208" s="7">
        <v>0</v>
      </c>
      <c r="L208" s="7">
        <v>12.715</v>
      </c>
      <c r="M208" s="7">
        <v>13.606999999999999</v>
      </c>
      <c r="N208" s="7">
        <v>0</v>
      </c>
      <c r="O208" s="7">
        <v>0</v>
      </c>
      <c r="P208" s="7">
        <v>1E-3</v>
      </c>
      <c r="Q208" s="7">
        <v>30.428999999999998</v>
      </c>
      <c r="R208" s="7">
        <v>78.790000000000006</v>
      </c>
      <c r="S208" s="7">
        <v>0.84599999999999997</v>
      </c>
      <c r="T208" s="7">
        <v>0</v>
      </c>
      <c r="U208" s="7">
        <v>0</v>
      </c>
      <c r="V208" s="7">
        <v>0.76700000000000002</v>
      </c>
      <c r="W208" s="7">
        <v>1.607</v>
      </c>
      <c r="X208" s="7">
        <v>0</v>
      </c>
      <c r="Y208" s="7">
        <v>6.9169999999999998</v>
      </c>
      <c r="Z208" s="7">
        <v>0</v>
      </c>
      <c r="AA208" s="7">
        <v>6.1020000000000003</v>
      </c>
      <c r="AB208" s="7">
        <v>0</v>
      </c>
      <c r="AC208" s="7">
        <v>0.46500000000000002</v>
      </c>
      <c r="AD208" s="7">
        <v>0</v>
      </c>
      <c r="AE208" s="7">
        <v>23.204000000000001</v>
      </c>
      <c r="AF208" s="7">
        <v>0</v>
      </c>
      <c r="AG208" s="7">
        <v>0</v>
      </c>
      <c r="AH208" s="7">
        <v>39.213999999999999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0.59099999999999997</v>
      </c>
      <c r="AP208" s="7">
        <v>0</v>
      </c>
      <c r="AQ208" s="7">
        <v>0</v>
      </c>
      <c r="AR208" s="7">
        <v>0</v>
      </c>
      <c r="AS208" s="7">
        <v>3.0000000000000001E-3</v>
      </c>
      <c r="AT208" s="7">
        <v>0</v>
      </c>
      <c r="AU208" s="7">
        <v>0.17599999999999999</v>
      </c>
      <c r="AV208" s="7">
        <v>0</v>
      </c>
      <c r="AW208" s="7">
        <v>0</v>
      </c>
      <c r="AX208" s="7">
        <v>0</v>
      </c>
      <c r="AY208" s="7">
        <v>0.626</v>
      </c>
      <c r="AZ208" s="7">
        <v>0</v>
      </c>
      <c r="BA208" s="7">
        <v>0</v>
      </c>
      <c r="BB208" s="7">
        <v>0.27100000000000002</v>
      </c>
      <c r="BC208" s="7">
        <v>0.40100000000000002</v>
      </c>
      <c r="BD208" s="7">
        <v>0</v>
      </c>
      <c r="BE208" s="7">
        <v>8.3000000000000004E-2</v>
      </c>
      <c r="BF208" s="7">
        <v>8.3000000000000004E-2</v>
      </c>
      <c r="BG208" s="7">
        <v>0</v>
      </c>
      <c r="BH208" s="7">
        <v>0</v>
      </c>
      <c r="BI208" s="7">
        <v>0.11899999999999999</v>
      </c>
      <c r="BJ208" s="21"/>
    </row>
    <row r="209" spans="1:62" ht="15.6" x14ac:dyDescent="0.3">
      <c r="A209" s="5" t="s">
        <v>391</v>
      </c>
      <c r="B209" s="5" t="s">
        <v>392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21"/>
    </row>
    <row r="210" spans="1:62" ht="15.6" x14ac:dyDescent="0.3">
      <c r="A210" s="5" t="s">
        <v>393</v>
      </c>
      <c r="B210" s="5" t="s">
        <v>394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21"/>
    </row>
    <row r="211" spans="1:62" ht="15.6" x14ac:dyDescent="0.3">
      <c r="A211" s="5" t="s">
        <v>395</v>
      </c>
      <c r="B211" s="5" t="s">
        <v>396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21"/>
    </row>
    <row r="212" spans="1:62" ht="15.6" x14ac:dyDescent="0.3">
      <c r="A212" s="5" t="s">
        <v>353</v>
      </c>
      <c r="B212" s="5" t="s">
        <v>397</v>
      </c>
      <c r="C212" s="7">
        <v>6</v>
      </c>
      <c r="D212" s="7">
        <v>6</v>
      </c>
      <c r="E212" s="7">
        <v>1097.0429999999999</v>
      </c>
      <c r="F212" s="7">
        <v>96.052000000000007</v>
      </c>
      <c r="G212" s="7">
        <v>134.739</v>
      </c>
      <c r="H212" s="7">
        <v>4.0000000000000001E-3</v>
      </c>
      <c r="I212" s="7">
        <v>23.364000000000001</v>
      </c>
      <c r="J212" s="7">
        <v>81.843000000000004</v>
      </c>
      <c r="K212" s="7">
        <v>0</v>
      </c>
      <c r="L212" s="7">
        <v>784.92100000000005</v>
      </c>
      <c r="M212" s="7">
        <v>363.56900000000002</v>
      </c>
      <c r="N212" s="7">
        <v>0</v>
      </c>
      <c r="O212" s="7">
        <v>0</v>
      </c>
      <c r="P212" s="7">
        <v>4.2119999999999997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13.651999999999999</v>
      </c>
      <c r="W212" s="7">
        <v>41.073</v>
      </c>
      <c r="X212" s="7">
        <v>0</v>
      </c>
      <c r="Y212" s="7">
        <v>323.97000000000003</v>
      </c>
      <c r="Z212" s="7">
        <v>0</v>
      </c>
      <c r="AA212" s="7">
        <v>110.455</v>
      </c>
      <c r="AB212" s="7">
        <v>0</v>
      </c>
      <c r="AC212" s="7">
        <v>17.594999999999999</v>
      </c>
      <c r="AD212" s="7">
        <v>0</v>
      </c>
      <c r="AE212" s="7">
        <v>1052.7049999999999</v>
      </c>
      <c r="AF212" s="7">
        <v>0</v>
      </c>
      <c r="AG212" s="7">
        <v>0</v>
      </c>
      <c r="AH212" s="7">
        <v>2302.0369999999998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21"/>
    </row>
    <row r="213" spans="1:62" ht="15.6" x14ac:dyDescent="0.3">
      <c r="A213" s="5" t="s">
        <v>355</v>
      </c>
      <c r="B213" s="5" t="s">
        <v>398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21"/>
    </row>
    <row r="214" spans="1:62" ht="15.6" x14ac:dyDescent="0.3">
      <c r="A214" s="5" t="s">
        <v>357</v>
      </c>
      <c r="B214" s="5" t="s">
        <v>399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21"/>
    </row>
    <row r="215" spans="1:62" ht="15.6" x14ac:dyDescent="0.3">
      <c r="A215" s="5" t="s">
        <v>359</v>
      </c>
      <c r="B215" s="5" t="s">
        <v>400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21"/>
    </row>
    <row r="216" spans="1:62" ht="15.6" x14ac:dyDescent="0.3">
      <c r="A216" s="5" t="s">
        <v>361</v>
      </c>
      <c r="B216" s="5" t="s">
        <v>401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21"/>
    </row>
    <row r="217" spans="1:62" ht="15.6" x14ac:dyDescent="0.3">
      <c r="A217" s="5" t="s">
        <v>363</v>
      </c>
      <c r="B217" s="5" t="s">
        <v>402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-1E-3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-1E-3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21"/>
    </row>
    <row r="218" spans="1:62" ht="15.6" x14ac:dyDescent="0.3">
      <c r="A218" s="5" t="s">
        <v>365</v>
      </c>
      <c r="B218" s="5" t="s">
        <v>403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21"/>
    </row>
    <row r="219" spans="1:62" ht="15.6" x14ac:dyDescent="0.3">
      <c r="A219" s="5" t="s">
        <v>367</v>
      </c>
      <c r="B219" s="5" t="s">
        <v>404</v>
      </c>
      <c r="C219" s="7">
        <v>6</v>
      </c>
      <c r="D219" s="7">
        <v>6</v>
      </c>
      <c r="E219" s="7">
        <v>63376.512999999999</v>
      </c>
      <c r="F219" s="7">
        <v>13840.607</v>
      </c>
      <c r="G219" s="7">
        <v>0</v>
      </c>
      <c r="H219" s="7">
        <v>0</v>
      </c>
      <c r="I219" s="7">
        <v>268.05099999999999</v>
      </c>
      <c r="J219" s="7">
        <v>0</v>
      </c>
      <c r="K219" s="7">
        <v>0</v>
      </c>
      <c r="L219" s="7">
        <v>159788.905</v>
      </c>
      <c r="M219" s="7">
        <v>7360.058</v>
      </c>
      <c r="N219" s="7">
        <v>0</v>
      </c>
      <c r="O219" s="7">
        <v>0</v>
      </c>
      <c r="P219" s="7">
        <v>2.8570000000000002</v>
      </c>
      <c r="Q219" s="7">
        <v>0</v>
      </c>
      <c r="R219" s="7">
        <v>0</v>
      </c>
      <c r="S219" s="7">
        <v>4522.2160000000003</v>
      </c>
      <c r="T219" s="7">
        <v>0</v>
      </c>
      <c r="U219" s="7">
        <v>0</v>
      </c>
      <c r="V219" s="7">
        <v>0</v>
      </c>
      <c r="W219" s="7">
        <v>1589.6849999999999</v>
      </c>
      <c r="X219" s="7">
        <v>0</v>
      </c>
      <c r="Y219" s="7">
        <v>31993.221000000001</v>
      </c>
      <c r="Z219" s="7">
        <v>0</v>
      </c>
      <c r="AA219" s="7">
        <v>4927.4549999999999</v>
      </c>
      <c r="AB219" s="7">
        <v>0</v>
      </c>
      <c r="AC219" s="7">
        <v>2886.6570000000002</v>
      </c>
      <c r="AD219" s="7">
        <v>0</v>
      </c>
      <c r="AE219" s="7">
        <v>86803.448000000004</v>
      </c>
      <c r="AF219" s="7">
        <v>94499.691999999995</v>
      </c>
      <c r="AG219" s="7">
        <v>0</v>
      </c>
      <c r="AH219" s="7">
        <v>251152.326</v>
      </c>
      <c r="AI219" s="7">
        <v>149110.65100000001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3157.105</v>
      </c>
      <c r="AP219" s="7">
        <v>0</v>
      </c>
      <c r="AQ219" s="7">
        <v>37204.872000000003</v>
      </c>
      <c r="AR219" s="7">
        <v>0</v>
      </c>
      <c r="AS219" s="7">
        <v>42.582999999999998</v>
      </c>
      <c r="AT219" s="7">
        <v>0</v>
      </c>
      <c r="AU219" s="7">
        <v>314.85300000000001</v>
      </c>
      <c r="AV219" s="7">
        <v>0</v>
      </c>
      <c r="AW219" s="7">
        <v>0</v>
      </c>
      <c r="AX219" s="7">
        <v>0</v>
      </c>
      <c r="AY219" s="7">
        <v>1624.838</v>
      </c>
      <c r="AZ219" s="7">
        <v>63557.500999999997</v>
      </c>
      <c r="BA219" s="7">
        <v>0</v>
      </c>
      <c r="BB219" s="7">
        <v>1351.9380000000001</v>
      </c>
      <c r="BC219" s="7">
        <v>0</v>
      </c>
      <c r="BD219" s="7">
        <v>80116.485000000001</v>
      </c>
      <c r="BE219" s="7">
        <v>392.67200000000003</v>
      </c>
      <c r="BF219" s="7">
        <v>392.67200000000003</v>
      </c>
      <c r="BG219" s="7">
        <v>27446.663</v>
      </c>
      <c r="BH219" s="7">
        <v>0</v>
      </c>
      <c r="BI219" s="7">
        <v>0</v>
      </c>
      <c r="BJ219" s="21"/>
    </row>
    <row r="220" spans="1:62" ht="15.6" x14ac:dyDescent="0.3">
      <c r="A220" s="5" t="s">
        <v>369</v>
      </c>
      <c r="B220" s="5" t="s">
        <v>405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21"/>
    </row>
    <row r="221" spans="1:62" ht="15.6" x14ac:dyDescent="0.3">
      <c r="A221" s="5" t="s">
        <v>371</v>
      </c>
      <c r="B221" s="5" t="s">
        <v>406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21"/>
    </row>
    <row r="222" spans="1:62" ht="15.6" x14ac:dyDescent="0.3">
      <c r="A222" s="5" t="s">
        <v>373</v>
      </c>
      <c r="B222" s="5" t="s">
        <v>407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21"/>
    </row>
    <row r="223" spans="1:62" ht="15.6" x14ac:dyDescent="0.3">
      <c r="A223" s="5" t="s">
        <v>375</v>
      </c>
      <c r="B223" s="5" t="s">
        <v>408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21"/>
    </row>
    <row r="224" spans="1:62" ht="15.6" x14ac:dyDescent="0.3">
      <c r="A224" s="5" t="s">
        <v>377</v>
      </c>
      <c r="B224" s="5" t="s">
        <v>409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21"/>
    </row>
    <row r="225" spans="1:62" ht="15.6" x14ac:dyDescent="0.3">
      <c r="A225" s="5" t="s">
        <v>379</v>
      </c>
      <c r="B225" s="5" t="s">
        <v>410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21"/>
    </row>
    <row r="226" spans="1:62" ht="15.6" x14ac:dyDescent="0.3">
      <c r="A226" s="5" t="s">
        <v>381</v>
      </c>
      <c r="B226" s="5" t="s">
        <v>411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21"/>
    </row>
    <row r="227" spans="1:62" ht="15.6" x14ac:dyDescent="0.3">
      <c r="A227" s="5" t="s">
        <v>383</v>
      </c>
      <c r="B227" s="5" t="s">
        <v>412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21"/>
    </row>
    <row r="228" spans="1:62" ht="15.6" x14ac:dyDescent="0.3">
      <c r="A228" s="5" t="s">
        <v>385</v>
      </c>
      <c r="B228" s="5" t="s">
        <v>413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21"/>
    </row>
    <row r="229" spans="1:62" ht="15.6" x14ac:dyDescent="0.3">
      <c r="A229" s="5" t="s">
        <v>387</v>
      </c>
      <c r="B229" s="5" t="s">
        <v>414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21"/>
    </row>
    <row r="230" spans="1:62" ht="15.6" x14ac:dyDescent="0.3">
      <c r="A230" s="5" t="s">
        <v>389</v>
      </c>
      <c r="B230" s="5" t="s">
        <v>415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21"/>
    </row>
    <row r="231" spans="1:62" ht="15.6" x14ac:dyDescent="0.3">
      <c r="A231" s="5" t="s">
        <v>391</v>
      </c>
      <c r="B231" s="5" t="s">
        <v>416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21"/>
    </row>
    <row r="232" spans="1:62" ht="15.6" x14ac:dyDescent="0.3">
      <c r="A232" s="5" t="s">
        <v>393</v>
      </c>
      <c r="B232" s="5" t="s">
        <v>417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21"/>
    </row>
    <row r="233" spans="1:62" ht="15.6" x14ac:dyDescent="0.3">
      <c r="A233" s="5" t="s">
        <v>395</v>
      </c>
      <c r="B233" s="5" t="s">
        <v>418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21"/>
    </row>
    <row r="234" spans="1:62" ht="15.6" x14ac:dyDescent="0.3">
      <c r="A234" s="5" t="s">
        <v>419</v>
      </c>
      <c r="B234" s="5" t="s">
        <v>420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21"/>
    </row>
    <row r="235" spans="1:62" ht="15.6" x14ac:dyDescent="0.3">
      <c r="A235" s="5" t="s">
        <v>421</v>
      </c>
      <c r="B235" s="5" t="s">
        <v>422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21"/>
    </row>
    <row r="236" spans="1:62" ht="15.6" x14ac:dyDescent="0.3">
      <c r="A236" s="5" t="s">
        <v>423</v>
      </c>
      <c r="B236" s="5" t="s">
        <v>424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21"/>
    </row>
    <row r="237" spans="1:62" ht="15.6" x14ac:dyDescent="0.3">
      <c r="A237" s="5" t="s">
        <v>425</v>
      </c>
      <c r="B237" s="5" t="s">
        <v>426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21"/>
    </row>
    <row r="238" spans="1:62" ht="15.6" x14ac:dyDescent="0.3">
      <c r="A238" s="5" t="s">
        <v>427</v>
      </c>
      <c r="B238" s="5" t="s">
        <v>428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21"/>
    </row>
    <row r="239" spans="1:62" ht="15.6" x14ac:dyDescent="0.3">
      <c r="A239" s="5" t="s">
        <v>429</v>
      </c>
      <c r="B239" s="5" t="s">
        <v>430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21"/>
    </row>
    <row r="240" spans="1:62" ht="15.6" x14ac:dyDescent="0.3">
      <c r="A240" s="5" t="s">
        <v>431</v>
      </c>
      <c r="B240" s="5" t="s">
        <v>432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21"/>
    </row>
    <row r="241" spans="1:62" ht="15.6" x14ac:dyDescent="0.3">
      <c r="A241" s="5" t="s">
        <v>433</v>
      </c>
      <c r="B241" s="5" t="s">
        <v>434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21"/>
    </row>
    <row r="242" spans="1:62" ht="15.6" x14ac:dyDescent="0.3">
      <c r="A242" s="5" t="s">
        <v>435</v>
      </c>
      <c r="B242" s="5" t="s">
        <v>436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21"/>
    </row>
    <row r="243" spans="1:62" ht="15.6" x14ac:dyDescent="0.3">
      <c r="A243" s="5" t="s">
        <v>437</v>
      </c>
      <c r="B243" s="5" t="s">
        <v>438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21"/>
    </row>
    <row r="244" spans="1:62" ht="15.6" x14ac:dyDescent="0.3">
      <c r="A244" s="5" t="s">
        <v>439</v>
      </c>
      <c r="B244" s="5" t="s">
        <v>440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21"/>
    </row>
    <row r="245" spans="1:62" ht="15.6" x14ac:dyDescent="0.3">
      <c r="A245" s="5" t="s">
        <v>441</v>
      </c>
      <c r="B245" s="5" t="s">
        <v>442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21"/>
    </row>
    <row r="246" spans="1:62" ht="15.6" x14ac:dyDescent="0.3">
      <c r="A246" s="5" t="s">
        <v>443</v>
      </c>
      <c r="B246" s="5" t="s">
        <v>444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21"/>
    </row>
    <row r="247" spans="1:62" ht="15.6" x14ac:dyDescent="0.3">
      <c r="A247" s="5" t="s">
        <v>445</v>
      </c>
      <c r="B247" s="5" t="s">
        <v>446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21"/>
    </row>
    <row r="248" spans="1:62" ht="15.6" x14ac:dyDescent="0.3">
      <c r="A248" s="5" t="s">
        <v>447</v>
      </c>
      <c r="B248" s="5" t="s">
        <v>448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21"/>
    </row>
    <row r="249" spans="1:62" ht="15.6" x14ac:dyDescent="0.3">
      <c r="A249" s="5" t="s">
        <v>449</v>
      </c>
      <c r="B249" s="5" t="s">
        <v>450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21"/>
    </row>
    <row r="250" spans="1:62" ht="15.6" x14ac:dyDescent="0.3">
      <c r="A250" s="5" t="s">
        <v>451</v>
      </c>
      <c r="B250" s="5" t="s">
        <v>452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21"/>
    </row>
    <row r="251" spans="1:62" ht="15.6" x14ac:dyDescent="0.3">
      <c r="A251" s="5" t="s">
        <v>453</v>
      </c>
      <c r="B251" s="5" t="s">
        <v>454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21"/>
    </row>
    <row r="252" spans="1:62" ht="15.6" x14ac:dyDescent="0.3">
      <c r="A252" s="5" t="s">
        <v>455</v>
      </c>
      <c r="B252" s="5" t="s">
        <v>456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245.578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21"/>
    </row>
    <row r="253" spans="1:62" ht="15.6" x14ac:dyDescent="0.3">
      <c r="A253" s="5" t="s">
        <v>457</v>
      </c>
      <c r="B253" s="5" t="s">
        <v>458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7587.6220000000003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21"/>
    </row>
    <row r="254" spans="1:62" ht="15.6" x14ac:dyDescent="0.3">
      <c r="A254" s="5" t="s">
        <v>459</v>
      </c>
      <c r="B254" s="5" t="s">
        <v>460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21"/>
    </row>
    <row r="255" spans="1:62" ht="15.6" x14ac:dyDescent="0.3">
      <c r="A255" s="5" t="s">
        <v>461</v>
      </c>
      <c r="B255" s="5" t="s">
        <v>462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448.74799999999999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352.09500000000003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21"/>
    </row>
    <row r="256" spans="1:62" ht="15.6" x14ac:dyDescent="0.3">
      <c r="A256" s="5" t="s">
        <v>419</v>
      </c>
      <c r="B256" s="5" t="s">
        <v>463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6.0000000000000001E-3</v>
      </c>
      <c r="J256" s="7">
        <v>0</v>
      </c>
      <c r="K256" s="7">
        <v>0</v>
      </c>
      <c r="L256" s="7">
        <v>3.4000000000000002E-2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3.9E-2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21"/>
    </row>
    <row r="257" spans="1:62" ht="15.6" x14ac:dyDescent="0.3">
      <c r="A257" s="5" t="s">
        <v>421</v>
      </c>
      <c r="B257" s="5" t="s">
        <v>464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21"/>
    </row>
    <row r="258" spans="1:62" ht="15.6" x14ac:dyDescent="0.3">
      <c r="A258" s="5" t="s">
        <v>423</v>
      </c>
      <c r="B258" s="5" t="s">
        <v>465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21"/>
    </row>
    <row r="259" spans="1:62" ht="15.6" x14ac:dyDescent="0.3">
      <c r="A259" s="5" t="s">
        <v>425</v>
      </c>
      <c r="B259" s="5" t="s">
        <v>466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21"/>
    </row>
    <row r="260" spans="1:62" ht="15.6" x14ac:dyDescent="0.3">
      <c r="A260" s="5" t="s">
        <v>427</v>
      </c>
      <c r="B260" s="5" t="s">
        <v>467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21"/>
    </row>
    <row r="261" spans="1:62" ht="15.6" x14ac:dyDescent="0.3">
      <c r="A261" s="5" t="s">
        <v>429</v>
      </c>
      <c r="B261" s="5" t="s">
        <v>468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21"/>
    </row>
    <row r="262" spans="1:62" ht="15.6" x14ac:dyDescent="0.3">
      <c r="A262" s="5" t="s">
        <v>431</v>
      </c>
      <c r="B262" s="5" t="s">
        <v>469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21"/>
    </row>
    <row r="263" spans="1:62" ht="15.6" x14ac:dyDescent="0.3">
      <c r="A263" s="5" t="s">
        <v>433</v>
      </c>
      <c r="B263" s="5" t="s">
        <v>470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21"/>
    </row>
    <row r="264" spans="1:62" ht="15.6" x14ac:dyDescent="0.3">
      <c r="A264" s="5" t="s">
        <v>435</v>
      </c>
      <c r="B264" s="5" t="s">
        <v>471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21"/>
    </row>
    <row r="265" spans="1:62" ht="15.6" x14ac:dyDescent="0.3">
      <c r="A265" s="5" t="s">
        <v>437</v>
      </c>
      <c r="B265" s="5" t="s">
        <v>472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21"/>
    </row>
    <row r="266" spans="1:62" ht="15.6" x14ac:dyDescent="0.3">
      <c r="A266" s="5" t="s">
        <v>439</v>
      </c>
      <c r="B266" s="5" t="s">
        <v>473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21"/>
    </row>
    <row r="267" spans="1:62" ht="15.6" x14ac:dyDescent="0.3">
      <c r="A267" s="5" t="s">
        <v>441</v>
      </c>
      <c r="B267" s="5" t="s">
        <v>474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21"/>
    </row>
    <row r="268" spans="1:62" ht="15.6" x14ac:dyDescent="0.3">
      <c r="A268" s="5" t="s">
        <v>443</v>
      </c>
      <c r="B268" s="5" t="s">
        <v>475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21"/>
    </row>
    <row r="269" spans="1:62" ht="15.6" x14ac:dyDescent="0.3">
      <c r="A269" s="5" t="s">
        <v>445</v>
      </c>
      <c r="B269" s="5" t="s">
        <v>476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21"/>
    </row>
    <row r="270" spans="1:62" ht="15.6" x14ac:dyDescent="0.3">
      <c r="A270" s="5" t="s">
        <v>447</v>
      </c>
      <c r="B270" s="5" t="s">
        <v>477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21"/>
    </row>
    <row r="271" spans="1:62" ht="15.6" x14ac:dyDescent="0.3">
      <c r="A271" s="5" t="s">
        <v>449</v>
      </c>
      <c r="B271" s="5" t="s">
        <v>478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21"/>
    </row>
    <row r="272" spans="1:62" ht="15.6" x14ac:dyDescent="0.3">
      <c r="A272" s="5" t="s">
        <v>451</v>
      </c>
      <c r="B272" s="5" t="s">
        <v>479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21"/>
    </row>
    <row r="273" spans="1:62" ht="15.6" x14ac:dyDescent="0.3">
      <c r="A273" s="5" t="s">
        <v>453</v>
      </c>
      <c r="B273" s="5" t="s">
        <v>480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21"/>
    </row>
    <row r="274" spans="1:62" ht="15.6" x14ac:dyDescent="0.3">
      <c r="A274" s="5" t="s">
        <v>455</v>
      </c>
      <c r="B274" s="5" t="s">
        <v>481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21"/>
    </row>
    <row r="275" spans="1:62" ht="15.6" x14ac:dyDescent="0.3">
      <c r="A275" s="5" t="s">
        <v>457</v>
      </c>
      <c r="B275" s="5" t="s">
        <v>482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21"/>
    </row>
    <row r="276" spans="1:62" ht="15.6" x14ac:dyDescent="0.3">
      <c r="A276" s="5" t="s">
        <v>459</v>
      </c>
      <c r="B276" s="5" t="s">
        <v>483</v>
      </c>
      <c r="C276" s="7">
        <v>6</v>
      </c>
      <c r="D276" s="7">
        <v>6</v>
      </c>
      <c r="E276" s="7">
        <v>2770.471</v>
      </c>
      <c r="F276" s="7">
        <v>1995.3969999999999</v>
      </c>
      <c r="G276" s="7">
        <v>134.893</v>
      </c>
      <c r="H276" s="7">
        <v>0</v>
      </c>
      <c r="I276" s="7">
        <v>146.40299999999999</v>
      </c>
      <c r="J276" s="7">
        <v>1442.2239999999999</v>
      </c>
      <c r="K276" s="7">
        <v>0</v>
      </c>
      <c r="L276" s="7">
        <v>4139.3670000000002</v>
      </c>
      <c r="M276" s="7">
        <v>219.15799999999999</v>
      </c>
      <c r="N276" s="7">
        <v>0</v>
      </c>
      <c r="O276" s="7">
        <v>0</v>
      </c>
      <c r="P276" s="7">
        <v>5.0000000000000001E-3</v>
      </c>
      <c r="Q276" s="7">
        <v>0</v>
      </c>
      <c r="R276" s="7">
        <v>0</v>
      </c>
      <c r="S276" s="7">
        <v>810.85500000000002</v>
      </c>
      <c r="T276" s="7">
        <v>0</v>
      </c>
      <c r="U276" s="7">
        <v>0</v>
      </c>
      <c r="V276" s="7">
        <v>323.69200000000001</v>
      </c>
      <c r="W276" s="7">
        <v>2.702</v>
      </c>
      <c r="X276" s="7">
        <v>0</v>
      </c>
      <c r="Y276" s="7">
        <v>112.333</v>
      </c>
      <c r="Z276" s="7">
        <v>0</v>
      </c>
      <c r="AA276" s="7">
        <v>3803.8029999999999</v>
      </c>
      <c r="AB276" s="7">
        <v>0</v>
      </c>
      <c r="AC276" s="7">
        <v>321.63799999999998</v>
      </c>
      <c r="AD276" s="7">
        <v>0</v>
      </c>
      <c r="AE276" s="7">
        <v>990.02800000000002</v>
      </c>
      <c r="AF276" s="7">
        <v>35.402999999999999</v>
      </c>
      <c r="AG276" s="7">
        <v>0</v>
      </c>
      <c r="AH276" s="7">
        <v>6718.8119999999999</v>
      </c>
      <c r="AI276" s="7">
        <v>2.5999999999999999E-2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825.19500000000005</v>
      </c>
      <c r="AP276" s="7">
        <v>0</v>
      </c>
      <c r="AQ276" s="7">
        <v>5.2149999999999999</v>
      </c>
      <c r="AR276" s="7">
        <v>0</v>
      </c>
      <c r="AS276" s="7">
        <v>2.7349999999999999</v>
      </c>
      <c r="AT276" s="7">
        <v>0</v>
      </c>
      <c r="AU276" s="7">
        <v>0.35799999999999998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358.12700000000001</v>
      </c>
      <c r="BC276" s="7">
        <v>0</v>
      </c>
      <c r="BD276" s="7">
        <v>0</v>
      </c>
      <c r="BE276" s="7">
        <v>106.988</v>
      </c>
      <c r="BF276" s="7">
        <v>106.988</v>
      </c>
      <c r="BG276" s="7">
        <v>0</v>
      </c>
      <c r="BH276" s="7">
        <v>0</v>
      </c>
      <c r="BI276" s="7">
        <v>0</v>
      </c>
      <c r="BJ276" s="21"/>
    </row>
    <row r="277" spans="1:62" ht="15.6" x14ac:dyDescent="0.3">
      <c r="A277" s="5" t="s">
        <v>461</v>
      </c>
      <c r="B277" s="5" t="s">
        <v>484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21"/>
    </row>
    <row r="278" spans="1:62" ht="15.6" x14ac:dyDescent="0.3">
      <c r="A278" s="5" t="s">
        <v>485</v>
      </c>
      <c r="B278" s="5" t="s">
        <v>486</v>
      </c>
      <c r="C278" s="7">
        <v>5</v>
      </c>
      <c r="D278" s="7">
        <v>5</v>
      </c>
      <c r="E278" s="7">
        <v>169980.095</v>
      </c>
      <c r="F278" s="7">
        <v>0</v>
      </c>
      <c r="G278" s="7">
        <v>13057.369000000001</v>
      </c>
      <c r="H278" s="7">
        <v>56.42</v>
      </c>
      <c r="I278" s="7">
        <v>0</v>
      </c>
      <c r="J278" s="7">
        <v>40036.067999999999</v>
      </c>
      <c r="K278" s="7">
        <v>22736.971000000001</v>
      </c>
      <c r="L278" s="7">
        <v>98228.785999999993</v>
      </c>
      <c r="M278" s="7">
        <v>241225.63500000001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2974.7820000000002</v>
      </c>
      <c r="V278" s="7">
        <v>5343.2380000000003</v>
      </c>
      <c r="W278" s="7">
        <v>17210.231</v>
      </c>
      <c r="X278" s="7">
        <v>0</v>
      </c>
      <c r="Y278" s="7">
        <v>33905.349000000002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70753.312000000005</v>
      </c>
      <c r="AF278" s="7">
        <v>7412.5439999999999</v>
      </c>
      <c r="AG278" s="7">
        <v>15130.535</v>
      </c>
      <c r="AH278" s="7">
        <v>464613.179</v>
      </c>
      <c r="AI278" s="7">
        <v>129184.749</v>
      </c>
      <c r="AJ278" s="7">
        <v>4.4950000000000001</v>
      </c>
      <c r="AK278" s="7">
        <v>256.99</v>
      </c>
      <c r="AL278" s="7">
        <v>112.227</v>
      </c>
      <c r="AM278" s="7">
        <v>777.26099999999997</v>
      </c>
      <c r="AN278" s="7">
        <v>107.824</v>
      </c>
      <c r="AO278" s="7">
        <v>0</v>
      </c>
      <c r="AP278" s="7">
        <v>0</v>
      </c>
      <c r="AQ278" s="7">
        <v>17093.498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21"/>
    </row>
    <row r="279" spans="1:62" ht="15.6" x14ac:dyDescent="0.3">
      <c r="A279" s="5" t="s">
        <v>487</v>
      </c>
      <c r="B279" s="5" t="s">
        <v>488</v>
      </c>
      <c r="C279" s="7">
        <v>5</v>
      </c>
      <c r="D279" s="7">
        <v>5</v>
      </c>
      <c r="E279" s="7">
        <v>13092.652</v>
      </c>
      <c r="F279" s="7">
        <v>1146.335</v>
      </c>
      <c r="G279" s="7">
        <v>1608.039</v>
      </c>
      <c r="H279" s="7">
        <v>0</v>
      </c>
      <c r="I279" s="7">
        <v>278.83600000000001</v>
      </c>
      <c r="J279" s="7">
        <v>976.75199999999995</v>
      </c>
      <c r="K279" s="7">
        <v>0</v>
      </c>
      <c r="L279" s="7">
        <v>9367.6329999999998</v>
      </c>
      <c r="M279" s="7">
        <v>4339</v>
      </c>
      <c r="N279" s="7">
        <v>0</v>
      </c>
      <c r="O279" s="7">
        <v>0</v>
      </c>
      <c r="P279" s="7">
        <v>50.274000000000001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162.93</v>
      </c>
      <c r="W279" s="7">
        <v>490.18400000000003</v>
      </c>
      <c r="X279" s="7">
        <v>0</v>
      </c>
      <c r="Y279" s="7">
        <v>3866.4209999999998</v>
      </c>
      <c r="Z279" s="7">
        <v>0</v>
      </c>
      <c r="AA279" s="7">
        <v>1318.223</v>
      </c>
      <c r="AB279" s="7">
        <v>0</v>
      </c>
      <c r="AC279" s="7">
        <v>209.98400000000001</v>
      </c>
      <c r="AD279" s="7">
        <v>0</v>
      </c>
      <c r="AE279" s="7">
        <v>12563.509</v>
      </c>
      <c r="AF279" s="7">
        <v>0</v>
      </c>
      <c r="AG279" s="7">
        <v>0</v>
      </c>
      <c r="AH279" s="7">
        <v>27473.664000000001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21"/>
    </row>
    <row r="280" spans="1:62" ht="15.6" x14ac:dyDescent="0.3">
      <c r="A280" s="5" t="s">
        <v>489</v>
      </c>
      <c r="B280" s="5" t="s">
        <v>490</v>
      </c>
      <c r="C280" s="7">
        <v>5</v>
      </c>
      <c r="D280" s="7">
        <v>5</v>
      </c>
      <c r="E280" s="7">
        <v>0</v>
      </c>
      <c r="F280" s="7">
        <v>0</v>
      </c>
      <c r="G280" s="7">
        <v>0</v>
      </c>
      <c r="H280" s="7">
        <v>2460.991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21"/>
    </row>
    <row r="281" spans="1:62" ht="15.6" x14ac:dyDescent="0.3">
      <c r="A281" s="5" t="s">
        <v>491</v>
      </c>
      <c r="B281" s="5" t="s">
        <v>492</v>
      </c>
      <c r="C281" s="7">
        <v>5</v>
      </c>
      <c r="D281" s="7">
        <v>5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21"/>
    </row>
    <row r="282" spans="1:62" ht="15.6" x14ac:dyDescent="0.3">
      <c r="A282" s="5" t="s">
        <v>493</v>
      </c>
      <c r="B282" s="5" t="s">
        <v>494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21"/>
    </row>
    <row r="283" spans="1:62" ht="15.6" x14ac:dyDescent="0.3">
      <c r="A283" s="5" t="s">
        <v>495</v>
      </c>
      <c r="B283" s="5" t="s">
        <v>496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21"/>
    </row>
    <row r="284" spans="1:62" ht="15.6" x14ac:dyDescent="0.3">
      <c r="A284" s="5" t="s">
        <v>497</v>
      </c>
      <c r="B284" s="5" t="s">
        <v>498</v>
      </c>
      <c r="C284" s="7">
        <v>5</v>
      </c>
      <c r="D284" s="7">
        <v>5</v>
      </c>
      <c r="E284" s="7">
        <v>44904.391000000003</v>
      </c>
      <c r="F284" s="7">
        <v>3886.1909999999998</v>
      </c>
      <c r="G284" s="7">
        <v>5451.4</v>
      </c>
      <c r="H284" s="7">
        <v>0</v>
      </c>
      <c r="I284" s="7">
        <v>945.27700000000004</v>
      </c>
      <c r="J284" s="7">
        <v>3311.2860000000001</v>
      </c>
      <c r="K284" s="7">
        <v>0</v>
      </c>
      <c r="L284" s="7">
        <v>39345.338000000003</v>
      </c>
      <c r="M284" s="7">
        <v>14880.695</v>
      </c>
      <c r="N284" s="7">
        <v>0</v>
      </c>
      <c r="O284" s="7">
        <v>0</v>
      </c>
      <c r="P284" s="7">
        <v>170.42599999999999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552.33900000000006</v>
      </c>
      <c r="W284" s="7">
        <v>1661.7750000000001</v>
      </c>
      <c r="X284" s="7">
        <v>0</v>
      </c>
      <c r="Y284" s="7">
        <v>13263.985000000001</v>
      </c>
      <c r="Z284" s="7">
        <v>0</v>
      </c>
      <c r="AA284" s="7">
        <v>4468.8950000000004</v>
      </c>
      <c r="AB284" s="7">
        <v>0</v>
      </c>
      <c r="AC284" s="7">
        <v>711.86699999999996</v>
      </c>
      <c r="AD284" s="7">
        <v>0</v>
      </c>
      <c r="AE284" s="7">
        <v>43212.892999999996</v>
      </c>
      <c r="AF284" s="7">
        <v>0</v>
      </c>
      <c r="AG284" s="7">
        <v>0</v>
      </c>
      <c r="AH284" s="7">
        <v>106497.027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21"/>
    </row>
    <row r="285" spans="1:62" ht="15.6" x14ac:dyDescent="0.3">
      <c r="A285" s="5" t="s">
        <v>499</v>
      </c>
      <c r="B285" s="5" t="s">
        <v>500</v>
      </c>
      <c r="C285" s="7">
        <v>5</v>
      </c>
      <c r="D285" s="7">
        <v>5</v>
      </c>
      <c r="E285" s="7">
        <v>202847.611</v>
      </c>
      <c r="F285" s="7">
        <v>18773.689999999999</v>
      </c>
      <c r="G285" s="7">
        <v>28167.395</v>
      </c>
      <c r="H285" s="7">
        <v>0</v>
      </c>
      <c r="I285" s="7">
        <v>4901.9840000000004</v>
      </c>
      <c r="J285" s="7">
        <v>16587.951000000001</v>
      </c>
      <c r="K285" s="7">
        <v>0</v>
      </c>
      <c r="L285" s="7">
        <v>151204.217</v>
      </c>
      <c r="M285" s="7">
        <v>75023.519</v>
      </c>
      <c r="N285" s="7">
        <v>0</v>
      </c>
      <c r="O285" s="7">
        <v>0</v>
      </c>
      <c r="P285" s="7">
        <v>885.68200000000002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2335.2190000000001</v>
      </c>
      <c r="W285" s="7">
        <v>7108.335</v>
      </c>
      <c r="X285" s="7">
        <v>0</v>
      </c>
      <c r="Y285" s="7">
        <v>55747.267999999996</v>
      </c>
      <c r="Z285" s="7">
        <v>0</v>
      </c>
      <c r="AA285" s="7">
        <v>19155.865000000002</v>
      </c>
      <c r="AB285" s="7">
        <v>0</v>
      </c>
      <c r="AC285" s="7">
        <v>3009.6770000000001</v>
      </c>
      <c r="AD285" s="7">
        <v>0</v>
      </c>
      <c r="AE285" s="7">
        <v>181043.67499999999</v>
      </c>
      <c r="AF285" s="7">
        <v>0</v>
      </c>
      <c r="AG285" s="7">
        <v>0</v>
      </c>
      <c r="AH285" s="7">
        <v>424440.81099999999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3.0000000000000001E-3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21"/>
    </row>
    <row r="286" spans="1:62" ht="15.6" x14ac:dyDescent="0.3">
      <c r="A286" s="5" t="s">
        <v>501</v>
      </c>
      <c r="B286" s="5" t="s">
        <v>502</v>
      </c>
      <c r="C286" s="7">
        <v>5</v>
      </c>
      <c r="D286" s="7">
        <v>5</v>
      </c>
      <c r="E286" s="7">
        <v>1040.3920000000001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3139.5729999999999</v>
      </c>
      <c r="M286" s="7">
        <v>152.58600000000001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1076.434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2262.855</v>
      </c>
      <c r="AF286" s="7">
        <v>0</v>
      </c>
      <c r="AG286" s="7">
        <v>0</v>
      </c>
      <c r="AH286" s="7">
        <v>6518.5919999999996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21"/>
    </row>
    <row r="287" spans="1:62" ht="15.6" x14ac:dyDescent="0.3">
      <c r="A287" s="5" t="s">
        <v>503</v>
      </c>
      <c r="B287" s="5" t="s">
        <v>504</v>
      </c>
      <c r="C287" s="7">
        <v>5</v>
      </c>
      <c r="D287" s="7">
        <v>5</v>
      </c>
      <c r="E287" s="7">
        <v>37116.980000000003</v>
      </c>
      <c r="F287" s="7">
        <v>3157.4830000000002</v>
      </c>
      <c r="G287" s="7">
        <v>4429.1949999999997</v>
      </c>
      <c r="H287" s="7">
        <v>0</v>
      </c>
      <c r="I287" s="7">
        <v>768.02499999999998</v>
      </c>
      <c r="J287" s="7">
        <v>2690.3780000000002</v>
      </c>
      <c r="K287" s="7">
        <v>0</v>
      </c>
      <c r="L287" s="7">
        <v>26996.544999999998</v>
      </c>
      <c r="M287" s="7">
        <v>12660.654</v>
      </c>
      <c r="N287" s="7">
        <v>0</v>
      </c>
      <c r="O287" s="7">
        <v>0</v>
      </c>
      <c r="P287" s="7">
        <v>138.465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448.77</v>
      </c>
      <c r="W287" s="7">
        <v>1350.1679999999999</v>
      </c>
      <c r="X287" s="7">
        <v>0</v>
      </c>
      <c r="Y287" s="7">
        <v>10649.707</v>
      </c>
      <c r="Z287" s="7">
        <v>0</v>
      </c>
      <c r="AA287" s="7">
        <v>3630.9209999999998</v>
      </c>
      <c r="AB287" s="7">
        <v>0</v>
      </c>
      <c r="AC287" s="7">
        <v>578.38099999999997</v>
      </c>
      <c r="AD287" s="7">
        <v>0</v>
      </c>
      <c r="AE287" s="7">
        <v>34605.048999999999</v>
      </c>
      <c r="AF287" s="7">
        <v>0</v>
      </c>
      <c r="AG287" s="7">
        <v>0</v>
      </c>
      <c r="AH287" s="7">
        <v>76502.475000000006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21"/>
    </row>
    <row r="288" spans="1:62" ht="15.6" x14ac:dyDescent="0.3">
      <c r="A288" s="5" t="s">
        <v>505</v>
      </c>
      <c r="B288" s="5" t="s">
        <v>506</v>
      </c>
      <c r="C288" s="7">
        <v>5</v>
      </c>
      <c r="D288" s="7">
        <v>5</v>
      </c>
      <c r="E288" s="7">
        <v>44196.415000000001</v>
      </c>
      <c r="F288" s="7">
        <v>737.92399999999998</v>
      </c>
      <c r="G288" s="7">
        <v>1035.1320000000001</v>
      </c>
      <c r="H288" s="7">
        <v>9908.0969999999998</v>
      </c>
      <c r="I288" s="7">
        <v>179.49299999999999</v>
      </c>
      <c r="J288" s="7">
        <v>628.75800000000004</v>
      </c>
      <c r="K288" s="7">
        <v>0</v>
      </c>
      <c r="L288" s="7">
        <v>63542.453999999998</v>
      </c>
      <c r="M288" s="7">
        <v>10329.527</v>
      </c>
      <c r="N288" s="7">
        <v>0</v>
      </c>
      <c r="O288" s="7">
        <v>0</v>
      </c>
      <c r="P288" s="7">
        <v>32.360999999999997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104.88</v>
      </c>
      <c r="W288" s="7">
        <v>315.54399999999998</v>
      </c>
      <c r="X288" s="7">
        <v>0</v>
      </c>
      <c r="Y288" s="7">
        <v>21228.774000000001</v>
      </c>
      <c r="Z288" s="7">
        <v>0</v>
      </c>
      <c r="AA288" s="7">
        <v>882.54</v>
      </c>
      <c r="AB288" s="7">
        <v>0</v>
      </c>
      <c r="AC288" s="7">
        <v>135.17099999999999</v>
      </c>
      <c r="AD288" s="7">
        <v>0</v>
      </c>
      <c r="AE288" s="7">
        <v>63434.408000000003</v>
      </c>
      <c r="AF288" s="7">
        <v>0</v>
      </c>
      <c r="AG288" s="7">
        <v>0</v>
      </c>
      <c r="AH288" s="7">
        <v>143913.75599999999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21"/>
    </row>
    <row r="289" spans="1:62" ht="15.6" x14ac:dyDescent="0.3">
      <c r="A289" s="5" t="s">
        <v>507</v>
      </c>
      <c r="B289" s="5" t="s">
        <v>508</v>
      </c>
      <c r="C289" s="7">
        <v>5</v>
      </c>
      <c r="D289" s="7">
        <v>5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21"/>
    </row>
    <row r="290" spans="1:62" ht="15.6" x14ac:dyDescent="0.3">
      <c r="A290" s="5" t="s">
        <v>509</v>
      </c>
      <c r="B290" s="5" t="s">
        <v>510</v>
      </c>
      <c r="C290" s="7">
        <v>5</v>
      </c>
      <c r="D290" s="7">
        <v>5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21"/>
    </row>
    <row r="291" spans="1:62" ht="15.6" x14ac:dyDescent="0.3">
      <c r="A291" s="5" t="s">
        <v>511</v>
      </c>
      <c r="B291" s="5" t="s">
        <v>512</v>
      </c>
      <c r="C291" s="7">
        <v>5</v>
      </c>
      <c r="D291" s="7">
        <v>5</v>
      </c>
      <c r="E291" s="7">
        <v>309801.90999999997</v>
      </c>
      <c r="F291" s="7">
        <v>18839.983</v>
      </c>
      <c r="G291" s="7">
        <v>19158.3</v>
      </c>
      <c r="H291" s="7">
        <v>0</v>
      </c>
      <c r="I291" s="7">
        <v>3864.701</v>
      </c>
      <c r="J291" s="7">
        <v>11739.182000000001</v>
      </c>
      <c r="K291" s="7">
        <v>0</v>
      </c>
      <c r="L291" s="7">
        <v>174000.016</v>
      </c>
      <c r="M291" s="7">
        <v>52134.531999999999</v>
      </c>
      <c r="N291" s="7">
        <v>0</v>
      </c>
      <c r="O291" s="7">
        <v>0</v>
      </c>
      <c r="P291" s="7">
        <v>203.77099999999999</v>
      </c>
      <c r="Q291" s="7">
        <v>0</v>
      </c>
      <c r="R291" s="7">
        <v>40.493000000000002</v>
      </c>
      <c r="S291" s="7">
        <v>0</v>
      </c>
      <c r="T291" s="7">
        <v>0</v>
      </c>
      <c r="U291" s="7">
        <v>0</v>
      </c>
      <c r="V291" s="7">
        <v>3426.3890000000001</v>
      </c>
      <c r="W291" s="7">
        <v>8868.6720000000005</v>
      </c>
      <c r="X291" s="7">
        <v>0</v>
      </c>
      <c r="Y291" s="7">
        <v>70005.702999999994</v>
      </c>
      <c r="Z291" s="7">
        <v>0</v>
      </c>
      <c r="AA291" s="7">
        <v>34593.249000000003</v>
      </c>
      <c r="AB291" s="7">
        <v>0</v>
      </c>
      <c r="AC291" s="7">
        <v>6430.1559999999999</v>
      </c>
      <c r="AD291" s="7">
        <v>0</v>
      </c>
      <c r="AE291" s="7">
        <v>196124.514</v>
      </c>
      <c r="AF291" s="7">
        <v>0</v>
      </c>
      <c r="AG291" s="7">
        <v>0</v>
      </c>
      <c r="AH291" s="7">
        <v>628110.03099999996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21"/>
    </row>
    <row r="292" spans="1:62" ht="15.6" x14ac:dyDescent="0.3">
      <c r="A292" s="5" t="s">
        <v>513</v>
      </c>
      <c r="B292" s="5" t="s">
        <v>514</v>
      </c>
      <c r="C292" s="7">
        <v>5</v>
      </c>
      <c r="D292" s="7">
        <v>5</v>
      </c>
      <c r="E292" s="7">
        <v>32827.957999999999</v>
      </c>
      <c r="F292" s="7">
        <v>1297.31</v>
      </c>
      <c r="G292" s="7">
        <v>1423.5260000000001</v>
      </c>
      <c r="H292" s="7">
        <v>0</v>
      </c>
      <c r="I292" s="7">
        <v>276.42</v>
      </c>
      <c r="J292" s="7">
        <v>870.24099999999999</v>
      </c>
      <c r="K292" s="7">
        <v>0</v>
      </c>
      <c r="L292" s="7">
        <v>31334.814999999999</v>
      </c>
      <c r="M292" s="7">
        <v>7801.0389999999998</v>
      </c>
      <c r="N292" s="7">
        <v>0</v>
      </c>
      <c r="O292" s="7">
        <v>0</v>
      </c>
      <c r="P292" s="7">
        <v>22.960999999999999</v>
      </c>
      <c r="Q292" s="7">
        <v>0</v>
      </c>
      <c r="R292" s="7">
        <v>2.2069999999999999</v>
      </c>
      <c r="S292" s="7">
        <v>0</v>
      </c>
      <c r="T292" s="7">
        <v>0</v>
      </c>
      <c r="U292" s="7">
        <v>0</v>
      </c>
      <c r="V292" s="7">
        <v>225.19800000000001</v>
      </c>
      <c r="W292" s="7">
        <v>599.03499999999997</v>
      </c>
      <c r="X292" s="7">
        <v>0</v>
      </c>
      <c r="Y292" s="7">
        <v>4851.4380000000001</v>
      </c>
      <c r="Z292" s="7">
        <v>0</v>
      </c>
      <c r="AA292" s="7">
        <v>2196.5940000000001</v>
      </c>
      <c r="AB292" s="7">
        <v>0</v>
      </c>
      <c r="AC292" s="7">
        <v>400.03899999999999</v>
      </c>
      <c r="AD292" s="7">
        <v>0</v>
      </c>
      <c r="AE292" s="7">
        <v>18550.039000000001</v>
      </c>
      <c r="AF292" s="7">
        <v>0</v>
      </c>
      <c r="AG292" s="7">
        <v>0</v>
      </c>
      <c r="AH292" s="7">
        <v>66876.766000000003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21"/>
    </row>
    <row r="293" spans="1:62" ht="15.6" x14ac:dyDescent="0.3">
      <c r="A293" s="5" t="s">
        <v>515</v>
      </c>
      <c r="B293" s="5" t="s">
        <v>516</v>
      </c>
      <c r="C293" s="7">
        <v>5</v>
      </c>
      <c r="D293" s="7">
        <v>5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21"/>
    </row>
    <row r="294" spans="1:62" ht="15.6" x14ac:dyDescent="0.3">
      <c r="A294" s="5" t="s">
        <v>517</v>
      </c>
      <c r="B294" s="5" t="s">
        <v>518</v>
      </c>
      <c r="C294" s="7">
        <v>5</v>
      </c>
      <c r="D294" s="7">
        <v>5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21"/>
    </row>
    <row r="295" spans="1:62" ht="15.6" x14ac:dyDescent="0.3">
      <c r="A295" s="5" t="s">
        <v>519</v>
      </c>
      <c r="B295" s="5" t="s">
        <v>520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21"/>
    </row>
    <row r="296" spans="1:62" ht="15.6" x14ac:dyDescent="0.3">
      <c r="A296" s="5" t="s">
        <v>521</v>
      </c>
      <c r="B296" s="5" t="s">
        <v>522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21"/>
    </row>
    <row r="297" spans="1:62" ht="15.6" x14ac:dyDescent="0.3">
      <c r="A297" s="5" t="s">
        <v>523</v>
      </c>
      <c r="B297" s="5" t="s">
        <v>524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21"/>
    </row>
    <row r="298" spans="1:62" ht="15.6" x14ac:dyDescent="0.3">
      <c r="A298" s="5" t="s">
        <v>525</v>
      </c>
      <c r="B298" s="5" t="s">
        <v>526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21"/>
    </row>
    <row r="299" spans="1:62" ht="15.6" x14ac:dyDescent="0.3">
      <c r="A299" s="5" t="s">
        <v>527</v>
      </c>
      <c r="B299" s="5" t="s">
        <v>528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21"/>
    </row>
    <row r="300" spans="1:62" ht="15.6" x14ac:dyDescent="0.3">
      <c r="A300" s="5" t="s">
        <v>529</v>
      </c>
      <c r="B300" s="5" t="s">
        <v>530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21"/>
    </row>
    <row r="301" spans="1:62" ht="15.6" x14ac:dyDescent="0.3">
      <c r="A301" s="5" t="s">
        <v>531</v>
      </c>
      <c r="B301" s="5" t="s">
        <v>532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21"/>
    </row>
    <row r="302" spans="1:62" ht="15.6" x14ac:dyDescent="0.3">
      <c r="A302" s="5" t="s">
        <v>533</v>
      </c>
      <c r="B302" s="5" t="s">
        <v>534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21"/>
    </row>
    <row r="303" spans="1:62" ht="15.6" x14ac:dyDescent="0.3">
      <c r="A303" s="5" t="s">
        <v>535</v>
      </c>
      <c r="B303" s="5" t="s">
        <v>536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21"/>
    </row>
    <row r="304" spans="1:62" ht="15.6" x14ac:dyDescent="0.3">
      <c r="A304" s="5" t="s">
        <v>537</v>
      </c>
      <c r="B304" s="5" t="s">
        <v>538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21"/>
    </row>
    <row r="305" spans="1:62" ht="15.6" x14ac:dyDescent="0.3">
      <c r="A305" s="5" t="s">
        <v>539</v>
      </c>
      <c r="B305" s="5" t="s">
        <v>540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21"/>
    </row>
    <row r="306" spans="1:62" ht="15.6" x14ac:dyDescent="0.3">
      <c r="A306" s="5" t="s">
        <v>541</v>
      </c>
      <c r="B306" s="5" t="s">
        <v>542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21"/>
    </row>
    <row r="307" spans="1:62" ht="15.6" x14ac:dyDescent="0.3">
      <c r="A307" s="5" t="s">
        <v>543</v>
      </c>
      <c r="B307" s="5" t="s">
        <v>544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21"/>
    </row>
    <row r="308" spans="1:62" ht="15.6" x14ac:dyDescent="0.3">
      <c r="A308" s="5" t="s">
        <v>545</v>
      </c>
      <c r="B308" s="5" t="s">
        <v>546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21"/>
    </row>
    <row r="309" spans="1:62" ht="15.6" x14ac:dyDescent="0.3">
      <c r="A309" s="5" t="s">
        <v>547</v>
      </c>
      <c r="B309" s="5" t="s">
        <v>548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21"/>
    </row>
    <row r="310" spans="1:62" ht="15.6" x14ac:dyDescent="0.3">
      <c r="A310" s="5" t="s">
        <v>549</v>
      </c>
      <c r="B310" s="5" t="s">
        <v>550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21"/>
    </row>
    <row r="311" spans="1:62" ht="15.6" x14ac:dyDescent="0.3">
      <c r="A311" s="5" t="s">
        <v>551</v>
      </c>
      <c r="B311" s="5" t="s">
        <v>552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21"/>
    </row>
    <row r="312" spans="1:62" ht="15.6" x14ac:dyDescent="0.3">
      <c r="A312" s="5" t="s">
        <v>553</v>
      </c>
      <c r="B312" s="5" t="s">
        <v>554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21"/>
    </row>
    <row r="313" spans="1:62" ht="15.6" x14ac:dyDescent="0.3">
      <c r="A313" s="5" t="s">
        <v>555</v>
      </c>
      <c r="B313" s="5" t="s">
        <v>556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21"/>
    </row>
    <row r="314" spans="1:62" ht="15.6" x14ac:dyDescent="0.3">
      <c r="A314" s="5" t="s">
        <v>557</v>
      </c>
      <c r="B314" s="5" t="s">
        <v>558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21"/>
    </row>
    <row r="315" spans="1:62" ht="15.6" x14ac:dyDescent="0.3">
      <c r="A315" s="5" t="s">
        <v>559</v>
      </c>
      <c r="B315" s="5" t="s">
        <v>560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21"/>
    </row>
    <row r="316" spans="1:62" ht="15.6" x14ac:dyDescent="0.3">
      <c r="A316" s="5" t="s">
        <v>561</v>
      </c>
      <c r="B316" s="5" t="s">
        <v>562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21"/>
    </row>
    <row r="317" spans="1:62" ht="15.6" x14ac:dyDescent="0.3">
      <c r="A317" s="5" t="s">
        <v>563</v>
      </c>
      <c r="B317" s="5" t="s">
        <v>564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21"/>
    </row>
    <row r="318" spans="1:62" ht="15.6" x14ac:dyDescent="0.3">
      <c r="A318" s="5" t="s">
        <v>565</v>
      </c>
      <c r="B318" s="5" t="s">
        <v>566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21"/>
    </row>
    <row r="319" spans="1:62" ht="15.6" x14ac:dyDescent="0.3">
      <c r="A319" s="5" t="s">
        <v>567</v>
      </c>
      <c r="B319" s="5" t="s">
        <v>568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21"/>
    </row>
    <row r="320" spans="1:62" ht="15.6" x14ac:dyDescent="0.3">
      <c r="A320" s="5" t="s">
        <v>569</v>
      </c>
      <c r="B320" s="5" t="s">
        <v>570</v>
      </c>
      <c r="C320" s="7">
        <v>5</v>
      </c>
      <c r="D320" s="7">
        <v>5</v>
      </c>
      <c r="E320" s="7">
        <v>-73289.967000000004</v>
      </c>
      <c r="F320" s="7">
        <v>-10468.539000000001</v>
      </c>
      <c r="G320" s="7">
        <v>0</v>
      </c>
      <c r="H320" s="7">
        <v>0</v>
      </c>
      <c r="I320" s="7">
        <v>-292.423</v>
      </c>
      <c r="J320" s="7">
        <v>0</v>
      </c>
      <c r="K320" s="7">
        <v>0</v>
      </c>
      <c r="L320" s="7">
        <v>-152945.353</v>
      </c>
      <c r="M320" s="7">
        <v>-3854.3510000000001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-3333.471</v>
      </c>
      <c r="T320" s="7">
        <v>0</v>
      </c>
      <c r="U320" s="7">
        <v>0</v>
      </c>
      <c r="V320" s="7">
        <v>0</v>
      </c>
      <c r="W320" s="7">
        <v>-1083.0170000000001</v>
      </c>
      <c r="X320" s="7">
        <v>0</v>
      </c>
      <c r="Y320" s="7">
        <v>-36628.642</v>
      </c>
      <c r="Z320" s="7">
        <v>0</v>
      </c>
      <c r="AA320" s="7">
        <v>-6402.5559999999996</v>
      </c>
      <c r="AB320" s="7">
        <v>0</v>
      </c>
      <c r="AC320" s="7">
        <v>-2146.6080000000002</v>
      </c>
      <c r="AD320" s="7">
        <v>0</v>
      </c>
      <c r="AE320" s="7">
        <v>-98954.202999999994</v>
      </c>
      <c r="AF320" s="7">
        <v>-88861.028999999995</v>
      </c>
      <c r="AG320" s="7">
        <v>0</v>
      </c>
      <c r="AH320" s="7">
        <v>-275672.50699999998</v>
      </c>
      <c r="AI320" s="7">
        <v>-129026.251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-3144.1689999999999</v>
      </c>
      <c r="AP320" s="7">
        <v>0</v>
      </c>
      <c r="AQ320" s="7">
        <v>-35482.294000000002</v>
      </c>
      <c r="AR320" s="7">
        <v>0</v>
      </c>
      <c r="AS320" s="7">
        <v>-33.744</v>
      </c>
      <c r="AT320" s="7">
        <v>0</v>
      </c>
      <c r="AU320" s="7">
        <v>-220.55500000000001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-1390.9169999999999</v>
      </c>
      <c r="BC320" s="7">
        <v>0</v>
      </c>
      <c r="BD320" s="7">
        <v>0</v>
      </c>
      <c r="BE320" s="7">
        <v>-414.75400000000002</v>
      </c>
      <c r="BF320" s="7">
        <v>-414.75400000000002</v>
      </c>
      <c r="BG320" s="7">
        <v>0</v>
      </c>
      <c r="BH320" s="7">
        <v>0</v>
      </c>
      <c r="BI320" s="7">
        <v>0</v>
      </c>
      <c r="BJ320" s="21"/>
    </row>
    <row r="321" spans="1:62" ht="15.6" x14ac:dyDescent="0.3">
      <c r="A321" s="5" t="s">
        <v>571</v>
      </c>
      <c r="B321" s="5" t="s">
        <v>572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21"/>
    </row>
    <row r="322" spans="1:62" ht="15.6" x14ac:dyDescent="0.3">
      <c r="A322" s="5" t="s">
        <v>573</v>
      </c>
      <c r="B322" s="5" t="s">
        <v>574</v>
      </c>
      <c r="C322" s="7">
        <v>5</v>
      </c>
      <c r="D322" s="7">
        <v>5</v>
      </c>
      <c r="E322" s="7">
        <v>-26636.54</v>
      </c>
      <c r="F322" s="7">
        <v>-3804.69</v>
      </c>
      <c r="G322" s="7">
        <v>0</v>
      </c>
      <c r="H322" s="7">
        <v>0</v>
      </c>
      <c r="I322" s="7">
        <v>-106.277</v>
      </c>
      <c r="J322" s="7">
        <v>0</v>
      </c>
      <c r="K322" s="7">
        <v>0</v>
      </c>
      <c r="L322" s="7">
        <v>-55586.531000000003</v>
      </c>
      <c r="M322" s="7">
        <v>-1400.827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-1211.5170000000001</v>
      </c>
      <c r="T322" s="7">
        <v>0</v>
      </c>
      <c r="U322" s="7">
        <v>0</v>
      </c>
      <c r="V322" s="7">
        <v>0</v>
      </c>
      <c r="W322" s="7">
        <v>-393.613</v>
      </c>
      <c r="X322" s="7">
        <v>0</v>
      </c>
      <c r="Y322" s="7">
        <v>-13312.33</v>
      </c>
      <c r="Z322" s="7">
        <v>0</v>
      </c>
      <c r="AA322" s="7">
        <v>-2326.9490000000001</v>
      </c>
      <c r="AB322" s="7">
        <v>0</v>
      </c>
      <c r="AC322" s="7">
        <v>-780.16499999999996</v>
      </c>
      <c r="AD322" s="7">
        <v>0</v>
      </c>
      <c r="AE322" s="7">
        <v>-35963.962</v>
      </c>
      <c r="AF322" s="7">
        <v>-32295.696</v>
      </c>
      <c r="AG322" s="7">
        <v>0</v>
      </c>
      <c r="AH322" s="7">
        <v>-100190.546</v>
      </c>
      <c r="AI322" s="7">
        <v>-46893.362000000001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-1142.7180000000001</v>
      </c>
      <c r="AP322" s="7">
        <v>0</v>
      </c>
      <c r="AQ322" s="7">
        <v>-12895.701999999999</v>
      </c>
      <c r="AR322" s="7">
        <v>0</v>
      </c>
      <c r="AS322" s="7">
        <v>-12.263</v>
      </c>
      <c r="AT322" s="7">
        <v>0</v>
      </c>
      <c r="AU322" s="7">
        <v>-80.159000000000006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-505.51499999999999</v>
      </c>
      <c r="BC322" s="7">
        <v>0</v>
      </c>
      <c r="BD322" s="7">
        <v>0</v>
      </c>
      <c r="BE322" s="7">
        <v>-150.738</v>
      </c>
      <c r="BF322" s="7">
        <v>-150.738</v>
      </c>
      <c r="BG322" s="7">
        <v>0</v>
      </c>
      <c r="BH322" s="7">
        <v>0</v>
      </c>
      <c r="BI322" s="7">
        <v>0</v>
      </c>
      <c r="BJ322" s="21"/>
    </row>
    <row r="323" spans="1:62" ht="15.6" x14ac:dyDescent="0.3">
      <c r="A323" s="5" t="s">
        <v>575</v>
      </c>
      <c r="B323" s="5" t="s">
        <v>576</v>
      </c>
      <c r="C323" s="7">
        <v>6</v>
      </c>
      <c r="D323" s="7">
        <v>6</v>
      </c>
      <c r="E323" s="7">
        <v>54.378999999999998</v>
      </c>
      <c r="F323" s="7">
        <v>0</v>
      </c>
      <c r="G323" s="7">
        <v>0</v>
      </c>
      <c r="H323" s="7">
        <v>0</v>
      </c>
      <c r="I323" s="7">
        <v>76.727999999999994</v>
      </c>
      <c r="J323" s="7">
        <v>0</v>
      </c>
      <c r="K323" s="7">
        <v>0</v>
      </c>
      <c r="L323" s="7">
        <v>16125.134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21"/>
    </row>
    <row r="324" spans="1:62" ht="15.6" x14ac:dyDescent="0.3">
      <c r="A324" s="5" t="s">
        <v>577</v>
      </c>
      <c r="B324" s="5" t="s">
        <v>578</v>
      </c>
      <c r="C324" s="7">
        <v>6</v>
      </c>
      <c r="D324" s="7">
        <v>6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21"/>
    </row>
    <row r="325" spans="1:62" ht="15.6" x14ac:dyDescent="0.3">
      <c r="A325" s="5" t="s">
        <v>579</v>
      </c>
      <c r="B325" s="5" t="s">
        <v>580</v>
      </c>
      <c r="C325" s="7">
        <v>6</v>
      </c>
      <c r="D325" s="7">
        <v>6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21"/>
    </row>
    <row r="326" spans="1:62" ht="15.6" x14ac:dyDescent="0.3">
      <c r="A326" s="5" t="s">
        <v>581</v>
      </c>
      <c r="B326" s="5" t="s">
        <v>582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21"/>
    </row>
    <row r="327" spans="1:62" ht="15.6" x14ac:dyDescent="0.3">
      <c r="A327" s="5" t="s">
        <v>583</v>
      </c>
      <c r="B327" s="5" t="s">
        <v>584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21"/>
    </row>
    <row r="328" spans="1:62" ht="15.6" x14ac:dyDescent="0.3">
      <c r="A328" s="5" t="s">
        <v>585</v>
      </c>
      <c r="B328" s="5" t="s">
        <v>586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21"/>
    </row>
    <row r="329" spans="1:62" ht="15.6" x14ac:dyDescent="0.3">
      <c r="A329" s="5" t="s">
        <v>587</v>
      </c>
      <c r="B329" s="5" t="s">
        <v>588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21"/>
    </row>
    <row r="330" spans="1:62" ht="15.6" x14ac:dyDescent="0.3">
      <c r="A330" s="5" t="s">
        <v>589</v>
      </c>
      <c r="B330" s="5" t="s">
        <v>590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21"/>
    </row>
    <row r="331" spans="1:62" ht="15.6" x14ac:dyDescent="0.3">
      <c r="A331" s="5" t="s">
        <v>591</v>
      </c>
      <c r="B331" s="5" t="s">
        <v>592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21"/>
    </row>
    <row r="332" spans="1:62" ht="15.6" x14ac:dyDescent="0.3">
      <c r="A332" s="5" t="s">
        <v>593</v>
      </c>
      <c r="B332" s="5" t="s">
        <v>594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21"/>
    </row>
    <row r="333" spans="1:62" ht="15.6" x14ac:dyDescent="0.3">
      <c r="A333" s="5" t="s">
        <v>595</v>
      </c>
      <c r="B333" s="5" t="s">
        <v>596</v>
      </c>
      <c r="C333" s="7">
        <v>6</v>
      </c>
      <c r="D333" s="7">
        <v>6</v>
      </c>
      <c r="E333" s="7">
        <v>38636.803999999996</v>
      </c>
      <c r="F333" s="7">
        <v>2594.1239999999998</v>
      </c>
      <c r="G333" s="7">
        <v>2270.8879999999999</v>
      </c>
      <c r="H333" s="7">
        <v>1511.9970000000001</v>
      </c>
      <c r="I333" s="7">
        <v>472.077</v>
      </c>
      <c r="J333" s="7">
        <v>1443.18</v>
      </c>
      <c r="K333" s="7">
        <v>0</v>
      </c>
      <c r="L333" s="7">
        <v>22267.281999999999</v>
      </c>
      <c r="M333" s="7">
        <v>6237.7879999999996</v>
      </c>
      <c r="N333" s="7">
        <v>0</v>
      </c>
      <c r="O333" s="7">
        <v>0</v>
      </c>
      <c r="P333" s="7">
        <v>20.457999999999998</v>
      </c>
      <c r="Q333" s="7">
        <v>0</v>
      </c>
      <c r="R333" s="7">
        <v>13.292</v>
      </c>
      <c r="S333" s="7">
        <v>3.4470000000000001</v>
      </c>
      <c r="T333" s="7">
        <v>0</v>
      </c>
      <c r="U333" s="7">
        <v>0</v>
      </c>
      <c r="V333" s="7">
        <v>416.99099999999999</v>
      </c>
      <c r="W333" s="7">
        <v>1072.9259999999999</v>
      </c>
      <c r="X333" s="7">
        <v>5.1999999999999998E-2</v>
      </c>
      <c r="Y333" s="7">
        <v>8755.6689999999999</v>
      </c>
      <c r="Z333" s="7">
        <v>0</v>
      </c>
      <c r="AA333" s="7">
        <v>4299.634</v>
      </c>
      <c r="AB333" s="7">
        <v>0.47899999999999998</v>
      </c>
      <c r="AC333" s="7">
        <v>794.09500000000003</v>
      </c>
      <c r="AD333" s="7">
        <v>0.33200000000000002</v>
      </c>
      <c r="AE333" s="7">
        <v>23629.833999999999</v>
      </c>
      <c r="AF333" s="7">
        <v>265.37299999999999</v>
      </c>
      <c r="AG333" s="7">
        <v>1.2090000000000001</v>
      </c>
      <c r="AH333" s="7">
        <v>78138.52</v>
      </c>
      <c r="AI333" s="7">
        <v>121.07</v>
      </c>
      <c r="AJ333" s="7">
        <v>0</v>
      </c>
      <c r="AK333" s="7">
        <v>4.4939999999999998</v>
      </c>
      <c r="AL333" s="7">
        <v>11.792999999999999</v>
      </c>
      <c r="AM333" s="7">
        <v>0</v>
      </c>
      <c r="AN333" s="7">
        <v>10.425000000000001</v>
      </c>
      <c r="AO333" s="7">
        <v>2.4060000000000001</v>
      </c>
      <c r="AP333" s="7">
        <v>21.922000000000001</v>
      </c>
      <c r="AQ333" s="7">
        <v>28.355</v>
      </c>
      <c r="AR333" s="7">
        <v>5.9569999999999999</v>
      </c>
      <c r="AS333" s="7">
        <v>3.2000000000000001E-2</v>
      </c>
      <c r="AT333" s="7">
        <v>0</v>
      </c>
      <c r="AU333" s="7">
        <v>2.177</v>
      </c>
      <c r="AV333" s="7">
        <v>15.992000000000001</v>
      </c>
      <c r="AW333" s="7">
        <v>32.168999999999997</v>
      </c>
      <c r="AX333" s="7">
        <v>0.27500000000000002</v>
      </c>
      <c r="AY333" s="7">
        <v>6.1719999999999997</v>
      </c>
      <c r="AZ333" s="7">
        <v>48.44</v>
      </c>
      <c r="BA333" s="7">
        <v>0</v>
      </c>
      <c r="BB333" s="7">
        <v>1.03</v>
      </c>
      <c r="BC333" s="7">
        <v>0</v>
      </c>
      <c r="BD333" s="7">
        <v>61.06</v>
      </c>
      <c r="BE333" s="7">
        <v>0.29899999999999999</v>
      </c>
      <c r="BF333" s="7">
        <v>0.29899999999999999</v>
      </c>
      <c r="BG333" s="7">
        <v>20.917999999999999</v>
      </c>
      <c r="BH333" s="7">
        <v>0.30199999999999999</v>
      </c>
      <c r="BI333" s="7">
        <v>0</v>
      </c>
      <c r="BJ333" s="21"/>
    </row>
    <row r="334" spans="1:62" ht="15.6" x14ac:dyDescent="0.3">
      <c r="A334" s="5" t="s">
        <v>597</v>
      </c>
      <c r="B334" s="5" t="s">
        <v>598</v>
      </c>
      <c r="C334" s="7">
        <v>6</v>
      </c>
      <c r="D334" s="7">
        <v>6</v>
      </c>
      <c r="E334" s="7">
        <v>-58713.341999999997</v>
      </c>
      <c r="F334" s="7">
        <v>-1822.9949999999999</v>
      </c>
      <c r="G334" s="7">
        <v>-816.50900000000001</v>
      </c>
      <c r="H334" s="7">
        <v>-1083.9459999999999</v>
      </c>
      <c r="I334" s="7">
        <v>-301.428</v>
      </c>
      <c r="J334" s="7">
        <v>-706.82399999999996</v>
      </c>
      <c r="K334" s="7">
        <v>0</v>
      </c>
      <c r="L334" s="7">
        <v>-16229.11</v>
      </c>
      <c r="M334" s="7">
        <v>-2952.91</v>
      </c>
      <c r="N334" s="7">
        <v>-0.33300000000000002</v>
      </c>
      <c r="O334" s="7">
        <v>-8.6999999999999994E-2</v>
      </c>
      <c r="P334" s="7">
        <v>-69.182000000000002</v>
      </c>
      <c r="Q334" s="7">
        <v>0</v>
      </c>
      <c r="R334" s="7">
        <v>-128.80600000000001</v>
      </c>
      <c r="S334" s="7">
        <v>-19.114000000000001</v>
      </c>
      <c r="T334" s="7">
        <v>0</v>
      </c>
      <c r="U334" s="7">
        <v>0</v>
      </c>
      <c r="V334" s="7">
        <v>-61.401000000000003</v>
      </c>
      <c r="W334" s="7">
        <v>-172.345</v>
      </c>
      <c r="X334" s="7">
        <v>-9.6969999999999992</v>
      </c>
      <c r="Y334" s="7">
        <v>-9839.0840000000007</v>
      </c>
      <c r="Z334" s="7">
        <v>-0.72899999999999998</v>
      </c>
      <c r="AA334" s="7">
        <v>-1892.2070000000001</v>
      </c>
      <c r="AB334" s="7">
        <v>-19.109000000000002</v>
      </c>
      <c r="AC334" s="7">
        <v>-97.984999999999999</v>
      </c>
      <c r="AD334" s="7">
        <v>0</v>
      </c>
      <c r="AE334" s="7">
        <v>-5119.5219999999999</v>
      </c>
      <c r="AF334" s="7">
        <v>-31.023</v>
      </c>
      <c r="AG334" s="7">
        <v>0</v>
      </c>
      <c r="AH334" s="7">
        <v>-34157.114999999998</v>
      </c>
      <c r="AI334" s="7">
        <v>-352.13600000000002</v>
      </c>
      <c r="AJ334" s="7">
        <v>-2.532</v>
      </c>
      <c r="AK334" s="7">
        <v>-20.54</v>
      </c>
      <c r="AL334" s="7">
        <v>-0.38</v>
      </c>
      <c r="AM334" s="7">
        <v>0</v>
      </c>
      <c r="AN334" s="7">
        <v>-57.707999999999998</v>
      </c>
      <c r="AO334" s="7">
        <v>-0.88800000000000001</v>
      </c>
      <c r="AP334" s="7">
        <v>0</v>
      </c>
      <c r="AQ334" s="7">
        <v>-9.6950000000000003</v>
      </c>
      <c r="AR334" s="7">
        <v>0</v>
      </c>
      <c r="AS334" s="7">
        <v>-1.4750000000000001</v>
      </c>
      <c r="AT334" s="7">
        <v>0</v>
      </c>
      <c r="AU334" s="7">
        <v>-0.26300000000000001</v>
      </c>
      <c r="AV334" s="7">
        <v>0</v>
      </c>
      <c r="AW334" s="7">
        <v>0</v>
      </c>
      <c r="AX334" s="7">
        <v>-77.543999999999997</v>
      </c>
      <c r="AY334" s="7">
        <v>0</v>
      </c>
      <c r="AZ334" s="7">
        <v>0</v>
      </c>
      <c r="BA334" s="7">
        <v>0</v>
      </c>
      <c r="BB334" s="7">
        <v>-5.327</v>
      </c>
      <c r="BC334" s="7">
        <v>0</v>
      </c>
      <c r="BD334" s="7">
        <v>0</v>
      </c>
      <c r="BE334" s="7">
        <v>-0.17599999999999999</v>
      </c>
      <c r="BF334" s="7">
        <v>-0.17599999999999999</v>
      </c>
      <c r="BG334" s="7">
        <v>0</v>
      </c>
      <c r="BH334" s="7">
        <v>-76.072999999999993</v>
      </c>
      <c r="BI334" s="7">
        <v>0</v>
      </c>
      <c r="BJ334" s="21"/>
    </row>
    <row r="335" spans="1:62" ht="15.6" x14ac:dyDescent="0.3">
      <c r="A335" s="5" t="s">
        <v>599</v>
      </c>
      <c r="B335" s="5" t="s">
        <v>600</v>
      </c>
      <c r="C335" s="7">
        <v>6</v>
      </c>
      <c r="D335" s="7">
        <v>6</v>
      </c>
      <c r="E335" s="7">
        <v>-1282.1099999999999</v>
      </c>
      <c r="F335" s="7">
        <v>-150.899</v>
      </c>
      <c r="G335" s="7">
        <v>-49.076000000000001</v>
      </c>
      <c r="H335" s="7">
        <v>-21.338999999999999</v>
      </c>
      <c r="I335" s="7">
        <v>18.510000000000002</v>
      </c>
      <c r="J335" s="7">
        <v>-38.634</v>
      </c>
      <c r="K335" s="7">
        <v>-2.165</v>
      </c>
      <c r="L335" s="7">
        <v>-1461.3340000000001</v>
      </c>
      <c r="M335" s="7">
        <v>-107.218</v>
      </c>
      <c r="N335" s="7">
        <v>0</v>
      </c>
      <c r="O335" s="7">
        <v>0</v>
      </c>
      <c r="P335" s="7">
        <v>0</v>
      </c>
      <c r="Q335" s="7">
        <v>0</v>
      </c>
      <c r="R335" s="7">
        <v>-83.091999999999999</v>
      </c>
      <c r="S335" s="7">
        <v>0</v>
      </c>
      <c r="T335" s="7">
        <v>0</v>
      </c>
      <c r="U335" s="7">
        <v>-12.714</v>
      </c>
      <c r="V335" s="7">
        <v>-34.408000000000001</v>
      </c>
      <c r="W335" s="7">
        <v>-30.183</v>
      </c>
      <c r="X335" s="7">
        <v>-18.193000000000001</v>
      </c>
      <c r="Y335" s="7">
        <v>-449.19200000000001</v>
      </c>
      <c r="Z335" s="7">
        <v>-2.8439999999999999</v>
      </c>
      <c r="AA335" s="7">
        <v>-79.501999999999995</v>
      </c>
      <c r="AB335" s="7">
        <v>-91.090999999999994</v>
      </c>
      <c r="AC335" s="7">
        <v>-52.823</v>
      </c>
      <c r="AD335" s="7">
        <v>-17.417999999999999</v>
      </c>
      <c r="AE335" s="7">
        <v>-330.18099999999998</v>
      </c>
      <c r="AF335" s="7">
        <v>-508.49299999999999</v>
      </c>
      <c r="AG335" s="7">
        <v>-27.873000000000001</v>
      </c>
      <c r="AH335" s="7">
        <v>-2116.6419999999998</v>
      </c>
      <c r="AI335" s="7">
        <v>-666.92700000000002</v>
      </c>
      <c r="AJ335" s="7">
        <v>-6.9409999999999998</v>
      </c>
      <c r="AK335" s="7">
        <v>-679.9</v>
      </c>
      <c r="AL335" s="7">
        <v>-785.66099999999994</v>
      </c>
      <c r="AM335" s="7">
        <v>-145.80099999999999</v>
      </c>
      <c r="AN335" s="7">
        <v>-392.25799999999998</v>
      </c>
      <c r="AO335" s="7">
        <v>-1.806</v>
      </c>
      <c r="AP335" s="7">
        <v>-13.603999999999999</v>
      </c>
      <c r="AQ335" s="7">
        <v>-271.512</v>
      </c>
      <c r="AR335" s="7">
        <v>-2.8050000000000002</v>
      </c>
      <c r="AS335" s="7">
        <v>0</v>
      </c>
      <c r="AT335" s="7">
        <v>0</v>
      </c>
      <c r="AU335" s="7">
        <v>0</v>
      </c>
      <c r="AV335" s="7">
        <v>-11.981999999999999</v>
      </c>
      <c r="AW335" s="7">
        <v>-44.832000000000001</v>
      </c>
      <c r="AX335" s="7">
        <v>-7.5339999999999998</v>
      </c>
      <c r="AY335" s="7">
        <v>-103.027</v>
      </c>
      <c r="AZ335" s="7">
        <v>-9.8840000000000003</v>
      </c>
      <c r="BA335" s="7">
        <v>-1.7809999999999999</v>
      </c>
      <c r="BB335" s="7">
        <v>-8.0640000000000001</v>
      </c>
      <c r="BC335" s="7">
        <v>-2.9489999999999998</v>
      </c>
      <c r="BD335" s="7">
        <v>-23.042999999999999</v>
      </c>
      <c r="BE335" s="7">
        <v>-4.6289999999999996</v>
      </c>
      <c r="BF335" s="7">
        <v>-4.6289999999999996</v>
      </c>
      <c r="BG335" s="7">
        <v>-94.795000000000002</v>
      </c>
      <c r="BH335" s="7">
        <v>-2.391</v>
      </c>
      <c r="BI335" s="7">
        <v>-1.903</v>
      </c>
      <c r="BJ335" s="21"/>
    </row>
    <row r="336" spans="1:62" ht="15.6" x14ac:dyDescent="0.3">
      <c r="A336" s="5" t="s">
        <v>601</v>
      </c>
      <c r="B336" s="5" t="s">
        <v>602</v>
      </c>
      <c r="C336" s="7">
        <v>6</v>
      </c>
      <c r="D336" s="7">
        <v>6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s="21"/>
    </row>
    <row r="337" spans="1:62" ht="15.6" x14ac:dyDescent="0.3">
      <c r="A337" s="5" t="s">
        <v>603</v>
      </c>
      <c r="B337" s="5" t="s">
        <v>604</v>
      </c>
      <c r="C337" s="7">
        <v>6</v>
      </c>
      <c r="D337" s="7">
        <v>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 s="21"/>
    </row>
    <row r="338" spans="1:62" ht="15.6" x14ac:dyDescent="0.3">
      <c r="A338" s="5" t="s">
        <v>605</v>
      </c>
      <c r="B338" s="5" t="s">
        <v>606</v>
      </c>
      <c r="C338" s="5"/>
      <c r="D338" s="5"/>
      <c r="E338">
        <v>10158194.545</v>
      </c>
      <c r="F338">
        <v>1050950.064</v>
      </c>
      <c r="G338">
        <v>1055171.841</v>
      </c>
      <c r="H338">
        <v>1128278.085</v>
      </c>
      <c r="I338">
        <v>132340.09400000001</v>
      </c>
      <c r="J338">
        <v>728583.83499999996</v>
      </c>
      <c r="K338">
        <v>292042.51799999998</v>
      </c>
      <c r="L338">
        <v>10827007.060000001</v>
      </c>
      <c r="M338">
        <v>2851603.9440000001</v>
      </c>
      <c r="N338">
        <v>15221.582</v>
      </c>
      <c r="O338">
        <v>14707.117</v>
      </c>
      <c r="P338">
        <v>17147.02</v>
      </c>
      <c r="Q338">
        <v>14445.878000000001</v>
      </c>
      <c r="R338">
        <v>17150.438999999998</v>
      </c>
      <c r="S338">
        <v>337443.61200000002</v>
      </c>
      <c r="T338">
        <v>1015.16</v>
      </c>
      <c r="U338">
        <v>230922.486</v>
      </c>
      <c r="V338">
        <v>141773.247</v>
      </c>
      <c r="W338">
        <v>273496.076</v>
      </c>
      <c r="X338">
        <v>206376.41899999999</v>
      </c>
      <c r="Y338">
        <v>2938814.4670000002</v>
      </c>
      <c r="Z338">
        <v>85529.087</v>
      </c>
      <c r="AA338">
        <v>1512980.747</v>
      </c>
      <c r="AB338">
        <v>491593.76799999998</v>
      </c>
      <c r="AC338">
        <v>195375.86600000001</v>
      </c>
      <c r="AD338">
        <v>67245.706000000006</v>
      </c>
      <c r="AE338">
        <v>8459335.9480000008</v>
      </c>
      <c r="AF338">
        <v>3567046.7030000002</v>
      </c>
      <c r="AG338">
        <v>349321.87400000001</v>
      </c>
      <c r="AH338">
        <v>22699083.085999999</v>
      </c>
      <c r="AI338">
        <v>5566012.8229999999</v>
      </c>
      <c r="AJ338">
        <v>423891.46399999998</v>
      </c>
      <c r="AK338">
        <v>9383463.4289999995</v>
      </c>
      <c r="AL338">
        <v>4887069.5590000004</v>
      </c>
      <c r="AM338">
        <v>58093.697</v>
      </c>
      <c r="AN338">
        <v>3227062.3870000001</v>
      </c>
      <c r="AO338">
        <v>231229.77299999999</v>
      </c>
      <c r="AP338">
        <v>108251.03</v>
      </c>
      <c r="AQ338">
        <v>1409886.6939999999</v>
      </c>
      <c r="AR338">
        <v>27694.677</v>
      </c>
      <c r="AS338">
        <v>3848.25</v>
      </c>
      <c r="AT338">
        <v>0</v>
      </c>
      <c r="AU338">
        <v>82409.392999999996</v>
      </c>
      <c r="AV338">
        <v>75468.895999999993</v>
      </c>
      <c r="AW338">
        <v>158814.94699999999</v>
      </c>
      <c r="AX338">
        <v>266235.96899999998</v>
      </c>
      <c r="AY338">
        <v>114775.068</v>
      </c>
      <c r="AZ338">
        <v>1040535.2169999999</v>
      </c>
      <c r="BA338">
        <v>198528.09700000001</v>
      </c>
      <c r="BB338">
        <v>102691.53599999999</v>
      </c>
      <c r="BC338">
        <v>50781.88</v>
      </c>
      <c r="BD338">
        <v>1276387.879</v>
      </c>
      <c r="BE338">
        <v>30188.644</v>
      </c>
      <c r="BF338">
        <v>30188.644</v>
      </c>
      <c r="BG338">
        <v>436897.12800000003</v>
      </c>
      <c r="BH338">
        <v>240835.26699999999</v>
      </c>
      <c r="BI338">
        <v>14480.78</v>
      </c>
      <c r="BJ338" s="21"/>
    </row>
    <row r="339" spans="1:62" x14ac:dyDescent="0.25">
      <c r="BJ339" s="21"/>
    </row>
    <row r="340" spans="1:62" ht="15.6" x14ac:dyDescent="0.3">
      <c r="A340" s="5" t="s">
        <v>607</v>
      </c>
      <c r="E340">
        <f t="shared" ref="E340:AW340" si="0">SUM(E5:E337)-E338</f>
        <v>0</v>
      </c>
      <c r="F340">
        <f t="shared" si="0"/>
        <v>0</v>
      </c>
      <c r="G340">
        <f t="shared" si="0"/>
        <v>0</v>
      </c>
      <c r="H340">
        <f t="shared" si="0"/>
        <v>0</v>
      </c>
      <c r="I340">
        <f t="shared" si="0"/>
        <v>0</v>
      </c>
      <c r="J340">
        <f t="shared" si="0"/>
        <v>0</v>
      </c>
      <c r="K340">
        <f t="shared" si="0"/>
        <v>0</v>
      </c>
      <c r="L340">
        <f t="shared" si="0"/>
        <v>0</v>
      </c>
      <c r="M340">
        <f t="shared" si="0"/>
        <v>0</v>
      </c>
      <c r="N340">
        <f t="shared" si="0"/>
        <v>0</v>
      </c>
      <c r="O340">
        <f t="shared" si="0"/>
        <v>0</v>
      </c>
      <c r="P340">
        <f t="shared" si="0"/>
        <v>0</v>
      </c>
      <c r="Q340">
        <f t="shared" si="0"/>
        <v>0</v>
      </c>
      <c r="R340">
        <f t="shared" si="0"/>
        <v>0</v>
      </c>
      <c r="S340">
        <f t="shared" si="0"/>
        <v>0</v>
      </c>
      <c r="T340">
        <f t="shared" si="0"/>
        <v>0</v>
      </c>
      <c r="U340">
        <f t="shared" si="0"/>
        <v>0</v>
      </c>
      <c r="V340">
        <f t="shared" si="0"/>
        <v>0</v>
      </c>
      <c r="W340">
        <f t="shared" si="0"/>
        <v>0</v>
      </c>
      <c r="X340">
        <f t="shared" si="0"/>
        <v>0</v>
      </c>
      <c r="Y340">
        <f t="shared" si="0"/>
        <v>0</v>
      </c>
      <c r="Z340">
        <f t="shared" si="0"/>
        <v>0</v>
      </c>
      <c r="AA340">
        <f t="shared" si="0"/>
        <v>0</v>
      </c>
      <c r="AB340">
        <f t="shared" si="0"/>
        <v>0</v>
      </c>
      <c r="AC340">
        <f t="shared" si="0"/>
        <v>0</v>
      </c>
      <c r="AD340">
        <f t="shared" si="0"/>
        <v>0</v>
      </c>
      <c r="AE340">
        <f t="shared" si="0"/>
        <v>0</v>
      </c>
      <c r="AF340">
        <f t="shared" si="0"/>
        <v>0</v>
      </c>
      <c r="AG340">
        <f t="shared" si="0"/>
        <v>0</v>
      </c>
      <c r="AH340">
        <f t="shared" si="0"/>
        <v>0</v>
      </c>
      <c r="AI340">
        <f t="shared" si="0"/>
        <v>0</v>
      </c>
      <c r="AJ340">
        <f t="shared" si="0"/>
        <v>0</v>
      </c>
      <c r="AK340">
        <f t="shared" si="0"/>
        <v>0</v>
      </c>
      <c r="AL340">
        <f t="shared" si="0"/>
        <v>0</v>
      </c>
      <c r="AM340">
        <f>SUM(AM5:AM337)-AM338</f>
        <v>0</v>
      </c>
      <c r="AN340">
        <f>SUM(AN5:AN337)-AN338</f>
        <v>0</v>
      </c>
      <c r="AO340">
        <f>SUM(AO5:AO337)-AO338</f>
        <v>0</v>
      </c>
      <c r="AP340">
        <f t="shared" si="0"/>
        <v>0</v>
      </c>
      <c r="AQ340">
        <f t="shared" si="0"/>
        <v>0</v>
      </c>
      <c r="AR340">
        <f t="shared" si="0"/>
        <v>0</v>
      </c>
      <c r="AS340">
        <f t="shared" si="0"/>
        <v>0</v>
      </c>
      <c r="AT340">
        <f t="shared" si="0"/>
        <v>0</v>
      </c>
      <c r="AU340">
        <f t="shared" si="0"/>
        <v>0</v>
      </c>
      <c r="AV340">
        <f t="shared" si="0"/>
        <v>0</v>
      </c>
      <c r="AW340">
        <f t="shared" si="0"/>
        <v>0</v>
      </c>
      <c r="AX340">
        <f>SUM(AX5:AX337)-AX338</f>
        <v>0</v>
      </c>
      <c r="AY340">
        <f t="shared" ref="AY340:BI340" si="1">SUM(AY5:AY337)-AY338</f>
        <v>0</v>
      </c>
      <c r="AZ340">
        <f t="shared" si="1"/>
        <v>0</v>
      </c>
      <c r="BA340">
        <f t="shared" si="1"/>
        <v>0</v>
      </c>
      <c r="BB340">
        <f t="shared" si="1"/>
        <v>0</v>
      </c>
      <c r="BC340">
        <f t="shared" si="1"/>
        <v>0</v>
      </c>
      <c r="BD340">
        <f t="shared" si="1"/>
        <v>0</v>
      </c>
      <c r="BE340">
        <f t="shared" si="1"/>
        <v>0</v>
      </c>
      <c r="BF340">
        <f t="shared" si="1"/>
        <v>0</v>
      </c>
      <c r="BG340">
        <f t="shared" si="1"/>
        <v>0</v>
      </c>
      <c r="BH340">
        <f t="shared" si="1"/>
        <v>0</v>
      </c>
      <c r="BI340">
        <f t="shared" si="1"/>
        <v>0</v>
      </c>
      <c r="BJ340" s="21"/>
    </row>
    <row r="341" spans="1:62" x14ac:dyDescent="0.25">
      <c r="BJ341" s="21"/>
    </row>
    <row r="342" spans="1:62" x14ac:dyDescent="0.25">
      <c r="A342" t="s">
        <v>608</v>
      </c>
      <c r="D342">
        <v>1</v>
      </c>
      <c r="E342" s="16">
        <f t="shared" ref="E342:AW342" si="2">SUMIF($D$4:$D$336,$D$342,E4:E336)</f>
        <v>1321072.9340000001</v>
      </c>
      <c r="F342" s="16">
        <f t="shared" si="2"/>
        <v>142101.802</v>
      </c>
      <c r="G342" s="16">
        <f t="shared" si="2"/>
        <v>75927.406999999992</v>
      </c>
      <c r="H342" s="16">
        <f t="shared" si="2"/>
        <v>2095.8530000000001</v>
      </c>
      <c r="I342" s="16">
        <f t="shared" si="2"/>
        <v>11801.617</v>
      </c>
      <c r="J342" s="16">
        <f t="shared" si="2"/>
        <v>53040.654000000002</v>
      </c>
      <c r="K342" s="16">
        <f t="shared" si="2"/>
        <v>7914.7440000000006</v>
      </c>
      <c r="L342" s="16">
        <f t="shared" si="2"/>
        <v>2028114.666</v>
      </c>
      <c r="M342" s="16">
        <f t="shared" si="2"/>
        <v>155437.69500000001</v>
      </c>
      <c r="N342" s="16">
        <f>SUMIF($D$4:$D$336,$D$342,N4:N336)</f>
        <v>96.02300000000001</v>
      </c>
      <c r="O342" s="16">
        <f t="shared" si="2"/>
        <v>12315.563</v>
      </c>
      <c r="P342" s="16">
        <f t="shared" si="2"/>
        <v>692.59599999999989</v>
      </c>
      <c r="Q342" s="16">
        <f t="shared" si="2"/>
        <v>6839.2379999999994</v>
      </c>
      <c r="R342" s="16">
        <f t="shared" si="2"/>
        <v>2186.7309999999998</v>
      </c>
      <c r="S342" s="16">
        <f t="shared" si="2"/>
        <v>45264.137999999992</v>
      </c>
      <c r="T342" s="16">
        <f t="shared" si="2"/>
        <v>22.603999999999999</v>
      </c>
      <c r="U342" s="16">
        <f t="shared" si="2"/>
        <v>5329.9290000000001</v>
      </c>
      <c r="V342" s="16">
        <f t="shared" si="2"/>
        <v>6774.5680000000002</v>
      </c>
      <c r="W342" s="16">
        <f t="shared" si="2"/>
        <v>24293.171999999999</v>
      </c>
      <c r="X342" s="16">
        <f t="shared" si="2"/>
        <v>106787.20699999999</v>
      </c>
      <c r="Y342" s="16">
        <f t="shared" si="2"/>
        <v>508854.717</v>
      </c>
      <c r="Z342" s="16">
        <f t="shared" si="2"/>
        <v>50413.775000000001</v>
      </c>
      <c r="AA342" s="16">
        <f t="shared" si="2"/>
        <v>141037.99599999998</v>
      </c>
      <c r="AB342" s="16">
        <f t="shared" si="2"/>
        <v>417678.25100000005</v>
      </c>
      <c r="AC342" s="16">
        <f t="shared" si="2"/>
        <v>30280.874</v>
      </c>
      <c r="AD342" s="16">
        <f t="shared" si="2"/>
        <v>20195.766</v>
      </c>
      <c r="AE342" s="16">
        <f t="shared" si="2"/>
        <v>1454986.9929999998</v>
      </c>
      <c r="AF342" s="16">
        <f t="shared" si="2"/>
        <v>966571.71299999999</v>
      </c>
      <c r="AG342" s="16">
        <f t="shared" si="2"/>
        <v>132636.97500000001</v>
      </c>
      <c r="AH342" s="16">
        <f t="shared" si="2"/>
        <v>3761792.1270000003</v>
      </c>
      <c r="AI342" s="16">
        <f t="shared" si="2"/>
        <v>1431598.0230000003</v>
      </c>
      <c r="AJ342" s="16">
        <f t="shared" si="2"/>
        <v>240586.81199999998</v>
      </c>
      <c r="AK342" s="16">
        <f t="shared" si="2"/>
        <v>6401236.9610000001</v>
      </c>
      <c r="AL342" s="16">
        <f t="shared" si="2"/>
        <v>3333301.6769999997</v>
      </c>
      <c r="AM342" s="16">
        <f>SUMIF($D$4:$D$336,$D$342,AM4:AM336)</f>
        <v>1644.2249999999999</v>
      </c>
      <c r="AN342" s="16">
        <f>SUMIF($D$4:$D$336,$D$342,AN4:AN336)</f>
        <v>2200695.4820000003</v>
      </c>
      <c r="AO342" s="16">
        <f>SUMIF($D$4:$D$336,$D$342,AO4:AO336)</f>
        <v>41278.614999999998</v>
      </c>
      <c r="AP342" s="16">
        <f t="shared" si="2"/>
        <v>11029.367999999999</v>
      </c>
      <c r="AQ342" s="16">
        <f t="shared" si="2"/>
        <v>383330.46500000003</v>
      </c>
      <c r="AR342" s="16">
        <f t="shared" si="2"/>
        <v>2748.6959999999999</v>
      </c>
      <c r="AS342" s="16">
        <f t="shared" si="2"/>
        <v>491.82499999999999</v>
      </c>
      <c r="AT342" s="16">
        <f t="shared" si="2"/>
        <v>0</v>
      </c>
      <c r="AU342" s="16">
        <f t="shared" si="2"/>
        <v>13606.821</v>
      </c>
      <c r="AV342" s="16">
        <f t="shared" si="2"/>
        <v>7273.9760000000006</v>
      </c>
      <c r="AW342" s="16">
        <f t="shared" si="2"/>
        <v>16724.112000000001</v>
      </c>
      <c r="AX342" s="16">
        <f>SUMIF($D$4:$D$336,$D$342,AX4:AX336)</f>
        <v>139384.43700000001</v>
      </c>
      <c r="AY342" s="16">
        <f t="shared" ref="AY342:BI342" si="3">SUMIF($D$4:$D$336,$D$342,AY4:AY336)</f>
        <v>4043.4389999999999</v>
      </c>
      <c r="AZ342" s="16">
        <f t="shared" si="3"/>
        <v>36785.410000000003</v>
      </c>
      <c r="BA342" s="16">
        <f t="shared" si="3"/>
        <v>103555.821</v>
      </c>
      <c r="BB342" s="16">
        <f t="shared" si="3"/>
        <v>18288.330000000002</v>
      </c>
      <c r="BC342" s="16">
        <f t="shared" si="3"/>
        <v>1550.3029999999999</v>
      </c>
      <c r="BD342" s="16">
        <f t="shared" si="3"/>
        <v>43459.452000000005</v>
      </c>
      <c r="BE342" s="16">
        <f t="shared" si="3"/>
        <v>5372.85</v>
      </c>
      <c r="BF342" s="16">
        <f t="shared" si="3"/>
        <v>5372.85</v>
      </c>
      <c r="BG342" s="16">
        <f t="shared" si="3"/>
        <v>14569.585000000001</v>
      </c>
      <c r="BH342" s="16">
        <f t="shared" si="3"/>
        <v>150689.31199999998</v>
      </c>
      <c r="BI342" s="16">
        <f t="shared" si="3"/>
        <v>580.90899999999999</v>
      </c>
      <c r="BJ342" s="21"/>
    </row>
    <row r="343" spans="1:62" x14ac:dyDescent="0.25">
      <c r="A343" t="s">
        <v>609</v>
      </c>
      <c r="D343">
        <v>2</v>
      </c>
      <c r="E343" s="16">
        <f t="shared" ref="E343:AW343" si="4">SUMIF($D$4:$D$336,$D$343,E4:E336)</f>
        <v>2389785.8810000001</v>
      </c>
      <c r="F343" s="16">
        <f t="shared" si="4"/>
        <v>202751.02200000003</v>
      </c>
      <c r="G343" s="16">
        <f t="shared" si="4"/>
        <v>365009.913</v>
      </c>
      <c r="H343" s="16">
        <f t="shared" si="4"/>
        <v>0</v>
      </c>
      <c r="I343" s="16">
        <f t="shared" si="4"/>
        <v>50237.64</v>
      </c>
      <c r="J343" s="16">
        <f t="shared" si="4"/>
        <v>234370.41000000003</v>
      </c>
      <c r="K343" s="16">
        <f t="shared" si="4"/>
        <v>215168.74599999998</v>
      </c>
      <c r="L343" s="16">
        <f t="shared" si="4"/>
        <v>1318251.5760000001</v>
      </c>
      <c r="M343" s="16">
        <f t="shared" si="4"/>
        <v>635498.15899999987</v>
      </c>
      <c r="N343" s="16">
        <f>SUMIF($D$4:$D$336,$D$343,N4:N336)</f>
        <v>12196.817999999999</v>
      </c>
      <c r="O343" s="16">
        <f t="shared" si="4"/>
        <v>139.68899999999999</v>
      </c>
      <c r="P343" s="16">
        <f t="shared" si="4"/>
        <v>13758.304</v>
      </c>
      <c r="Q343" s="16">
        <f t="shared" si="4"/>
        <v>2415.7990000000004</v>
      </c>
      <c r="R343" s="16">
        <f t="shared" si="4"/>
        <v>3284.4300000000003</v>
      </c>
      <c r="S343" s="16">
        <f t="shared" si="4"/>
        <v>62522.403999999995</v>
      </c>
      <c r="T343" s="16">
        <f t="shared" si="4"/>
        <v>992.55600000000004</v>
      </c>
      <c r="U343" s="16">
        <f t="shared" si="4"/>
        <v>183260.94899999999</v>
      </c>
      <c r="V343" s="16">
        <f t="shared" si="4"/>
        <v>40541.844999999994</v>
      </c>
      <c r="W343" s="16">
        <f t="shared" si="4"/>
        <v>62370.47</v>
      </c>
      <c r="X343" s="16">
        <f t="shared" si="4"/>
        <v>29866.657999999999</v>
      </c>
      <c r="Y343" s="16">
        <f t="shared" si="4"/>
        <v>627940.01</v>
      </c>
      <c r="Z343" s="16">
        <f t="shared" si="4"/>
        <v>330.70600000000002</v>
      </c>
      <c r="AA343" s="16">
        <f t="shared" si="4"/>
        <v>516469.99699999997</v>
      </c>
      <c r="AB343" s="16">
        <f t="shared" si="4"/>
        <v>3392.357</v>
      </c>
      <c r="AC343" s="16">
        <f t="shared" si="4"/>
        <v>30684.476999999999</v>
      </c>
      <c r="AD343" s="16">
        <f t="shared" si="4"/>
        <v>11837.267</v>
      </c>
      <c r="AE343" s="16">
        <f t="shared" si="4"/>
        <v>1747168.625</v>
      </c>
      <c r="AF343" s="16">
        <f t="shared" si="4"/>
        <v>290820.255</v>
      </c>
      <c r="AG343" s="16">
        <f t="shared" si="4"/>
        <v>50972.557000000001</v>
      </c>
      <c r="AH343" s="16">
        <f t="shared" si="4"/>
        <v>3646629.5639999993</v>
      </c>
      <c r="AI343" s="16">
        <f t="shared" si="4"/>
        <v>422271.136</v>
      </c>
      <c r="AJ343" s="16">
        <f t="shared" si="4"/>
        <v>1546.7819999999999</v>
      </c>
      <c r="AK343" s="16">
        <f t="shared" si="4"/>
        <v>1589653.162</v>
      </c>
      <c r="AL343" s="16">
        <f t="shared" si="4"/>
        <v>828455.10699999996</v>
      </c>
      <c r="AM343" s="16">
        <f>SUMIF($D$4:$D$336,$D$343,AM4:AM336)</f>
        <v>45947.264999999999</v>
      </c>
      <c r="AN343" s="16">
        <f>SUMIF($D$4:$D$336,$D$343,AN4:AN336)</f>
        <v>547193.35800000001</v>
      </c>
      <c r="AO343" s="16">
        <f>SUMIF($D$4:$D$336,$D$343,AO4:AO336)</f>
        <v>41357.990000000005</v>
      </c>
      <c r="AP343" s="16">
        <f t="shared" si="4"/>
        <v>0</v>
      </c>
      <c r="AQ343" s="16">
        <f t="shared" si="4"/>
        <v>116124.808</v>
      </c>
      <c r="AR343" s="16">
        <f t="shared" si="4"/>
        <v>0</v>
      </c>
      <c r="AS343" s="16">
        <f t="shared" si="4"/>
        <v>1463.567</v>
      </c>
      <c r="AT343" s="16">
        <f t="shared" si="4"/>
        <v>0</v>
      </c>
      <c r="AU343" s="16">
        <f t="shared" si="4"/>
        <v>30858.011000000006</v>
      </c>
      <c r="AV343" s="16">
        <f t="shared" si="4"/>
        <v>0</v>
      </c>
      <c r="AW343" s="16">
        <f t="shared" si="4"/>
        <v>0</v>
      </c>
      <c r="AX343" s="16">
        <f>SUMIF($D$4:$D$336,$D$343,AX4:AX336)</f>
        <v>38057.377999999997</v>
      </c>
      <c r="AY343" s="16">
        <f t="shared" ref="AY343:BI343" si="5">SUMIF($D$4:$D$336,$D$343,AY4:AY336)</f>
        <v>30797.622000000003</v>
      </c>
      <c r="AZ343" s="16">
        <f t="shared" si="5"/>
        <v>0</v>
      </c>
      <c r="BA343" s="16">
        <f t="shared" si="5"/>
        <v>28472.333999999999</v>
      </c>
      <c r="BB343" s="16">
        <f t="shared" si="5"/>
        <v>19200.091000000004</v>
      </c>
      <c r="BC343" s="16">
        <f t="shared" si="5"/>
        <v>14485.56</v>
      </c>
      <c r="BD343" s="16">
        <f t="shared" si="5"/>
        <v>0</v>
      </c>
      <c r="BE343" s="16">
        <f t="shared" si="5"/>
        <v>5480.1680000000015</v>
      </c>
      <c r="BF343" s="16">
        <f t="shared" si="5"/>
        <v>5480.1680000000015</v>
      </c>
      <c r="BG343" s="16">
        <f t="shared" si="5"/>
        <v>0</v>
      </c>
      <c r="BH343" s="16">
        <f t="shared" si="5"/>
        <v>15675.775000000001</v>
      </c>
      <c r="BI343" s="16">
        <f t="shared" si="5"/>
        <v>3587.5819999999999</v>
      </c>
      <c r="BJ343" s="21"/>
    </row>
    <row r="344" spans="1:62" x14ac:dyDescent="0.25">
      <c r="A344" t="s">
        <v>610</v>
      </c>
      <c r="D344">
        <v>3</v>
      </c>
      <c r="E344" s="16">
        <f t="shared" ref="E344:AW344" si="6">SUMIF($D$4:$D$336,$D$344,E4:E336)</f>
        <v>2106687.385999999</v>
      </c>
      <c r="F344" s="16">
        <f t="shared" si="6"/>
        <v>285917.45</v>
      </c>
      <c r="G344" s="16">
        <f t="shared" si="6"/>
        <v>465757.44300000003</v>
      </c>
      <c r="H344" s="16">
        <f t="shared" si="6"/>
        <v>53115.792999999998</v>
      </c>
      <c r="I344" s="16">
        <f t="shared" si="6"/>
        <v>41622.572</v>
      </c>
      <c r="J344" s="16">
        <f t="shared" si="6"/>
        <v>315293.47000000003</v>
      </c>
      <c r="K344" s="16">
        <f t="shared" si="6"/>
        <v>36248.282999999996</v>
      </c>
      <c r="L344" s="16">
        <f t="shared" si="6"/>
        <v>1008496.0270000001</v>
      </c>
      <c r="M344" s="16">
        <f t="shared" si="6"/>
        <v>936656.42299999984</v>
      </c>
      <c r="N344" s="16">
        <f>SUMIF($D$4:$D$336,$D$344,N4:N336)</f>
        <v>2929.0740000000001</v>
      </c>
      <c r="O344" s="16">
        <f t="shared" si="6"/>
        <v>0</v>
      </c>
      <c r="P344" s="16">
        <f t="shared" si="6"/>
        <v>51.584000000000017</v>
      </c>
      <c r="Q344" s="16">
        <f t="shared" si="6"/>
        <v>4325.7579999999989</v>
      </c>
      <c r="R344" s="16">
        <f t="shared" si="6"/>
        <v>11023.232</v>
      </c>
      <c r="S344" s="16">
        <f t="shared" si="6"/>
        <v>119419.333</v>
      </c>
      <c r="T344" s="16">
        <f t="shared" si="6"/>
        <v>0</v>
      </c>
      <c r="U344" s="16">
        <f t="shared" si="6"/>
        <v>30872.953000000001</v>
      </c>
      <c r="V344" s="16">
        <f t="shared" si="6"/>
        <v>72715.334000000017</v>
      </c>
      <c r="W344" s="16">
        <f t="shared" si="6"/>
        <v>96622.576000000001</v>
      </c>
      <c r="X344" s="16">
        <f t="shared" si="6"/>
        <v>0</v>
      </c>
      <c r="Y344" s="16">
        <f t="shared" si="6"/>
        <v>420930.78600000002</v>
      </c>
      <c r="Z344" s="16">
        <f t="shared" si="6"/>
        <v>5258.2569999999996</v>
      </c>
      <c r="AA344" s="16">
        <f t="shared" si="6"/>
        <v>561085.33199999994</v>
      </c>
      <c r="AB344" s="16">
        <f t="shared" si="6"/>
        <v>0</v>
      </c>
      <c r="AC344" s="16">
        <f t="shared" si="6"/>
        <v>50527.220000000008</v>
      </c>
      <c r="AD344" s="16">
        <f t="shared" si="6"/>
        <v>13991.241999999998</v>
      </c>
      <c r="AE344" s="16">
        <f t="shared" si="6"/>
        <v>1152799.3699999999</v>
      </c>
      <c r="AF344" s="16">
        <f t="shared" si="6"/>
        <v>39171.253000000004</v>
      </c>
      <c r="AG344" s="16">
        <f t="shared" si="6"/>
        <v>57236.139000000003</v>
      </c>
      <c r="AH344" s="16">
        <f t="shared" si="6"/>
        <v>2581775.7449999996</v>
      </c>
      <c r="AI344" s="16">
        <f t="shared" si="6"/>
        <v>60840.486999999994</v>
      </c>
      <c r="AJ344" s="16">
        <f t="shared" si="6"/>
        <v>25390.687999999998</v>
      </c>
      <c r="AK344" s="16">
        <f t="shared" si="6"/>
        <v>0</v>
      </c>
      <c r="AL344" s="16">
        <f t="shared" si="6"/>
        <v>0</v>
      </c>
      <c r="AM344" s="16">
        <f>SUMIF($D$4:$D$336,$D$344,AM4:AM336)</f>
        <v>7740.4779999999992</v>
      </c>
      <c r="AN344" s="16">
        <f>SUMIF($D$4:$D$336,$D$344,AN4:AN336)</f>
        <v>0</v>
      </c>
      <c r="AO344" s="16">
        <f>SUMIF($D$4:$D$336,$D$344,AO4:AO336)</f>
        <v>68521.147000000012</v>
      </c>
      <c r="AP344" s="16">
        <f t="shared" si="6"/>
        <v>0</v>
      </c>
      <c r="AQ344" s="16">
        <f t="shared" si="6"/>
        <v>15264.482999999998</v>
      </c>
      <c r="AR344" s="16">
        <f t="shared" si="6"/>
        <v>0</v>
      </c>
      <c r="AS344" s="16">
        <f t="shared" si="6"/>
        <v>858.36199999999997</v>
      </c>
      <c r="AT344" s="16">
        <f t="shared" si="6"/>
        <v>0</v>
      </c>
      <c r="AU344" s="16">
        <f t="shared" si="6"/>
        <v>25572.796999999999</v>
      </c>
      <c r="AV344" s="16">
        <f t="shared" si="6"/>
        <v>0</v>
      </c>
      <c r="AW344" s="16">
        <f t="shared" si="6"/>
        <v>0</v>
      </c>
      <c r="AX344" s="16">
        <f>SUMIF($D$4:$D$336,$D$344,AX4:AX336)</f>
        <v>0</v>
      </c>
      <c r="AY344" s="16">
        <f t="shared" ref="AY344:BI344" si="7">SUMIF($D$4:$D$336,$D$344,AY4:AY336)</f>
        <v>51969.658000000003</v>
      </c>
      <c r="AZ344" s="16">
        <f t="shared" si="7"/>
        <v>25919.375</v>
      </c>
      <c r="BA344" s="16">
        <f t="shared" si="7"/>
        <v>0</v>
      </c>
      <c r="BB344" s="16">
        <f t="shared" si="7"/>
        <v>30432.541000000001</v>
      </c>
      <c r="BC344" s="16">
        <f t="shared" si="7"/>
        <v>32408.296000000002</v>
      </c>
      <c r="BD344" s="16">
        <f t="shared" si="7"/>
        <v>32672.29</v>
      </c>
      <c r="BE344" s="16">
        <f t="shared" si="7"/>
        <v>9121.6839999999975</v>
      </c>
      <c r="BF344" s="16">
        <f t="shared" si="7"/>
        <v>9121.6839999999975</v>
      </c>
      <c r="BG344" s="16">
        <f t="shared" si="7"/>
        <v>11193.019</v>
      </c>
      <c r="BH344" s="16">
        <f t="shared" si="7"/>
        <v>16728.876</v>
      </c>
      <c r="BI344" s="16">
        <f t="shared" si="7"/>
        <v>9614.4429999999993</v>
      </c>
      <c r="BJ344" s="21"/>
    </row>
    <row r="345" spans="1:62" x14ac:dyDescent="0.25">
      <c r="A345" t="s">
        <v>611</v>
      </c>
      <c r="B345">
        <v>7</v>
      </c>
      <c r="D345">
        <v>4</v>
      </c>
      <c r="E345" s="16">
        <f t="shared" ref="E345:AW345" si="8">SUMIF($D$4:$D$336,$D$345,E4:E336)</f>
        <v>1670338.7929999998</v>
      </c>
      <c r="F345" s="16">
        <f t="shared" si="8"/>
        <v>313072.26500000007</v>
      </c>
      <c r="G345" s="16">
        <f t="shared" si="8"/>
        <v>1656.1780000000001</v>
      </c>
      <c r="H345" s="16">
        <f t="shared" si="8"/>
        <v>60929.902999999998</v>
      </c>
      <c r="I345" s="16">
        <f t="shared" si="8"/>
        <v>7184.402</v>
      </c>
      <c r="J345" s="16">
        <f t="shared" si="8"/>
        <v>1107.6659999999999</v>
      </c>
      <c r="K345" s="16">
        <f t="shared" si="8"/>
        <v>0</v>
      </c>
      <c r="L345" s="16">
        <f t="shared" si="8"/>
        <v>3855308.7639999995</v>
      </c>
      <c r="M345" s="16">
        <f t="shared" si="8"/>
        <v>150877.95799999998</v>
      </c>
      <c r="N345" s="16">
        <f>SUMIF($D$4:$D$336,$D$345,N4:N336)</f>
        <v>0</v>
      </c>
      <c r="O345" s="16">
        <f t="shared" si="8"/>
        <v>2792.7980000000002</v>
      </c>
      <c r="P345" s="16">
        <f t="shared" si="8"/>
        <v>40.029000000000003</v>
      </c>
      <c r="Q345" s="16">
        <f t="shared" si="8"/>
        <v>1054.5309999999999</v>
      </c>
      <c r="R345" s="16">
        <f t="shared" si="8"/>
        <v>92.980999999999995</v>
      </c>
      <c r="S345" s="16">
        <f t="shared" si="8"/>
        <v>99523.840999999986</v>
      </c>
      <c r="T345" s="16">
        <f t="shared" si="8"/>
        <v>0</v>
      </c>
      <c r="U345" s="16">
        <f t="shared" si="8"/>
        <v>0</v>
      </c>
      <c r="V345" s="16">
        <f t="shared" si="8"/>
        <v>311.57399999999996</v>
      </c>
      <c r="W345" s="16">
        <f t="shared" si="8"/>
        <v>34181.638999999996</v>
      </c>
      <c r="X345" s="16">
        <f t="shared" si="8"/>
        <v>75797.922000000006</v>
      </c>
      <c r="Y345" s="16">
        <f t="shared" si="8"/>
        <v>832476.48499999999</v>
      </c>
      <c r="Z345" s="16">
        <f t="shared" si="8"/>
        <v>30765.690999999999</v>
      </c>
      <c r="AA345" s="16">
        <f t="shared" si="8"/>
        <v>138228.44000000003</v>
      </c>
      <c r="AB345" s="16">
        <f t="shared" si="8"/>
        <v>87904.114999999991</v>
      </c>
      <c r="AC345" s="16">
        <f t="shared" si="8"/>
        <v>63420.740000000013</v>
      </c>
      <c r="AD345" s="16">
        <f t="shared" si="8"/>
        <v>21713.367999999999</v>
      </c>
      <c r="AE345" s="16">
        <f t="shared" si="8"/>
        <v>2270067.4220000003</v>
      </c>
      <c r="AF345" s="16">
        <f t="shared" si="8"/>
        <v>2255443.2989999996</v>
      </c>
      <c r="AG345" s="16">
        <f t="shared" si="8"/>
        <v>97450.885999999999</v>
      </c>
      <c r="AH345" s="16">
        <f t="shared" si="8"/>
        <v>6534849.727</v>
      </c>
      <c r="AI345" s="16">
        <f t="shared" si="8"/>
        <v>3440885.2840000005</v>
      </c>
      <c r="AJ345" s="16">
        <f t="shared" si="8"/>
        <v>162397.60499999998</v>
      </c>
      <c r="AK345" s="16">
        <f t="shared" si="8"/>
        <v>1813175.2109999999</v>
      </c>
      <c r="AL345" s="16">
        <f t="shared" si="8"/>
        <v>944944.66</v>
      </c>
      <c r="AM345" s="16">
        <f>SUMIF($D$4:$D$336,$D$345,AM4:AM336)</f>
        <v>0</v>
      </c>
      <c r="AN345" s="16">
        <f>SUMIF($D$4:$D$336,$D$345,AN4:AN336)</f>
        <v>624134.53300000005</v>
      </c>
      <c r="AO345" s="16">
        <f>SUMIF($D$4:$D$336,$D$345,AO4:AO336)</f>
        <v>77286.45199999999</v>
      </c>
      <c r="AP345" s="16">
        <f t="shared" si="8"/>
        <v>97213.343999999997</v>
      </c>
      <c r="AQ345" s="16">
        <f t="shared" si="8"/>
        <v>891391.69400000002</v>
      </c>
      <c r="AR345" s="16">
        <f t="shared" si="8"/>
        <v>24942.829000000002</v>
      </c>
      <c r="AS345" s="16">
        <f t="shared" si="8"/>
        <v>952.21</v>
      </c>
      <c r="AT345" s="16">
        <f t="shared" si="8"/>
        <v>0</v>
      </c>
      <c r="AU345" s="16">
        <f t="shared" si="8"/>
        <v>10778.081</v>
      </c>
      <c r="AV345" s="16">
        <f t="shared" si="8"/>
        <v>68190.91</v>
      </c>
      <c r="AW345" s="16">
        <f t="shared" si="8"/>
        <v>142103.49799999999</v>
      </c>
      <c r="AX345" s="16">
        <f>SUMIF($D$4:$D$336,$D$345,AX4:AX336)</f>
        <v>96584.975999999995</v>
      </c>
      <c r="AY345" s="16">
        <f t="shared" ref="AY345:BI345" si="9">SUMIF($D$4:$D$336,$D$345,AY4:AY336)</f>
        <v>22903.731</v>
      </c>
      <c r="AZ345" s="16">
        <f t="shared" si="9"/>
        <v>912974.4310000001</v>
      </c>
      <c r="BA345" s="16">
        <f t="shared" si="9"/>
        <v>72259.302999999985</v>
      </c>
      <c r="BB345" s="16">
        <f t="shared" si="9"/>
        <v>33565.202000000005</v>
      </c>
      <c r="BC345" s="16">
        <f t="shared" si="9"/>
        <v>136.60600000000002</v>
      </c>
      <c r="BD345" s="16">
        <f t="shared" si="9"/>
        <v>1118576.706</v>
      </c>
      <c r="BE345" s="16">
        <f t="shared" si="9"/>
        <v>9862.6409999999996</v>
      </c>
      <c r="BF345" s="16">
        <f t="shared" si="9"/>
        <v>9862.6409999999996</v>
      </c>
      <c r="BG345" s="16">
        <f t="shared" si="9"/>
        <v>383206.99800000002</v>
      </c>
      <c r="BH345" s="16">
        <f t="shared" si="9"/>
        <v>61317.714999999997</v>
      </c>
      <c r="BI345" s="16">
        <f t="shared" si="9"/>
        <v>40.479999999999997</v>
      </c>
      <c r="BJ345" s="21"/>
    </row>
    <row r="346" spans="1:62" x14ac:dyDescent="0.25">
      <c r="A346" t="s">
        <v>612</v>
      </c>
      <c r="D346">
        <v>5</v>
      </c>
      <c r="E346" s="16">
        <f t="shared" ref="E346:AW346" si="10">SUMIF($D$4:$D$336,$D$346,E4:E336)</f>
        <v>755881.89699999988</v>
      </c>
      <c r="F346" s="16">
        <f t="shared" si="10"/>
        <v>33565.686999999991</v>
      </c>
      <c r="G346" s="16">
        <f t="shared" si="10"/>
        <v>74330.356</v>
      </c>
      <c r="H346" s="16">
        <f t="shared" si="10"/>
        <v>978754.26699999999</v>
      </c>
      <c r="I346" s="16">
        <f t="shared" si="10"/>
        <v>10816.036</v>
      </c>
      <c r="J346" s="16">
        <f t="shared" si="10"/>
        <v>76840.615999999995</v>
      </c>
      <c r="K346" s="16">
        <f t="shared" si="10"/>
        <v>22736.971000000001</v>
      </c>
      <c r="L346" s="16">
        <f t="shared" si="10"/>
        <v>388627.49299999984</v>
      </c>
      <c r="M346" s="16">
        <f t="shared" si="10"/>
        <v>413292.00900000002</v>
      </c>
      <c r="N346" s="16">
        <f>SUMIF($D$4:$D$336,$D$346,N4:N336)</f>
        <v>0</v>
      </c>
      <c r="O346" s="16">
        <f t="shared" si="10"/>
        <v>0</v>
      </c>
      <c r="P346" s="16">
        <f t="shared" si="10"/>
        <v>1503.94</v>
      </c>
      <c r="Q346" s="16">
        <f t="shared" si="10"/>
        <v>0</v>
      </c>
      <c r="R346" s="16">
        <f t="shared" si="10"/>
        <v>42.7</v>
      </c>
      <c r="S346" s="16">
        <f t="shared" si="10"/>
        <v>-4544.9880000000003</v>
      </c>
      <c r="T346" s="16">
        <f t="shared" si="10"/>
        <v>0</v>
      </c>
      <c r="U346" s="16">
        <f t="shared" si="10"/>
        <v>2974.7820000000002</v>
      </c>
      <c r="V346" s="16">
        <f t="shared" si="10"/>
        <v>12598.963</v>
      </c>
      <c r="W346" s="16">
        <f t="shared" si="10"/>
        <v>36127.314000000013</v>
      </c>
      <c r="X346" s="16">
        <f t="shared" si="10"/>
        <v>0</v>
      </c>
      <c r="Y346" s="16">
        <f t="shared" si="10"/>
        <v>164654.10700000002</v>
      </c>
      <c r="Z346" s="16">
        <f t="shared" si="10"/>
        <v>0</v>
      </c>
      <c r="AA346" s="16">
        <f t="shared" si="10"/>
        <v>57516.781999999999</v>
      </c>
      <c r="AB346" s="16">
        <f t="shared" si="10"/>
        <v>0</v>
      </c>
      <c r="AC346" s="16">
        <f t="shared" si="10"/>
        <v>8548.5020000000004</v>
      </c>
      <c r="AD346" s="16">
        <f t="shared" si="10"/>
        <v>0</v>
      </c>
      <c r="AE346" s="16">
        <f t="shared" si="10"/>
        <v>487632.08899999998</v>
      </c>
      <c r="AF346" s="16">
        <f t="shared" si="10"/>
        <v>-113744.181</v>
      </c>
      <c r="AG346" s="16">
        <f t="shared" si="10"/>
        <v>15130.535</v>
      </c>
      <c r="AH346" s="16">
        <f t="shared" si="10"/>
        <v>1569083.2479999999</v>
      </c>
      <c r="AI346" s="16">
        <f t="shared" si="10"/>
        <v>-46734.864000000009</v>
      </c>
      <c r="AJ346" s="16">
        <f t="shared" si="10"/>
        <v>4.4950000000000001</v>
      </c>
      <c r="AK346" s="16">
        <f t="shared" si="10"/>
        <v>256.99</v>
      </c>
      <c r="AL346" s="16">
        <f t="shared" si="10"/>
        <v>112.227</v>
      </c>
      <c r="AM346" s="16">
        <f>SUMIF($D$4:$D$336,$D$346,AM4:AM336)</f>
        <v>777.26099999999997</v>
      </c>
      <c r="AN346" s="16">
        <f>SUMIF($D$4:$D$336,$D$346,AN4:AN336)</f>
        <v>107.824</v>
      </c>
      <c r="AO346" s="16">
        <f>SUMIF($D$4:$D$336,$D$346,AO4:AO336)</f>
        <v>-4286.8869999999997</v>
      </c>
      <c r="AP346" s="16">
        <f t="shared" si="10"/>
        <v>0</v>
      </c>
      <c r="AQ346" s="16">
        <f t="shared" si="10"/>
        <v>-31284.498</v>
      </c>
      <c r="AR346" s="16">
        <f t="shared" si="10"/>
        <v>0</v>
      </c>
      <c r="AS346" s="16">
        <f t="shared" si="10"/>
        <v>-46.006999999999998</v>
      </c>
      <c r="AT346" s="16">
        <f t="shared" si="10"/>
        <v>0</v>
      </c>
      <c r="AU346" s="16">
        <f t="shared" si="10"/>
        <v>-300.71100000000001</v>
      </c>
      <c r="AV346" s="16">
        <f t="shared" si="10"/>
        <v>0</v>
      </c>
      <c r="AW346" s="16">
        <f t="shared" si="10"/>
        <v>0</v>
      </c>
      <c r="AX346" s="16">
        <f>SUMIF($D$4:$D$336,$D$346,AX4:AX336)</f>
        <v>0</v>
      </c>
      <c r="AY346" s="16">
        <f t="shared" ref="AY346:BI346" si="11">SUMIF($D$4:$D$336,$D$346,AY4:AY336)</f>
        <v>0</v>
      </c>
      <c r="AZ346" s="16">
        <f t="shared" si="11"/>
        <v>0</v>
      </c>
      <c r="BA346" s="16">
        <f t="shared" si="11"/>
        <v>0</v>
      </c>
      <c r="BB346" s="16">
        <f t="shared" si="11"/>
        <v>-1896.4319999999998</v>
      </c>
      <c r="BC346" s="16">
        <f t="shared" si="11"/>
        <v>0</v>
      </c>
      <c r="BD346" s="16">
        <f t="shared" si="11"/>
        <v>0</v>
      </c>
      <c r="BE346" s="16">
        <f t="shared" si="11"/>
        <v>-565.49199999999996</v>
      </c>
      <c r="BF346" s="16">
        <f t="shared" si="11"/>
        <v>-565.49199999999996</v>
      </c>
      <c r="BG346" s="16">
        <f t="shared" si="11"/>
        <v>0</v>
      </c>
      <c r="BH346" s="16">
        <f t="shared" si="11"/>
        <v>0</v>
      </c>
      <c r="BI346" s="16">
        <f t="shared" si="11"/>
        <v>0</v>
      </c>
      <c r="BJ346" s="21"/>
    </row>
    <row r="347" spans="1:62" x14ac:dyDescent="0.25">
      <c r="A347" t="s">
        <v>613</v>
      </c>
      <c r="B347">
        <v>7</v>
      </c>
      <c r="D347">
        <v>6</v>
      </c>
      <c r="E347" s="16">
        <f t="shared" ref="E347:AW347" si="12">SUMIF($D$4:$D$336,$D$347,E4:E336)+SUMIF($D$4:$D$336,$B$347,E4:E336)</f>
        <v>1914427.6539999999</v>
      </c>
      <c r="F347" s="16">
        <f t="shared" si="12"/>
        <v>73541.838000000003</v>
      </c>
      <c r="G347" s="16">
        <f t="shared" si="12"/>
        <v>72490.543999999994</v>
      </c>
      <c r="H347" s="16">
        <f t="shared" si="12"/>
        <v>33382.269000000008</v>
      </c>
      <c r="I347" s="16">
        <f t="shared" si="12"/>
        <v>10677.826999999997</v>
      </c>
      <c r="J347" s="16">
        <f t="shared" si="12"/>
        <v>47931.019000000008</v>
      </c>
      <c r="K347" s="16">
        <f t="shared" si="12"/>
        <v>9973.7739999999994</v>
      </c>
      <c r="L347" s="16">
        <f t="shared" si="12"/>
        <v>2228208.5340000009</v>
      </c>
      <c r="M347" s="16">
        <f t="shared" si="12"/>
        <v>559841.69999999995</v>
      </c>
      <c r="N347" s="16">
        <f>SUMIF($D$4:$D$336,$D$347,N4:N336)+SUMIF($D$4:$D$336,$B$347,N4:N336)</f>
        <v>-0.33300000000000002</v>
      </c>
      <c r="O347" s="16">
        <f t="shared" si="12"/>
        <v>-540.93299999999999</v>
      </c>
      <c r="P347" s="16">
        <f t="shared" si="12"/>
        <v>1100.5670000000002</v>
      </c>
      <c r="Q347" s="16">
        <f t="shared" si="12"/>
        <v>-189.44800000000001</v>
      </c>
      <c r="R347" s="16">
        <f t="shared" si="12"/>
        <v>520.36500000000001</v>
      </c>
      <c r="S347" s="16">
        <f t="shared" si="12"/>
        <v>15258.884</v>
      </c>
      <c r="T347" s="16">
        <f t="shared" si="12"/>
        <v>0</v>
      </c>
      <c r="U347" s="16">
        <f t="shared" si="12"/>
        <v>8483.8729999999996</v>
      </c>
      <c r="V347" s="16">
        <f t="shared" si="12"/>
        <v>8830.9629999999997</v>
      </c>
      <c r="W347" s="16">
        <f t="shared" si="12"/>
        <v>19900.904999999999</v>
      </c>
      <c r="X347" s="16">
        <f t="shared" si="12"/>
        <v>-6075.3680000000004</v>
      </c>
      <c r="Y347" s="16">
        <f t="shared" si="12"/>
        <v>383958.36200000002</v>
      </c>
      <c r="Z347" s="16">
        <f t="shared" si="12"/>
        <v>-1239.3420000000001</v>
      </c>
      <c r="AA347" s="16">
        <f t="shared" si="12"/>
        <v>98642.2</v>
      </c>
      <c r="AB347" s="16">
        <f t="shared" si="12"/>
        <v>-17380.955000000002</v>
      </c>
      <c r="AC347" s="16">
        <f t="shared" si="12"/>
        <v>11914.053</v>
      </c>
      <c r="AD347" s="16">
        <f t="shared" si="12"/>
        <v>-491.93700000000007</v>
      </c>
      <c r="AE347" s="16">
        <f t="shared" si="12"/>
        <v>1346681.4489999998</v>
      </c>
      <c r="AF347" s="16">
        <f t="shared" si="12"/>
        <v>128784.364</v>
      </c>
      <c r="AG347" s="16">
        <f t="shared" si="12"/>
        <v>-4105.2179999999998</v>
      </c>
      <c r="AH347" s="16">
        <f t="shared" si="12"/>
        <v>4604952.6750000007</v>
      </c>
      <c r="AI347" s="16">
        <f t="shared" si="12"/>
        <v>257152.75700000001</v>
      </c>
      <c r="AJ347" s="16">
        <f t="shared" si="12"/>
        <v>-6034.9179999999997</v>
      </c>
      <c r="AK347" s="16">
        <f t="shared" si="12"/>
        <v>-420858.89499999996</v>
      </c>
      <c r="AL347" s="16">
        <f t="shared" si="12"/>
        <v>-219744.11199999999</v>
      </c>
      <c r="AM347" s="16">
        <f>SUMIF($D$4:$D$336,$D$347,AM4:AM336)+SUMIF($D$4:$D$336,$B$347,AM4:AM336)</f>
        <v>1984.4680000000003</v>
      </c>
      <c r="AN347" s="16">
        <f>SUMIF($D$4:$D$336,$D$347,AN4:AN336)+SUMIF($D$4:$D$336,$B$347,AN4:AN336)</f>
        <v>-145068.81000000003</v>
      </c>
      <c r="AO347" s="16">
        <f>SUMIF($D$4:$D$336,$D$347,AO4:AO336)+SUMIF($D$4:$D$336,$B$347,AO4:AO336)</f>
        <v>7072.4559999999992</v>
      </c>
      <c r="AP347" s="16">
        <f t="shared" si="12"/>
        <v>8.3180000000000014</v>
      </c>
      <c r="AQ347" s="16">
        <f t="shared" si="12"/>
        <v>35059.741999999998</v>
      </c>
      <c r="AR347" s="16">
        <f t="shared" si="12"/>
        <v>3.1519999999999997</v>
      </c>
      <c r="AS347" s="16">
        <f t="shared" si="12"/>
        <v>128.29300000000001</v>
      </c>
      <c r="AT347" s="16">
        <f t="shared" si="12"/>
        <v>0</v>
      </c>
      <c r="AU347" s="16">
        <f t="shared" si="12"/>
        <v>1894.3939999999998</v>
      </c>
      <c r="AV347" s="16">
        <f t="shared" si="12"/>
        <v>4.0100000000000016</v>
      </c>
      <c r="AW347" s="16">
        <f t="shared" si="12"/>
        <v>-12.663000000000004</v>
      </c>
      <c r="AX347" s="16">
        <f>SUMIF($D$4:$D$336,$D$347,AX4:AX336)+SUMIF($D$4:$D$336,$B$347,AX4:AX336)</f>
        <v>-7790.8219999999992</v>
      </c>
      <c r="AY347" s="16">
        <f t="shared" ref="AY347:BI347" si="13">SUMIF($D$4:$D$336,$D$347,AY4:AY336)+SUMIF($D$4:$D$336,$B$347,AY4:AY336)</f>
        <v>5060.6180000000013</v>
      </c>
      <c r="AZ347" s="16">
        <f t="shared" si="13"/>
        <v>64856.001000000004</v>
      </c>
      <c r="BA347" s="16">
        <f t="shared" si="13"/>
        <v>-5759.3609999999999</v>
      </c>
      <c r="BB347" s="16">
        <f t="shared" si="13"/>
        <v>3101.8040000000005</v>
      </c>
      <c r="BC347" s="16">
        <f t="shared" si="13"/>
        <v>2201.1149999999998</v>
      </c>
      <c r="BD347" s="16">
        <f t="shared" si="13"/>
        <v>81679.430999999997</v>
      </c>
      <c r="BE347" s="16">
        <f t="shared" si="13"/>
        <v>916.79300000000012</v>
      </c>
      <c r="BF347" s="16">
        <f t="shared" si="13"/>
        <v>916.79300000000012</v>
      </c>
      <c r="BG347" s="16">
        <f t="shared" si="13"/>
        <v>27927.526000000005</v>
      </c>
      <c r="BH347" s="16">
        <f t="shared" si="13"/>
        <v>-3576.4110000000001</v>
      </c>
      <c r="BI347" s="16">
        <f t="shared" si="13"/>
        <v>657.36599999999999</v>
      </c>
      <c r="BJ347" s="21"/>
    </row>
    <row r="348" spans="1:62" x14ac:dyDescent="0.25"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21"/>
    </row>
    <row r="349" spans="1:62" x14ac:dyDescent="0.25">
      <c r="E349">
        <f t="shared" ref="E349:M349" si="14">SUM(E342:E348)</f>
        <v>10158194.544999998</v>
      </c>
      <c r="F349">
        <f t="shared" si="14"/>
        <v>1050950.0640000002</v>
      </c>
      <c r="G349">
        <f t="shared" si="14"/>
        <v>1055171.841</v>
      </c>
      <c r="H349">
        <f t="shared" si="14"/>
        <v>1128278.0850000002</v>
      </c>
      <c r="I349">
        <f t="shared" si="14"/>
        <v>132340.09399999998</v>
      </c>
      <c r="J349">
        <f t="shared" si="14"/>
        <v>728583.83499999996</v>
      </c>
      <c r="K349">
        <f t="shared" si="14"/>
        <v>292042.51799999998</v>
      </c>
      <c r="L349" s="17">
        <f t="shared" si="14"/>
        <v>10827007.060000002</v>
      </c>
      <c r="M349">
        <f t="shared" si="14"/>
        <v>2851603.9440000001</v>
      </c>
      <c r="N349">
        <f>SUM(N342:N348)</f>
        <v>15221.581999999999</v>
      </c>
      <c r="O349">
        <f t="shared" ref="O349:AL349" si="15">SUM(O342:O348)</f>
        <v>14707.117000000002</v>
      </c>
      <c r="P349">
        <f t="shared" si="15"/>
        <v>17147.02</v>
      </c>
      <c r="Q349">
        <f t="shared" si="15"/>
        <v>14445.877999999997</v>
      </c>
      <c r="R349">
        <f t="shared" si="15"/>
        <v>17150.439000000002</v>
      </c>
      <c r="S349">
        <f t="shared" si="15"/>
        <v>337443.61200000002</v>
      </c>
      <c r="T349">
        <f t="shared" si="15"/>
        <v>1015.1600000000001</v>
      </c>
      <c r="U349">
        <f t="shared" si="15"/>
        <v>230922.486</v>
      </c>
      <c r="V349">
        <f t="shared" si="15"/>
        <v>141773.24699999997</v>
      </c>
      <c r="W349">
        <f t="shared" si="15"/>
        <v>273496.076</v>
      </c>
      <c r="X349">
        <f t="shared" si="15"/>
        <v>206376.41900000002</v>
      </c>
      <c r="Y349">
        <f t="shared" si="15"/>
        <v>2938814.4670000002</v>
      </c>
      <c r="Z349">
        <f t="shared" si="15"/>
        <v>85529.087</v>
      </c>
      <c r="AA349">
        <f t="shared" si="15"/>
        <v>1512980.7469999997</v>
      </c>
      <c r="AB349">
        <f t="shared" si="15"/>
        <v>491593.76800000004</v>
      </c>
      <c r="AC349">
        <f t="shared" si="15"/>
        <v>195375.86600000004</v>
      </c>
      <c r="AD349">
        <f t="shared" si="15"/>
        <v>67245.705999999991</v>
      </c>
      <c r="AE349">
        <f t="shared" si="15"/>
        <v>8459335.9479999989</v>
      </c>
      <c r="AF349">
        <f t="shared" si="15"/>
        <v>3567046.7029999997</v>
      </c>
      <c r="AG349">
        <f t="shared" si="15"/>
        <v>349321.87400000001</v>
      </c>
      <c r="AH349">
        <f t="shared" si="15"/>
        <v>22699083.085999999</v>
      </c>
      <c r="AI349">
        <f t="shared" si="15"/>
        <v>5566012.8230000008</v>
      </c>
      <c r="AJ349">
        <f t="shared" si="15"/>
        <v>423891.46399999998</v>
      </c>
      <c r="AK349">
        <f t="shared" si="15"/>
        <v>9383463.4289999995</v>
      </c>
      <c r="AL349">
        <f t="shared" si="15"/>
        <v>4887069.5589999994</v>
      </c>
      <c r="AM349">
        <f>SUM(AM342:AM348)</f>
        <v>58093.696999999993</v>
      </c>
      <c r="AN349">
        <f>SUM(AN342:AN348)</f>
        <v>3227062.3870000006</v>
      </c>
      <c r="AO349">
        <f>SUM(AO342:AO348)</f>
        <v>231229.77300000004</v>
      </c>
      <c r="AP349">
        <f>SUM(AP342:AP348)</f>
        <v>108251.03</v>
      </c>
      <c r="AQ349">
        <f t="shared" ref="AQ349:AW349" si="16">SUM(AQ342:AQ348)</f>
        <v>1409886.6940000004</v>
      </c>
      <c r="AR349">
        <f t="shared" si="16"/>
        <v>27694.677</v>
      </c>
      <c r="AS349">
        <f t="shared" si="16"/>
        <v>3848.25</v>
      </c>
      <c r="AT349">
        <f t="shared" si="16"/>
        <v>0</v>
      </c>
      <c r="AU349">
        <f t="shared" si="16"/>
        <v>82409.393000000025</v>
      </c>
      <c r="AV349">
        <f t="shared" si="16"/>
        <v>75468.895999999993</v>
      </c>
      <c r="AW349">
        <f t="shared" si="16"/>
        <v>158814.94699999999</v>
      </c>
      <c r="AX349">
        <f>SUM(AX342:AX348)</f>
        <v>266235.96899999998</v>
      </c>
      <c r="AY349">
        <f t="shared" ref="AY349:BI349" si="17">SUM(AY342:AY348)</f>
        <v>114775.06800000001</v>
      </c>
      <c r="AZ349">
        <f t="shared" si="17"/>
        <v>1040535.2170000002</v>
      </c>
      <c r="BA349">
        <f t="shared" si="17"/>
        <v>198528.09699999998</v>
      </c>
      <c r="BB349">
        <f t="shared" si="17"/>
        <v>102691.53600000001</v>
      </c>
      <c r="BC349">
        <f t="shared" si="17"/>
        <v>50781.88</v>
      </c>
      <c r="BD349">
        <f t="shared" si="17"/>
        <v>1276387.8790000002</v>
      </c>
      <c r="BE349">
        <f t="shared" si="17"/>
        <v>30188.644</v>
      </c>
      <c r="BF349">
        <f t="shared" si="17"/>
        <v>30188.644</v>
      </c>
      <c r="BG349">
        <f t="shared" si="17"/>
        <v>436897.12800000003</v>
      </c>
      <c r="BH349">
        <f t="shared" si="17"/>
        <v>240835.26699999996</v>
      </c>
      <c r="BI349">
        <f t="shared" si="17"/>
        <v>14480.779999999999</v>
      </c>
      <c r="BJ349" s="21"/>
    </row>
    <row r="350" spans="1:62" x14ac:dyDescent="0.25"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21"/>
    </row>
    <row r="351" spans="1:62" x14ac:dyDescent="0.25">
      <c r="A351" s="8"/>
      <c r="B351" s="8"/>
      <c r="C351" s="8"/>
      <c r="D351" s="8"/>
      <c r="E351" s="8">
        <f t="shared" ref="E351:AJ351" si="18">E349-E337</f>
        <v>10158194.544999998</v>
      </c>
      <c r="F351" s="8">
        <f t="shared" si="18"/>
        <v>1050950.0640000002</v>
      </c>
      <c r="G351" s="8">
        <f t="shared" si="18"/>
        <v>1055171.841</v>
      </c>
      <c r="H351" s="8">
        <f t="shared" si="18"/>
        <v>1128278.0850000002</v>
      </c>
      <c r="I351" s="8">
        <f t="shared" si="18"/>
        <v>132340.09399999998</v>
      </c>
      <c r="J351" s="8">
        <f t="shared" si="18"/>
        <v>728583.83499999996</v>
      </c>
      <c r="K351" s="8">
        <f t="shared" si="18"/>
        <v>292042.51799999998</v>
      </c>
      <c r="L351" s="18">
        <f t="shared" si="18"/>
        <v>10827007.060000002</v>
      </c>
      <c r="M351" s="8">
        <f t="shared" si="18"/>
        <v>2851603.9440000001</v>
      </c>
      <c r="N351" s="8">
        <f>N349-N337</f>
        <v>15221.581999999999</v>
      </c>
      <c r="O351" s="8">
        <f t="shared" si="18"/>
        <v>14707.117000000002</v>
      </c>
      <c r="P351" s="8">
        <f t="shared" si="18"/>
        <v>17147.02</v>
      </c>
      <c r="Q351" s="8">
        <f t="shared" si="18"/>
        <v>14445.877999999997</v>
      </c>
      <c r="R351" s="8">
        <f t="shared" si="18"/>
        <v>17150.439000000002</v>
      </c>
      <c r="S351" s="8">
        <f t="shared" si="18"/>
        <v>337443.61200000002</v>
      </c>
      <c r="T351" s="8">
        <f t="shared" si="18"/>
        <v>1015.1600000000001</v>
      </c>
      <c r="U351" s="8">
        <f t="shared" si="18"/>
        <v>230922.486</v>
      </c>
      <c r="V351" s="8">
        <f t="shared" si="18"/>
        <v>141773.24699999997</v>
      </c>
      <c r="W351" s="8">
        <f t="shared" si="18"/>
        <v>273496.076</v>
      </c>
      <c r="X351" s="8">
        <f t="shared" si="18"/>
        <v>206376.41900000002</v>
      </c>
      <c r="Y351" s="8">
        <f t="shared" si="18"/>
        <v>2938814.4670000002</v>
      </c>
      <c r="Z351" s="8">
        <f t="shared" si="18"/>
        <v>85529.087</v>
      </c>
      <c r="AA351" s="8">
        <f t="shared" si="18"/>
        <v>1512980.7469999997</v>
      </c>
      <c r="AB351" s="8">
        <f t="shared" si="18"/>
        <v>491593.76800000004</v>
      </c>
      <c r="AC351" s="8">
        <f t="shared" si="18"/>
        <v>195375.86600000004</v>
      </c>
      <c r="AD351" s="8">
        <f t="shared" si="18"/>
        <v>67245.705999999991</v>
      </c>
      <c r="AE351" s="8">
        <f t="shared" si="18"/>
        <v>8459335.9479999989</v>
      </c>
      <c r="AF351" s="8">
        <f t="shared" si="18"/>
        <v>3567046.7029999997</v>
      </c>
      <c r="AG351" s="8">
        <f t="shared" si="18"/>
        <v>349321.87400000001</v>
      </c>
      <c r="AH351" s="8">
        <f t="shared" si="18"/>
        <v>22699083.085999999</v>
      </c>
      <c r="AI351" s="8">
        <f t="shared" si="18"/>
        <v>5566012.8230000008</v>
      </c>
      <c r="AJ351" s="8">
        <f t="shared" si="18"/>
        <v>423891.46399999998</v>
      </c>
      <c r="AK351" s="8">
        <f>AK349-AK337</f>
        <v>9383463.4289999995</v>
      </c>
      <c r="AL351" s="8">
        <f>AL349-AL337</f>
        <v>4887069.5589999994</v>
      </c>
      <c r="AM351" s="8">
        <f>AM349-AM337</f>
        <v>58093.696999999993</v>
      </c>
      <c r="AN351" s="8">
        <f>AN349-AN337</f>
        <v>3227062.3870000006</v>
      </c>
      <c r="AO351" s="8">
        <f>AO349-AO337</f>
        <v>231229.77300000004</v>
      </c>
      <c r="AP351" s="8">
        <f t="shared" ref="AP351:AW351" si="19">AP349-AP337</f>
        <v>108251.03</v>
      </c>
      <c r="AQ351" s="8">
        <f t="shared" si="19"/>
        <v>1409886.6940000004</v>
      </c>
      <c r="AR351" s="8">
        <f t="shared" si="19"/>
        <v>27694.677</v>
      </c>
      <c r="AS351" s="8">
        <f t="shared" si="19"/>
        <v>3848.25</v>
      </c>
      <c r="AT351" s="8">
        <f t="shared" si="19"/>
        <v>0</v>
      </c>
      <c r="AU351" s="8">
        <f t="shared" si="19"/>
        <v>82409.393000000025</v>
      </c>
      <c r="AV351" s="8">
        <f t="shared" si="19"/>
        <v>75468.895999999993</v>
      </c>
      <c r="AW351" s="8">
        <f t="shared" si="19"/>
        <v>158814.94699999999</v>
      </c>
      <c r="AX351" s="8">
        <f>AX349-AX337</f>
        <v>266235.96899999998</v>
      </c>
      <c r="AY351" s="8">
        <f t="shared" ref="AY351:BI351" si="20">AY349-AY337</f>
        <v>114775.06800000001</v>
      </c>
      <c r="AZ351" s="8">
        <f t="shared" si="20"/>
        <v>1040535.2170000002</v>
      </c>
      <c r="BA351" s="8">
        <f t="shared" si="20"/>
        <v>198528.09699999998</v>
      </c>
      <c r="BB351" s="8">
        <f t="shared" si="20"/>
        <v>102691.53600000001</v>
      </c>
      <c r="BC351" s="8">
        <f t="shared" si="20"/>
        <v>50781.88</v>
      </c>
      <c r="BD351" s="8">
        <f t="shared" si="20"/>
        <v>1276387.8790000002</v>
      </c>
      <c r="BE351" s="8">
        <f t="shared" si="20"/>
        <v>30188.644</v>
      </c>
      <c r="BF351" s="8">
        <f t="shared" si="20"/>
        <v>30188.644</v>
      </c>
      <c r="BG351" s="8">
        <f t="shared" si="20"/>
        <v>436897.12800000003</v>
      </c>
      <c r="BH351" s="8">
        <f t="shared" si="20"/>
        <v>240835.26699999996</v>
      </c>
      <c r="BI351" s="8">
        <f t="shared" si="20"/>
        <v>14480.779999999999</v>
      </c>
      <c r="BJ351" s="21"/>
    </row>
    <row r="352" spans="1:62" x14ac:dyDescent="0.25">
      <c r="E352" s="19">
        <f t="shared" ref="E352:M352" si="21">E2</f>
        <v>401</v>
      </c>
      <c r="F352" s="19">
        <f t="shared" si="21"/>
        <v>242</v>
      </c>
      <c r="G352" s="19">
        <f t="shared" si="21"/>
        <v>385</v>
      </c>
      <c r="H352" s="19">
        <f t="shared" si="21"/>
        <v>528</v>
      </c>
      <c r="I352" s="19">
        <f t="shared" si="21"/>
        <v>384</v>
      </c>
      <c r="J352" s="19">
        <f t="shared" si="21"/>
        <v>716</v>
      </c>
      <c r="K352" s="19">
        <f t="shared" si="21"/>
        <v>715</v>
      </c>
      <c r="L352" s="19">
        <f t="shared" si="21"/>
        <v>9916</v>
      </c>
      <c r="M352" s="19">
        <f t="shared" si="21"/>
        <v>1100</v>
      </c>
      <c r="N352" s="19">
        <f>N2</f>
        <v>801</v>
      </c>
      <c r="O352" s="19">
        <f t="shared" ref="O352:T352" si="22">O2</f>
        <v>804</v>
      </c>
      <c r="P352" s="19">
        <f t="shared" si="22"/>
        <v>806</v>
      </c>
      <c r="Q352" s="19">
        <f t="shared" si="22"/>
        <v>8765</v>
      </c>
      <c r="R352" s="19">
        <f t="shared" si="22"/>
        <v>8766</v>
      </c>
      <c r="S352" s="19">
        <f t="shared" si="22"/>
        <v>9418</v>
      </c>
      <c r="T352" s="19">
        <f t="shared" si="22"/>
        <v>9475</v>
      </c>
      <c r="U352" s="19">
        <f>U2</f>
        <v>9906</v>
      </c>
      <c r="V352" s="19">
        <f>V2</f>
        <v>7905</v>
      </c>
      <c r="W352" s="19">
        <f t="shared" ref="W352:AJ352" si="23">W2</f>
        <v>7906</v>
      </c>
      <c r="X352" s="19">
        <f t="shared" si="23"/>
        <v>7907</v>
      </c>
      <c r="Y352" s="19">
        <f t="shared" si="23"/>
        <v>7908</v>
      </c>
      <c r="Z352" s="19">
        <f t="shared" si="23"/>
        <v>7909</v>
      </c>
      <c r="AA352" s="19">
        <f t="shared" si="23"/>
        <v>11310</v>
      </c>
      <c r="AB352" s="19">
        <f t="shared" si="23"/>
        <v>11311</v>
      </c>
      <c r="AC352" s="19">
        <f t="shared" si="23"/>
        <v>11312</v>
      </c>
      <c r="AD352" s="19">
        <f t="shared" si="23"/>
        <v>11335</v>
      </c>
      <c r="AE352" s="19">
        <f t="shared" si="23"/>
        <v>9529</v>
      </c>
      <c r="AF352" s="19">
        <f t="shared" si="23"/>
        <v>961</v>
      </c>
      <c r="AG352" s="19">
        <f t="shared" si="23"/>
        <v>9528</v>
      </c>
      <c r="AH352" s="19">
        <f t="shared" si="23"/>
        <v>964</v>
      </c>
      <c r="AI352" s="19">
        <f t="shared" si="23"/>
        <v>968</v>
      </c>
      <c r="AJ352" s="19">
        <f t="shared" si="23"/>
        <v>8629</v>
      </c>
      <c r="AK352" s="19">
        <f>AK2</f>
        <v>13264</v>
      </c>
      <c r="AL352" s="19">
        <f>AL2</f>
        <v>13263</v>
      </c>
      <c r="AM352" s="19">
        <f>AM2</f>
        <v>13209</v>
      </c>
      <c r="AN352" s="19">
        <f>AN2</f>
        <v>13250</v>
      </c>
      <c r="AO352" s="19">
        <f>AO2</f>
        <v>14281</v>
      </c>
      <c r="AP352" s="19">
        <f t="shared" ref="AP352:AW352" si="24">AP2</f>
        <v>2049</v>
      </c>
      <c r="AQ352" s="19">
        <f t="shared" si="24"/>
        <v>7975</v>
      </c>
      <c r="AR352" s="19">
        <f t="shared" si="24"/>
        <v>8004</v>
      </c>
      <c r="AS352" s="19">
        <f t="shared" si="24"/>
        <v>1008</v>
      </c>
      <c r="AT352" s="19">
        <f t="shared" si="24"/>
        <v>9484</v>
      </c>
      <c r="AU352" s="19">
        <f t="shared" si="24"/>
        <v>682</v>
      </c>
      <c r="AV352" s="19">
        <f t="shared" si="24"/>
        <v>11352</v>
      </c>
      <c r="AW352" s="19">
        <f t="shared" si="24"/>
        <v>2058</v>
      </c>
      <c r="AX352" s="19">
        <f>AX2</f>
        <v>15007</v>
      </c>
      <c r="AY352" s="19">
        <f t="shared" ref="AY352:BI352" si="25">AY2</f>
        <v>15208</v>
      </c>
      <c r="AZ352" s="19">
        <f t="shared" si="25"/>
        <v>15209</v>
      </c>
      <c r="BA352" s="19">
        <f t="shared" si="25"/>
        <v>15210</v>
      </c>
      <c r="BB352" s="19">
        <f t="shared" si="25"/>
        <v>15211</v>
      </c>
      <c r="BC352" s="19">
        <f t="shared" si="25"/>
        <v>15212</v>
      </c>
      <c r="BD352" s="19">
        <f t="shared" si="25"/>
        <v>15232</v>
      </c>
      <c r="BE352" s="19">
        <f t="shared" si="25"/>
        <v>15214</v>
      </c>
      <c r="BF352" s="19">
        <f t="shared" si="25"/>
        <v>15214</v>
      </c>
      <c r="BG352" s="19">
        <f t="shared" si="25"/>
        <v>15233</v>
      </c>
      <c r="BH352" s="19">
        <f t="shared" si="25"/>
        <v>15234</v>
      </c>
      <c r="BI352" s="19">
        <f t="shared" si="25"/>
        <v>15215</v>
      </c>
      <c r="BJ352" s="21"/>
    </row>
    <row r="353" spans="1:62" x14ac:dyDescent="0.25">
      <c r="A353" t="s">
        <v>608</v>
      </c>
      <c r="E353" s="20">
        <f t="shared" ref="E353:AL353" si="26">E342/E349</f>
        <v>0.13004997375741836</v>
      </c>
      <c r="F353" s="20">
        <f t="shared" si="26"/>
        <v>0.13521270597686549</v>
      </c>
      <c r="G353" s="20">
        <f t="shared" si="26"/>
        <v>7.1957385564840895E-2</v>
      </c>
      <c r="H353" s="20">
        <f t="shared" si="26"/>
        <v>1.8575677644221901E-3</v>
      </c>
      <c r="I353" s="20">
        <f t="shared" si="26"/>
        <v>8.9176429026867718E-2</v>
      </c>
      <c r="J353" s="20">
        <f t="shared" si="26"/>
        <v>7.2799657983078914E-2</v>
      </c>
      <c r="K353" s="20">
        <f t="shared" si="26"/>
        <v>2.7101341456041005E-2</v>
      </c>
      <c r="L353" s="20">
        <f t="shared" si="26"/>
        <v>0.18731997261669833</v>
      </c>
      <c r="M353" s="20">
        <f t="shared" si="26"/>
        <v>5.450886520445912E-2</v>
      </c>
      <c r="N353" s="20">
        <f>N342/N349</f>
        <v>6.3083456108570064E-3</v>
      </c>
      <c r="O353" s="20">
        <f t="shared" si="26"/>
        <v>0.8373879802547296</v>
      </c>
      <c r="P353" s="20">
        <f t="shared" si="26"/>
        <v>4.039162490042001E-2</v>
      </c>
      <c r="Q353" s="20">
        <f t="shared" si="26"/>
        <v>0.47343872072019444</v>
      </c>
      <c r="R353" s="20">
        <f t="shared" si="26"/>
        <v>0.12750291698072566</v>
      </c>
      <c r="S353" s="20">
        <f t="shared" si="26"/>
        <v>0.13413837568808382</v>
      </c>
      <c r="T353" s="20">
        <f t="shared" si="26"/>
        <v>2.2266440758107093E-2</v>
      </c>
      <c r="U353" s="20">
        <f t="shared" si="26"/>
        <v>2.3081030748993408E-2</v>
      </c>
      <c r="V353" s="20">
        <f t="shared" si="26"/>
        <v>4.7784530180083988E-2</v>
      </c>
      <c r="W353" s="20">
        <f t="shared" si="26"/>
        <v>8.8824572386186629E-2</v>
      </c>
      <c r="X353" s="20">
        <f t="shared" si="26"/>
        <v>0.51743899577984243</v>
      </c>
      <c r="Y353" s="20">
        <f t="shared" si="26"/>
        <v>0.17314965701780044</v>
      </c>
      <c r="Z353" s="20">
        <f t="shared" si="26"/>
        <v>0.58943427047221963</v>
      </c>
      <c r="AA353" s="20">
        <f t="shared" si="26"/>
        <v>9.3218632345227065E-2</v>
      </c>
      <c r="AB353" s="20">
        <f t="shared" si="26"/>
        <v>0.84964106176382614</v>
      </c>
      <c r="AC353" s="20">
        <f t="shared" si="26"/>
        <v>0.15498779158322448</v>
      </c>
      <c r="AD353" s="20">
        <f t="shared" si="26"/>
        <v>0.30032796443537974</v>
      </c>
      <c r="AE353" s="20">
        <f t="shared" si="26"/>
        <v>0.17199777877884084</v>
      </c>
      <c r="AF353" s="20">
        <f t="shared" si="26"/>
        <v>0.27097254212766053</v>
      </c>
      <c r="AG353" s="20">
        <f t="shared" si="26"/>
        <v>0.37969845255095591</v>
      </c>
      <c r="AH353" s="20">
        <f t="shared" si="26"/>
        <v>0.16572440890002918</v>
      </c>
      <c r="AI353" s="20">
        <f t="shared" si="26"/>
        <v>0.2572035078834744</v>
      </c>
      <c r="AJ353" s="20">
        <f t="shared" si="26"/>
        <v>0.56756701286157529</v>
      </c>
      <c r="AK353" s="20">
        <f t="shared" si="26"/>
        <v>0.68218275793740513</v>
      </c>
      <c r="AL353" s="20">
        <f t="shared" si="26"/>
        <v>0.68206552756373406</v>
      </c>
      <c r="AM353" s="20">
        <f>AM342/AM349</f>
        <v>2.8302984401216539E-2</v>
      </c>
      <c r="AN353" s="20">
        <f>AN342/AN349</f>
        <v>0.68195008899281007</v>
      </c>
      <c r="AO353" s="20">
        <f>AO342/AO349</f>
        <v>0.17851773352733427</v>
      </c>
      <c r="AP353" s="20">
        <f>AP342/AP349</f>
        <v>0.10188695664142872</v>
      </c>
      <c r="AQ353" s="20">
        <f t="shared" ref="AQ353:AW353" si="27">AQ342/AQ349</f>
        <v>0.27188742657925952</v>
      </c>
      <c r="AR353" s="20">
        <f t="shared" si="27"/>
        <v>9.9249975004221933E-2</v>
      </c>
      <c r="AS353" s="20">
        <f t="shared" si="27"/>
        <v>0.12780484635873449</v>
      </c>
      <c r="AT353" s="20" t="e">
        <f t="shared" si="27"/>
        <v>#DIV/0!</v>
      </c>
      <c r="AU353" s="20">
        <f t="shared" si="27"/>
        <v>0.16511250119267346</v>
      </c>
      <c r="AV353" s="20">
        <f t="shared" si="27"/>
        <v>9.6383760536261201E-2</v>
      </c>
      <c r="AW353" s="20">
        <f t="shared" si="27"/>
        <v>0.10530565488902001</v>
      </c>
      <c r="AX353" s="20">
        <f>AX342/AX349</f>
        <v>0.52353721220891836</v>
      </c>
      <c r="AY353" s="20">
        <f t="shared" ref="AY353:BI353" si="28">AY342/AY349</f>
        <v>3.5229245083087203E-2</v>
      </c>
      <c r="AZ353" s="20">
        <f t="shared" si="28"/>
        <v>3.5352393075226397E-2</v>
      </c>
      <c r="BA353" s="20">
        <f t="shared" si="28"/>
        <v>0.52161796020237883</v>
      </c>
      <c r="BB353" s="20">
        <f t="shared" si="28"/>
        <v>0.17808994501747447</v>
      </c>
      <c r="BC353" s="20">
        <f t="shared" si="28"/>
        <v>3.0528664948993617E-2</v>
      </c>
      <c r="BD353" s="20">
        <f t="shared" si="28"/>
        <v>3.4048781498966271E-2</v>
      </c>
      <c r="BE353" s="20">
        <f t="shared" si="28"/>
        <v>0.17797586403682128</v>
      </c>
      <c r="BF353" s="20">
        <f t="shared" si="28"/>
        <v>0.17797586403682128</v>
      </c>
      <c r="BG353" s="20">
        <f t="shared" si="28"/>
        <v>3.3347861696174846E-2</v>
      </c>
      <c r="BH353" s="20">
        <f t="shared" si="28"/>
        <v>0.62569454165531324</v>
      </c>
      <c r="BI353" s="20">
        <f t="shared" si="28"/>
        <v>4.011586392445711E-2</v>
      </c>
      <c r="BJ353" s="21"/>
    </row>
    <row r="354" spans="1:62" x14ac:dyDescent="0.25">
      <c r="A354" t="s">
        <v>609</v>
      </c>
      <c r="E354" s="20">
        <f t="shared" ref="E354:AL354" si="29">E343/E349</f>
        <v>0.235256951460561</v>
      </c>
      <c r="F354" s="20">
        <f t="shared" si="29"/>
        <v>0.19292165150864862</v>
      </c>
      <c r="G354" s="20">
        <f t="shared" si="29"/>
        <v>0.34592461513574452</v>
      </c>
      <c r="H354" s="20">
        <f t="shared" si="29"/>
        <v>0</v>
      </c>
      <c r="I354" s="20">
        <f t="shared" si="29"/>
        <v>0.37961012782717235</v>
      </c>
      <c r="J354" s="20">
        <f t="shared" si="29"/>
        <v>0.32167939877502227</v>
      </c>
      <c r="K354" s="20">
        <f t="shared" si="29"/>
        <v>0.73677198605718086</v>
      </c>
      <c r="L354" s="20">
        <f t="shared" si="29"/>
        <v>0.12175586186419277</v>
      </c>
      <c r="M354" s="20">
        <f t="shared" si="29"/>
        <v>0.22285638941450414</v>
      </c>
      <c r="N354" s="20">
        <f>N343/N349</f>
        <v>0.8012845182583519</v>
      </c>
      <c r="O354" s="20">
        <f t="shared" si="29"/>
        <v>9.4980545813295684E-3</v>
      </c>
      <c r="P354" s="20">
        <f t="shared" si="29"/>
        <v>0.80237289044976912</v>
      </c>
      <c r="Q354" s="20">
        <f t="shared" si="29"/>
        <v>0.16723102604078485</v>
      </c>
      <c r="R354" s="20">
        <f t="shared" si="29"/>
        <v>0.19150705121892214</v>
      </c>
      <c r="S354" s="20">
        <f t="shared" si="29"/>
        <v>0.18528252358797057</v>
      </c>
      <c r="T354" s="20">
        <f t="shared" si="29"/>
        <v>0.97773355924189287</v>
      </c>
      <c r="U354" s="20">
        <f t="shared" si="29"/>
        <v>0.79360374199331973</v>
      </c>
      <c r="V354" s="20">
        <f t="shared" si="29"/>
        <v>0.2859625906712851</v>
      </c>
      <c r="W354" s="20">
        <f t="shared" si="29"/>
        <v>0.22804886604661925</v>
      </c>
      <c r="X354" s="20">
        <f t="shared" si="29"/>
        <v>0.14471933443132373</v>
      </c>
      <c r="Y354" s="20">
        <f t="shared" si="29"/>
        <v>0.2136711987269525</v>
      </c>
      <c r="Z354" s="20">
        <f t="shared" si="29"/>
        <v>3.8665910230048406E-3</v>
      </c>
      <c r="AA354" s="20">
        <f t="shared" si="29"/>
        <v>0.3413592658228321</v>
      </c>
      <c r="AB354" s="20">
        <f t="shared" si="29"/>
        <v>6.9007323135959683E-3</v>
      </c>
      <c r="AC354" s="20">
        <f t="shared" si="29"/>
        <v>0.15705356873504525</v>
      </c>
      <c r="AD354" s="20">
        <f t="shared" si="29"/>
        <v>0.17603007989833583</v>
      </c>
      <c r="AE354" s="20">
        <f t="shared" si="29"/>
        <v>0.20653732583029463</v>
      </c>
      <c r="AF354" s="20">
        <f t="shared" si="29"/>
        <v>8.1529702079709498E-2</v>
      </c>
      <c r="AG354" s="20">
        <f t="shared" si="29"/>
        <v>0.1459185948372646</v>
      </c>
      <c r="AH354" s="20">
        <f t="shared" si="29"/>
        <v>0.16065096330913528</v>
      </c>
      <c r="AI354" s="20">
        <f t="shared" si="29"/>
        <v>7.5866001288225918E-2</v>
      </c>
      <c r="AJ354" s="20">
        <f t="shared" si="29"/>
        <v>3.6490048311045961E-3</v>
      </c>
      <c r="AK354" s="20">
        <f t="shared" si="29"/>
        <v>0.16941006633937616</v>
      </c>
      <c r="AL354" s="20">
        <f t="shared" si="29"/>
        <v>0.16951981079833861</v>
      </c>
      <c r="AM354" s="20">
        <f>AM343/AM349</f>
        <v>0.79091652576354377</v>
      </c>
      <c r="AN354" s="20">
        <f>AN343/AN349</f>
        <v>0.16956392296731879</v>
      </c>
      <c r="AO354" s="20">
        <f>AO343/AO349</f>
        <v>0.17886100679604092</v>
      </c>
      <c r="AP354" s="20">
        <f>AP343/AP349</f>
        <v>0</v>
      </c>
      <c r="AQ354" s="20">
        <f t="shared" ref="AQ354:AW354" si="30">AQ343/AQ349</f>
        <v>8.2364638587049441E-2</v>
      </c>
      <c r="AR354" s="20">
        <f t="shared" si="30"/>
        <v>0</v>
      </c>
      <c r="AS354" s="20">
        <f t="shared" si="30"/>
        <v>0.38032014552069121</v>
      </c>
      <c r="AT354" s="20" t="e">
        <f t="shared" si="30"/>
        <v>#DIV/0!</v>
      </c>
      <c r="AU354" s="20">
        <f t="shared" si="30"/>
        <v>0.37444774044143242</v>
      </c>
      <c r="AV354" s="20">
        <f t="shared" si="30"/>
        <v>0</v>
      </c>
      <c r="AW354" s="20">
        <f t="shared" si="30"/>
        <v>0</v>
      </c>
      <c r="AX354" s="20">
        <f>AX343/AX349</f>
        <v>0.14294604197526745</v>
      </c>
      <c r="AY354" s="20">
        <f t="shared" ref="AY354:BI354" si="31">AY343/AY349</f>
        <v>0.2683302439864379</v>
      </c>
      <c r="AZ354" s="20">
        <f t="shared" si="31"/>
        <v>0</v>
      </c>
      <c r="BA354" s="20">
        <f t="shared" si="31"/>
        <v>0.14341715067162508</v>
      </c>
      <c r="BB354" s="20">
        <f t="shared" si="31"/>
        <v>0.18696858327252991</v>
      </c>
      <c r="BC354" s="20">
        <f t="shared" si="31"/>
        <v>0.28525056575298119</v>
      </c>
      <c r="BD354" s="20">
        <f t="shared" si="31"/>
        <v>0</v>
      </c>
      <c r="BE354" s="20">
        <f t="shared" si="31"/>
        <v>0.18153077693718211</v>
      </c>
      <c r="BF354" s="20">
        <f t="shared" si="31"/>
        <v>0.18153077693718211</v>
      </c>
      <c r="BG354" s="20">
        <f t="shared" si="31"/>
        <v>0</v>
      </c>
      <c r="BH354" s="20">
        <f t="shared" si="31"/>
        <v>6.5089200577920364E-2</v>
      </c>
      <c r="BI354" s="20">
        <f t="shared" si="31"/>
        <v>0.24774784231236163</v>
      </c>
      <c r="BJ354" s="21"/>
    </row>
    <row r="355" spans="1:62" x14ac:dyDescent="0.25">
      <c r="A355" t="s">
        <v>610</v>
      </c>
      <c r="E355" s="20">
        <f t="shared" ref="E355:AL355" si="32">E344/E349</f>
        <v>0.20738797398174849</v>
      </c>
      <c r="F355" s="20">
        <f t="shared" si="32"/>
        <v>0.27205617069166471</v>
      </c>
      <c r="G355" s="20">
        <f t="shared" si="32"/>
        <v>0.44140435226038222</v>
      </c>
      <c r="H355" s="20">
        <f t="shared" si="32"/>
        <v>4.7076863147616652E-2</v>
      </c>
      <c r="I355" s="20">
        <f t="shared" si="32"/>
        <v>0.31451218404000836</v>
      </c>
      <c r="J355" s="20">
        <f t="shared" si="32"/>
        <v>0.43274837411126482</v>
      </c>
      <c r="K355" s="20">
        <f t="shared" si="32"/>
        <v>0.12411988243437895</v>
      </c>
      <c r="L355" s="20">
        <f t="shared" si="32"/>
        <v>9.3146335031576113E-2</v>
      </c>
      <c r="M355" s="20">
        <f t="shared" si="32"/>
        <v>0.32846651968300117</v>
      </c>
      <c r="N355" s="20">
        <f>N344/N349</f>
        <v>0.19242901296330436</v>
      </c>
      <c r="O355" s="20">
        <f t="shared" si="32"/>
        <v>0</v>
      </c>
      <c r="P355" s="20">
        <f t="shared" si="32"/>
        <v>3.0083361423734281E-3</v>
      </c>
      <c r="Q355" s="20">
        <f t="shared" si="32"/>
        <v>0.29944583499874494</v>
      </c>
      <c r="R355" s="20">
        <f t="shared" si="32"/>
        <v>0.64273759989467316</v>
      </c>
      <c r="S355" s="20">
        <f t="shared" si="32"/>
        <v>0.35389418780877674</v>
      </c>
      <c r="T355" s="20">
        <f t="shared" si="32"/>
        <v>0</v>
      </c>
      <c r="U355" s="20">
        <f t="shared" si="32"/>
        <v>0.13369400933956688</v>
      </c>
      <c r="V355" s="20">
        <f t="shared" si="32"/>
        <v>0.51289884049844769</v>
      </c>
      <c r="W355" s="20">
        <f t="shared" si="32"/>
        <v>0.35328688225859589</v>
      </c>
      <c r="X355" s="20">
        <f t="shared" si="32"/>
        <v>0</v>
      </c>
      <c r="Y355" s="20">
        <f t="shared" si="32"/>
        <v>0.1432314937627534</v>
      </c>
      <c r="Z355" s="20">
        <f t="shared" si="32"/>
        <v>6.1479166730728688E-2</v>
      </c>
      <c r="AA355" s="20">
        <f t="shared" si="32"/>
        <v>0.3708476351153463</v>
      </c>
      <c r="AB355" s="20">
        <f t="shared" si="32"/>
        <v>0</v>
      </c>
      <c r="AC355" s="20">
        <f t="shared" si="32"/>
        <v>0.25861546277164038</v>
      </c>
      <c r="AD355" s="20">
        <f t="shared" si="32"/>
        <v>0.20806149317548989</v>
      </c>
      <c r="AE355" s="20">
        <f t="shared" si="32"/>
        <v>0.13627539763006466</v>
      </c>
      <c r="AF355" s="20">
        <f t="shared" si="32"/>
        <v>1.0981424203685287E-2</v>
      </c>
      <c r="AG355" s="20">
        <f t="shared" si="32"/>
        <v>0.1638492841705069</v>
      </c>
      <c r="AH355" s="20">
        <f t="shared" si="32"/>
        <v>0.11373920854945672</v>
      </c>
      <c r="AI355" s="20">
        <f t="shared" si="32"/>
        <v>1.0930712690526617E-2</v>
      </c>
      <c r="AJ355" s="20">
        <f t="shared" si="32"/>
        <v>5.9899031135007712E-2</v>
      </c>
      <c r="AK355" s="20">
        <f t="shared" si="32"/>
        <v>0</v>
      </c>
      <c r="AL355" s="20">
        <f t="shared" si="32"/>
        <v>0</v>
      </c>
      <c r="AM355" s="20">
        <f>AM344/AM349</f>
        <v>0.13324127056331087</v>
      </c>
      <c r="AN355" s="20">
        <f>AN344/AN349</f>
        <v>0</v>
      </c>
      <c r="AO355" s="20">
        <f>AO344/AO349</f>
        <v>0.29633358244052765</v>
      </c>
      <c r="AP355" s="20">
        <f>AP344/AP349</f>
        <v>0</v>
      </c>
      <c r="AQ355" s="20">
        <f t="shared" ref="AQ355:AW355" si="33">AQ344/AQ349</f>
        <v>1.0826744492986892E-2</v>
      </c>
      <c r="AR355" s="20">
        <f t="shared" si="33"/>
        <v>0</v>
      </c>
      <c r="AS355" s="20">
        <f t="shared" si="33"/>
        <v>0.22305255635678553</v>
      </c>
      <c r="AT355" s="20" t="e">
        <f t="shared" si="33"/>
        <v>#DIV/0!</v>
      </c>
      <c r="AU355" s="20">
        <f t="shared" si="33"/>
        <v>0.31031410460698322</v>
      </c>
      <c r="AV355" s="20">
        <f t="shared" si="33"/>
        <v>0</v>
      </c>
      <c r="AW355" s="20">
        <f t="shared" si="33"/>
        <v>0</v>
      </c>
      <c r="AX355" s="20">
        <f>AX344/AX349</f>
        <v>0</v>
      </c>
      <c r="AY355" s="20">
        <f t="shared" ref="AY355:BI355" si="34">AY344/AY349</f>
        <v>0.45279570646823747</v>
      </c>
      <c r="AZ355" s="20">
        <f t="shared" si="34"/>
        <v>2.4909656661817717E-2</v>
      </c>
      <c r="BA355" s="20">
        <f t="shared" si="34"/>
        <v>0</v>
      </c>
      <c r="BB355" s="20">
        <f t="shared" si="34"/>
        <v>0.29634906814520723</v>
      </c>
      <c r="BC355" s="20">
        <f t="shared" si="34"/>
        <v>0.63818621917896701</v>
      </c>
      <c r="BD355" s="20">
        <f t="shared" si="34"/>
        <v>2.5597461819832901E-2</v>
      </c>
      <c r="BE355" s="20">
        <f t="shared" si="34"/>
        <v>0.30215613526728785</v>
      </c>
      <c r="BF355" s="20">
        <f t="shared" si="34"/>
        <v>0.30215613526728785</v>
      </c>
      <c r="BG355" s="20">
        <f t="shared" si="34"/>
        <v>2.5619346712665962E-2</v>
      </c>
      <c r="BH355" s="20">
        <f t="shared" si="34"/>
        <v>6.946190318546662E-2</v>
      </c>
      <c r="BI355" s="20">
        <f t="shared" si="34"/>
        <v>0.6639451051669869</v>
      </c>
      <c r="BJ355" s="21"/>
    </row>
    <row r="356" spans="1:62" x14ac:dyDescent="0.25">
      <c r="A356" t="s">
        <v>611</v>
      </c>
      <c r="E356" s="20">
        <f t="shared" ref="E356:AL356" si="35">E345/E349</f>
        <v>0.16443264456105178</v>
      </c>
      <c r="F356" s="20">
        <f t="shared" si="35"/>
        <v>0.29789452013392714</v>
      </c>
      <c r="G356" s="20">
        <f t="shared" si="35"/>
        <v>1.5695813095527823E-3</v>
      </c>
      <c r="H356" s="20">
        <f t="shared" si="35"/>
        <v>5.4002558243431614E-2</v>
      </c>
      <c r="I356" s="20">
        <f t="shared" si="35"/>
        <v>5.4287417991406302E-2</v>
      </c>
      <c r="J356" s="20">
        <f t="shared" si="35"/>
        <v>1.5202999940288273E-3</v>
      </c>
      <c r="K356" s="20">
        <f t="shared" si="35"/>
        <v>0</v>
      </c>
      <c r="L356" s="20">
        <f t="shared" si="35"/>
        <v>0.35608259444508006</v>
      </c>
      <c r="M356" s="20">
        <f t="shared" si="35"/>
        <v>5.2909857386562786E-2</v>
      </c>
      <c r="N356" s="20">
        <f>N345/N349</f>
        <v>0</v>
      </c>
      <c r="O356" s="20">
        <f t="shared" si="35"/>
        <v>0.1898943212323666</v>
      </c>
      <c r="P356" s="20">
        <f t="shared" si="35"/>
        <v>2.3344581157542245E-3</v>
      </c>
      <c r="Q356" s="20">
        <f t="shared" si="35"/>
        <v>7.2998747462771046E-2</v>
      </c>
      <c r="R356" s="20">
        <f t="shared" si="35"/>
        <v>5.4214938754628952E-3</v>
      </c>
      <c r="S356" s="20">
        <f t="shared" si="35"/>
        <v>0.29493473119888242</v>
      </c>
      <c r="T356" s="20">
        <f t="shared" si="35"/>
        <v>0</v>
      </c>
      <c r="U356" s="20">
        <f t="shared" si="35"/>
        <v>0</v>
      </c>
      <c r="V356" s="20">
        <f t="shared" si="35"/>
        <v>2.1976924884847988E-3</v>
      </c>
      <c r="W356" s="20">
        <f t="shared" si="35"/>
        <v>0.12498036352082798</v>
      </c>
      <c r="X356" s="20">
        <f t="shared" si="35"/>
        <v>0.36727995556507836</v>
      </c>
      <c r="Y356" s="20">
        <f t="shared" si="35"/>
        <v>0.2832694933102764</v>
      </c>
      <c r="Z356" s="20">
        <f t="shared" si="35"/>
        <v>0.35971027026162455</v>
      </c>
      <c r="AA356" s="20">
        <f t="shared" si="35"/>
        <v>9.1361664894999528E-2</v>
      </c>
      <c r="AB356" s="20">
        <f t="shared" si="35"/>
        <v>0.17881454306800729</v>
      </c>
      <c r="AC356" s="20">
        <f t="shared" si="35"/>
        <v>0.3246088746703239</v>
      </c>
      <c r="AD356" s="20">
        <f t="shared" si="35"/>
        <v>0.32289597792311081</v>
      </c>
      <c r="AE356" s="20">
        <f t="shared" si="35"/>
        <v>0.26835054618403015</v>
      </c>
      <c r="AF356" s="20">
        <f t="shared" si="35"/>
        <v>0.63229990712011142</v>
      </c>
      <c r="AG356" s="20">
        <f t="shared" si="35"/>
        <v>0.27897161115080926</v>
      </c>
      <c r="AH356" s="20">
        <f t="shared" si="35"/>
        <v>0.2878904712688799</v>
      </c>
      <c r="AI356" s="20">
        <f t="shared" si="35"/>
        <v>0.61819571629111214</v>
      </c>
      <c r="AJ356" s="20">
        <f t="shared" si="35"/>
        <v>0.38311128860098959</v>
      </c>
      <c r="AK356" s="20">
        <f t="shared" si="35"/>
        <v>0.19323091358743974</v>
      </c>
      <c r="AL356" s="20">
        <f t="shared" si="35"/>
        <v>0.19335608969587825</v>
      </c>
      <c r="AM356" s="20">
        <f>AM345/AM349</f>
        <v>0</v>
      </c>
      <c r="AN356" s="20">
        <f>AN345/AN349</f>
        <v>0.1934064043863184</v>
      </c>
      <c r="AO356" s="20">
        <f>AO345/AO349</f>
        <v>0.33424091974522663</v>
      </c>
      <c r="AP356" s="20">
        <f>AP345/AP349</f>
        <v>0.89803620344305268</v>
      </c>
      <c r="AQ356" s="20">
        <f t="shared" ref="AQ356:AW356" si="36">AQ345/AQ349</f>
        <v>0.63224349715013328</v>
      </c>
      <c r="AR356" s="20">
        <f t="shared" si="36"/>
        <v>0.90063621251116244</v>
      </c>
      <c r="AS356" s="20">
        <f t="shared" si="36"/>
        <v>0.24743974533879037</v>
      </c>
      <c r="AT356" s="20" t="e">
        <f t="shared" si="36"/>
        <v>#DIV/0!</v>
      </c>
      <c r="AU356" s="20">
        <f t="shared" si="36"/>
        <v>0.1307870451126851</v>
      </c>
      <c r="AV356" s="20">
        <f t="shared" si="36"/>
        <v>0.90356310499096226</v>
      </c>
      <c r="AW356" s="20">
        <f t="shared" si="36"/>
        <v>0.8947740794196154</v>
      </c>
      <c r="AX356" s="20">
        <f>AX345/AX349</f>
        <v>0.3627795912129364</v>
      </c>
      <c r="AY356" s="20">
        <f t="shared" ref="AY356:BI356" si="37">AY345/AY349</f>
        <v>0.19955319041936875</v>
      </c>
      <c r="AZ356" s="20">
        <f t="shared" si="37"/>
        <v>0.87740848755914802</v>
      </c>
      <c r="BA356" s="20">
        <f t="shared" si="37"/>
        <v>0.36397519591395666</v>
      </c>
      <c r="BB356" s="20">
        <f t="shared" si="37"/>
        <v>0.32685461049097564</v>
      </c>
      <c r="BC356" s="20">
        <f t="shared" si="37"/>
        <v>2.6900540113914653E-3</v>
      </c>
      <c r="BD356" s="20">
        <f t="shared" si="37"/>
        <v>0.87636111593002664</v>
      </c>
      <c r="BE356" s="20">
        <f t="shared" si="37"/>
        <v>0.32670036454767559</v>
      </c>
      <c r="BF356" s="20">
        <f t="shared" si="37"/>
        <v>0.32670036454767559</v>
      </c>
      <c r="BG356" s="20">
        <f t="shared" si="37"/>
        <v>0.87711036177834523</v>
      </c>
      <c r="BH356" s="20">
        <f t="shared" si="37"/>
        <v>0.25460438483039949</v>
      </c>
      <c r="BI356" s="20">
        <f t="shared" si="37"/>
        <v>2.7954295279674162E-3</v>
      </c>
      <c r="BJ356" s="21"/>
    </row>
    <row r="357" spans="1:62" x14ac:dyDescent="0.25">
      <c r="A357" t="s">
        <v>612</v>
      </c>
      <c r="E357" s="20">
        <f t="shared" ref="E357:AL357" si="38">E346/E349</f>
        <v>7.4411047519468435E-2</v>
      </c>
      <c r="F357" s="20">
        <f t="shared" si="38"/>
        <v>3.1938422337828586E-2</v>
      </c>
      <c r="G357" s="20">
        <f t="shared" si="38"/>
        <v>7.0443839677863426E-2</v>
      </c>
      <c r="H357" s="20">
        <f t="shared" si="38"/>
        <v>0.86747609477853127</v>
      </c>
      <c r="I357" s="20">
        <f t="shared" si="38"/>
        <v>8.1729094132274097E-2</v>
      </c>
      <c r="J357" s="20">
        <f t="shared" si="38"/>
        <v>0.10546571624115157</v>
      </c>
      <c r="K357" s="20">
        <f t="shared" si="38"/>
        <v>7.7855002606161627E-2</v>
      </c>
      <c r="L357" s="20">
        <f t="shared" si="38"/>
        <v>3.5894267995425111E-2</v>
      </c>
      <c r="M357" s="20">
        <f t="shared" si="38"/>
        <v>0.14493317344072237</v>
      </c>
      <c r="N357" s="20">
        <f>N346/N349</f>
        <v>0</v>
      </c>
      <c r="O357" s="20">
        <f t="shared" si="38"/>
        <v>0</v>
      </c>
      <c r="P357" s="20">
        <f t="shared" si="38"/>
        <v>8.7708534777471536E-2</v>
      </c>
      <c r="Q357" s="20">
        <f t="shared" si="38"/>
        <v>0</v>
      </c>
      <c r="R357" s="20">
        <f t="shared" si="38"/>
        <v>2.4897321870303146E-3</v>
      </c>
      <c r="S357" s="20">
        <f t="shared" si="38"/>
        <v>-1.3468881431959068E-2</v>
      </c>
      <c r="T357" s="20">
        <f t="shared" si="38"/>
        <v>0</v>
      </c>
      <c r="U357" s="20">
        <f t="shared" si="38"/>
        <v>1.2882166875684857E-2</v>
      </c>
      <c r="V357" s="20">
        <f t="shared" si="38"/>
        <v>8.8866999004403147E-2</v>
      </c>
      <c r="W357" s="20">
        <f t="shared" si="38"/>
        <v>0.13209445096389613</v>
      </c>
      <c r="X357" s="20">
        <f t="shared" si="38"/>
        <v>0</v>
      </c>
      <c r="Y357" s="20">
        <f t="shared" si="38"/>
        <v>5.6027390925457839E-2</v>
      </c>
      <c r="Z357" s="20">
        <f t="shared" si="38"/>
        <v>0</v>
      </c>
      <c r="AA357" s="20">
        <f t="shared" si="38"/>
        <v>3.8015541251299217E-2</v>
      </c>
      <c r="AB357" s="20">
        <f t="shared" si="38"/>
        <v>0</v>
      </c>
      <c r="AC357" s="20">
        <f t="shared" si="38"/>
        <v>4.3754134914493474E-2</v>
      </c>
      <c r="AD357" s="20">
        <f t="shared" si="38"/>
        <v>0</v>
      </c>
      <c r="AE357" s="20">
        <f t="shared" si="38"/>
        <v>5.7644251510697901E-2</v>
      </c>
      <c r="AF357" s="20">
        <f t="shared" si="38"/>
        <v>-3.1887494185130101E-2</v>
      </c>
      <c r="AG357" s="20">
        <f t="shared" si="38"/>
        <v>4.3314021039518411E-2</v>
      </c>
      <c r="AH357" s="20">
        <f t="shared" si="38"/>
        <v>6.9125402204803399E-2</v>
      </c>
      <c r="AI357" s="20">
        <f t="shared" si="38"/>
        <v>-8.3964707747134857E-3</v>
      </c>
      <c r="AJ357" s="20">
        <f t="shared" si="38"/>
        <v>1.0604129551426873E-5</v>
      </c>
      <c r="AK357" s="20">
        <f t="shared" si="38"/>
        <v>2.7387542131379902E-5</v>
      </c>
      <c r="AL357" s="20">
        <f t="shared" si="38"/>
        <v>2.2964068476030468E-5</v>
      </c>
      <c r="AM357" s="20">
        <f>AM346/AM349</f>
        <v>1.3379437703887224E-2</v>
      </c>
      <c r="AN357" s="20">
        <f>AN346/AN349</f>
        <v>3.3412431205037E-5</v>
      </c>
      <c r="AO357" s="20">
        <f>AO346/AO349</f>
        <v>-1.8539511345712384E-2</v>
      </c>
      <c r="AP357" s="20">
        <f>AP346/AP349</f>
        <v>0</v>
      </c>
      <c r="AQ357" s="20">
        <f t="shared" ref="AQ357:AW357" si="39">AQ346/AQ349</f>
        <v>-2.2189370346664176E-2</v>
      </c>
      <c r="AR357" s="20">
        <f t="shared" si="39"/>
        <v>0</v>
      </c>
      <c r="AS357" s="20">
        <f t="shared" si="39"/>
        <v>-1.1955304359124277E-2</v>
      </c>
      <c r="AT357" s="20" t="e">
        <f t="shared" si="39"/>
        <v>#DIV/0!</v>
      </c>
      <c r="AU357" s="20">
        <f t="shared" si="39"/>
        <v>-3.6489893815866343E-3</v>
      </c>
      <c r="AV357" s="20">
        <f t="shared" si="39"/>
        <v>0</v>
      </c>
      <c r="AW357" s="20">
        <f t="shared" si="39"/>
        <v>0</v>
      </c>
      <c r="AX357" s="20">
        <f>AX346/AX349</f>
        <v>0</v>
      </c>
      <c r="AY357" s="20">
        <f t="shared" ref="AY357:BI357" si="40">AY346/AY349</f>
        <v>0</v>
      </c>
      <c r="AZ357" s="20">
        <f t="shared" si="40"/>
        <v>0</v>
      </c>
      <c r="BA357" s="20">
        <f t="shared" si="40"/>
        <v>0</v>
      </c>
      <c r="BB357" s="20">
        <f t="shared" si="40"/>
        <v>-1.8467266864135714E-2</v>
      </c>
      <c r="BC357" s="20">
        <f t="shared" si="40"/>
        <v>0</v>
      </c>
      <c r="BD357" s="20">
        <f t="shared" si="40"/>
        <v>0</v>
      </c>
      <c r="BE357" s="20">
        <f t="shared" si="40"/>
        <v>-1.8731944369545051E-2</v>
      </c>
      <c r="BF357" s="20">
        <f t="shared" si="40"/>
        <v>-1.8731944369545051E-2</v>
      </c>
      <c r="BG357" s="20">
        <f t="shared" si="40"/>
        <v>0</v>
      </c>
      <c r="BH357" s="20">
        <f t="shared" si="40"/>
        <v>0</v>
      </c>
      <c r="BI357" s="20">
        <f t="shared" si="40"/>
        <v>0</v>
      </c>
      <c r="BJ357" s="21"/>
    </row>
    <row r="358" spans="1:62" x14ac:dyDescent="0.25">
      <c r="A358" t="s">
        <v>613</v>
      </c>
      <c r="E358" s="20">
        <f t="shared" ref="E358:M358" si="41">E347/E349</f>
        <v>0.188461408719752</v>
      </c>
      <c r="F358" s="20">
        <f t="shared" si="41"/>
        <v>6.9976529351065325E-2</v>
      </c>
      <c r="G358" s="20">
        <f t="shared" si="41"/>
        <v>6.8700226051616173E-2</v>
      </c>
      <c r="H358" s="20">
        <f t="shared" si="41"/>
        <v>2.9586916065998038E-2</v>
      </c>
      <c r="I358" s="20">
        <f t="shared" si="41"/>
        <v>8.0684746982271294E-2</v>
      </c>
      <c r="J358" s="20">
        <f t="shared" si="41"/>
        <v>6.5786552895453695E-2</v>
      </c>
      <c r="K358" s="20">
        <f t="shared" si="41"/>
        <v>3.4151787446237536E-2</v>
      </c>
      <c r="L358" s="20">
        <f t="shared" si="41"/>
        <v>0.20580096804702744</v>
      </c>
      <c r="M358" s="20">
        <f t="shared" si="41"/>
        <v>0.19632519487075023</v>
      </c>
      <c r="N358" s="20">
        <f>N347/N349</f>
        <v>-2.1876832513203952E-5</v>
      </c>
      <c r="O358" s="20">
        <f t="shared" ref="O358:AL358" si="42">O347/O349</f>
        <v>-3.6780356068425911E-2</v>
      </c>
      <c r="P358" s="20">
        <f t="shared" si="42"/>
        <v>6.4184155614211688E-2</v>
      </c>
      <c r="Q358" s="20">
        <f t="shared" si="42"/>
        <v>-1.3114329222495167E-2</v>
      </c>
      <c r="R358" s="20">
        <f t="shared" si="42"/>
        <v>3.0341205843185701E-2</v>
      </c>
      <c r="S358" s="20">
        <f t="shared" si="42"/>
        <v>4.5219063148245343E-2</v>
      </c>
      <c r="T358" s="20">
        <f t="shared" si="42"/>
        <v>0</v>
      </c>
      <c r="U358" s="20">
        <f t="shared" si="42"/>
        <v>3.6739051042435078E-2</v>
      </c>
      <c r="V358" s="20">
        <f t="shared" si="42"/>
        <v>6.2289347157295491E-2</v>
      </c>
      <c r="W358" s="20">
        <f t="shared" si="42"/>
        <v>7.2764864823874106E-2</v>
      </c>
      <c r="X358" s="20">
        <f t="shared" si="42"/>
        <v>-2.9438285776244619E-2</v>
      </c>
      <c r="Y358" s="20">
        <f t="shared" si="42"/>
        <v>0.13065076625675942</v>
      </c>
      <c r="Z358" s="20">
        <f t="shared" si="42"/>
        <v>-1.4490298487577684E-2</v>
      </c>
      <c r="AA358" s="20">
        <f t="shared" si="42"/>
        <v>6.5197260570295956E-2</v>
      </c>
      <c r="AB358" s="20">
        <f t="shared" si="42"/>
        <v>-3.5356337145429392E-2</v>
      </c>
      <c r="AC358" s="20">
        <f t="shared" si="42"/>
        <v>6.0980167325272394E-2</v>
      </c>
      <c r="AD358" s="20">
        <f t="shared" si="42"/>
        <v>-7.3155154323162304E-3</v>
      </c>
      <c r="AE358" s="20">
        <f t="shared" si="42"/>
        <v>0.15919470006607189</v>
      </c>
      <c r="AF358" s="20">
        <f t="shared" si="42"/>
        <v>3.6103918653963306E-2</v>
      </c>
      <c r="AG358" s="20">
        <f t="shared" si="42"/>
        <v>-1.1751963749055119E-2</v>
      </c>
      <c r="AH358" s="20">
        <f t="shared" si="42"/>
        <v>0.20286954576769556</v>
      </c>
      <c r="AI358" s="20">
        <f t="shared" si="42"/>
        <v>4.6200532621374447E-2</v>
      </c>
      <c r="AJ358" s="20">
        <f t="shared" si="42"/>
        <v>-1.4236941558228688E-2</v>
      </c>
      <c r="AK358" s="20">
        <f t="shared" si="42"/>
        <v>-4.4851125406352346E-2</v>
      </c>
      <c r="AL358" s="20">
        <f t="shared" si="42"/>
        <v>-4.4964392126426868E-2</v>
      </c>
      <c r="AM358" s="20">
        <f>AM347/AM349</f>
        <v>3.4159781568041718E-2</v>
      </c>
      <c r="AN358" s="20">
        <f>AN347/AN349</f>
        <v>-4.4953828777652326E-2</v>
      </c>
      <c r="AO358" s="20">
        <f>AO347/AO349</f>
        <v>3.0586268836582726E-2</v>
      </c>
      <c r="AP358" s="20">
        <f>AP347/AP349</f>
        <v>7.6839915518586764E-5</v>
      </c>
      <c r="AQ358" s="20">
        <f t="shared" ref="AQ358:AW358" si="43">AQ347/AQ349</f>
        <v>2.4867063537234852E-2</v>
      </c>
      <c r="AR358" s="20">
        <f t="shared" si="43"/>
        <v>1.1381248461572597E-4</v>
      </c>
      <c r="AS358" s="20">
        <f t="shared" si="43"/>
        <v>3.3338010784122657E-2</v>
      </c>
      <c r="AT358" s="20" t="e">
        <f t="shared" si="43"/>
        <v>#DIV/0!</v>
      </c>
      <c r="AU358" s="20">
        <f t="shared" si="43"/>
        <v>2.2987598027812185E-2</v>
      </c>
      <c r="AV358" s="20">
        <f t="shared" si="43"/>
        <v>5.313447277670528E-5</v>
      </c>
      <c r="AW358" s="20">
        <f t="shared" si="43"/>
        <v>-7.9734308635320106E-5</v>
      </c>
      <c r="AX358" s="20">
        <f>AX347/AX349</f>
        <v>-2.9262845397122129E-2</v>
      </c>
      <c r="AY358" s="20">
        <f t="shared" ref="AY358:BI358" si="44">AY347/AY349</f>
        <v>4.409161404286862E-2</v>
      </c>
      <c r="AZ358" s="20">
        <f t="shared" si="44"/>
        <v>6.2329462703807736E-2</v>
      </c>
      <c r="BA358" s="20">
        <f t="shared" si="44"/>
        <v>-2.9010306787960599E-2</v>
      </c>
      <c r="BB358" s="20">
        <f t="shared" si="44"/>
        <v>3.0205059937948541E-2</v>
      </c>
      <c r="BC358" s="20">
        <f t="shared" si="44"/>
        <v>4.3344496107666747E-2</v>
      </c>
      <c r="BD358" s="20">
        <f t="shared" si="44"/>
        <v>6.3992640751174029E-2</v>
      </c>
      <c r="BE358" s="20">
        <f t="shared" si="44"/>
        <v>3.0368803580578183E-2</v>
      </c>
      <c r="BF358" s="20">
        <f t="shared" si="44"/>
        <v>3.0368803580578183E-2</v>
      </c>
      <c r="BG358" s="20">
        <f t="shared" si="44"/>
        <v>6.3922429812813972E-2</v>
      </c>
      <c r="BH358" s="20">
        <f t="shared" si="44"/>
        <v>-1.4850030249099691E-2</v>
      </c>
      <c r="BI358" s="20">
        <f t="shared" si="44"/>
        <v>4.5395759068226987E-2</v>
      </c>
      <c r="BJ358" s="21"/>
    </row>
    <row r="359" spans="1:62" x14ac:dyDescent="0.25">
      <c r="A359" s="21" t="s">
        <v>694</v>
      </c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</row>
  </sheetData>
  <mergeCells count="2">
    <mergeCell ref="BJ1:BJ359"/>
    <mergeCell ref="A359:BI359"/>
  </mergeCells>
  <conditionalFormatting sqref="A16:A32">
    <cfRule type="cellIs" dxfId="3" priority="17" stopIfTrue="1" operator="lessThan">
      <formula>0</formula>
    </cfRule>
  </conditionalFormatting>
  <conditionalFormatting sqref="B22:B32">
    <cfRule type="cellIs" dxfId="2" priority="26" stopIfTrue="1" operator="lessThan">
      <formula>0</formula>
    </cfRule>
  </conditionalFormatting>
  <conditionalFormatting sqref="C15:D23">
    <cfRule type="cellIs" dxfId="1" priority="18" stopIfTrue="1" operator="lessThan">
      <formula>0</formula>
    </cfRule>
  </conditionalFormatting>
  <conditionalFormatting sqref="E14:BI22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F65C02A5-F487-409F-9372-BA9A9C7F5A3A}"/>
</file>

<file path=customXml/itemProps2.xml><?xml version="1.0" encoding="utf-8"?>
<ds:datastoreItem xmlns:ds="http://schemas.openxmlformats.org/officeDocument/2006/customXml" ds:itemID="{5154044A-47C9-4684-929F-BF05D9B9D4B4}"/>
</file>

<file path=customXml/itemProps3.xml><?xml version="1.0" encoding="utf-8"?>
<ds:datastoreItem xmlns:ds="http://schemas.openxmlformats.org/officeDocument/2006/customXml" ds:itemID="{4074BD73-E595-4CED-B201-4185CACC27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3/2026</dc:title>
  <dc:creator>פרידמן אמיר</dc:creator>
  <cp:lastModifiedBy>Tami Berman</cp:lastModifiedBy>
  <dcterms:created xsi:type="dcterms:W3CDTF">2026-04-27T06:22:22Z</dcterms:created>
  <dcterms:modified xsi:type="dcterms:W3CDTF">2026-04-28T16:56:43Z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