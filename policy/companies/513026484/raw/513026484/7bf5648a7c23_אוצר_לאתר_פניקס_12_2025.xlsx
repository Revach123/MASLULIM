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0C5AABDA-A6A2-49B5-98F7-284EB5DE8F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4" i="1" l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R351" i="1" s="1"/>
  <c r="AR356" i="1" s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B351" i="1" s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H351" i="1" l="1"/>
  <c r="H356" i="1" s="1"/>
  <c r="Y351" i="1"/>
  <c r="Y356" i="1" s="1"/>
  <c r="AV351" i="1"/>
  <c r="AV359" i="1" s="1"/>
  <c r="X351" i="1"/>
  <c r="X356" i="1" s="1"/>
  <c r="AS351" i="1"/>
  <c r="AS358" i="1" s="1"/>
  <c r="I351" i="1"/>
  <c r="I360" i="1" s="1"/>
  <c r="AC351" i="1"/>
  <c r="AC358" i="1" s="1"/>
  <c r="AW351" i="1"/>
  <c r="AW359" i="1" s="1"/>
  <c r="AF351" i="1"/>
  <c r="AF356" i="1" s="1"/>
  <c r="AZ351" i="1"/>
  <c r="AZ359" i="1" s="1"/>
  <c r="AI351" i="1"/>
  <c r="AI358" i="1" s="1"/>
  <c r="AB359" i="1"/>
  <c r="K360" i="1"/>
  <c r="O351" i="1"/>
  <c r="O359" i="1" s="1"/>
  <c r="BC351" i="1"/>
  <c r="BC356" i="1" s="1"/>
  <c r="AY351" i="1"/>
  <c r="AY355" i="1" s="1"/>
  <c r="AB358" i="1"/>
  <c r="AV358" i="1"/>
  <c r="AD351" i="1"/>
  <c r="AD358" i="1" s="1"/>
  <c r="I358" i="1"/>
  <c r="AF359" i="1"/>
  <c r="K351" i="1"/>
  <c r="K356" i="1" s="1"/>
  <c r="AB360" i="1"/>
  <c r="AU351" i="1"/>
  <c r="AU360" i="1" s="1"/>
  <c r="BI351" i="1"/>
  <c r="BI357" i="1" s="1"/>
  <c r="V351" i="1"/>
  <c r="V359" i="1" s="1"/>
  <c r="AS356" i="1"/>
  <c r="M351" i="1"/>
  <c r="M355" i="1" s="1"/>
  <c r="X357" i="1"/>
  <c r="AA351" i="1"/>
  <c r="AA358" i="1" s="1"/>
  <c r="AO351" i="1"/>
  <c r="AO355" i="1" s="1"/>
  <c r="AP351" i="1"/>
  <c r="AP356" i="1" s="1"/>
  <c r="AE351" i="1"/>
  <c r="AE357" i="1" s="1"/>
  <c r="AG351" i="1"/>
  <c r="AG355" i="1" s="1"/>
  <c r="U351" i="1"/>
  <c r="U358" i="1" s="1"/>
  <c r="Y355" i="1"/>
  <c r="AR357" i="1"/>
  <c r="E351" i="1"/>
  <c r="E355" i="1" s="1"/>
  <c r="F351" i="1"/>
  <c r="F360" i="1" s="1"/>
  <c r="I356" i="1"/>
  <c r="AC356" i="1"/>
  <c r="AZ357" i="1"/>
  <c r="K359" i="1"/>
  <c r="K353" i="1"/>
  <c r="AG353" i="1"/>
  <c r="AF353" i="1"/>
  <c r="AF358" i="1"/>
  <c r="K357" i="1"/>
  <c r="AB353" i="1"/>
  <c r="AB355" i="1"/>
  <c r="AB356" i="1"/>
  <c r="I355" i="1"/>
  <c r="I353" i="1"/>
  <c r="AI357" i="1"/>
  <c r="AP353" i="1"/>
  <c r="AO360" i="1"/>
  <c r="AB357" i="1"/>
  <c r="AA357" i="1"/>
  <c r="AU355" i="1"/>
  <c r="AS355" i="1"/>
  <c r="AS353" i="1"/>
  <c r="AS359" i="1"/>
  <c r="AS357" i="1"/>
  <c r="H359" i="1"/>
  <c r="L351" i="1"/>
  <c r="L357" i="1" s="1"/>
  <c r="AR360" i="1"/>
  <c r="J351" i="1"/>
  <c r="H358" i="1"/>
  <c r="AR359" i="1"/>
  <c r="BA351" i="1"/>
  <c r="BA359" i="1" s="1"/>
  <c r="AH351" i="1"/>
  <c r="AH359" i="1" s="1"/>
  <c r="P351" i="1"/>
  <c r="P355" i="1" s="1"/>
  <c r="AJ351" i="1"/>
  <c r="AJ359" i="1" s="1"/>
  <c r="BD351" i="1"/>
  <c r="BD355" i="1" s="1"/>
  <c r="X360" i="1"/>
  <c r="N351" i="1"/>
  <c r="N357" i="1" s="1"/>
  <c r="BB351" i="1"/>
  <c r="Q351" i="1"/>
  <c r="Q358" i="1" s="1"/>
  <c r="AK351" i="1"/>
  <c r="AK358" i="1" s="1"/>
  <c r="BE351" i="1"/>
  <c r="BE356" i="1" s="1"/>
  <c r="H360" i="1"/>
  <c r="R351" i="1"/>
  <c r="R356" i="1" s="1"/>
  <c r="AL351" i="1"/>
  <c r="AL360" i="1" s="1"/>
  <c r="BF351" i="1"/>
  <c r="BF355" i="1" s="1"/>
  <c r="S351" i="1"/>
  <c r="S355" i="1" s="1"/>
  <c r="AM351" i="1"/>
  <c r="AM355" i="1" s="1"/>
  <c r="BG351" i="1"/>
  <c r="BG356" i="1" s="1"/>
  <c r="T351" i="1"/>
  <c r="T358" i="1" s="1"/>
  <c r="AN351" i="1"/>
  <c r="BH351" i="1"/>
  <c r="AX351" i="1"/>
  <c r="AX357" i="1" s="1"/>
  <c r="X358" i="1"/>
  <c r="X359" i="1"/>
  <c r="AR358" i="1"/>
  <c r="G351" i="1"/>
  <c r="W351" i="1"/>
  <c r="W355" i="1" s="1"/>
  <c r="AQ351" i="1"/>
  <c r="AQ358" i="1" s="1"/>
  <c r="H353" i="1"/>
  <c r="X353" i="1"/>
  <c r="AR353" i="1"/>
  <c r="Z351" i="1"/>
  <c r="Z355" i="1" s="1"/>
  <c r="AT351" i="1"/>
  <c r="AT360" i="1" s="1"/>
  <c r="H355" i="1"/>
  <c r="X355" i="1"/>
  <c r="AR355" i="1"/>
  <c r="AE360" i="1" l="1"/>
  <c r="BA358" i="1"/>
  <c r="AA356" i="1"/>
  <c r="AI356" i="1"/>
  <c r="AO356" i="1"/>
  <c r="AW357" i="1"/>
  <c r="AO357" i="1"/>
  <c r="AC353" i="1"/>
  <c r="AO358" i="1"/>
  <c r="AC357" i="1"/>
  <c r="AC359" i="1"/>
  <c r="AS360" i="1"/>
  <c r="AV357" i="1"/>
  <c r="AC355" i="1"/>
  <c r="AO359" i="1"/>
  <c r="I357" i="1"/>
  <c r="I359" i="1"/>
  <c r="AI360" i="1"/>
  <c r="AW356" i="1"/>
  <c r="AZ356" i="1"/>
  <c r="Y357" i="1"/>
  <c r="U360" i="1"/>
  <c r="BC360" i="1"/>
  <c r="AU359" i="1"/>
  <c r="Y359" i="1"/>
  <c r="BC353" i="1"/>
  <c r="AV356" i="1"/>
  <c r="W358" i="1"/>
  <c r="AG357" i="1"/>
  <c r="AA360" i="1"/>
  <c r="AW360" i="1"/>
  <c r="Y358" i="1"/>
  <c r="BC355" i="1"/>
  <c r="AV355" i="1"/>
  <c r="BC358" i="1"/>
  <c r="BC359" i="1"/>
  <c r="AE356" i="1"/>
  <c r="K358" i="1"/>
  <c r="Y360" i="1"/>
  <c r="K355" i="1"/>
  <c r="Y353" i="1"/>
  <c r="AP360" i="1"/>
  <c r="AW355" i="1"/>
  <c r="AV353" i="1"/>
  <c r="BC357" i="1"/>
  <c r="P358" i="1"/>
  <c r="H357" i="1"/>
  <c r="AW358" i="1"/>
  <c r="AZ360" i="1"/>
  <c r="AV360" i="1"/>
  <c r="AC360" i="1"/>
  <c r="BI360" i="1"/>
  <c r="AU357" i="1"/>
  <c r="AW353" i="1"/>
  <c r="AL356" i="1"/>
  <c r="AZ355" i="1"/>
  <c r="AL355" i="1"/>
  <c r="AY358" i="1"/>
  <c r="BI355" i="1"/>
  <c r="AE355" i="1"/>
  <c r="AP359" i="1"/>
  <c r="BI353" i="1"/>
  <c r="AU358" i="1"/>
  <c r="AU353" i="1"/>
  <c r="AM359" i="1"/>
  <c r="AP357" i="1"/>
  <c r="F359" i="1"/>
  <c r="BI356" i="1"/>
  <c r="E353" i="1"/>
  <c r="BE357" i="1"/>
  <c r="M360" i="1"/>
  <c r="AE358" i="1"/>
  <c r="E357" i="1"/>
  <c r="AU356" i="1"/>
  <c r="E359" i="1"/>
  <c r="M357" i="1"/>
  <c r="AD355" i="1"/>
  <c r="AP355" i="1"/>
  <c r="AP358" i="1"/>
  <c r="BI358" i="1"/>
  <c r="E356" i="1"/>
  <c r="Q357" i="1"/>
  <c r="AK356" i="1"/>
  <c r="AT355" i="1"/>
  <c r="BI359" i="1"/>
  <c r="E358" i="1"/>
  <c r="M353" i="1"/>
  <c r="AA355" i="1"/>
  <c r="F356" i="1"/>
  <c r="AO353" i="1"/>
  <c r="P357" i="1"/>
  <c r="AA353" i="1"/>
  <c r="Q356" i="1"/>
  <c r="AY356" i="1"/>
  <c r="AD359" i="1"/>
  <c r="AY360" i="1"/>
  <c r="Z359" i="1"/>
  <c r="O353" i="1"/>
  <c r="BA355" i="1"/>
  <c r="R360" i="1"/>
  <c r="V360" i="1"/>
  <c r="AG356" i="1"/>
  <c r="BF357" i="1"/>
  <c r="F355" i="1"/>
  <c r="V355" i="1"/>
  <c r="AL357" i="1"/>
  <c r="AI353" i="1"/>
  <c r="AE359" i="1"/>
  <c r="M358" i="1"/>
  <c r="AF355" i="1"/>
  <c r="AF360" i="1"/>
  <c r="O358" i="1"/>
  <c r="BE358" i="1"/>
  <c r="O357" i="1"/>
  <c r="AH357" i="1"/>
  <c r="F353" i="1"/>
  <c r="AG358" i="1"/>
  <c r="AD360" i="1"/>
  <c r="F357" i="1"/>
  <c r="V357" i="1"/>
  <c r="R357" i="1"/>
  <c r="AI355" i="1"/>
  <c r="AE353" i="1"/>
  <c r="AD357" i="1"/>
  <c r="AG359" i="1"/>
  <c r="P359" i="1"/>
  <c r="AD353" i="1"/>
  <c r="F358" i="1"/>
  <c r="V358" i="1"/>
  <c r="U355" i="1"/>
  <c r="AM356" i="1"/>
  <c r="AH355" i="1"/>
  <c r="M359" i="1"/>
  <c r="AD356" i="1"/>
  <c r="O355" i="1"/>
  <c r="BA360" i="1"/>
  <c r="R355" i="1"/>
  <c r="O356" i="1"/>
  <c r="U353" i="1"/>
  <c r="S356" i="1"/>
  <c r="AY357" i="1"/>
  <c r="O360" i="1"/>
  <c r="AQ355" i="1"/>
  <c r="AY353" i="1"/>
  <c r="AY359" i="1"/>
  <c r="BF356" i="1"/>
  <c r="AI359" i="1"/>
  <c r="AF357" i="1"/>
  <c r="AJ355" i="1"/>
  <c r="V356" i="1"/>
  <c r="M356" i="1"/>
  <c r="V353" i="1"/>
  <c r="AG360" i="1"/>
  <c r="AA359" i="1"/>
  <c r="U359" i="1"/>
  <c r="AZ358" i="1"/>
  <c r="U357" i="1"/>
  <c r="S359" i="1"/>
  <c r="E360" i="1"/>
  <c r="U356" i="1"/>
  <c r="AJ357" i="1"/>
  <c r="AJ358" i="1"/>
  <c r="AZ353" i="1"/>
  <c r="BB356" i="1"/>
  <c r="BB353" i="1"/>
  <c r="G357" i="1"/>
  <c r="G356" i="1"/>
  <c r="G360" i="1"/>
  <c r="G359" i="1"/>
  <c r="G353" i="1"/>
  <c r="BE360" i="1"/>
  <c r="BE359" i="1"/>
  <c r="BE353" i="1"/>
  <c r="J353" i="1"/>
  <c r="J360" i="1"/>
  <c r="J355" i="1"/>
  <c r="AK360" i="1"/>
  <c r="AK353" i="1"/>
  <c r="AK359" i="1"/>
  <c r="BB357" i="1"/>
  <c r="BD359" i="1"/>
  <c r="Q360" i="1"/>
  <c r="Q353" i="1"/>
  <c r="Q359" i="1"/>
  <c r="BD357" i="1"/>
  <c r="BD358" i="1"/>
  <c r="J357" i="1"/>
  <c r="AX353" i="1"/>
  <c r="AX360" i="1"/>
  <c r="AX359" i="1"/>
  <c r="BB358" i="1"/>
  <c r="AX358" i="1"/>
  <c r="L355" i="1"/>
  <c r="BH360" i="1"/>
  <c r="BH359" i="1"/>
  <c r="BH357" i="1"/>
  <c r="BH356" i="1"/>
  <c r="BH353" i="1"/>
  <c r="N355" i="1"/>
  <c r="J358" i="1"/>
  <c r="AN360" i="1"/>
  <c r="AN359" i="1"/>
  <c r="AN357" i="1"/>
  <c r="AN353" i="1"/>
  <c r="AN356" i="1"/>
  <c r="G358" i="1"/>
  <c r="BG359" i="1"/>
  <c r="BD356" i="1"/>
  <c r="BG355" i="1"/>
  <c r="Z360" i="1"/>
  <c r="T360" i="1"/>
  <c r="T359" i="1"/>
  <c r="T357" i="1"/>
  <c r="T353" i="1"/>
  <c r="T356" i="1"/>
  <c r="BE355" i="1"/>
  <c r="AN358" i="1"/>
  <c r="L359" i="1"/>
  <c r="BB359" i="1"/>
  <c r="AX356" i="1"/>
  <c r="J356" i="1"/>
  <c r="BH358" i="1"/>
  <c r="Z353" i="1"/>
  <c r="Z358" i="1"/>
  <c r="Z356" i="1"/>
  <c r="Z357" i="1"/>
  <c r="AJ360" i="1"/>
  <c r="AJ353" i="1"/>
  <c r="P353" i="1"/>
  <c r="P360" i="1"/>
  <c r="AN355" i="1"/>
  <c r="S360" i="1"/>
  <c r="S358" i="1"/>
  <c r="S353" i="1"/>
  <c r="S357" i="1"/>
  <c r="J359" i="1"/>
  <c r="T355" i="1"/>
  <c r="L356" i="1"/>
  <c r="N358" i="1"/>
  <c r="AL359" i="1"/>
  <c r="AL358" i="1"/>
  <c r="AL353" i="1"/>
  <c r="AX355" i="1"/>
  <c r="AQ357" i="1"/>
  <c r="AQ356" i="1"/>
  <c r="AQ353" i="1"/>
  <c r="AQ359" i="1"/>
  <c r="AQ360" i="1"/>
  <c r="R359" i="1"/>
  <c r="R353" i="1"/>
  <c r="R358" i="1"/>
  <c r="AJ356" i="1"/>
  <c r="N360" i="1"/>
  <c r="P356" i="1"/>
  <c r="L358" i="1"/>
  <c r="L353" i="1"/>
  <c r="N356" i="1"/>
  <c r="N353" i="1"/>
  <c r="N359" i="1"/>
  <c r="AT353" i="1"/>
  <c r="AT358" i="1"/>
  <c r="AT357" i="1"/>
  <c r="AT356" i="1"/>
  <c r="BD360" i="1"/>
  <c r="BD353" i="1"/>
  <c r="BG360" i="1"/>
  <c r="BG358" i="1"/>
  <c r="BG353" i="1"/>
  <c r="BG357" i="1"/>
  <c r="G355" i="1"/>
  <c r="BH355" i="1"/>
  <c r="AM360" i="1"/>
  <c r="AM358" i="1"/>
  <c r="AM357" i="1"/>
  <c r="AM353" i="1"/>
  <c r="AH356" i="1"/>
  <c r="AH353" i="1"/>
  <c r="L360" i="1"/>
  <c r="BF358" i="1"/>
  <c r="BF360" i="1"/>
  <c r="BF359" i="1"/>
  <c r="BF353" i="1"/>
  <c r="AH358" i="1"/>
  <c r="BB360" i="1"/>
  <c r="BA357" i="1"/>
  <c r="BA353" i="1"/>
  <c r="BB355" i="1"/>
  <c r="AH360" i="1"/>
  <c r="W357" i="1"/>
  <c r="W356" i="1"/>
  <c r="W360" i="1"/>
  <c r="W353" i="1"/>
  <c r="W359" i="1"/>
  <c r="AT359" i="1"/>
  <c r="AK355" i="1"/>
  <c r="AK357" i="1"/>
  <c r="Q355" i="1"/>
  <c r="BA356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<sst xmlns="http://schemas.openxmlformats.org/spreadsheetml/2006/main" count="765" uniqueCount="697">
  <si>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</si>
  <si>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</si>
  <si>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</si>
  <si>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</si>
  <si>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</si>
  <si>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</si>
  <si>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</si>
  <si>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</si>
  <si>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</si>
  <si>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</si>
  <si>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</si>
  <si>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</si>
  <si>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</si>
  <si>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</si>
  <si>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</si>
  <si>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</si>
  <si>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</si>
  <si>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</si>
  <si>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</si>
  <si>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</si>
  <si>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</si>
  <si>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</si>
  <si>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</si>
  <si>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</si>
  <si>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</si>
  <si>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</si>
  <si>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</si>
  <si>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</si>
  <si>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</si>
  <si>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</si>
  <si>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</si>
  <si>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</si>
  <si>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</si>
  <si>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</si>
  <si>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</si>
  <si>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</si>
  <si>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</si>
  <si>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</si>
  <si>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</si>
  <si>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</si>
  <si>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</si>
  <si>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</si>
  <si>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</si>
  <si>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</si>
  <si>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</si>
  <si>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</si>
  <si>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</si>
  <si>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</si>
  <si>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</si>
  <si>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</si>
  <si>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</si>
  <si>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</si>
  <si>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</si>
  <si>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</si>
  <si>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</si>
  <si>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</si>
  <si>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</si>
  <si>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</si>
  <si>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</si>
  <si>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</si>
  <si>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</si>
  <si>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</si>
  <si>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</si>
  <si>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</si>
  <si>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</si>
  <si>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</si>
  <si>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</si>
  <si>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</si>
  <si>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</si>
  <si>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</si>
  <si>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</si>
  <si>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</si>
  <si>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</si>
  <si>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</si>
  <si>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</si>
  <si>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</si>
  <si>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</si>
  <si>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</si>
  <si>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</si>
  <si>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</si>
  <si>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</si>
  <si>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</si>
  <si>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</si>
  <si>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</si>
  <si>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</si>
  <si>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</si>
  <si>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</si>
  <si>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</si>
  <si>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</si>
  <si>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</si>
  <si>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</si>
  <si>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</si>
  <si>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</si>
  <si>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</si>
  <si>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</si>
  <si>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</si>
  <si>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</si>
  <si>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</si>
  <si>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</si>
  <si>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</si>
  <si>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</si>
  <si>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</si>
  <si>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</si>
  <si>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</si>
  <si>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</si>
  <si>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</si>
  <si>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</si>
  <si>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</si>
  <si>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</si>
  <si>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</si>
  <si>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</si>
  <si>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</si>
  <si>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</si>
  <si>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</si>
  <si>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</si>
  <si>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</si>
  <si>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</si>
  <si>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</si>
  <si>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</si>
  <si>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</si>
  <si>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</si>
  <si>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</si>
  <si>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</si>
  <si>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</si>
  <si>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</si>
  <si>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</si>
  <si>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</si>
  <si>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</si>
  <si>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</si>
  <si>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</si>
  <si>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</si>
  <si>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</si>
  <si>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</si>
  <si>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</si>
  <si>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</si>
  <si>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</si>
  <si>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</si>
  <si>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</si>
  <si>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</si>
  <si>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</si>
  <si>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</si>
  <si>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</si>
  <si>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</si>
  <si>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</si>
  <si>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</si>
  <si>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</si>
  <si>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</si>
  <si>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</si>
  <si>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</si>
  <si>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</si>
  <si>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</si>
  <si>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</si>
  <si>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</si>
  <si>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</si>
  <si>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</si>
  <si>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</si>
  <si>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</si>
  <si>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</si>
  <si>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</si>
  <si>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</si>
  <si>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</si>
  <si>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</si>
  <si>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</si>
  <si>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</si>
  <si>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</si>
  <si>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</si>
  <si>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</si>
  <si>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</si>
  <si>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</si>
  <si>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</si>
  <si>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</si>
  <si>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</si>
  <si>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</si>
  <si>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</si>
  <si>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</si>
  <si>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</si>
  <si>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</si>
  <si>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</si>
  <si>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</si>
  <si>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</si>
  <si>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</si>
  <si>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</si>
  <si>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</si>
  <si>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</si>
  <si>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</si>
  <si>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</si>
  <si>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</si>
  <si>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</si>
  <si>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</si>
  <si>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</si>
  <si>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</si>
  <si>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</si>
  <si>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</si>
  <si>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</si>
  <si>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</si>
  <si>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</si>
  <si>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</si>
  <si>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</si>
  <si>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</si>
  <si>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</si>
  <si>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</si>
  <si>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</si>
  <si>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</si>
  <si>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</si>
  <si>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</si>
  <si>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</si>
  <si>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</si>
  <si>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</si>
  <si>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</si>
  <si>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</si>
  <si>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</si>
  <si>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</si>
  <si>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</si>
  <si>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</si>
  <si>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</si>
  <si>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</si>
  <si>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</si>
  <si>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</si>
  <si>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</si>
  <si>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</si>
  <si>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</si>
  <si>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</si>
  <si>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</si>
  <si>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</si>
  <si>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</si>
  <si>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</si>
  <si>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</si>
  <si>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</si>
  <si>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</si>
  <si>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</si>
  <si>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</si>
  <si>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</si>
  <si>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</si>
  <si>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</si>
  <si>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</si>
  <si>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</si>
  <si>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</si>
  <si>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</si>
  <si>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</si>
  <si>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</si>
  <si>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</si>
  <si>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</si>
  <si>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</si>
  <si>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</si>
  <si>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</si>
  <si>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</si>
  <si>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</si>
  <si>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</si>
  <si>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</si>
  <si>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</si>
  <si>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</si>
  <si>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</si>
  <si>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</si>
  <si>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</si>
  <si>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</si>
  <si>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</si>
  <si>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</si>
  <si>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</si>
  <si>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</si>
  <si>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</si>
  <si>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</si>
  <si>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</si>
  <si>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</si>
  <si>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</si>
  <si>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</si>
  <si>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</si>
  <si>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</si>
  <si>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</si>
  <si>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</si>
  <si>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</si>
  <si>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</si>
  <si>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</si>
  <si>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</si>
  <si>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</si>
  <si>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</si>
  <si>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</si>
  <si>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</si>
  <si>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</si>
  <si>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</si>
  <si>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</si>
  <si>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</si>
  <si>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</si>
  <si>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</si>
  <si>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</si>
  <si>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</si>
  <si>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</si>
  <si>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</si>
  <si>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</si>
  <si>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</si>
  <si>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</si>
  <si>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</si>
  <si>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</si>
  <si>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</si>
  <si>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</si>
  <si>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</si>
  <si>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</si>
  <si>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</si>
  <si>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</si>
  <si>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</si>
  <si>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</si>
  <si>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</si>
  <si>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</si>
  <si>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</si>
  <si>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</si>
  <si>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</si>
  <si>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</si>
  <si>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</si>
  <si>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</si>
  <si>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</si>
  <si>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</si>
  <si>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</si>
  <si>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</si>
  <si>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</si>
  <si>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</si>
  <si>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</si>
  <si>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</si>
  <si>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</si>
  <si>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</si>
  <si>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</si>
  <si>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</si>
  <si>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</si>
  <si>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</si>
  <si>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</si>
  <si>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</si>
  <si>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</si>
  <si>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</si>
  <si>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</si>
  <si>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</si>
  <si>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</si>
  <si>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</si>
  <si>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</si>
  <si>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</si>
  <si>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</si>
  <si>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</si>
  <si>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</si>
  <si>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</si>
  <si>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</si>
  <si>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</si>
  <si>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</si>
  <si>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</si>
  <si>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</si>
  <si>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</si>
  <si>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</si>
  <si>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</si>
  <si>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</si>
  <si>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</si>
  <si>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</si>
  <si>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</si>
  <si>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</si>
  <si>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</si>
  <si>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</si>
  <si>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</si>
  <si>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</si>
  <si>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</si>
  <si>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</si>
  <si>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</si>
  <si>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</si>
  <si>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</si>
  <si>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</si>
  <si>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</si>
  <si>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</si>
  <si>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</si>
  <si>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</si>
  <si>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</si>
  <si>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</si>
  <si>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</si>
  <si>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</si>
  <si>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</si>
  <si>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</si>
  <si>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</si>
  <si>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</si>
  <si>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</si>
  <si>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</si>
  <si>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</si>
  <si>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</si>
  <si>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</si>
  <si>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</si>
  <si>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</si>
  <si>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</si>
  <si>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</si>
  <si>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</si>
  <si>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</si>
  <si>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</si>
  <si>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</si>
  <si>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</si>
  <si>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</si>
  <si>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</si>
  <si>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</si>
  <si>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</si>
  <si>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</si>
  <si>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</si>
  <si>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</si>
  <si>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</si>
  <si>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</si>
  <si>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</si>
  <si>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</si>
  <si>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</si>
  <si>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</si>
  <si>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</si>
  <si>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</si>
  <si>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</si>
  <si>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</si>
  <si>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</si>
  <si>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</si>
  <si>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</si>
  <si>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</si>
  <si>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</si>
  <si>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</si>
  <si>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</si>
  <si>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</si>
  <si>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</si>
  <si>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</si>
  <si>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</si>
  <si>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</si>
  <si>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</si>
  <si>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</si>
  <si>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</si>
  <si>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</si>
  <si>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</si>
  <si>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</si>
  <si>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</si>
  <si>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</si>
  <si>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</si>
  <si>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</si>
  <si>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</si>
  <si>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</si>
  <si>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</si>
  <si>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</si>
  <si>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</si>
  <si>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</si>
  <si>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</si>
  <si>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</si>
  <si>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</si>
  <si>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</si>
  <si>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</si>
  <si>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</si>
  <si>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</si>
  <si>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</si>
  <si>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</si>
  <si>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</si>
  <si>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</si>
  <si>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</si>
  <si>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</si>
  <si>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</si>
  <si>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</si>
  <si>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</si>
  <si>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</si>
  <si>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</si>
  <si>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</si>
  <si>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</si>
  <si>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</si>
  <si>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</si>
  <si>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</si>
  <si>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</si>
  <si>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</si>
  <si>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</si>
  <si>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</si>
  <si>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</si>
  <si>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</si>
  <si>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</si>
  <si>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</si>
  <si>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</si>
  <si>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</si>
  <si>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</si>
  <si>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</si>
  <si>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</si>
  <si>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</si>
  <si>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</si>
  <si>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</si>
  <si>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</si>
  <si>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</si>
  <si>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</si>
  <si>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</si>
  <si>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</si>
  <si>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</si>
  <si>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</si>
  <si>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</si>
  <si>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</si>
  <si>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</si>
  <si>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</si>
  <si>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</si>
  <si>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</si>
  <si>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</si>
  <si>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</si>
  <si>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</si>
  <si>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</si>
  <si>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</si>
  <si>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</si>
  <si>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</si>
  <si>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</si>
  <si>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</si>
  <si>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</si>
  <si>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</si>
  <si>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</si>
  <si>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</si>
  <si>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</si>
  <si>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</si>
  <si>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</si>
  <si>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</si>
  <si>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</si>
  <si>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</si>
  <si>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</si>
  <si>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</si>
  <si>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</si>
  <si>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</si>
  <si>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</si>
  <si>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</si>
  <si>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</si>
  <si>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</si>
  <si>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</si>
  <si>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</si>
  <si>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</si>
  <si>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</si>
  <si>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</si>
  <si>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</si>
  <si>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</si>
  <si>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</si>
  <si>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</si>
  <si>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</si>
  <si>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</si>
  <si>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</si>
  <si>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</si>
  <si>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</si>
  <si>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</si>
  <si>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</si>
  <si>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</si>
  <si>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</si>
  <si>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</si>
  <si>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</si>
  <si>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</si>
  <si>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</si>
  <si>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</si>
  <si>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</si>
  <si>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</si>
  <si>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</si>
  <si>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</si>
  <si>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</si>
  <si>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</si>
  <si>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</si>
  <si>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</si>
  <si>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</si>
  <si>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</si>
  <si>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</si>
  <si>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</si>
  <si>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</si>
  <si>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</si>
  <si>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</si>
  <si>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</si>
  <si>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</si>
  <si>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</si>
  <si>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</si>
  <si>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</si>
  <si>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</si>
  <si>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</si>
  <si>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</si>
  <si>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</si>
  <si>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</si>
  <si>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</si>
  <si>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</si>
  <si>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</si>
  <si>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</si>
  <si>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</si>
  <si>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</si>
  <si>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</si>
  <si>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</si>
  <si>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</si>
  <si>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</si>
  <si>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</si>
  <si>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</si>
  <si>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</si>
  <si>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</si>
  <si>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</si>
  <si>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</si>
  <si>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</si>
  <si>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</si>
  <si>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</si>
  <si>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</si>
  <si>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</si>
  <si>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</si>
  <si>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</si>
  <si>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</si>
  <si>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</si>
  <si>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</si>
  <si>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</si>
  <si>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</si>
  <si>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</si>
  <si>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</si>
  <si>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</si>
  <si>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</si>
  <si>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</si>
  <si>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</si>
  <si>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</si>
  <si>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</si>
  <si>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</si>
  <si>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</si>
  <si>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</si>
  <si>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</si>
  <si>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</si>
  <si>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</si>
  <si>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</si>
  <si>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</si>
  <si>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</si>
  <si>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</si>
  <si>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</si>
  <si>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</si>
  <si>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</si>
  <si>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</si>
  <si>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</si>
  <si>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</si>
  <si>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</si>
  <si>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</si>
  <si>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</si>
  <si>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</si>
  <si>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</si>
  <si>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</si>
  <si>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</si>
  <si>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</si>
  <si>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</si>
  <si>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</si>
  <si>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</si>
  <si>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</si>
  <si>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</si>
  <si>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</si>
  <si>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</si>
  <si>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</si>
  <si>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</si>
  <si>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</si>
  <si>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</si>
  <si>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</si>
  <si>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</si>
  <si>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</si>
  <si>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</si>
  <si>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</si>
  <si>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</si>
  <si>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</si>
  <si>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</si>
  <si>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</si>
  <si>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</si>
  <si>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</si>
  <si>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</si>
  <si>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</si>
  <si>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</si>
  <si>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</si>
  <si>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</si>
  <si>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</si>
  <si>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</si>
  <si>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</si>
  <si>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</si>
  <si>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</si>
  <si>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</si>
  <si>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</si>
  <si>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</si>
  <si>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</si>
  <si>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</si>
  <si>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</si>
  <si>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</si>
  <si>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</si>
  <si>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</si>
  <si>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</si>
  <si>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</si>
  <si>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</si>
  <si>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</si>
  <si>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</si>
  <si>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</si>
  <si>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</si>
  <si>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</si>
  <si>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</si>
  <si>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</si>
  <si>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</si>
  <si>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</si>
  <si>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</si>
  <si>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</si>
  <si>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</si>
  <si>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</si>
  <si>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</si>
  <si>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</si>
  <si>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</si>
  <si>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</si>
  <si>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</si>
  <si>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</si>
  <si>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</si>
  <si>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</si>
  <si>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</si>
  <si>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</si>
  <si>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</si>
  <si>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</si>
  <si>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</si>
  <si>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</si>
  <si>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</si>
  <si>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</si>
  <si>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</si>
  <si>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</si>
  <si>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</si>
  <si>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</si>
  <si>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תחילת מידע טבלה</t>
  </si>
  <si>
    <t>סיום מידע טבלה צד שמאל</t>
  </si>
  <si>
    <t xml:space="preserve">סיום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</si>
</sst>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28008602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342900</xdr:colOff>
      <xdr:row>1</xdr:row>
      <xdr:rowOff>167640</xdr:rowOff>
    </xdr:to>
    <xdr:pic>
      <xdr:nvPicPr>
        <xdr:cNvPr id="3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BCA1A205-B89E-48F9-987D-263A78BE7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4405260" y="0"/>
          <a:ext cx="342900" cy="342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25"/>
      <sheetName val="גיליון227"/>
      <sheetName val="גיליון229"/>
      <sheetName val="גיליון231"/>
      <sheetName val="גיליון233"/>
      <sheetName val="גיליון235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361"/>
  <sheetViews>
    <sheetView rightToLeft="1" tabSelected="1" workbookViewId="0">
      <selection activeCell="A361" sqref="A361:BI361"/>
    </sheetView>
  </sheetViews>
  <sheetFormatPr defaultRowHeight="13.8" x14ac:dyDescent="0.25"/>
  <cols>
    <col min="12" max="12" width="21.59765625" customWidth="1"/>
  </cols>
  <sheetData>
    <row r="2" spans="1:62" x14ac:dyDescent="0.25">
      <c r="A2" s="21" t="s">
        <v>694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 t="s">
        <v>695</v>
      </c>
    </row>
    <row r="3" spans="1:62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102</v>
      </c>
      <c r="L3">
        <v>122</v>
      </c>
      <c r="M3">
        <v>142</v>
      </c>
      <c r="N3">
        <v>164</v>
      </c>
      <c r="O3">
        <v>167</v>
      </c>
      <c r="P3">
        <v>169</v>
      </c>
      <c r="Q3">
        <v>425</v>
      </c>
      <c r="R3">
        <v>426</v>
      </c>
      <c r="S3">
        <v>499</v>
      </c>
      <c r="T3">
        <v>519</v>
      </c>
      <c r="U3">
        <v>526</v>
      </c>
      <c r="V3">
        <v>570</v>
      </c>
      <c r="W3">
        <v>571</v>
      </c>
      <c r="X3">
        <v>572</v>
      </c>
      <c r="Y3">
        <v>573</v>
      </c>
      <c r="Z3">
        <v>574</v>
      </c>
      <c r="AA3">
        <v>628</v>
      </c>
      <c r="AB3">
        <v>629</v>
      </c>
      <c r="AC3">
        <v>631</v>
      </c>
      <c r="AD3">
        <v>632</v>
      </c>
      <c r="AE3">
        <v>658</v>
      </c>
      <c r="AF3">
        <v>660</v>
      </c>
      <c r="AG3">
        <v>662</v>
      </c>
      <c r="AH3">
        <v>664</v>
      </c>
      <c r="AI3">
        <v>666</v>
      </c>
      <c r="AJ3">
        <v>726</v>
      </c>
      <c r="AK3">
        <v>737</v>
      </c>
      <c r="AL3">
        <v>827</v>
      </c>
      <c r="AM3">
        <v>575</v>
      </c>
      <c r="AN3">
        <v>576</v>
      </c>
      <c r="AO3">
        <v>359</v>
      </c>
      <c r="AP3" s="9">
        <v>828</v>
      </c>
      <c r="AQ3" s="9">
        <v>844</v>
      </c>
      <c r="AR3" s="9">
        <v>839</v>
      </c>
      <c r="AS3" s="9">
        <v>857</v>
      </c>
      <c r="AT3" s="9">
        <v>851</v>
      </c>
      <c r="AU3" s="9">
        <v>849</v>
      </c>
      <c r="AV3" s="9">
        <v>846</v>
      </c>
      <c r="AW3" s="9">
        <v>834</v>
      </c>
      <c r="AX3" s="9">
        <v>506</v>
      </c>
      <c r="AY3" s="9">
        <v>521</v>
      </c>
      <c r="AZ3" s="9">
        <v>522</v>
      </c>
      <c r="BA3" s="9">
        <v>528</v>
      </c>
      <c r="BB3" s="9">
        <v>548</v>
      </c>
      <c r="BC3" s="9">
        <v>551</v>
      </c>
      <c r="BD3" s="9">
        <v>555</v>
      </c>
      <c r="BE3" s="9">
        <v>558</v>
      </c>
      <c r="BF3" s="9">
        <v>558</v>
      </c>
      <c r="BG3" s="9">
        <v>578</v>
      </c>
      <c r="BH3" s="9">
        <v>580</v>
      </c>
      <c r="BI3" s="9">
        <v>577</v>
      </c>
      <c r="BJ3" s="21"/>
    </row>
    <row r="4" spans="1:62" x14ac:dyDescent="0.25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715</v>
      </c>
      <c r="L4" s="10">
        <v>9916</v>
      </c>
      <c r="M4" s="10">
        <v>1100</v>
      </c>
      <c r="N4" s="10">
        <v>801</v>
      </c>
      <c r="O4" s="10">
        <v>804</v>
      </c>
      <c r="P4" s="10">
        <v>806</v>
      </c>
      <c r="Q4" s="10">
        <v>8765</v>
      </c>
      <c r="R4" s="10">
        <v>8766</v>
      </c>
      <c r="S4" s="10">
        <v>9418</v>
      </c>
      <c r="T4" s="10">
        <v>9475</v>
      </c>
      <c r="U4" s="10">
        <v>9906</v>
      </c>
      <c r="V4" s="10">
        <v>7905</v>
      </c>
      <c r="W4" s="10">
        <v>7906</v>
      </c>
      <c r="X4" s="10">
        <v>7907</v>
      </c>
      <c r="Y4" s="10">
        <v>7908</v>
      </c>
      <c r="Z4" s="10">
        <v>7909</v>
      </c>
      <c r="AA4" s="10">
        <v>11310</v>
      </c>
      <c r="AB4" s="10">
        <v>11311</v>
      </c>
      <c r="AC4" s="10">
        <v>11312</v>
      </c>
      <c r="AD4" s="10">
        <v>11335</v>
      </c>
      <c r="AE4" s="10">
        <v>9529</v>
      </c>
      <c r="AF4" s="10">
        <v>961</v>
      </c>
      <c r="AG4" s="10">
        <v>9528</v>
      </c>
      <c r="AH4" s="10">
        <v>964</v>
      </c>
      <c r="AI4" s="10">
        <v>968</v>
      </c>
      <c r="AJ4" s="10">
        <v>8629</v>
      </c>
      <c r="AK4" s="10">
        <v>13264</v>
      </c>
      <c r="AL4" s="10">
        <v>13263</v>
      </c>
      <c r="AM4" s="10">
        <v>13209</v>
      </c>
      <c r="AN4" s="10">
        <v>13250</v>
      </c>
      <c r="AO4" s="10">
        <v>14281</v>
      </c>
      <c r="AP4" s="11">
        <v>2049</v>
      </c>
      <c r="AQ4" s="12">
        <v>7975</v>
      </c>
      <c r="AR4" s="12">
        <v>8004</v>
      </c>
      <c r="AS4" s="11">
        <v>1008</v>
      </c>
      <c r="AT4" s="11">
        <v>9484</v>
      </c>
      <c r="AU4" s="11">
        <v>682</v>
      </c>
      <c r="AV4" s="11">
        <v>11352</v>
      </c>
      <c r="AW4" s="11">
        <v>2058</v>
      </c>
      <c r="AX4" s="11">
        <v>15007</v>
      </c>
      <c r="AY4" s="11">
        <v>15208</v>
      </c>
      <c r="AZ4" s="11">
        <v>15209</v>
      </c>
      <c r="BA4" s="11">
        <v>15210</v>
      </c>
      <c r="BB4" s="11">
        <v>15211</v>
      </c>
      <c r="BC4" s="11">
        <v>15212</v>
      </c>
      <c r="BD4" s="11">
        <v>15232</v>
      </c>
      <c r="BE4" s="11">
        <v>15214</v>
      </c>
      <c r="BF4" s="11">
        <v>15214</v>
      </c>
      <c r="BG4" s="11">
        <v>15233</v>
      </c>
      <c r="BH4" s="11">
        <v>15234</v>
      </c>
      <c r="BI4" s="11">
        <v>15215</v>
      </c>
      <c r="BJ4" s="21"/>
    </row>
    <row r="5" spans="1:62" ht="15.6" x14ac:dyDescent="0.3">
      <c r="A5" s="3">
        <v>45992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s="13" t="s">
        <v>651</v>
      </c>
      <c r="AQ5" s="14" t="s">
        <v>652</v>
      </c>
      <c r="AR5" s="13" t="s">
        <v>653</v>
      </c>
      <c r="AS5" s="13" t="s">
        <v>654</v>
      </c>
      <c r="AT5" s="13" t="s">
        <v>655</v>
      </c>
      <c r="AU5" s="13" t="s">
        <v>656</v>
      </c>
      <c r="AV5" s="13" t="s">
        <v>657</v>
      </c>
      <c r="AW5" s="13" t="s">
        <v>658</v>
      </c>
      <c r="AX5" s="13" t="s">
        <v>659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21"/>
    </row>
    <row r="6" spans="1:62" ht="15.6" x14ac:dyDescent="0.3">
      <c r="A6" s="4"/>
      <c r="B6" s="5"/>
      <c r="C6" s="5"/>
      <c r="D6" s="6" t="s">
        <v>0</v>
      </c>
      <c r="E6" s="15" t="s">
        <v>660</v>
      </c>
      <c r="F6" s="15" t="s">
        <v>661</v>
      </c>
      <c r="G6" s="15" t="s">
        <v>662</v>
      </c>
      <c r="H6" s="15" t="s">
        <v>663</v>
      </c>
      <c r="I6" s="15" t="s">
        <v>664</v>
      </c>
      <c r="J6" s="15" t="s">
        <v>665</v>
      </c>
      <c r="K6" s="15" t="s">
        <v>666</v>
      </c>
      <c r="L6" s="15" t="s">
        <v>667</v>
      </c>
      <c r="M6" s="15" t="s">
        <v>668</v>
      </c>
      <c r="N6" s="15" t="s">
        <v>669</v>
      </c>
      <c r="O6" s="15" t="s">
        <v>670</v>
      </c>
      <c r="P6" s="15" t="s">
        <v>671</v>
      </c>
      <c r="Q6" s="15" t="s">
        <v>672</v>
      </c>
      <c r="R6" s="15" t="s">
        <v>673</v>
      </c>
      <c r="S6" s="15" t="s">
        <v>674</v>
      </c>
      <c r="T6" s="15" t="s">
        <v>675</v>
      </c>
      <c r="U6" s="15" t="s">
        <v>676</v>
      </c>
      <c r="V6" s="15" t="s">
        <v>677</v>
      </c>
      <c r="W6" s="15" t="s">
        <v>678</v>
      </c>
      <c r="X6" s="15" t="s">
        <v>679</v>
      </c>
      <c r="Y6" s="15" t="s">
        <v>680</v>
      </c>
      <c r="Z6" s="15" t="s">
        <v>681</v>
      </c>
      <c r="AA6" s="15" t="s">
        <v>682</v>
      </c>
      <c r="AB6" s="15" t="s">
        <v>683</v>
      </c>
      <c r="AC6" s="15" t="s">
        <v>684</v>
      </c>
      <c r="AD6" s="15" t="s">
        <v>685</v>
      </c>
      <c r="AE6" s="15" t="s">
        <v>686</v>
      </c>
      <c r="AF6" s="15" t="s">
        <v>687</v>
      </c>
      <c r="AG6" s="15" t="s">
        <v>688</v>
      </c>
      <c r="AH6" s="15" t="s">
        <v>689</v>
      </c>
      <c r="AI6" s="15" t="s">
        <v>690</v>
      </c>
      <c r="AJ6" s="15" t="s">
        <v>691</v>
      </c>
      <c r="AK6" s="15" t="s">
        <v>692</v>
      </c>
      <c r="AL6" s="15" t="s">
        <v>693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21"/>
    </row>
    <row r="7" spans="1:62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315136.30499999999</v>
      </c>
      <c r="F7" s="7">
        <v>37975.527999999998</v>
      </c>
      <c r="G7" s="7">
        <v>35418.345000000001</v>
      </c>
      <c r="H7" s="7">
        <v>11.384</v>
      </c>
      <c r="I7" s="7">
        <v>5043.6350000000002</v>
      </c>
      <c r="J7" s="7">
        <v>22292.409</v>
      </c>
      <c r="K7" s="7">
        <v>4662.7070000000003</v>
      </c>
      <c r="L7" s="7">
        <v>311941.05800000002</v>
      </c>
      <c r="M7" s="7">
        <v>77513.634999999995</v>
      </c>
      <c r="N7" s="7">
        <v>2.8000000000000001E-2</v>
      </c>
      <c r="O7" s="7">
        <v>2126.6999999999998</v>
      </c>
      <c r="P7" s="7">
        <v>108.142</v>
      </c>
      <c r="Q7" s="7">
        <v>1164.633</v>
      </c>
      <c r="R7" s="7">
        <v>401.67099999999999</v>
      </c>
      <c r="S7" s="7">
        <v>11714.245000000001</v>
      </c>
      <c r="T7" s="7">
        <v>1.4999999999999999E-2</v>
      </c>
      <c r="U7" s="7">
        <v>3836.511</v>
      </c>
      <c r="V7" s="7">
        <v>4978.7449999999999</v>
      </c>
      <c r="W7" s="7">
        <v>9774.1090000000004</v>
      </c>
      <c r="X7" s="7">
        <v>9993.8070000000007</v>
      </c>
      <c r="Y7" s="7">
        <v>83364.778999999995</v>
      </c>
      <c r="Z7" s="7">
        <v>6632.6019999999999</v>
      </c>
      <c r="AA7" s="7">
        <v>47391.684999999998</v>
      </c>
      <c r="AB7" s="7">
        <v>67810.410999999993</v>
      </c>
      <c r="AC7" s="7">
        <v>7159.4930000000004</v>
      </c>
      <c r="AD7" s="7">
        <v>3043.3159999999998</v>
      </c>
      <c r="AE7" s="7">
        <v>280144.18199999997</v>
      </c>
      <c r="AF7" s="7">
        <v>134486.65299999999</v>
      </c>
      <c r="AG7" s="7">
        <v>19194.975999999999</v>
      </c>
      <c r="AH7" s="7">
        <v>681467.71499999997</v>
      </c>
      <c r="AI7" s="7">
        <v>191380.666</v>
      </c>
      <c r="AJ7" s="7">
        <v>31667.435000000001</v>
      </c>
      <c r="AK7" s="7">
        <v>160525.05300000001</v>
      </c>
      <c r="AL7" s="7">
        <v>85645.521999999997</v>
      </c>
      <c r="AM7" s="7">
        <v>1029.3589999999999</v>
      </c>
      <c r="AN7" s="7">
        <v>61570.343999999997</v>
      </c>
      <c r="AO7" s="7">
        <v>7360.8289999999997</v>
      </c>
      <c r="AP7" s="7">
        <v>3383.145</v>
      </c>
      <c r="AQ7" s="7">
        <v>66776.884000000005</v>
      </c>
      <c r="AR7" s="7">
        <v>1240.1020000000001</v>
      </c>
      <c r="AS7" s="7">
        <v>191.428</v>
      </c>
      <c r="AT7" s="7">
        <v>0</v>
      </c>
      <c r="AU7" s="7">
        <v>6859.009</v>
      </c>
      <c r="AV7" s="7">
        <v>2973.2649999999999</v>
      </c>
      <c r="AW7" s="7">
        <v>7532.0630000000001</v>
      </c>
      <c r="AX7" s="7">
        <v>12730.3</v>
      </c>
      <c r="AY7" s="7">
        <v>3826.3380000000002</v>
      </c>
      <c r="AZ7" s="7">
        <v>29558.455999999998</v>
      </c>
      <c r="BA7" s="7">
        <v>12887.852000000001</v>
      </c>
      <c r="BB7" s="7">
        <v>4561.8580000000002</v>
      </c>
      <c r="BC7" s="7">
        <v>2681.212</v>
      </c>
      <c r="BD7" s="7">
        <v>26863.778999999999</v>
      </c>
      <c r="BE7" s="7">
        <v>1939.5830000000001</v>
      </c>
      <c r="BF7" s="7">
        <v>1939.5830000000001</v>
      </c>
      <c r="BG7" s="7">
        <v>9566.1039999999994</v>
      </c>
      <c r="BH7" s="7">
        <v>22183.612000000001</v>
      </c>
      <c r="BI7" s="7">
        <v>597.59500000000003</v>
      </c>
      <c r="BJ7" s="21"/>
    </row>
    <row r="8" spans="1:62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123170.451</v>
      </c>
      <c r="F8" s="7">
        <v>14990.955</v>
      </c>
      <c r="G8" s="7">
        <v>11809.296</v>
      </c>
      <c r="H8" s="7">
        <v>2044.4179999999999</v>
      </c>
      <c r="I8" s="7">
        <v>3704.6959999999999</v>
      </c>
      <c r="J8" s="7">
        <v>7312.2920000000004</v>
      </c>
      <c r="K8" s="7">
        <v>-0.69399999999999995</v>
      </c>
      <c r="L8" s="7">
        <v>183889.14199999999</v>
      </c>
      <c r="M8" s="7">
        <v>37960.122000000003</v>
      </c>
      <c r="N8" s="7">
        <v>0</v>
      </c>
      <c r="O8" s="7">
        <v>157.75200000000001</v>
      </c>
      <c r="P8" s="7">
        <v>382.50099999999998</v>
      </c>
      <c r="Q8" s="7">
        <v>66.671000000000006</v>
      </c>
      <c r="R8" s="7">
        <v>269.49900000000002</v>
      </c>
      <c r="S8" s="7">
        <v>3764.846</v>
      </c>
      <c r="T8" s="7">
        <v>0</v>
      </c>
      <c r="U8" s="7">
        <v>0</v>
      </c>
      <c r="V8" s="7">
        <v>996.07299999999998</v>
      </c>
      <c r="W8" s="7">
        <v>3121.402</v>
      </c>
      <c r="X8" s="7">
        <v>666.83399999999995</v>
      </c>
      <c r="Y8" s="7">
        <v>43921.597999999998</v>
      </c>
      <c r="Z8" s="7">
        <v>2330.1390000000001</v>
      </c>
      <c r="AA8" s="7">
        <v>19035.16</v>
      </c>
      <c r="AB8" s="7">
        <v>3599.7950000000001</v>
      </c>
      <c r="AC8" s="7">
        <v>3129.1210000000001</v>
      </c>
      <c r="AD8" s="7">
        <v>512.38599999999997</v>
      </c>
      <c r="AE8" s="7">
        <v>97175.501999999993</v>
      </c>
      <c r="AF8" s="7">
        <v>48314.644999999997</v>
      </c>
      <c r="AG8" s="7">
        <v>2742.991</v>
      </c>
      <c r="AH8" s="7">
        <v>304073.80599999998</v>
      </c>
      <c r="AI8" s="7">
        <v>69706.626999999993</v>
      </c>
      <c r="AJ8" s="7">
        <v>11276.573</v>
      </c>
      <c r="AK8" s="7">
        <v>65869.854000000007</v>
      </c>
      <c r="AL8" s="7">
        <v>33346.248</v>
      </c>
      <c r="AM8" s="7">
        <v>0</v>
      </c>
      <c r="AN8" s="7">
        <v>21950.996999999999</v>
      </c>
      <c r="AO8" s="7">
        <v>2653.357</v>
      </c>
      <c r="AP8" s="7">
        <v>7162.7290000000003</v>
      </c>
      <c r="AQ8" s="7">
        <v>17588.857</v>
      </c>
      <c r="AR8" s="7">
        <v>1857.7619999999999</v>
      </c>
      <c r="AS8" s="7">
        <v>49.378</v>
      </c>
      <c r="AT8" s="7">
        <v>0</v>
      </c>
      <c r="AU8" s="7">
        <v>3294.2919999999999</v>
      </c>
      <c r="AV8" s="7">
        <v>5235.8010000000004</v>
      </c>
      <c r="AW8" s="7">
        <v>9823.6440000000002</v>
      </c>
      <c r="AX8" s="7">
        <v>798.13</v>
      </c>
      <c r="AY8" s="7">
        <v>342.85</v>
      </c>
      <c r="AZ8" s="7">
        <v>1800.51</v>
      </c>
      <c r="BA8" s="7">
        <v>608.26400000000001</v>
      </c>
      <c r="BB8" s="7">
        <v>949.78499999999997</v>
      </c>
      <c r="BC8" s="7">
        <v>265.57</v>
      </c>
      <c r="BD8" s="7">
        <v>2265.0369999999998</v>
      </c>
      <c r="BE8" s="7">
        <v>293.08499999999998</v>
      </c>
      <c r="BF8" s="7">
        <v>293.08499999999998</v>
      </c>
      <c r="BG8" s="7">
        <v>770.85199999999998</v>
      </c>
      <c r="BH8" s="7">
        <v>7967.732</v>
      </c>
      <c r="BI8" s="7">
        <v>52.072000000000003</v>
      </c>
      <c r="BJ8" s="21"/>
    </row>
    <row r="9" spans="1:62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175028.87</v>
      </c>
      <c r="F9" s="7">
        <v>10425.281000000001</v>
      </c>
      <c r="G9" s="7">
        <v>16442.420999999998</v>
      </c>
      <c r="H9" s="7">
        <v>29359.9</v>
      </c>
      <c r="I9" s="7">
        <v>355.48899999999998</v>
      </c>
      <c r="J9" s="7">
        <v>9652.2469999999994</v>
      </c>
      <c r="K9" s="7">
        <v>2199.2359999999999</v>
      </c>
      <c r="L9" s="7">
        <v>177597.655</v>
      </c>
      <c r="M9" s="7">
        <v>21119.62</v>
      </c>
      <c r="N9" s="7">
        <v>53.598999999999997</v>
      </c>
      <c r="O9" s="7">
        <v>892.91</v>
      </c>
      <c r="P9" s="7">
        <v>387.66300000000001</v>
      </c>
      <c r="Q9" s="7">
        <v>558.9</v>
      </c>
      <c r="R9" s="7">
        <v>420.85899999999998</v>
      </c>
      <c r="S9" s="7">
        <v>4568.0150000000003</v>
      </c>
      <c r="T9" s="7">
        <v>239.37200000000001</v>
      </c>
      <c r="U9" s="7">
        <v>1091.1120000000001</v>
      </c>
      <c r="V9" s="7">
        <v>2228.3130000000001</v>
      </c>
      <c r="W9" s="7">
        <v>3064.1089999999999</v>
      </c>
      <c r="X9" s="7">
        <v>1543.018</v>
      </c>
      <c r="Y9" s="7">
        <v>94038.998999999996</v>
      </c>
      <c r="Z9" s="7">
        <v>3871.17</v>
      </c>
      <c r="AA9" s="7">
        <v>27447.797999999999</v>
      </c>
      <c r="AB9" s="7">
        <v>33533.258999999998</v>
      </c>
      <c r="AC9" s="7">
        <v>1845.9749999999999</v>
      </c>
      <c r="AD9" s="7">
        <v>2848.0230000000001</v>
      </c>
      <c r="AE9" s="7">
        <v>199781.42600000001</v>
      </c>
      <c r="AF9" s="7">
        <v>39675.017999999996</v>
      </c>
      <c r="AG9" s="7">
        <v>14470.553</v>
      </c>
      <c r="AH9" s="7">
        <v>380570.90700000001</v>
      </c>
      <c r="AI9" s="7">
        <v>50164.580999999998</v>
      </c>
      <c r="AJ9" s="7">
        <v>17527.675999999999</v>
      </c>
      <c r="AK9" s="7">
        <v>135980.20600000001</v>
      </c>
      <c r="AL9" s="7">
        <v>61647.343999999997</v>
      </c>
      <c r="AM9" s="7">
        <v>559.53899999999999</v>
      </c>
      <c r="AN9" s="7">
        <v>44201.565999999999</v>
      </c>
      <c r="AO9" s="7">
        <v>4973.5420000000004</v>
      </c>
      <c r="AP9" s="7">
        <v>0</v>
      </c>
      <c r="AQ9" s="7">
        <v>5130.1660000000002</v>
      </c>
      <c r="AR9" s="7">
        <v>0</v>
      </c>
      <c r="AS9" s="7">
        <v>11.739000000000001</v>
      </c>
      <c r="AT9" s="7">
        <v>0</v>
      </c>
      <c r="AU9" s="7">
        <v>0</v>
      </c>
      <c r="AV9" s="7">
        <v>0</v>
      </c>
      <c r="AW9" s="7">
        <v>0</v>
      </c>
      <c r="AX9" s="7">
        <v>3353.1550000000002</v>
      </c>
      <c r="AY9" s="7">
        <v>317.97899999999998</v>
      </c>
      <c r="AZ9" s="7">
        <v>1522.7370000000001</v>
      </c>
      <c r="BA9" s="7">
        <v>0</v>
      </c>
      <c r="BB9" s="7">
        <v>286.339</v>
      </c>
      <c r="BC9" s="7">
        <v>191.52099999999999</v>
      </c>
      <c r="BD9" s="7">
        <v>1925.489</v>
      </c>
      <c r="BE9" s="7">
        <v>83.563000000000002</v>
      </c>
      <c r="BF9" s="7">
        <v>83.563000000000002</v>
      </c>
      <c r="BG9" s="7">
        <v>651.52099999999996</v>
      </c>
      <c r="BH9" s="7">
        <v>8858.732</v>
      </c>
      <c r="BI9" s="7">
        <v>68.772999999999996</v>
      </c>
      <c r="BJ9" s="21"/>
    </row>
    <row r="10" spans="1:62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606462.14500000002</v>
      </c>
      <c r="F10" s="7">
        <v>99913.942999999999</v>
      </c>
      <c r="G10" s="7">
        <v>0</v>
      </c>
      <c r="H10" s="7">
        <v>0</v>
      </c>
      <c r="I10" s="7">
        <v>3288.24</v>
      </c>
      <c r="J10" s="7">
        <v>0</v>
      </c>
      <c r="K10" s="7">
        <v>0</v>
      </c>
      <c r="L10" s="7">
        <v>1326002.9310000001</v>
      </c>
      <c r="M10" s="7">
        <v>27840.284</v>
      </c>
      <c r="N10" s="7">
        <v>0</v>
      </c>
      <c r="O10" s="7">
        <v>8511.6270000000004</v>
      </c>
      <c r="P10" s="7">
        <v>0</v>
      </c>
      <c r="Q10" s="7">
        <v>4343.027</v>
      </c>
      <c r="R10" s="7">
        <v>1273.569</v>
      </c>
      <c r="S10" s="7">
        <v>31608.331999999999</v>
      </c>
      <c r="T10" s="7">
        <v>0</v>
      </c>
      <c r="U10" s="7">
        <v>0</v>
      </c>
      <c r="V10" s="7">
        <v>0</v>
      </c>
      <c r="W10" s="7">
        <v>8997.2710000000006</v>
      </c>
      <c r="X10" s="7">
        <v>30299.269</v>
      </c>
      <c r="Y10" s="7">
        <v>294712.50300000003</v>
      </c>
      <c r="Z10" s="7">
        <v>43448.254000000001</v>
      </c>
      <c r="AA10" s="7">
        <v>0</v>
      </c>
      <c r="AB10" s="7">
        <v>251971.36900000001</v>
      </c>
      <c r="AC10" s="7">
        <v>20354.376</v>
      </c>
      <c r="AD10" s="7">
        <v>13351.704</v>
      </c>
      <c r="AE10" s="7">
        <v>834095.848</v>
      </c>
      <c r="AF10" s="7">
        <v>642891.42299999995</v>
      </c>
      <c r="AG10" s="7">
        <v>78056.558000000005</v>
      </c>
      <c r="AH10" s="7">
        <v>2316312.6839999999</v>
      </c>
      <c r="AI10" s="7">
        <v>956134.24699999997</v>
      </c>
      <c r="AJ10" s="7">
        <v>220441.726</v>
      </c>
      <c r="AK10" s="7">
        <v>6960114.0439999998</v>
      </c>
      <c r="AL10" s="7">
        <v>3678956.2850000001</v>
      </c>
      <c r="AM10" s="7">
        <v>0</v>
      </c>
      <c r="AN10" s="7">
        <v>2452045.9929999998</v>
      </c>
      <c r="AO10" s="7">
        <v>26669.673999999999</v>
      </c>
      <c r="AP10" s="7">
        <v>0</v>
      </c>
      <c r="AQ10" s="7">
        <v>251588.06400000001</v>
      </c>
      <c r="AR10" s="7">
        <v>0</v>
      </c>
      <c r="AS10" s="7">
        <v>319.96600000000001</v>
      </c>
      <c r="AT10" s="7">
        <v>0</v>
      </c>
      <c r="AU10" s="7">
        <v>0</v>
      </c>
      <c r="AV10" s="7">
        <v>0</v>
      </c>
      <c r="AW10" s="7">
        <v>0</v>
      </c>
      <c r="AX10" s="7">
        <v>37651.440999999999</v>
      </c>
      <c r="AY10" s="7">
        <v>0</v>
      </c>
      <c r="AZ10" s="7">
        <v>0</v>
      </c>
      <c r="BA10" s="7">
        <v>29795.929</v>
      </c>
      <c r="BB10" s="7">
        <v>10164.656000000001</v>
      </c>
      <c r="BC10" s="7">
        <v>0</v>
      </c>
      <c r="BD10" s="7">
        <v>0</v>
      </c>
      <c r="BE10" s="7">
        <v>3026.4670000000001</v>
      </c>
      <c r="BF10" s="7">
        <v>3026.4670000000001</v>
      </c>
      <c r="BG10" s="7">
        <v>0</v>
      </c>
      <c r="BH10" s="7">
        <v>130229.25599999999</v>
      </c>
      <c r="BI10" s="7">
        <v>0</v>
      </c>
      <c r="BJ10" s="21"/>
    </row>
    <row r="11" spans="1:62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21"/>
    </row>
    <row r="12" spans="1:62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55929.302000000003</v>
      </c>
      <c r="F13" s="7">
        <v>12342.439</v>
      </c>
      <c r="G13" s="7">
        <v>4603.4120000000003</v>
      </c>
      <c r="H13" s="7">
        <v>8.6129999999999995</v>
      </c>
      <c r="I13" s="7">
        <v>573.29499999999996</v>
      </c>
      <c r="J13" s="7">
        <v>3141.614</v>
      </c>
      <c r="K13" s="7">
        <v>0</v>
      </c>
      <c r="L13" s="7">
        <v>96711.111000000004</v>
      </c>
      <c r="M13" s="7">
        <v>22771.499</v>
      </c>
      <c r="N13" s="7">
        <v>0</v>
      </c>
      <c r="O13" s="7">
        <v>19.744</v>
      </c>
      <c r="P13" s="7">
        <v>39.475999999999999</v>
      </c>
      <c r="Q13" s="7">
        <v>20.684999999999999</v>
      </c>
      <c r="R13" s="7">
        <v>26.5</v>
      </c>
      <c r="S13" s="7">
        <v>3008.5790000000002</v>
      </c>
      <c r="T13" s="7">
        <v>0</v>
      </c>
      <c r="U13" s="7">
        <v>0</v>
      </c>
      <c r="V13" s="7">
        <v>341.66399999999999</v>
      </c>
      <c r="W13" s="7">
        <v>1882.8019999999999</v>
      </c>
      <c r="X13" s="7">
        <v>928.78800000000001</v>
      </c>
      <c r="Y13" s="7">
        <v>24753.775000000001</v>
      </c>
      <c r="Z13" s="7">
        <v>602.34199999999998</v>
      </c>
      <c r="AA13" s="7">
        <v>7173.81</v>
      </c>
      <c r="AB13" s="7">
        <v>385.80599999999998</v>
      </c>
      <c r="AC13" s="7">
        <v>2003.0409999999999</v>
      </c>
      <c r="AD13" s="7">
        <v>165.982</v>
      </c>
      <c r="AE13" s="7">
        <v>57684.23</v>
      </c>
      <c r="AF13" s="7">
        <v>47089.756000000001</v>
      </c>
      <c r="AG13" s="7">
        <v>671.76400000000001</v>
      </c>
      <c r="AH13" s="7">
        <v>181486.541</v>
      </c>
      <c r="AI13" s="7">
        <v>70226.52</v>
      </c>
      <c r="AJ13" s="7">
        <v>3153.268</v>
      </c>
      <c r="AK13" s="7">
        <v>120829.321</v>
      </c>
      <c r="AL13" s="7">
        <v>63867.601000000002</v>
      </c>
      <c r="AM13" s="7">
        <v>0</v>
      </c>
      <c r="AN13" s="7">
        <v>42568.131999999998</v>
      </c>
      <c r="AO13" s="7">
        <v>2093.4560000000001</v>
      </c>
      <c r="AP13" s="7">
        <v>0</v>
      </c>
      <c r="AQ13" s="7">
        <v>15456.924999999999</v>
      </c>
      <c r="AR13" s="7">
        <v>0</v>
      </c>
      <c r="AS13" s="7">
        <v>22.472000000000001</v>
      </c>
      <c r="AT13" s="7">
        <v>0</v>
      </c>
      <c r="AU13" s="7">
        <v>0</v>
      </c>
      <c r="AV13" s="7">
        <v>0</v>
      </c>
      <c r="AW13" s="7">
        <v>0</v>
      </c>
      <c r="AX13" s="7">
        <v>1154.134</v>
      </c>
      <c r="AY13" s="7">
        <v>35.164999999999999</v>
      </c>
      <c r="AZ13" s="7">
        <v>0</v>
      </c>
      <c r="BA13" s="7">
        <v>913.33799999999997</v>
      </c>
      <c r="BB13" s="7">
        <v>793.74400000000003</v>
      </c>
      <c r="BC13" s="7">
        <v>22.957000000000001</v>
      </c>
      <c r="BD13" s="7">
        <v>0</v>
      </c>
      <c r="BE13" s="7">
        <v>235.124</v>
      </c>
      <c r="BF13" s="7">
        <v>235.124</v>
      </c>
      <c r="BG13" s="7">
        <v>0</v>
      </c>
      <c r="BH13" s="7">
        <v>1832.0029999999999</v>
      </c>
      <c r="BI13" s="7">
        <v>7.899</v>
      </c>
      <c r="BJ13" s="21"/>
    </row>
    <row r="14" spans="1:62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21"/>
    </row>
    <row r="15" spans="1:62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1279232.365</v>
      </c>
      <c r="F16" s="7">
        <v>102501.024</v>
      </c>
      <c r="G16" s="7">
        <v>221592.26500000001</v>
      </c>
      <c r="H16" s="7">
        <v>0</v>
      </c>
      <c r="I16" s="7">
        <v>31073.697</v>
      </c>
      <c r="J16" s="7">
        <v>146942.198</v>
      </c>
      <c r="K16" s="7">
        <v>0</v>
      </c>
      <c r="L16" s="7">
        <v>370956.35700000002</v>
      </c>
      <c r="M16" s="7">
        <v>400084.16399999999</v>
      </c>
      <c r="N16" s="7">
        <v>0</v>
      </c>
      <c r="O16" s="7">
        <v>0</v>
      </c>
      <c r="P16" s="7">
        <v>15545.447</v>
      </c>
      <c r="Q16" s="7">
        <v>935.44100000000003</v>
      </c>
      <c r="R16" s="7">
        <v>1364.981</v>
      </c>
      <c r="S16" s="7">
        <v>30992.52</v>
      </c>
      <c r="T16" s="7">
        <v>0</v>
      </c>
      <c r="U16" s="7">
        <v>0</v>
      </c>
      <c r="V16" s="7">
        <v>21541.696</v>
      </c>
      <c r="W16" s="7">
        <v>34246.512999999999</v>
      </c>
      <c r="X16" s="7">
        <v>0</v>
      </c>
      <c r="Y16" s="7">
        <v>261038.554</v>
      </c>
      <c r="Z16" s="7">
        <v>0</v>
      </c>
      <c r="AA16" s="7">
        <v>340147.78600000002</v>
      </c>
      <c r="AB16" s="7">
        <v>0</v>
      </c>
      <c r="AC16" s="7">
        <v>13767.483</v>
      </c>
      <c r="AD16" s="7">
        <v>7489.0079999999998</v>
      </c>
      <c r="AE16" s="7">
        <v>670756.44200000004</v>
      </c>
      <c r="AF16" s="7">
        <v>0</v>
      </c>
      <c r="AG16" s="7">
        <v>29037.505000000001</v>
      </c>
      <c r="AH16" s="7">
        <v>1431013.7450000001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18073.434000000001</v>
      </c>
      <c r="AP16" s="7">
        <v>0</v>
      </c>
      <c r="AQ16" s="7">
        <v>0</v>
      </c>
      <c r="AR16" s="7">
        <v>0</v>
      </c>
      <c r="AS16" s="7">
        <v>902.93600000000004</v>
      </c>
      <c r="AT16" s="7">
        <v>0</v>
      </c>
      <c r="AU16" s="7">
        <v>27484.861000000001</v>
      </c>
      <c r="AV16" s="7">
        <v>0</v>
      </c>
      <c r="AW16" s="7">
        <v>0</v>
      </c>
      <c r="AX16" s="7">
        <v>0</v>
      </c>
      <c r="AY16" s="7">
        <v>13210.056</v>
      </c>
      <c r="AZ16" s="7">
        <v>0</v>
      </c>
      <c r="BA16" s="7">
        <v>0</v>
      </c>
      <c r="BB16" s="7">
        <v>7227.09</v>
      </c>
      <c r="BC16" s="7">
        <v>7540.3310000000001</v>
      </c>
      <c r="BD16" s="7">
        <v>0</v>
      </c>
      <c r="BE16" s="7">
        <v>1952.693</v>
      </c>
      <c r="BF16" s="7">
        <v>1952.693</v>
      </c>
      <c r="BG16" s="7">
        <v>0</v>
      </c>
      <c r="BH16" s="7">
        <v>0</v>
      </c>
      <c r="BI16" s="7">
        <v>2272.634</v>
      </c>
      <c r="BJ16" s="21"/>
    </row>
    <row r="17" spans="1:62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21"/>
    </row>
    <row r="18" spans="1:62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659138.40700000001</v>
      </c>
      <c r="F18" s="7">
        <v>53465.173000000003</v>
      </c>
      <c r="G18" s="7">
        <v>112980.175</v>
      </c>
      <c r="H18" s="7">
        <v>0</v>
      </c>
      <c r="I18" s="7">
        <v>15882.753000000001</v>
      </c>
      <c r="J18" s="7">
        <v>74919.380999999994</v>
      </c>
      <c r="K18" s="7">
        <v>86690.997000000003</v>
      </c>
      <c r="L18" s="7">
        <v>205116.622</v>
      </c>
      <c r="M18" s="7">
        <v>204320.96</v>
      </c>
      <c r="N18" s="7">
        <v>12369.448</v>
      </c>
      <c r="O18" s="7">
        <v>0</v>
      </c>
      <c r="P18" s="7">
        <v>0</v>
      </c>
      <c r="Q18" s="7">
        <v>1462.9590000000001</v>
      </c>
      <c r="R18" s="7">
        <v>2134.7269999999999</v>
      </c>
      <c r="S18" s="7">
        <v>16182.744000000001</v>
      </c>
      <c r="T18" s="7">
        <v>0</v>
      </c>
      <c r="U18" s="7">
        <v>69131.239000000001</v>
      </c>
      <c r="V18" s="7">
        <v>10983.165999999999</v>
      </c>
      <c r="W18" s="7">
        <v>17569.251</v>
      </c>
      <c r="X18" s="7">
        <v>0</v>
      </c>
      <c r="Y18" s="7">
        <v>136644.674</v>
      </c>
      <c r="Z18" s="7">
        <v>0</v>
      </c>
      <c r="AA18" s="7">
        <v>173426.43400000001</v>
      </c>
      <c r="AB18" s="7">
        <v>0</v>
      </c>
      <c r="AC18" s="7">
        <v>7264.7939999999999</v>
      </c>
      <c r="AD18" s="7">
        <v>3818.317</v>
      </c>
      <c r="AE18" s="7">
        <v>351018.31</v>
      </c>
      <c r="AF18" s="7">
        <v>7749.6360000000004</v>
      </c>
      <c r="AG18" s="7">
        <v>14804.95</v>
      </c>
      <c r="AH18" s="7">
        <v>758004.64800000004</v>
      </c>
      <c r="AI18" s="7">
        <v>11525.573</v>
      </c>
      <c r="AJ18" s="7">
        <v>0</v>
      </c>
      <c r="AK18" s="7">
        <v>0</v>
      </c>
      <c r="AL18" s="7">
        <v>0</v>
      </c>
      <c r="AM18" s="7">
        <v>18121.773000000001</v>
      </c>
      <c r="AN18" s="7">
        <v>0</v>
      </c>
      <c r="AO18" s="7">
        <v>9536.3359999999993</v>
      </c>
      <c r="AP18" s="7">
        <v>0</v>
      </c>
      <c r="AQ18" s="7">
        <v>3032.73</v>
      </c>
      <c r="AR18" s="7">
        <v>0</v>
      </c>
      <c r="AS18" s="7">
        <v>464.22399999999999</v>
      </c>
      <c r="AT18" s="7">
        <v>0</v>
      </c>
      <c r="AU18" s="7">
        <v>3636.9769999999999</v>
      </c>
      <c r="AV18" s="7">
        <v>0</v>
      </c>
      <c r="AW18" s="7">
        <v>0</v>
      </c>
      <c r="AX18" s="7">
        <v>0</v>
      </c>
      <c r="AY18" s="7">
        <v>6735.2280000000001</v>
      </c>
      <c r="AZ18" s="7">
        <v>0</v>
      </c>
      <c r="BA18" s="7">
        <v>0</v>
      </c>
      <c r="BB18" s="7">
        <v>3807.3040000000001</v>
      </c>
      <c r="BC18" s="7">
        <v>3844.4839999999999</v>
      </c>
      <c r="BD18" s="7">
        <v>0</v>
      </c>
      <c r="BE18" s="7">
        <v>1032.075</v>
      </c>
      <c r="BF18" s="7">
        <v>1032.075</v>
      </c>
      <c r="BG18" s="7">
        <v>0</v>
      </c>
      <c r="BH18" s="7">
        <v>0</v>
      </c>
      <c r="BI18" s="7">
        <v>1158.7170000000001</v>
      </c>
      <c r="BJ18" s="21"/>
    </row>
    <row r="19" spans="1:62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7.0410000000000004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21"/>
    </row>
    <row r="20" spans="1:62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169801.87899999999</v>
      </c>
      <c r="F20" s="7">
        <v>29639.403999999999</v>
      </c>
      <c r="G20" s="7">
        <v>0</v>
      </c>
      <c r="H20" s="7">
        <v>0</v>
      </c>
      <c r="I20" s="7">
        <v>969.41800000000001</v>
      </c>
      <c r="J20" s="7">
        <v>0</v>
      </c>
      <c r="K20" s="7">
        <v>81348.952000000005</v>
      </c>
      <c r="L20" s="7">
        <v>392956.4</v>
      </c>
      <c r="M20" s="7">
        <v>8392.7919999999995</v>
      </c>
      <c r="N20" s="7">
        <v>0</v>
      </c>
      <c r="O20" s="7">
        <v>0</v>
      </c>
      <c r="P20" s="7">
        <v>0.107</v>
      </c>
      <c r="Q20" s="7">
        <v>0</v>
      </c>
      <c r="R20" s="7">
        <v>0</v>
      </c>
      <c r="S20" s="7">
        <v>9380.7710000000006</v>
      </c>
      <c r="T20" s="7">
        <v>2478.6869999999999</v>
      </c>
      <c r="U20" s="7">
        <v>64871.256000000001</v>
      </c>
      <c r="V20" s="7">
        <v>0</v>
      </c>
      <c r="W20" s="7">
        <v>2681.5659999999998</v>
      </c>
      <c r="X20" s="7">
        <v>0</v>
      </c>
      <c r="Y20" s="7">
        <v>87201.482999999993</v>
      </c>
      <c r="Z20" s="7">
        <v>0</v>
      </c>
      <c r="AA20" s="7">
        <v>0</v>
      </c>
      <c r="AB20" s="7">
        <v>0</v>
      </c>
      <c r="AC20" s="7">
        <v>6039.8530000000001</v>
      </c>
      <c r="AD20" s="7">
        <v>0</v>
      </c>
      <c r="AE20" s="7">
        <v>221598.50399999999</v>
      </c>
      <c r="AF20" s="7">
        <v>190278.54500000001</v>
      </c>
      <c r="AG20" s="7">
        <v>0</v>
      </c>
      <c r="AH20" s="7">
        <v>686034.30200000003</v>
      </c>
      <c r="AI20" s="7">
        <v>283403.02</v>
      </c>
      <c r="AJ20" s="7">
        <v>0</v>
      </c>
      <c r="AK20" s="7">
        <v>0</v>
      </c>
      <c r="AL20" s="7">
        <v>0</v>
      </c>
      <c r="AM20" s="7">
        <v>17005.079000000002</v>
      </c>
      <c r="AN20" s="7">
        <v>0</v>
      </c>
      <c r="AO20" s="7">
        <v>7888.8580000000002</v>
      </c>
      <c r="AP20" s="7">
        <v>0</v>
      </c>
      <c r="AQ20" s="7">
        <v>74450.744999999995</v>
      </c>
      <c r="AR20" s="7">
        <v>0</v>
      </c>
      <c r="AS20" s="7">
        <v>94.84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40.6</v>
      </c>
      <c r="AZ20" s="7">
        <v>1539.143</v>
      </c>
      <c r="BA20" s="7">
        <v>0</v>
      </c>
      <c r="BB20" s="7">
        <v>3005.4090000000001</v>
      </c>
      <c r="BC20" s="7">
        <v>0</v>
      </c>
      <c r="BD20" s="7">
        <v>1946.2339999999999</v>
      </c>
      <c r="BE20" s="7">
        <v>894.01400000000001</v>
      </c>
      <c r="BF20" s="7">
        <v>894.01400000000001</v>
      </c>
      <c r="BG20" s="7">
        <v>658.54100000000005</v>
      </c>
      <c r="BH20" s="7">
        <v>0</v>
      </c>
      <c r="BI20" s="7">
        <v>0</v>
      </c>
      <c r="BJ20" s="21"/>
    </row>
    <row r="21" spans="1:62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21"/>
    </row>
    <row r="22" spans="1:62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962952.78200000001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6525.8190000000004</v>
      </c>
      <c r="F23" s="7">
        <v>0</v>
      </c>
      <c r="G23" s="7">
        <v>1656.2660000000001</v>
      </c>
      <c r="H23" s="7">
        <v>0</v>
      </c>
      <c r="I23" s="7">
        <v>0</v>
      </c>
      <c r="J23" s="7">
        <v>1270.807</v>
      </c>
      <c r="K23" s="7">
        <v>0</v>
      </c>
      <c r="L23" s="7">
        <v>4041.288</v>
      </c>
      <c r="M23" s="7">
        <v>2232.0259999999998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752.84799999999996</v>
      </c>
      <c r="AF23" s="7">
        <v>0</v>
      </c>
      <c r="AG23" s="7">
        <v>0</v>
      </c>
      <c r="AH23" s="7">
        <v>3800.377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43118.36</v>
      </c>
      <c r="F24" s="7">
        <v>8213.5720000000001</v>
      </c>
      <c r="G24" s="7">
        <v>6461.9449999999997</v>
      </c>
      <c r="H24" s="7">
        <v>0</v>
      </c>
      <c r="I24" s="7">
        <v>1297.4079999999999</v>
      </c>
      <c r="J24" s="7">
        <v>4995.5</v>
      </c>
      <c r="K24" s="7">
        <v>0</v>
      </c>
      <c r="L24" s="7">
        <v>44090.097999999998</v>
      </c>
      <c r="M24" s="7">
        <v>15127.628000000001</v>
      </c>
      <c r="N24" s="7">
        <v>0</v>
      </c>
      <c r="O24" s="7">
        <v>134.61799999999999</v>
      </c>
      <c r="P24" s="7">
        <v>0</v>
      </c>
      <c r="Q24" s="7">
        <v>40.642000000000003</v>
      </c>
      <c r="R24" s="7">
        <v>0</v>
      </c>
      <c r="S24" s="7">
        <v>2393.2150000000001</v>
      </c>
      <c r="T24" s="7">
        <v>0</v>
      </c>
      <c r="U24" s="7">
        <v>0</v>
      </c>
      <c r="V24" s="7">
        <v>919.72699999999998</v>
      </c>
      <c r="W24" s="7">
        <v>2074.3980000000001</v>
      </c>
      <c r="X24" s="7">
        <v>1275.462</v>
      </c>
      <c r="Y24" s="7">
        <v>18749.863000000001</v>
      </c>
      <c r="Z24" s="7">
        <v>371.45699999999999</v>
      </c>
      <c r="AA24" s="7">
        <v>6586.116</v>
      </c>
      <c r="AB24" s="7">
        <v>2963.7359999999999</v>
      </c>
      <c r="AC24" s="7">
        <v>1369.933</v>
      </c>
      <c r="AD24" s="7">
        <v>166.57599999999999</v>
      </c>
      <c r="AE24" s="7">
        <v>47818.216</v>
      </c>
      <c r="AF24" s="7">
        <v>7446.9380000000001</v>
      </c>
      <c r="AG24" s="7">
        <v>1250.9259999999999</v>
      </c>
      <c r="AH24" s="7">
        <v>118196.45699999999</v>
      </c>
      <c r="AI24" s="7">
        <v>11075.388999999999</v>
      </c>
      <c r="AJ24" s="7">
        <v>1806.231</v>
      </c>
      <c r="AK24" s="7">
        <v>794049.83400000003</v>
      </c>
      <c r="AL24" s="7">
        <v>419716.489</v>
      </c>
      <c r="AM24" s="7">
        <v>0</v>
      </c>
      <c r="AN24" s="7">
        <v>279743.50699999998</v>
      </c>
      <c r="AO24" s="7">
        <v>872.79300000000001</v>
      </c>
      <c r="AP24" s="7">
        <v>0</v>
      </c>
      <c r="AQ24" s="7">
        <v>2914.2719999999999</v>
      </c>
      <c r="AR24" s="7">
        <v>0</v>
      </c>
      <c r="AS24" s="7">
        <v>8.2460000000000004</v>
      </c>
      <c r="AT24" s="7">
        <v>0</v>
      </c>
      <c r="AU24" s="7">
        <v>90.394999999999996</v>
      </c>
      <c r="AV24" s="7">
        <v>0</v>
      </c>
      <c r="AW24" s="7">
        <v>0</v>
      </c>
      <c r="AX24" s="7">
        <v>1584.9549999999999</v>
      </c>
      <c r="AY24" s="7">
        <v>28.239000000000001</v>
      </c>
      <c r="AZ24" s="7">
        <v>0</v>
      </c>
      <c r="BA24" s="7">
        <v>1254.2739999999999</v>
      </c>
      <c r="BB24" s="7">
        <v>340.10700000000003</v>
      </c>
      <c r="BC24" s="7">
        <v>16.119</v>
      </c>
      <c r="BD24" s="7">
        <v>0</v>
      </c>
      <c r="BE24" s="7">
        <v>124.236</v>
      </c>
      <c r="BF24" s="7">
        <v>124.236</v>
      </c>
      <c r="BG24" s="7">
        <v>0</v>
      </c>
      <c r="BH24" s="7">
        <v>26126.004000000001</v>
      </c>
      <c r="BI24" s="7">
        <v>4.8579999999999997</v>
      </c>
      <c r="BJ24" s="21"/>
    </row>
    <row r="25" spans="1:62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5834.509</v>
      </c>
      <c r="F41" s="7">
        <v>840.81100000000004</v>
      </c>
      <c r="G41" s="7">
        <v>1265.777</v>
      </c>
      <c r="H41" s="7">
        <v>0</v>
      </c>
      <c r="I41" s="7">
        <v>122.187</v>
      </c>
      <c r="J41" s="7">
        <v>735.80399999999997</v>
      </c>
      <c r="K41" s="7">
        <v>2249.1909999999998</v>
      </c>
      <c r="L41" s="7">
        <v>2234.8389999999999</v>
      </c>
      <c r="M41" s="7">
        <v>2808.5030000000002</v>
      </c>
      <c r="N41" s="7">
        <v>0</v>
      </c>
      <c r="O41" s="7">
        <v>0</v>
      </c>
      <c r="P41" s="7">
        <v>0.107</v>
      </c>
      <c r="Q41" s="7">
        <v>0</v>
      </c>
      <c r="R41" s="7">
        <v>0</v>
      </c>
      <c r="S41" s="7">
        <v>376.18</v>
      </c>
      <c r="T41" s="7">
        <v>0</v>
      </c>
      <c r="U41" s="7">
        <v>1793.604</v>
      </c>
      <c r="V41" s="7">
        <v>183.416</v>
      </c>
      <c r="W41" s="7">
        <v>242.952</v>
      </c>
      <c r="X41" s="7">
        <v>0</v>
      </c>
      <c r="Y41" s="7">
        <v>961.98400000000004</v>
      </c>
      <c r="Z41" s="7">
        <v>0</v>
      </c>
      <c r="AA41" s="7">
        <v>1990.191</v>
      </c>
      <c r="AB41" s="7">
        <v>0</v>
      </c>
      <c r="AC41" s="7">
        <v>129.92599999999999</v>
      </c>
      <c r="AD41" s="7">
        <v>0</v>
      </c>
      <c r="AE41" s="7">
        <v>938.23500000000001</v>
      </c>
      <c r="AF41" s="7">
        <v>0</v>
      </c>
      <c r="AG41" s="7">
        <v>0</v>
      </c>
      <c r="AH41" s="7">
        <v>5192.9989999999998</v>
      </c>
      <c r="AI41" s="7">
        <v>0</v>
      </c>
      <c r="AJ41" s="7">
        <v>0</v>
      </c>
      <c r="AK41" s="7">
        <v>0</v>
      </c>
      <c r="AL41" s="7">
        <v>0</v>
      </c>
      <c r="AM41" s="7">
        <v>470.16800000000001</v>
      </c>
      <c r="AN41" s="7">
        <v>0</v>
      </c>
      <c r="AO41" s="7">
        <v>145.61799999999999</v>
      </c>
      <c r="AP41" s="7">
        <v>0</v>
      </c>
      <c r="AQ41" s="7">
        <v>0</v>
      </c>
      <c r="AR41" s="7">
        <v>0</v>
      </c>
      <c r="AS41" s="7">
        <v>3.2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121.294</v>
      </c>
      <c r="AZ41" s="7">
        <v>0</v>
      </c>
      <c r="BA41" s="7">
        <v>0</v>
      </c>
      <c r="BB41" s="7">
        <v>55.578000000000003</v>
      </c>
      <c r="BC41" s="7">
        <v>83.335999999999999</v>
      </c>
      <c r="BD41" s="7">
        <v>0</v>
      </c>
      <c r="BE41" s="7">
        <v>16.061</v>
      </c>
      <c r="BF41" s="7">
        <v>16.061</v>
      </c>
      <c r="BG41" s="7">
        <v>0</v>
      </c>
      <c r="BH41" s="7">
        <v>0</v>
      </c>
      <c r="BI41" s="7">
        <v>29.907</v>
      </c>
      <c r="BJ41" s="21"/>
    </row>
    <row r="42" spans="1:62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1453.3409999999999</v>
      </c>
      <c r="F47" s="7">
        <v>209.441</v>
      </c>
      <c r="G47" s="7">
        <v>315.29700000000003</v>
      </c>
      <c r="H47" s="7">
        <v>0</v>
      </c>
      <c r="I47" s="7">
        <v>30.436</v>
      </c>
      <c r="J47" s="7">
        <v>183.28399999999999</v>
      </c>
      <c r="K47" s="7">
        <v>8764.48</v>
      </c>
      <c r="L47" s="7">
        <v>556.68499999999995</v>
      </c>
      <c r="M47" s="7">
        <v>699.58100000000002</v>
      </c>
      <c r="N47" s="7">
        <v>0</v>
      </c>
      <c r="O47" s="7">
        <v>0</v>
      </c>
      <c r="P47" s="7">
        <v>2.7E-2</v>
      </c>
      <c r="Q47" s="7">
        <v>0</v>
      </c>
      <c r="R47" s="7">
        <v>0</v>
      </c>
      <c r="S47" s="7">
        <v>93.703999999999994</v>
      </c>
      <c r="T47" s="7">
        <v>0</v>
      </c>
      <c r="U47" s="7">
        <v>6989.1840000000002</v>
      </c>
      <c r="V47" s="7">
        <v>45.688000000000002</v>
      </c>
      <c r="W47" s="7">
        <v>60.518000000000001</v>
      </c>
      <c r="X47" s="7">
        <v>0</v>
      </c>
      <c r="Y47" s="7">
        <v>239.624</v>
      </c>
      <c r="Z47" s="7">
        <v>0</v>
      </c>
      <c r="AA47" s="7">
        <v>495.745</v>
      </c>
      <c r="AB47" s="7">
        <v>0</v>
      </c>
      <c r="AC47" s="7">
        <v>32.363999999999997</v>
      </c>
      <c r="AD47" s="7">
        <v>0</v>
      </c>
      <c r="AE47" s="7">
        <v>233.709</v>
      </c>
      <c r="AF47" s="7">
        <v>0</v>
      </c>
      <c r="AG47" s="7">
        <v>0</v>
      </c>
      <c r="AH47" s="7">
        <v>1338.202</v>
      </c>
      <c r="AI47" s="7">
        <v>0</v>
      </c>
      <c r="AJ47" s="7">
        <v>0</v>
      </c>
      <c r="AK47" s="7">
        <v>0</v>
      </c>
      <c r="AL47" s="7">
        <v>0</v>
      </c>
      <c r="AM47" s="7">
        <v>1832.115</v>
      </c>
      <c r="AN47" s="7">
        <v>0</v>
      </c>
      <c r="AO47" s="7">
        <v>36.271999999999998</v>
      </c>
      <c r="AP47" s="7">
        <v>0</v>
      </c>
      <c r="AQ47" s="7">
        <v>0</v>
      </c>
      <c r="AR47" s="7">
        <v>0</v>
      </c>
      <c r="AS47" s="7">
        <v>0.79700000000000004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30.213999999999999</v>
      </c>
      <c r="AZ47" s="7">
        <v>0</v>
      </c>
      <c r="BA47" s="7">
        <v>0</v>
      </c>
      <c r="BB47" s="7">
        <v>13.843999999999999</v>
      </c>
      <c r="BC47" s="7">
        <v>20.759</v>
      </c>
      <c r="BD47" s="7">
        <v>0</v>
      </c>
      <c r="BE47" s="7">
        <v>4.0010000000000003</v>
      </c>
      <c r="BF47" s="7">
        <v>4.0010000000000003</v>
      </c>
      <c r="BG47" s="7">
        <v>0</v>
      </c>
      <c r="BH47" s="7">
        <v>0</v>
      </c>
      <c r="BI47" s="7">
        <v>7.45</v>
      </c>
      <c r="BJ47" s="21"/>
    </row>
    <row r="48" spans="1:62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940992.826</v>
      </c>
      <c r="F62" s="7">
        <v>105254.166</v>
      </c>
      <c r="G62" s="7">
        <v>223415.226</v>
      </c>
      <c r="H62" s="7">
        <v>0</v>
      </c>
      <c r="I62" s="7">
        <v>19995.422999999999</v>
      </c>
      <c r="J62" s="7">
        <v>155992.106</v>
      </c>
      <c r="K62" s="7">
        <v>0</v>
      </c>
      <c r="L62" s="7">
        <v>377294.40500000003</v>
      </c>
      <c r="M62" s="7">
        <v>496444.55599999998</v>
      </c>
      <c r="N62" s="7">
        <v>0</v>
      </c>
      <c r="O62" s="7">
        <v>0</v>
      </c>
      <c r="P62" s="7">
        <v>31.312999999999999</v>
      </c>
      <c r="Q62" s="7">
        <v>1812.808</v>
      </c>
      <c r="R62" s="7">
        <v>5093.3739999999998</v>
      </c>
      <c r="S62" s="7">
        <v>41303.945</v>
      </c>
      <c r="T62" s="7">
        <v>0</v>
      </c>
      <c r="U62" s="7">
        <v>0</v>
      </c>
      <c r="V62" s="7">
        <v>25905.858</v>
      </c>
      <c r="W62" s="7">
        <v>49688.968000000001</v>
      </c>
      <c r="X62" s="7">
        <v>0</v>
      </c>
      <c r="Y62" s="7">
        <v>189415.52799999999</v>
      </c>
      <c r="Z62" s="7">
        <v>0</v>
      </c>
      <c r="AA62" s="7">
        <v>300053.495</v>
      </c>
      <c r="AB62" s="7">
        <v>0</v>
      </c>
      <c r="AC62" s="7">
        <v>18404.552</v>
      </c>
      <c r="AD62" s="7">
        <v>188.00200000000001</v>
      </c>
      <c r="AE62" s="7">
        <v>467865.49200000003</v>
      </c>
      <c r="AF62" s="7">
        <v>0</v>
      </c>
      <c r="AG62" s="7">
        <v>6.016</v>
      </c>
      <c r="AH62" s="7">
        <v>1138443.3799999999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21268.345000000001</v>
      </c>
      <c r="AP62" s="7">
        <v>0</v>
      </c>
      <c r="AQ62" s="7">
        <v>0</v>
      </c>
      <c r="AR62" s="7">
        <v>0</v>
      </c>
      <c r="AS62" s="7">
        <v>253.458</v>
      </c>
      <c r="AT62" s="7">
        <v>0</v>
      </c>
      <c r="AU62" s="7">
        <v>347.58199999999999</v>
      </c>
      <c r="AV62" s="7">
        <v>0</v>
      </c>
      <c r="AW62" s="7">
        <v>0</v>
      </c>
      <c r="AX62" s="7">
        <v>0</v>
      </c>
      <c r="AY62" s="7">
        <v>17150.805</v>
      </c>
      <c r="AZ62" s="7">
        <v>0</v>
      </c>
      <c r="BA62" s="7">
        <v>0</v>
      </c>
      <c r="BB62" s="7">
        <v>8289.3700000000008</v>
      </c>
      <c r="BC62" s="7">
        <v>12057.174000000001</v>
      </c>
      <c r="BD62" s="7">
        <v>0</v>
      </c>
      <c r="BE62" s="7">
        <v>2438.056</v>
      </c>
      <c r="BF62" s="7">
        <v>2438.056</v>
      </c>
      <c r="BG62" s="7">
        <v>0</v>
      </c>
      <c r="BH62" s="7">
        <v>0</v>
      </c>
      <c r="BI62" s="7">
        <v>4374.5730000000003</v>
      </c>
      <c r="BJ62" s="21"/>
    </row>
    <row r="63" spans="1:62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5310.491</v>
      </c>
      <c r="F63" s="7">
        <v>756.56700000000001</v>
      </c>
      <c r="G63" s="7">
        <v>1157.634</v>
      </c>
      <c r="H63" s="7">
        <v>0</v>
      </c>
      <c r="I63" s="7">
        <v>111.29600000000001</v>
      </c>
      <c r="J63" s="7">
        <v>680.45</v>
      </c>
      <c r="K63" s="7">
        <v>0</v>
      </c>
      <c r="L63" s="7">
        <v>2038.9670000000001</v>
      </c>
      <c r="M63" s="7">
        <v>2568.7660000000001</v>
      </c>
      <c r="N63" s="7">
        <v>0</v>
      </c>
      <c r="O63" s="7">
        <v>0</v>
      </c>
      <c r="P63" s="7">
        <v>0.10199999999999999</v>
      </c>
      <c r="Q63" s="7">
        <v>42.808</v>
      </c>
      <c r="R63" s="7">
        <v>120.27500000000001</v>
      </c>
      <c r="S63" s="7">
        <v>336.82600000000002</v>
      </c>
      <c r="T63" s="7">
        <v>0</v>
      </c>
      <c r="U63" s="7">
        <v>0</v>
      </c>
      <c r="V63" s="7">
        <v>165.886</v>
      </c>
      <c r="W63" s="7">
        <v>224.15199999999999</v>
      </c>
      <c r="X63" s="7">
        <v>0</v>
      </c>
      <c r="Y63" s="7">
        <v>885.43799999999999</v>
      </c>
      <c r="Z63" s="7">
        <v>0</v>
      </c>
      <c r="AA63" s="7">
        <v>1805.4280000000001</v>
      </c>
      <c r="AB63" s="7">
        <v>0</v>
      </c>
      <c r="AC63" s="7">
        <v>117.524</v>
      </c>
      <c r="AD63" s="7">
        <v>0</v>
      </c>
      <c r="AE63" s="7">
        <v>944.98800000000006</v>
      </c>
      <c r="AF63" s="7">
        <v>0</v>
      </c>
      <c r="AG63" s="7">
        <v>0</v>
      </c>
      <c r="AH63" s="7">
        <v>4802.5460000000003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131.90199999999999</v>
      </c>
      <c r="AP63" s="7">
        <v>0</v>
      </c>
      <c r="AQ63" s="7">
        <v>0</v>
      </c>
      <c r="AR63" s="7">
        <v>0</v>
      </c>
      <c r="AS63" s="7">
        <v>2.8370000000000002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109.70699999999999</v>
      </c>
      <c r="AZ63" s="7">
        <v>0</v>
      </c>
      <c r="BA63" s="7">
        <v>0</v>
      </c>
      <c r="BB63" s="7">
        <v>50.393000000000001</v>
      </c>
      <c r="BC63" s="7">
        <v>75.453999999999994</v>
      </c>
      <c r="BD63" s="7">
        <v>0</v>
      </c>
      <c r="BE63" s="7">
        <v>14.574999999999999</v>
      </c>
      <c r="BF63" s="7">
        <v>14.574999999999999</v>
      </c>
      <c r="BG63" s="7">
        <v>0</v>
      </c>
      <c r="BH63" s="7">
        <v>0</v>
      </c>
      <c r="BI63" s="7">
        <v>27.091999999999999</v>
      </c>
      <c r="BJ63" s="21"/>
    </row>
    <row r="64" spans="1:62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207076.685</v>
      </c>
      <c r="F64" s="7">
        <v>26785.330999999998</v>
      </c>
      <c r="G64" s="7">
        <v>46865.072999999997</v>
      </c>
      <c r="H64" s="7">
        <v>0</v>
      </c>
      <c r="I64" s="7">
        <v>4365.7269999999999</v>
      </c>
      <c r="J64" s="7">
        <v>29873.197</v>
      </c>
      <c r="K64" s="7">
        <v>11915.297</v>
      </c>
      <c r="L64" s="7">
        <v>81015.877999999997</v>
      </c>
      <c r="M64" s="7">
        <v>104057.774</v>
      </c>
      <c r="N64" s="7">
        <v>0</v>
      </c>
      <c r="O64" s="7">
        <v>0</v>
      </c>
      <c r="P64" s="7">
        <v>5.22</v>
      </c>
      <c r="Q64" s="7">
        <v>647.90800000000002</v>
      </c>
      <c r="R64" s="7">
        <v>1820.4010000000001</v>
      </c>
      <c r="S64" s="7">
        <v>11401.062</v>
      </c>
      <c r="T64" s="7">
        <v>0</v>
      </c>
      <c r="U64" s="7">
        <v>9501.7860000000001</v>
      </c>
      <c r="V64" s="7">
        <v>6139.61</v>
      </c>
      <c r="W64" s="7">
        <v>9680.6849999999995</v>
      </c>
      <c r="X64" s="7">
        <v>0</v>
      </c>
      <c r="Y64" s="7">
        <v>37593.07</v>
      </c>
      <c r="Z64" s="7">
        <v>0</v>
      </c>
      <c r="AA64" s="7">
        <v>68528.069000000003</v>
      </c>
      <c r="AB64" s="7">
        <v>0</v>
      </c>
      <c r="AC64" s="7">
        <v>4354.5159999999996</v>
      </c>
      <c r="AD64" s="7">
        <v>0</v>
      </c>
      <c r="AE64" s="7">
        <v>65175.822</v>
      </c>
      <c r="AF64" s="7">
        <v>0</v>
      </c>
      <c r="AG64" s="7">
        <v>0</v>
      </c>
      <c r="AH64" s="7">
        <v>214439.60200000001</v>
      </c>
      <c r="AI64" s="7">
        <v>0</v>
      </c>
      <c r="AJ64" s="7">
        <v>0</v>
      </c>
      <c r="AK64" s="7">
        <v>0</v>
      </c>
      <c r="AL64" s="7">
        <v>0</v>
      </c>
      <c r="AM64" s="7">
        <v>2490.7579999999998</v>
      </c>
      <c r="AN64" s="7">
        <v>0</v>
      </c>
      <c r="AO64" s="7">
        <v>4944.9709999999995</v>
      </c>
      <c r="AP64" s="7">
        <v>0</v>
      </c>
      <c r="AQ64" s="7">
        <v>0</v>
      </c>
      <c r="AR64" s="7">
        <v>0</v>
      </c>
      <c r="AS64" s="7">
        <v>87.126000000000005</v>
      </c>
      <c r="AT64" s="7">
        <v>0</v>
      </c>
      <c r="AU64" s="7">
        <v>111.63</v>
      </c>
      <c r="AV64" s="7">
        <v>0</v>
      </c>
      <c r="AW64" s="7">
        <v>0</v>
      </c>
      <c r="AX64" s="7">
        <v>0</v>
      </c>
      <c r="AY64" s="7">
        <v>4062.0929999999998</v>
      </c>
      <c r="AZ64" s="7">
        <v>0</v>
      </c>
      <c r="BA64" s="7">
        <v>0</v>
      </c>
      <c r="BB64" s="7">
        <v>1904.6610000000001</v>
      </c>
      <c r="BC64" s="7">
        <v>2818.4459999999999</v>
      </c>
      <c r="BD64" s="7">
        <v>0</v>
      </c>
      <c r="BE64" s="7">
        <v>554.697</v>
      </c>
      <c r="BF64" s="7">
        <v>554.697</v>
      </c>
      <c r="BG64" s="7">
        <v>0</v>
      </c>
      <c r="BH64" s="7">
        <v>0</v>
      </c>
      <c r="BI64" s="7">
        <v>1016.25</v>
      </c>
      <c r="BJ64" s="21"/>
    </row>
    <row r="65" spans="1:62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6678.3280000000004</v>
      </c>
      <c r="F65" s="7">
        <v>962.41300000000001</v>
      </c>
      <c r="G65" s="7">
        <v>1448.84</v>
      </c>
      <c r="H65" s="7">
        <v>0</v>
      </c>
      <c r="I65" s="7">
        <v>139.858</v>
      </c>
      <c r="J65" s="7">
        <v>842.22</v>
      </c>
      <c r="K65" s="7">
        <v>0</v>
      </c>
      <c r="L65" s="7">
        <v>2558.0529999999999</v>
      </c>
      <c r="M65" s="7">
        <v>3214.6840000000002</v>
      </c>
      <c r="N65" s="7">
        <v>0</v>
      </c>
      <c r="O65" s="7">
        <v>0</v>
      </c>
      <c r="P65" s="7">
        <v>0.123</v>
      </c>
      <c r="Q65" s="7">
        <v>0</v>
      </c>
      <c r="R65" s="7">
        <v>0</v>
      </c>
      <c r="S65" s="7">
        <v>430.58600000000001</v>
      </c>
      <c r="T65" s="7">
        <v>0</v>
      </c>
      <c r="U65" s="7">
        <v>0</v>
      </c>
      <c r="V65" s="7">
        <v>209.94200000000001</v>
      </c>
      <c r="W65" s="7">
        <v>278.089</v>
      </c>
      <c r="X65" s="7">
        <v>0</v>
      </c>
      <c r="Y65" s="7">
        <v>1101.1120000000001</v>
      </c>
      <c r="Z65" s="7">
        <v>0</v>
      </c>
      <c r="AA65" s="7">
        <v>2278.0239999999999</v>
      </c>
      <c r="AB65" s="7">
        <v>0</v>
      </c>
      <c r="AC65" s="7">
        <v>148.71700000000001</v>
      </c>
      <c r="AD65" s="7">
        <v>0</v>
      </c>
      <c r="AE65" s="7">
        <v>1073.9280000000001</v>
      </c>
      <c r="AF65" s="7">
        <v>0</v>
      </c>
      <c r="AG65" s="7">
        <v>0</v>
      </c>
      <c r="AH65" s="7">
        <v>5930.0249999999996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166.678</v>
      </c>
      <c r="AP65" s="7">
        <v>0</v>
      </c>
      <c r="AQ65" s="7">
        <v>0</v>
      </c>
      <c r="AR65" s="7">
        <v>0</v>
      </c>
      <c r="AS65" s="7">
        <v>3.6629999999999998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138.83699999999999</v>
      </c>
      <c r="AZ65" s="7">
        <v>0</v>
      </c>
      <c r="BA65" s="7">
        <v>0</v>
      </c>
      <c r="BB65" s="7">
        <v>63.616</v>
      </c>
      <c r="BC65" s="7">
        <v>95.388999999999996</v>
      </c>
      <c r="BD65" s="7">
        <v>0</v>
      </c>
      <c r="BE65" s="7">
        <v>18.384</v>
      </c>
      <c r="BF65" s="7">
        <v>18.384</v>
      </c>
      <c r="BG65" s="7">
        <v>0</v>
      </c>
      <c r="BH65" s="7">
        <v>0</v>
      </c>
      <c r="BI65" s="7">
        <v>34.231999999999999</v>
      </c>
      <c r="BJ65" s="21"/>
    </row>
    <row r="66" spans="1:62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201804.894</v>
      </c>
      <c r="F66" s="7">
        <v>29111.296999999999</v>
      </c>
      <c r="G66" s="7">
        <v>44063.447999999997</v>
      </c>
      <c r="H66" s="7">
        <v>3334.8919999999998</v>
      </c>
      <c r="I66" s="7">
        <v>4194.2309999999998</v>
      </c>
      <c r="J66" s="7">
        <v>25783.814999999999</v>
      </c>
      <c r="K66" s="7">
        <v>0</v>
      </c>
      <c r="L66" s="7">
        <v>80428.438999999998</v>
      </c>
      <c r="M66" s="7">
        <v>97477.847999999998</v>
      </c>
      <c r="N66" s="7">
        <v>0</v>
      </c>
      <c r="O66" s="7">
        <v>0</v>
      </c>
      <c r="P66" s="7">
        <v>3.6850000000000001</v>
      </c>
      <c r="Q66" s="7">
        <v>574.93100000000004</v>
      </c>
      <c r="R66" s="7">
        <v>1615.3620000000001</v>
      </c>
      <c r="S66" s="7">
        <v>12912.913</v>
      </c>
      <c r="T66" s="7">
        <v>0</v>
      </c>
      <c r="U66" s="7">
        <v>0</v>
      </c>
      <c r="V66" s="7">
        <v>6295.9970000000003</v>
      </c>
      <c r="W66" s="7">
        <v>8339.6550000000007</v>
      </c>
      <c r="X66" s="7">
        <v>0</v>
      </c>
      <c r="Y66" s="7">
        <v>33168.928999999996</v>
      </c>
      <c r="Z66" s="7">
        <v>0</v>
      </c>
      <c r="AA66" s="7">
        <v>68411.899000000005</v>
      </c>
      <c r="AB66" s="7">
        <v>0</v>
      </c>
      <c r="AC66" s="7">
        <v>4459.8969999999999</v>
      </c>
      <c r="AD66" s="7">
        <v>0</v>
      </c>
      <c r="AE66" s="7">
        <v>33114.353999999999</v>
      </c>
      <c r="AF66" s="7">
        <v>0</v>
      </c>
      <c r="AG66" s="7">
        <v>0</v>
      </c>
      <c r="AH66" s="7">
        <v>180966.06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4998.5259999999998</v>
      </c>
      <c r="AP66" s="7">
        <v>0</v>
      </c>
      <c r="AQ66" s="7">
        <v>0</v>
      </c>
      <c r="AR66" s="7">
        <v>0</v>
      </c>
      <c r="AS66" s="7">
        <v>109.846</v>
      </c>
      <c r="AT66" s="7">
        <v>0</v>
      </c>
      <c r="AU66" s="7">
        <v>28.77</v>
      </c>
      <c r="AV66" s="7">
        <v>0</v>
      </c>
      <c r="AW66" s="7">
        <v>0</v>
      </c>
      <c r="AX66" s="7">
        <v>0</v>
      </c>
      <c r="AY66" s="7">
        <v>4163.5959999999995</v>
      </c>
      <c r="AZ66" s="7">
        <v>0</v>
      </c>
      <c r="BA66" s="7">
        <v>0</v>
      </c>
      <c r="BB66" s="7">
        <v>1907.797</v>
      </c>
      <c r="BC66" s="7">
        <v>2860.6370000000002</v>
      </c>
      <c r="BD66" s="7">
        <v>0</v>
      </c>
      <c r="BE66" s="7">
        <v>551.31299999999999</v>
      </c>
      <c r="BF66" s="7">
        <v>551.31299999999999</v>
      </c>
      <c r="BG66" s="7">
        <v>0</v>
      </c>
      <c r="BH66" s="7">
        <v>0</v>
      </c>
      <c r="BI66" s="7">
        <v>1026.597</v>
      </c>
      <c r="BJ66" s="21"/>
    </row>
    <row r="67" spans="1:62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16913.796999999999</v>
      </c>
      <c r="F67" s="7">
        <v>2437.4459999999999</v>
      </c>
      <c r="G67" s="7">
        <v>3669.39</v>
      </c>
      <c r="H67" s="7">
        <v>0</v>
      </c>
      <c r="I67" s="7">
        <v>354.21</v>
      </c>
      <c r="J67" s="7">
        <v>2133.04</v>
      </c>
      <c r="K67" s="7">
        <v>0</v>
      </c>
      <c r="L67" s="7">
        <v>6478.6270000000004</v>
      </c>
      <c r="M67" s="7">
        <v>8141.6360000000004</v>
      </c>
      <c r="N67" s="7">
        <v>0</v>
      </c>
      <c r="O67" s="7">
        <v>0</v>
      </c>
      <c r="P67" s="7">
        <v>0.311</v>
      </c>
      <c r="Q67" s="7">
        <v>54.8</v>
      </c>
      <c r="R67" s="7">
        <v>153.97</v>
      </c>
      <c r="S67" s="7">
        <v>1090.518</v>
      </c>
      <c r="T67" s="7">
        <v>0</v>
      </c>
      <c r="U67" s="7">
        <v>0</v>
      </c>
      <c r="V67" s="7">
        <v>531.70799999999997</v>
      </c>
      <c r="W67" s="7">
        <v>704.29899999999998</v>
      </c>
      <c r="X67" s="7">
        <v>0</v>
      </c>
      <c r="Y67" s="7">
        <v>2788.7190000000001</v>
      </c>
      <c r="Z67" s="7">
        <v>0</v>
      </c>
      <c r="AA67" s="7">
        <v>5769.4129999999996</v>
      </c>
      <c r="AB67" s="7">
        <v>0</v>
      </c>
      <c r="AC67" s="7">
        <v>376.64600000000002</v>
      </c>
      <c r="AD67" s="7">
        <v>0</v>
      </c>
      <c r="AE67" s="7">
        <v>2719.8719999999998</v>
      </c>
      <c r="AF67" s="7">
        <v>0</v>
      </c>
      <c r="AG67" s="7">
        <v>0</v>
      </c>
      <c r="AH67" s="7">
        <v>15018.617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422.13400000000001</v>
      </c>
      <c r="AP67" s="7">
        <v>0</v>
      </c>
      <c r="AQ67" s="7">
        <v>0</v>
      </c>
      <c r="AR67" s="7">
        <v>0</v>
      </c>
      <c r="AS67" s="7">
        <v>9.2769999999999992</v>
      </c>
      <c r="AT67" s="7">
        <v>0</v>
      </c>
      <c r="AU67" s="7">
        <v>8.5139999999999993</v>
      </c>
      <c r="AV67" s="7">
        <v>0</v>
      </c>
      <c r="AW67" s="7">
        <v>0</v>
      </c>
      <c r="AX67" s="7">
        <v>0</v>
      </c>
      <c r="AY67" s="7">
        <v>351.62299999999999</v>
      </c>
      <c r="AZ67" s="7">
        <v>0</v>
      </c>
      <c r="BA67" s="7">
        <v>0</v>
      </c>
      <c r="BB67" s="7">
        <v>161.11699999999999</v>
      </c>
      <c r="BC67" s="7">
        <v>241.58600000000001</v>
      </c>
      <c r="BD67" s="7">
        <v>0</v>
      </c>
      <c r="BE67" s="7">
        <v>46.558999999999997</v>
      </c>
      <c r="BF67" s="7">
        <v>46.558999999999997</v>
      </c>
      <c r="BG67" s="7">
        <v>0</v>
      </c>
      <c r="BH67" s="7">
        <v>0</v>
      </c>
      <c r="BI67" s="7">
        <v>86.697999999999993</v>
      </c>
      <c r="BJ67" s="21"/>
    </row>
    <row r="68" spans="1:62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198250.345</v>
      </c>
      <c r="F68" s="7">
        <v>28569.842000000001</v>
      </c>
      <c r="G68" s="7">
        <v>43009.731</v>
      </c>
      <c r="H68" s="7">
        <v>0</v>
      </c>
      <c r="I68" s="7">
        <v>4151.7759999999998</v>
      </c>
      <c r="J68" s="7">
        <v>25001.837</v>
      </c>
      <c r="K68" s="7">
        <v>11347.114</v>
      </c>
      <c r="L68" s="7">
        <v>75937.409</v>
      </c>
      <c r="M68" s="7">
        <v>95429.907999999996</v>
      </c>
      <c r="N68" s="7">
        <v>0</v>
      </c>
      <c r="O68" s="7">
        <v>0</v>
      </c>
      <c r="P68" s="7">
        <v>3.6480000000000001</v>
      </c>
      <c r="Q68" s="7">
        <v>871.18399999999997</v>
      </c>
      <c r="R68" s="7">
        <v>2447.7289999999998</v>
      </c>
      <c r="S68" s="7">
        <v>12782.206</v>
      </c>
      <c r="T68" s="7">
        <v>0</v>
      </c>
      <c r="U68" s="7">
        <v>9048.6910000000007</v>
      </c>
      <c r="V68" s="7">
        <v>6232.268</v>
      </c>
      <c r="W68" s="7">
        <v>8255.2389999999996</v>
      </c>
      <c r="X68" s="7">
        <v>0</v>
      </c>
      <c r="Y68" s="7">
        <v>32687.188999999998</v>
      </c>
      <c r="Z68" s="7">
        <v>0</v>
      </c>
      <c r="AA68" s="7">
        <v>67624.557000000001</v>
      </c>
      <c r="AB68" s="7">
        <v>0</v>
      </c>
      <c r="AC68" s="7">
        <v>4414.7520000000004</v>
      </c>
      <c r="AD68" s="7">
        <v>0</v>
      </c>
      <c r="AE68" s="7">
        <v>31880.218000000001</v>
      </c>
      <c r="AF68" s="7">
        <v>0</v>
      </c>
      <c r="AG68" s="7">
        <v>0</v>
      </c>
      <c r="AH68" s="7">
        <v>176098.277</v>
      </c>
      <c r="AI68" s="7">
        <v>0</v>
      </c>
      <c r="AJ68" s="7">
        <v>0</v>
      </c>
      <c r="AK68" s="7">
        <v>0</v>
      </c>
      <c r="AL68" s="7">
        <v>0</v>
      </c>
      <c r="AM68" s="7">
        <v>2371.9859999999999</v>
      </c>
      <c r="AN68" s="7">
        <v>0</v>
      </c>
      <c r="AO68" s="7">
        <v>4947.93</v>
      </c>
      <c r="AP68" s="7">
        <v>0</v>
      </c>
      <c r="AQ68" s="7">
        <v>0</v>
      </c>
      <c r="AR68" s="7">
        <v>0</v>
      </c>
      <c r="AS68" s="7">
        <v>108.73399999999999</v>
      </c>
      <c r="AT68" s="7">
        <v>0</v>
      </c>
      <c r="AU68" s="7">
        <v>63.790999999999997</v>
      </c>
      <c r="AV68" s="7">
        <v>0</v>
      </c>
      <c r="AW68" s="7">
        <v>0</v>
      </c>
      <c r="AX68" s="7">
        <v>0</v>
      </c>
      <c r="AY68" s="7">
        <v>4121.451</v>
      </c>
      <c r="AZ68" s="7">
        <v>0</v>
      </c>
      <c r="BA68" s="7">
        <v>0</v>
      </c>
      <c r="BB68" s="7">
        <v>1888.4860000000001</v>
      </c>
      <c r="BC68" s="7">
        <v>2831.681</v>
      </c>
      <c r="BD68" s="7">
        <v>0</v>
      </c>
      <c r="BE68" s="7">
        <v>545.73299999999995</v>
      </c>
      <c r="BF68" s="7">
        <v>545.73299999999995</v>
      </c>
      <c r="BG68" s="7">
        <v>0</v>
      </c>
      <c r="BH68" s="7">
        <v>0</v>
      </c>
      <c r="BI68" s="7">
        <v>1016.205</v>
      </c>
      <c r="BJ68" s="21"/>
    </row>
    <row r="69" spans="1:62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21"/>
    </row>
    <row r="70" spans="1:62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48710.014999999999</v>
      </c>
      <c r="F70" s="7">
        <v>7020.1670000000004</v>
      </c>
      <c r="G70" s="7">
        <v>10567.147000000001</v>
      </c>
      <c r="H70" s="7">
        <v>23442.843000000001</v>
      </c>
      <c r="I70" s="7">
        <v>1020.058</v>
      </c>
      <c r="J70" s="7">
        <v>6142.7510000000002</v>
      </c>
      <c r="K70" s="7">
        <v>0</v>
      </c>
      <c r="L70" s="7">
        <v>18672.227999999999</v>
      </c>
      <c r="M70" s="7">
        <v>23448.126</v>
      </c>
      <c r="N70" s="7">
        <v>0</v>
      </c>
      <c r="O70" s="7">
        <v>0</v>
      </c>
      <c r="P70" s="7">
        <v>0.89600000000000002</v>
      </c>
      <c r="Q70" s="7">
        <v>0</v>
      </c>
      <c r="R70" s="7">
        <v>0</v>
      </c>
      <c r="S70" s="7">
        <v>3140.4859999999999</v>
      </c>
      <c r="T70" s="7">
        <v>0</v>
      </c>
      <c r="U70" s="7">
        <v>0</v>
      </c>
      <c r="V70" s="7">
        <v>1531.2180000000001</v>
      </c>
      <c r="W70" s="7">
        <v>2028.2460000000001</v>
      </c>
      <c r="X70" s="7">
        <v>0</v>
      </c>
      <c r="Y70" s="7">
        <v>8030.9809999999998</v>
      </c>
      <c r="Z70" s="7">
        <v>0</v>
      </c>
      <c r="AA70" s="7">
        <v>16614.812000000002</v>
      </c>
      <c r="AB70" s="7">
        <v>0</v>
      </c>
      <c r="AC70" s="7">
        <v>1084.6690000000001</v>
      </c>
      <c r="AD70" s="7">
        <v>0</v>
      </c>
      <c r="AE70" s="7">
        <v>7832.7139999999999</v>
      </c>
      <c r="AF70" s="7">
        <v>0</v>
      </c>
      <c r="AG70" s="7">
        <v>0</v>
      </c>
      <c r="AH70" s="7">
        <v>43273.966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1215.6669999999999</v>
      </c>
      <c r="AP70" s="7">
        <v>0</v>
      </c>
      <c r="AQ70" s="7">
        <v>0</v>
      </c>
      <c r="AR70" s="7">
        <v>0</v>
      </c>
      <c r="AS70" s="7">
        <v>26.715</v>
      </c>
      <c r="AT70" s="7">
        <v>0</v>
      </c>
      <c r="AU70" s="7">
        <v>24708.897000000001</v>
      </c>
      <c r="AV70" s="7">
        <v>0</v>
      </c>
      <c r="AW70" s="7">
        <v>0</v>
      </c>
      <c r="AX70" s="7">
        <v>0</v>
      </c>
      <c r="AY70" s="7">
        <v>1012.6079999999999</v>
      </c>
      <c r="AZ70" s="7">
        <v>0</v>
      </c>
      <c r="BA70" s="7">
        <v>0</v>
      </c>
      <c r="BB70" s="7">
        <v>463.98599999999999</v>
      </c>
      <c r="BC70" s="7">
        <v>695.721</v>
      </c>
      <c r="BD70" s="7">
        <v>0</v>
      </c>
      <c r="BE70" s="7">
        <v>134.08199999999999</v>
      </c>
      <c r="BF70" s="7">
        <v>134.08199999999999</v>
      </c>
      <c r="BG70" s="7">
        <v>0</v>
      </c>
      <c r="BH70" s="7">
        <v>0</v>
      </c>
      <c r="BI70" s="7">
        <v>249.67400000000001</v>
      </c>
      <c r="BJ70" s="21"/>
    </row>
    <row r="71" spans="1:62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21"/>
    </row>
    <row r="72" spans="1:62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62244.925999999999</v>
      </c>
      <c r="F72" s="7">
        <v>8976.9660000000003</v>
      </c>
      <c r="G72" s="7">
        <v>13475.683000000001</v>
      </c>
      <c r="H72" s="7">
        <v>28023.973999999998</v>
      </c>
      <c r="I72" s="7">
        <v>1301.367</v>
      </c>
      <c r="J72" s="7">
        <v>7833.5020000000004</v>
      </c>
      <c r="K72" s="7">
        <v>8207.6460000000006</v>
      </c>
      <c r="L72" s="7">
        <v>24114.041000000001</v>
      </c>
      <c r="M72" s="7">
        <v>29913.508999999998</v>
      </c>
      <c r="N72" s="7">
        <v>0</v>
      </c>
      <c r="O72" s="7">
        <v>0</v>
      </c>
      <c r="P72" s="7">
        <v>1.1479999999999999</v>
      </c>
      <c r="Q72" s="7">
        <v>2.0939999999999999</v>
      </c>
      <c r="R72" s="7">
        <v>5.8819999999999997</v>
      </c>
      <c r="S72" s="7">
        <v>4013.17</v>
      </c>
      <c r="T72" s="7">
        <v>0</v>
      </c>
      <c r="U72" s="7">
        <v>6545.14</v>
      </c>
      <c r="V72" s="7">
        <v>1952.6759999999999</v>
      </c>
      <c r="W72" s="7">
        <v>2589.4229999999998</v>
      </c>
      <c r="X72" s="7">
        <v>0</v>
      </c>
      <c r="Y72" s="7">
        <v>10305.787</v>
      </c>
      <c r="Z72" s="7">
        <v>0</v>
      </c>
      <c r="AA72" s="7">
        <v>21187.928</v>
      </c>
      <c r="AB72" s="7">
        <v>0</v>
      </c>
      <c r="AC72" s="7">
        <v>1388.5070000000001</v>
      </c>
      <c r="AD72" s="7">
        <v>0</v>
      </c>
      <c r="AE72" s="7">
        <v>10150.726000000001</v>
      </c>
      <c r="AF72" s="7">
        <v>151.422</v>
      </c>
      <c r="AG72" s="7">
        <v>0</v>
      </c>
      <c r="AH72" s="7">
        <v>55716.608999999997</v>
      </c>
      <c r="AI72" s="7">
        <v>262.03899999999999</v>
      </c>
      <c r="AJ72" s="7">
        <v>0</v>
      </c>
      <c r="AK72" s="7">
        <v>0</v>
      </c>
      <c r="AL72" s="7">
        <v>0</v>
      </c>
      <c r="AM72" s="7">
        <v>1715.7159999999999</v>
      </c>
      <c r="AN72" s="7">
        <v>0</v>
      </c>
      <c r="AO72" s="7">
        <v>1555.9780000000001</v>
      </c>
      <c r="AP72" s="7">
        <v>0</v>
      </c>
      <c r="AQ72" s="7">
        <v>55.37</v>
      </c>
      <c r="AR72" s="7">
        <v>0</v>
      </c>
      <c r="AS72" s="7">
        <v>34.146000000000001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1293.3119999999999</v>
      </c>
      <c r="AZ72" s="7">
        <v>75.480999999999995</v>
      </c>
      <c r="BA72" s="7">
        <v>0</v>
      </c>
      <c r="BB72" s="7">
        <v>593.80700000000002</v>
      </c>
      <c r="BC72" s="7">
        <v>887.21400000000006</v>
      </c>
      <c r="BD72" s="7">
        <v>95.444999999999993</v>
      </c>
      <c r="BE72" s="7">
        <v>171.57599999999999</v>
      </c>
      <c r="BF72" s="7">
        <v>171.57599999999999</v>
      </c>
      <c r="BG72" s="7">
        <v>32.295999999999999</v>
      </c>
      <c r="BH72" s="7">
        <v>0</v>
      </c>
      <c r="BI72" s="7">
        <v>318.39499999999998</v>
      </c>
      <c r="BJ72" s="21"/>
    </row>
    <row r="73" spans="1:62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21"/>
    </row>
    <row r="74" spans="1:62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63909.574000000001</v>
      </c>
      <c r="F74" s="7">
        <v>6407.5950000000003</v>
      </c>
      <c r="G74" s="7">
        <v>15632.424000000001</v>
      </c>
      <c r="H74" s="7">
        <v>1689.5719999999999</v>
      </c>
      <c r="I74" s="7">
        <v>1284.029</v>
      </c>
      <c r="J74" s="7">
        <v>11735.513000000001</v>
      </c>
      <c r="K74" s="7">
        <v>0</v>
      </c>
      <c r="L74" s="7">
        <v>29241.74</v>
      </c>
      <c r="M74" s="7">
        <v>33335.247000000003</v>
      </c>
      <c r="N74" s="7">
        <v>0</v>
      </c>
      <c r="O74" s="7">
        <v>0</v>
      </c>
      <c r="P74" s="7">
        <v>30.858000000000001</v>
      </c>
      <c r="Q74" s="7">
        <v>0</v>
      </c>
      <c r="R74" s="7">
        <v>128.63300000000001</v>
      </c>
      <c r="S74" s="7">
        <v>1936.26</v>
      </c>
      <c r="T74" s="7">
        <v>0</v>
      </c>
      <c r="U74" s="7">
        <v>0</v>
      </c>
      <c r="V74" s="7">
        <v>1471.2539999999999</v>
      </c>
      <c r="W74" s="7">
        <v>3262.4580000000001</v>
      </c>
      <c r="X74" s="7">
        <v>0</v>
      </c>
      <c r="Y74" s="7">
        <v>13464.816999999999</v>
      </c>
      <c r="Z74" s="7">
        <v>0</v>
      </c>
      <c r="AA74" s="7">
        <v>17133.763999999999</v>
      </c>
      <c r="AB74" s="7">
        <v>0</v>
      </c>
      <c r="AC74" s="7">
        <v>1100.258</v>
      </c>
      <c r="AD74" s="7">
        <v>0</v>
      </c>
      <c r="AE74" s="7">
        <v>44829.358999999997</v>
      </c>
      <c r="AF74" s="7">
        <v>0</v>
      </c>
      <c r="AG74" s="7">
        <v>0</v>
      </c>
      <c r="AH74" s="7">
        <v>91276.171000000002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1146.9059999999999</v>
      </c>
      <c r="AP74" s="7">
        <v>0</v>
      </c>
      <c r="AQ74" s="7">
        <v>0</v>
      </c>
      <c r="AR74" s="7">
        <v>0</v>
      </c>
      <c r="AS74" s="7">
        <v>9.1029999999999998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912.80799999999999</v>
      </c>
      <c r="AZ74" s="7">
        <v>0</v>
      </c>
      <c r="BA74" s="7">
        <v>0</v>
      </c>
      <c r="BB74" s="7">
        <v>450.67500000000001</v>
      </c>
      <c r="BC74" s="7">
        <v>647.74300000000005</v>
      </c>
      <c r="BD74" s="7">
        <v>0</v>
      </c>
      <c r="BE74" s="7">
        <v>133.44200000000001</v>
      </c>
      <c r="BF74" s="7">
        <v>133.44200000000001</v>
      </c>
      <c r="BG74" s="7">
        <v>0</v>
      </c>
      <c r="BH74" s="7">
        <v>0</v>
      </c>
      <c r="BI74" s="7">
        <v>236.03899999999999</v>
      </c>
      <c r="BJ74" s="21"/>
    </row>
    <row r="75" spans="1:62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21"/>
    </row>
    <row r="76" spans="1:62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9611.7559999999994</v>
      </c>
      <c r="F76" s="7">
        <v>1653.6389999999999</v>
      </c>
      <c r="G76" s="7">
        <v>1219.4949999999999</v>
      </c>
      <c r="H76" s="7">
        <v>0</v>
      </c>
      <c r="I76" s="7">
        <v>137.83699999999999</v>
      </c>
      <c r="J76" s="7">
        <v>1269.7639999999999</v>
      </c>
      <c r="K76" s="7">
        <v>0</v>
      </c>
      <c r="L76" s="7">
        <v>15570.825000000001</v>
      </c>
      <c r="M76" s="7">
        <v>3780.819</v>
      </c>
      <c r="N76" s="7">
        <v>0</v>
      </c>
      <c r="O76" s="7">
        <v>0</v>
      </c>
      <c r="P76" s="7">
        <v>8.2650000000000006</v>
      </c>
      <c r="Q76" s="7">
        <v>0</v>
      </c>
      <c r="R76" s="7">
        <v>217.642</v>
      </c>
      <c r="S76" s="7">
        <v>284.64400000000001</v>
      </c>
      <c r="T76" s="7">
        <v>0</v>
      </c>
      <c r="U76" s="7">
        <v>0</v>
      </c>
      <c r="V76" s="7">
        <v>165.21199999999999</v>
      </c>
      <c r="W76" s="7">
        <v>263.25400000000002</v>
      </c>
      <c r="X76" s="7">
        <v>0</v>
      </c>
      <c r="Y76" s="7">
        <v>1354.2</v>
      </c>
      <c r="Z76" s="7">
        <v>0</v>
      </c>
      <c r="AA76" s="7">
        <v>1719.684</v>
      </c>
      <c r="AB76" s="7">
        <v>0</v>
      </c>
      <c r="AC76" s="7">
        <v>132.36600000000001</v>
      </c>
      <c r="AD76" s="7">
        <v>0</v>
      </c>
      <c r="AE76" s="7">
        <v>4151.9830000000002</v>
      </c>
      <c r="AF76" s="7">
        <v>0</v>
      </c>
      <c r="AG76" s="7">
        <v>0</v>
      </c>
      <c r="AH76" s="7">
        <v>16479.98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110.184</v>
      </c>
      <c r="AP76" s="7">
        <v>0</v>
      </c>
      <c r="AQ76" s="7">
        <v>0</v>
      </c>
      <c r="AR76" s="7">
        <v>0</v>
      </c>
      <c r="AS76" s="7">
        <v>2.4209999999999998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91.78</v>
      </c>
      <c r="AZ76" s="7">
        <v>0</v>
      </c>
      <c r="BA76" s="7">
        <v>0</v>
      </c>
      <c r="BB76" s="7">
        <v>42.054000000000002</v>
      </c>
      <c r="BC76" s="7">
        <v>63.058</v>
      </c>
      <c r="BD76" s="7">
        <v>0</v>
      </c>
      <c r="BE76" s="7">
        <v>12.153</v>
      </c>
      <c r="BF76" s="7">
        <v>12.153</v>
      </c>
      <c r="BG76" s="7">
        <v>0</v>
      </c>
      <c r="BH76" s="7">
        <v>0</v>
      </c>
      <c r="BI76" s="7">
        <v>22.63</v>
      </c>
      <c r="BJ76" s="21"/>
    </row>
    <row r="77" spans="1:62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21"/>
    </row>
    <row r="78" spans="1:62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8705.4009999999998</v>
      </c>
      <c r="F78" s="7">
        <v>1131.502</v>
      </c>
      <c r="G78" s="7">
        <v>1684.086</v>
      </c>
      <c r="H78" s="7">
        <v>5298.3819999999996</v>
      </c>
      <c r="I78" s="7">
        <v>183.22</v>
      </c>
      <c r="J78" s="7">
        <v>985.96</v>
      </c>
      <c r="K78" s="7">
        <v>0</v>
      </c>
      <c r="L78" s="7">
        <v>4060.634</v>
      </c>
      <c r="M78" s="7">
        <v>3896.4589999999998</v>
      </c>
      <c r="N78" s="7">
        <v>0</v>
      </c>
      <c r="O78" s="7">
        <v>0</v>
      </c>
      <c r="P78" s="7">
        <v>8.5220000000000002</v>
      </c>
      <c r="Q78" s="7">
        <v>0</v>
      </c>
      <c r="R78" s="7">
        <v>0</v>
      </c>
      <c r="S78" s="7">
        <v>420.64800000000002</v>
      </c>
      <c r="T78" s="7">
        <v>0</v>
      </c>
      <c r="U78" s="7">
        <v>0</v>
      </c>
      <c r="V78" s="7">
        <v>232.227</v>
      </c>
      <c r="W78" s="7">
        <v>353.20299999999997</v>
      </c>
      <c r="X78" s="7">
        <v>0</v>
      </c>
      <c r="Y78" s="7">
        <v>1718.6579999999999</v>
      </c>
      <c r="Z78" s="7">
        <v>0</v>
      </c>
      <c r="AA78" s="7">
        <v>2444.9029999999998</v>
      </c>
      <c r="AB78" s="7">
        <v>0</v>
      </c>
      <c r="AC78" s="7">
        <v>180.24600000000001</v>
      </c>
      <c r="AD78" s="7">
        <v>0</v>
      </c>
      <c r="AE78" s="7">
        <v>3136.2669999999998</v>
      </c>
      <c r="AF78" s="7">
        <v>0</v>
      </c>
      <c r="AG78" s="7">
        <v>0</v>
      </c>
      <c r="AH78" s="7">
        <v>10683.282999999999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162.83099999999999</v>
      </c>
      <c r="AP78" s="7">
        <v>0</v>
      </c>
      <c r="AQ78" s="7">
        <v>0</v>
      </c>
      <c r="AR78" s="7">
        <v>0</v>
      </c>
      <c r="AS78" s="7">
        <v>3.5779999999999998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135.63200000000001</v>
      </c>
      <c r="AZ78" s="7">
        <v>0</v>
      </c>
      <c r="BA78" s="7">
        <v>0</v>
      </c>
      <c r="BB78" s="7">
        <v>62.148000000000003</v>
      </c>
      <c r="BC78" s="7">
        <v>93.186999999999998</v>
      </c>
      <c r="BD78" s="7">
        <v>0</v>
      </c>
      <c r="BE78" s="7">
        <v>17.959</v>
      </c>
      <c r="BF78" s="7">
        <v>17.959</v>
      </c>
      <c r="BG78" s="7">
        <v>0</v>
      </c>
      <c r="BH78" s="7">
        <v>0</v>
      </c>
      <c r="BI78" s="7">
        <v>33.442</v>
      </c>
      <c r="BJ78" s="21"/>
    </row>
    <row r="79" spans="1:62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21"/>
    </row>
    <row r="80" spans="1:62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6493.2129999999997</v>
      </c>
      <c r="F80" s="7">
        <v>983.50300000000004</v>
      </c>
      <c r="G80" s="7">
        <v>1329.3589999999999</v>
      </c>
      <c r="H80" s="7">
        <v>0</v>
      </c>
      <c r="I80" s="7">
        <v>90.403999999999996</v>
      </c>
      <c r="J80" s="7">
        <v>1040.393</v>
      </c>
      <c r="K80" s="7">
        <v>0</v>
      </c>
      <c r="L80" s="7">
        <v>9613.42</v>
      </c>
      <c r="M80" s="7">
        <v>2406.9</v>
      </c>
      <c r="N80" s="7">
        <v>0</v>
      </c>
      <c r="O80" s="7">
        <v>0</v>
      </c>
      <c r="P80" s="7">
        <v>9.3930000000000007</v>
      </c>
      <c r="Q80" s="7">
        <v>0</v>
      </c>
      <c r="R80" s="7">
        <v>130.297</v>
      </c>
      <c r="S80" s="7">
        <v>118.54900000000001</v>
      </c>
      <c r="T80" s="7">
        <v>0</v>
      </c>
      <c r="U80" s="7">
        <v>0</v>
      </c>
      <c r="V80" s="7">
        <v>88.024000000000001</v>
      </c>
      <c r="W80" s="7">
        <v>167.387</v>
      </c>
      <c r="X80" s="7">
        <v>0</v>
      </c>
      <c r="Y80" s="7">
        <v>1179.336</v>
      </c>
      <c r="Z80" s="7">
        <v>0</v>
      </c>
      <c r="AA80" s="7">
        <v>952.21600000000001</v>
      </c>
      <c r="AB80" s="7">
        <v>0</v>
      </c>
      <c r="AC80" s="7">
        <v>79.89</v>
      </c>
      <c r="AD80" s="7">
        <v>0</v>
      </c>
      <c r="AE80" s="7">
        <v>3829.2269999999999</v>
      </c>
      <c r="AF80" s="7">
        <v>0</v>
      </c>
      <c r="AG80" s="7">
        <v>0</v>
      </c>
      <c r="AH80" s="7">
        <v>12153.31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45.89</v>
      </c>
      <c r="AP80" s="7">
        <v>0</v>
      </c>
      <c r="AQ80" s="7">
        <v>0</v>
      </c>
      <c r="AR80" s="7">
        <v>0</v>
      </c>
      <c r="AS80" s="7">
        <v>1.008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38.225000000000001</v>
      </c>
      <c r="AZ80" s="7">
        <v>0</v>
      </c>
      <c r="BA80" s="7">
        <v>0</v>
      </c>
      <c r="BB80" s="7">
        <v>17.515000000000001</v>
      </c>
      <c r="BC80" s="7">
        <v>26.263000000000002</v>
      </c>
      <c r="BD80" s="7">
        <v>0</v>
      </c>
      <c r="BE80" s="7">
        <v>5.0609999999999999</v>
      </c>
      <c r="BF80" s="7">
        <v>5.0609999999999999</v>
      </c>
      <c r="BG80" s="7">
        <v>0</v>
      </c>
      <c r="BH80" s="7">
        <v>0</v>
      </c>
      <c r="BI80" s="7">
        <v>9.4250000000000007</v>
      </c>
      <c r="BJ80" s="21"/>
    </row>
    <row r="81" spans="1:62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15435.16</v>
      </c>
      <c r="F86" s="7">
        <v>2237.9679999999998</v>
      </c>
      <c r="G86" s="7">
        <v>3335.8919999999998</v>
      </c>
      <c r="H86" s="7">
        <v>2136.6010000000001</v>
      </c>
      <c r="I86" s="7">
        <v>349.28399999999999</v>
      </c>
      <c r="J86" s="7">
        <v>1960.614</v>
      </c>
      <c r="K86" s="7">
        <v>0</v>
      </c>
      <c r="L86" s="7">
        <v>6469.2560000000003</v>
      </c>
      <c r="M86" s="7">
        <v>7419.2349999999997</v>
      </c>
      <c r="N86" s="7">
        <v>0</v>
      </c>
      <c r="O86" s="7">
        <v>0</v>
      </c>
      <c r="P86" s="7">
        <v>10.483000000000001</v>
      </c>
      <c r="Q86" s="7">
        <v>0</v>
      </c>
      <c r="R86" s="7">
        <v>5.9960000000000004</v>
      </c>
      <c r="S86" s="7">
        <v>975.56899999999996</v>
      </c>
      <c r="T86" s="7">
        <v>0</v>
      </c>
      <c r="U86" s="7">
        <v>0</v>
      </c>
      <c r="V86" s="7">
        <v>475.65</v>
      </c>
      <c r="W86" s="7">
        <v>630.00699999999995</v>
      </c>
      <c r="X86" s="7">
        <v>0</v>
      </c>
      <c r="Y86" s="7">
        <v>2494.5259999999998</v>
      </c>
      <c r="Z86" s="7">
        <v>0</v>
      </c>
      <c r="AA86" s="7">
        <v>5161.4870000000001</v>
      </c>
      <c r="AB86" s="7">
        <v>0</v>
      </c>
      <c r="AC86" s="7">
        <v>336.96499999999997</v>
      </c>
      <c r="AD86" s="7">
        <v>0</v>
      </c>
      <c r="AE86" s="7">
        <v>2482.884</v>
      </c>
      <c r="AF86" s="7">
        <v>6.0000000000000001E-3</v>
      </c>
      <c r="AG86" s="7">
        <v>0</v>
      </c>
      <c r="AH86" s="7">
        <v>14130.234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377.72</v>
      </c>
      <c r="AP86" s="7">
        <v>0</v>
      </c>
      <c r="AQ86" s="7">
        <v>1E-3</v>
      </c>
      <c r="AR86" s="7">
        <v>0</v>
      </c>
      <c r="AS86" s="7">
        <v>8.298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314.512</v>
      </c>
      <c r="AZ86" s="7">
        <v>0</v>
      </c>
      <c r="BA86" s="7">
        <v>0</v>
      </c>
      <c r="BB86" s="7">
        <v>144.16300000000001</v>
      </c>
      <c r="BC86" s="7">
        <v>216.08799999999999</v>
      </c>
      <c r="BD86" s="7">
        <v>0</v>
      </c>
      <c r="BE86" s="7">
        <v>41.66</v>
      </c>
      <c r="BF86" s="7">
        <v>41.66</v>
      </c>
      <c r="BG86" s="7">
        <v>0</v>
      </c>
      <c r="BH86" s="7">
        <v>0</v>
      </c>
      <c r="BI86" s="7">
        <v>77.548000000000002</v>
      </c>
      <c r="BJ86" s="21"/>
    </row>
    <row r="87" spans="1:62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21"/>
    </row>
    <row r="88" spans="1:62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34776.792000000001</v>
      </c>
      <c r="F88" s="7">
        <v>4966.2719999999999</v>
      </c>
      <c r="G88" s="7">
        <v>7471.201</v>
      </c>
      <c r="H88" s="7">
        <v>3094.0540000000001</v>
      </c>
      <c r="I88" s="7">
        <v>726.70899999999995</v>
      </c>
      <c r="J88" s="7">
        <v>4344.9210000000003</v>
      </c>
      <c r="K88" s="7">
        <v>0</v>
      </c>
      <c r="L88" s="7">
        <v>13721.921</v>
      </c>
      <c r="M88" s="7">
        <v>16622.274000000001</v>
      </c>
      <c r="N88" s="7">
        <v>0</v>
      </c>
      <c r="O88" s="7">
        <v>0</v>
      </c>
      <c r="P88" s="7">
        <v>2.867</v>
      </c>
      <c r="Q88" s="7">
        <v>0</v>
      </c>
      <c r="R88" s="7">
        <v>0</v>
      </c>
      <c r="S88" s="7">
        <v>2199.105</v>
      </c>
      <c r="T88" s="7">
        <v>0</v>
      </c>
      <c r="U88" s="7">
        <v>0</v>
      </c>
      <c r="V88" s="7">
        <v>1079.4580000000001</v>
      </c>
      <c r="W88" s="7">
        <v>1442.001</v>
      </c>
      <c r="X88" s="7">
        <v>0</v>
      </c>
      <c r="Y88" s="7">
        <v>5904.8159999999998</v>
      </c>
      <c r="Z88" s="7">
        <v>0</v>
      </c>
      <c r="AA88" s="7">
        <v>11692.915999999999</v>
      </c>
      <c r="AB88" s="7">
        <v>0</v>
      </c>
      <c r="AC88" s="7">
        <v>768.85199999999998</v>
      </c>
      <c r="AD88" s="7">
        <v>0</v>
      </c>
      <c r="AE88" s="7">
        <v>6260.3459999999995</v>
      </c>
      <c r="AF88" s="7">
        <v>0</v>
      </c>
      <c r="AG88" s="7">
        <v>0</v>
      </c>
      <c r="AH88" s="7">
        <v>31966.725999999999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851.26300000000003</v>
      </c>
      <c r="AP88" s="7">
        <v>0</v>
      </c>
      <c r="AQ88" s="7">
        <v>0</v>
      </c>
      <c r="AR88" s="7">
        <v>0</v>
      </c>
      <c r="AS88" s="7">
        <v>18.707000000000001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709.072</v>
      </c>
      <c r="AZ88" s="7">
        <v>0</v>
      </c>
      <c r="BA88" s="7">
        <v>0</v>
      </c>
      <c r="BB88" s="7">
        <v>324.90300000000002</v>
      </c>
      <c r="BC88" s="7">
        <v>487.17399999999998</v>
      </c>
      <c r="BD88" s="7">
        <v>0</v>
      </c>
      <c r="BE88" s="7">
        <v>93.89</v>
      </c>
      <c r="BF88" s="7">
        <v>93.89</v>
      </c>
      <c r="BG88" s="7">
        <v>0</v>
      </c>
      <c r="BH88" s="7">
        <v>0</v>
      </c>
      <c r="BI88" s="7">
        <v>174.83199999999999</v>
      </c>
      <c r="BJ88" s="21"/>
    </row>
    <row r="89" spans="1:62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21"/>
    </row>
    <row r="90" spans="1:62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57653.218000000001</v>
      </c>
      <c r="F91" s="7">
        <v>8218.2180000000008</v>
      </c>
      <c r="G91" s="7">
        <v>13427.942999999999</v>
      </c>
      <c r="H91" s="7">
        <v>0</v>
      </c>
      <c r="I91" s="7">
        <v>1162.5709999999999</v>
      </c>
      <c r="J91" s="7">
        <v>8448.3449999999993</v>
      </c>
      <c r="K91" s="7">
        <v>0</v>
      </c>
      <c r="L91" s="7">
        <v>22157.420999999998</v>
      </c>
      <c r="M91" s="7">
        <v>28421.169000000002</v>
      </c>
      <c r="N91" s="7">
        <v>0</v>
      </c>
      <c r="O91" s="7">
        <v>0</v>
      </c>
      <c r="P91" s="7">
        <v>1.022</v>
      </c>
      <c r="Q91" s="7">
        <v>0</v>
      </c>
      <c r="R91" s="7">
        <v>125.86</v>
      </c>
      <c r="S91" s="7">
        <v>3579.2429999999999</v>
      </c>
      <c r="T91" s="7">
        <v>0</v>
      </c>
      <c r="U91" s="7">
        <v>0</v>
      </c>
      <c r="V91" s="7">
        <v>1745.145</v>
      </c>
      <c r="W91" s="7">
        <v>2311.6129999999998</v>
      </c>
      <c r="X91" s="7">
        <v>0</v>
      </c>
      <c r="Y91" s="7">
        <v>9152.991</v>
      </c>
      <c r="Z91" s="7">
        <v>0</v>
      </c>
      <c r="AA91" s="7">
        <v>18936.071</v>
      </c>
      <c r="AB91" s="7">
        <v>0</v>
      </c>
      <c r="AC91" s="7">
        <v>1236.2090000000001</v>
      </c>
      <c r="AD91" s="7">
        <v>0</v>
      </c>
      <c r="AE91" s="7">
        <v>12849.656000000001</v>
      </c>
      <c r="AF91" s="7">
        <v>0</v>
      </c>
      <c r="AG91" s="7">
        <v>0</v>
      </c>
      <c r="AH91" s="7">
        <v>53488.663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1385.508</v>
      </c>
      <c r="AP91" s="7">
        <v>0</v>
      </c>
      <c r="AQ91" s="7">
        <v>0</v>
      </c>
      <c r="AR91" s="7">
        <v>0</v>
      </c>
      <c r="AS91" s="7">
        <v>30.446999999999999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1154.079</v>
      </c>
      <c r="AZ91" s="7">
        <v>0</v>
      </c>
      <c r="BA91" s="7">
        <v>0</v>
      </c>
      <c r="BB91" s="7">
        <v>528.80899999999997</v>
      </c>
      <c r="BC91" s="7">
        <v>792.92100000000005</v>
      </c>
      <c r="BD91" s="7">
        <v>0</v>
      </c>
      <c r="BE91" s="7">
        <v>152.815</v>
      </c>
      <c r="BF91" s="7">
        <v>152.815</v>
      </c>
      <c r="BG91" s="7">
        <v>0</v>
      </c>
      <c r="BH91" s="7">
        <v>0</v>
      </c>
      <c r="BI91" s="7">
        <v>284.55500000000001</v>
      </c>
      <c r="BJ91" s="21"/>
    </row>
    <row r="92" spans="1:62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61207.434000000001</v>
      </c>
      <c r="F92" s="7">
        <v>8820.5990000000002</v>
      </c>
      <c r="G92" s="7">
        <v>13278.743</v>
      </c>
      <c r="H92" s="7">
        <v>0</v>
      </c>
      <c r="I92" s="7">
        <v>1281.8109999999999</v>
      </c>
      <c r="J92" s="7">
        <v>7719.02</v>
      </c>
      <c r="K92" s="7">
        <v>0</v>
      </c>
      <c r="L92" s="7">
        <v>23444.771000000001</v>
      </c>
      <c r="M92" s="7">
        <v>29462.848000000002</v>
      </c>
      <c r="N92" s="7">
        <v>0</v>
      </c>
      <c r="O92" s="7">
        <v>0</v>
      </c>
      <c r="P92" s="7">
        <v>1.1259999999999999</v>
      </c>
      <c r="Q92" s="7">
        <v>0</v>
      </c>
      <c r="R92" s="7">
        <v>0</v>
      </c>
      <c r="S92" s="7">
        <v>3946.3539999999998</v>
      </c>
      <c r="T92" s="7">
        <v>0</v>
      </c>
      <c r="U92" s="7">
        <v>0</v>
      </c>
      <c r="V92" s="7">
        <v>1924.1379999999999</v>
      </c>
      <c r="W92" s="7">
        <v>2548.7069999999999</v>
      </c>
      <c r="X92" s="7">
        <v>0</v>
      </c>
      <c r="Y92" s="7">
        <v>10091.780000000001</v>
      </c>
      <c r="Z92" s="7">
        <v>0</v>
      </c>
      <c r="AA92" s="7">
        <v>20878.276999999998</v>
      </c>
      <c r="AB92" s="7">
        <v>0</v>
      </c>
      <c r="AC92" s="7">
        <v>1363.002</v>
      </c>
      <c r="AD92" s="7">
        <v>0</v>
      </c>
      <c r="AE92" s="7">
        <v>9842.6380000000008</v>
      </c>
      <c r="AF92" s="7">
        <v>0</v>
      </c>
      <c r="AG92" s="7">
        <v>0</v>
      </c>
      <c r="AH92" s="7">
        <v>54349.177000000003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1527.614</v>
      </c>
      <c r="AP92" s="7">
        <v>0</v>
      </c>
      <c r="AQ92" s="7">
        <v>0</v>
      </c>
      <c r="AR92" s="7">
        <v>0</v>
      </c>
      <c r="AS92" s="7">
        <v>33.57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1272.4490000000001</v>
      </c>
      <c r="AZ92" s="7">
        <v>0</v>
      </c>
      <c r="BA92" s="7">
        <v>0</v>
      </c>
      <c r="BB92" s="7">
        <v>583.04700000000003</v>
      </c>
      <c r="BC92" s="7">
        <v>874.24800000000005</v>
      </c>
      <c r="BD92" s="7">
        <v>0</v>
      </c>
      <c r="BE92" s="7">
        <v>168.489</v>
      </c>
      <c r="BF92" s="7">
        <v>168.489</v>
      </c>
      <c r="BG92" s="7">
        <v>0</v>
      </c>
      <c r="BH92" s="7">
        <v>0</v>
      </c>
      <c r="BI92" s="7">
        <v>313.74099999999999</v>
      </c>
      <c r="BJ92" s="21"/>
    </row>
    <row r="93" spans="1:62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3119.8890000000001</v>
      </c>
      <c r="F93" s="7">
        <v>2323.1550000000002</v>
      </c>
      <c r="G93" s="7">
        <v>5577.317</v>
      </c>
      <c r="H93" s="7">
        <v>0</v>
      </c>
      <c r="I93" s="7">
        <v>69.754999999999995</v>
      </c>
      <c r="J93" s="7">
        <v>1790.1590000000001</v>
      </c>
      <c r="K93" s="7">
        <v>0</v>
      </c>
      <c r="L93" s="7">
        <v>8982.4580000000005</v>
      </c>
      <c r="M93" s="7">
        <v>4331.5379999999996</v>
      </c>
      <c r="N93" s="7">
        <v>0</v>
      </c>
      <c r="O93" s="7">
        <v>0</v>
      </c>
      <c r="P93" s="7">
        <v>7.0999999999999994E-2</v>
      </c>
      <c r="Q93" s="7">
        <v>0</v>
      </c>
      <c r="R93" s="7">
        <v>0</v>
      </c>
      <c r="S93" s="7">
        <v>831.40599999999995</v>
      </c>
      <c r="T93" s="7">
        <v>0</v>
      </c>
      <c r="U93" s="7">
        <v>0</v>
      </c>
      <c r="V93" s="7">
        <v>470.38900000000001</v>
      </c>
      <c r="W93" s="7">
        <v>210.33699999999999</v>
      </c>
      <c r="X93" s="7">
        <v>0</v>
      </c>
      <c r="Y93" s="7">
        <v>4604.6769999999997</v>
      </c>
      <c r="Z93" s="7">
        <v>0</v>
      </c>
      <c r="AA93" s="7">
        <v>4036.643</v>
      </c>
      <c r="AB93" s="7">
        <v>0</v>
      </c>
      <c r="AC93" s="7">
        <v>965.899</v>
      </c>
      <c r="AD93" s="7">
        <v>0</v>
      </c>
      <c r="AE93" s="7">
        <v>30934.277999999998</v>
      </c>
      <c r="AF93" s="7">
        <v>0</v>
      </c>
      <c r="AG93" s="7">
        <v>0</v>
      </c>
      <c r="AH93" s="7">
        <v>27517.062999999998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948.46699999999998</v>
      </c>
      <c r="AP93" s="7">
        <v>0</v>
      </c>
      <c r="AQ93" s="7">
        <v>0</v>
      </c>
      <c r="AR93" s="7">
        <v>0</v>
      </c>
      <c r="AS93" s="7">
        <v>2.4470000000000001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29.199000000000002</v>
      </c>
      <c r="AZ93" s="7">
        <v>0</v>
      </c>
      <c r="BA93" s="7">
        <v>0</v>
      </c>
      <c r="BB93" s="7">
        <v>355.43700000000001</v>
      </c>
      <c r="BC93" s="7">
        <v>20.832000000000001</v>
      </c>
      <c r="BD93" s="7">
        <v>0</v>
      </c>
      <c r="BE93" s="7">
        <v>101.872</v>
      </c>
      <c r="BF93" s="7">
        <v>101.872</v>
      </c>
      <c r="BG93" s="7">
        <v>0</v>
      </c>
      <c r="BH93" s="7">
        <v>0</v>
      </c>
      <c r="BI93" s="7">
        <v>7.61</v>
      </c>
      <c r="BJ93" s="21"/>
    </row>
    <row r="94" spans="1:62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22487.342000000001</v>
      </c>
      <c r="F94" s="7">
        <v>18141.882000000001</v>
      </c>
      <c r="G94" s="7">
        <v>20569.147000000001</v>
      </c>
      <c r="H94" s="7">
        <v>0</v>
      </c>
      <c r="I94" s="7">
        <v>792.92600000000004</v>
      </c>
      <c r="J94" s="7">
        <v>12018.777</v>
      </c>
      <c r="K94" s="7">
        <v>0</v>
      </c>
      <c r="L94" s="7">
        <v>62463.616000000002</v>
      </c>
      <c r="M94" s="7">
        <v>15643.715</v>
      </c>
      <c r="N94" s="7">
        <v>0</v>
      </c>
      <c r="O94" s="7">
        <v>0</v>
      </c>
      <c r="P94" s="7">
        <v>0.222</v>
      </c>
      <c r="Q94" s="7">
        <v>0</v>
      </c>
      <c r="R94" s="7">
        <v>0</v>
      </c>
      <c r="S94" s="7">
        <v>6893.2830000000004</v>
      </c>
      <c r="T94" s="7">
        <v>0</v>
      </c>
      <c r="U94" s="7">
        <v>0</v>
      </c>
      <c r="V94" s="7">
        <v>2871.0210000000002</v>
      </c>
      <c r="W94" s="7">
        <v>542.80799999999999</v>
      </c>
      <c r="X94" s="7">
        <v>0</v>
      </c>
      <c r="Y94" s="7">
        <v>19308.571</v>
      </c>
      <c r="Z94" s="7">
        <v>0</v>
      </c>
      <c r="AA94" s="7">
        <v>35277.633000000002</v>
      </c>
      <c r="AB94" s="7">
        <v>0</v>
      </c>
      <c r="AC94" s="7">
        <v>5245.1629999999996</v>
      </c>
      <c r="AD94" s="7">
        <v>0</v>
      </c>
      <c r="AE94" s="7">
        <v>126009.659</v>
      </c>
      <c r="AF94" s="7">
        <v>5539.5559999999996</v>
      </c>
      <c r="AG94" s="7">
        <v>0</v>
      </c>
      <c r="AH94" s="7">
        <v>146609.698</v>
      </c>
      <c r="AI94" s="7">
        <v>8768.83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7133.89</v>
      </c>
      <c r="AP94" s="7">
        <v>0</v>
      </c>
      <c r="AQ94" s="7">
        <v>2106.5949999999998</v>
      </c>
      <c r="AR94" s="7">
        <v>0</v>
      </c>
      <c r="AS94" s="7">
        <v>23.686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74.924000000000007</v>
      </c>
      <c r="AZ94" s="7">
        <v>2840.373</v>
      </c>
      <c r="BA94" s="7">
        <v>0</v>
      </c>
      <c r="BB94" s="7">
        <v>2653.4029999999998</v>
      </c>
      <c r="BC94" s="7">
        <v>0</v>
      </c>
      <c r="BD94" s="7">
        <v>3591.6289999999999</v>
      </c>
      <c r="BE94" s="7">
        <v>762.12699999999995</v>
      </c>
      <c r="BF94" s="7">
        <v>762.12699999999995</v>
      </c>
      <c r="BG94" s="7">
        <v>1215.288</v>
      </c>
      <c r="BH94" s="7">
        <v>0</v>
      </c>
      <c r="BI94" s="7">
        <v>0</v>
      </c>
      <c r="BJ94" s="21"/>
    </row>
    <row r="95" spans="1:62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65209.987999999998</v>
      </c>
      <c r="F95" s="7">
        <v>30524.191999999999</v>
      </c>
      <c r="G95" s="7">
        <v>2239.39</v>
      </c>
      <c r="H95" s="7">
        <v>1077.309</v>
      </c>
      <c r="I95" s="7">
        <v>1899.0730000000001</v>
      </c>
      <c r="J95" s="7">
        <v>17444.973000000002</v>
      </c>
      <c r="K95" s="7">
        <v>0</v>
      </c>
      <c r="L95" s="7">
        <v>129869.58199999999</v>
      </c>
      <c r="M95" s="7">
        <v>8413.0419999999995</v>
      </c>
      <c r="N95" s="7">
        <v>0</v>
      </c>
      <c r="O95" s="7">
        <v>0</v>
      </c>
      <c r="P95" s="7">
        <v>1.347</v>
      </c>
      <c r="Q95" s="7">
        <v>0</v>
      </c>
      <c r="R95" s="7">
        <v>0</v>
      </c>
      <c r="S95" s="7">
        <v>11879.315000000001</v>
      </c>
      <c r="T95" s="7">
        <v>0</v>
      </c>
      <c r="U95" s="7">
        <v>0</v>
      </c>
      <c r="V95" s="7">
        <v>3371.7539999999999</v>
      </c>
      <c r="W95" s="7">
        <v>756.85699999999997</v>
      </c>
      <c r="X95" s="7">
        <v>0</v>
      </c>
      <c r="Y95" s="7">
        <v>17595.628000000001</v>
      </c>
      <c r="Z95" s="7">
        <v>0</v>
      </c>
      <c r="AA95" s="7">
        <v>59580.601999999999</v>
      </c>
      <c r="AB95" s="7">
        <v>0</v>
      </c>
      <c r="AC95" s="7">
        <v>5279.2219999999998</v>
      </c>
      <c r="AD95" s="7">
        <v>0</v>
      </c>
      <c r="AE95" s="7">
        <v>55215.68</v>
      </c>
      <c r="AF95" s="7">
        <v>35385.508999999998</v>
      </c>
      <c r="AG95" s="7">
        <v>0</v>
      </c>
      <c r="AH95" s="7">
        <v>210586.77499999999</v>
      </c>
      <c r="AI95" s="7">
        <v>56943.249000000003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10734.266</v>
      </c>
      <c r="AP95" s="7">
        <v>0</v>
      </c>
      <c r="AQ95" s="7">
        <v>13593.397000000001</v>
      </c>
      <c r="AR95" s="7">
        <v>0</v>
      </c>
      <c r="AS95" s="7">
        <v>52.271000000000001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486.54399999999998</v>
      </c>
      <c r="AZ95" s="7">
        <v>18445.025000000001</v>
      </c>
      <c r="BA95" s="7">
        <v>0</v>
      </c>
      <c r="BB95" s="7">
        <v>3972.0160000000001</v>
      </c>
      <c r="BC95" s="7">
        <v>0</v>
      </c>
      <c r="BD95" s="7">
        <v>23323.594000000001</v>
      </c>
      <c r="BE95" s="7">
        <v>1142.0730000000001</v>
      </c>
      <c r="BF95" s="7">
        <v>1142.0730000000001</v>
      </c>
      <c r="BG95" s="7">
        <v>7891.9269999999997</v>
      </c>
      <c r="BH95" s="7">
        <v>0</v>
      </c>
      <c r="BI95" s="7">
        <v>0</v>
      </c>
      <c r="BJ95" s="21"/>
    </row>
    <row r="96" spans="1:62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1620.6310000000001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445688.74099999998</v>
      </c>
      <c r="F104" s="7">
        <v>86850.634999999995</v>
      </c>
      <c r="G104" s="7">
        <v>0</v>
      </c>
      <c r="H104" s="7">
        <v>14841.732</v>
      </c>
      <c r="I104" s="7">
        <v>1851.9880000000001</v>
      </c>
      <c r="J104" s="7">
        <v>0</v>
      </c>
      <c r="K104" s="7">
        <v>0</v>
      </c>
      <c r="L104" s="7">
        <v>1093177.1510000001</v>
      </c>
      <c r="M104" s="7">
        <v>46539.152000000002</v>
      </c>
      <c r="N104" s="7">
        <v>0</v>
      </c>
      <c r="O104" s="7">
        <v>260.66500000000002</v>
      </c>
      <c r="P104" s="7">
        <v>17.8</v>
      </c>
      <c r="Q104" s="7">
        <v>229.22200000000001</v>
      </c>
      <c r="R104" s="7">
        <v>0</v>
      </c>
      <c r="S104" s="7">
        <v>28172.595000000001</v>
      </c>
      <c r="T104" s="7">
        <v>0</v>
      </c>
      <c r="U104" s="7">
        <v>0</v>
      </c>
      <c r="V104" s="7">
        <v>0</v>
      </c>
      <c r="W104" s="7">
        <v>9910.2170000000006</v>
      </c>
      <c r="X104" s="7">
        <v>0</v>
      </c>
      <c r="Y104" s="7">
        <v>218704.30499999999</v>
      </c>
      <c r="Z104" s="7">
        <v>0</v>
      </c>
      <c r="AA104" s="7">
        <v>0</v>
      </c>
      <c r="AB104" s="7">
        <v>15281.529</v>
      </c>
      <c r="AC104" s="7">
        <v>17983.352999999999</v>
      </c>
      <c r="AD104" s="7">
        <v>0</v>
      </c>
      <c r="AE104" s="7">
        <v>561379.52099999995</v>
      </c>
      <c r="AF104" s="7">
        <v>486352.45</v>
      </c>
      <c r="AG104" s="7">
        <v>0</v>
      </c>
      <c r="AH104" s="7">
        <v>1756532.652</v>
      </c>
      <c r="AI104" s="7">
        <v>792184.40599999996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19401.013999999999</v>
      </c>
      <c r="AP104" s="7">
        <v>0</v>
      </c>
      <c r="AQ104" s="7">
        <v>188236.84599999999</v>
      </c>
      <c r="AR104" s="7">
        <v>0</v>
      </c>
      <c r="AS104" s="7">
        <v>265.27600000000001</v>
      </c>
      <c r="AT104" s="7">
        <v>0</v>
      </c>
      <c r="AU104" s="7">
        <v>4701.2749999999996</v>
      </c>
      <c r="AV104" s="7">
        <v>0</v>
      </c>
      <c r="AW104" s="7">
        <v>0</v>
      </c>
      <c r="AX104" s="7">
        <v>0</v>
      </c>
      <c r="AY104" s="7">
        <v>6768.7520000000004</v>
      </c>
      <c r="AZ104" s="7">
        <v>256605.35800000001</v>
      </c>
      <c r="BA104" s="7">
        <v>0</v>
      </c>
      <c r="BB104" s="7">
        <v>7180.2209999999995</v>
      </c>
      <c r="BC104" s="7">
        <v>0</v>
      </c>
      <c r="BD104" s="7">
        <v>324475.52500000002</v>
      </c>
      <c r="BE104" s="7">
        <v>1999.6410000000001</v>
      </c>
      <c r="BF104" s="7">
        <v>1999.6410000000001</v>
      </c>
      <c r="BG104" s="7">
        <v>109791.702</v>
      </c>
      <c r="BH104" s="7">
        <v>0</v>
      </c>
      <c r="BI104" s="7">
        <v>0</v>
      </c>
      <c r="BJ104" s="21"/>
    </row>
    <row r="105" spans="1:62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224696.31700000001</v>
      </c>
      <c r="F105" s="7">
        <v>49247.317999999999</v>
      </c>
      <c r="G105" s="7">
        <v>133.62899999999999</v>
      </c>
      <c r="H105" s="7">
        <v>11539.084999999999</v>
      </c>
      <c r="I105" s="7">
        <v>932.7</v>
      </c>
      <c r="J105" s="7">
        <v>77.679000000000002</v>
      </c>
      <c r="K105" s="7">
        <v>0</v>
      </c>
      <c r="L105" s="7">
        <v>558983.63</v>
      </c>
      <c r="M105" s="7">
        <v>23410.434000000001</v>
      </c>
      <c r="N105" s="7">
        <v>0</v>
      </c>
      <c r="O105" s="7">
        <v>77.153000000000006</v>
      </c>
      <c r="P105" s="7">
        <v>8.8520000000000003</v>
      </c>
      <c r="Q105" s="7">
        <v>67.846999999999994</v>
      </c>
      <c r="R105" s="7">
        <v>0</v>
      </c>
      <c r="S105" s="7">
        <v>14031.796</v>
      </c>
      <c r="T105" s="7">
        <v>0</v>
      </c>
      <c r="U105" s="7">
        <v>0</v>
      </c>
      <c r="V105" s="7">
        <v>19.363</v>
      </c>
      <c r="W105" s="7">
        <v>4947.6149999999998</v>
      </c>
      <c r="X105" s="7">
        <v>0</v>
      </c>
      <c r="Y105" s="7">
        <v>108722.311</v>
      </c>
      <c r="Z105" s="7">
        <v>0</v>
      </c>
      <c r="AA105" s="7">
        <v>210.10599999999999</v>
      </c>
      <c r="AB105" s="7">
        <v>4523.125</v>
      </c>
      <c r="AC105" s="7">
        <v>8945.2520000000004</v>
      </c>
      <c r="AD105" s="7">
        <v>0</v>
      </c>
      <c r="AE105" s="7">
        <v>276850.15899999999</v>
      </c>
      <c r="AF105" s="7">
        <v>241549.74799999999</v>
      </c>
      <c r="AG105" s="7">
        <v>0</v>
      </c>
      <c r="AH105" s="7">
        <v>889836.11499999999</v>
      </c>
      <c r="AI105" s="7">
        <v>393442.95199999999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9650.9979999999996</v>
      </c>
      <c r="AP105" s="7">
        <v>0</v>
      </c>
      <c r="AQ105" s="7">
        <v>93488.914999999994</v>
      </c>
      <c r="AR105" s="7">
        <v>0</v>
      </c>
      <c r="AS105" s="7">
        <v>132.089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3374.5450000000001</v>
      </c>
      <c r="AZ105" s="7">
        <v>127444.53</v>
      </c>
      <c r="BA105" s="7">
        <v>0</v>
      </c>
      <c r="BB105" s="7">
        <v>3571.9659999999999</v>
      </c>
      <c r="BC105" s="7">
        <v>8.798</v>
      </c>
      <c r="BD105" s="7">
        <v>161152.64000000001</v>
      </c>
      <c r="BE105" s="7">
        <v>994.82899999999995</v>
      </c>
      <c r="BF105" s="7">
        <v>994.82899999999995</v>
      </c>
      <c r="BG105" s="7">
        <v>54528.682000000001</v>
      </c>
      <c r="BH105" s="7">
        <v>0</v>
      </c>
      <c r="BI105" s="7">
        <v>3.157</v>
      </c>
      <c r="BJ105" s="21"/>
    </row>
    <row r="106" spans="1:62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96978.027000000002</v>
      </c>
      <c r="F106" s="7">
        <v>18519.642</v>
      </c>
      <c r="G106" s="7">
        <v>172.33600000000001</v>
      </c>
      <c r="H106" s="7">
        <v>5710.7879999999996</v>
      </c>
      <c r="I106" s="7">
        <v>409.07900000000001</v>
      </c>
      <c r="J106" s="7">
        <v>100.18</v>
      </c>
      <c r="K106" s="7">
        <v>0</v>
      </c>
      <c r="L106" s="7">
        <v>232006.011</v>
      </c>
      <c r="M106" s="7">
        <v>10259.26</v>
      </c>
      <c r="N106" s="7">
        <v>0</v>
      </c>
      <c r="O106" s="7">
        <v>149.52699999999999</v>
      </c>
      <c r="P106" s="7">
        <v>3.7869999999999999</v>
      </c>
      <c r="Q106" s="7">
        <v>131.49</v>
      </c>
      <c r="R106" s="7">
        <v>0</v>
      </c>
      <c r="S106" s="7">
        <v>6021.0929999999998</v>
      </c>
      <c r="T106" s="7">
        <v>0</v>
      </c>
      <c r="U106" s="7">
        <v>0</v>
      </c>
      <c r="V106" s="7">
        <v>24.972000000000001</v>
      </c>
      <c r="W106" s="7">
        <v>2133.0889999999999</v>
      </c>
      <c r="X106" s="7">
        <v>0</v>
      </c>
      <c r="Y106" s="7">
        <v>46475.212</v>
      </c>
      <c r="Z106" s="7">
        <v>0</v>
      </c>
      <c r="AA106" s="7">
        <v>270.96600000000001</v>
      </c>
      <c r="AB106" s="7">
        <v>8766.0529999999999</v>
      </c>
      <c r="AC106" s="7">
        <v>3828.4270000000001</v>
      </c>
      <c r="AD106" s="7">
        <v>0</v>
      </c>
      <c r="AE106" s="7">
        <v>122801.81200000001</v>
      </c>
      <c r="AF106" s="7">
        <v>103062.514</v>
      </c>
      <c r="AG106" s="7">
        <v>0</v>
      </c>
      <c r="AH106" s="7">
        <v>372978.11300000001</v>
      </c>
      <c r="AI106" s="7">
        <v>167875.995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4130.9709999999995</v>
      </c>
      <c r="AP106" s="7">
        <v>0</v>
      </c>
      <c r="AQ106" s="7">
        <v>39888.072</v>
      </c>
      <c r="AR106" s="7">
        <v>0</v>
      </c>
      <c r="AS106" s="7">
        <v>56.649000000000001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1450.837</v>
      </c>
      <c r="AZ106" s="7">
        <v>54375.608</v>
      </c>
      <c r="BA106" s="7">
        <v>0</v>
      </c>
      <c r="BB106" s="7">
        <v>1529.0820000000001</v>
      </c>
      <c r="BC106" s="7">
        <v>11.346</v>
      </c>
      <c r="BD106" s="7">
        <v>68757.543000000005</v>
      </c>
      <c r="BE106" s="7">
        <v>425.91800000000001</v>
      </c>
      <c r="BF106" s="7">
        <v>425.91800000000001</v>
      </c>
      <c r="BG106" s="7">
        <v>23265.260999999999</v>
      </c>
      <c r="BH106" s="7">
        <v>0</v>
      </c>
      <c r="BI106" s="7">
        <v>4.0720000000000001</v>
      </c>
      <c r="BJ106" s="21"/>
    </row>
    <row r="107" spans="1:62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21"/>
    </row>
    <row r="108" spans="1:62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21"/>
    </row>
    <row r="109" spans="1:62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135700.51</v>
      </c>
      <c r="F110" s="7">
        <v>1833.11</v>
      </c>
      <c r="G110" s="7">
        <v>23.102</v>
      </c>
      <c r="H110" s="7">
        <v>10488.571</v>
      </c>
      <c r="I110" s="7">
        <v>100.033</v>
      </c>
      <c r="J110" s="7">
        <v>166.47200000000001</v>
      </c>
      <c r="K110" s="7">
        <v>0</v>
      </c>
      <c r="L110" s="7">
        <v>187412.67499999999</v>
      </c>
      <c r="M110" s="7">
        <v>31773.053</v>
      </c>
      <c r="N110" s="7">
        <v>0</v>
      </c>
      <c r="O110" s="7">
        <v>0</v>
      </c>
      <c r="P110" s="7">
        <v>27.744</v>
      </c>
      <c r="Q110" s="7">
        <v>0</v>
      </c>
      <c r="R110" s="7">
        <v>27.445</v>
      </c>
      <c r="S110" s="7">
        <v>93.35</v>
      </c>
      <c r="T110" s="7">
        <v>0</v>
      </c>
      <c r="U110" s="7">
        <v>0</v>
      </c>
      <c r="V110" s="7">
        <v>31.634</v>
      </c>
      <c r="W110" s="7">
        <v>274.84800000000001</v>
      </c>
      <c r="X110" s="7">
        <v>0</v>
      </c>
      <c r="Y110" s="7">
        <v>52369.688999999998</v>
      </c>
      <c r="Z110" s="7">
        <v>0</v>
      </c>
      <c r="AA110" s="7">
        <v>3143.4009999999998</v>
      </c>
      <c r="AB110" s="7">
        <v>0</v>
      </c>
      <c r="AC110" s="7">
        <v>256.65699999999998</v>
      </c>
      <c r="AD110" s="7">
        <v>0</v>
      </c>
      <c r="AE110" s="7">
        <v>159165.486</v>
      </c>
      <c r="AF110" s="7">
        <v>6412.54</v>
      </c>
      <c r="AG110" s="7">
        <v>0</v>
      </c>
      <c r="AH110" s="7">
        <v>462717.511</v>
      </c>
      <c r="AI110" s="7">
        <v>9728.6659999999993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88.177999999999997</v>
      </c>
      <c r="AP110" s="7">
        <v>0</v>
      </c>
      <c r="AQ110" s="7">
        <v>2.8740000000000001</v>
      </c>
      <c r="AR110" s="7">
        <v>0</v>
      </c>
      <c r="AS110" s="7">
        <v>0.32200000000000001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8.2000000000000003E-2</v>
      </c>
      <c r="AZ110" s="7">
        <v>3.1030000000000002</v>
      </c>
      <c r="BA110" s="7">
        <v>0</v>
      </c>
      <c r="BB110" s="7">
        <v>32.624000000000002</v>
      </c>
      <c r="BC110" s="7">
        <v>0</v>
      </c>
      <c r="BD110" s="7">
        <v>3.923</v>
      </c>
      <c r="BE110" s="7">
        <v>9.4239999999999995</v>
      </c>
      <c r="BF110" s="7">
        <v>9.4239999999999995</v>
      </c>
      <c r="BG110" s="7">
        <v>1.327</v>
      </c>
      <c r="BH110" s="7">
        <v>0</v>
      </c>
      <c r="BI110" s="7">
        <v>0</v>
      </c>
      <c r="BJ110" s="21"/>
    </row>
    <row r="111" spans="1:62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122232.232</v>
      </c>
      <c r="F111" s="7">
        <v>24120.94</v>
      </c>
      <c r="G111" s="7">
        <v>0</v>
      </c>
      <c r="H111" s="7">
        <v>0</v>
      </c>
      <c r="I111" s="7">
        <v>512.63800000000003</v>
      </c>
      <c r="J111" s="7">
        <v>0</v>
      </c>
      <c r="K111" s="7">
        <v>0</v>
      </c>
      <c r="L111" s="7">
        <v>303239.39500000002</v>
      </c>
      <c r="M111" s="7">
        <v>12896.678</v>
      </c>
      <c r="N111" s="7">
        <v>0</v>
      </c>
      <c r="O111" s="7">
        <v>0</v>
      </c>
      <c r="P111" s="7">
        <v>4.9269999999999996</v>
      </c>
      <c r="Q111" s="7">
        <v>0</v>
      </c>
      <c r="R111" s="7">
        <v>0</v>
      </c>
      <c r="S111" s="7">
        <v>7798.2929999999997</v>
      </c>
      <c r="T111" s="7">
        <v>0</v>
      </c>
      <c r="U111" s="7">
        <v>0</v>
      </c>
      <c r="V111" s="7">
        <v>0</v>
      </c>
      <c r="W111" s="7">
        <v>2743.19</v>
      </c>
      <c r="X111" s="7">
        <v>0</v>
      </c>
      <c r="Y111" s="7">
        <v>60581.588000000003</v>
      </c>
      <c r="Z111" s="7">
        <v>0</v>
      </c>
      <c r="AA111" s="7">
        <v>0</v>
      </c>
      <c r="AB111" s="7">
        <v>7.2169999999999996</v>
      </c>
      <c r="AC111" s="7">
        <v>4977.8680000000004</v>
      </c>
      <c r="AD111" s="7">
        <v>0</v>
      </c>
      <c r="AE111" s="7">
        <v>153061.03400000001</v>
      </c>
      <c r="AF111" s="7">
        <v>134717.30900000001</v>
      </c>
      <c r="AG111" s="7">
        <v>0</v>
      </c>
      <c r="AH111" s="7">
        <v>487224.88500000001</v>
      </c>
      <c r="AI111" s="7">
        <v>219362.995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5370.2820000000002</v>
      </c>
      <c r="AP111" s="7">
        <v>0</v>
      </c>
      <c r="AQ111" s="7">
        <v>52111.97</v>
      </c>
      <c r="AR111" s="7">
        <v>0</v>
      </c>
      <c r="AS111" s="7">
        <v>73.429000000000002</v>
      </c>
      <c r="AT111" s="7">
        <v>0</v>
      </c>
      <c r="AU111" s="7">
        <v>180.14500000000001</v>
      </c>
      <c r="AV111" s="7">
        <v>0</v>
      </c>
      <c r="AW111" s="7">
        <v>0</v>
      </c>
      <c r="AX111" s="7">
        <v>0</v>
      </c>
      <c r="AY111" s="7">
        <v>1873.6189999999999</v>
      </c>
      <c r="AZ111" s="7">
        <v>71029.445000000007</v>
      </c>
      <c r="BA111" s="7">
        <v>0</v>
      </c>
      <c r="BB111" s="7">
        <v>1987.5160000000001</v>
      </c>
      <c r="BC111" s="7">
        <v>0</v>
      </c>
      <c r="BD111" s="7">
        <v>89816.194000000003</v>
      </c>
      <c r="BE111" s="7">
        <v>553.50900000000001</v>
      </c>
      <c r="BF111" s="7">
        <v>553.50900000000001</v>
      </c>
      <c r="BG111" s="7">
        <v>30390.806</v>
      </c>
      <c r="BH111" s="7">
        <v>0</v>
      </c>
      <c r="BI111" s="7">
        <v>0</v>
      </c>
      <c r="BJ111" s="21"/>
    </row>
    <row r="112" spans="1:62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173741.823</v>
      </c>
      <c r="F112" s="7">
        <v>33748.120000000003</v>
      </c>
      <c r="G112" s="7">
        <v>0</v>
      </c>
      <c r="H112" s="7">
        <v>0</v>
      </c>
      <c r="I112" s="7">
        <v>1212.933</v>
      </c>
      <c r="J112" s="7">
        <v>0</v>
      </c>
      <c r="K112" s="7">
        <v>0</v>
      </c>
      <c r="L112" s="7">
        <v>403243.641</v>
      </c>
      <c r="M112" s="7">
        <v>13656.027</v>
      </c>
      <c r="N112" s="7">
        <v>0</v>
      </c>
      <c r="O112" s="7">
        <v>0</v>
      </c>
      <c r="P112" s="7">
        <v>0.26400000000000001</v>
      </c>
      <c r="Q112" s="7">
        <v>0</v>
      </c>
      <c r="R112" s="7">
        <v>0</v>
      </c>
      <c r="S112" s="7">
        <v>10600.43</v>
      </c>
      <c r="T112" s="7">
        <v>0</v>
      </c>
      <c r="U112" s="7">
        <v>0</v>
      </c>
      <c r="V112" s="7">
        <v>0</v>
      </c>
      <c r="W112" s="7">
        <v>3113.8240000000001</v>
      </c>
      <c r="X112" s="7">
        <v>77485.535999999993</v>
      </c>
      <c r="Y112" s="7">
        <v>89125.225000000006</v>
      </c>
      <c r="Z112" s="7">
        <v>0</v>
      </c>
      <c r="AA112" s="7">
        <v>0</v>
      </c>
      <c r="AB112" s="7">
        <v>0</v>
      </c>
      <c r="AC112" s="7">
        <v>6669.1409999999996</v>
      </c>
      <c r="AD112" s="7">
        <v>0</v>
      </c>
      <c r="AE112" s="7">
        <v>226445.75399999999</v>
      </c>
      <c r="AF112" s="7">
        <v>201496.476</v>
      </c>
      <c r="AG112" s="7">
        <v>0</v>
      </c>
      <c r="AH112" s="7">
        <v>814016.353</v>
      </c>
      <c r="AI112" s="7">
        <v>302172.62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8058.8909999999996</v>
      </c>
      <c r="AP112" s="7">
        <v>87059.517000000007</v>
      </c>
      <c r="AQ112" s="7">
        <v>76963.786999999997</v>
      </c>
      <c r="AR112" s="7">
        <v>24264.118999999999</v>
      </c>
      <c r="AS112" s="7">
        <v>97.167000000000002</v>
      </c>
      <c r="AT112" s="7">
        <v>0</v>
      </c>
      <c r="AU112" s="7">
        <v>0</v>
      </c>
      <c r="AV112" s="7">
        <v>70392.989000000001</v>
      </c>
      <c r="AW112" s="7">
        <v>126587.124</v>
      </c>
      <c r="AX112" s="7">
        <v>96287.543000000005</v>
      </c>
      <c r="AY112" s="7">
        <v>100.357</v>
      </c>
      <c r="AZ112" s="7">
        <v>3804.5639999999999</v>
      </c>
      <c r="BA112" s="7">
        <v>76198.327000000005</v>
      </c>
      <c r="BB112" s="7">
        <v>3068.3240000000001</v>
      </c>
      <c r="BC112" s="7">
        <v>0</v>
      </c>
      <c r="BD112" s="7">
        <v>4810.8419999999996</v>
      </c>
      <c r="BE112" s="7">
        <v>911.52599999999995</v>
      </c>
      <c r="BF112" s="7">
        <v>911.52599999999995</v>
      </c>
      <c r="BG112" s="7">
        <v>1627.829</v>
      </c>
      <c r="BH112" s="7">
        <v>0</v>
      </c>
      <c r="BI112" s="7">
        <v>0</v>
      </c>
      <c r="BJ112" s="21"/>
    </row>
    <row r="113" spans="1:62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0.64300000000000002</v>
      </c>
      <c r="F113" s="7">
        <v>3.5999999999999997E-2</v>
      </c>
      <c r="G113" s="7">
        <v>3.4000000000000002E-2</v>
      </c>
      <c r="H113" s="7">
        <v>0</v>
      </c>
      <c r="I113" s="7">
        <v>7.0000000000000001E-3</v>
      </c>
      <c r="J113" s="7">
        <v>2.1000000000000001E-2</v>
      </c>
      <c r="K113" s="7">
        <v>0</v>
      </c>
      <c r="L113" s="7">
        <v>0.34699999999999998</v>
      </c>
      <c r="M113" s="7">
        <v>9.7000000000000003E-2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7.0000000000000001E-3</v>
      </c>
      <c r="W113" s="7">
        <v>0.02</v>
      </c>
      <c r="X113" s="7">
        <v>0</v>
      </c>
      <c r="Y113" s="7">
        <v>0.154</v>
      </c>
      <c r="Z113" s="7">
        <v>0</v>
      </c>
      <c r="AA113" s="7">
        <v>7.4999999999999997E-2</v>
      </c>
      <c r="AB113" s="7">
        <v>0</v>
      </c>
      <c r="AC113" s="7">
        <v>1.4E-2</v>
      </c>
      <c r="AD113" s="7">
        <v>0</v>
      </c>
      <c r="AE113" s="7">
        <v>0.41799999999999998</v>
      </c>
      <c r="AF113" s="7">
        <v>0</v>
      </c>
      <c r="AG113" s="7">
        <v>0</v>
      </c>
      <c r="AH113" s="7">
        <v>1.323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18202.683000000001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65389.415000000001</v>
      </c>
      <c r="M115" s="7">
        <v>9236.1110000000008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3605.4340000000002</v>
      </c>
      <c r="AF115" s="7">
        <v>0</v>
      </c>
      <c r="AG115" s="7">
        <v>0</v>
      </c>
      <c r="AH115" s="7">
        <v>45069.714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49760.826999999997</v>
      </c>
      <c r="F116" s="7">
        <v>9007.9940000000006</v>
      </c>
      <c r="G116" s="7">
        <v>0</v>
      </c>
      <c r="H116" s="7">
        <v>24346.264999999999</v>
      </c>
      <c r="I116" s="7">
        <v>192.08500000000001</v>
      </c>
      <c r="J116" s="7">
        <v>0</v>
      </c>
      <c r="K116" s="7">
        <v>0</v>
      </c>
      <c r="L116" s="7">
        <v>113398.88499999999</v>
      </c>
      <c r="M116" s="7">
        <v>4826.9579999999996</v>
      </c>
      <c r="N116" s="7">
        <v>0</v>
      </c>
      <c r="O116" s="7">
        <v>221.803</v>
      </c>
      <c r="P116" s="7">
        <v>1.8460000000000001</v>
      </c>
      <c r="Q116" s="7">
        <v>195.048</v>
      </c>
      <c r="R116" s="7">
        <v>0</v>
      </c>
      <c r="S116" s="7">
        <v>2922.0120000000002</v>
      </c>
      <c r="T116" s="7">
        <v>0</v>
      </c>
      <c r="U116" s="7">
        <v>0</v>
      </c>
      <c r="V116" s="7">
        <v>0</v>
      </c>
      <c r="W116" s="7">
        <v>1027.8699999999999</v>
      </c>
      <c r="X116" s="7">
        <v>0</v>
      </c>
      <c r="Y116" s="7">
        <v>22683.623</v>
      </c>
      <c r="Z116" s="7">
        <v>0</v>
      </c>
      <c r="AA116" s="7">
        <v>0</v>
      </c>
      <c r="AB116" s="7">
        <v>13003.237999999999</v>
      </c>
      <c r="AC116" s="7">
        <v>1865.202</v>
      </c>
      <c r="AD116" s="7">
        <v>13541.463</v>
      </c>
      <c r="AE116" s="7">
        <v>65900.430999999997</v>
      </c>
      <c r="AF116" s="7">
        <v>50443.614999999998</v>
      </c>
      <c r="AG116" s="7">
        <v>62730.911</v>
      </c>
      <c r="AH116" s="7">
        <v>182184.45499999999</v>
      </c>
      <c r="AI116" s="7">
        <v>82163.963000000003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2012.239</v>
      </c>
      <c r="AP116" s="7">
        <v>0</v>
      </c>
      <c r="AQ116" s="7">
        <v>19523.592000000001</v>
      </c>
      <c r="AR116" s="7">
        <v>0</v>
      </c>
      <c r="AS116" s="7">
        <v>27.513999999999999</v>
      </c>
      <c r="AT116" s="7">
        <v>0</v>
      </c>
      <c r="AU116" s="7">
        <v>2816.346</v>
      </c>
      <c r="AV116" s="7">
        <v>0</v>
      </c>
      <c r="AW116" s="7">
        <v>0</v>
      </c>
      <c r="AX116" s="7">
        <v>0</v>
      </c>
      <c r="AY116" s="7">
        <v>702.04300000000001</v>
      </c>
      <c r="AZ116" s="7">
        <v>49953.169000000002</v>
      </c>
      <c r="BA116" s="7">
        <v>0</v>
      </c>
      <c r="BB116" s="7">
        <v>744.72</v>
      </c>
      <c r="BC116" s="7">
        <v>0</v>
      </c>
      <c r="BD116" s="7">
        <v>33654.027000000002</v>
      </c>
      <c r="BE116" s="7">
        <v>207.399</v>
      </c>
      <c r="BF116" s="7">
        <v>207.399</v>
      </c>
      <c r="BG116" s="7">
        <v>11387.401</v>
      </c>
      <c r="BH116" s="7">
        <v>0</v>
      </c>
      <c r="BI116" s="7">
        <v>0</v>
      </c>
      <c r="BJ116" s="21"/>
    </row>
    <row r="117" spans="1:62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92.616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276.77600000000001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653286.81999999995</v>
      </c>
      <c r="AL117" s="7">
        <v>345312.39500000002</v>
      </c>
      <c r="AM117" s="7">
        <v>0</v>
      </c>
      <c r="AN117" s="7">
        <v>230152.74100000001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903.85299999999995</v>
      </c>
      <c r="AV117" s="7">
        <v>0</v>
      </c>
      <c r="AW117" s="7">
        <v>0</v>
      </c>
      <c r="AX117" s="7">
        <v>343.93599999999998</v>
      </c>
      <c r="AY117" s="7">
        <v>0</v>
      </c>
      <c r="AZ117" s="7">
        <v>0</v>
      </c>
      <c r="BA117" s="7">
        <v>272.178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21"/>
    </row>
    <row r="118" spans="1:62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25699.966</v>
      </c>
      <c r="F118" s="7">
        <v>3703.0790000000002</v>
      </c>
      <c r="G118" s="7">
        <v>5575.8630000000003</v>
      </c>
      <c r="H118" s="7">
        <v>0</v>
      </c>
      <c r="I118" s="7">
        <v>538.21600000000001</v>
      </c>
      <c r="J118" s="7">
        <v>3241.7510000000002</v>
      </c>
      <c r="K118" s="7">
        <v>11852.004000000001</v>
      </c>
      <c r="L118" s="7">
        <v>9844.3629999999994</v>
      </c>
      <c r="M118" s="7">
        <v>12371.726000000001</v>
      </c>
      <c r="N118" s="7">
        <v>2320.8939999999998</v>
      </c>
      <c r="O118" s="7">
        <v>0</v>
      </c>
      <c r="P118" s="7">
        <v>0.47299999999999998</v>
      </c>
      <c r="Q118" s="7">
        <v>0</v>
      </c>
      <c r="R118" s="7">
        <v>0</v>
      </c>
      <c r="S118" s="7">
        <v>1656.662</v>
      </c>
      <c r="T118" s="7">
        <v>0</v>
      </c>
      <c r="U118" s="7">
        <v>9451.3130000000001</v>
      </c>
      <c r="V118" s="7">
        <v>807.84799999999996</v>
      </c>
      <c r="W118" s="7">
        <v>1070.346</v>
      </c>
      <c r="X118" s="7">
        <v>0</v>
      </c>
      <c r="Y118" s="7">
        <v>4237.9780000000001</v>
      </c>
      <c r="Z118" s="7">
        <v>0</v>
      </c>
      <c r="AA118" s="7">
        <v>8766.0619999999999</v>
      </c>
      <c r="AB118" s="7">
        <v>0</v>
      </c>
      <c r="AC118" s="7">
        <v>572.25599999999997</v>
      </c>
      <c r="AD118" s="7">
        <v>11473.605</v>
      </c>
      <c r="AE118" s="7">
        <v>4138.3959999999997</v>
      </c>
      <c r="AF118" s="7">
        <v>0</v>
      </c>
      <c r="AG118" s="7">
        <v>49018.163999999997</v>
      </c>
      <c r="AH118" s="7">
        <v>22890.21</v>
      </c>
      <c r="AI118" s="7">
        <v>0</v>
      </c>
      <c r="AJ118" s="7">
        <v>0</v>
      </c>
      <c r="AK118" s="7">
        <v>0</v>
      </c>
      <c r="AL118" s="7">
        <v>0</v>
      </c>
      <c r="AM118" s="7">
        <v>2477.5279999999998</v>
      </c>
      <c r="AN118" s="7">
        <v>0</v>
      </c>
      <c r="AO118" s="7">
        <v>641.38</v>
      </c>
      <c r="AP118" s="7">
        <v>0</v>
      </c>
      <c r="AQ118" s="7">
        <v>0</v>
      </c>
      <c r="AR118" s="7">
        <v>0</v>
      </c>
      <c r="AS118" s="7">
        <v>60.036999999999999</v>
      </c>
      <c r="AT118" s="7">
        <v>0</v>
      </c>
      <c r="AU118" s="7">
        <v>2285.2939999999999</v>
      </c>
      <c r="AV118" s="7">
        <v>0</v>
      </c>
      <c r="AW118" s="7">
        <v>0</v>
      </c>
      <c r="AX118" s="7">
        <v>0</v>
      </c>
      <c r="AY118" s="7">
        <v>534.23699999999997</v>
      </c>
      <c r="AZ118" s="7">
        <v>0</v>
      </c>
      <c r="BA118" s="7">
        <v>0</v>
      </c>
      <c r="BB118" s="7">
        <v>244.8</v>
      </c>
      <c r="BC118" s="7">
        <v>367.05700000000002</v>
      </c>
      <c r="BD118" s="7">
        <v>0</v>
      </c>
      <c r="BE118" s="7">
        <v>70.742999999999995</v>
      </c>
      <c r="BF118" s="7">
        <v>70.742999999999995</v>
      </c>
      <c r="BG118" s="7">
        <v>0</v>
      </c>
      <c r="BH118" s="7">
        <v>0</v>
      </c>
      <c r="BI118" s="7">
        <v>131.727</v>
      </c>
      <c r="BJ118" s="21"/>
    </row>
    <row r="119" spans="1:62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422480.95400000003</v>
      </c>
      <c r="F122" s="7">
        <v>73711.167000000001</v>
      </c>
      <c r="G122" s="7">
        <v>0</v>
      </c>
      <c r="H122" s="7">
        <v>0</v>
      </c>
      <c r="I122" s="7">
        <v>2429.9540000000002</v>
      </c>
      <c r="J122" s="7">
        <v>0</v>
      </c>
      <c r="K122" s="7">
        <v>0</v>
      </c>
      <c r="L122" s="7">
        <v>976614.37399999995</v>
      </c>
      <c r="M122" s="7">
        <v>20675.145</v>
      </c>
      <c r="N122" s="7">
        <v>0</v>
      </c>
      <c r="O122" s="7">
        <v>2600.7359999999999</v>
      </c>
      <c r="P122" s="7">
        <v>0</v>
      </c>
      <c r="Q122" s="7">
        <v>596.1</v>
      </c>
      <c r="R122" s="7">
        <v>0</v>
      </c>
      <c r="S122" s="7">
        <v>23315.942999999999</v>
      </c>
      <c r="T122" s="7">
        <v>0</v>
      </c>
      <c r="U122" s="7">
        <v>0</v>
      </c>
      <c r="V122" s="7">
        <v>0</v>
      </c>
      <c r="W122" s="7">
        <v>6639.2259999999997</v>
      </c>
      <c r="X122" s="7">
        <v>95783.423999999999</v>
      </c>
      <c r="Y122" s="7">
        <v>217080.807</v>
      </c>
      <c r="Z122" s="7">
        <v>20809.277999999998</v>
      </c>
      <c r="AA122" s="7">
        <v>0</v>
      </c>
      <c r="AB122" s="7">
        <v>51583.815999999999</v>
      </c>
      <c r="AC122" s="7">
        <v>15009.073</v>
      </c>
      <c r="AD122" s="7">
        <v>7639.62</v>
      </c>
      <c r="AE122" s="7">
        <v>565541.33200000005</v>
      </c>
      <c r="AF122" s="7">
        <v>473784.99300000002</v>
      </c>
      <c r="AG122" s="7">
        <v>32878.603000000003</v>
      </c>
      <c r="AH122" s="7">
        <v>1710053.2509999999</v>
      </c>
      <c r="AI122" s="7">
        <v>704683.58</v>
      </c>
      <c r="AJ122" s="7">
        <v>117251.20600000001</v>
      </c>
      <c r="AK122" s="7">
        <v>1963476.308</v>
      </c>
      <c r="AL122" s="7">
        <v>1037848.44</v>
      </c>
      <c r="AM122" s="7">
        <v>0</v>
      </c>
      <c r="AN122" s="7">
        <v>691732.08700000006</v>
      </c>
      <c r="AO122" s="7">
        <v>19644.46</v>
      </c>
      <c r="AP122" s="7">
        <v>0</v>
      </c>
      <c r="AQ122" s="7">
        <v>185345.74</v>
      </c>
      <c r="AR122" s="7">
        <v>0</v>
      </c>
      <c r="AS122" s="7">
        <v>235.68199999999999</v>
      </c>
      <c r="AT122" s="7">
        <v>0</v>
      </c>
      <c r="AU122" s="7">
        <v>5329.491</v>
      </c>
      <c r="AV122" s="7">
        <v>0</v>
      </c>
      <c r="AW122" s="7">
        <v>0</v>
      </c>
      <c r="AX122" s="7">
        <v>119025.447</v>
      </c>
      <c r="AY122" s="7">
        <v>0</v>
      </c>
      <c r="AZ122" s="7">
        <v>0</v>
      </c>
      <c r="BA122" s="7">
        <v>94192.244999999995</v>
      </c>
      <c r="BB122" s="7">
        <v>7487.125</v>
      </c>
      <c r="BC122" s="7">
        <v>0</v>
      </c>
      <c r="BD122" s="7">
        <v>0</v>
      </c>
      <c r="BE122" s="7">
        <v>2229.248</v>
      </c>
      <c r="BF122" s="7">
        <v>2229.248</v>
      </c>
      <c r="BG122" s="7">
        <v>0</v>
      </c>
      <c r="BH122" s="7">
        <v>60433.561999999998</v>
      </c>
      <c r="BI122" s="7">
        <v>0</v>
      </c>
      <c r="BJ122" s="21"/>
    </row>
    <row r="123" spans="1:62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1258.289</v>
      </c>
      <c r="F123" s="7">
        <v>1191.741</v>
      </c>
      <c r="G123" s="7">
        <v>1311.7339999999999</v>
      </c>
      <c r="H123" s="7">
        <v>1.782</v>
      </c>
      <c r="I123" s="7">
        <v>56.470999999999997</v>
      </c>
      <c r="J123" s="7">
        <v>835.65899999999999</v>
      </c>
      <c r="K123" s="7">
        <v>0</v>
      </c>
      <c r="L123" s="7">
        <v>3406.2809999999999</v>
      </c>
      <c r="M123" s="7">
        <v>906.34</v>
      </c>
      <c r="N123" s="7">
        <v>0</v>
      </c>
      <c r="O123" s="7">
        <v>0</v>
      </c>
      <c r="P123" s="7">
        <v>2E-3</v>
      </c>
      <c r="Q123" s="7">
        <v>239.42500000000001</v>
      </c>
      <c r="R123" s="7">
        <v>387.99200000000002</v>
      </c>
      <c r="S123" s="7">
        <v>458.89699999999999</v>
      </c>
      <c r="T123" s="7">
        <v>0</v>
      </c>
      <c r="U123" s="7">
        <v>0</v>
      </c>
      <c r="V123" s="7">
        <v>196.209</v>
      </c>
      <c r="W123" s="7">
        <v>27.609000000000002</v>
      </c>
      <c r="X123" s="7">
        <v>0</v>
      </c>
      <c r="Y123" s="7">
        <v>1077.1189999999999</v>
      </c>
      <c r="Z123" s="7">
        <v>20377.655999999999</v>
      </c>
      <c r="AA123" s="7">
        <v>2488.7539999999999</v>
      </c>
      <c r="AB123" s="7">
        <v>0</v>
      </c>
      <c r="AC123" s="7">
        <v>336.54</v>
      </c>
      <c r="AD123" s="7">
        <v>1808.5540000000001</v>
      </c>
      <c r="AE123" s="7">
        <v>7657.7790000000005</v>
      </c>
      <c r="AF123" s="7">
        <v>11.709</v>
      </c>
      <c r="AG123" s="7">
        <v>6676.1120000000001</v>
      </c>
      <c r="AH123" s="7">
        <v>8410.3829999999998</v>
      </c>
      <c r="AI123" s="7">
        <v>8.9999999999999993E-3</v>
      </c>
      <c r="AJ123" s="7">
        <v>105963.986</v>
      </c>
      <c r="AK123" s="7">
        <v>0</v>
      </c>
      <c r="AL123" s="7">
        <v>0</v>
      </c>
      <c r="AM123" s="7">
        <v>0</v>
      </c>
      <c r="AN123" s="7">
        <v>0</v>
      </c>
      <c r="AO123" s="7">
        <v>478.06799999999998</v>
      </c>
      <c r="AP123" s="7">
        <v>0</v>
      </c>
      <c r="AQ123" s="7">
        <v>1.7250000000000001</v>
      </c>
      <c r="AR123" s="7">
        <v>0</v>
      </c>
      <c r="AS123" s="7">
        <v>1.456</v>
      </c>
      <c r="AT123" s="7">
        <v>0</v>
      </c>
      <c r="AU123" s="7">
        <v>51.124000000000002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177.76300000000001</v>
      </c>
      <c r="BC123" s="7">
        <v>0</v>
      </c>
      <c r="BD123" s="7">
        <v>0</v>
      </c>
      <c r="BE123" s="7">
        <v>51.127000000000002</v>
      </c>
      <c r="BF123" s="7">
        <v>51.127000000000002</v>
      </c>
      <c r="BG123" s="7">
        <v>0</v>
      </c>
      <c r="BH123" s="7">
        <v>42207.271999999997</v>
      </c>
      <c r="BI123" s="7">
        <v>0</v>
      </c>
      <c r="BJ123" s="21"/>
    </row>
    <row r="124" spans="1:62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613.67200000000003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329.08800000000002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21"/>
    </row>
    <row r="127" spans="1:62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2345.4499999999998</v>
      </c>
      <c r="F127" s="7">
        <v>1689.2809999999999</v>
      </c>
      <c r="G127" s="7">
        <v>112.678</v>
      </c>
      <c r="H127" s="7">
        <v>0</v>
      </c>
      <c r="I127" s="7">
        <v>123.943</v>
      </c>
      <c r="J127" s="7">
        <v>1214.4069999999999</v>
      </c>
      <c r="K127" s="7">
        <v>0</v>
      </c>
      <c r="L127" s="7">
        <v>3504.3420000000001</v>
      </c>
      <c r="M127" s="7">
        <v>193.2</v>
      </c>
      <c r="N127" s="7">
        <v>0</v>
      </c>
      <c r="O127" s="7">
        <v>0</v>
      </c>
      <c r="P127" s="7">
        <v>5.0000000000000001E-3</v>
      </c>
      <c r="Q127" s="7">
        <v>0</v>
      </c>
      <c r="R127" s="7">
        <v>0</v>
      </c>
      <c r="S127" s="7">
        <v>686.46100000000001</v>
      </c>
      <c r="T127" s="7">
        <v>0</v>
      </c>
      <c r="U127" s="7">
        <v>0</v>
      </c>
      <c r="V127" s="7">
        <v>233.47499999999999</v>
      </c>
      <c r="W127" s="7">
        <v>2.1840000000000002</v>
      </c>
      <c r="X127" s="7">
        <v>0</v>
      </c>
      <c r="Y127" s="7">
        <v>95.1</v>
      </c>
      <c r="Z127" s="7">
        <v>0</v>
      </c>
      <c r="AA127" s="7">
        <v>4160.7259999999997</v>
      </c>
      <c r="AB127" s="7">
        <v>0</v>
      </c>
      <c r="AC127" s="7">
        <v>272.29599999999999</v>
      </c>
      <c r="AD127" s="7">
        <v>0</v>
      </c>
      <c r="AE127" s="7">
        <v>838.14700000000005</v>
      </c>
      <c r="AF127" s="7">
        <v>29.971</v>
      </c>
      <c r="AG127" s="7">
        <v>0</v>
      </c>
      <c r="AH127" s="7">
        <v>5688.0709999999999</v>
      </c>
      <c r="AI127" s="7">
        <v>2.1999999999999999E-2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649.07000000000005</v>
      </c>
      <c r="AP127" s="7">
        <v>0</v>
      </c>
      <c r="AQ127" s="7">
        <v>4.415</v>
      </c>
      <c r="AR127" s="7">
        <v>0</v>
      </c>
      <c r="AS127" s="7">
        <v>2.3159999999999998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240.13900000000001</v>
      </c>
      <c r="BC127" s="7">
        <v>0</v>
      </c>
      <c r="BD127" s="7">
        <v>0</v>
      </c>
      <c r="BE127" s="7">
        <v>69.379000000000005</v>
      </c>
      <c r="BF127" s="7">
        <v>69.379000000000005</v>
      </c>
      <c r="BG127" s="7">
        <v>0</v>
      </c>
      <c r="BH127" s="7">
        <v>0</v>
      </c>
      <c r="BI127" s="7">
        <v>0</v>
      </c>
      <c r="BJ127" s="21"/>
    </row>
    <row r="128" spans="1:62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52393.978999999999</v>
      </c>
      <c r="F128" s="7">
        <v>10617.195</v>
      </c>
      <c r="G128" s="7">
        <v>9299.0339999999997</v>
      </c>
      <c r="H128" s="7">
        <v>0</v>
      </c>
      <c r="I128" s="7">
        <v>1852.42</v>
      </c>
      <c r="J128" s="7">
        <v>7269.6260000000002</v>
      </c>
      <c r="K128" s="7">
        <v>0</v>
      </c>
      <c r="L128" s="7">
        <v>43386.082000000002</v>
      </c>
      <c r="M128" s="7">
        <v>21662.492999999999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3044.9290000000001</v>
      </c>
      <c r="T128" s="7">
        <v>0</v>
      </c>
      <c r="U128" s="7">
        <v>0</v>
      </c>
      <c r="V128" s="7">
        <v>1356.7159999999999</v>
      </c>
      <c r="W128" s="7">
        <v>2945.7649999999999</v>
      </c>
      <c r="X128" s="7">
        <v>0</v>
      </c>
      <c r="Y128" s="7">
        <v>22948.512999999999</v>
      </c>
      <c r="Z128" s="7">
        <v>0</v>
      </c>
      <c r="AA128" s="7">
        <v>9098.3070000000007</v>
      </c>
      <c r="AB128" s="7">
        <v>0</v>
      </c>
      <c r="AC128" s="7">
        <v>1715.508</v>
      </c>
      <c r="AD128" s="7">
        <v>0</v>
      </c>
      <c r="AE128" s="7">
        <v>58225.455999999998</v>
      </c>
      <c r="AF128" s="7">
        <v>0</v>
      </c>
      <c r="AG128" s="7">
        <v>0</v>
      </c>
      <c r="AH128" s="7">
        <v>137129.13800000001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815.61699999999996</v>
      </c>
      <c r="AP128" s="7">
        <v>0</v>
      </c>
      <c r="AQ128" s="7">
        <v>0</v>
      </c>
      <c r="AR128" s="7">
        <v>0</v>
      </c>
      <c r="AS128" s="7">
        <v>4.0519999999999996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321.315</v>
      </c>
      <c r="BC128" s="7">
        <v>0</v>
      </c>
      <c r="BD128" s="7">
        <v>0</v>
      </c>
      <c r="BE128" s="7">
        <v>132.00200000000001</v>
      </c>
      <c r="BF128" s="7">
        <v>132.00200000000001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29774.548999999999</v>
      </c>
      <c r="F129" s="7">
        <v>5186.6769999999997</v>
      </c>
      <c r="G129" s="7">
        <v>0</v>
      </c>
      <c r="H129" s="7">
        <v>0</v>
      </c>
      <c r="I129" s="7">
        <v>170.697</v>
      </c>
      <c r="J129" s="7">
        <v>0</v>
      </c>
      <c r="K129" s="7">
        <v>0</v>
      </c>
      <c r="L129" s="7">
        <v>68826.756999999998</v>
      </c>
      <c r="M129" s="7">
        <v>1445.229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1640.8340000000001</v>
      </c>
      <c r="T129" s="7">
        <v>0</v>
      </c>
      <c r="U129" s="7">
        <v>0</v>
      </c>
      <c r="V129" s="7">
        <v>0</v>
      </c>
      <c r="W129" s="7">
        <v>467.06099999999998</v>
      </c>
      <c r="X129" s="7">
        <v>0</v>
      </c>
      <c r="Y129" s="7">
        <v>15298.950999999999</v>
      </c>
      <c r="Z129" s="7">
        <v>0</v>
      </c>
      <c r="AA129" s="7">
        <v>0</v>
      </c>
      <c r="AB129" s="7">
        <v>0</v>
      </c>
      <c r="AC129" s="7">
        <v>1056.625</v>
      </c>
      <c r="AD129" s="7">
        <v>0</v>
      </c>
      <c r="AE129" s="7">
        <v>38883.050000000003</v>
      </c>
      <c r="AF129" s="7">
        <v>33373.42</v>
      </c>
      <c r="AG129" s="7">
        <v>0</v>
      </c>
      <c r="AH129" s="7">
        <v>120243.129</v>
      </c>
      <c r="AI129" s="7">
        <v>49634.307000000001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1384.461</v>
      </c>
      <c r="AP129" s="7">
        <v>73.564999999999998</v>
      </c>
      <c r="AQ129" s="7">
        <v>13060.299000000001</v>
      </c>
      <c r="AR129" s="7">
        <v>20.803000000000001</v>
      </c>
      <c r="AS129" s="7">
        <v>16.61</v>
      </c>
      <c r="AT129" s="7">
        <v>0</v>
      </c>
      <c r="AU129" s="7">
        <v>0</v>
      </c>
      <c r="AV129" s="7">
        <v>60.024999999999999</v>
      </c>
      <c r="AW129" s="7">
        <v>107.20399999999999</v>
      </c>
      <c r="AX129" s="7">
        <v>0</v>
      </c>
      <c r="AY129" s="7">
        <v>0</v>
      </c>
      <c r="AZ129" s="7">
        <v>0</v>
      </c>
      <c r="BA129" s="7">
        <v>0</v>
      </c>
      <c r="BB129" s="7">
        <v>527.66200000000003</v>
      </c>
      <c r="BC129" s="7">
        <v>0</v>
      </c>
      <c r="BD129" s="7">
        <v>0</v>
      </c>
      <c r="BE129" s="7">
        <v>157.108</v>
      </c>
      <c r="BF129" s="7">
        <v>157.108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20.922999999999998</v>
      </c>
      <c r="F130" s="7">
        <v>15.07</v>
      </c>
      <c r="G130" s="7">
        <v>1.0049999999999999</v>
      </c>
      <c r="H130" s="7">
        <v>0</v>
      </c>
      <c r="I130" s="7">
        <v>1.1060000000000001</v>
      </c>
      <c r="J130" s="7">
        <v>10.833</v>
      </c>
      <c r="K130" s="7">
        <v>0</v>
      </c>
      <c r="L130" s="7">
        <v>31.260999999999999</v>
      </c>
      <c r="M130" s="7">
        <v>1.7230000000000001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6.1239999999999997</v>
      </c>
      <c r="T130" s="7">
        <v>0</v>
      </c>
      <c r="U130" s="7">
        <v>0</v>
      </c>
      <c r="V130" s="7">
        <v>2.0830000000000002</v>
      </c>
      <c r="W130" s="7">
        <v>1.9E-2</v>
      </c>
      <c r="X130" s="7">
        <v>0</v>
      </c>
      <c r="Y130" s="7">
        <v>0.84799999999999998</v>
      </c>
      <c r="Z130" s="7">
        <v>0</v>
      </c>
      <c r="AA130" s="7">
        <v>37.116</v>
      </c>
      <c r="AB130" s="7">
        <v>0</v>
      </c>
      <c r="AC130" s="7">
        <v>2.4289999999999998</v>
      </c>
      <c r="AD130" s="7">
        <v>0</v>
      </c>
      <c r="AE130" s="7">
        <v>7.4770000000000003</v>
      </c>
      <c r="AF130" s="7">
        <v>0.26700000000000002</v>
      </c>
      <c r="AG130" s="7">
        <v>0</v>
      </c>
      <c r="AH130" s="7">
        <v>50.741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5.79</v>
      </c>
      <c r="AP130" s="7">
        <v>0</v>
      </c>
      <c r="AQ130" s="7">
        <v>3.9E-2</v>
      </c>
      <c r="AR130" s="7">
        <v>0</v>
      </c>
      <c r="AS130" s="7">
        <v>2.1000000000000001E-2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2.1419999999999999</v>
      </c>
      <c r="BC130" s="7">
        <v>0</v>
      </c>
      <c r="BD130" s="7">
        <v>0</v>
      </c>
      <c r="BE130" s="7">
        <v>0.61899999999999999</v>
      </c>
      <c r="BF130" s="7">
        <v>0.61899999999999999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57386.067000000003</v>
      </c>
      <c r="F131" s="7">
        <v>1651.52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62394.64</v>
      </c>
      <c r="M131" s="7">
        <v>11255.903</v>
      </c>
      <c r="N131" s="7">
        <v>0</v>
      </c>
      <c r="O131" s="7">
        <v>0</v>
      </c>
      <c r="P131" s="7">
        <v>0</v>
      </c>
      <c r="Q131" s="7">
        <v>0</v>
      </c>
      <c r="R131" s="7">
        <v>0.223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5218.9129999999996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22585.231</v>
      </c>
      <c r="AF131" s="7">
        <v>833.77700000000004</v>
      </c>
      <c r="AG131" s="7">
        <v>0</v>
      </c>
      <c r="AH131" s="7">
        <v>149538.87</v>
      </c>
      <c r="AI131" s="7">
        <v>2927.4690000000001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7354.0420000000004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17968.521000000001</v>
      </c>
      <c r="M132" s="7">
        <v>618.05200000000002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1091.086</v>
      </c>
      <c r="AF132" s="7">
        <v>0</v>
      </c>
      <c r="AG132" s="7">
        <v>0</v>
      </c>
      <c r="AH132" s="7">
        <v>7765.2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6296.2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53462.150999999998</v>
      </c>
      <c r="M133" s="7">
        <v>2214.8249999999998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256.76900000000001</v>
      </c>
      <c r="AB133" s="7">
        <v>0</v>
      </c>
      <c r="AC133" s="7">
        <v>0</v>
      </c>
      <c r="AD133" s="7">
        <v>0</v>
      </c>
      <c r="AE133" s="7">
        <v>11702.248</v>
      </c>
      <c r="AF133" s="7">
        <v>0</v>
      </c>
      <c r="AG133" s="7">
        <v>0</v>
      </c>
      <c r="AH133" s="7">
        <v>77730.195000000007</v>
      </c>
      <c r="AI133" s="7">
        <v>14330.213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348554.03100000002</v>
      </c>
      <c r="F134" s="7">
        <v>14583.134</v>
      </c>
      <c r="G134" s="7">
        <v>12846.138999999999</v>
      </c>
      <c r="H134" s="7">
        <v>3624.7350000000001</v>
      </c>
      <c r="I134" s="7">
        <v>2421.884</v>
      </c>
      <c r="J134" s="7">
        <v>7982.0720000000001</v>
      </c>
      <c r="K134" s="7">
        <v>0</v>
      </c>
      <c r="L134" s="7">
        <v>395649.84600000002</v>
      </c>
      <c r="M134" s="7">
        <v>94792.637000000002</v>
      </c>
      <c r="N134" s="7">
        <v>0</v>
      </c>
      <c r="O134" s="7">
        <v>0</v>
      </c>
      <c r="P134" s="7">
        <v>340.67899999999997</v>
      </c>
      <c r="Q134" s="7">
        <v>0</v>
      </c>
      <c r="R134" s="7">
        <v>32.667000000000002</v>
      </c>
      <c r="S134" s="7">
        <v>0</v>
      </c>
      <c r="T134" s="7">
        <v>0</v>
      </c>
      <c r="U134" s="7">
        <v>0</v>
      </c>
      <c r="V134" s="7">
        <v>1508.8</v>
      </c>
      <c r="W134" s="7">
        <v>4377.7039999999997</v>
      </c>
      <c r="X134" s="7">
        <v>0</v>
      </c>
      <c r="Y134" s="7">
        <v>64934.434000000001</v>
      </c>
      <c r="Z134" s="7">
        <v>0</v>
      </c>
      <c r="AA134" s="7">
        <v>32050.861000000001</v>
      </c>
      <c r="AB134" s="7">
        <v>0</v>
      </c>
      <c r="AC134" s="7">
        <v>2222.0120000000002</v>
      </c>
      <c r="AD134" s="7">
        <v>0</v>
      </c>
      <c r="AE134" s="7">
        <v>218346.579</v>
      </c>
      <c r="AF134" s="7">
        <v>10595.615</v>
      </c>
      <c r="AG134" s="7">
        <v>0</v>
      </c>
      <c r="AH134" s="7">
        <v>718716.93500000006</v>
      </c>
      <c r="AI134" s="7">
        <v>11965.468000000001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34.515000000000001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209221.33</v>
      </c>
      <c r="F136" s="7">
        <v>8168.6369999999997</v>
      </c>
      <c r="G136" s="7">
        <v>6898.2640000000001</v>
      </c>
      <c r="H136" s="7">
        <v>0</v>
      </c>
      <c r="I136" s="7">
        <v>1247.626</v>
      </c>
      <c r="J136" s="7">
        <v>4487.3919999999998</v>
      </c>
      <c r="K136" s="7">
        <v>0</v>
      </c>
      <c r="L136" s="7">
        <v>274470.185</v>
      </c>
      <c r="M136" s="7">
        <v>97244.846000000005</v>
      </c>
      <c r="N136" s="7">
        <v>0</v>
      </c>
      <c r="O136" s="7">
        <v>0</v>
      </c>
      <c r="P136" s="7">
        <v>184.429</v>
      </c>
      <c r="Q136" s="7">
        <v>0</v>
      </c>
      <c r="R136" s="7">
        <v>56.673000000000002</v>
      </c>
      <c r="S136" s="7">
        <v>3339.1</v>
      </c>
      <c r="T136" s="7">
        <v>0</v>
      </c>
      <c r="U136" s="7">
        <v>0</v>
      </c>
      <c r="V136" s="7">
        <v>689.22199999999998</v>
      </c>
      <c r="W136" s="7">
        <v>2035.365</v>
      </c>
      <c r="X136" s="7">
        <v>0</v>
      </c>
      <c r="Y136" s="7">
        <v>22854.154999999999</v>
      </c>
      <c r="Z136" s="7">
        <v>0</v>
      </c>
      <c r="AA136" s="7">
        <v>6333.0709999999999</v>
      </c>
      <c r="AB136" s="7">
        <v>0</v>
      </c>
      <c r="AC136" s="7">
        <v>951.81</v>
      </c>
      <c r="AD136" s="7">
        <v>0</v>
      </c>
      <c r="AE136" s="7">
        <v>131942.65400000001</v>
      </c>
      <c r="AF136" s="7">
        <v>149.85499999999999</v>
      </c>
      <c r="AG136" s="7">
        <v>0</v>
      </c>
      <c r="AH136" s="7">
        <v>506112.685</v>
      </c>
      <c r="AI136" s="7">
        <v>101.57899999999999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9096.2090000000007</v>
      </c>
      <c r="F137" s="7">
        <v>142.89500000000001</v>
      </c>
      <c r="G137" s="7">
        <v>0</v>
      </c>
      <c r="H137" s="7">
        <v>0</v>
      </c>
      <c r="I137" s="7">
        <v>4.7030000000000003</v>
      </c>
      <c r="J137" s="7">
        <v>0</v>
      </c>
      <c r="K137" s="7">
        <v>0</v>
      </c>
      <c r="L137" s="7">
        <v>48913.673000000003</v>
      </c>
      <c r="M137" s="7">
        <v>39.817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45.206000000000003</v>
      </c>
      <c r="T137" s="7">
        <v>0</v>
      </c>
      <c r="U137" s="7">
        <v>0</v>
      </c>
      <c r="V137" s="7">
        <v>0</v>
      </c>
      <c r="W137" s="7">
        <v>12.868</v>
      </c>
      <c r="X137" s="7">
        <v>0</v>
      </c>
      <c r="Y137" s="7">
        <v>421.49299999999999</v>
      </c>
      <c r="Z137" s="7">
        <v>0</v>
      </c>
      <c r="AA137" s="7">
        <v>0</v>
      </c>
      <c r="AB137" s="7">
        <v>0</v>
      </c>
      <c r="AC137" s="7">
        <v>29.111000000000001</v>
      </c>
      <c r="AD137" s="7">
        <v>0</v>
      </c>
      <c r="AE137" s="7">
        <v>12412.371999999999</v>
      </c>
      <c r="AF137" s="7">
        <v>919.45299999999997</v>
      </c>
      <c r="AG137" s="7">
        <v>0</v>
      </c>
      <c r="AH137" s="7">
        <v>79428.570999999996</v>
      </c>
      <c r="AI137" s="7">
        <v>9626.3690000000006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38.143000000000001</v>
      </c>
      <c r="AP137" s="7">
        <v>0</v>
      </c>
      <c r="AQ137" s="7">
        <v>359.81700000000001</v>
      </c>
      <c r="AR137" s="7">
        <v>0</v>
      </c>
      <c r="AS137" s="7">
        <v>0.45800000000000002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14.537000000000001</v>
      </c>
      <c r="BC137" s="7">
        <v>0</v>
      </c>
      <c r="BD137" s="7">
        <v>0</v>
      </c>
      <c r="BE137" s="7">
        <v>4.3280000000000003</v>
      </c>
      <c r="BF137" s="7">
        <v>4.3280000000000003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956822.72499999998</v>
      </c>
      <c r="F138" s="7">
        <v>13033.376</v>
      </c>
      <c r="G138" s="7">
        <v>17169.499</v>
      </c>
      <c r="H138" s="7">
        <v>2174.268</v>
      </c>
      <c r="I138" s="7">
        <v>3133.09</v>
      </c>
      <c r="J138" s="7">
        <v>9959.0879999999997</v>
      </c>
      <c r="K138" s="7">
        <v>0</v>
      </c>
      <c r="L138" s="7">
        <v>932419.32499999995</v>
      </c>
      <c r="M138" s="7">
        <v>228354.80300000001</v>
      </c>
      <c r="N138" s="7">
        <v>0</v>
      </c>
      <c r="O138" s="7">
        <v>0</v>
      </c>
      <c r="P138" s="7">
        <v>505.94200000000001</v>
      </c>
      <c r="Q138" s="7">
        <v>0</v>
      </c>
      <c r="R138" s="7">
        <v>5.7</v>
      </c>
      <c r="S138" s="7">
        <v>0</v>
      </c>
      <c r="T138" s="7">
        <v>0</v>
      </c>
      <c r="U138" s="7">
        <v>0</v>
      </c>
      <c r="V138" s="7">
        <v>1414.934</v>
      </c>
      <c r="W138" s="7">
        <v>4213.0169999999998</v>
      </c>
      <c r="X138" s="7">
        <v>0</v>
      </c>
      <c r="Y138" s="7">
        <v>179867.755</v>
      </c>
      <c r="Z138" s="7">
        <v>0</v>
      </c>
      <c r="AA138" s="7">
        <v>14318.111000000001</v>
      </c>
      <c r="AB138" s="7">
        <v>0</v>
      </c>
      <c r="AC138" s="7">
        <v>2041.269</v>
      </c>
      <c r="AD138" s="7">
        <v>0</v>
      </c>
      <c r="AE138" s="7">
        <v>610247.39800000004</v>
      </c>
      <c r="AF138" s="7">
        <v>20033.257000000001</v>
      </c>
      <c r="AG138" s="7">
        <v>0</v>
      </c>
      <c r="AH138" s="7">
        <v>2149481.2059999998</v>
      </c>
      <c r="AI138" s="7">
        <v>57041.595999999998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88.119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2235.9189999999999</v>
      </c>
      <c r="F139" s="7">
        <v>360.66899999999998</v>
      </c>
      <c r="G139" s="7">
        <v>327.23399999999998</v>
      </c>
      <c r="H139" s="7">
        <v>202.797</v>
      </c>
      <c r="I139" s="7">
        <v>34.643999999999998</v>
      </c>
      <c r="J139" s="7">
        <v>190.22300000000001</v>
      </c>
      <c r="K139" s="7">
        <v>0</v>
      </c>
      <c r="L139" s="7">
        <v>2381.404</v>
      </c>
      <c r="M139" s="7">
        <v>802.85400000000004</v>
      </c>
      <c r="N139" s="7">
        <v>0</v>
      </c>
      <c r="O139" s="7">
        <v>0</v>
      </c>
      <c r="P139" s="7">
        <v>5.7000000000000002E-2</v>
      </c>
      <c r="Q139" s="7">
        <v>0</v>
      </c>
      <c r="R139" s="7">
        <v>0</v>
      </c>
      <c r="S139" s="7">
        <v>143.73500000000001</v>
      </c>
      <c r="T139" s="7">
        <v>0</v>
      </c>
      <c r="U139" s="7">
        <v>0</v>
      </c>
      <c r="V139" s="7">
        <v>47.417000000000002</v>
      </c>
      <c r="W139" s="7">
        <v>79.16</v>
      </c>
      <c r="X139" s="7">
        <v>0</v>
      </c>
      <c r="Y139" s="7">
        <v>609.54600000000005</v>
      </c>
      <c r="Z139" s="7">
        <v>0</v>
      </c>
      <c r="AA139" s="7">
        <v>514.51300000000003</v>
      </c>
      <c r="AB139" s="7">
        <v>0</v>
      </c>
      <c r="AC139" s="7">
        <v>63.261000000000003</v>
      </c>
      <c r="AD139" s="7">
        <v>0</v>
      </c>
      <c r="AE139" s="7">
        <v>1151.8530000000001</v>
      </c>
      <c r="AF139" s="7">
        <v>802.81100000000004</v>
      </c>
      <c r="AG139" s="7">
        <v>0</v>
      </c>
      <c r="AH139" s="7">
        <v>4237.53</v>
      </c>
      <c r="AI139" s="7">
        <v>1308.3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69.656000000000006</v>
      </c>
      <c r="AP139" s="7">
        <v>0</v>
      </c>
      <c r="AQ139" s="7">
        <v>310.58</v>
      </c>
      <c r="AR139" s="7">
        <v>0</v>
      </c>
      <c r="AS139" s="7">
        <v>1.2649999999999999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42.526000000000003</v>
      </c>
      <c r="AZ139" s="7">
        <v>423.38400000000001</v>
      </c>
      <c r="BA139" s="7">
        <v>0</v>
      </c>
      <c r="BB139" s="7">
        <v>26.215</v>
      </c>
      <c r="BC139" s="7">
        <v>21.545000000000002</v>
      </c>
      <c r="BD139" s="7">
        <v>535.36599999999999</v>
      </c>
      <c r="BE139" s="7">
        <v>7.4509999999999996</v>
      </c>
      <c r="BF139" s="7">
        <v>7.4509999999999996</v>
      </c>
      <c r="BG139" s="7">
        <v>181.15</v>
      </c>
      <c r="BH139" s="7">
        <v>0</v>
      </c>
      <c r="BI139" s="7">
        <v>7.7320000000000002</v>
      </c>
      <c r="BJ139" s="21"/>
    </row>
    <row r="140" spans="1:62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0</v>
      </c>
      <c r="F140" s="7">
        <v>0</v>
      </c>
      <c r="G140" s="7">
        <v>0</v>
      </c>
      <c r="H140" s="7">
        <v>1.0999999999999999E-2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21"/>
    </row>
    <row r="141" spans="1:62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1.444</v>
      </c>
      <c r="F141" s="7">
        <v>0.254</v>
      </c>
      <c r="G141" s="7">
        <v>0</v>
      </c>
      <c r="H141" s="7">
        <v>0</v>
      </c>
      <c r="I141" s="7">
        <v>8.0000000000000002E-3</v>
      </c>
      <c r="J141" s="7">
        <v>0</v>
      </c>
      <c r="K141" s="7">
        <v>0</v>
      </c>
      <c r="L141" s="7">
        <v>3.3580000000000001</v>
      </c>
      <c r="M141" s="7">
        <v>7.6999999999999999E-2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8.1000000000000003E-2</v>
      </c>
      <c r="T141" s="7">
        <v>0</v>
      </c>
      <c r="U141" s="7">
        <v>0</v>
      </c>
      <c r="V141" s="7">
        <v>0</v>
      </c>
      <c r="W141" s="7">
        <v>2.3E-2</v>
      </c>
      <c r="X141" s="7">
        <v>0</v>
      </c>
      <c r="Y141" s="7">
        <v>0.74</v>
      </c>
      <c r="Z141" s="7">
        <v>0</v>
      </c>
      <c r="AA141" s="7">
        <v>0</v>
      </c>
      <c r="AB141" s="7">
        <v>0</v>
      </c>
      <c r="AC141" s="7">
        <v>5.1999999999999998E-2</v>
      </c>
      <c r="AD141" s="7">
        <v>0</v>
      </c>
      <c r="AE141" s="7">
        <v>1.88</v>
      </c>
      <c r="AF141" s="7">
        <v>1.617</v>
      </c>
      <c r="AG141" s="7">
        <v>0</v>
      </c>
      <c r="AH141" s="7">
        <v>5.8259999999999996</v>
      </c>
      <c r="AI141" s="7">
        <v>2.423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6.7000000000000004E-2</v>
      </c>
      <c r="AP141" s="7">
        <v>0</v>
      </c>
      <c r="AQ141" s="7">
        <v>0.63200000000000001</v>
      </c>
      <c r="AR141" s="7">
        <v>0</v>
      </c>
      <c r="AS141" s="7">
        <v>1E-3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2E-3</v>
      </c>
      <c r="AZ141" s="7">
        <v>6.8000000000000005E-2</v>
      </c>
      <c r="BA141" s="7">
        <v>0</v>
      </c>
      <c r="BB141" s="7">
        <v>2.5000000000000001E-2</v>
      </c>
      <c r="BC141" s="7">
        <v>0</v>
      </c>
      <c r="BD141" s="7">
        <v>8.5999999999999993E-2</v>
      </c>
      <c r="BE141" s="7">
        <v>8.0000000000000002E-3</v>
      </c>
      <c r="BF141" s="7">
        <v>8.0000000000000002E-3</v>
      </c>
      <c r="BG141" s="7">
        <v>2.9000000000000001E-2</v>
      </c>
      <c r="BH141" s="7">
        <v>0</v>
      </c>
      <c r="BI141" s="7">
        <v>0</v>
      </c>
      <c r="BJ141" s="21"/>
    </row>
    <row r="142" spans="1:62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138.54300000000001</v>
      </c>
      <c r="F142" s="7">
        <v>12.151</v>
      </c>
      <c r="G142" s="7">
        <v>17.065999999999999</v>
      </c>
      <c r="H142" s="7">
        <v>0</v>
      </c>
      <c r="I142" s="7">
        <v>2.9590000000000001</v>
      </c>
      <c r="J142" s="7">
        <v>10.365</v>
      </c>
      <c r="K142" s="7">
        <v>0</v>
      </c>
      <c r="L142" s="7">
        <v>99.188999999999993</v>
      </c>
      <c r="M142" s="7">
        <v>46.027000000000001</v>
      </c>
      <c r="N142" s="7">
        <v>0</v>
      </c>
      <c r="O142" s="7">
        <v>0</v>
      </c>
      <c r="P142" s="7">
        <v>0.53400000000000003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1.7230000000000001</v>
      </c>
      <c r="W142" s="7">
        <v>5.1790000000000003</v>
      </c>
      <c r="X142" s="7">
        <v>0</v>
      </c>
      <c r="Y142" s="7">
        <v>40.838999999999999</v>
      </c>
      <c r="Z142" s="7">
        <v>0</v>
      </c>
      <c r="AA142" s="7">
        <v>13.939</v>
      </c>
      <c r="AB142" s="7">
        <v>0</v>
      </c>
      <c r="AC142" s="7">
        <v>2.2210000000000001</v>
      </c>
      <c r="AD142" s="7">
        <v>0</v>
      </c>
      <c r="AE142" s="7">
        <v>132.56700000000001</v>
      </c>
      <c r="AF142" s="7">
        <v>0</v>
      </c>
      <c r="AG142" s="7">
        <v>0</v>
      </c>
      <c r="AH142" s="7">
        <v>290.70499999999998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21"/>
    </row>
    <row r="143" spans="1:62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7116.54</v>
      </c>
      <c r="F144" s="7">
        <v>821.721</v>
      </c>
      <c r="G144" s="7">
        <v>0</v>
      </c>
      <c r="H144" s="7">
        <v>0</v>
      </c>
      <c r="I144" s="7">
        <v>17.521999999999998</v>
      </c>
      <c r="J144" s="7">
        <v>0</v>
      </c>
      <c r="K144" s="7">
        <v>0</v>
      </c>
      <c r="L144" s="7">
        <v>10356.415000000001</v>
      </c>
      <c r="M144" s="7">
        <v>440.32100000000003</v>
      </c>
      <c r="N144" s="7">
        <v>0</v>
      </c>
      <c r="O144" s="7">
        <v>162.24199999999999</v>
      </c>
      <c r="P144" s="7">
        <v>0.16800000000000001</v>
      </c>
      <c r="Q144" s="7">
        <v>142.672</v>
      </c>
      <c r="R144" s="7">
        <v>0</v>
      </c>
      <c r="S144" s="7">
        <v>266.55</v>
      </c>
      <c r="T144" s="7">
        <v>0</v>
      </c>
      <c r="U144" s="7">
        <v>0</v>
      </c>
      <c r="V144" s="7">
        <v>0</v>
      </c>
      <c r="W144" s="7">
        <v>93.763999999999996</v>
      </c>
      <c r="X144" s="7">
        <v>0</v>
      </c>
      <c r="Y144" s="7">
        <v>2069.23</v>
      </c>
      <c r="Z144" s="7">
        <v>0</v>
      </c>
      <c r="AA144" s="7">
        <v>0</v>
      </c>
      <c r="AB144" s="7">
        <v>9511.5040000000008</v>
      </c>
      <c r="AC144" s="7">
        <v>170.14599999999999</v>
      </c>
      <c r="AD144" s="7">
        <v>0</v>
      </c>
      <c r="AE144" s="7">
        <v>11607.654</v>
      </c>
      <c r="AF144" s="7">
        <v>4601.5320000000002</v>
      </c>
      <c r="AG144" s="7">
        <v>0</v>
      </c>
      <c r="AH144" s="7">
        <v>16619.102999999999</v>
      </c>
      <c r="AI144" s="7">
        <v>7495.1040000000003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183.559</v>
      </c>
      <c r="AP144" s="7">
        <v>0</v>
      </c>
      <c r="AQ144" s="7">
        <v>1780.9670000000001</v>
      </c>
      <c r="AR144" s="7">
        <v>0</v>
      </c>
      <c r="AS144" s="7">
        <v>2.5099999999999998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64.040999999999997</v>
      </c>
      <c r="AZ144" s="7">
        <v>2427.8229999999999</v>
      </c>
      <c r="BA144" s="7">
        <v>0</v>
      </c>
      <c r="BB144" s="7">
        <v>67.933999999999997</v>
      </c>
      <c r="BC144" s="7">
        <v>0</v>
      </c>
      <c r="BD144" s="7">
        <v>3069.9639999999999</v>
      </c>
      <c r="BE144" s="7">
        <v>18.919</v>
      </c>
      <c r="BF144" s="7">
        <v>18.919</v>
      </c>
      <c r="BG144" s="7">
        <v>1038.7739999999999</v>
      </c>
      <c r="BH144" s="7">
        <v>0</v>
      </c>
      <c r="BI144" s="7">
        <v>0</v>
      </c>
      <c r="BJ144" s="21"/>
    </row>
    <row r="145" spans="1:62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95465.978000000003</v>
      </c>
      <c r="F145" s="7">
        <v>2802.0079999999998</v>
      </c>
      <c r="G145" s="7">
        <v>3413.8249999999998</v>
      </c>
      <c r="H145" s="7">
        <v>-1078.211</v>
      </c>
      <c r="I145" s="7">
        <v>359.767</v>
      </c>
      <c r="J145" s="7">
        <v>2425.6149999999998</v>
      </c>
      <c r="K145" s="7">
        <v>0</v>
      </c>
      <c r="L145" s="7">
        <v>87597.197</v>
      </c>
      <c r="M145" s="7">
        <v>19528.39</v>
      </c>
      <c r="N145" s="7">
        <v>0</v>
      </c>
      <c r="O145" s="7">
        <v>-33.247999999999998</v>
      </c>
      <c r="P145" s="7">
        <v>-2.1070000000000002</v>
      </c>
      <c r="Q145" s="7">
        <v>-13.885999999999999</v>
      </c>
      <c r="R145" s="7">
        <v>-7.8019999999999996</v>
      </c>
      <c r="S145" s="7">
        <v>1151.5619999999999</v>
      </c>
      <c r="T145" s="7">
        <v>0</v>
      </c>
      <c r="U145" s="7">
        <v>0</v>
      </c>
      <c r="V145" s="7">
        <v>665.58699999999999</v>
      </c>
      <c r="W145" s="7">
        <v>512.17999999999995</v>
      </c>
      <c r="X145" s="7">
        <v>-514.55799999999999</v>
      </c>
      <c r="Y145" s="7">
        <v>11000.031000000001</v>
      </c>
      <c r="Z145" s="7">
        <v>-475.65600000000001</v>
      </c>
      <c r="AA145" s="7">
        <v>8522.5120000000006</v>
      </c>
      <c r="AB145" s="7">
        <v>-645.82399999999996</v>
      </c>
      <c r="AC145" s="7">
        <v>941.38199999999995</v>
      </c>
      <c r="AD145" s="7">
        <v>32.796999999999997</v>
      </c>
      <c r="AE145" s="7">
        <v>55455.218999999997</v>
      </c>
      <c r="AF145" s="7">
        <v>-1031.0940000000001</v>
      </c>
      <c r="AG145" s="7">
        <v>118.26600000000001</v>
      </c>
      <c r="AH145" s="7">
        <v>207026.69099999999</v>
      </c>
      <c r="AI145" s="7">
        <v>-923.98099999999999</v>
      </c>
      <c r="AJ145" s="7">
        <v>-2592.2080000000001</v>
      </c>
      <c r="AK145" s="7">
        <v>-91504.626999999993</v>
      </c>
      <c r="AL145" s="7">
        <v>-48367.243000000002</v>
      </c>
      <c r="AM145" s="7">
        <v>0</v>
      </c>
      <c r="AN145" s="7">
        <v>-32237.052</v>
      </c>
      <c r="AO145" s="7">
        <v>1230.2629999999999</v>
      </c>
      <c r="AP145" s="7">
        <v>0</v>
      </c>
      <c r="AQ145" s="7">
        <v>-584.33299999999997</v>
      </c>
      <c r="AR145" s="7">
        <v>0</v>
      </c>
      <c r="AS145" s="7">
        <v>-4.4219999999999997</v>
      </c>
      <c r="AT145" s="7">
        <v>0</v>
      </c>
      <c r="AU145" s="7">
        <v>0</v>
      </c>
      <c r="AV145" s="7">
        <v>0</v>
      </c>
      <c r="AW145" s="7">
        <v>0</v>
      </c>
      <c r="AX145" s="7">
        <v>-639.41600000000005</v>
      </c>
      <c r="AY145" s="7">
        <v>-25.026</v>
      </c>
      <c r="AZ145" s="7">
        <v>-331.93599999999998</v>
      </c>
      <c r="BA145" s="7">
        <v>-526.62</v>
      </c>
      <c r="BB145" s="7">
        <v>406.67500000000001</v>
      </c>
      <c r="BC145" s="7">
        <v>22.794</v>
      </c>
      <c r="BD145" s="7">
        <v>-188.44200000000001</v>
      </c>
      <c r="BE145" s="7">
        <v>123.514</v>
      </c>
      <c r="BF145" s="7">
        <v>123.514</v>
      </c>
      <c r="BG145" s="7">
        <v>-180.88800000000001</v>
      </c>
      <c r="BH145" s="7">
        <v>-1415.3009999999999</v>
      </c>
      <c r="BI145" s="7">
        <v>-4.6159999999999997</v>
      </c>
      <c r="BJ145" s="21"/>
    </row>
    <row r="146" spans="1:62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-181.85400000000001</v>
      </c>
      <c r="F146" s="7">
        <v>-207.32400000000001</v>
      </c>
      <c r="G146" s="7">
        <v>2.44</v>
      </c>
      <c r="H146" s="7">
        <v>0</v>
      </c>
      <c r="I146" s="7">
        <v>-7.3490000000000002</v>
      </c>
      <c r="J146" s="7">
        <v>-190.65799999999999</v>
      </c>
      <c r="K146" s="7">
        <v>0</v>
      </c>
      <c r="L146" s="7">
        <v>181.93799999999999</v>
      </c>
      <c r="M146" s="7">
        <v>84.841999999999999</v>
      </c>
      <c r="N146" s="7">
        <v>0</v>
      </c>
      <c r="O146" s="7">
        <v>0</v>
      </c>
      <c r="P146" s="7">
        <v>0.28799999999999998</v>
      </c>
      <c r="Q146" s="7">
        <v>0</v>
      </c>
      <c r="R146" s="7">
        <v>-1.7000000000000001E-2</v>
      </c>
      <c r="S146" s="7">
        <v>-77.569000000000003</v>
      </c>
      <c r="T146" s="7">
        <v>0</v>
      </c>
      <c r="U146" s="7">
        <v>0</v>
      </c>
      <c r="V146" s="7">
        <v>-33.524999999999999</v>
      </c>
      <c r="W146" s="7">
        <v>-0.8</v>
      </c>
      <c r="X146" s="7">
        <v>0</v>
      </c>
      <c r="Y146" s="7">
        <v>116.46</v>
      </c>
      <c r="Z146" s="7">
        <v>0</v>
      </c>
      <c r="AA146" s="7">
        <v>-616.548</v>
      </c>
      <c r="AB146" s="7">
        <v>0</v>
      </c>
      <c r="AC146" s="7">
        <v>-30.355</v>
      </c>
      <c r="AD146" s="7">
        <v>-1.2999999999999999E-2</v>
      </c>
      <c r="AE146" s="7">
        <v>3.286</v>
      </c>
      <c r="AF146" s="7">
        <v>-14.609</v>
      </c>
      <c r="AG146" s="7">
        <v>-4.9000000000000002E-2</v>
      </c>
      <c r="AH146" s="7">
        <v>663.81500000000005</v>
      </c>
      <c r="AI146" s="7">
        <v>-262.226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-72.864000000000004</v>
      </c>
      <c r="AP146" s="7">
        <v>0</v>
      </c>
      <c r="AQ146" s="7">
        <v>149.57</v>
      </c>
      <c r="AR146" s="7">
        <v>0</v>
      </c>
      <c r="AS146" s="7">
        <v>-0.41499999999999998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-1.2310000000000001</v>
      </c>
      <c r="AZ146" s="7">
        <v>1.054</v>
      </c>
      <c r="BA146" s="7">
        <v>6.0000000000000001E-3</v>
      </c>
      <c r="BB146" s="7">
        <v>-26.553999999999998</v>
      </c>
      <c r="BC146" s="7">
        <v>-0.96199999999999997</v>
      </c>
      <c r="BD146" s="7">
        <v>1.232</v>
      </c>
      <c r="BE146" s="7">
        <v>-7.6</v>
      </c>
      <c r="BF146" s="7">
        <v>-7.6</v>
      </c>
      <c r="BG146" s="7">
        <v>0.46300000000000002</v>
      </c>
      <c r="BH146" s="7">
        <v>0</v>
      </c>
      <c r="BI146" s="7">
        <v>-0.34699999999999998</v>
      </c>
      <c r="BJ146" s="21"/>
    </row>
    <row r="147" spans="1:62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-464.798</v>
      </c>
      <c r="F147" s="7">
        <v>-37.243000000000002</v>
      </c>
      <c r="G147" s="7">
        <v>-80.513999999999996</v>
      </c>
      <c r="H147" s="7">
        <v>0</v>
      </c>
      <c r="I147" s="7">
        <v>-11.29</v>
      </c>
      <c r="J147" s="7">
        <v>-53.39</v>
      </c>
      <c r="K147" s="7">
        <v>0</v>
      </c>
      <c r="L147" s="7">
        <v>-134.78399999999999</v>
      </c>
      <c r="M147" s="7">
        <v>-145.36699999999999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-11.260999999999999</v>
      </c>
      <c r="T147" s="7">
        <v>0</v>
      </c>
      <c r="U147" s="7">
        <v>0</v>
      </c>
      <c r="V147" s="7">
        <v>-7.827</v>
      </c>
      <c r="W147" s="7">
        <v>-12.443</v>
      </c>
      <c r="X147" s="7">
        <v>0</v>
      </c>
      <c r="Y147" s="7">
        <v>-94.846000000000004</v>
      </c>
      <c r="Z147" s="7">
        <v>0</v>
      </c>
      <c r="AA147" s="7">
        <v>-123.59</v>
      </c>
      <c r="AB147" s="7">
        <v>0</v>
      </c>
      <c r="AC147" s="7">
        <v>-5.0019999999999998</v>
      </c>
      <c r="AD147" s="7">
        <v>-2.7210000000000001</v>
      </c>
      <c r="AE147" s="7">
        <v>-243.71299999999999</v>
      </c>
      <c r="AF147" s="7">
        <v>0</v>
      </c>
      <c r="AG147" s="7">
        <v>-10.551</v>
      </c>
      <c r="AH147" s="7">
        <v>-519.94600000000003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-6.5670000000000002</v>
      </c>
      <c r="AP147" s="7">
        <v>0</v>
      </c>
      <c r="AQ147" s="7">
        <v>0</v>
      </c>
      <c r="AR147" s="7">
        <v>0</v>
      </c>
      <c r="AS147" s="7">
        <v>-0.32800000000000001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-4.8</v>
      </c>
      <c r="AZ147" s="7">
        <v>0</v>
      </c>
      <c r="BA147" s="7">
        <v>0</v>
      </c>
      <c r="BB147" s="7">
        <v>-2.6259999999999999</v>
      </c>
      <c r="BC147" s="7">
        <v>-2.74</v>
      </c>
      <c r="BD147" s="7">
        <v>0</v>
      </c>
      <c r="BE147" s="7">
        <v>-0.70899999999999996</v>
      </c>
      <c r="BF147" s="7">
        <v>-0.70899999999999996</v>
      </c>
      <c r="BG147" s="7">
        <v>0</v>
      </c>
      <c r="BH147" s="7">
        <v>0</v>
      </c>
      <c r="BI147" s="7">
        <v>-0.82599999999999996</v>
      </c>
      <c r="BJ147" s="21"/>
    </row>
    <row r="148" spans="1:62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-161.94200000000001</v>
      </c>
      <c r="F148" s="7">
        <v>-12.976000000000001</v>
      </c>
      <c r="G148" s="7">
        <v>-28.052</v>
      </c>
      <c r="H148" s="7">
        <v>0</v>
      </c>
      <c r="I148" s="7">
        <v>-3.9340000000000002</v>
      </c>
      <c r="J148" s="7">
        <v>-18.602</v>
      </c>
      <c r="K148" s="7">
        <v>0</v>
      </c>
      <c r="L148" s="7">
        <v>-46.960999999999999</v>
      </c>
      <c r="M148" s="7">
        <v>-50.648000000000003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-3.923</v>
      </c>
      <c r="T148" s="7">
        <v>0</v>
      </c>
      <c r="U148" s="7">
        <v>0</v>
      </c>
      <c r="V148" s="7">
        <v>-2.7269999999999999</v>
      </c>
      <c r="W148" s="7">
        <v>-4.335</v>
      </c>
      <c r="X148" s="7">
        <v>0</v>
      </c>
      <c r="Y148" s="7">
        <v>-33.045999999999999</v>
      </c>
      <c r="Z148" s="7">
        <v>0</v>
      </c>
      <c r="AA148" s="7">
        <v>-43.06</v>
      </c>
      <c r="AB148" s="7">
        <v>0</v>
      </c>
      <c r="AC148" s="7">
        <v>-1.7430000000000001</v>
      </c>
      <c r="AD148" s="7">
        <v>-0.94799999999999995</v>
      </c>
      <c r="AE148" s="7">
        <v>-84.912999999999997</v>
      </c>
      <c r="AF148" s="7">
        <v>0</v>
      </c>
      <c r="AG148" s="7">
        <v>-3.6760000000000002</v>
      </c>
      <c r="AH148" s="7">
        <v>-181.15700000000001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-2.2879999999999998</v>
      </c>
      <c r="AP148" s="7">
        <v>0</v>
      </c>
      <c r="AQ148" s="7">
        <v>0</v>
      </c>
      <c r="AR148" s="7">
        <v>0</v>
      </c>
      <c r="AS148" s="7">
        <v>-0.114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-1.6719999999999999</v>
      </c>
      <c r="AZ148" s="7">
        <v>0</v>
      </c>
      <c r="BA148" s="7">
        <v>0</v>
      </c>
      <c r="BB148" s="7">
        <v>-0.91500000000000004</v>
      </c>
      <c r="BC148" s="7">
        <v>-0.95499999999999996</v>
      </c>
      <c r="BD148" s="7">
        <v>0</v>
      </c>
      <c r="BE148" s="7">
        <v>-0.247</v>
      </c>
      <c r="BF148" s="7">
        <v>-0.247</v>
      </c>
      <c r="BG148" s="7">
        <v>0</v>
      </c>
      <c r="BH148" s="7">
        <v>0</v>
      </c>
      <c r="BI148" s="7">
        <v>-0.28799999999999998</v>
      </c>
      <c r="BJ148" s="21"/>
    </row>
    <row r="149" spans="1:62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2173.864</v>
      </c>
      <c r="F149" s="7">
        <v>345.49400000000003</v>
      </c>
      <c r="G149" s="7">
        <v>1.4E-2</v>
      </c>
      <c r="H149" s="7">
        <v>0</v>
      </c>
      <c r="I149" s="7">
        <v>11.425000000000001</v>
      </c>
      <c r="J149" s="7">
        <v>0.01</v>
      </c>
      <c r="K149" s="7">
        <v>0</v>
      </c>
      <c r="L149" s="7">
        <v>4814.0119999999997</v>
      </c>
      <c r="M149" s="7">
        <v>1029.1420000000001</v>
      </c>
      <c r="N149" s="7">
        <v>0</v>
      </c>
      <c r="O149" s="7">
        <v>28.355</v>
      </c>
      <c r="P149" s="7">
        <v>0</v>
      </c>
      <c r="Q149" s="7">
        <v>8.5860000000000003</v>
      </c>
      <c r="R149" s="7">
        <v>0</v>
      </c>
      <c r="S149" s="7">
        <v>109.26</v>
      </c>
      <c r="T149" s="7">
        <v>0</v>
      </c>
      <c r="U149" s="7">
        <v>0</v>
      </c>
      <c r="V149" s="7">
        <v>1E-3</v>
      </c>
      <c r="W149" s="7">
        <v>31.132999999999999</v>
      </c>
      <c r="X149" s="7">
        <v>-252.922</v>
      </c>
      <c r="Y149" s="7">
        <v>1014.684</v>
      </c>
      <c r="Z149" s="7">
        <v>76.412999999999997</v>
      </c>
      <c r="AA149" s="7">
        <v>0.02</v>
      </c>
      <c r="AB149" s="7">
        <v>625.02300000000002</v>
      </c>
      <c r="AC149" s="7">
        <v>70.289000000000001</v>
      </c>
      <c r="AD149" s="7">
        <v>32.055</v>
      </c>
      <c r="AE149" s="7">
        <v>2622.4</v>
      </c>
      <c r="AF149" s="7">
        <v>2216.5050000000001</v>
      </c>
      <c r="AG149" s="7">
        <v>252.98699999999999</v>
      </c>
      <c r="AH149" s="7">
        <v>8055.9139999999998</v>
      </c>
      <c r="AI149" s="7">
        <v>3297.1370000000002</v>
      </c>
      <c r="AJ149" s="7">
        <v>369.40800000000002</v>
      </c>
      <c r="AK149" s="7">
        <v>990.04100000000005</v>
      </c>
      <c r="AL149" s="7">
        <v>523.31299999999999</v>
      </c>
      <c r="AM149" s="7">
        <v>0</v>
      </c>
      <c r="AN149" s="7">
        <v>348.791</v>
      </c>
      <c r="AO149" s="7">
        <v>91.822000000000003</v>
      </c>
      <c r="AP149" s="7">
        <v>0</v>
      </c>
      <c r="AQ149" s="7">
        <v>866.57399999999996</v>
      </c>
      <c r="AR149" s="7">
        <v>0</v>
      </c>
      <c r="AS149" s="7">
        <v>1.1020000000000001</v>
      </c>
      <c r="AT149" s="7">
        <v>0</v>
      </c>
      <c r="AU149" s="7">
        <v>0</v>
      </c>
      <c r="AV149" s="7">
        <v>0</v>
      </c>
      <c r="AW149" s="7">
        <v>0</v>
      </c>
      <c r="AX149" s="7">
        <v>-314.29399999999998</v>
      </c>
      <c r="AY149" s="7">
        <v>1E-3</v>
      </c>
      <c r="AZ149" s="7">
        <v>0</v>
      </c>
      <c r="BA149" s="7">
        <v>-248.72</v>
      </c>
      <c r="BB149" s="7">
        <v>34.996000000000002</v>
      </c>
      <c r="BC149" s="7">
        <v>0</v>
      </c>
      <c r="BD149" s="7">
        <v>0</v>
      </c>
      <c r="BE149" s="7">
        <v>10.42</v>
      </c>
      <c r="BF149" s="7">
        <v>10.42</v>
      </c>
      <c r="BG149" s="7">
        <v>0</v>
      </c>
      <c r="BH149" s="7">
        <v>222.268</v>
      </c>
      <c r="BI149" s="7">
        <v>0</v>
      </c>
      <c r="BJ149" s="21"/>
    </row>
    <row r="150" spans="1:62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1875.3520000000001</v>
      </c>
      <c r="F150" s="7">
        <v>177.28</v>
      </c>
      <c r="G150" s="7">
        <v>-401.10500000000002</v>
      </c>
      <c r="H150" s="7">
        <v>0</v>
      </c>
      <c r="I150" s="7">
        <v>8.8249999999999993</v>
      </c>
      <c r="J150" s="7">
        <v>-114.28700000000001</v>
      </c>
      <c r="K150" s="7">
        <v>0</v>
      </c>
      <c r="L150" s="7">
        <v>3940.596</v>
      </c>
      <c r="M150" s="7">
        <v>-166.60499999999999</v>
      </c>
      <c r="N150" s="7">
        <v>0</v>
      </c>
      <c r="O150" s="7">
        <v>-42.238999999999997</v>
      </c>
      <c r="P150" s="7">
        <v>0</v>
      </c>
      <c r="Q150" s="7">
        <v>-12.72</v>
      </c>
      <c r="R150" s="7">
        <v>0</v>
      </c>
      <c r="S150" s="7">
        <v>48.970999999999997</v>
      </c>
      <c r="T150" s="7">
        <v>0</v>
      </c>
      <c r="U150" s="7">
        <v>0</v>
      </c>
      <c r="V150" s="7">
        <v>-33.22</v>
      </c>
      <c r="W150" s="7">
        <v>22.65</v>
      </c>
      <c r="X150" s="7">
        <v>566.07799999999997</v>
      </c>
      <c r="Y150" s="7">
        <v>690.154</v>
      </c>
      <c r="Z150" s="7">
        <v>-118.848</v>
      </c>
      <c r="AA150" s="7">
        <v>-273.12400000000002</v>
      </c>
      <c r="AB150" s="7">
        <v>-928.97900000000004</v>
      </c>
      <c r="AC150" s="7">
        <v>-2.431</v>
      </c>
      <c r="AD150" s="7">
        <v>-46.817</v>
      </c>
      <c r="AE150" s="7">
        <v>202.61199999999999</v>
      </c>
      <c r="AF150" s="7">
        <v>2223.3000000000002</v>
      </c>
      <c r="AG150" s="7">
        <v>-369.79700000000003</v>
      </c>
      <c r="AH150" s="7">
        <v>6052.5360000000001</v>
      </c>
      <c r="AI150" s="7">
        <v>3306.5830000000001</v>
      </c>
      <c r="AJ150" s="7">
        <v>-580.61</v>
      </c>
      <c r="AK150" s="7">
        <v>89472.527000000002</v>
      </c>
      <c r="AL150" s="7">
        <v>47293.120999999999</v>
      </c>
      <c r="AM150" s="7">
        <v>0</v>
      </c>
      <c r="AN150" s="7">
        <v>31521.143</v>
      </c>
      <c r="AO150" s="7">
        <v>21.204000000000001</v>
      </c>
      <c r="AP150" s="7">
        <v>0</v>
      </c>
      <c r="AQ150" s="7">
        <v>870.06299999999999</v>
      </c>
      <c r="AR150" s="7">
        <v>0</v>
      </c>
      <c r="AS150" s="7">
        <v>0.93200000000000005</v>
      </c>
      <c r="AT150" s="7">
        <v>0</v>
      </c>
      <c r="AU150" s="7">
        <v>0</v>
      </c>
      <c r="AV150" s="7">
        <v>0</v>
      </c>
      <c r="AW150" s="7">
        <v>0</v>
      </c>
      <c r="AX150" s="7">
        <v>703.43799999999999</v>
      </c>
      <c r="AY150" s="7">
        <v>0</v>
      </c>
      <c r="AZ150" s="7">
        <v>0</v>
      </c>
      <c r="BA150" s="7">
        <v>556.67399999999998</v>
      </c>
      <c r="BB150" s="7">
        <v>8.5920000000000005</v>
      </c>
      <c r="BC150" s="7">
        <v>0</v>
      </c>
      <c r="BD150" s="7">
        <v>0</v>
      </c>
      <c r="BE150" s="7">
        <v>2.8660000000000001</v>
      </c>
      <c r="BF150" s="7">
        <v>2.8660000000000001</v>
      </c>
      <c r="BG150" s="7">
        <v>0</v>
      </c>
      <c r="BH150" s="7">
        <v>-345.66699999999997</v>
      </c>
      <c r="BI150" s="7">
        <v>0</v>
      </c>
      <c r="BJ150" s="21"/>
    </row>
    <row r="151" spans="1:62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21"/>
    </row>
    <row r="152" spans="1:62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123.27200000000001</v>
      </c>
      <c r="F152" s="7">
        <v>180.37299999999999</v>
      </c>
      <c r="G152" s="7">
        <v>407.37200000000001</v>
      </c>
      <c r="H152" s="7">
        <v>0</v>
      </c>
      <c r="I152" s="7">
        <v>3.2989999999999999</v>
      </c>
      <c r="J152" s="7">
        <v>122.908</v>
      </c>
      <c r="K152" s="7">
        <v>0</v>
      </c>
      <c r="L152" s="7">
        <v>673.85299999999995</v>
      </c>
      <c r="M152" s="7">
        <v>267.68200000000002</v>
      </c>
      <c r="N152" s="7">
        <v>0</v>
      </c>
      <c r="O152" s="7">
        <v>0</v>
      </c>
      <c r="P152" s="7">
        <v>0</v>
      </c>
      <c r="Q152" s="7">
        <v>3.5680000000000001</v>
      </c>
      <c r="R152" s="7">
        <v>5.782</v>
      </c>
      <c r="S152" s="7">
        <v>65.153999999999996</v>
      </c>
      <c r="T152" s="7">
        <v>0</v>
      </c>
      <c r="U152" s="7">
        <v>0</v>
      </c>
      <c r="V152" s="7">
        <v>35.034999999999997</v>
      </c>
      <c r="W152" s="7">
        <v>8.5969999999999995</v>
      </c>
      <c r="X152" s="7">
        <v>0</v>
      </c>
      <c r="Y152" s="7">
        <v>334.202</v>
      </c>
      <c r="Z152" s="7">
        <v>93.918999999999997</v>
      </c>
      <c r="AA152" s="7">
        <v>301.005</v>
      </c>
      <c r="AB152" s="7">
        <v>0</v>
      </c>
      <c r="AC152" s="7">
        <v>75.415999999999997</v>
      </c>
      <c r="AD152" s="7">
        <v>19.084</v>
      </c>
      <c r="AE152" s="7">
        <v>2356.6350000000002</v>
      </c>
      <c r="AF152" s="7">
        <v>0.17299999999999999</v>
      </c>
      <c r="AG152" s="7">
        <v>66.555999999999997</v>
      </c>
      <c r="AH152" s="7">
        <v>2018.23</v>
      </c>
      <c r="AI152" s="7">
        <v>0</v>
      </c>
      <c r="AJ152" s="7">
        <v>475.44400000000002</v>
      </c>
      <c r="AK152" s="7">
        <v>0</v>
      </c>
      <c r="AL152" s="7">
        <v>0</v>
      </c>
      <c r="AM152" s="7">
        <v>0</v>
      </c>
      <c r="AN152" s="7">
        <v>0</v>
      </c>
      <c r="AO152" s="7">
        <v>75.775000000000006</v>
      </c>
      <c r="AP152" s="7">
        <v>0</v>
      </c>
      <c r="AQ152" s="7">
        <v>2.5999999999999999E-2</v>
      </c>
      <c r="AR152" s="7">
        <v>0</v>
      </c>
      <c r="AS152" s="7">
        <v>0.19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28.32</v>
      </c>
      <c r="BC152" s="7">
        <v>0</v>
      </c>
      <c r="BD152" s="7">
        <v>0</v>
      </c>
      <c r="BE152" s="7">
        <v>8.1080000000000005</v>
      </c>
      <c r="BF152" s="7">
        <v>8.1080000000000005</v>
      </c>
      <c r="BG152" s="7">
        <v>0</v>
      </c>
      <c r="BH152" s="7">
        <v>290.81</v>
      </c>
      <c r="BI152" s="7">
        <v>0</v>
      </c>
      <c r="BJ152" s="21"/>
    </row>
    <row r="153" spans="1:62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21"/>
    </row>
    <row r="154" spans="1:62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8868.5169999999998</v>
      </c>
      <c r="F154" s="7">
        <v>1746.7339999999999</v>
      </c>
      <c r="G154" s="7">
        <v>0</v>
      </c>
      <c r="H154" s="7">
        <v>0</v>
      </c>
      <c r="I154" s="7">
        <v>37.247</v>
      </c>
      <c r="J154" s="7">
        <v>0</v>
      </c>
      <c r="K154" s="7">
        <v>0</v>
      </c>
      <c r="L154" s="7">
        <v>21985.458999999999</v>
      </c>
      <c r="M154" s="7">
        <v>935.99199999999996</v>
      </c>
      <c r="N154" s="7">
        <v>0</v>
      </c>
      <c r="O154" s="7">
        <v>0</v>
      </c>
      <c r="P154" s="7">
        <v>0.35799999999999998</v>
      </c>
      <c r="Q154" s="7">
        <v>0</v>
      </c>
      <c r="R154" s="7">
        <v>0</v>
      </c>
      <c r="S154" s="7">
        <v>566.60500000000002</v>
      </c>
      <c r="T154" s="7">
        <v>0</v>
      </c>
      <c r="U154" s="7">
        <v>0</v>
      </c>
      <c r="V154" s="7">
        <v>0</v>
      </c>
      <c r="W154" s="7">
        <v>199.31399999999999</v>
      </c>
      <c r="X154" s="7">
        <v>0</v>
      </c>
      <c r="Y154" s="7">
        <v>4398.5659999999998</v>
      </c>
      <c r="Z154" s="7">
        <v>0</v>
      </c>
      <c r="AA154" s="7">
        <v>0</v>
      </c>
      <c r="AB154" s="7">
        <v>0</v>
      </c>
      <c r="AC154" s="7">
        <v>361.68</v>
      </c>
      <c r="AD154" s="7">
        <v>0</v>
      </c>
      <c r="AE154" s="7">
        <v>11083.837</v>
      </c>
      <c r="AF154" s="7">
        <v>9781.4869999999992</v>
      </c>
      <c r="AG154" s="7">
        <v>0</v>
      </c>
      <c r="AH154" s="7">
        <v>35327.262999999999</v>
      </c>
      <c r="AI154" s="7">
        <v>15932.358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390.19200000000001</v>
      </c>
      <c r="AP154" s="7">
        <v>0</v>
      </c>
      <c r="AQ154" s="7">
        <v>3785.806</v>
      </c>
      <c r="AR154" s="7">
        <v>0</v>
      </c>
      <c r="AS154" s="7">
        <v>5.335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136.13300000000001</v>
      </c>
      <c r="AZ154" s="7">
        <v>5160.8289999999997</v>
      </c>
      <c r="BA154" s="7">
        <v>0</v>
      </c>
      <c r="BB154" s="7">
        <v>144.40799999999999</v>
      </c>
      <c r="BC154" s="7">
        <v>0</v>
      </c>
      <c r="BD154" s="7">
        <v>6525.8289999999997</v>
      </c>
      <c r="BE154" s="7">
        <v>40.216999999999999</v>
      </c>
      <c r="BF154" s="7">
        <v>40.216999999999999</v>
      </c>
      <c r="BG154" s="7">
        <v>2208.123</v>
      </c>
      <c r="BH154" s="7">
        <v>0</v>
      </c>
      <c r="BI154" s="7">
        <v>0</v>
      </c>
      <c r="BJ154" s="21"/>
    </row>
    <row r="155" spans="1:62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21"/>
    </row>
    <row r="156" spans="1:62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21"/>
    </row>
    <row r="159" spans="1:62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-79.108000000000004</v>
      </c>
      <c r="F164" s="7">
        <v>-15.689</v>
      </c>
      <c r="G164" s="7">
        <v>-11.912000000000001</v>
      </c>
      <c r="H164" s="7">
        <v>0</v>
      </c>
      <c r="I164" s="7">
        <v>-2.4420000000000002</v>
      </c>
      <c r="J164" s="7">
        <v>-9.3119999999999994</v>
      </c>
      <c r="K164" s="7">
        <v>0</v>
      </c>
      <c r="L164" s="7">
        <v>-83.3</v>
      </c>
      <c r="M164" s="7">
        <v>-28.331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-4.5609999999999999</v>
      </c>
      <c r="T164" s="7">
        <v>0</v>
      </c>
      <c r="U164" s="7">
        <v>0</v>
      </c>
      <c r="V164" s="7">
        <v>-1.738</v>
      </c>
      <c r="W164" s="7">
        <v>-3.9620000000000002</v>
      </c>
      <c r="X164" s="7">
        <v>0</v>
      </c>
      <c r="Y164" s="7">
        <v>-35.558999999999997</v>
      </c>
      <c r="Z164" s="7">
        <v>0</v>
      </c>
      <c r="AA164" s="7">
        <v>-11.654999999999999</v>
      </c>
      <c r="AB164" s="7">
        <v>0</v>
      </c>
      <c r="AC164" s="7">
        <v>-2.6230000000000002</v>
      </c>
      <c r="AD164" s="7">
        <v>0</v>
      </c>
      <c r="AE164" s="7">
        <v>-90.247</v>
      </c>
      <c r="AF164" s="7">
        <v>-13.443</v>
      </c>
      <c r="AG164" s="7">
        <v>0</v>
      </c>
      <c r="AH164" s="7">
        <v>-224.09200000000001</v>
      </c>
      <c r="AI164" s="7">
        <v>-19.992999999999999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-1.6020000000000001</v>
      </c>
      <c r="AP164" s="7">
        <v>0</v>
      </c>
      <c r="AQ164" s="7">
        <v>-5.2610000000000001</v>
      </c>
      <c r="AR164" s="7">
        <v>0</v>
      </c>
      <c r="AS164" s="7">
        <v>-1.2E-2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-0.624</v>
      </c>
      <c r="BC164" s="7">
        <v>0</v>
      </c>
      <c r="BD164" s="7">
        <v>0</v>
      </c>
      <c r="BE164" s="7">
        <v>-0.23200000000000001</v>
      </c>
      <c r="BF164" s="7">
        <v>-0.23200000000000001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3674.172</v>
      </c>
      <c r="F166" s="7">
        <v>166.05</v>
      </c>
      <c r="G166" s="7">
        <v>167.11600000000001</v>
      </c>
      <c r="H166" s="7">
        <v>3328.395</v>
      </c>
      <c r="I166" s="7">
        <v>33.39</v>
      </c>
      <c r="J166" s="7">
        <v>101.49299999999999</v>
      </c>
      <c r="K166" s="7">
        <v>0</v>
      </c>
      <c r="L166" s="7">
        <v>4073.3330000000001</v>
      </c>
      <c r="M166" s="7">
        <v>1103.4079999999999</v>
      </c>
      <c r="N166" s="7">
        <v>0</v>
      </c>
      <c r="O166" s="7">
        <v>0</v>
      </c>
      <c r="P166" s="7">
        <v>6.6970000000000001</v>
      </c>
      <c r="Q166" s="7">
        <v>0</v>
      </c>
      <c r="R166" s="7">
        <v>1.4710000000000001</v>
      </c>
      <c r="S166" s="7">
        <v>0</v>
      </c>
      <c r="T166" s="7">
        <v>0</v>
      </c>
      <c r="U166" s="7">
        <v>0</v>
      </c>
      <c r="V166" s="7">
        <v>16.875</v>
      </c>
      <c r="W166" s="7">
        <v>65.42</v>
      </c>
      <c r="X166" s="7">
        <v>0</v>
      </c>
      <c r="Y166" s="7">
        <v>966.46400000000006</v>
      </c>
      <c r="Z166" s="7">
        <v>0</v>
      </c>
      <c r="AA166" s="7">
        <v>274.75299999999999</v>
      </c>
      <c r="AB166" s="7">
        <v>0</v>
      </c>
      <c r="AC166" s="7">
        <v>33.512</v>
      </c>
      <c r="AD166" s="7">
        <v>0</v>
      </c>
      <c r="AE166" s="7">
        <v>3416.127</v>
      </c>
      <c r="AF166" s="7">
        <v>0</v>
      </c>
      <c r="AG166" s="7">
        <v>0</v>
      </c>
      <c r="AH166" s="7">
        <v>11531.323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410.75299999999999</v>
      </c>
      <c r="F167" s="7">
        <v>74.778000000000006</v>
      </c>
      <c r="G167" s="7">
        <v>25.138000000000002</v>
      </c>
      <c r="H167" s="7">
        <v>0</v>
      </c>
      <c r="I167" s="7">
        <v>3.665</v>
      </c>
      <c r="J167" s="7">
        <v>14.613</v>
      </c>
      <c r="K167" s="7">
        <v>0</v>
      </c>
      <c r="L167" s="7">
        <v>775.40499999999997</v>
      </c>
      <c r="M167" s="7">
        <v>86.897999999999996</v>
      </c>
      <c r="N167" s="7">
        <v>0</v>
      </c>
      <c r="O167" s="7">
        <v>0</v>
      </c>
      <c r="P167" s="7">
        <v>1.4E-2</v>
      </c>
      <c r="Q167" s="7">
        <v>0</v>
      </c>
      <c r="R167" s="7">
        <v>0</v>
      </c>
      <c r="S167" s="7">
        <v>26.311</v>
      </c>
      <c r="T167" s="7">
        <v>0</v>
      </c>
      <c r="U167" s="7">
        <v>0</v>
      </c>
      <c r="V167" s="7">
        <v>3.6429999999999998</v>
      </c>
      <c r="W167" s="7">
        <v>11.452</v>
      </c>
      <c r="X167" s="7">
        <v>0</v>
      </c>
      <c r="Y167" s="7">
        <v>165.358</v>
      </c>
      <c r="Z167" s="7">
        <v>0</v>
      </c>
      <c r="AA167" s="7">
        <v>39.524999999999999</v>
      </c>
      <c r="AB167" s="7">
        <v>0</v>
      </c>
      <c r="AC167" s="7">
        <v>14.606</v>
      </c>
      <c r="AD167" s="7">
        <v>0</v>
      </c>
      <c r="AE167" s="7">
        <v>387.173</v>
      </c>
      <c r="AF167" s="7">
        <v>325.23599999999999</v>
      </c>
      <c r="AG167" s="7">
        <v>0</v>
      </c>
      <c r="AH167" s="7">
        <v>1277.528</v>
      </c>
      <c r="AI167" s="7">
        <v>529.75400000000002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15.866</v>
      </c>
      <c r="AP167" s="7">
        <v>0</v>
      </c>
      <c r="AQ167" s="7">
        <v>125.879</v>
      </c>
      <c r="AR167" s="7">
        <v>0</v>
      </c>
      <c r="AS167" s="7">
        <v>0.24099999999999999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6.9349999999999996</v>
      </c>
      <c r="AZ167" s="7">
        <v>171.59899999999999</v>
      </c>
      <c r="BA167" s="7">
        <v>0</v>
      </c>
      <c r="BB167" s="7">
        <v>5.9050000000000002</v>
      </c>
      <c r="BC167" s="7">
        <v>1.655</v>
      </c>
      <c r="BD167" s="7">
        <v>216.98500000000001</v>
      </c>
      <c r="BE167" s="7">
        <v>1.6559999999999999</v>
      </c>
      <c r="BF167" s="7">
        <v>1.6559999999999999</v>
      </c>
      <c r="BG167" s="7">
        <v>73.421000000000006</v>
      </c>
      <c r="BH167" s="7">
        <v>0</v>
      </c>
      <c r="BI167" s="7">
        <v>0.59399999999999997</v>
      </c>
      <c r="BJ167" s="21"/>
    </row>
    <row r="168" spans="1:62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0</v>
      </c>
      <c r="F172" s="7">
        <v>244.31700000000001</v>
      </c>
      <c r="G172" s="7">
        <v>0</v>
      </c>
      <c r="H172" s="7">
        <v>0</v>
      </c>
      <c r="I172" s="7">
        <v>5.5220000000000002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4.5999999999999999E-2</v>
      </c>
      <c r="Q172" s="7">
        <v>0</v>
      </c>
      <c r="R172" s="7">
        <v>0</v>
      </c>
      <c r="S172" s="7">
        <v>79.031000000000006</v>
      </c>
      <c r="T172" s="7">
        <v>0</v>
      </c>
      <c r="U172" s="7">
        <v>0</v>
      </c>
      <c r="V172" s="7">
        <v>0</v>
      </c>
      <c r="W172" s="7">
        <v>27.492999999999999</v>
      </c>
      <c r="X172" s="7">
        <v>0</v>
      </c>
      <c r="Y172" s="7">
        <v>255.91499999999999</v>
      </c>
      <c r="Z172" s="7">
        <v>0</v>
      </c>
      <c r="AA172" s="7">
        <v>0</v>
      </c>
      <c r="AB172" s="7">
        <v>0</v>
      </c>
      <c r="AC172" s="7">
        <v>50.337000000000003</v>
      </c>
      <c r="AD172" s="7">
        <v>0</v>
      </c>
      <c r="AE172" s="7">
        <v>1547.7159999999999</v>
      </c>
      <c r="AF172" s="7">
        <v>1369.5550000000001</v>
      </c>
      <c r="AG172" s="7">
        <v>0</v>
      </c>
      <c r="AH172" s="7">
        <v>103.785</v>
      </c>
      <c r="AI172" s="7">
        <v>2217.9169999999999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54.529000000000003</v>
      </c>
      <c r="AP172" s="7">
        <v>0</v>
      </c>
      <c r="AQ172" s="7">
        <v>528.80200000000002</v>
      </c>
      <c r="AR172" s="7">
        <v>0</v>
      </c>
      <c r="AS172" s="7">
        <v>0.73899999999999999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17.664999999999999</v>
      </c>
      <c r="AZ172" s="7">
        <v>669.66700000000003</v>
      </c>
      <c r="BA172" s="7">
        <v>0</v>
      </c>
      <c r="BB172" s="7">
        <v>20.224</v>
      </c>
      <c r="BC172" s="7">
        <v>0</v>
      </c>
      <c r="BD172" s="7">
        <v>846.78899999999999</v>
      </c>
      <c r="BE172" s="7">
        <v>5.6609999999999996</v>
      </c>
      <c r="BF172" s="7">
        <v>5.6609999999999996</v>
      </c>
      <c r="BG172" s="7">
        <v>286.52499999999998</v>
      </c>
      <c r="BH172" s="7">
        <v>0</v>
      </c>
      <c r="BI172" s="7">
        <v>0</v>
      </c>
      <c r="BJ172" s="21"/>
    </row>
    <row r="173" spans="1:62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-69.039000000000001</v>
      </c>
      <c r="F176" s="7">
        <v>-10.087999999999999</v>
      </c>
      <c r="G176" s="7">
        <v>-6.0780000000000003</v>
      </c>
      <c r="H176" s="7">
        <v>0</v>
      </c>
      <c r="I176" s="7">
        <v>-1.0449999999999999</v>
      </c>
      <c r="J176" s="7">
        <v>-4.13</v>
      </c>
      <c r="K176" s="7">
        <v>0</v>
      </c>
      <c r="L176" s="7">
        <v>-97.122</v>
      </c>
      <c r="M176" s="7">
        <v>-15.007</v>
      </c>
      <c r="N176" s="7">
        <v>0</v>
      </c>
      <c r="O176" s="7">
        <v>0</v>
      </c>
      <c r="P176" s="7">
        <v>-1E-3</v>
      </c>
      <c r="Q176" s="7">
        <v>0</v>
      </c>
      <c r="R176" s="7">
        <v>0</v>
      </c>
      <c r="S176" s="7">
        <v>-3.1829999999999998</v>
      </c>
      <c r="T176" s="7">
        <v>0</v>
      </c>
      <c r="U176" s="7">
        <v>0</v>
      </c>
      <c r="V176" s="7">
        <v>-0.63200000000000001</v>
      </c>
      <c r="W176" s="7">
        <v>-1.84</v>
      </c>
      <c r="X176" s="7">
        <v>0</v>
      </c>
      <c r="Y176" s="7">
        <v>-25.132000000000001</v>
      </c>
      <c r="Z176" s="7">
        <v>0</v>
      </c>
      <c r="AA176" s="7">
        <v>-8.8650000000000002</v>
      </c>
      <c r="AB176" s="7">
        <v>0</v>
      </c>
      <c r="AC176" s="7">
        <v>-1.869</v>
      </c>
      <c r="AD176" s="7">
        <v>-0.17699999999999999</v>
      </c>
      <c r="AE176" s="7">
        <v>-63.673000000000002</v>
      </c>
      <c r="AF176" s="7">
        <v>-37.573</v>
      </c>
      <c r="AG176" s="7">
        <v>-0.68700000000000006</v>
      </c>
      <c r="AH176" s="7">
        <v>-181.86799999999999</v>
      </c>
      <c r="AI176" s="7">
        <v>-61.198999999999998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-2</v>
      </c>
      <c r="AP176" s="7">
        <v>0</v>
      </c>
      <c r="AQ176" s="7">
        <v>-14.542</v>
      </c>
      <c r="AR176" s="7">
        <v>0</v>
      </c>
      <c r="AS176" s="7">
        <v>-4.2000000000000003E-2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-0.83599999999999997</v>
      </c>
      <c r="AZ176" s="7">
        <v>-19.824000000000002</v>
      </c>
      <c r="BA176" s="7">
        <v>0</v>
      </c>
      <c r="BB176" s="7">
        <v>-0.755</v>
      </c>
      <c r="BC176" s="7">
        <v>-0.17799999999999999</v>
      </c>
      <c r="BD176" s="7">
        <v>-25.067</v>
      </c>
      <c r="BE176" s="7">
        <v>-0.21299999999999999</v>
      </c>
      <c r="BF176" s="7">
        <v>-0.21299999999999999</v>
      </c>
      <c r="BG176" s="7">
        <v>-8.4819999999999993</v>
      </c>
      <c r="BH176" s="7">
        <v>0</v>
      </c>
      <c r="BI176" s="7">
        <v>-5.3999999999999999E-2</v>
      </c>
      <c r="BJ176" s="21"/>
    </row>
    <row r="177" spans="1:62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-957.58199999999999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-2008.617</v>
      </c>
      <c r="M177" s="7">
        <v>-1033.2729999999999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21"/>
    </row>
    <row r="178" spans="1:62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21"/>
    </row>
    <row r="183" spans="1:62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3195.422</v>
      </c>
      <c r="F186" s="7">
        <v>8.8070000000000004</v>
      </c>
      <c r="G186" s="7">
        <v>12.37</v>
      </c>
      <c r="H186" s="7">
        <v>0</v>
      </c>
      <c r="I186" s="7">
        <v>2.145</v>
      </c>
      <c r="J186" s="7">
        <v>7.5119999999999996</v>
      </c>
      <c r="K186" s="7">
        <v>0</v>
      </c>
      <c r="L186" s="7">
        <v>4954.5200000000004</v>
      </c>
      <c r="M186" s="7">
        <v>1053.48</v>
      </c>
      <c r="N186" s="7">
        <v>0</v>
      </c>
      <c r="O186" s="7">
        <v>0</v>
      </c>
      <c r="P186" s="7">
        <v>0.38700000000000001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1.2490000000000001</v>
      </c>
      <c r="W186" s="7">
        <v>3.754</v>
      </c>
      <c r="X186" s="7">
        <v>0</v>
      </c>
      <c r="Y186" s="7">
        <v>962.53200000000004</v>
      </c>
      <c r="Z186" s="7">
        <v>0</v>
      </c>
      <c r="AA186" s="7">
        <v>10.103</v>
      </c>
      <c r="AB186" s="7">
        <v>0</v>
      </c>
      <c r="AC186" s="7">
        <v>1.61</v>
      </c>
      <c r="AD186" s="7">
        <v>0</v>
      </c>
      <c r="AE186" s="7">
        <v>3801.6529999999998</v>
      </c>
      <c r="AF186" s="7">
        <v>6.0000000000000001E-3</v>
      </c>
      <c r="AG186" s="7">
        <v>0</v>
      </c>
      <c r="AH186" s="7">
        <v>10350.695</v>
      </c>
      <c r="AI186" s="7">
        <v>8.9999999999999993E-3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176.46899999999999</v>
      </c>
      <c r="F210" s="7">
        <v>2.5569999999999999</v>
      </c>
      <c r="G210" s="7">
        <v>43.1</v>
      </c>
      <c r="H210" s="7">
        <v>0</v>
      </c>
      <c r="I210" s="7">
        <v>0.57799999999999996</v>
      </c>
      <c r="J210" s="7">
        <v>68.353999999999999</v>
      </c>
      <c r="K210" s="7">
        <v>0</v>
      </c>
      <c r="L210" s="7">
        <v>548.70500000000004</v>
      </c>
      <c r="M210" s="7">
        <v>92.861999999999995</v>
      </c>
      <c r="N210" s="7">
        <v>0</v>
      </c>
      <c r="O210" s="7">
        <v>0</v>
      </c>
      <c r="P210" s="7">
        <v>1E-3</v>
      </c>
      <c r="Q210" s="7">
        <v>44.707999999999998</v>
      </c>
      <c r="R210" s="7">
        <v>125.614</v>
      </c>
      <c r="S210" s="7">
        <v>0.89</v>
      </c>
      <c r="T210" s="7">
        <v>0</v>
      </c>
      <c r="U210" s="7">
        <v>0</v>
      </c>
      <c r="V210" s="7">
        <v>0.68700000000000006</v>
      </c>
      <c r="W210" s="7">
        <v>1.5860000000000001</v>
      </c>
      <c r="X210" s="7">
        <v>0</v>
      </c>
      <c r="Y210" s="7">
        <v>5.9560000000000004</v>
      </c>
      <c r="Z210" s="7">
        <v>0</v>
      </c>
      <c r="AA210" s="7">
        <v>8.2889999999999997</v>
      </c>
      <c r="AB210" s="7">
        <v>0</v>
      </c>
      <c r="AC210" s="7">
        <v>0.48899999999999999</v>
      </c>
      <c r="AD210" s="7">
        <v>0</v>
      </c>
      <c r="AE210" s="7">
        <v>18.248000000000001</v>
      </c>
      <c r="AF210" s="7">
        <v>0</v>
      </c>
      <c r="AG210" s="7">
        <v>0</v>
      </c>
      <c r="AH210" s="7">
        <v>498.149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0.57599999999999996</v>
      </c>
      <c r="AP210" s="7">
        <v>0</v>
      </c>
      <c r="AQ210" s="7">
        <v>0</v>
      </c>
      <c r="AR210" s="7">
        <v>0</v>
      </c>
      <c r="AS210" s="7">
        <v>3.0000000000000001E-3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0.45500000000000002</v>
      </c>
      <c r="AZ210" s="7">
        <v>0</v>
      </c>
      <c r="BA210" s="7">
        <v>0</v>
      </c>
      <c r="BB210" s="7">
        <v>0.22800000000000001</v>
      </c>
      <c r="BC210" s="7">
        <v>0.32500000000000001</v>
      </c>
      <c r="BD210" s="7">
        <v>0</v>
      </c>
      <c r="BE210" s="7">
        <v>6.8000000000000005E-2</v>
      </c>
      <c r="BF210" s="7">
        <v>6.8000000000000005E-2</v>
      </c>
      <c r="BG210" s="7">
        <v>0</v>
      </c>
      <c r="BH210" s="7">
        <v>0</v>
      </c>
      <c r="BI210" s="7">
        <v>0.11899999999999999</v>
      </c>
      <c r="BJ210" s="21"/>
    </row>
    <row r="211" spans="1:62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1161.076</v>
      </c>
      <c r="F214" s="7">
        <v>101.831</v>
      </c>
      <c r="G214" s="7">
        <v>143.023</v>
      </c>
      <c r="H214" s="7">
        <v>4.0000000000000001E-3</v>
      </c>
      <c r="I214" s="7">
        <v>24.8</v>
      </c>
      <c r="J214" s="7">
        <v>86.861000000000004</v>
      </c>
      <c r="K214" s="7">
        <v>0</v>
      </c>
      <c r="L214" s="7">
        <v>831.26300000000003</v>
      </c>
      <c r="M214" s="7">
        <v>385.73200000000003</v>
      </c>
      <c r="N214" s="7">
        <v>0</v>
      </c>
      <c r="O214" s="7">
        <v>0</v>
      </c>
      <c r="P214" s="7">
        <v>4.4720000000000004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14.442</v>
      </c>
      <c r="W214" s="7">
        <v>43.401000000000003</v>
      </c>
      <c r="X214" s="7">
        <v>0</v>
      </c>
      <c r="Y214" s="7">
        <v>342.25299999999999</v>
      </c>
      <c r="Z214" s="7">
        <v>0</v>
      </c>
      <c r="AA214" s="7">
        <v>116.819</v>
      </c>
      <c r="AB214" s="7">
        <v>0</v>
      </c>
      <c r="AC214" s="7">
        <v>18.61</v>
      </c>
      <c r="AD214" s="7">
        <v>0</v>
      </c>
      <c r="AE214" s="7">
        <v>1110.9939999999999</v>
      </c>
      <c r="AF214" s="7">
        <v>0</v>
      </c>
      <c r="AG214" s="7">
        <v>0</v>
      </c>
      <c r="AH214" s="7">
        <v>2436.2800000000002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57992.95</v>
      </c>
      <c r="F227" s="7">
        <v>11422.232</v>
      </c>
      <c r="G227" s="7">
        <v>0</v>
      </c>
      <c r="H227" s="7">
        <v>0</v>
      </c>
      <c r="I227" s="7">
        <v>243.566</v>
      </c>
      <c r="J227" s="7">
        <v>0</v>
      </c>
      <c r="K227" s="7">
        <v>0</v>
      </c>
      <c r="L227" s="7">
        <v>143767.18</v>
      </c>
      <c r="M227" s="7">
        <v>6120.634</v>
      </c>
      <c r="N227" s="7">
        <v>0</v>
      </c>
      <c r="O227" s="7">
        <v>0</v>
      </c>
      <c r="P227" s="7">
        <v>2.3410000000000002</v>
      </c>
      <c r="Q227" s="7">
        <v>0</v>
      </c>
      <c r="R227" s="7">
        <v>0</v>
      </c>
      <c r="S227" s="7">
        <v>3705.1419999999998</v>
      </c>
      <c r="T227" s="7">
        <v>0</v>
      </c>
      <c r="U227" s="7">
        <v>0</v>
      </c>
      <c r="V227" s="7">
        <v>0</v>
      </c>
      <c r="W227" s="7">
        <v>1303.3499999999999</v>
      </c>
      <c r="X227" s="7">
        <v>0</v>
      </c>
      <c r="Y227" s="7">
        <v>28763.075000000001</v>
      </c>
      <c r="Z227" s="7">
        <v>0</v>
      </c>
      <c r="AA227" s="7">
        <v>0</v>
      </c>
      <c r="AB227" s="7">
        <v>0</v>
      </c>
      <c r="AC227" s="7">
        <v>2365.0949999999998</v>
      </c>
      <c r="AD227" s="7">
        <v>0</v>
      </c>
      <c r="AE227" s="7">
        <v>72479.360000000001</v>
      </c>
      <c r="AF227" s="7">
        <v>63963.038</v>
      </c>
      <c r="AG227" s="7">
        <v>0</v>
      </c>
      <c r="AH227" s="7">
        <v>231011.821</v>
      </c>
      <c r="AI227" s="7">
        <v>104184.776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2551.54</v>
      </c>
      <c r="AP227" s="7">
        <v>0</v>
      </c>
      <c r="AQ227" s="7">
        <v>24756.121999999999</v>
      </c>
      <c r="AR227" s="7">
        <v>0</v>
      </c>
      <c r="AS227" s="7">
        <v>34.887999999999998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890.19799999999998</v>
      </c>
      <c r="AZ227" s="7">
        <v>33747.661999999997</v>
      </c>
      <c r="BA227" s="7">
        <v>0</v>
      </c>
      <c r="BB227" s="7">
        <v>944.31299999999999</v>
      </c>
      <c r="BC227" s="7">
        <v>0</v>
      </c>
      <c r="BD227" s="7">
        <v>42673.663</v>
      </c>
      <c r="BE227" s="7">
        <v>262.98399999999998</v>
      </c>
      <c r="BF227" s="7">
        <v>262.98399999999998</v>
      </c>
      <c r="BG227" s="7">
        <v>14439.344999999999</v>
      </c>
      <c r="BH227" s="7">
        <v>0</v>
      </c>
      <c r="BI227" s="7">
        <v>0</v>
      </c>
      <c r="BJ227" s="21"/>
    </row>
    <row r="228" spans="1:62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245.86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8411.7980000000007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2896.3629999999998</v>
      </c>
      <c r="F278" s="7">
        <v>2086.069</v>
      </c>
      <c r="G278" s="7">
        <v>139.14400000000001</v>
      </c>
      <c r="H278" s="7">
        <v>0</v>
      </c>
      <c r="I278" s="7">
        <v>153.05600000000001</v>
      </c>
      <c r="J278" s="7">
        <v>1499.654</v>
      </c>
      <c r="K278" s="7">
        <v>0</v>
      </c>
      <c r="L278" s="7">
        <v>4327.4620000000004</v>
      </c>
      <c r="M278" s="7">
        <v>238.57900000000001</v>
      </c>
      <c r="N278" s="7">
        <v>0</v>
      </c>
      <c r="O278" s="7">
        <v>0</v>
      </c>
      <c r="P278" s="7">
        <v>6.0000000000000001E-3</v>
      </c>
      <c r="Q278" s="7">
        <v>0</v>
      </c>
      <c r="R278" s="7">
        <v>0</v>
      </c>
      <c r="S278" s="7">
        <v>847.70100000000002</v>
      </c>
      <c r="T278" s="7">
        <v>0</v>
      </c>
      <c r="U278" s="7">
        <v>0</v>
      </c>
      <c r="V278" s="7">
        <v>288.315</v>
      </c>
      <c r="W278" s="7">
        <v>2.6970000000000001</v>
      </c>
      <c r="X278" s="7">
        <v>0</v>
      </c>
      <c r="Y278" s="7">
        <v>117.438</v>
      </c>
      <c r="Z278" s="7">
        <v>0</v>
      </c>
      <c r="AA278" s="7">
        <v>5138.0209999999997</v>
      </c>
      <c r="AB278" s="7">
        <v>0</v>
      </c>
      <c r="AC278" s="7">
        <v>336.25400000000002</v>
      </c>
      <c r="AD278" s="7">
        <v>0</v>
      </c>
      <c r="AE278" s="7">
        <v>1035.0150000000001</v>
      </c>
      <c r="AF278" s="7">
        <v>37.011000000000003</v>
      </c>
      <c r="AG278" s="7">
        <v>0</v>
      </c>
      <c r="AH278" s="7">
        <v>7024.1180000000004</v>
      </c>
      <c r="AI278" s="7">
        <v>2.8000000000000001E-2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801.52700000000004</v>
      </c>
      <c r="AP278" s="7">
        <v>0</v>
      </c>
      <c r="AQ278" s="7">
        <v>5.452</v>
      </c>
      <c r="AR278" s="7">
        <v>0</v>
      </c>
      <c r="AS278" s="7">
        <v>2.86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296.54399999999998</v>
      </c>
      <c r="BC278" s="7">
        <v>0</v>
      </c>
      <c r="BD278" s="7">
        <v>0</v>
      </c>
      <c r="BE278" s="7">
        <v>85.674999999999997</v>
      </c>
      <c r="BF278" s="7">
        <v>85.674999999999997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6.0000000000000001E-3</v>
      </c>
      <c r="J279" s="7">
        <v>0</v>
      </c>
      <c r="K279" s="7">
        <v>0</v>
      </c>
      <c r="L279" s="7">
        <v>118.06399999999999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92.869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165990.978</v>
      </c>
      <c r="F280" s="7">
        <v>0</v>
      </c>
      <c r="G280" s="7">
        <v>12905.004000000001</v>
      </c>
      <c r="H280" s="7">
        <v>64.846999999999994</v>
      </c>
      <c r="I280" s="7">
        <v>0</v>
      </c>
      <c r="J280" s="7">
        <v>37029.294999999998</v>
      </c>
      <c r="K280" s="7">
        <v>20827.36</v>
      </c>
      <c r="L280" s="7">
        <v>100987.098</v>
      </c>
      <c r="M280" s="7">
        <v>220458.81200000001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2873.38</v>
      </c>
      <c r="V280" s="7">
        <v>5431.1989999999996</v>
      </c>
      <c r="W280" s="7">
        <v>15784.870999999999</v>
      </c>
      <c r="X280" s="7">
        <v>0</v>
      </c>
      <c r="Y280" s="7">
        <v>33078.860999999997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72058.971999999994</v>
      </c>
      <c r="AF280" s="7">
        <v>7856.7030000000004</v>
      </c>
      <c r="AG280" s="7">
        <v>13357.063</v>
      </c>
      <c r="AH280" s="7">
        <v>461839.59100000001</v>
      </c>
      <c r="AI280" s="7">
        <v>117487.97100000001</v>
      </c>
      <c r="AJ280" s="7">
        <v>7.8280000000000003</v>
      </c>
      <c r="AK280" s="7">
        <v>263.11099999999999</v>
      </c>
      <c r="AL280" s="7">
        <v>113.551</v>
      </c>
      <c r="AM280" s="7">
        <v>776.57100000000003</v>
      </c>
      <c r="AN280" s="7">
        <v>108.577</v>
      </c>
      <c r="AO280" s="7">
        <v>0</v>
      </c>
      <c r="AP280" s="7">
        <v>0</v>
      </c>
      <c r="AQ280" s="7">
        <v>15660.197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13850.152</v>
      </c>
      <c r="F281" s="7">
        <v>1214.7139999999999</v>
      </c>
      <c r="G281" s="7">
        <v>1706.088</v>
      </c>
      <c r="H281" s="7">
        <v>0</v>
      </c>
      <c r="I281" s="7">
        <v>295.83300000000003</v>
      </c>
      <c r="J281" s="7">
        <v>1036.145</v>
      </c>
      <c r="K281" s="7">
        <v>0</v>
      </c>
      <c r="L281" s="7">
        <v>9915.9110000000001</v>
      </c>
      <c r="M281" s="7">
        <v>4601.2939999999999</v>
      </c>
      <c r="N281" s="7">
        <v>0</v>
      </c>
      <c r="O281" s="7">
        <v>0</v>
      </c>
      <c r="P281" s="7">
        <v>53.350999999999999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172.274</v>
      </c>
      <c r="W281" s="7">
        <v>517.71500000000003</v>
      </c>
      <c r="X281" s="7">
        <v>0</v>
      </c>
      <c r="Y281" s="7">
        <v>4082.6410000000001</v>
      </c>
      <c r="Z281" s="7">
        <v>0</v>
      </c>
      <c r="AA281" s="7">
        <v>1393.498</v>
      </c>
      <c r="AB281" s="7">
        <v>0</v>
      </c>
      <c r="AC281" s="7">
        <v>221.99600000000001</v>
      </c>
      <c r="AD281" s="7">
        <v>0</v>
      </c>
      <c r="AE281" s="7">
        <v>13252.739</v>
      </c>
      <c r="AF281" s="7">
        <v>0</v>
      </c>
      <c r="AG281" s="7">
        <v>0</v>
      </c>
      <c r="AH281" s="7">
        <v>29061.712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2463.9340000000002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59341.546999999999</v>
      </c>
      <c r="F286" s="7">
        <v>5224.8630000000003</v>
      </c>
      <c r="G286" s="7">
        <v>8253.16</v>
      </c>
      <c r="H286" s="7">
        <v>0</v>
      </c>
      <c r="I286" s="7">
        <v>1328.9839999999999</v>
      </c>
      <c r="J286" s="7">
        <v>4667.3410000000003</v>
      </c>
      <c r="K286" s="7">
        <v>0</v>
      </c>
      <c r="L286" s="7">
        <v>56513.487000000001</v>
      </c>
      <c r="M286" s="7">
        <v>23269.348999999998</v>
      </c>
      <c r="N286" s="7">
        <v>0</v>
      </c>
      <c r="O286" s="7">
        <v>0</v>
      </c>
      <c r="P286" s="7">
        <v>262.47800000000001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604.87099999999998</v>
      </c>
      <c r="W286" s="7">
        <v>1817.751</v>
      </c>
      <c r="X286" s="7">
        <v>0</v>
      </c>
      <c r="Y286" s="7">
        <v>15898.045</v>
      </c>
      <c r="Z286" s="7">
        <v>0</v>
      </c>
      <c r="AA286" s="7">
        <v>4892.7160000000003</v>
      </c>
      <c r="AB286" s="7">
        <v>0</v>
      </c>
      <c r="AC286" s="7">
        <v>779.452</v>
      </c>
      <c r="AD286" s="7">
        <v>0</v>
      </c>
      <c r="AE286" s="7">
        <v>52747.77</v>
      </c>
      <c r="AF286" s="7">
        <v>0</v>
      </c>
      <c r="AG286" s="7">
        <v>0</v>
      </c>
      <c r="AH286" s="7">
        <v>140862.67600000001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210069.307</v>
      </c>
      <c r="F287" s="7">
        <v>18717.18</v>
      </c>
      <c r="G287" s="7">
        <v>28178.726999999999</v>
      </c>
      <c r="H287" s="7">
        <v>0</v>
      </c>
      <c r="I287" s="7">
        <v>4904.4799999999996</v>
      </c>
      <c r="J287" s="7">
        <v>16574.973000000002</v>
      </c>
      <c r="K287" s="7">
        <v>0</v>
      </c>
      <c r="L287" s="7">
        <v>158229.008</v>
      </c>
      <c r="M287" s="7">
        <v>75841.600999999995</v>
      </c>
      <c r="N287" s="7">
        <v>0</v>
      </c>
      <c r="O287" s="7">
        <v>0</v>
      </c>
      <c r="P287" s="7">
        <v>886.39599999999996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2310.922</v>
      </c>
      <c r="W287" s="7">
        <v>7030.1289999999999</v>
      </c>
      <c r="X287" s="7">
        <v>0</v>
      </c>
      <c r="Y287" s="7">
        <v>57720.222000000002</v>
      </c>
      <c r="Z287" s="7">
        <v>0</v>
      </c>
      <c r="AA287" s="7">
        <v>18963.559000000001</v>
      </c>
      <c r="AB287" s="7">
        <v>0</v>
      </c>
      <c r="AC287" s="7">
        <v>2977.9140000000002</v>
      </c>
      <c r="AD287" s="7">
        <v>0</v>
      </c>
      <c r="AE287" s="7">
        <v>191964.49400000001</v>
      </c>
      <c r="AF287" s="7">
        <v>0</v>
      </c>
      <c r="AG287" s="7">
        <v>0</v>
      </c>
      <c r="AH287" s="7">
        <v>446635.62099999998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3.0000000000000001E-3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53938.978999999999</v>
      </c>
      <c r="F289" s="7">
        <v>3797.1759999999999</v>
      </c>
      <c r="G289" s="7">
        <v>5333.1989999999996</v>
      </c>
      <c r="H289" s="7">
        <v>0</v>
      </c>
      <c r="I289" s="7">
        <v>924.76700000000005</v>
      </c>
      <c r="J289" s="7">
        <v>3238.9720000000002</v>
      </c>
      <c r="K289" s="7">
        <v>0</v>
      </c>
      <c r="L289" s="7">
        <v>37373.777999999998</v>
      </c>
      <c r="M289" s="7">
        <v>15370.592000000001</v>
      </c>
      <c r="N289" s="7">
        <v>0</v>
      </c>
      <c r="O289" s="7">
        <v>0</v>
      </c>
      <c r="P289" s="7">
        <v>166.773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538.524</v>
      </c>
      <c r="W289" s="7">
        <v>1618.3679999999999</v>
      </c>
      <c r="X289" s="7">
        <v>0</v>
      </c>
      <c r="Y289" s="7">
        <v>17108.899000000001</v>
      </c>
      <c r="Z289" s="7">
        <v>0</v>
      </c>
      <c r="AA289" s="7">
        <v>4583.152</v>
      </c>
      <c r="AB289" s="7">
        <v>0</v>
      </c>
      <c r="AC289" s="7">
        <v>693.95600000000002</v>
      </c>
      <c r="AD289" s="7">
        <v>0</v>
      </c>
      <c r="AE289" s="7">
        <v>46157.243000000002</v>
      </c>
      <c r="AF289" s="7">
        <v>0</v>
      </c>
      <c r="AG289" s="7">
        <v>0</v>
      </c>
      <c r="AH289" s="7">
        <v>105135.11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11279.352000000001</v>
      </c>
      <c r="F290" s="7">
        <v>734.798</v>
      </c>
      <c r="G290" s="7">
        <v>1032.0360000000001</v>
      </c>
      <c r="H290" s="7">
        <v>10568.163</v>
      </c>
      <c r="I290" s="7">
        <v>178.953</v>
      </c>
      <c r="J290" s="7">
        <v>626.779</v>
      </c>
      <c r="K290" s="7">
        <v>0</v>
      </c>
      <c r="L290" s="7">
        <v>14154.492</v>
      </c>
      <c r="M290" s="7">
        <v>3305.9870000000001</v>
      </c>
      <c r="N290" s="7">
        <v>0</v>
      </c>
      <c r="O290" s="7">
        <v>0</v>
      </c>
      <c r="P290" s="7">
        <v>32.273000000000003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104.211</v>
      </c>
      <c r="W290" s="7">
        <v>313.173</v>
      </c>
      <c r="X290" s="7">
        <v>0</v>
      </c>
      <c r="Y290" s="7">
        <v>5741.5739999999996</v>
      </c>
      <c r="Z290" s="7">
        <v>0</v>
      </c>
      <c r="AA290" s="7">
        <v>842.94600000000003</v>
      </c>
      <c r="AB290" s="7">
        <v>0</v>
      </c>
      <c r="AC290" s="7">
        <v>134.28899999999999</v>
      </c>
      <c r="AD290" s="7">
        <v>0</v>
      </c>
      <c r="AE290" s="7">
        <v>14548.977000000001</v>
      </c>
      <c r="AF290" s="7">
        <v>0</v>
      </c>
      <c r="AG290" s="7">
        <v>0</v>
      </c>
      <c r="AH290" s="7">
        <v>32697.429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287843.34399999998</v>
      </c>
      <c r="F293" s="7">
        <v>17190.375</v>
      </c>
      <c r="G293" s="7">
        <v>18814.705000000002</v>
      </c>
      <c r="H293" s="7">
        <v>0</v>
      </c>
      <c r="I293" s="7">
        <v>3560.85</v>
      </c>
      <c r="J293" s="7">
        <v>11688.57</v>
      </c>
      <c r="K293" s="7">
        <v>0</v>
      </c>
      <c r="L293" s="7">
        <v>179732.609</v>
      </c>
      <c r="M293" s="7">
        <v>56896.733</v>
      </c>
      <c r="N293" s="7">
        <v>0</v>
      </c>
      <c r="O293" s="7">
        <v>0</v>
      </c>
      <c r="P293" s="7">
        <v>304.93</v>
      </c>
      <c r="Q293" s="7">
        <v>0</v>
      </c>
      <c r="R293" s="7">
        <v>39.531999999999996</v>
      </c>
      <c r="S293" s="7">
        <v>0</v>
      </c>
      <c r="T293" s="7">
        <v>0</v>
      </c>
      <c r="U293" s="7">
        <v>0</v>
      </c>
      <c r="V293" s="7">
        <v>3209.2660000000001</v>
      </c>
      <c r="W293" s="7">
        <v>8792.4979999999996</v>
      </c>
      <c r="X293" s="7">
        <v>0</v>
      </c>
      <c r="Y293" s="7">
        <v>73025.096999999994</v>
      </c>
      <c r="Z293" s="7">
        <v>0</v>
      </c>
      <c r="AA293" s="7">
        <v>31065.183000000001</v>
      </c>
      <c r="AB293" s="7">
        <v>0</v>
      </c>
      <c r="AC293" s="7">
        <v>5647.2280000000001</v>
      </c>
      <c r="AD293" s="7">
        <v>0</v>
      </c>
      <c r="AE293" s="7">
        <v>212976.826</v>
      </c>
      <c r="AF293" s="7">
        <v>0</v>
      </c>
      <c r="AG293" s="7">
        <v>0</v>
      </c>
      <c r="AH293" s="7">
        <v>610822.478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52001.076999999997</v>
      </c>
      <c r="F294" s="7">
        <v>939.53599999999994</v>
      </c>
      <c r="G294" s="7">
        <v>1133.5139999999999</v>
      </c>
      <c r="H294" s="7">
        <v>0</v>
      </c>
      <c r="I294" s="7">
        <v>186.12899999999999</v>
      </c>
      <c r="J294" s="7">
        <v>697.55499999999995</v>
      </c>
      <c r="K294" s="7">
        <v>0</v>
      </c>
      <c r="L294" s="7">
        <v>46230.004000000001</v>
      </c>
      <c r="M294" s="7">
        <v>26152.52</v>
      </c>
      <c r="N294" s="7">
        <v>0</v>
      </c>
      <c r="O294" s="7">
        <v>0</v>
      </c>
      <c r="P294" s="7">
        <v>25.55</v>
      </c>
      <c r="Q294" s="7">
        <v>0</v>
      </c>
      <c r="R294" s="7">
        <v>1.38</v>
      </c>
      <c r="S294" s="7">
        <v>0</v>
      </c>
      <c r="T294" s="7">
        <v>0</v>
      </c>
      <c r="U294" s="7">
        <v>0</v>
      </c>
      <c r="V294" s="7">
        <v>160.17699999999999</v>
      </c>
      <c r="W294" s="7">
        <v>451.61599999999999</v>
      </c>
      <c r="X294" s="7">
        <v>0</v>
      </c>
      <c r="Y294" s="7">
        <v>8817.6730000000007</v>
      </c>
      <c r="Z294" s="7">
        <v>0</v>
      </c>
      <c r="AA294" s="7">
        <v>1473.922</v>
      </c>
      <c r="AB294" s="7">
        <v>0</v>
      </c>
      <c r="AC294" s="7">
        <v>259.18900000000002</v>
      </c>
      <c r="AD294" s="7">
        <v>0</v>
      </c>
      <c r="AE294" s="7">
        <v>27300.044000000002</v>
      </c>
      <c r="AF294" s="7">
        <v>0</v>
      </c>
      <c r="AG294" s="7">
        <v>0</v>
      </c>
      <c r="AH294" s="7">
        <v>93318.26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-91261.854000000007</v>
      </c>
      <c r="F322" s="7">
        <v>-15897.663</v>
      </c>
      <c r="G322" s="7">
        <v>0</v>
      </c>
      <c r="H322" s="7">
        <v>0</v>
      </c>
      <c r="I322" s="7">
        <v>-523.20399999999995</v>
      </c>
      <c r="J322" s="7">
        <v>0</v>
      </c>
      <c r="K322" s="7">
        <v>0</v>
      </c>
      <c r="L322" s="7">
        <v>-210960.628</v>
      </c>
      <c r="M322" s="7">
        <v>-4429.7669999999998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-5029.3140000000003</v>
      </c>
      <c r="T322" s="7">
        <v>0</v>
      </c>
      <c r="U322" s="7">
        <v>0</v>
      </c>
      <c r="V322" s="7">
        <v>0</v>
      </c>
      <c r="W322" s="7">
        <v>-1431.588</v>
      </c>
      <c r="X322" s="7">
        <v>0</v>
      </c>
      <c r="Y322" s="7">
        <v>-46892.754999999997</v>
      </c>
      <c r="Z322" s="7">
        <v>0</v>
      </c>
      <c r="AA322" s="7">
        <v>0</v>
      </c>
      <c r="AB322" s="7">
        <v>0</v>
      </c>
      <c r="AC322" s="7">
        <v>-3238.6570000000002</v>
      </c>
      <c r="AD322" s="7">
        <v>0</v>
      </c>
      <c r="AE322" s="7">
        <v>-119180.28599999999</v>
      </c>
      <c r="AF322" s="7">
        <v>-102292.742</v>
      </c>
      <c r="AG322" s="7">
        <v>0</v>
      </c>
      <c r="AH322" s="7">
        <v>-368556.75300000003</v>
      </c>
      <c r="AI322" s="7">
        <v>-152133.92199999999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-4243.5069999999996</v>
      </c>
      <c r="AP322" s="7">
        <v>0</v>
      </c>
      <c r="AQ322" s="7">
        <v>-40031.072</v>
      </c>
      <c r="AR322" s="7">
        <v>0</v>
      </c>
      <c r="AS322" s="7">
        <v>-50.911000000000001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-1617.335</v>
      </c>
      <c r="BC322" s="7">
        <v>0</v>
      </c>
      <c r="BD322" s="7">
        <v>0</v>
      </c>
      <c r="BE322" s="7">
        <v>-481.55200000000002</v>
      </c>
      <c r="BF322" s="7">
        <v>-481.55200000000002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-54310.779000000002</v>
      </c>
      <c r="F324" s="7">
        <v>-9460.8469999999998</v>
      </c>
      <c r="G324" s="7">
        <v>0</v>
      </c>
      <c r="H324" s="7">
        <v>0</v>
      </c>
      <c r="I324" s="7">
        <v>-311.363</v>
      </c>
      <c r="J324" s="7">
        <v>0</v>
      </c>
      <c r="K324" s="7">
        <v>0</v>
      </c>
      <c r="L324" s="7">
        <v>-125544.63400000001</v>
      </c>
      <c r="M324" s="7">
        <v>-2636.1950000000002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-2992.9920000000002</v>
      </c>
      <c r="T324" s="7">
        <v>0</v>
      </c>
      <c r="U324" s="7">
        <v>0</v>
      </c>
      <c r="V324" s="7">
        <v>0</v>
      </c>
      <c r="W324" s="7">
        <v>-851.95100000000002</v>
      </c>
      <c r="X324" s="7">
        <v>0</v>
      </c>
      <c r="Y324" s="7">
        <v>-27906.314999999999</v>
      </c>
      <c r="Z324" s="7">
        <v>0</v>
      </c>
      <c r="AA324" s="7">
        <v>0</v>
      </c>
      <c r="AB324" s="7">
        <v>0</v>
      </c>
      <c r="AC324" s="7">
        <v>-1927.355</v>
      </c>
      <c r="AD324" s="7">
        <v>0</v>
      </c>
      <c r="AE324" s="7">
        <v>-70925.297999999995</v>
      </c>
      <c r="AF324" s="7">
        <v>-60875.362999999998</v>
      </c>
      <c r="AG324" s="7">
        <v>0</v>
      </c>
      <c r="AH324" s="7">
        <v>-219331.55499999999</v>
      </c>
      <c r="AI324" s="7">
        <v>-90536.312999999995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-2525.35</v>
      </c>
      <c r="AP324" s="7">
        <v>0</v>
      </c>
      <c r="AQ324" s="7">
        <v>-23822.864000000001</v>
      </c>
      <c r="AR324" s="7">
        <v>0</v>
      </c>
      <c r="AS324" s="7">
        <v>-30.297999999999998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-962.49099999999999</v>
      </c>
      <c r="BC324" s="7">
        <v>0</v>
      </c>
      <c r="BD324" s="7">
        <v>0</v>
      </c>
      <c r="BE324" s="7">
        <v>-286.57600000000002</v>
      </c>
      <c r="BF324" s="7">
        <v>-286.57600000000002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53.49</v>
      </c>
      <c r="F325" s="7">
        <v>0</v>
      </c>
      <c r="G325" s="7">
        <v>0</v>
      </c>
      <c r="H325" s="7">
        <v>0</v>
      </c>
      <c r="I325" s="7">
        <v>75.444999999999993</v>
      </c>
      <c r="J325" s="7">
        <v>0</v>
      </c>
      <c r="K325" s="7">
        <v>0</v>
      </c>
      <c r="L325" s="7">
        <v>14619.701999999999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1.708</v>
      </c>
      <c r="F334" s="7">
        <v>0.15</v>
      </c>
      <c r="G334" s="7">
        <v>0.21</v>
      </c>
      <c r="H334" s="7">
        <v>0</v>
      </c>
      <c r="I334" s="7">
        <v>3.5999999999999997E-2</v>
      </c>
      <c r="J334" s="7">
        <v>0.128</v>
      </c>
      <c r="K334" s="7">
        <v>0</v>
      </c>
      <c r="L334" s="7">
        <v>1.2230000000000001</v>
      </c>
      <c r="M334" s="7">
        <v>0.56699999999999995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2.1000000000000001E-2</v>
      </c>
      <c r="W334" s="7">
        <v>6.4000000000000001E-2</v>
      </c>
      <c r="X334" s="7">
        <v>0</v>
      </c>
      <c r="Y334" s="7">
        <v>0.503</v>
      </c>
      <c r="Z334" s="7">
        <v>0</v>
      </c>
      <c r="AA334" s="7">
        <v>0.17199999999999999</v>
      </c>
      <c r="AB334" s="7">
        <v>0</v>
      </c>
      <c r="AC334" s="7">
        <v>2.7E-2</v>
      </c>
      <c r="AD334" s="7">
        <v>0</v>
      </c>
      <c r="AE334" s="7">
        <v>1.6339999999999999</v>
      </c>
      <c r="AF334" s="7">
        <v>0</v>
      </c>
      <c r="AG334" s="7">
        <v>0</v>
      </c>
      <c r="AH334" s="7">
        <v>3.5830000000000002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29813.164000000001</v>
      </c>
      <c r="F335" s="7">
        <v>1821.7929999999999</v>
      </c>
      <c r="G335" s="7">
        <v>153.07499999999999</v>
      </c>
      <c r="H335" s="7">
        <v>1590.7639999999999</v>
      </c>
      <c r="I335" s="7">
        <v>489.07499999999999</v>
      </c>
      <c r="J335" s="7">
        <v>1201.3009999999999</v>
      </c>
      <c r="K335" s="7">
        <v>1.7470000000000001</v>
      </c>
      <c r="L335" s="7">
        <v>18088.762999999999</v>
      </c>
      <c r="M335" s="7">
        <v>5178.5540000000001</v>
      </c>
      <c r="N335" s="7">
        <v>0</v>
      </c>
      <c r="O335" s="7">
        <v>0</v>
      </c>
      <c r="P335" s="7">
        <v>26.123000000000001</v>
      </c>
      <c r="Q335" s="7">
        <v>0</v>
      </c>
      <c r="R335" s="7">
        <v>4.2510000000000003</v>
      </c>
      <c r="S335" s="7">
        <v>3.4620000000000002</v>
      </c>
      <c r="T335" s="7">
        <v>0</v>
      </c>
      <c r="U335" s="7">
        <v>62.247</v>
      </c>
      <c r="V335" s="7">
        <v>343.73200000000003</v>
      </c>
      <c r="W335" s="7">
        <v>909.20799999999997</v>
      </c>
      <c r="X335" s="7">
        <v>94.040999999999997</v>
      </c>
      <c r="Y335" s="7">
        <v>7736.2129999999997</v>
      </c>
      <c r="Z335" s="7">
        <v>3.3849999999999998</v>
      </c>
      <c r="AA335" s="7">
        <v>3263.4560000000001</v>
      </c>
      <c r="AB335" s="7">
        <v>75.117000000000004</v>
      </c>
      <c r="AC335" s="7">
        <v>649.21900000000005</v>
      </c>
      <c r="AD335" s="7">
        <v>12.879</v>
      </c>
      <c r="AE335" s="7">
        <v>20833.446</v>
      </c>
      <c r="AF335" s="7">
        <v>2192.9059999999999</v>
      </c>
      <c r="AG335" s="7">
        <v>16.120999999999999</v>
      </c>
      <c r="AH335" s="7">
        <v>59930.872000000003</v>
      </c>
      <c r="AI335" s="7">
        <v>487.15800000000002</v>
      </c>
      <c r="AJ335" s="7">
        <v>20.847000000000001</v>
      </c>
      <c r="AK335" s="7">
        <v>683.57299999999998</v>
      </c>
      <c r="AL335" s="7">
        <v>1277.691</v>
      </c>
      <c r="AM335" s="7">
        <v>8.4990000000000006</v>
      </c>
      <c r="AN335" s="7">
        <v>1057.8510000000001</v>
      </c>
      <c r="AO335" s="7">
        <v>3.585</v>
      </c>
      <c r="AP335" s="7">
        <v>11.55</v>
      </c>
      <c r="AQ335" s="7">
        <v>308.30099999999999</v>
      </c>
      <c r="AR335" s="7">
        <v>8.3629999999999995</v>
      </c>
      <c r="AS335" s="7">
        <v>3.3000000000000002E-2</v>
      </c>
      <c r="AT335" s="7">
        <v>0</v>
      </c>
      <c r="AU335" s="7">
        <v>1.306</v>
      </c>
      <c r="AV335" s="7">
        <v>17.681000000000001</v>
      </c>
      <c r="AW335" s="7">
        <v>15.736000000000001</v>
      </c>
      <c r="AX335" s="7">
        <v>14.228999999999999</v>
      </c>
      <c r="AY335" s="7">
        <v>28.181000000000001</v>
      </c>
      <c r="AZ335" s="7">
        <v>84.503</v>
      </c>
      <c r="BA335" s="7">
        <v>22.582000000000001</v>
      </c>
      <c r="BB335" s="7">
        <v>18.864000000000001</v>
      </c>
      <c r="BC335" s="7">
        <v>1.661</v>
      </c>
      <c r="BD335" s="7">
        <v>50.052999999999997</v>
      </c>
      <c r="BE335" s="7">
        <v>2.8159999999999998</v>
      </c>
      <c r="BF335" s="7">
        <v>2.8159999999999998</v>
      </c>
      <c r="BG335" s="7">
        <v>82.293999999999997</v>
      </c>
      <c r="BH335" s="7">
        <v>2.847</v>
      </c>
      <c r="BI335" s="7">
        <v>0.55000000000000004</v>
      </c>
      <c r="BJ335" s="21"/>
    </row>
    <row r="336" spans="1:62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-8476.2289999999994</v>
      </c>
      <c r="F336" s="7">
        <v>-874.68499999999995</v>
      </c>
      <c r="G336" s="7">
        <v>-604.28599999999994</v>
      </c>
      <c r="H336" s="7">
        <v>-24932.752</v>
      </c>
      <c r="I336" s="7">
        <v>-247.25299999999999</v>
      </c>
      <c r="J336" s="7">
        <v>-1737.588</v>
      </c>
      <c r="K336" s="7">
        <v>-19.207000000000001</v>
      </c>
      <c r="L336" s="7">
        <v>-6754.4809999999998</v>
      </c>
      <c r="M336" s="7">
        <v>-2599.078</v>
      </c>
      <c r="N336" s="7">
        <v>-0.629</v>
      </c>
      <c r="O336" s="7">
        <v>-1.74</v>
      </c>
      <c r="P336" s="7">
        <v>-17.286999999999999</v>
      </c>
      <c r="Q336" s="7">
        <v>-0.21</v>
      </c>
      <c r="R336" s="7">
        <v>-24.728000000000002</v>
      </c>
      <c r="S336" s="7">
        <v>-25.562999999999999</v>
      </c>
      <c r="T336" s="7">
        <v>-1.1859999999999999</v>
      </c>
      <c r="U336" s="7">
        <v>99.981999999999999</v>
      </c>
      <c r="V336" s="7">
        <v>-83.215999999999994</v>
      </c>
      <c r="W336" s="7">
        <v>-214.56899999999999</v>
      </c>
      <c r="X336" s="7">
        <v>-151.245</v>
      </c>
      <c r="Y336" s="7">
        <v>-2305.2049999999999</v>
      </c>
      <c r="Z336" s="7">
        <v>-10.897</v>
      </c>
      <c r="AA336" s="7">
        <v>-1331.867</v>
      </c>
      <c r="AB336" s="7">
        <v>-58.491999999999997</v>
      </c>
      <c r="AC336" s="7">
        <v>-161.31899999999999</v>
      </c>
      <c r="AD336" s="7">
        <v>-8.9420000000000002</v>
      </c>
      <c r="AE336" s="7">
        <v>-6216.482</v>
      </c>
      <c r="AF336" s="7">
        <v>-902.99199999999996</v>
      </c>
      <c r="AG336" s="7">
        <v>-59.036000000000001</v>
      </c>
      <c r="AH336" s="7">
        <v>-14515.267</v>
      </c>
      <c r="AI336" s="7">
        <v>-1420.0319999999999</v>
      </c>
      <c r="AJ336" s="7">
        <v>-49.491</v>
      </c>
      <c r="AK336" s="7">
        <v>-947.351</v>
      </c>
      <c r="AL336" s="7">
        <v>-1495.646</v>
      </c>
      <c r="AM336" s="7">
        <v>-10.302</v>
      </c>
      <c r="AN336" s="7">
        <v>-1186.057</v>
      </c>
      <c r="AO336" s="7">
        <v>-22.594999999999999</v>
      </c>
      <c r="AP336" s="7">
        <v>-18.997</v>
      </c>
      <c r="AQ336" s="7">
        <v>-511.12299999999999</v>
      </c>
      <c r="AR336" s="7">
        <v>-9.24</v>
      </c>
      <c r="AS336" s="7">
        <v>-1.1379999999999999</v>
      </c>
      <c r="AT336" s="7">
        <v>0</v>
      </c>
      <c r="AU336" s="7">
        <v>-1.577</v>
      </c>
      <c r="AV336" s="7">
        <v>-17.984999999999999</v>
      </c>
      <c r="AW336" s="7">
        <v>-22.495000000000001</v>
      </c>
      <c r="AX336" s="7">
        <v>-110.089</v>
      </c>
      <c r="AY336" s="7">
        <v>-7.64</v>
      </c>
      <c r="AZ336" s="7">
        <v>-217.24700000000001</v>
      </c>
      <c r="BA336" s="7">
        <v>-23.581</v>
      </c>
      <c r="BB336" s="7">
        <v>-33.679000000000002</v>
      </c>
      <c r="BC336" s="7">
        <v>-4.1589999999999998</v>
      </c>
      <c r="BD336" s="7">
        <v>-311.56</v>
      </c>
      <c r="BE336" s="7">
        <v>-6.1619999999999999</v>
      </c>
      <c r="BF336" s="7">
        <v>-6.1619999999999999</v>
      </c>
      <c r="BG336" s="7">
        <v>-116.43</v>
      </c>
      <c r="BH336" s="7">
        <v>181.90299999999999</v>
      </c>
      <c r="BI336" s="7">
        <v>-1.1459999999999999</v>
      </c>
      <c r="BJ336" s="21"/>
    </row>
    <row r="337" spans="1:62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-1963.752</v>
      </c>
      <c r="F337" s="7">
        <v>-114.395</v>
      </c>
      <c r="G337" s="7">
        <v>-74.662000000000006</v>
      </c>
      <c r="H337" s="7">
        <v>-93.602999999999994</v>
      </c>
      <c r="I337" s="7">
        <v>147.803</v>
      </c>
      <c r="J337" s="7">
        <v>-73.897000000000006</v>
      </c>
      <c r="K337" s="7">
        <v>-1.7470000000000001</v>
      </c>
      <c r="L337" s="7">
        <v>-2047.768</v>
      </c>
      <c r="M337" s="7">
        <v>-99.120999999999995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-62.247</v>
      </c>
      <c r="V337" s="7">
        <v>-20.157</v>
      </c>
      <c r="W337" s="7">
        <v>-27.201000000000001</v>
      </c>
      <c r="X337" s="7">
        <v>-94.040999999999997</v>
      </c>
      <c r="Y337" s="7">
        <v>-796.25</v>
      </c>
      <c r="Z337" s="7">
        <v>-3.3849999999999998</v>
      </c>
      <c r="AA337" s="7">
        <v>-97.028000000000006</v>
      </c>
      <c r="AB337" s="7">
        <v>-75.117000000000004</v>
      </c>
      <c r="AC337" s="7">
        <v>-67.478999999999999</v>
      </c>
      <c r="AD337" s="7">
        <v>-12.879</v>
      </c>
      <c r="AE337" s="7">
        <v>-1227.278</v>
      </c>
      <c r="AF337" s="7">
        <v>-409.024</v>
      </c>
      <c r="AG337" s="7">
        <v>-16.120999999999999</v>
      </c>
      <c r="AH337" s="7">
        <v>-2334.261</v>
      </c>
      <c r="AI337" s="7">
        <v>-389.80399999999997</v>
      </c>
      <c r="AJ337" s="7">
        <v>-20.847000000000001</v>
      </c>
      <c r="AK337" s="7">
        <v>-683.57299999999998</v>
      </c>
      <c r="AL337" s="7">
        <v>-1277.691</v>
      </c>
      <c r="AM337" s="7">
        <v>-8.4990000000000006</v>
      </c>
      <c r="AN337" s="7">
        <v>-1057.8510000000001</v>
      </c>
      <c r="AO337" s="7">
        <v>-1.2010000000000001</v>
      </c>
      <c r="AP337" s="7">
        <v>-11.55</v>
      </c>
      <c r="AQ337" s="7">
        <v>-285.16699999999997</v>
      </c>
      <c r="AR337" s="7">
        <v>-8.3629999999999995</v>
      </c>
      <c r="AS337" s="7">
        <v>0</v>
      </c>
      <c r="AT337" s="7">
        <v>0</v>
      </c>
      <c r="AU337" s="7">
        <v>0</v>
      </c>
      <c r="AV337" s="7">
        <v>-17.681000000000001</v>
      </c>
      <c r="AW337" s="7">
        <v>-15.736000000000001</v>
      </c>
      <c r="AX337" s="7">
        <v>-14.228999999999999</v>
      </c>
      <c r="AY337" s="7">
        <v>-2.9990000000000001</v>
      </c>
      <c r="AZ337" s="7">
        <v>-52.966999999999999</v>
      </c>
      <c r="BA337" s="7">
        <v>-22.582000000000001</v>
      </c>
      <c r="BB337" s="7">
        <v>-17.981999999999999</v>
      </c>
      <c r="BC337" s="7">
        <v>-1.661</v>
      </c>
      <c r="BD337" s="7">
        <v>-10.177</v>
      </c>
      <c r="BE337" s="7">
        <v>-2.57</v>
      </c>
      <c r="BF337" s="7">
        <v>-2.57</v>
      </c>
      <c r="BG337" s="7">
        <v>-68.801000000000002</v>
      </c>
      <c r="BH337" s="7">
        <v>-2.847</v>
      </c>
      <c r="BI337" s="7">
        <v>-0.55000000000000004</v>
      </c>
      <c r="BJ337" s="21"/>
    </row>
    <row r="338" spans="1:62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21"/>
    </row>
    <row r="339" spans="1:62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 s="21"/>
    </row>
    <row r="340" spans="1:62" ht="15.6" x14ac:dyDescent="0.3">
      <c r="A340" s="5" t="s">
        <v>605</v>
      </c>
      <c r="B340" s="5" t="s">
        <v>606</v>
      </c>
      <c r="C340" s="5"/>
      <c r="D340" s="5"/>
      <c r="E340">
        <v>9786893.1390000004</v>
      </c>
      <c r="F340">
        <v>1066384.858</v>
      </c>
      <c r="G340">
        <v>1020526.6360000001</v>
      </c>
      <c r="H340">
        <v>1128936.93</v>
      </c>
      <c r="I340">
        <v>135071.29</v>
      </c>
      <c r="J340">
        <v>708918.87600000005</v>
      </c>
      <c r="K340">
        <v>250045.08300000001</v>
      </c>
      <c r="L340">
        <v>10537567.960999999</v>
      </c>
      <c r="M340">
        <v>2940422.571</v>
      </c>
      <c r="N340">
        <v>15357.012000000001</v>
      </c>
      <c r="O340">
        <v>15266.605</v>
      </c>
      <c r="P340">
        <v>19434.689999999999</v>
      </c>
      <c r="Q340">
        <v>14231.34</v>
      </c>
      <c r="R340">
        <v>18506.026000000002</v>
      </c>
      <c r="S340">
        <v>337259.05300000001</v>
      </c>
      <c r="T340">
        <v>2716.8879999999999</v>
      </c>
      <c r="U340">
        <v>185233.198</v>
      </c>
      <c r="V340">
        <v>125130.315</v>
      </c>
      <c r="W340">
        <v>261031.97200000001</v>
      </c>
      <c r="X340">
        <v>217900.26800000001</v>
      </c>
      <c r="Y340">
        <v>2778146.8250000002</v>
      </c>
      <c r="Z340">
        <v>98007.828999999998</v>
      </c>
      <c r="AA340">
        <v>1513829.237</v>
      </c>
      <c r="AB340">
        <v>461932.58600000001</v>
      </c>
      <c r="AC340">
        <v>193698.451</v>
      </c>
      <c r="AD340">
        <v>66399.962</v>
      </c>
      <c r="AE340">
        <v>7557351.2810000004</v>
      </c>
      <c r="AF340">
        <v>2852571.1150000002</v>
      </c>
      <c r="AG340">
        <v>324891.10499999998</v>
      </c>
      <c r="AH340">
        <v>21994308.866</v>
      </c>
      <c r="AI340">
        <v>4537334.9970000004</v>
      </c>
      <c r="AJ340">
        <v>506718.47200000001</v>
      </c>
      <c r="AK340">
        <v>10852405.141000001</v>
      </c>
      <c r="AL340">
        <v>5724407.4199999999</v>
      </c>
      <c r="AM340">
        <v>48840.29</v>
      </c>
      <c r="AN340">
        <v>3822520.7689999999</v>
      </c>
      <c r="AO340">
        <v>215362.58799999999</v>
      </c>
      <c r="AP340">
        <v>97659.959000000003</v>
      </c>
      <c r="AQ340">
        <v>1105576.7069999999</v>
      </c>
      <c r="AR340">
        <v>27373.545999999998</v>
      </c>
      <c r="AS340">
        <v>3860.5770000000002</v>
      </c>
      <c r="AT340">
        <v>0</v>
      </c>
      <c r="AU340">
        <v>82997.138000000006</v>
      </c>
      <c r="AV340">
        <v>78644.095000000001</v>
      </c>
      <c r="AW340">
        <v>144027.54</v>
      </c>
      <c r="AX340">
        <v>272568.68</v>
      </c>
      <c r="AY340">
        <v>78257.623999999996</v>
      </c>
      <c r="AZ340">
        <v>661062.11699999997</v>
      </c>
      <c r="BA340">
        <v>215880.166</v>
      </c>
      <c r="BB340">
        <v>82133.335000000006</v>
      </c>
      <c r="BC340">
        <v>40875.631000000001</v>
      </c>
      <c r="BD340">
        <v>796066.62199999997</v>
      </c>
      <c r="BE340">
        <v>24308.721000000001</v>
      </c>
      <c r="BF340">
        <v>24308.721000000001</v>
      </c>
      <c r="BG340">
        <v>269715.06</v>
      </c>
      <c r="BH340">
        <v>298772.18599999999</v>
      </c>
      <c r="BI340">
        <v>13649.566999999999</v>
      </c>
      <c r="BJ340" s="21"/>
    </row>
    <row r="341" spans="1:62" x14ac:dyDescent="0.25">
      <c r="BJ341" s="21"/>
    </row>
    <row r="342" spans="1:62" ht="15.6" x14ac:dyDescent="0.3">
      <c r="A342" s="5" t="s">
        <v>607</v>
      </c>
      <c r="E342">
        <f t="shared" ref="E342:AW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1.0000000183936208E-3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9.9999999838473741E-4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9.9999998928979039E-4</v>
      </c>
      <c r="X342">
        <f t="shared" si="0"/>
        <v>-9.9999998928979039E-4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1.0000006295740604E-3</v>
      </c>
      <c r="AG342">
        <f t="shared" si="0"/>
        <v>0</v>
      </c>
      <c r="AH342">
        <f t="shared" si="0"/>
        <v>-9.9999457597732544E-4</v>
      </c>
      <c r="AI342">
        <f t="shared" si="0"/>
        <v>1.0000001639127731E-3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>SUM(AM7:AM339)-AM340</f>
        <v>0</v>
      </c>
      <c r="AN342">
        <f>SUM(AN7:AN339)-AN340</f>
        <v>0</v>
      </c>
      <c r="AO342">
        <f>SUM(AO7:AO339)-AO340</f>
        <v>0</v>
      </c>
      <c r="AP342">
        <f t="shared" si="0"/>
        <v>0</v>
      </c>
      <c r="AQ342">
        <f t="shared" si="0"/>
        <v>-9.9999923259019852E-4</v>
      </c>
      <c r="AR342">
        <f t="shared" si="0"/>
        <v>0</v>
      </c>
      <c r="AS342">
        <f t="shared" si="0"/>
        <v>-9.9999999974897946E-4</v>
      </c>
      <c r="AT342">
        <f t="shared" si="0"/>
        <v>0</v>
      </c>
      <c r="AU342">
        <f t="shared" si="0"/>
        <v>0</v>
      </c>
      <c r="AV342">
        <f t="shared" si="0"/>
        <v>0</v>
      </c>
      <c r="AW342">
        <f t="shared" si="0"/>
        <v>0</v>
      </c>
      <c r="AX342">
        <f>SUM(AX7:AX339)-AX340</f>
        <v>0</v>
      </c>
      <c r="AY342">
        <f t="shared" ref="AY342:BI342" si="1">SUM(AY7:AY339)-AY340</f>
        <v>0</v>
      </c>
      <c r="AZ342">
        <f t="shared" si="1"/>
        <v>0</v>
      </c>
      <c r="BA342">
        <f t="shared" si="1"/>
        <v>0</v>
      </c>
      <c r="BB342">
        <f t="shared" si="1"/>
        <v>0</v>
      </c>
      <c r="BC342">
        <f t="shared" si="1"/>
        <v>0</v>
      </c>
      <c r="BD342">
        <f t="shared" si="1"/>
        <v>0</v>
      </c>
      <c r="BE342">
        <f t="shared" si="1"/>
        <v>-9.999999929277692E-4</v>
      </c>
      <c r="BF342">
        <f t="shared" si="1"/>
        <v>-9.999999929277692E-4</v>
      </c>
      <c r="BG342">
        <f t="shared" si="1"/>
        <v>0</v>
      </c>
      <c r="BH342">
        <f t="shared" si="1"/>
        <v>0</v>
      </c>
      <c r="BI342">
        <f t="shared" si="1"/>
        <v>0</v>
      </c>
      <c r="BJ342" s="21"/>
    </row>
    <row r="343" spans="1:62" x14ac:dyDescent="0.25">
      <c r="BJ343" s="21"/>
    </row>
    <row r="344" spans="1:62" x14ac:dyDescent="0.25">
      <c r="A344" t="s">
        <v>608</v>
      </c>
      <c r="D344">
        <v>1</v>
      </c>
      <c r="E344" s="16">
        <f t="shared" ref="E344:AW344" si="2">SUMIF($D$6:$D$338,$D$344,E6:E338)</f>
        <v>1275727.0729999999</v>
      </c>
      <c r="F344" s="16">
        <f t="shared" si="2"/>
        <v>175648.14600000001</v>
      </c>
      <c r="G344" s="16">
        <f t="shared" si="2"/>
        <v>68273.474000000002</v>
      </c>
      <c r="H344" s="16">
        <f t="shared" si="2"/>
        <v>31424.315000000002</v>
      </c>
      <c r="I344" s="16">
        <f t="shared" si="2"/>
        <v>12965.355</v>
      </c>
      <c r="J344" s="16">
        <f t="shared" si="2"/>
        <v>42398.562000000005</v>
      </c>
      <c r="K344" s="16">
        <f t="shared" si="2"/>
        <v>6861.2489999999998</v>
      </c>
      <c r="L344" s="16">
        <f t="shared" si="2"/>
        <v>2096141.8970000001</v>
      </c>
      <c r="M344" s="16">
        <f t="shared" si="2"/>
        <v>187205.16000000003</v>
      </c>
      <c r="N344" s="16">
        <f>SUMIF($D$6:$D$338,$D$344,N6:N338)</f>
        <v>53.626999999999995</v>
      </c>
      <c r="O344" s="16">
        <f t="shared" si="2"/>
        <v>11708.733</v>
      </c>
      <c r="P344" s="16">
        <f t="shared" si="2"/>
        <v>917.78200000000004</v>
      </c>
      <c r="Q344" s="16">
        <f t="shared" si="2"/>
        <v>6153.9160000000002</v>
      </c>
      <c r="R344" s="16">
        <f t="shared" si="2"/>
        <v>2392.098</v>
      </c>
      <c r="S344" s="16">
        <f t="shared" si="2"/>
        <v>54664.016999999993</v>
      </c>
      <c r="T344" s="16">
        <f t="shared" si="2"/>
        <v>239.387</v>
      </c>
      <c r="U344" s="16">
        <f t="shared" si="2"/>
        <v>4927.6229999999996</v>
      </c>
      <c r="V344" s="16">
        <f t="shared" si="2"/>
        <v>8544.7950000000019</v>
      </c>
      <c r="W344" s="16">
        <f t="shared" si="2"/>
        <v>26839.693000000003</v>
      </c>
      <c r="X344" s="16">
        <f t="shared" si="2"/>
        <v>43431.716</v>
      </c>
      <c r="Y344" s="16">
        <f t="shared" si="2"/>
        <v>540791.65399999998</v>
      </c>
      <c r="Z344" s="16">
        <f t="shared" si="2"/>
        <v>56884.506999999998</v>
      </c>
      <c r="AA344" s="16">
        <f t="shared" si="2"/>
        <v>101048.45299999999</v>
      </c>
      <c r="AB344" s="16">
        <f t="shared" si="2"/>
        <v>357300.64</v>
      </c>
      <c r="AC344" s="16">
        <f t="shared" si="2"/>
        <v>34492.006000000001</v>
      </c>
      <c r="AD344" s="16">
        <f t="shared" si="2"/>
        <v>19921.411</v>
      </c>
      <c r="AE344" s="16">
        <f t="shared" si="2"/>
        <v>1468881.1880000001</v>
      </c>
      <c r="AF344" s="16">
        <f t="shared" si="2"/>
        <v>912457.495</v>
      </c>
      <c r="AG344" s="16">
        <f t="shared" si="2"/>
        <v>115136.842</v>
      </c>
      <c r="AH344" s="16">
        <f t="shared" si="2"/>
        <v>3863911.6529999999</v>
      </c>
      <c r="AI344" s="16">
        <f t="shared" si="2"/>
        <v>1337612.6410000001</v>
      </c>
      <c r="AJ344" s="16">
        <f t="shared" si="2"/>
        <v>284066.67799999996</v>
      </c>
      <c r="AK344" s="16">
        <f t="shared" si="2"/>
        <v>7443318.4780000001</v>
      </c>
      <c r="AL344" s="16">
        <f t="shared" si="2"/>
        <v>3923463</v>
      </c>
      <c r="AM344" s="16">
        <f>SUMIF($D$6:$D$338,$D$344,AM6:AM338)</f>
        <v>1588.8979999999999</v>
      </c>
      <c r="AN344" s="16">
        <f>SUMIF($D$6:$D$338,$D$344,AN6:AN338)</f>
        <v>2622337.0320000001</v>
      </c>
      <c r="AO344" s="16">
        <f>SUMIF($D$6:$D$338,$D$344,AO6:AO338)</f>
        <v>43750.858</v>
      </c>
      <c r="AP344" s="16">
        <f t="shared" si="2"/>
        <v>10545.874</v>
      </c>
      <c r="AQ344" s="16">
        <f t="shared" si="2"/>
        <v>356540.89600000001</v>
      </c>
      <c r="AR344" s="16">
        <f t="shared" si="2"/>
        <v>3097.864</v>
      </c>
      <c r="AS344" s="16">
        <f t="shared" si="2"/>
        <v>594.98299999999995</v>
      </c>
      <c r="AT344" s="16">
        <f t="shared" si="2"/>
        <v>0</v>
      </c>
      <c r="AU344" s="16">
        <f t="shared" si="2"/>
        <v>10153.300999999999</v>
      </c>
      <c r="AV344" s="16">
        <f t="shared" si="2"/>
        <v>8209.0660000000007</v>
      </c>
      <c r="AW344" s="16">
        <f t="shared" si="2"/>
        <v>17355.707000000002</v>
      </c>
      <c r="AX344" s="16">
        <f>SUMIF($D$6:$D$338,$D$344,AX6:AX338)</f>
        <v>55687.159999999996</v>
      </c>
      <c r="AY344" s="16">
        <f t="shared" ref="AY344:BI344" si="3">SUMIF($D$6:$D$338,$D$344,AY6:AY338)</f>
        <v>4522.3320000000003</v>
      </c>
      <c r="AZ344" s="16">
        <f t="shared" si="3"/>
        <v>32881.702999999994</v>
      </c>
      <c r="BA344" s="16">
        <f t="shared" si="3"/>
        <v>44205.383000000002</v>
      </c>
      <c r="BB344" s="16">
        <f t="shared" si="3"/>
        <v>16756.382000000001</v>
      </c>
      <c r="BC344" s="16">
        <f t="shared" si="3"/>
        <v>3161.26</v>
      </c>
      <c r="BD344" s="16">
        <f t="shared" si="3"/>
        <v>31054.305</v>
      </c>
      <c r="BE344" s="16">
        <f t="shared" si="3"/>
        <v>5577.8220000000001</v>
      </c>
      <c r="BF344" s="16">
        <f t="shared" si="3"/>
        <v>5577.8220000000001</v>
      </c>
      <c r="BG344" s="16">
        <f t="shared" si="3"/>
        <v>10988.477000000001</v>
      </c>
      <c r="BH344" s="16">
        <f t="shared" si="3"/>
        <v>171071.33499999999</v>
      </c>
      <c r="BI344" s="16">
        <f t="shared" si="3"/>
        <v>726.33900000000006</v>
      </c>
      <c r="BJ344" s="21"/>
    </row>
    <row r="345" spans="1:62" x14ac:dyDescent="0.25">
      <c r="A345" t="s">
        <v>609</v>
      </c>
      <c r="D345">
        <v>2</v>
      </c>
      <c r="E345" s="16">
        <f t="shared" ref="E345:AW345" si="4">SUMIF($D$6:$D$338,$D$345,E6:E338)</f>
        <v>2210210.8089999999</v>
      </c>
      <c r="F345" s="16">
        <f t="shared" si="4"/>
        <v>204436.36800000002</v>
      </c>
      <c r="G345" s="16">
        <f t="shared" si="4"/>
        <v>351989.685</v>
      </c>
      <c r="H345" s="16">
        <f t="shared" si="4"/>
        <v>0</v>
      </c>
      <c r="I345" s="16">
        <f t="shared" si="4"/>
        <v>51075.695999999996</v>
      </c>
      <c r="J345" s="16">
        <f t="shared" si="4"/>
        <v>235397.51199999999</v>
      </c>
      <c r="K345" s="16">
        <f t="shared" si="4"/>
        <v>168039.94900000002</v>
      </c>
      <c r="L345" s="16">
        <f t="shared" si="4"/>
        <v>1060546.8470000001</v>
      </c>
      <c r="M345" s="16">
        <f t="shared" si="4"/>
        <v>651820.06299999997</v>
      </c>
      <c r="N345" s="16">
        <f>SUMIF($D$6:$D$338,$D$345,N6:N338)</f>
        <v>12369.448</v>
      </c>
      <c r="O345" s="16">
        <f t="shared" si="4"/>
        <v>134.61799999999999</v>
      </c>
      <c r="P345" s="16">
        <f t="shared" si="4"/>
        <v>15545.554</v>
      </c>
      <c r="Q345" s="16">
        <f t="shared" si="4"/>
        <v>2439.0419999999999</v>
      </c>
      <c r="R345" s="16">
        <f t="shared" si="4"/>
        <v>3499.7079999999996</v>
      </c>
      <c r="S345" s="16">
        <f t="shared" si="4"/>
        <v>61994.179000000004</v>
      </c>
      <c r="T345" s="16">
        <f t="shared" si="4"/>
        <v>2478.6869999999999</v>
      </c>
      <c r="U345" s="16">
        <f t="shared" si="4"/>
        <v>134002.495</v>
      </c>
      <c r="V345" s="16">
        <f t="shared" si="4"/>
        <v>34801.305</v>
      </c>
      <c r="W345" s="16">
        <f t="shared" si="4"/>
        <v>59517.492999999995</v>
      </c>
      <c r="X345" s="16">
        <f t="shared" si="4"/>
        <v>1275.462</v>
      </c>
      <c r="Y345" s="16">
        <f t="shared" si="4"/>
        <v>526583.08700000006</v>
      </c>
      <c r="Z345" s="16">
        <f t="shared" si="4"/>
        <v>371.45699999999999</v>
      </c>
      <c r="AA345" s="16">
        <f t="shared" si="4"/>
        <v>529258.64300000004</v>
      </c>
      <c r="AB345" s="16">
        <f t="shared" si="4"/>
        <v>2963.7359999999999</v>
      </c>
      <c r="AC345" s="16">
        <f t="shared" si="4"/>
        <v>30157.571000000004</v>
      </c>
      <c r="AD345" s="16">
        <f t="shared" si="4"/>
        <v>11473.901</v>
      </c>
      <c r="AE345" s="16">
        <f t="shared" si="4"/>
        <v>1350169.7760000001</v>
      </c>
      <c r="AF345" s="16">
        <f t="shared" si="4"/>
        <v>205475.11900000001</v>
      </c>
      <c r="AG345" s="16">
        <f t="shared" si="4"/>
        <v>45093.381000000001</v>
      </c>
      <c r="AH345" s="16">
        <f t="shared" si="4"/>
        <v>3134178.6669999999</v>
      </c>
      <c r="AI345" s="16">
        <f t="shared" si="4"/>
        <v>306003.98200000002</v>
      </c>
      <c r="AJ345" s="16">
        <f t="shared" si="4"/>
        <v>1806.231</v>
      </c>
      <c r="AK345" s="16">
        <f t="shared" si="4"/>
        <v>794049.83400000003</v>
      </c>
      <c r="AL345" s="16">
        <f t="shared" si="4"/>
        <v>419716.489</v>
      </c>
      <c r="AM345" s="16">
        <f>SUMIF($D$6:$D$338,$D$345,AM6:AM338)</f>
        <v>35126.851999999999</v>
      </c>
      <c r="AN345" s="16">
        <f>SUMIF($D$6:$D$338,$D$345,AN6:AN338)</f>
        <v>279743.50699999998</v>
      </c>
      <c r="AO345" s="16">
        <f>SUMIF($D$6:$D$338,$D$345,AO6:AO338)</f>
        <v>37187.037999999993</v>
      </c>
      <c r="AP345" s="16">
        <f t="shared" si="4"/>
        <v>0</v>
      </c>
      <c r="AQ345" s="16">
        <f t="shared" si="4"/>
        <v>80397.746999999988</v>
      </c>
      <c r="AR345" s="16">
        <f t="shared" si="4"/>
        <v>0</v>
      </c>
      <c r="AS345" s="16">
        <f t="shared" si="4"/>
        <v>1474.298</v>
      </c>
      <c r="AT345" s="16">
        <f t="shared" si="4"/>
        <v>0</v>
      </c>
      <c r="AU345" s="16">
        <f t="shared" si="4"/>
        <v>31219.274000000001</v>
      </c>
      <c r="AV345" s="16">
        <f t="shared" si="4"/>
        <v>0</v>
      </c>
      <c r="AW345" s="16">
        <f t="shared" si="4"/>
        <v>0</v>
      </c>
      <c r="AX345" s="16">
        <f>SUMIF($D$6:$D$338,$D$345,AX6:AX338)</f>
        <v>1584.9549999999999</v>
      </c>
      <c r="AY345" s="16">
        <f t="shared" ref="AY345:BI345" si="5">SUMIF($D$6:$D$338,$D$345,AY6:AY338)</f>
        <v>20014.123</v>
      </c>
      <c r="AZ345" s="16">
        <f t="shared" si="5"/>
        <v>1539.143</v>
      </c>
      <c r="BA345" s="16">
        <f t="shared" si="5"/>
        <v>1254.2739999999999</v>
      </c>
      <c r="BB345" s="16">
        <f t="shared" si="5"/>
        <v>14701.225</v>
      </c>
      <c r="BC345" s="16">
        <f t="shared" si="5"/>
        <v>11400.934000000001</v>
      </c>
      <c r="BD345" s="16">
        <f t="shared" si="5"/>
        <v>1946.2339999999999</v>
      </c>
      <c r="BE345" s="16">
        <f t="shared" si="5"/>
        <v>4135.0200000000004</v>
      </c>
      <c r="BF345" s="16">
        <f t="shared" si="5"/>
        <v>4135.0200000000004</v>
      </c>
      <c r="BG345" s="16">
        <f t="shared" si="5"/>
        <v>658.54100000000005</v>
      </c>
      <c r="BH345" s="16">
        <f t="shared" si="5"/>
        <v>26126.004000000001</v>
      </c>
      <c r="BI345" s="16">
        <f t="shared" si="5"/>
        <v>3436.2090000000003</v>
      </c>
      <c r="BJ345" s="21"/>
    </row>
    <row r="346" spans="1:62" x14ac:dyDescent="0.25">
      <c r="A346" t="s">
        <v>610</v>
      </c>
      <c r="D346">
        <v>3</v>
      </c>
      <c r="E346" s="16">
        <f t="shared" ref="E346:AW346" si="6">SUMIF($D$6:$D$338,$D$346,E6:E338)</f>
        <v>1926963.8829999999</v>
      </c>
      <c r="F346" s="16">
        <f t="shared" si="6"/>
        <v>284486.34199999995</v>
      </c>
      <c r="G346" s="16">
        <f t="shared" si="6"/>
        <v>449764.98700000002</v>
      </c>
      <c r="H346" s="16">
        <f t="shared" si="6"/>
        <v>55880.800000000003</v>
      </c>
      <c r="I346" s="16">
        <f t="shared" si="6"/>
        <v>41558.711999999985</v>
      </c>
      <c r="J346" s="16">
        <f t="shared" si="6"/>
        <v>306996.00900000002</v>
      </c>
      <c r="K346" s="16">
        <f t="shared" si="6"/>
        <v>43322.061000000002</v>
      </c>
      <c r="L346" s="16">
        <f t="shared" si="6"/>
        <v>932210.8809999997</v>
      </c>
      <c r="M346" s="16">
        <f t="shared" si="6"/>
        <v>960440.38499999989</v>
      </c>
      <c r="N346" s="16">
        <f>SUMIF($D$6:$D$338,$D$346,N6:N338)</f>
        <v>2320.8939999999998</v>
      </c>
      <c r="O346" s="16">
        <f t="shared" si="6"/>
        <v>0</v>
      </c>
      <c r="P346" s="16">
        <f t="shared" si="6"/>
        <v>50.714000000000006</v>
      </c>
      <c r="Q346" s="16">
        <f t="shared" si="6"/>
        <v>4245.9580000000005</v>
      </c>
      <c r="R346" s="16">
        <f t="shared" si="6"/>
        <v>11770.844999999999</v>
      </c>
      <c r="S346" s="16">
        <f t="shared" si="6"/>
        <v>117343.333</v>
      </c>
      <c r="T346" s="16">
        <f t="shared" si="6"/>
        <v>0</v>
      </c>
      <c r="U346" s="16">
        <f t="shared" si="6"/>
        <v>34546.93</v>
      </c>
      <c r="V346" s="16">
        <f t="shared" si="6"/>
        <v>60585.142</v>
      </c>
      <c r="W346" s="16">
        <f t="shared" si="6"/>
        <v>89259.21699999999</v>
      </c>
      <c r="X346" s="16">
        <f t="shared" si="6"/>
        <v>0</v>
      </c>
      <c r="Y346" s="16">
        <f t="shared" si="6"/>
        <v>382140.59700000007</v>
      </c>
      <c r="Z346" s="16">
        <f t="shared" si="6"/>
        <v>20377.655999999999</v>
      </c>
      <c r="AA346" s="16">
        <f t="shared" si="6"/>
        <v>706398.39300000004</v>
      </c>
      <c r="AB346" s="16">
        <f t="shared" si="6"/>
        <v>0</v>
      </c>
      <c r="AC346" s="16">
        <f t="shared" si="6"/>
        <v>50020.367000000006</v>
      </c>
      <c r="AD346" s="16">
        <f t="shared" si="6"/>
        <v>13470.161</v>
      </c>
      <c r="AE346" s="16">
        <f t="shared" si="6"/>
        <v>868244.34700000007</v>
      </c>
      <c r="AF346" s="16">
        <f t="shared" si="6"/>
        <v>41118.166999999994</v>
      </c>
      <c r="AG346" s="16">
        <f t="shared" si="6"/>
        <v>55700.292000000001</v>
      </c>
      <c r="AH346" s="16">
        <f t="shared" si="6"/>
        <v>2364229.1219999995</v>
      </c>
      <c r="AI346" s="16">
        <f t="shared" si="6"/>
        <v>65974.149000000005</v>
      </c>
      <c r="AJ346" s="16">
        <f t="shared" si="6"/>
        <v>105963.986</v>
      </c>
      <c r="AK346" s="16">
        <f t="shared" si="6"/>
        <v>0</v>
      </c>
      <c r="AL346" s="16">
        <f t="shared" si="6"/>
        <v>0</v>
      </c>
      <c r="AM346" s="16">
        <f>SUMIF($D$6:$D$338,$D$346,AM6:AM338)</f>
        <v>9055.9879999999994</v>
      </c>
      <c r="AN346" s="16">
        <f>SUMIF($D$6:$D$338,$D$346,AN6:AN338)</f>
        <v>0</v>
      </c>
      <c r="AO346" s="16">
        <f>SUMIF($D$6:$D$338,$D$346,AO6:AO338)</f>
        <v>63150.394</v>
      </c>
      <c r="AP346" s="16">
        <f t="shared" si="6"/>
        <v>0</v>
      </c>
      <c r="AQ346" s="16">
        <f t="shared" si="6"/>
        <v>15761.502000000002</v>
      </c>
      <c r="AR346" s="16">
        <f t="shared" si="6"/>
        <v>0</v>
      </c>
      <c r="AS346" s="16">
        <f t="shared" si="6"/>
        <v>842.03200000000015</v>
      </c>
      <c r="AT346" s="16">
        <f t="shared" si="6"/>
        <v>0</v>
      </c>
      <c r="AU346" s="16">
        <f t="shared" si="6"/>
        <v>27605.602000000003</v>
      </c>
      <c r="AV346" s="16">
        <f t="shared" si="6"/>
        <v>0</v>
      </c>
      <c r="AW346" s="16">
        <f t="shared" si="6"/>
        <v>0</v>
      </c>
      <c r="AX346" s="16">
        <f>SUMIF($D$6:$D$338,$D$346,AX6:AX338)</f>
        <v>0</v>
      </c>
      <c r="AY346" s="16">
        <f t="shared" ref="AY346:BI346" si="7">SUMIF($D$6:$D$338,$D$346,AY6:AY338)</f>
        <v>35955.464</v>
      </c>
      <c r="AZ346" s="16">
        <f t="shared" si="7"/>
        <v>21360.879000000001</v>
      </c>
      <c r="BA346" s="16">
        <f t="shared" si="7"/>
        <v>0</v>
      </c>
      <c r="BB346" s="16">
        <f t="shared" si="7"/>
        <v>24078.647000000001</v>
      </c>
      <c r="BC346" s="16">
        <f t="shared" si="7"/>
        <v>24618.359999999997</v>
      </c>
      <c r="BD346" s="16">
        <f t="shared" si="7"/>
        <v>27010.668000000001</v>
      </c>
      <c r="BE346" s="16">
        <f t="shared" si="7"/>
        <v>6993.6000000000013</v>
      </c>
      <c r="BF346" s="16">
        <f t="shared" si="7"/>
        <v>6993.6000000000013</v>
      </c>
      <c r="BG346" s="16">
        <f t="shared" si="7"/>
        <v>9139.5110000000004</v>
      </c>
      <c r="BH346" s="16">
        <f t="shared" si="7"/>
        <v>42207.271999999997</v>
      </c>
      <c r="BI346" s="16">
        <f t="shared" si="7"/>
        <v>8887.349000000002</v>
      </c>
      <c r="BJ346" s="21"/>
    </row>
    <row r="347" spans="1:62" x14ac:dyDescent="0.25">
      <c r="A347" t="s">
        <v>611</v>
      </c>
      <c r="B347">
        <v>7</v>
      </c>
      <c r="D347">
        <v>4</v>
      </c>
      <c r="E347" s="16">
        <f t="shared" ref="E347:AW347" si="8">SUMIF($D$6:$D$338,$D$347,E6:E338)</f>
        <v>1577607.2359999998</v>
      </c>
      <c r="F347" s="16">
        <f t="shared" si="8"/>
        <v>303079.90899999999</v>
      </c>
      <c r="G347" s="16">
        <f t="shared" si="8"/>
        <v>627.16899999999998</v>
      </c>
      <c r="H347" s="16">
        <f t="shared" si="8"/>
        <v>56640.666999999994</v>
      </c>
      <c r="I347" s="16">
        <f t="shared" si="8"/>
        <v>7799.8820000000005</v>
      </c>
      <c r="J347" s="16">
        <f t="shared" si="8"/>
        <v>363.983</v>
      </c>
      <c r="K347" s="16">
        <f t="shared" si="8"/>
        <v>0</v>
      </c>
      <c r="L347" s="16">
        <f t="shared" si="8"/>
        <v>3776568.6849999996</v>
      </c>
      <c r="M347" s="16">
        <f t="shared" si="8"/>
        <v>135428.76499999996</v>
      </c>
      <c r="N347" s="16">
        <f>SUMIF($D$6:$D$338,$D$347,N6:N338)</f>
        <v>613.67200000000003</v>
      </c>
      <c r="O347" s="16">
        <f t="shared" si="8"/>
        <v>3338.239</v>
      </c>
      <c r="P347" s="16">
        <f t="shared" si="8"/>
        <v>37.936</v>
      </c>
      <c r="Q347" s="16">
        <f t="shared" si="8"/>
        <v>1228.2929999999999</v>
      </c>
      <c r="R347" s="16">
        <f t="shared" si="8"/>
        <v>92.616</v>
      </c>
      <c r="S347" s="16">
        <f t="shared" si="8"/>
        <v>95398.524999999994</v>
      </c>
      <c r="T347" s="16">
        <f t="shared" si="8"/>
        <v>0</v>
      </c>
      <c r="U347" s="16">
        <f t="shared" si="8"/>
        <v>0</v>
      </c>
      <c r="V347" s="16">
        <f t="shared" si="8"/>
        <v>91.128</v>
      </c>
      <c r="W347" s="16">
        <f t="shared" si="8"/>
        <v>31317.395</v>
      </c>
      <c r="X347" s="16">
        <f t="shared" si="8"/>
        <v>173292.81399999998</v>
      </c>
      <c r="Y347" s="16">
        <f t="shared" si="8"/>
        <v>784926.495</v>
      </c>
      <c r="Z347" s="16">
        <f t="shared" si="8"/>
        <v>20885.690999999999</v>
      </c>
      <c r="AA347" s="16">
        <f t="shared" si="8"/>
        <v>986.81500000000005</v>
      </c>
      <c r="AB347" s="16">
        <f t="shared" si="8"/>
        <v>93790.001000000004</v>
      </c>
      <c r="AC347" s="16">
        <f t="shared" si="8"/>
        <v>60878.705000000002</v>
      </c>
      <c r="AD347" s="16">
        <f t="shared" si="8"/>
        <v>21542.048999999999</v>
      </c>
      <c r="AE347" s="16">
        <f t="shared" si="8"/>
        <v>2027207.524</v>
      </c>
      <c r="AF347" s="16">
        <f t="shared" si="8"/>
        <v>1738914.9269999997</v>
      </c>
      <c r="AG347" s="16">
        <f t="shared" si="8"/>
        <v>95861.813999999984</v>
      </c>
      <c r="AH347" s="16">
        <f t="shared" si="8"/>
        <v>6380618.7260000007</v>
      </c>
      <c r="AI347" s="16">
        <f t="shared" si="8"/>
        <v>2734217.7540000002</v>
      </c>
      <c r="AJ347" s="16">
        <f t="shared" si="8"/>
        <v>117620.614</v>
      </c>
      <c r="AK347" s="16">
        <f t="shared" si="8"/>
        <v>2617753.1690000002</v>
      </c>
      <c r="AL347" s="16">
        <f t="shared" si="8"/>
        <v>1383684.148</v>
      </c>
      <c r="AM347" s="16">
        <f>SUMIF($D$6:$D$338,$D$347,AM6:AM338)</f>
        <v>0</v>
      </c>
      <c r="AN347" s="16">
        <f>SUMIF($D$6:$D$338,$D$347,AN6:AN338)</f>
        <v>922233.61900000006</v>
      </c>
      <c r="AO347" s="16">
        <f>SUMIF($D$6:$D$338,$D$347,AO6:AO338)</f>
        <v>70257.581999999995</v>
      </c>
      <c r="AP347" s="16">
        <f t="shared" si="8"/>
        <v>87133.082000000009</v>
      </c>
      <c r="AQ347" s="16">
        <f t="shared" si="8"/>
        <v>674097.07299999997</v>
      </c>
      <c r="AR347" s="16">
        <f t="shared" si="8"/>
        <v>24284.921999999999</v>
      </c>
      <c r="AS347" s="16">
        <f t="shared" si="8"/>
        <v>912.81600000000003</v>
      </c>
      <c r="AT347" s="16">
        <f t="shared" si="8"/>
        <v>0</v>
      </c>
      <c r="AU347" s="16">
        <f t="shared" si="8"/>
        <v>13931.109999999999</v>
      </c>
      <c r="AV347" s="16">
        <f t="shared" si="8"/>
        <v>70453.013999999996</v>
      </c>
      <c r="AW347" s="16">
        <f t="shared" si="8"/>
        <v>126694.32799999999</v>
      </c>
      <c r="AX347" s="16">
        <f>SUMIF($D$6:$D$338,$D$347,AX6:AX338)</f>
        <v>215342.63200000001</v>
      </c>
      <c r="AY347" s="16">
        <f t="shared" ref="AY347:BI347" si="9">SUMIF($D$6:$D$338,$D$347,AY6:AY338)</f>
        <v>14465.644000000002</v>
      </c>
      <c r="AZ347" s="16">
        <f t="shared" si="9"/>
        <v>569446.79800000007</v>
      </c>
      <c r="BA347" s="16">
        <f t="shared" si="9"/>
        <v>170414.03</v>
      </c>
      <c r="BB347" s="16">
        <f t="shared" si="9"/>
        <v>26321.728999999999</v>
      </c>
      <c r="BC347" s="16">
        <f t="shared" si="9"/>
        <v>41.511000000000003</v>
      </c>
      <c r="BD347" s="16">
        <f t="shared" si="9"/>
        <v>690549.77400000009</v>
      </c>
      <c r="BE347" s="16">
        <f t="shared" si="9"/>
        <v>7542.7220000000016</v>
      </c>
      <c r="BF347" s="16">
        <f t="shared" si="9"/>
        <v>7542.7220000000016</v>
      </c>
      <c r="BG347" s="16">
        <f t="shared" si="9"/>
        <v>233659.02600000004</v>
      </c>
      <c r="BH347" s="16">
        <f t="shared" si="9"/>
        <v>60655.829999999994</v>
      </c>
      <c r="BI347" s="16">
        <f t="shared" si="9"/>
        <v>14.907</v>
      </c>
      <c r="BJ347" s="21"/>
    </row>
    <row r="348" spans="1:62" x14ac:dyDescent="0.25">
      <c r="A348" t="s">
        <v>612</v>
      </c>
      <c r="D348">
        <v>5</v>
      </c>
      <c r="E348" s="16">
        <f t="shared" ref="E348:AW348" si="10">SUMIF($D$6:$D$338,$D$348,E6:E338)</f>
        <v>708742.103</v>
      </c>
      <c r="F348" s="16">
        <f t="shared" si="10"/>
        <v>22460.131999999998</v>
      </c>
      <c r="G348" s="16">
        <f t="shared" si="10"/>
        <v>77356.43299999999</v>
      </c>
      <c r="H348" s="16">
        <f t="shared" si="10"/>
        <v>976049.72600000002</v>
      </c>
      <c r="I348" s="16">
        <f t="shared" si="10"/>
        <v>10545.429000000002</v>
      </c>
      <c r="J348" s="16">
        <f t="shared" si="10"/>
        <v>75559.63</v>
      </c>
      <c r="K348" s="16">
        <f t="shared" si="10"/>
        <v>20827.36</v>
      </c>
      <c r="L348" s="16">
        <f t="shared" si="10"/>
        <v>266631.12499999983</v>
      </c>
      <c r="M348" s="16">
        <f t="shared" si="10"/>
        <v>418830.92600000004</v>
      </c>
      <c r="N348" s="16">
        <f>SUMIF($D$6:$D$338,$D$348,N6:N338)</f>
        <v>0</v>
      </c>
      <c r="O348" s="16">
        <f t="shared" si="10"/>
        <v>0</v>
      </c>
      <c r="P348" s="16">
        <f t="shared" si="10"/>
        <v>1731.7509999999997</v>
      </c>
      <c r="Q348" s="16">
        <f t="shared" si="10"/>
        <v>0</v>
      </c>
      <c r="R348" s="16">
        <f t="shared" si="10"/>
        <v>40.911999999999999</v>
      </c>
      <c r="S348" s="16">
        <f t="shared" si="10"/>
        <v>-8022.3060000000005</v>
      </c>
      <c r="T348" s="16">
        <f t="shared" si="10"/>
        <v>0</v>
      </c>
      <c r="U348" s="16">
        <f t="shared" si="10"/>
        <v>2873.38</v>
      </c>
      <c r="V348" s="16">
        <f t="shared" si="10"/>
        <v>12531.443999999998</v>
      </c>
      <c r="W348" s="16">
        <f t="shared" si="10"/>
        <v>34042.581999999995</v>
      </c>
      <c r="X348" s="16">
        <f t="shared" si="10"/>
        <v>0</v>
      </c>
      <c r="Y348" s="16">
        <f t="shared" si="10"/>
        <v>140673.94199999998</v>
      </c>
      <c r="Z348" s="16">
        <f t="shared" si="10"/>
        <v>0</v>
      </c>
      <c r="AA348" s="16">
        <f t="shared" si="10"/>
        <v>63214.976000000002</v>
      </c>
      <c r="AB348" s="16">
        <f t="shared" si="10"/>
        <v>0</v>
      </c>
      <c r="AC348" s="16">
        <f t="shared" si="10"/>
        <v>5548.0119999999988</v>
      </c>
      <c r="AD348" s="16">
        <f t="shared" si="10"/>
        <v>0</v>
      </c>
      <c r="AE348" s="16">
        <f t="shared" si="10"/>
        <v>440901.48099999997</v>
      </c>
      <c r="AF348" s="16">
        <f t="shared" si="10"/>
        <v>-155311.402</v>
      </c>
      <c r="AG348" s="16">
        <f t="shared" si="10"/>
        <v>13357.063</v>
      </c>
      <c r="AH348" s="16">
        <f t="shared" si="10"/>
        <v>1332484.5690000001</v>
      </c>
      <c r="AI348" s="16">
        <f t="shared" si="10"/>
        <v>-125182.26399999998</v>
      </c>
      <c r="AJ348" s="16">
        <f t="shared" si="10"/>
        <v>7.8280000000000003</v>
      </c>
      <c r="AK348" s="16">
        <f t="shared" si="10"/>
        <v>263.11099999999999</v>
      </c>
      <c r="AL348" s="16">
        <f t="shared" si="10"/>
        <v>113.551</v>
      </c>
      <c r="AM348" s="16">
        <f>SUMIF($D$6:$D$338,$D$348,AM6:AM338)</f>
        <v>776.57100000000003</v>
      </c>
      <c r="AN348" s="16">
        <f>SUMIF($D$6:$D$338,$D$348,AN6:AN338)</f>
        <v>108.577</v>
      </c>
      <c r="AO348" s="16">
        <f>SUMIF($D$6:$D$338,$D$348,AO6:AO338)</f>
        <v>-6768.857</v>
      </c>
      <c r="AP348" s="16">
        <f t="shared" si="10"/>
        <v>0</v>
      </c>
      <c r="AQ348" s="16">
        <f t="shared" si="10"/>
        <v>-48193.739000000001</v>
      </c>
      <c r="AR348" s="16">
        <f t="shared" si="10"/>
        <v>0</v>
      </c>
      <c r="AS348" s="16">
        <f t="shared" si="10"/>
        <v>-81.209000000000003</v>
      </c>
      <c r="AT348" s="16">
        <f t="shared" si="10"/>
        <v>0</v>
      </c>
      <c r="AU348" s="16">
        <f t="shared" si="10"/>
        <v>3.0000000000000001E-3</v>
      </c>
      <c r="AV348" s="16">
        <f t="shared" si="10"/>
        <v>0</v>
      </c>
      <c r="AW348" s="16">
        <f t="shared" si="10"/>
        <v>0</v>
      </c>
      <c r="AX348" s="16">
        <f>SUMIF($D$6:$D$338,$D$348,AX6:AX338)</f>
        <v>0</v>
      </c>
      <c r="AY348" s="16">
        <f t="shared" ref="AY348:BI348" si="11">SUMIF($D$6:$D$338,$D$348,AY6:AY338)</f>
        <v>0</v>
      </c>
      <c r="AZ348" s="16">
        <f t="shared" si="11"/>
        <v>0</v>
      </c>
      <c r="BA348" s="16">
        <f t="shared" si="11"/>
        <v>0</v>
      </c>
      <c r="BB348" s="16">
        <f t="shared" si="11"/>
        <v>-2579.826</v>
      </c>
      <c r="BC348" s="16">
        <f t="shared" si="11"/>
        <v>0</v>
      </c>
      <c r="BD348" s="16">
        <f t="shared" si="11"/>
        <v>0</v>
      </c>
      <c r="BE348" s="16">
        <f t="shared" si="11"/>
        <v>-768.12800000000004</v>
      </c>
      <c r="BF348" s="16">
        <f t="shared" si="11"/>
        <v>-768.12800000000004</v>
      </c>
      <c r="BG348" s="16">
        <f t="shared" si="11"/>
        <v>0</v>
      </c>
      <c r="BH348" s="16">
        <f t="shared" si="11"/>
        <v>0</v>
      </c>
      <c r="BI348" s="16">
        <f t="shared" si="11"/>
        <v>0</v>
      </c>
      <c r="BJ348" s="21"/>
    </row>
    <row r="349" spans="1:62" x14ac:dyDescent="0.25">
      <c r="A349" t="s">
        <v>613</v>
      </c>
      <c r="B349">
        <v>7</v>
      </c>
      <c r="D349">
        <v>6</v>
      </c>
      <c r="E349" s="16">
        <f t="shared" ref="E349:AW349" si="12">SUMIF($D$6:$D$338,$D$349,E6:E338)+SUMIF($D$6:$D$338,$B$349,E6:E338)</f>
        <v>2087642.0350000001</v>
      </c>
      <c r="F349" s="16">
        <f t="shared" si="12"/>
        <v>76273.960999999996</v>
      </c>
      <c r="G349" s="16">
        <f t="shared" si="12"/>
        <v>72514.88800000005</v>
      </c>
      <c r="H349" s="16">
        <f t="shared" si="12"/>
        <v>8941.4220000000023</v>
      </c>
      <c r="I349" s="16">
        <f t="shared" si="12"/>
        <v>11126.217000000004</v>
      </c>
      <c r="J349" s="16">
        <f t="shared" si="12"/>
        <v>48203.18</v>
      </c>
      <c r="K349" s="16">
        <f t="shared" si="12"/>
        <v>10994.463999999998</v>
      </c>
      <c r="L349" s="16">
        <f t="shared" si="12"/>
        <v>2405468.5259999996</v>
      </c>
      <c r="M349" s="16">
        <f t="shared" si="12"/>
        <v>586697.27199999988</v>
      </c>
      <c r="N349" s="16">
        <f>SUMIF($D$6:$D$338,$D$349,N6:N338)+SUMIF($D$6:$D$338,$B$349,N6:N338)</f>
        <v>-0.629</v>
      </c>
      <c r="O349" s="16">
        <f t="shared" si="12"/>
        <v>85.015000000000001</v>
      </c>
      <c r="P349" s="16">
        <f t="shared" si="12"/>
        <v>1150.9529999999997</v>
      </c>
      <c r="Q349" s="16">
        <f t="shared" si="12"/>
        <v>164.13199999999998</v>
      </c>
      <c r="R349" s="16">
        <f t="shared" si="12"/>
        <v>709.84700000000009</v>
      </c>
      <c r="S349" s="16">
        <f t="shared" si="12"/>
        <v>15881.304999999998</v>
      </c>
      <c r="T349" s="16">
        <f t="shared" si="12"/>
        <v>-1.1859999999999999</v>
      </c>
      <c r="U349" s="16">
        <f t="shared" si="12"/>
        <v>8882.77</v>
      </c>
      <c r="V349" s="16">
        <f t="shared" si="12"/>
        <v>8576.5010000000002</v>
      </c>
      <c r="W349" s="16">
        <f t="shared" si="12"/>
        <v>20055.593000000001</v>
      </c>
      <c r="X349" s="16">
        <f t="shared" si="12"/>
        <v>-99.725000000000023</v>
      </c>
      <c r="Y349" s="16">
        <f t="shared" si="12"/>
        <v>403031.05000000005</v>
      </c>
      <c r="Z349" s="16">
        <f t="shared" si="12"/>
        <v>-511.48200000000003</v>
      </c>
      <c r="AA349" s="16">
        <f t="shared" si="12"/>
        <v>112921.95700000002</v>
      </c>
      <c r="AB349" s="16">
        <f t="shared" si="12"/>
        <v>7878.2089999999998</v>
      </c>
      <c r="AC349" s="16">
        <f t="shared" si="12"/>
        <v>12601.79</v>
      </c>
      <c r="AD349" s="16">
        <f t="shared" si="12"/>
        <v>-7.5600000000000023</v>
      </c>
      <c r="AE349" s="16">
        <f t="shared" si="12"/>
        <v>1401946.9650000003</v>
      </c>
      <c r="AF349" s="16">
        <f t="shared" si="12"/>
        <v>109916.81000000001</v>
      </c>
      <c r="AG349" s="16">
        <f t="shared" si="12"/>
        <v>-258.28700000000003</v>
      </c>
      <c r="AH349" s="16">
        <f t="shared" si="12"/>
        <v>4918886.1280000014</v>
      </c>
      <c r="AI349" s="16">
        <f t="shared" si="12"/>
        <v>218708.73599999998</v>
      </c>
      <c r="AJ349" s="16">
        <f t="shared" si="12"/>
        <v>-2746.8650000000002</v>
      </c>
      <c r="AK349" s="16">
        <f t="shared" si="12"/>
        <v>-2979.4509999999914</v>
      </c>
      <c r="AL349" s="16">
        <f t="shared" si="12"/>
        <v>-2569.7680000000028</v>
      </c>
      <c r="AM349" s="16">
        <f>SUMIF($D$6:$D$338,$D$349,AM6:AM338)+SUMIF($D$6:$D$338,$B$349,AM6:AM338)</f>
        <v>2291.9809999999998</v>
      </c>
      <c r="AN349" s="16">
        <f>SUMIF($D$6:$D$338,$D$349,AN6:AN338)+SUMIF($D$6:$D$338,$B$349,AN6:AN338)</f>
        <v>-1901.9659999999997</v>
      </c>
      <c r="AO349" s="16">
        <f>SUMIF($D$6:$D$338,$D$349,AO6:AO338)+SUMIF($D$6:$D$338,$B$349,AO6:AO338)</f>
        <v>7785.5730000000003</v>
      </c>
      <c r="AP349" s="16">
        <f t="shared" si="12"/>
        <v>-18.997</v>
      </c>
      <c r="AQ349" s="16">
        <f t="shared" si="12"/>
        <v>26973.226999999999</v>
      </c>
      <c r="AR349" s="16">
        <f t="shared" si="12"/>
        <v>-9.24</v>
      </c>
      <c r="AS349" s="16">
        <f t="shared" si="12"/>
        <v>117.65599999999998</v>
      </c>
      <c r="AT349" s="16">
        <f t="shared" si="12"/>
        <v>0</v>
      </c>
      <c r="AU349" s="16">
        <f t="shared" si="12"/>
        <v>87.847999999999999</v>
      </c>
      <c r="AV349" s="16">
        <f t="shared" si="12"/>
        <v>-17.984999999999999</v>
      </c>
      <c r="AW349" s="16">
        <f t="shared" si="12"/>
        <v>-22.495000000000001</v>
      </c>
      <c r="AX349" s="16">
        <f>SUMIF($D$6:$D$338,$D$349,AX6:AX338)+SUMIF($D$6:$D$338,$B$349,AX6:AX338)</f>
        <v>-46.067000000000064</v>
      </c>
      <c r="AY349" s="16">
        <f t="shared" ref="AY349:BI349" si="13">SUMIF($D$6:$D$338,$D$349,AY6:AY338)+SUMIF($D$6:$D$338,$B$349,AY6:AY338)</f>
        <v>3300.0609999999997</v>
      </c>
      <c r="AZ349" s="16">
        <f t="shared" si="13"/>
        <v>35833.59399999999</v>
      </c>
      <c r="BA349" s="16">
        <f t="shared" si="13"/>
        <v>6.4789999999999459</v>
      </c>
      <c r="BB349" s="16">
        <f t="shared" si="13"/>
        <v>2855.1779999999999</v>
      </c>
      <c r="BC349" s="16">
        <f t="shared" si="13"/>
        <v>1653.5660000000003</v>
      </c>
      <c r="BD349" s="16">
        <f t="shared" si="13"/>
        <v>45505.640999999996</v>
      </c>
      <c r="BE349" s="16">
        <f t="shared" si="13"/>
        <v>827.68399999999986</v>
      </c>
      <c r="BF349" s="16">
        <f t="shared" si="13"/>
        <v>827.68399999999986</v>
      </c>
      <c r="BG349" s="16">
        <f t="shared" si="13"/>
        <v>15269.504999999999</v>
      </c>
      <c r="BH349" s="16">
        <f t="shared" si="13"/>
        <v>-1288.2549999999999</v>
      </c>
      <c r="BI349" s="16">
        <f t="shared" si="13"/>
        <v>584.76300000000003</v>
      </c>
      <c r="BJ349" s="21"/>
    </row>
    <row r="350" spans="1:62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21"/>
    </row>
    <row r="351" spans="1:62" x14ac:dyDescent="0.25">
      <c r="E351">
        <f t="shared" ref="E351:M351" si="14">SUM(E344:E350)</f>
        <v>9786893.1389999986</v>
      </c>
      <c r="F351">
        <f t="shared" si="14"/>
        <v>1066384.8579999998</v>
      </c>
      <c r="G351">
        <f t="shared" si="14"/>
        <v>1020526.6359999999</v>
      </c>
      <c r="H351">
        <f t="shared" si="14"/>
        <v>1128936.93</v>
      </c>
      <c r="I351">
        <f t="shared" si="14"/>
        <v>135071.29099999997</v>
      </c>
      <c r="J351">
        <f t="shared" si="14"/>
        <v>708918.87600000016</v>
      </c>
      <c r="K351">
        <f t="shared" si="14"/>
        <v>250045.08300000001</v>
      </c>
      <c r="L351" s="17">
        <f t="shared" si="14"/>
        <v>10537567.960999999</v>
      </c>
      <c r="M351">
        <f t="shared" si="14"/>
        <v>2940422.571</v>
      </c>
      <c r="N351">
        <f>SUM(N344:N350)</f>
        <v>15357.012000000001</v>
      </c>
      <c r="O351">
        <f t="shared" ref="O351:AL351" si="15">SUM(O344:O350)</f>
        <v>15266.605</v>
      </c>
      <c r="P351">
        <f t="shared" si="15"/>
        <v>19434.690000000002</v>
      </c>
      <c r="Q351">
        <f t="shared" si="15"/>
        <v>14231.341</v>
      </c>
      <c r="R351">
        <f t="shared" si="15"/>
        <v>18506.026000000002</v>
      </c>
      <c r="S351">
        <f t="shared" si="15"/>
        <v>337259.05300000001</v>
      </c>
      <c r="T351">
        <f t="shared" si="15"/>
        <v>2716.8879999999999</v>
      </c>
      <c r="U351">
        <f t="shared" si="15"/>
        <v>185233.19799999997</v>
      </c>
      <c r="V351">
        <f t="shared" si="15"/>
        <v>125130.315</v>
      </c>
      <c r="W351">
        <f t="shared" si="15"/>
        <v>261031.97299999997</v>
      </c>
      <c r="X351">
        <f t="shared" si="15"/>
        <v>217900.26699999996</v>
      </c>
      <c r="Y351">
        <f t="shared" si="15"/>
        <v>2778146.8250000002</v>
      </c>
      <c r="Z351">
        <f t="shared" si="15"/>
        <v>98007.828999999983</v>
      </c>
      <c r="AA351">
        <f t="shared" si="15"/>
        <v>1513829.237</v>
      </c>
      <c r="AB351">
        <f t="shared" si="15"/>
        <v>461932.58599999995</v>
      </c>
      <c r="AC351">
        <f t="shared" si="15"/>
        <v>193698.45100000003</v>
      </c>
      <c r="AD351">
        <f t="shared" si="15"/>
        <v>66399.962</v>
      </c>
      <c r="AE351">
        <f t="shared" si="15"/>
        <v>7557351.2809999995</v>
      </c>
      <c r="AF351">
        <f t="shared" si="15"/>
        <v>2852571.1159999999</v>
      </c>
      <c r="AG351">
        <f t="shared" si="15"/>
        <v>324891.10500000004</v>
      </c>
      <c r="AH351">
        <f t="shared" si="15"/>
        <v>21994308.865000006</v>
      </c>
      <c r="AI351">
        <f t="shared" si="15"/>
        <v>4537334.9979999997</v>
      </c>
      <c r="AJ351">
        <f t="shared" si="15"/>
        <v>506718.47200000001</v>
      </c>
      <c r="AK351">
        <f t="shared" si="15"/>
        <v>10852405.141000001</v>
      </c>
      <c r="AL351">
        <f t="shared" si="15"/>
        <v>5724407.4199999999</v>
      </c>
      <c r="AM351">
        <f>SUM(AM344:AM350)</f>
        <v>48840.29</v>
      </c>
      <c r="AN351">
        <f>SUM(AN344:AN350)</f>
        <v>3822520.7689999999</v>
      </c>
      <c r="AO351">
        <f>SUM(AO344:AO350)</f>
        <v>215362.58799999999</v>
      </c>
      <c r="AP351">
        <f>SUM(AP344:AP350)</f>
        <v>97659.959000000003</v>
      </c>
      <c r="AQ351">
        <f t="shared" ref="AQ351:AW351" si="16">SUM(AQ344:AQ350)</f>
        <v>1105576.7059999998</v>
      </c>
      <c r="AR351">
        <f t="shared" si="16"/>
        <v>27373.545999999998</v>
      </c>
      <c r="AS351">
        <f t="shared" si="16"/>
        <v>3860.576</v>
      </c>
      <c r="AT351">
        <f t="shared" si="16"/>
        <v>0</v>
      </c>
      <c r="AU351">
        <f t="shared" si="16"/>
        <v>82997.137999999992</v>
      </c>
      <c r="AV351">
        <f t="shared" si="16"/>
        <v>78644.095000000001</v>
      </c>
      <c r="AW351">
        <f t="shared" si="16"/>
        <v>144027.54</v>
      </c>
      <c r="AX351">
        <f>SUM(AX344:AX350)</f>
        <v>272568.68000000005</v>
      </c>
      <c r="AY351">
        <f t="shared" ref="AY351:BI351" si="17">SUM(AY344:AY350)</f>
        <v>78257.624000000011</v>
      </c>
      <c r="AZ351">
        <f t="shared" si="17"/>
        <v>661062.11700000009</v>
      </c>
      <c r="BA351">
        <f t="shared" si="17"/>
        <v>215880.166</v>
      </c>
      <c r="BB351">
        <f t="shared" si="17"/>
        <v>82133.335000000006</v>
      </c>
      <c r="BC351">
        <f t="shared" si="17"/>
        <v>40875.630999999994</v>
      </c>
      <c r="BD351">
        <f t="shared" si="17"/>
        <v>796066.62200000009</v>
      </c>
      <c r="BE351">
        <f t="shared" si="17"/>
        <v>24308.720000000005</v>
      </c>
      <c r="BF351">
        <f t="shared" si="17"/>
        <v>24308.720000000005</v>
      </c>
      <c r="BG351">
        <f t="shared" si="17"/>
        <v>269715.06000000006</v>
      </c>
      <c r="BH351">
        <f t="shared" si="17"/>
        <v>298772.18599999999</v>
      </c>
      <c r="BI351">
        <f t="shared" si="17"/>
        <v>13649.567000000003</v>
      </c>
      <c r="BJ351" s="21"/>
    </row>
    <row r="352" spans="1:62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21"/>
    </row>
    <row r="353" spans="1:62" x14ac:dyDescent="0.25">
      <c r="A353" s="8"/>
      <c r="B353" s="8"/>
      <c r="C353" s="8"/>
      <c r="D353" s="8"/>
      <c r="E353" s="8">
        <f t="shared" ref="E353:AJ353" si="18">E351-E339</f>
        <v>9786893.1389999986</v>
      </c>
      <c r="F353" s="8">
        <f t="shared" si="18"/>
        <v>1066384.8579999998</v>
      </c>
      <c r="G353" s="8">
        <f t="shared" si="18"/>
        <v>1020526.6359999999</v>
      </c>
      <c r="H353" s="8">
        <f t="shared" si="18"/>
        <v>1128936.93</v>
      </c>
      <c r="I353" s="8">
        <f t="shared" si="18"/>
        <v>135071.29099999997</v>
      </c>
      <c r="J353" s="8">
        <f t="shared" si="18"/>
        <v>708918.87600000016</v>
      </c>
      <c r="K353" s="8">
        <f t="shared" si="18"/>
        <v>250045.08300000001</v>
      </c>
      <c r="L353" s="18">
        <f t="shared" si="18"/>
        <v>10537567.960999999</v>
      </c>
      <c r="M353" s="8">
        <f t="shared" si="18"/>
        <v>2940422.571</v>
      </c>
      <c r="N353" s="8">
        <f>N351-N339</f>
        <v>15357.012000000001</v>
      </c>
      <c r="O353" s="8">
        <f t="shared" si="18"/>
        <v>15266.605</v>
      </c>
      <c r="P353" s="8">
        <f t="shared" si="18"/>
        <v>19434.690000000002</v>
      </c>
      <c r="Q353" s="8">
        <f t="shared" si="18"/>
        <v>14231.341</v>
      </c>
      <c r="R353" s="8">
        <f t="shared" si="18"/>
        <v>18506.026000000002</v>
      </c>
      <c r="S353" s="8">
        <f t="shared" si="18"/>
        <v>337259.05300000001</v>
      </c>
      <c r="T353" s="8">
        <f t="shared" si="18"/>
        <v>2716.8879999999999</v>
      </c>
      <c r="U353" s="8">
        <f t="shared" si="18"/>
        <v>185233.19799999997</v>
      </c>
      <c r="V353" s="8">
        <f t="shared" si="18"/>
        <v>125130.315</v>
      </c>
      <c r="W353" s="8">
        <f t="shared" si="18"/>
        <v>261031.97299999997</v>
      </c>
      <c r="X353" s="8">
        <f t="shared" si="18"/>
        <v>217900.26699999996</v>
      </c>
      <c r="Y353" s="8">
        <f t="shared" si="18"/>
        <v>2778146.8250000002</v>
      </c>
      <c r="Z353" s="8">
        <f t="shared" si="18"/>
        <v>98007.828999999983</v>
      </c>
      <c r="AA353" s="8">
        <f t="shared" si="18"/>
        <v>1513829.237</v>
      </c>
      <c r="AB353" s="8">
        <f t="shared" si="18"/>
        <v>461932.58599999995</v>
      </c>
      <c r="AC353" s="8">
        <f t="shared" si="18"/>
        <v>193698.45100000003</v>
      </c>
      <c r="AD353" s="8">
        <f t="shared" si="18"/>
        <v>66399.962</v>
      </c>
      <c r="AE353" s="8">
        <f t="shared" si="18"/>
        <v>7557351.2809999995</v>
      </c>
      <c r="AF353" s="8">
        <f t="shared" si="18"/>
        <v>2852571.1159999999</v>
      </c>
      <c r="AG353" s="8">
        <f t="shared" si="18"/>
        <v>324891.10500000004</v>
      </c>
      <c r="AH353" s="8">
        <f t="shared" si="18"/>
        <v>21994308.865000006</v>
      </c>
      <c r="AI353" s="8">
        <f t="shared" si="18"/>
        <v>4537334.9979999997</v>
      </c>
      <c r="AJ353" s="8">
        <f t="shared" si="18"/>
        <v>506718.47200000001</v>
      </c>
      <c r="AK353" s="8">
        <f>AK351-AK339</f>
        <v>10852405.141000001</v>
      </c>
      <c r="AL353" s="8">
        <f>AL351-AL339</f>
        <v>5724407.4199999999</v>
      </c>
      <c r="AM353" s="8">
        <f>AM351-AM339</f>
        <v>48840.29</v>
      </c>
      <c r="AN353" s="8">
        <f>AN351-AN339</f>
        <v>3822520.7689999999</v>
      </c>
      <c r="AO353" s="8">
        <f>AO351-AO339</f>
        <v>215362.58799999999</v>
      </c>
      <c r="AP353" s="8">
        <f t="shared" ref="AP353:AW353" si="19">AP351-AP339</f>
        <v>97659.959000000003</v>
      </c>
      <c r="AQ353" s="8">
        <f t="shared" si="19"/>
        <v>1105576.7059999998</v>
      </c>
      <c r="AR353" s="8">
        <f t="shared" si="19"/>
        <v>27373.545999999998</v>
      </c>
      <c r="AS353" s="8">
        <f t="shared" si="19"/>
        <v>3860.576</v>
      </c>
      <c r="AT353" s="8">
        <f t="shared" si="19"/>
        <v>0</v>
      </c>
      <c r="AU353" s="8">
        <f t="shared" si="19"/>
        <v>82997.137999999992</v>
      </c>
      <c r="AV353" s="8">
        <f t="shared" si="19"/>
        <v>78644.095000000001</v>
      </c>
      <c r="AW353" s="8">
        <f t="shared" si="19"/>
        <v>144027.54</v>
      </c>
      <c r="AX353" s="8">
        <f>AX351-AX339</f>
        <v>272568.68000000005</v>
      </c>
      <c r="AY353" s="8">
        <f t="shared" ref="AY353:BI353" si="20">AY351-AY339</f>
        <v>78257.624000000011</v>
      </c>
      <c r="AZ353" s="8">
        <f t="shared" si="20"/>
        <v>661062.11700000009</v>
      </c>
      <c r="BA353" s="8">
        <f t="shared" si="20"/>
        <v>215880.166</v>
      </c>
      <c r="BB353" s="8">
        <f t="shared" si="20"/>
        <v>82133.335000000006</v>
      </c>
      <c r="BC353" s="8">
        <f t="shared" si="20"/>
        <v>40875.630999999994</v>
      </c>
      <c r="BD353" s="8">
        <f t="shared" si="20"/>
        <v>796066.62200000009</v>
      </c>
      <c r="BE353" s="8">
        <f t="shared" si="20"/>
        <v>24308.720000000005</v>
      </c>
      <c r="BF353" s="8">
        <f t="shared" si="20"/>
        <v>24308.720000000005</v>
      </c>
      <c r="BG353" s="8">
        <f t="shared" si="20"/>
        <v>269715.06000000006</v>
      </c>
      <c r="BH353" s="8">
        <f t="shared" si="20"/>
        <v>298772.18599999999</v>
      </c>
      <c r="BI353" s="8">
        <f t="shared" si="20"/>
        <v>13649.567000000003</v>
      </c>
      <c r="BJ353" s="21"/>
    </row>
    <row r="354" spans="1:62" x14ac:dyDescent="0.25">
      <c r="E354" s="19">
        <f t="shared" ref="E354:M354" si="21">E4</f>
        <v>401</v>
      </c>
      <c r="F354" s="19">
        <f t="shared" si="21"/>
        <v>242</v>
      </c>
      <c r="G354" s="19">
        <f t="shared" si="21"/>
        <v>385</v>
      </c>
      <c r="H354" s="19">
        <f t="shared" si="21"/>
        <v>528</v>
      </c>
      <c r="I354" s="19">
        <f t="shared" si="21"/>
        <v>384</v>
      </c>
      <c r="J354" s="19">
        <f t="shared" si="21"/>
        <v>716</v>
      </c>
      <c r="K354" s="19">
        <f t="shared" si="21"/>
        <v>715</v>
      </c>
      <c r="L354" s="19">
        <f t="shared" si="21"/>
        <v>9916</v>
      </c>
      <c r="M354" s="19">
        <f t="shared" si="21"/>
        <v>1100</v>
      </c>
      <c r="N354" s="19">
        <f>N4</f>
        <v>801</v>
      </c>
      <c r="O354" s="19">
        <f t="shared" ref="O354:T354" si="22">O4</f>
        <v>804</v>
      </c>
      <c r="P354" s="19">
        <f t="shared" si="22"/>
        <v>806</v>
      </c>
      <c r="Q354" s="19">
        <f t="shared" si="22"/>
        <v>8765</v>
      </c>
      <c r="R354" s="19">
        <f t="shared" si="22"/>
        <v>8766</v>
      </c>
      <c r="S354" s="19">
        <f t="shared" si="22"/>
        <v>9418</v>
      </c>
      <c r="T354" s="19">
        <f t="shared" si="22"/>
        <v>9475</v>
      </c>
      <c r="U354" s="19">
        <f>U4</f>
        <v>9906</v>
      </c>
      <c r="V354" s="19">
        <f>V4</f>
        <v>7905</v>
      </c>
      <c r="W354" s="19">
        <f t="shared" ref="W354:AJ354" si="23">W4</f>
        <v>7906</v>
      </c>
      <c r="X354" s="19">
        <f t="shared" si="23"/>
        <v>7907</v>
      </c>
      <c r="Y354" s="19">
        <f t="shared" si="23"/>
        <v>7908</v>
      </c>
      <c r="Z354" s="19">
        <f t="shared" si="23"/>
        <v>7909</v>
      </c>
      <c r="AA354" s="19">
        <f t="shared" si="23"/>
        <v>11310</v>
      </c>
      <c r="AB354" s="19">
        <f t="shared" si="23"/>
        <v>11311</v>
      </c>
      <c r="AC354" s="19">
        <f t="shared" si="23"/>
        <v>11312</v>
      </c>
      <c r="AD354" s="19">
        <f t="shared" si="23"/>
        <v>11335</v>
      </c>
      <c r="AE354" s="19">
        <f t="shared" si="23"/>
        <v>9529</v>
      </c>
      <c r="AF354" s="19">
        <f t="shared" si="23"/>
        <v>961</v>
      </c>
      <c r="AG354" s="19">
        <f t="shared" si="23"/>
        <v>9528</v>
      </c>
      <c r="AH354" s="19">
        <f t="shared" si="23"/>
        <v>964</v>
      </c>
      <c r="AI354" s="19">
        <f t="shared" si="23"/>
        <v>968</v>
      </c>
      <c r="AJ354" s="19">
        <f t="shared" si="23"/>
        <v>8629</v>
      </c>
      <c r="AK354" s="19">
        <f>AK4</f>
        <v>13264</v>
      </c>
      <c r="AL354" s="19">
        <f>AL4</f>
        <v>13263</v>
      </c>
      <c r="AM354" s="19">
        <f>AM4</f>
        <v>13209</v>
      </c>
      <c r="AN354" s="19">
        <f>AN4</f>
        <v>13250</v>
      </c>
      <c r="AO354" s="19">
        <f>AO4</f>
        <v>14281</v>
      </c>
      <c r="AP354" s="19">
        <f t="shared" ref="AP354:AW354" si="24">AP4</f>
        <v>2049</v>
      </c>
      <c r="AQ354" s="19">
        <f t="shared" si="24"/>
        <v>7975</v>
      </c>
      <c r="AR354" s="19">
        <f t="shared" si="24"/>
        <v>8004</v>
      </c>
      <c r="AS354" s="19">
        <f t="shared" si="24"/>
        <v>1008</v>
      </c>
      <c r="AT354" s="19">
        <f t="shared" si="24"/>
        <v>9484</v>
      </c>
      <c r="AU354" s="19">
        <f t="shared" si="24"/>
        <v>682</v>
      </c>
      <c r="AV354" s="19">
        <f t="shared" si="24"/>
        <v>11352</v>
      </c>
      <c r="AW354" s="19">
        <f t="shared" si="24"/>
        <v>2058</v>
      </c>
      <c r="AX354" s="19">
        <f>AX4</f>
        <v>15007</v>
      </c>
      <c r="AY354" s="19">
        <f t="shared" ref="AY354:BI354" si="25">AY4</f>
        <v>15208</v>
      </c>
      <c r="AZ354" s="19">
        <f t="shared" si="25"/>
        <v>15209</v>
      </c>
      <c r="BA354" s="19">
        <f t="shared" si="25"/>
        <v>15210</v>
      </c>
      <c r="BB354" s="19">
        <f t="shared" si="25"/>
        <v>15211</v>
      </c>
      <c r="BC354" s="19">
        <f t="shared" si="25"/>
        <v>15212</v>
      </c>
      <c r="BD354" s="19">
        <f t="shared" si="25"/>
        <v>15232</v>
      </c>
      <c r="BE354" s="19">
        <f t="shared" si="25"/>
        <v>15214</v>
      </c>
      <c r="BF354" s="19">
        <f t="shared" si="25"/>
        <v>15214</v>
      </c>
      <c r="BG354" s="19">
        <f t="shared" si="25"/>
        <v>15233</v>
      </c>
      <c r="BH354" s="19">
        <f t="shared" si="25"/>
        <v>15234</v>
      </c>
      <c r="BI354" s="19">
        <f t="shared" si="25"/>
        <v>15215</v>
      </c>
      <c r="BJ354" s="21"/>
    </row>
    <row r="355" spans="1:62" x14ac:dyDescent="0.25">
      <c r="A355" t="s">
        <v>608</v>
      </c>
      <c r="E355" s="20">
        <f t="shared" ref="E355:AL355" si="26">E344/E351</f>
        <v>0.13035056732318123</v>
      </c>
      <c r="F355" s="20">
        <f t="shared" si="26"/>
        <v>0.16471365350163295</v>
      </c>
      <c r="G355" s="20">
        <f t="shared" si="26"/>
        <v>6.6900237183030273E-2</v>
      </c>
      <c r="H355" s="20">
        <f t="shared" si="26"/>
        <v>2.7835314945361921E-2</v>
      </c>
      <c r="I355" s="20">
        <f t="shared" si="26"/>
        <v>9.5988976665663195E-2</v>
      </c>
      <c r="J355" s="20">
        <f t="shared" si="26"/>
        <v>5.9807353754253813E-2</v>
      </c>
      <c r="K355" s="20">
        <f t="shared" si="26"/>
        <v>2.7440047681321529E-2</v>
      </c>
      <c r="L355" s="20">
        <f t="shared" si="26"/>
        <v>0.19892084252817283</v>
      </c>
      <c r="M355" s="20">
        <f t="shared" si="26"/>
        <v>6.3666073661084011E-2</v>
      </c>
      <c r="N355" s="20">
        <f>N344/N351</f>
        <v>3.4920204529370683E-3</v>
      </c>
      <c r="O355" s="20">
        <f t="shared" si="26"/>
        <v>0.76695067436407771</v>
      </c>
      <c r="P355" s="20">
        <f t="shared" si="26"/>
        <v>4.7223907353294542E-2</v>
      </c>
      <c r="Q355" s="20">
        <f t="shared" si="26"/>
        <v>0.43241996660750381</v>
      </c>
      <c r="R355" s="20">
        <f t="shared" si="26"/>
        <v>0.12926049060992348</v>
      </c>
      <c r="S355" s="20">
        <f t="shared" si="26"/>
        <v>0.16208317171548242</v>
      </c>
      <c r="T355" s="20">
        <f t="shared" si="26"/>
        <v>8.8110735517989702E-2</v>
      </c>
      <c r="U355" s="20">
        <f t="shared" si="26"/>
        <v>2.6602267051503373E-2</v>
      </c>
      <c r="V355" s="20">
        <f t="shared" si="26"/>
        <v>6.828716926030276E-2</v>
      </c>
      <c r="W355" s="20">
        <f t="shared" si="26"/>
        <v>0.10282147696903017</v>
      </c>
      <c r="X355" s="20">
        <f t="shared" si="26"/>
        <v>0.19931924177036464</v>
      </c>
      <c r="Y355" s="20">
        <f t="shared" si="26"/>
        <v>0.19465913361148576</v>
      </c>
      <c r="Z355" s="20">
        <f t="shared" si="26"/>
        <v>0.58040778558619033</v>
      </c>
      <c r="AA355" s="20">
        <f t="shared" si="26"/>
        <v>6.6750232146560132E-2</v>
      </c>
      <c r="AB355" s="20">
        <f t="shared" si="26"/>
        <v>0.77349087470525413</v>
      </c>
      <c r="AC355" s="20">
        <f t="shared" si="26"/>
        <v>0.17807063413222646</v>
      </c>
      <c r="AD355" s="20">
        <f t="shared" si="26"/>
        <v>0.30002142169900642</v>
      </c>
      <c r="AE355" s="20">
        <f t="shared" si="26"/>
        <v>0.19436455093637459</v>
      </c>
      <c r="AF355" s="20">
        <f t="shared" si="26"/>
        <v>0.31987195336938273</v>
      </c>
      <c r="AG355" s="20">
        <f t="shared" si="26"/>
        <v>0.35438594725454237</v>
      </c>
      <c r="AH355" s="20">
        <f t="shared" si="26"/>
        <v>0.17567779359271987</v>
      </c>
      <c r="AI355" s="20">
        <f t="shared" si="26"/>
        <v>0.29480138486349433</v>
      </c>
      <c r="AJ355" s="20">
        <f t="shared" si="26"/>
        <v>0.5606005971694672</v>
      </c>
      <c r="AK355" s="20">
        <f t="shared" si="26"/>
        <v>0.68586809848071439</v>
      </c>
      <c r="AL355" s="20">
        <f t="shared" si="26"/>
        <v>0.68539199119408589</v>
      </c>
      <c r="AM355" s="20">
        <f>AM344/AM351</f>
        <v>3.253252591252017E-2</v>
      </c>
      <c r="AN355" s="20">
        <f>AN344/AN351</f>
        <v>0.68602296507234495</v>
      </c>
      <c r="AO355" s="20">
        <f>AO344/AO351</f>
        <v>0.20314975969735283</v>
      </c>
      <c r="AP355" s="20">
        <f>AP344/AP351</f>
        <v>0.10798564844779425</v>
      </c>
      <c r="AQ355" s="20">
        <f t="shared" ref="AQ355:AW355" si="27">AQ344/AQ351</f>
        <v>0.32249313328061391</v>
      </c>
      <c r="AR355" s="20">
        <f t="shared" si="27"/>
        <v>0.11316999266371994</v>
      </c>
      <c r="AS355" s="20">
        <f t="shared" si="27"/>
        <v>0.15411767570435084</v>
      </c>
      <c r="AT355" s="20" t="e">
        <f t="shared" si="27"/>
        <v>#DIV/0!</v>
      </c>
      <c r="AU355" s="20">
        <f t="shared" si="27"/>
        <v>0.12233314599354017</v>
      </c>
      <c r="AV355" s="20">
        <f t="shared" si="27"/>
        <v>0.10438248415217952</v>
      </c>
      <c r="AW355" s="20">
        <f t="shared" si="27"/>
        <v>0.12050269691477061</v>
      </c>
      <c r="AX355" s="20">
        <f>AX344/AX351</f>
        <v>0.2043050580866444</v>
      </c>
      <c r="AY355" s="20">
        <f t="shared" ref="AY355:BI355" si="28">AY344/AY351</f>
        <v>5.7787749855528446E-2</v>
      </c>
      <c r="AZ355" s="20">
        <f t="shared" si="28"/>
        <v>4.9740715969661273E-2</v>
      </c>
      <c r="BA355" s="20">
        <f t="shared" si="28"/>
        <v>0.20476815364316517</v>
      </c>
      <c r="BB355" s="20">
        <f t="shared" si="28"/>
        <v>0.20401438709386391</v>
      </c>
      <c r="BC355" s="20">
        <f t="shared" si="28"/>
        <v>7.7338500291286041E-2</v>
      </c>
      <c r="BD355" s="20">
        <f t="shared" si="28"/>
        <v>3.9009681026420419E-2</v>
      </c>
      <c r="BE355" s="20">
        <f t="shared" si="28"/>
        <v>0.2294576596381874</v>
      </c>
      <c r="BF355" s="20">
        <f t="shared" si="28"/>
        <v>0.2294576596381874</v>
      </c>
      <c r="BG355" s="20">
        <f t="shared" si="28"/>
        <v>4.0741058359885424E-2</v>
      </c>
      <c r="BH355" s="20">
        <f t="shared" si="28"/>
        <v>0.57258119402051699</v>
      </c>
      <c r="BI355" s="20">
        <f t="shared" si="28"/>
        <v>5.3213336364442906E-2</v>
      </c>
      <c r="BJ355" s="21"/>
    </row>
    <row r="356" spans="1:62" x14ac:dyDescent="0.25">
      <c r="A356" t="s">
        <v>609</v>
      </c>
      <c r="E356" s="20">
        <f t="shared" ref="E356:AL356" si="29">E345/E351</f>
        <v>0.22583375312360199</v>
      </c>
      <c r="F356" s="20">
        <f t="shared" si="29"/>
        <v>0.19170974387560186</v>
      </c>
      <c r="G356" s="20">
        <f t="shared" si="29"/>
        <v>0.34490984613555936</v>
      </c>
      <c r="H356" s="20">
        <f t="shared" si="29"/>
        <v>0</v>
      </c>
      <c r="I356" s="20">
        <f t="shared" si="29"/>
        <v>0.37813880079076173</v>
      </c>
      <c r="J356" s="20">
        <f t="shared" si="29"/>
        <v>0.33205140950429418</v>
      </c>
      <c r="K356" s="20">
        <f t="shared" si="29"/>
        <v>0.6720386059341148</v>
      </c>
      <c r="L356" s="20">
        <f t="shared" si="29"/>
        <v>0.10064436603636916</v>
      </c>
      <c r="M356" s="20">
        <f t="shared" si="29"/>
        <v>0.22167564261973555</v>
      </c>
      <c r="N356" s="20">
        <f>N345/N351</f>
        <v>0.80545929116940196</v>
      </c>
      <c r="O356" s="20">
        <f t="shared" si="29"/>
        <v>8.8178085435497936E-3</v>
      </c>
      <c r="P356" s="20">
        <f t="shared" si="29"/>
        <v>0.79988690326421452</v>
      </c>
      <c r="Q356" s="20">
        <f t="shared" si="29"/>
        <v>0.17138525455893439</v>
      </c>
      <c r="R356" s="20">
        <f t="shared" si="29"/>
        <v>0.18911180606792616</v>
      </c>
      <c r="S356" s="20">
        <f t="shared" si="29"/>
        <v>0.18381768687466485</v>
      </c>
      <c r="T356" s="20">
        <f t="shared" si="29"/>
        <v>0.91232579333413821</v>
      </c>
      <c r="U356" s="20">
        <f t="shared" si="29"/>
        <v>0.72342591094281061</v>
      </c>
      <c r="V356" s="20">
        <f t="shared" si="29"/>
        <v>0.27812049382277987</v>
      </c>
      <c r="W356" s="20">
        <f t="shared" si="29"/>
        <v>0.22800844017679014</v>
      </c>
      <c r="X356" s="20">
        <f t="shared" si="29"/>
        <v>5.8534210056750422E-3</v>
      </c>
      <c r="Y356" s="20">
        <f t="shared" si="29"/>
        <v>0.18954472897594246</v>
      </c>
      <c r="Z356" s="20">
        <f t="shared" si="29"/>
        <v>3.7900747704553281E-3</v>
      </c>
      <c r="AA356" s="20">
        <f t="shared" si="29"/>
        <v>0.3496158153536838</v>
      </c>
      <c r="AB356" s="20">
        <f t="shared" si="29"/>
        <v>6.4159491878756532E-3</v>
      </c>
      <c r="AC356" s="20">
        <f t="shared" si="29"/>
        <v>0.15569340304120449</v>
      </c>
      <c r="AD356" s="20">
        <f t="shared" si="29"/>
        <v>0.17279981274688078</v>
      </c>
      <c r="AE356" s="20">
        <f t="shared" si="29"/>
        <v>0.17865647973708371</v>
      </c>
      <c r="AF356" s="20">
        <f t="shared" si="29"/>
        <v>7.2031550010268008E-2</v>
      </c>
      <c r="AG356" s="20">
        <f t="shared" si="29"/>
        <v>0.13879536960545594</v>
      </c>
      <c r="AH356" s="20">
        <f t="shared" si="29"/>
        <v>0.14249952959365242</v>
      </c>
      <c r="AI356" s="20">
        <f t="shared" si="29"/>
        <v>6.744134654701113E-2</v>
      </c>
      <c r="AJ356" s="20">
        <f t="shared" si="29"/>
        <v>3.5645651378582465E-3</v>
      </c>
      <c r="AK356" s="20">
        <f t="shared" si="29"/>
        <v>7.3168097180606351E-2</v>
      </c>
      <c r="AL356" s="20">
        <f t="shared" si="29"/>
        <v>7.332051306019724E-2</v>
      </c>
      <c r="AM356" s="20">
        <f>AM345/AM351</f>
        <v>0.71921874337764991</v>
      </c>
      <c r="AN356" s="20">
        <f>AN345/AN351</f>
        <v>7.3182992037263139E-2</v>
      </c>
      <c r="AO356" s="20">
        <f>AO345/AO351</f>
        <v>0.17267176414131871</v>
      </c>
      <c r="AP356" s="20">
        <f>AP345/AP351</f>
        <v>0</v>
      </c>
      <c r="AQ356" s="20">
        <f t="shared" ref="AQ356:AW356" si="30">AQ345/AQ351</f>
        <v>7.2720188987049808E-2</v>
      </c>
      <c r="AR356" s="20">
        <f t="shared" si="30"/>
        <v>0</v>
      </c>
      <c r="AS356" s="20">
        <f t="shared" si="30"/>
        <v>0.38188550102368146</v>
      </c>
      <c r="AT356" s="20" t="e">
        <f t="shared" si="30"/>
        <v>#DIV/0!</v>
      </c>
      <c r="AU356" s="20">
        <f t="shared" si="30"/>
        <v>0.37614880166108866</v>
      </c>
      <c r="AV356" s="20">
        <f t="shared" si="30"/>
        <v>0</v>
      </c>
      <c r="AW356" s="20">
        <f t="shared" si="30"/>
        <v>0</v>
      </c>
      <c r="AX356" s="20">
        <f>AX345/AX351</f>
        <v>5.814883059931903E-3</v>
      </c>
      <c r="AY356" s="20">
        <f t="shared" ref="AY356:BI356" si="31">AY345/AY351</f>
        <v>0.25574662220769695</v>
      </c>
      <c r="AZ356" s="20">
        <f t="shared" si="31"/>
        <v>2.3282880086743798E-3</v>
      </c>
      <c r="BA356" s="20">
        <f t="shared" si="31"/>
        <v>5.8100474130634121E-3</v>
      </c>
      <c r="BB356" s="20">
        <f t="shared" si="31"/>
        <v>0.1789921838678534</v>
      </c>
      <c r="BC356" s="20">
        <f t="shared" si="31"/>
        <v>0.27891762698415601</v>
      </c>
      <c r="BD356" s="20">
        <f t="shared" si="31"/>
        <v>2.4448129669227604E-3</v>
      </c>
      <c r="BE356" s="20">
        <f t="shared" si="31"/>
        <v>0.17010439052323609</v>
      </c>
      <c r="BF356" s="20">
        <f t="shared" si="31"/>
        <v>0.17010439052323609</v>
      </c>
      <c r="BG356" s="20">
        <f t="shared" si="31"/>
        <v>2.441617461034619E-3</v>
      </c>
      <c r="BH356" s="20">
        <f t="shared" si="31"/>
        <v>8.7444565539310279E-2</v>
      </c>
      <c r="BI356" s="20">
        <f t="shared" si="31"/>
        <v>0.2517449088311739</v>
      </c>
      <c r="BJ356" s="21"/>
    </row>
    <row r="357" spans="1:62" x14ac:dyDescent="0.25">
      <c r="A357" t="s">
        <v>610</v>
      </c>
      <c r="E357" s="20">
        <f t="shared" ref="E357:AL357" si="32">E346/E351</f>
        <v>0.19689229826380761</v>
      </c>
      <c r="F357" s="20">
        <f t="shared" si="32"/>
        <v>0.26677642678981101</v>
      </c>
      <c r="G357" s="20">
        <f t="shared" si="32"/>
        <v>0.44071851839445769</v>
      </c>
      <c r="H357" s="20">
        <f t="shared" si="32"/>
        <v>4.9498602193835582E-2</v>
      </c>
      <c r="I357" s="20">
        <f t="shared" si="32"/>
        <v>0.30767983109008706</v>
      </c>
      <c r="J357" s="20">
        <f t="shared" si="32"/>
        <v>0.43304815176059713</v>
      </c>
      <c r="K357" s="20">
        <f t="shared" si="32"/>
        <v>0.17325700021863658</v>
      </c>
      <c r="L357" s="20">
        <f t="shared" si="32"/>
        <v>8.8465467976116791E-2</v>
      </c>
      <c r="M357" s="20">
        <f t="shared" si="32"/>
        <v>0.32663345550138612</v>
      </c>
      <c r="N357" s="20">
        <f>N346/N351</f>
        <v>0.1511292691573074</v>
      </c>
      <c r="O357" s="20">
        <f t="shared" si="32"/>
        <v>0</v>
      </c>
      <c r="P357" s="20">
        <f t="shared" si="32"/>
        <v>2.6094576244848774E-3</v>
      </c>
      <c r="Q357" s="20">
        <f t="shared" si="32"/>
        <v>0.29835262889140246</v>
      </c>
      <c r="R357" s="20">
        <f t="shared" si="32"/>
        <v>0.63605470996312219</v>
      </c>
      <c r="S357" s="20">
        <f t="shared" si="32"/>
        <v>0.34793234445807447</v>
      </c>
      <c r="T357" s="20">
        <f t="shared" si="32"/>
        <v>0</v>
      </c>
      <c r="U357" s="20">
        <f t="shared" si="32"/>
        <v>0.18650506698048805</v>
      </c>
      <c r="V357" s="20">
        <f t="shared" si="32"/>
        <v>0.48417637244819528</v>
      </c>
      <c r="W357" s="20">
        <f t="shared" si="32"/>
        <v>0.34194744794730569</v>
      </c>
      <c r="X357" s="20">
        <f t="shared" si="32"/>
        <v>0</v>
      </c>
      <c r="Y357" s="20">
        <f t="shared" si="32"/>
        <v>0.13755234012874754</v>
      </c>
      <c r="Z357" s="20">
        <f t="shared" si="32"/>
        <v>0.20791865515151858</v>
      </c>
      <c r="AA357" s="20">
        <f t="shared" si="32"/>
        <v>0.4666301691991962</v>
      </c>
      <c r="AB357" s="20">
        <f t="shared" si="32"/>
        <v>0</v>
      </c>
      <c r="AC357" s="20">
        <f t="shared" si="32"/>
        <v>0.25823834285592712</v>
      </c>
      <c r="AD357" s="20">
        <f t="shared" si="32"/>
        <v>0.20286398657878751</v>
      </c>
      <c r="AE357" s="20">
        <f t="shared" si="32"/>
        <v>0.11488738775222219</v>
      </c>
      <c r="AF357" s="20">
        <f t="shared" si="32"/>
        <v>1.4414423103904133E-2</v>
      </c>
      <c r="AG357" s="20">
        <f t="shared" si="32"/>
        <v>0.17144295778734844</v>
      </c>
      <c r="AH357" s="20">
        <f t="shared" si="32"/>
        <v>0.10749276717497797</v>
      </c>
      <c r="AI357" s="20">
        <f t="shared" si="32"/>
        <v>1.4540286099457189E-2</v>
      </c>
      <c r="AJ357" s="20">
        <f t="shared" si="32"/>
        <v>0.20911806428086957</v>
      </c>
      <c r="AK357" s="20">
        <f t="shared" si="32"/>
        <v>0</v>
      </c>
      <c r="AL357" s="20">
        <f t="shared" si="32"/>
        <v>0</v>
      </c>
      <c r="AM357" s="20">
        <f>AM346/AM351</f>
        <v>0.18542043874022859</v>
      </c>
      <c r="AN357" s="20">
        <f>AN346/AN351</f>
        <v>0</v>
      </c>
      <c r="AO357" s="20">
        <f>AO346/AO351</f>
        <v>0.29322824630989297</v>
      </c>
      <c r="AP357" s="20">
        <f>AP346/AP351</f>
        <v>0</v>
      </c>
      <c r="AQ357" s="20">
        <f t="shared" ref="AQ357:AW357" si="33">AQ346/AQ351</f>
        <v>1.4256362235620407E-2</v>
      </c>
      <c r="AR357" s="20">
        <f t="shared" si="33"/>
        <v>0</v>
      </c>
      <c r="AS357" s="20">
        <f t="shared" si="33"/>
        <v>0.218110458128528</v>
      </c>
      <c r="AT357" s="20" t="e">
        <f t="shared" si="33"/>
        <v>#DIV/0!</v>
      </c>
      <c r="AU357" s="20">
        <f t="shared" si="33"/>
        <v>0.33260908346020324</v>
      </c>
      <c r="AV357" s="20">
        <f t="shared" si="33"/>
        <v>0</v>
      </c>
      <c r="AW357" s="20">
        <f t="shared" si="33"/>
        <v>0</v>
      </c>
      <c r="AX357" s="20">
        <f>AX346/AX351</f>
        <v>0</v>
      </c>
      <c r="AY357" s="20">
        <f t="shared" ref="AY357:BI357" si="34">AY346/AY351</f>
        <v>0.45944998279017513</v>
      </c>
      <c r="AZ357" s="20">
        <f t="shared" si="34"/>
        <v>3.231296795063511E-2</v>
      </c>
      <c r="BA357" s="20">
        <f t="shared" si="34"/>
        <v>0</v>
      </c>
      <c r="BB357" s="20">
        <f t="shared" si="34"/>
        <v>0.29316533901856046</v>
      </c>
      <c r="BC357" s="20">
        <f t="shared" si="34"/>
        <v>0.6022747391960751</v>
      </c>
      <c r="BD357" s="20">
        <f t="shared" si="34"/>
        <v>3.393016018199542E-2</v>
      </c>
      <c r="BE357" s="20">
        <f t="shared" si="34"/>
        <v>0.28769922891867611</v>
      </c>
      <c r="BF357" s="20">
        <f t="shared" si="34"/>
        <v>0.28769922891867611</v>
      </c>
      <c r="BG357" s="20">
        <f t="shared" si="34"/>
        <v>3.3885801556650184E-2</v>
      </c>
      <c r="BH357" s="20">
        <f t="shared" si="34"/>
        <v>0.14126908051608258</v>
      </c>
      <c r="BI357" s="20">
        <f t="shared" si="34"/>
        <v>0.65110849303864371</v>
      </c>
      <c r="BJ357" s="21"/>
    </row>
    <row r="358" spans="1:62" x14ac:dyDescent="0.25">
      <c r="A358" t="s">
        <v>611</v>
      </c>
      <c r="E358" s="20">
        <f t="shared" ref="E358:AL358" si="35">E347/E351</f>
        <v>0.16119591923542714</v>
      </c>
      <c r="F358" s="20">
        <f t="shared" si="35"/>
        <v>0.28421250238720103</v>
      </c>
      <c r="G358" s="20">
        <f t="shared" si="35"/>
        <v>6.1455426823372008E-4</v>
      </c>
      <c r="H358" s="20">
        <f t="shared" si="35"/>
        <v>5.0171684081589923E-2</v>
      </c>
      <c r="I358" s="20">
        <f t="shared" si="35"/>
        <v>5.7746408894544451E-2</v>
      </c>
      <c r="J358" s="20">
        <f t="shared" si="35"/>
        <v>5.1343392357350618E-4</v>
      </c>
      <c r="K358" s="20">
        <f t="shared" si="35"/>
        <v>0</v>
      </c>
      <c r="L358" s="20">
        <f t="shared" si="35"/>
        <v>0.35839092084409285</v>
      </c>
      <c r="M358" s="20">
        <f t="shared" si="35"/>
        <v>4.605758585030259E-2</v>
      </c>
      <c r="N358" s="20">
        <f>N347/N351</f>
        <v>3.9960377708892852E-2</v>
      </c>
      <c r="O358" s="20">
        <f t="shared" si="35"/>
        <v>0.2186628264764825</v>
      </c>
      <c r="P358" s="20">
        <f t="shared" si="35"/>
        <v>1.9519735071668236E-3</v>
      </c>
      <c r="Q358" s="20">
        <f t="shared" si="35"/>
        <v>8.6309013324886233E-2</v>
      </c>
      <c r="R358" s="20">
        <f t="shared" si="35"/>
        <v>5.0046401101997802E-3</v>
      </c>
      <c r="S358" s="20">
        <f t="shared" si="35"/>
        <v>0.28286423789489795</v>
      </c>
      <c r="T358" s="20">
        <f t="shared" si="35"/>
        <v>0</v>
      </c>
      <c r="U358" s="20">
        <f t="shared" si="35"/>
        <v>0</v>
      </c>
      <c r="V358" s="20">
        <f t="shared" si="35"/>
        <v>7.2826476941259197E-4</v>
      </c>
      <c r="W358" s="20">
        <f t="shared" si="35"/>
        <v>0.11997532195031145</v>
      </c>
      <c r="X358" s="20">
        <f t="shared" si="35"/>
        <v>0.79528500072925568</v>
      </c>
      <c r="Y358" s="20">
        <f t="shared" si="35"/>
        <v>0.28253600131447332</v>
      </c>
      <c r="Z358" s="20">
        <f t="shared" si="35"/>
        <v>0.2131022716562776</v>
      </c>
      <c r="AA358" s="20">
        <f t="shared" si="35"/>
        <v>6.5186678647824274E-4</v>
      </c>
      <c r="AB358" s="20">
        <f t="shared" si="35"/>
        <v>0.20303828706295254</v>
      </c>
      <c r="AC358" s="20">
        <f t="shared" si="35"/>
        <v>0.31429629243653578</v>
      </c>
      <c r="AD358" s="20">
        <f t="shared" si="35"/>
        <v>0.3244286344621703</v>
      </c>
      <c r="AE358" s="20">
        <f t="shared" si="35"/>
        <v>0.26824312495524982</v>
      </c>
      <c r="AF358" s="20">
        <f t="shared" si="35"/>
        <v>0.6095956441704361</v>
      </c>
      <c r="AG358" s="20">
        <f t="shared" si="35"/>
        <v>0.29505829037701714</v>
      </c>
      <c r="AH358" s="20">
        <f t="shared" si="35"/>
        <v>0.29010317010477243</v>
      </c>
      <c r="AI358" s="20">
        <f t="shared" si="35"/>
        <v>0.60260433827460591</v>
      </c>
      <c r="AJ358" s="20">
        <f t="shared" si="35"/>
        <v>0.23212221479859529</v>
      </c>
      <c r="AK358" s="20">
        <f t="shared" si="35"/>
        <v>0.24121410277158026</v>
      </c>
      <c r="AL358" s="20">
        <f t="shared" si="35"/>
        <v>0.24171657369558788</v>
      </c>
      <c r="AM358" s="20">
        <f>AM347/AM351</f>
        <v>0</v>
      </c>
      <c r="AN358" s="20">
        <f>AN347/AN351</f>
        <v>0.24126320685531902</v>
      </c>
      <c r="AO358" s="20">
        <f>AO347/AO351</f>
        <v>0.32622927989702649</v>
      </c>
      <c r="AP358" s="20">
        <f>AP347/AP351</f>
        <v>0.89220887344423327</v>
      </c>
      <c r="AQ358" s="20">
        <f t="shared" ref="AQ358:AW358" si="36">AQ347/AQ351</f>
        <v>0.60972438125880712</v>
      </c>
      <c r="AR358" s="20">
        <f t="shared" si="36"/>
        <v>0.88716755951165405</v>
      </c>
      <c r="AS358" s="20">
        <f t="shared" si="36"/>
        <v>0.23644554594961997</v>
      </c>
      <c r="AT358" s="20" t="e">
        <f t="shared" si="36"/>
        <v>#DIV/0!</v>
      </c>
      <c r="AU358" s="20">
        <f t="shared" si="36"/>
        <v>0.16785048660352603</v>
      </c>
      <c r="AV358" s="20">
        <f t="shared" si="36"/>
        <v>0.89584620434630213</v>
      </c>
      <c r="AW358" s="20">
        <f t="shared" si="36"/>
        <v>0.87965348849254799</v>
      </c>
      <c r="AX358" s="20">
        <f>AX347/AX351</f>
        <v>0.79004906946755571</v>
      </c>
      <c r="AY358" s="20">
        <f t="shared" ref="AY358:BI358" si="37">AY347/AY351</f>
        <v>0.18484645023212051</v>
      </c>
      <c r="AZ358" s="20">
        <f t="shared" si="37"/>
        <v>0.86141193596788723</v>
      </c>
      <c r="BA358" s="20">
        <f t="shared" si="37"/>
        <v>0.78939178692312106</v>
      </c>
      <c r="BB358" s="20">
        <f t="shared" si="37"/>
        <v>0.32047559008775178</v>
      </c>
      <c r="BC358" s="20">
        <f t="shared" si="37"/>
        <v>1.0155439557618085E-3</v>
      </c>
      <c r="BD358" s="20">
        <f t="shared" si="37"/>
        <v>0.86745223944334648</v>
      </c>
      <c r="BE358" s="20">
        <f t="shared" si="37"/>
        <v>0.31028873589395084</v>
      </c>
      <c r="BF358" s="20">
        <f t="shared" si="37"/>
        <v>0.31028873589395084</v>
      </c>
      <c r="BG358" s="20">
        <f t="shared" si="37"/>
        <v>0.86631805431999231</v>
      </c>
      <c r="BH358" s="20">
        <f t="shared" si="37"/>
        <v>0.20301699034327111</v>
      </c>
      <c r="BI358" s="20">
        <f t="shared" si="37"/>
        <v>1.0921225559755849E-3</v>
      </c>
      <c r="BJ358" s="21"/>
    </row>
    <row r="359" spans="1:62" x14ac:dyDescent="0.25">
      <c r="A359" t="s">
        <v>612</v>
      </c>
      <c r="E359" s="20">
        <f t="shared" ref="E359:AL359" si="38">E348/E351</f>
        <v>7.2417476407882556E-2</v>
      </c>
      <c r="F359" s="20">
        <f t="shared" si="38"/>
        <v>2.1061938221932256E-2</v>
      </c>
      <c r="G359" s="20">
        <f t="shared" si="38"/>
        <v>7.5800503652900239E-2</v>
      </c>
      <c r="H359" s="20">
        <f t="shared" si="38"/>
        <v>0.86457418484839543</v>
      </c>
      <c r="I359" s="20">
        <f t="shared" si="38"/>
        <v>7.8073059951725823E-2</v>
      </c>
      <c r="J359" s="20">
        <f t="shared" si="38"/>
        <v>0.10658431106579815</v>
      </c>
      <c r="K359" s="20">
        <f t="shared" si="38"/>
        <v>8.329441935076963E-2</v>
      </c>
      <c r="L359" s="20">
        <f t="shared" si="38"/>
        <v>2.5302909170959873E-2</v>
      </c>
      <c r="M359" s="20">
        <f t="shared" si="38"/>
        <v>0.14243902564574623</v>
      </c>
      <c r="N359" s="20">
        <f>N348/N351</f>
        <v>0</v>
      </c>
      <c r="O359" s="20">
        <f t="shared" si="38"/>
        <v>0</v>
      </c>
      <c r="P359" s="20">
        <f t="shared" si="38"/>
        <v>8.910618075204696E-2</v>
      </c>
      <c r="Q359" s="20">
        <f t="shared" si="38"/>
        <v>0</v>
      </c>
      <c r="R359" s="20">
        <f t="shared" si="38"/>
        <v>2.2107393559265506E-3</v>
      </c>
      <c r="S359" s="20">
        <f t="shared" si="38"/>
        <v>-2.3786777341155613E-2</v>
      </c>
      <c r="T359" s="20">
        <f t="shared" si="38"/>
        <v>0</v>
      </c>
      <c r="U359" s="20">
        <f t="shared" si="38"/>
        <v>1.5512230156497112E-2</v>
      </c>
      <c r="V359" s="20">
        <f t="shared" si="38"/>
        <v>0.10014714659672996</v>
      </c>
      <c r="W359" s="20">
        <f t="shared" si="38"/>
        <v>0.1304153725260315</v>
      </c>
      <c r="X359" s="20">
        <f t="shared" si="38"/>
        <v>0</v>
      </c>
      <c r="Y359" s="20">
        <f t="shared" si="38"/>
        <v>5.0635891787324798E-2</v>
      </c>
      <c r="Z359" s="20">
        <f t="shared" si="38"/>
        <v>0</v>
      </c>
      <c r="AA359" s="20">
        <f t="shared" si="38"/>
        <v>4.17583268012943E-2</v>
      </c>
      <c r="AB359" s="20">
        <f t="shared" si="38"/>
        <v>0</v>
      </c>
      <c r="AC359" s="20">
        <f t="shared" si="38"/>
        <v>2.8642521255887576E-2</v>
      </c>
      <c r="AD359" s="20">
        <f t="shared" si="38"/>
        <v>0</v>
      </c>
      <c r="AE359" s="20">
        <f t="shared" si="38"/>
        <v>5.8340741961866199E-2</v>
      </c>
      <c r="AF359" s="20">
        <f t="shared" si="38"/>
        <v>-5.4446110433097439E-2</v>
      </c>
      <c r="AG359" s="20">
        <f t="shared" si="38"/>
        <v>4.1112430578855025E-2</v>
      </c>
      <c r="AH359" s="20">
        <f t="shared" si="38"/>
        <v>6.0583152540901623E-2</v>
      </c>
      <c r="AI359" s="20">
        <f t="shared" si="38"/>
        <v>-2.7589381003425745E-2</v>
      </c>
      <c r="AJ359" s="20">
        <f t="shared" si="38"/>
        <v>1.5448420439663782E-5</v>
      </c>
      <c r="AK359" s="20">
        <f t="shared" si="38"/>
        <v>2.4244487427581926E-5</v>
      </c>
      <c r="AL359" s="20">
        <f t="shared" si="38"/>
        <v>1.9836289011029197E-5</v>
      </c>
      <c r="AM359" s="20">
        <f>AM348/AM351</f>
        <v>1.5900212713724673E-2</v>
      </c>
      <c r="AN359" s="20">
        <f>AN348/AN351</f>
        <v>2.8404554628071925E-5</v>
      </c>
      <c r="AO359" s="20">
        <f>AO348/AO351</f>
        <v>-3.1430050422685298E-2</v>
      </c>
      <c r="AP359" s="20">
        <f>AP348/AP351</f>
        <v>0</v>
      </c>
      <c r="AQ359" s="20">
        <f t="shared" ref="AQ359:AW359" si="39">AQ348/AQ351</f>
        <v>-4.3591492782410354E-2</v>
      </c>
      <c r="AR359" s="20">
        <f t="shared" si="39"/>
        <v>0</v>
      </c>
      <c r="AS359" s="20">
        <f t="shared" si="39"/>
        <v>-2.1035462065764281E-2</v>
      </c>
      <c r="AT359" s="20" t="e">
        <f t="shared" si="39"/>
        <v>#DIV/0!</v>
      </c>
      <c r="AU359" s="20">
        <f t="shared" si="39"/>
        <v>3.6145824690967062E-8</v>
      </c>
      <c r="AV359" s="20">
        <f t="shared" si="39"/>
        <v>0</v>
      </c>
      <c r="AW359" s="20">
        <f t="shared" si="39"/>
        <v>0</v>
      </c>
      <c r="AX359" s="20">
        <f>AX348/AX351</f>
        <v>0</v>
      </c>
      <c r="AY359" s="20">
        <f t="shared" ref="AY359:BI359" si="40">AY348/AY351</f>
        <v>0</v>
      </c>
      <c r="AZ359" s="20">
        <f t="shared" si="40"/>
        <v>0</v>
      </c>
      <c r="BA359" s="20">
        <f t="shared" si="40"/>
        <v>0</v>
      </c>
      <c r="BB359" s="20">
        <f t="shared" si="40"/>
        <v>-3.1410218518461472E-2</v>
      </c>
      <c r="BC359" s="20">
        <f t="shared" si="40"/>
        <v>0</v>
      </c>
      <c r="BD359" s="20">
        <f t="shared" si="40"/>
        <v>0</v>
      </c>
      <c r="BE359" s="20">
        <f t="shared" si="40"/>
        <v>-3.1598866579564858E-2</v>
      </c>
      <c r="BF359" s="20">
        <f t="shared" si="40"/>
        <v>-3.1598866579564858E-2</v>
      </c>
      <c r="BG359" s="20">
        <f t="shared" si="40"/>
        <v>0</v>
      </c>
      <c r="BH359" s="20">
        <f t="shared" si="40"/>
        <v>0</v>
      </c>
      <c r="BI359" s="20">
        <f t="shared" si="40"/>
        <v>0</v>
      </c>
      <c r="BJ359" s="21"/>
    </row>
    <row r="360" spans="1:62" x14ac:dyDescent="0.25">
      <c r="A360" t="s">
        <v>613</v>
      </c>
      <c r="E360" s="20">
        <f t="shared" ref="E360:M360" si="41">E349/E351</f>
        <v>0.21330998564609957</v>
      </c>
      <c r="F360" s="20">
        <f t="shared" si="41"/>
        <v>7.1525735223821052E-2</v>
      </c>
      <c r="G360" s="20">
        <f t="shared" si="41"/>
        <v>7.1056340365818788E-2</v>
      </c>
      <c r="H360" s="20">
        <f t="shared" si="41"/>
        <v>7.9202139308172E-3</v>
      </c>
      <c r="I360" s="20">
        <f t="shared" si="41"/>
        <v>8.2372922607217888E-2</v>
      </c>
      <c r="J360" s="20">
        <f t="shared" si="41"/>
        <v>6.7995339991483023E-2</v>
      </c>
      <c r="K360" s="20">
        <f t="shared" si="41"/>
        <v>4.3969926815157559E-2</v>
      </c>
      <c r="L360" s="20">
        <f t="shared" si="41"/>
        <v>0.22827549344428846</v>
      </c>
      <c r="M360" s="20">
        <f t="shared" si="41"/>
        <v>0.19952821672174542</v>
      </c>
      <c r="N360" s="20">
        <f>N349/N351</f>
        <v>-4.0958488539306994E-5</v>
      </c>
      <c r="O360" s="20">
        <f t="shared" ref="O360:AL360" si="42">O349/O351</f>
        <v>5.5686906158900424E-3</v>
      </c>
      <c r="P360" s="20">
        <f t="shared" si="42"/>
        <v>5.9221577498792088E-2</v>
      </c>
      <c r="Q360" s="20">
        <f t="shared" si="42"/>
        <v>1.15331366172731E-2</v>
      </c>
      <c r="R360" s="20">
        <f t="shared" si="42"/>
        <v>3.8357613892901696E-2</v>
      </c>
      <c r="S360" s="20">
        <f t="shared" si="42"/>
        <v>4.7089336398035836E-2</v>
      </c>
      <c r="T360" s="20">
        <f t="shared" si="42"/>
        <v>-4.3652885212787569E-4</v>
      </c>
      <c r="U360" s="20">
        <f t="shared" si="42"/>
        <v>4.7954524868700922E-2</v>
      </c>
      <c r="V360" s="20">
        <f t="shared" si="42"/>
        <v>6.8540553102579505E-2</v>
      </c>
      <c r="W360" s="20">
        <f t="shared" si="42"/>
        <v>7.6831940430531098E-2</v>
      </c>
      <c r="X360" s="20">
        <f t="shared" si="42"/>
        <v>-4.5766350529529202E-4</v>
      </c>
      <c r="Y360" s="20">
        <f t="shared" si="42"/>
        <v>0.14507190418202609</v>
      </c>
      <c r="Z360" s="20">
        <f t="shared" si="42"/>
        <v>-5.2187871644417318E-3</v>
      </c>
      <c r="AA360" s="20">
        <f t="shared" si="42"/>
        <v>7.4593589712787414E-2</v>
      </c>
      <c r="AB360" s="20">
        <f t="shared" si="42"/>
        <v>1.7054889043917765E-2</v>
      </c>
      <c r="AC360" s="20">
        <f t="shared" si="42"/>
        <v>6.5058806278218501E-2</v>
      </c>
      <c r="AD360" s="20">
        <f t="shared" si="42"/>
        <v>-1.1385548684500757E-4</v>
      </c>
      <c r="AE360" s="20">
        <f t="shared" si="42"/>
        <v>0.18550771465720364</v>
      </c>
      <c r="AF360" s="20">
        <f t="shared" si="42"/>
        <v>3.853253977910643E-2</v>
      </c>
      <c r="AG360" s="20">
        <f t="shared" si="42"/>
        <v>-7.9499560321911556E-4</v>
      </c>
      <c r="AH360" s="20">
        <f t="shared" si="42"/>
        <v>0.22364358699297551</v>
      </c>
      <c r="AI360" s="20">
        <f t="shared" si="42"/>
        <v>4.8202025218857331E-2</v>
      </c>
      <c r="AJ360" s="20">
        <f t="shared" si="42"/>
        <v>-5.4208898072300787E-3</v>
      </c>
      <c r="AK360" s="20">
        <f t="shared" si="42"/>
        <v>-2.7454292032866811E-4</v>
      </c>
      <c r="AL360" s="20">
        <f t="shared" si="42"/>
        <v>-4.4891423888204009E-4</v>
      </c>
      <c r="AM360" s="20">
        <f>AM349/AM351</f>
        <v>4.6928079255876651E-2</v>
      </c>
      <c r="AN360" s="20">
        <f>AN349/AN351</f>
        <v>-4.9756851955511236E-4</v>
      </c>
      <c r="AO360" s="20">
        <f>AO349/AO351</f>
        <v>3.6151000377094282E-2</v>
      </c>
      <c r="AP360" s="20">
        <f>AP349/AP351</f>
        <v>-1.9452189202741728E-4</v>
      </c>
      <c r="AQ360" s="20">
        <f t="shared" ref="AQ360:AW360" si="43">AQ349/AQ351</f>
        <v>2.4397427020319298E-2</v>
      </c>
      <c r="AR360" s="20">
        <f t="shared" si="43"/>
        <v>-3.3755217537399069E-4</v>
      </c>
      <c r="AS360" s="20">
        <f t="shared" si="43"/>
        <v>3.0476281259584057E-2</v>
      </c>
      <c r="AT360" s="20" t="e">
        <f t="shared" si="43"/>
        <v>#DIV/0!</v>
      </c>
      <c r="AU360" s="20">
        <f t="shared" si="43"/>
        <v>1.058446135817358E-3</v>
      </c>
      <c r="AV360" s="20">
        <f t="shared" si="43"/>
        <v>-2.2868849848167239E-4</v>
      </c>
      <c r="AW360" s="20">
        <f t="shared" si="43"/>
        <v>-1.5618540731862808E-4</v>
      </c>
      <c r="AX360" s="20">
        <f>AX349/AX351</f>
        <v>-1.6901061413218882E-4</v>
      </c>
      <c r="AY360" s="20">
        <f t="shared" ref="AY360:BI360" si="44">AY349/AY351</f>
        <v>4.2169194914478868E-2</v>
      </c>
      <c r="AZ360" s="20">
        <f t="shared" si="44"/>
        <v>5.420609210314193E-2</v>
      </c>
      <c r="BA360" s="20">
        <f t="shared" si="44"/>
        <v>3.0012020650382239E-5</v>
      </c>
      <c r="BB360" s="20">
        <f t="shared" si="44"/>
        <v>3.4762718450431843E-2</v>
      </c>
      <c r="BC360" s="20">
        <f t="shared" si="44"/>
        <v>4.0453589572721223E-2</v>
      </c>
      <c r="BD360" s="20">
        <f t="shared" si="44"/>
        <v>5.7163106381314895E-2</v>
      </c>
      <c r="BE360" s="20">
        <f t="shared" si="44"/>
        <v>3.4048851605514387E-2</v>
      </c>
      <c r="BF360" s="20">
        <f t="shared" si="44"/>
        <v>3.4048851605514387E-2</v>
      </c>
      <c r="BG360" s="20">
        <f t="shared" si="44"/>
        <v>5.6613468302437381E-2</v>
      </c>
      <c r="BH360" s="20">
        <f t="shared" si="44"/>
        <v>-4.3118304191809877E-3</v>
      </c>
      <c r="BI360" s="20">
        <f t="shared" si="44"/>
        <v>4.2841139209763936E-2</v>
      </c>
      <c r="BJ360" s="21"/>
    </row>
    <row r="361" spans="1:62" x14ac:dyDescent="0.25">
      <c r="A361" s="21" t="s">
        <v>696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</row>
  </sheetData>
  <mergeCells count="3">
    <mergeCell ref="A2:BI2"/>
    <mergeCell ref="BJ2:BJ361"/>
    <mergeCell ref="A361:BI361"/>
  </mergeCells>
  <conditionalFormatting sqref="A18:A34">
    <cfRule type="cellIs" dxfId="3" priority="17" stopIfTrue="1" operator="lessThan">
      <formula>0</formula>
    </cfRule>
  </conditionalFormatting>
  <conditionalFormatting sqref="B24:B34">
    <cfRule type="cellIs" dxfId="2" priority="26" stopIfTrue="1" operator="lessThan">
      <formula>0</formula>
    </cfRule>
  </conditionalFormatting>
  <conditionalFormatting sqref="C17:D25">
    <cfRule type="cellIs" dxfId="1" priority="18" stopIfTrue="1" operator="lessThan">
      <formula>0</formula>
    </cfRule>
  </conditionalFormatting>
  <conditionalFormatting sqref="E16:BI24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552A052B-3FB1-4F0E-941B-35695ABB514F}"/>
</file>

<file path=customXml/itemProps2.xml><?xml version="1.0" encoding="utf-8"?>
<ds:datastoreItem xmlns:ds="http://schemas.openxmlformats.org/officeDocument/2006/customXml" ds:itemID="{0850168D-771D-4FC4-B727-BD20C5E33613}"/>
</file>

<file path=customXml/itemProps3.xml><?xml version="1.0" encoding="utf-8"?>
<ds:datastoreItem xmlns:ds="http://schemas.openxmlformats.org/officeDocument/2006/customXml" ds:itemID="{13E2183D-73CD-4890-99A7-A5DD9E14B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12/2025</dc:title>
  <dc:creator>פרידמן אמיר</dc:creator>
  <cp:lastModifiedBy>Tami Berman</cp:lastModifiedBy>
  <dcterms:created xsi:type="dcterms:W3CDTF">2026-01-22T11:54:02Z</dcterms:created>
  <dcterms:modified xsi:type="dcterms:W3CDTF">2026-01-22T13:36:52Z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