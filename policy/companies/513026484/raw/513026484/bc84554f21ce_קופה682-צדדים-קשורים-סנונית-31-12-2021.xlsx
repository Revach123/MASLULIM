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etapp\h_account$\דוד דוד\השקעות לא סחירות\דוחות לאוצר קבוצת הפניקס\שנת 2021\צדדים קשורים\דוחות לאתר\2021\קבצים מונגשים\"/>
    </mc:Choice>
  </mc:AlternateContent>
  <bookViews>
    <workbookView xWindow="-105" yWindow="-105" windowWidth="23250" windowHeight="12570" activeTab="0"/>
  </bookViews>
  <sheets>
    <sheet name="נספח 1" sheetId="1" r:id="rId2"/>
    <sheet name="נספח 2" sheetId="2" r:id="rId3"/>
    <sheet name="נספח 3א" sheetId="3" r:id="rId4"/>
    <sheet name="נספח 3ב" sheetId="4" r:id="rId5"/>
    <sheet name="נספח 3ג" sheetId="5" r:id="rId6"/>
    <sheet name="נספח 4" sheetId="6" r:id="rId7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<sst xmlns="http://schemas.openxmlformats.org/spreadsheetml/2006/main" count="302" uniqueCount="156">
  <si>
    <t>עסקאות</t>
  </si>
  <si>
    <t>סה''כ היקף עסקאות
לפי שם צד קשור</t>
  </si>
  <si>
    <t>שיעור מסך
נכסי ההשקעה</t>
  </si>
  <si>
    <t>עסקאות שבוצעו לצורך
השקעה בנכסים
לא סחירים
של צד קשור</t>
  </si>
  <si>
    <t>עסקאות שבוצעו מחוץ
לבורסה, עסקאות
מתואמות ועסקאות
בנכסים אחרים שבוצעו
מול צדדים קשורים</t>
  </si>
  <si>
    <t>רכישת ני''ע בהנפקות
באמצעות צד קשור
(חתם או מי ששווק 
את ההנפקה)</t>
  </si>
  <si>
    <t>אלפי ש''ח</t>
  </si>
  <si>
    <t>אחוזים</t>
  </si>
  <si>
    <t>קניות</t>
  </si>
  <si>
    <t>מכירות (-)</t>
  </si>
  <si>
    <t>נספח 2</t>
  </si>
  <si>
    <t>נספח 3א</t>
  </si>
  <si>
    <t>נספח 3ב</t>
  </si>
  <si>
    <t>נספח 3ג</t>
  </si>
  <si>
    <t>נספח 4</t>
  </si>
  <si>
    <t>ריט 1</t>
  </si>
  <si>
    <t>סה''כ</t>
  </si>
  <si>
    <t>מספר
נייר ערך</t>
  </si>
  <si>
    <t>דירוג</t>
  </si>
  <si>
    <t>שם
המדרג</t>
  </si>
  <si>
    <t>שיעור
ריבית</t>
  </si>
  <si>
    <t>מח''מ</t>
  </si>
  <si>
    <t>תשואה
לפדיון</t>
  </si>
  <si>
    <t>שיעור
מהערך
הנקוב
המונפק</t>
  </si>
  <si>
    <t>ערך שוק/
שווי הוגן/
שווי בספרים</t>
  </si>
  <si>
    <t>שיעור מסך
נכסי
ההשקעה</t>
  </si>
  <si>
    <t>שנים</t>
  </si>
  <si>
    <t>ניירות ערך סחירים</t>
  </si>
  <si>
    <t>סה''כ ניירות ערך סחירים</t>
  </si>
  <si>
    <t>סה''כ ניירות ערך לא סחירים</t>
  </si>
  <si>
    <t>קסם ETF ביטוח מניות והמירים</t>
  </si>
  <si>
    <t>קסם SP500 ETF</t>
  </si>
  <si>
    <t>ריט 1 אגח ד</t>
  </si>
  <si>
    <t>ריט 1 אגח ו</t>
  </si>
  <si>
    <t>שווי
עסקאות
הרכישה
באלפי ש''ח</t>
  </si>
  <si>
    <t>שווי
עסקאות
המכירה(-)
באלפי ש''ח</t>
  </si>
  <si>
    <t>ב. מניות וניירות ערך אחרים</t>
  </si>
  <si>
    <t>תאריך</t>
  </si>
  <si>
    <t>שווי
העסקה
הרכישה/מכירה</t>
  </si>
  <si>
    <t>מעלות</t>
  </si>
  <si>
    <t>AA</t>
  </si>
  <si>
    <t>שער
בורסה
בסוף יום
המסחר</t>
  </si>
  <si>
    <t>שער
העיסקה</t>
  </si>
  <si>
    <t>שווי
העיסקה
רכישה/
מכירה</t>
  </si>
  <si>
    <t>סה''כ היקף עסקאות מול כל הצדדים הקשורים</t>
  </si>
  <si>
    <t>תאריך הנפקה</t>
  </si>
  <si>
    <t>שווי
עסקת
הרכישה</t>
  </si>
  <si>
    <t>מידרוג</t>
  </si>
  <si>
    <t>פניקס</t>
  </si>
  <si>
    <t>ריט 1 אגח ה</t>
  </si>
  <si>
    <t>סה''כ היקף עסקאות לצורך רכישה או מכירה של ני''ע ריט 1</t>
  </si>
  <si>
    <t>מספר 
נייר ערך</t>
  </si>
  <si>
    <t>יתרות
השקעות
לסוף התקופה</t>
  </si>
  <si>
    <t>באלפי ₪</t>
  </si>
  <si>
    <t>עסקאות שבוצעו
בבורסה, בבורסת חוץ
או שוק מוסדר
לרכישת או מכירת ני''ע של צד קשור</t>
  </si>
  <si>
    <t>ב. ניירות ערך לא סחירים</t>
  </si>
  <si>
    <t>(2) מניות וניירות ערך אחרים</t>
  </si>
  <si>
    <t>THE PHOENIX ANCHOR LP</t>
  </si>
  <si>
    <t>PHOENIX ANCHOR L.P. USD K</t>
  </si>
  <si>
    <t>א. ניירות ערך סחירים</t>
  </si>
  <si>
    <t>(1) אגרות חוב קונצרניות סחירות</t>
  </si>
  <si>
    <t>(1) אגרות חוב קונצרניות לא סחירות</t>
  </si>
  <si>
    <t>הפניקס אחזקות בע''מ</t>
  </si>
  <si>
    <t>נתיבים אג''ח בע''מ</t>
  </si>
  <si>
    <t>אקסלנס נשואה חיתום (1993) בע''מ</t>
  </si>
  <si>
    <t>סה''כ השקעה ב- THE PHOENIX ANCHOR LP</t>
  </si>
  <si>
    <t>סה''כ השקעה ב-נתיבים אג''ח בע''מ</t>
  </si>
  <si>
    <t>קסם קרנות נאמנות בע''מ</t>
  </si>
  <si>
    <t>סה''כ השקעה ב-קסם קרנות נאמנות בע''מ</t>
  </si>
  <si>
    <t>סה''כ השקעה ב- ריט 1</t>
  </si>
  <si>
    <t>סה''כ השקעה בכל הצדדים הקשורים</t>
  </si>
  <si>
    <t>סה''כ היקף עסקאות לצורך רכישה או מכירה של ני''ע הפניקס אחזקות בע''מ</t>
  </si>
  <si>
    <t>סה''כ היקף עסקאות לצורך רכישה או מכירה של ני''ע קסם קרנות נאמנות בע''מ</t>
  </si>
  <si>
    <t>סה''כ רכישות</t>
  </si>
  <si>
    <t/>
  </si>
  <si>
    <t>קסם ETF כשרה ת"א 125</t>
  </si>
  <si>
    <t>קסם ETF ת"א 90</t>
  </si>
  <si>
    <t>נתיבים אגח א-רמ 04.07.27</t>
  </si>
  <si>
    <t>סה''כ היקף עסקאות מול נתיבים אג''ח בע''מ</t>
  </si>
  <si>
    <t>קסם קרנות נאמנות בע"מ</t>
  </si>
  <si>
    <t>קסם ETF ת"א 125</t>
  </si>
  <si>
    <t>קסם ETF ת"א SME60</t>
  </si>
  <si>
    <t>גמא ניהול וסליקה בע"מ</t>
  </si>
  <si>
    <t>גמא אגח א</t>
  </si>
  <si>
    <t>AA-</t>
  </si>
  <si>
    <t>גמא ניהול</t>
  </si>
  <si>
    <t>סה''כ השקעה ב- גמא ניהול וסליקה בע"מ</t>
  </si>
  <si>
    <t>הפניקס אחזקות בע"מ</t>
  </si>
  <si>
    <t>נתיבים אג"ח בע"מ</t>
  </si>
  <si>
    <t>קידום</t>
  </si>
  <si>
    <t>ד. הלוואות</t>
  </si>
  <si>
    <t>(1) מובטחות</t>
  </si>
  <si>
    <t>אג"ח קידום 28 3.25% פריים 20.11.21 (הלמן אלדובי)</t>
  </si>
  <si>
    <t>אג"ח קידום 29 3.25% פריים 20.01.22 (הלמן אלדובי)</t>
  </si>
  <si>
    <t>אג"ח קידום 30 3.25% פריים 20.05.22 (הלמן אלדובי)</t>
  </si>
  <si>
    <t>אג"ח קידום 31 3.25% פריים 20.07.22 (הלמן אלדובי)</t>
  </si>
  <si>
    <t>אג"ח קידום 32 3.25% פריים 20.11.22 (הלמן אלדובי)</t>
  </si>
  <si>
    <t>אג"ח קידום 33 3.25% פריים 20.07.23 (הלמן אלדובי)</t>
  </si>
  <si>
    <t>אג"ח קידום 34 3.25% פריים 20.09.23 (הלמן אלדובי)</t>
  </si>
  <si>
    <t>אג"ח קידום 35 3.25% פריים 20.12.23 (הלמן אלדובי)</t>
  </si>
  <si>
    <t>אג"ח קידום 36 3.25% פריים 20.11.24 (הלמן אלדובי)</t>
  </si>
  <si>
    <t>אג"ח קידום 37 2.35% פריים 20.11.24 (הלמן אלדובי)</t>
  </si>
  <si>
    <t>סה"כ הלוואות</t>
  </si>
  <si>
    <t>סה"כ הלוואות בקידום</t>
  </si>
  <si>
    <t>קסם ETF כשרה תלבונד 60</t>
  </si>
  <si>
    <t>קסם ETF כשרה תלבונד שקלי</t>
  </si>
  <si>
    <t>קסם ETF תל בונד תשו</t>
  </si>
  <si>
    <t>קסם ETF תלבונד 20</t>
  </si>
  <si>
    <t>קסם ETF תלבונד 60</t>
  </si>
  <si>
    <t>קסם ETF תלבונד צ בנק</t>
  </si>
  <si>
    <t>קסם ETF תלבונד צ יתר</t>
  </si>
  <si>
    <t>קסם ETF תלבונד שקלי</t>
  </si>
  <si>
    <t>קסם iBoxx US Liquid Investment Grade Top 30 (0D) E</t>
  </si>
  <si>
    <t>1098920</t>
  </si>
  <si>
    <t>ריט 1 אגח ז</t>
  </si>
  <si>
    <t>הפניקס גיוסי הון (2009) בע"מ</t>
  </si>
  <si>
    <t>א. אגרות חוב קונצרניות סחירות</t>
  </si>
  <si>
    <t>פניקס הון אגח ח</t>
  </si>
  <si>
    <t>פניקס הון אגח יא</t>
  </si>
  <si>
    <t>פניקס הון אג י</t>
  </si>
  <si>
    <t>סה''כ היקף עסקאות לצורך רכישה או מכירה של ני''ע הפניקס גיוסי הון (2009) בע"מ</t>
  </si>
  <si>
    <t>קסם MSCI EM ETF</t>
  </si>
  <si>
    <t>קסם Nikkei225 ETF</t>
  </si>
  <si>
    <t>קסם S&amp;P 500 (4A) ETF מנוטרלת מט"ח</t>
  </si>
  <si>
    <t>קסם STOXX Europe 600 (4A) ETF מנוטרלת אירו</t>
  </si>
  <si>
    <t>קסם MSCI ACWorld ETF</t>
  </si>
  <si>
    <t>קסם EU Stox Div30 ETF</t>
  </si>
  <si>
    <t>סה''כ היקף עסקאות לצורך רכישה או מכירה של ני''ע גמא ניהול וסליקה  בע''מ</t>
  </si>
  <si>
    <t>סה''כ היקף עסקאות לצורך רכישה או מכירה של ני''ע גמא של כל הצדדים הקשורים</t>
  </si>
  <si>
    <t>גמא אגח א 1.34% שקלי 30.09.22</t>
  </si>
  <si>
    <t>סה''כ היקף עסקאות מול גמא ניהול וסליקה הע"מ בע''מ</t>
  </si>
  <si>
    <t>הפניקס אג"ח 5  אחזקות</t>
  </si>
  <si>
    <t>קסם ETF צמודות מדד ממשלתיות 2-5 שנים</t>
  </si>
  <si>
    <t>קסם ETF שקליות ריבית קבועה ממשלתיות 2-5 שנים</t>
  </si>
  <si>
    <t>קסם ETF שקליות ריבית קבועה ממשלתיות 5+ שנים</t>
  </si>
  <si>
    <t>קסם ETF צמודות מדד ממשלתיות 5-10 שנים</t>
  </si>
  <si>
    <t>`</t>
  </si>
  <si>
    <t>אפי נכסים אגח יג</t>
  </si>
  <si>
    <t>א. ניירות ערך לא סחירים</t>
  </si>
  <si>
    <t>אפי נכסים</t>
  </si>
  <si>
    <t>13/07/2021</t>
  </si>
  <si>
    <t>סה''כ השקעה ב- הפניקס אחזקות בע"מ</t>
  </si>
  <si>
    <t>נספח 1 - צדדים קשורים - יתרות ועיסקאות לשנה המסתיימת ביום 31/12/2021</t>
  </si>
  <si>
    <t>הפניקס  פנסיה וגמל בע"מ</t>
  </si>
  <si>
    <t>סנונית</t>
  </si>
  <si>
    <t>תחילת מידע טבלה</t>
  </si>
  <si>
    <t>גבול שמאלי של המסמך</t>
  </si>
  <si>
    <t>גבול מידע טבלה צד שמאל</t>
  </si>
  <si>
    <t>סוף מידע טבלה</t>
  </si>
  <si>
    <t>נספח 2 - צדדים קשורים - יתרות השקעה לשנה המסתיימת ביום 31/12/2021</t>
  </si>
  <si>
    <r>
      <t>נספח 3א - צדדים קשורים - עיסקאות שבוצעו בבורסה, בבורסת חוץ או שוק מוסדר לרכישת או מכירת ני"ע סחירים</t>
    </r>
    <r>
      <rPr>
        <b/>
        <sz val="11"/>
        <color rgb="FF000000"/>
        <rFont val="Ariel"/>
        <family val="2"/>
      </rPr>
      <t xml:space="preserve"> של צד קשור לשנה המסתיימת ביום 31/12/2021</t>
    </r>
  </si>
  <si>
    <r>
      <t xml:space="preserve">הפניקס </t>
    </r>
    <r>
      <rPr>
        <b/>
        <sz val="11"/>
        <color rgb="FF000000"/>
        <rFont val="Arial"/>
        <family val="2"/>
      </rPr>
      <t>פנסיה וגמל בע"מ</t>
    </r>
  </si>
  <si>
    <t>נספח 3ב - צדדים קשורים - עסקאות שבוצעו לצורך השקעה בנכסים לא סחירים של צד קשור לשנה המסתיימת ביום 31/12/2021</t>
  </si>
  <si>
    <r>
      <t>נספח 3ג - צדדים קשורים - עסקאות מחוץ</t>
    </r>
    <r>
      <rPr>
        <b/>
        <sz val="11"/>
        <color rgb="FF000000"/>
        <rFont val="Ariel"/>
        <family val="2"/>
      </rPr>
      <t xml:space="preserve"> לבורסה, עסקאות מתואמות בבורסה ועסקאות בנכסים אחרים לא סחירים שבוצעו מול צדדים קשורים לשנה המסתיימת ביום 31/12/2021</t>
    </r>
  </si>
  <si>
    <t>הפניקס פנסיה וגמל בע"מ</t>
  </si>
  <si>
    <t>נספח 4 - רכישת נייר ערך בהנפקות באמצעות חתם קשור או באמצעות צד קשור ששיווק את ההנפקה לשנה המסתיימת ביום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</si>
</sst>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0.000%"/>
    <numFmt numFmtId="167" formatCode="#,##0.0"/>
    <numFmt numFmtId="168" formatCode="#,##0_ ;\-#,##0\ "/>
  </numFmts>
  <fonts count="10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name val="Tahoma"/>
      <family val="2"/>
    </font>
    <font>
      <sz val="11"/>
      <color theme="0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Arie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theme="4" tint="0.79998"/>
      </top>
      <bottom style="thin">
        <color theme="4" tint="0.79998"/>
      </bottom>
    </border>
    <border>
      <left/>
      <right/>
      <top style="thin">
        <color auto="1"/>
      </top>
      <bottom/>
    </border>
    <border>
      <left/>
      <right/>
      <top style="thin">
        <color theme="4" tint="0.79998"/>
      </top>
      <bottom style="thin">
        <color theme="4"/>
      </bottom>
    </border>
    <border>
      <left/>
      <right/>
      <top style="thin">
        <color theme="4" tint="0.79998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/>
    <xf numFmtId="10" fontId="0" fillId="0" borderId="0" xfId="15" applyNumberFormat="1" applyFont="1"/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right"/>
    </xf>
    <xf numFmtId="10" fontId="0" fillId="0" borderId="0" xfId="15" applyNumberFormat="1" applyFont="1" applyAlignment="1">
      <alignment horizontal="right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43" fontId="0" fillId="0" borderId="0" xfId="18" applyFont="1" applyAlignment="1">
      <alignment horizontal="right"/>
    </xf>
    <xf numFmtId="164" fontId="0" fillId="0" borderId="0" xfId="18" applyNumberFormat="1" applyFont="1"/>
    <xf numFmtId="0" fontId="2" fillId="0" borderId="1" xfId="0" applyFont="1" applyBorder="1" applyAlignment="1">
      <alignment horizontal="right" vertical="center"/>
    </xf>
    <xf numFmtId="0" fontId="2" fillId="0" borderId="0" xfId="0" applyFont="1" applyBorder="1" applyAlignment="1">
      <alignment horizontal="right" indent="1"/>
    </xf>
    <xf numFmtId="0" fontId="2" fillId="0" borderId="0" xfId="0" applyFont="1" applyBorder="1" applyAlignment="1">
      <alignment horizontal="right" indent="2"/>
    </xf>
    <xf numFmtId="0" fontId="2" fillId="0" borderId="0" xfId="0" applyFont="1" applyBorder="1" applyAlignment="1">
      <alignment horizontal="right" indent="3"/>
    </xf>
    <xf numFmtId="0" fontId="2" fillId="0" borderId="0" xfId="0" applyFont="1" applyBorder="1" applyAlignment="1">
      <alignment horizontal="right" indent="4"/>
    </xf>
    <xf numFmtId="0" fontId="0" fillId="0" borderId="0" xfId="0" applyBorder="1" applyAlignment="1">
      <alignment horizontal="right" indent="5"/>
    </xf>
    <xf numFmtId="0" fontId="2" fillId="0" borderId="0" xfId="0" applyFont="1"/>
    <xf numFmtId="0" fontId="0" fillId="0" borderId="2" xfId="0" applyFont="1" applyBorder="1"/>
    <xf numFmtId="43" fontId="0" fillId="0" borderId="2" xfId="0" applyNumberFormat="1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3" fontId="0" fillId="0" borderId="0" xfId="0" applyNumberFormat="1"/>
    <xf numFmtId="0" fontId="2" fillId="0" borderId="0" xfId="0" applyFont="1" applyBorder="1" applyAlignment="1">
      <alignment/>
    </xf>
    <xf numFmtId="3" fontId="2" fillId="0" borderId="1" xfId="0" applyNumberFormat="1" applyFont="1" applyBorder="1" applyAlignment="1">
      <alignment horizontal="center" vertical="center" wrapText="1"/>
    </xf>
    <xf numFmtId="3" fontId="0" fillId="0" borderId="0" xfId="18" applyNumberFormat="1" applyFont="1" applyAlignment="1">
      <alignment horizontal="right"/>
    </xf>
    <xf numFmtId="3" fontId="0" fillId="0" borderId="0" xfId="18" applyNumberFormat="1" applyFont="1"/>
    <xf numFmtId="3" fontId="2" fillId="0" borderId="0" xfId="18" applyNumberFormat="1" applyFont="1"/>
    <xf numFmtId="3" fontId="2" fillId="0" borderId="3" xfId="18" applyNumberFormat="1" applyFont="1" applyBorder="1"/>
    <xf numFmtId="0" fontId="2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Border="1" applyAlignment="1">
      <alignment horizontal="right" indent="3" readingOrder="2"/>
    </xf>
    <xf numFmtId="164" fontId="0" fillId="0" borderId="0" xfId="18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/>
    </xf>
    <xf numFmtId="10" fontId="2" fillId="0" borderId="0" xfId="15" applyNumberFormat="1" applyFont="1" applyAlignment="1">
      <alignment horizontal="right"/>
    </xf>
    <xf numFmtId="0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0" borderId="0" xfId="0" applyFont="1"/>
    <xf numFmtId="164" fontId="4" fillId="0" borderId="0" xfId="0" applyNumberFormat="1" applyFont="1" applyAlignment="1">
      <alignment horizontal="right"/>
    </xf>
    <xf numFmtId="10" fontId="4" fillId="0" borderId="0" xfId="15" applyNumberFormat="1" applyFont="1" applyAlignment="1">
      <alignment horizontal="right"/>
    </xf>
    <xf numFmtId="4" fontId="4" fillId="0" borderId="0" xfId="0" applyNumberFormat="1" applyFont="1"/>
    <xf numFmtId="10" fontId="0" fillId="0" borderId="0" xfId="0" applyNumberFormat="1"/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4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0" fontId="0" fillId="0" borderId="0" xfId="0" applyNumberFormat="1" applyFont="1" applyAlignment="1">
      <alignment horizontal="right"/>
    </xf>
    <xf numFmtId="0" fontId="0" fillId="0" borderId="0" xfId="0" applyBorder="1" applyAlignment="1">
      <alignment horizontal="center"/>
    </xf>
    <xf numFmtId="10" fontId="3" fillId="0" borderId="0" xfId="15" applyNumberFormat="1" applyFont="1" applyAlignment="1">
      <alignment horizontal="right"/>
    </xf>
    <xf numFmtId="10" fontId="5" fillId="0" borderId="0" xfId="15" applyNumberFormat="1" applyFont="1" applyAlignment="1">
      <alignment horizontal="right"/>
    </xf>
    <xf numFmtId="10" fontId="0" fillId="0" borderId="0" xfId="15" applyNumberFormat="1" applyFont="1" applyAlignment="1">
      <alignment horizontal="right"/>
    </xf>
    <xf numFmtId="166" fontId="0" fillId="0" borderId="0" xfId="15" applyNumberFormat="1" applyFont="1" applyAlignment="1">
      <alignment horizontal="right"/>
    </xf>
    <xf numFmtId="10" fontId="0" fillId="0" borderId="2" xfId="0" applyNumberFormat="1" applyFont="1" applyBorder="1"/>
    <xf numFmtId="167" fontId="0" fillId="0" borderId="2" xfId="0" applyNumberFormat="1" applyFont="1" applyBorder="1"/>
    <xf numFmtId="10" fontId="0" fillId="0" borderId="5" xfId="0" applyNumberFormat="1" applyFont="1" applyBorder="1"/>
    <xf numFmtId="0" fontId="0" fillId="0" borderId="0" xfId="0" applyFont="1" applyAlignment="1">
      <alignment horizontal="center"/>
    </xf>
    <xf numFmtId="43" fontId="0" fillId="0" borderId="0" xfId="18" applyFont="1"/>
    <xf numFmtId="4" fontId="2" fillId="0" borderId="3" xfId="0" applyNumberFormat="1" applyFont="1" applyBorder="1"/>
    <xf numFmtId="4" fontId="2" fillId="0" borderId="0" xfId="0" applyNumberFormat="1" applyFont="1" applyBorder="1"/>
    <xf numFmtId="3" fontId="2" fillId="0" borderId="0" xfId="18" applyNumberFormat="1" applyFont="1" applyBorder="1"/>
    <xf numFmtId="0" fontId="2" fillId="0" borderId="0" xfId="0" applyFont="1" applyAlignment="1">
      <alignment horizontal="right" readingOrder="2"/>
    </xf>
    <xf numFmtId="0" fontId="0" fillId="0" borderId="0" xfId="0" applyNumberFormat="1" applyFill="1"/>
    <xf numFmtId="0" fontId="0" fillId="0" borderId="0" xfId="0" applyFill="1"/>
    <xf numFmtId="3" fontId="2" fillId="0" borderId="3" xfId="0" applyNumberFormat="1" applyFont="1" applyBorder="1"/>
    <xf numFmtId="164" fontId="2" fillId="0" borderId="3" xfId="0" applyNumberFormat="1" applyFont="1" applyBorder="1"/>
    <xf numFmtId="164" fontId="0" fillId="0" borderId="0" xfId="0" applyNumberFormat="1"/>
    <xf numFmtId="3" fontId="2" fillId="0" borderId="6" xfId="0" applyNumberFormat="1" applyFont="1" applyBorder="1"/>
    <xf numFmtId="0" fontId="2" fillId="0" borderId="0" xfId="0" applyFont="1" applyFill="1" applyAlignment="1">
      <alignment horizontal="right" readingOrder="2"/>
    </xf>
    <xf numFmtId="3" fontId="0" fillId="0" borderId="0" xfId="18" applyNumberFormat="1" applyFont="1" applyBorder="1"/>
    <xf numFmtId="3" fontId="0" fillId="0" borderId="0" xfId="15" applyNumberFormat="1" applyFont="1" applyAlignment="1">
      <alignment horizontal="right"/>
    </xf>
    <xf numFmtId="168" fontId="3" fillId="0" borderId="3" xfId="0" applyNumberFormat="1" applyFont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2" fillId="0" borderId="2" xfId="0" applyFont="1" applyBorder="1" applyAlignment="1">
      <alignment horizontal="right"/>
    </xf>
    <xf numFmtId="10" fontId="2" fillId="0" borderId="0" xfId="15" applyNumberFormat="1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 readingOrder="2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8" fillId="0" borderId="0" xfId="0" applyFont="1" applyAlignment="1">
      <alignment horizontal="center" vertical="center" wrapText="1" readingOrder="2"/>
    </xf>
    <xf numFmtId="0" fontId="9" fillId="0" borderId="0" xfId="0" applyFont="1" applyAlignment="1">
      <alignment horizontal="center" vertical="center" readingOrder="2"/>
    </xf>
    <xf numFmtId="0" fontId="7" fillId="0" borderId="0" xfId="0" applyFont="1" applyBorder="1" applyAlignment="1">
      <alignment horizontal="right"/>
    </xf>
    <xf numFmtId="0" fontId="7" fillId="0" borderId="0" xfId="0" applyFont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9</xdr:col>
      <xdr:colOff>838166</xdr:colOff>
      <xdr:row>0</xdr:row>
      <xdr:rowOff>0</xdr:rowOff>
    </xdr:from>
    <xdr:to>
      <xdr:col>9</xdr:col>
      <xdr:colOff>1234440</xdr:colOff>
      <xdr:row>2</xdr:row>
      <xdr:rowOff>30514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458450" y="0"/>
          <a:ext cx="400050" cy="40005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9</xdr:col>
      <xdr:colOff>205740</xdr:colOff>
      <xdr:row>0</xdr:row>
      <xdr:rowOff>7620</xdr:rowOff>
    </xdr:from>
    <xdr:to>
      <xdr:col>9</xdr:col>
      <xdr:colOff>602014</xdr:colOff>
      <xdr:row>2</xdr:row>
      <xdr:rowOff>38134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48800" y="9525"/>
          <a:ext cx="400050" cy="400050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883920</xdr:colOff>
      <xdr:row>0</xdr:row>
      <xdr:rowOff>0</xdr:rowOff>
    </xdr:from>
    <xdr:to>
      <xdr:col>3</xdr:col>
      <xdr:colOff>381034</xdr:colOff>
      <xdr:row>1</xdr:row>
      <xdr:rowOff>45754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29500" y="0"/>
          <a:ext cx="495300" cy="390525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800100</xdr:colOff>
      <xdr:row>0</xdr:row>
      <xdr:rowOff>0</xdr:rowOff>
    </xdr:from>
    <xdr:to>
      <xdr:col>7</xdr:col>
      <xdr:colOff>373414</xdr:colOff>
      <xdr:row>0</xdr:row>
      <xdr:rowOff>396274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20075" y="0"/>
          <a:ext cx="485775" cy="400050"/>
        </a:xfrm>
        <a:prstGeom prst="rect"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586740</xdr:colOff>
      <xdr:row>0</xdr:row>
      <xdr:rowOff>7620</xdr:rowOff>
    </xdr:from>
    <xdr:to>
      <xdr:col>7</xdr:col>
      <xdr:colOff>373414</xdr:colOff>
      <xdr:row>0</xdr:row>
      <xdr:rowOff>403894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00875" y="9525"/>
          <a:ext cx="476250" cy="400050"/>
        </a:xfrm>
        <a:prstGeom prst="rect"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914400</xdr:colOff>
      <xdr:row>0</xdr:row>
      <xdr:rowOff>0</xdr:rowOff>
    </xdr:from>
    <xdr:to>
      <xdr:col>5</xdr:col>
      <xdr:colOff>388654</xdr:colOff>
      <xdr:row>0</xdr:row>
      <xdr:rowOff>396274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48375" y="0"/>
          <a:ext cx="504825" cy="40005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50c35a2-354c-4914-a12c-741865eea30e}">
  <dimension ref="A1:K23"/>
  <sheetViews>
    <sheetView rightToLeft="1" tabSelected="1" workbookViewId="0" topLeftCell="A1">
      <selection pane="topLeft" activeCell="A2" sqref="A2:J2"/>
    </sheetView>
  </sheetViews>
  <sheetFormatPr defaultRowHeight="14.25"/>
  <cols>
    <col min="1" max="1" width="40.625" customWidth="1"/>
    <col min="2" max="2" width="11.625" customWidth="1"/>
    <col min="3" max="3" width="9.125" bestFit="1" customWidth="1"/>
    <col min="4" max="4" width="13.5" bestFit="1" customWidth="1"/>
    <col min="5" max="5" width="14.125" bestFit="1" customWidth="1"/>
    <col min="6" max="6" width="9.875" bestFit="1" customWidth="1"/>
    <col min="7" max="9" width="9.125" bestFit="1" customWidth="1"/>
    <col min="10" max="10" width="18.25" customWidth="1"/>
  </cols>
  <sheetData>
    <row r="1" spans="1:11" ht="15">
      <c r="A1" s="84" t="s">
        <v>142</v>
      </c>
      <c r="B1" s="84"/>
      <c r="C1" s="84"/>
      <c r="D1" s="84"/>
      <c r="E1" s="84"/>
      <c r="F1" s="84"/>
      <c r="G1" s="84"/>
      <c r="H1" s="84"/>
      <c r="I1" s="84"/>
      <c r="J1" s="84"/>
      <c r="K1" s="83" t="s">
        <v>146</v>
      </c>
    </row>
    <row r="2" spans="1:11" ht="14.25">
      <c r="A2" s="85"/>
      <c r="B2" s="85"/>
      <c r="C2" s="85"/>
      <c r="D2" s="85"/>
      <c r="E2" s="85"/>
      <c r="F2" s="85"/>
      <c r="G2" s="85"/>
      <c r="H2" s="85"/>
      <c r="I2" s="85"/>
      <c r="J2" s="85"/>
      <c r="K2" s="83"/>
    </row>
    <row r="3" spans="1:11" ht="15">
      <c r="A3" s="84" t="s">
        <v>143</v>
      </c>
      <c r="B3" s="84"/>
      <c r="C3" s="84"/>
      <c r="D3" s="84"/>
      <c r="E3" s="84"/>
      <c r="F3" s="84"/>
      <c r="G3" s="84"/>
      <c r="H3" s="84"/>
      <c r="I3" s="84"/>
      <c r="J3" s="84"/>
      <c r="K3" s="83"/>
    </row>
    <row r="4" spans="1:11" ht="14.25">
      <c r="A4" s="85"/>
      <c r="B4" s="85"/>
      <c r="C4" s="85"/>
      <c r="D4" s="85"/>
      <c r="E4" s="85"/>
      <c r="F4" s="85"/>
      <c r="G4" s="85"/>
      <c r="H4" s="85"/>
      <c r="I4" s="85"/>
      <c r="J4" s="85"/>
      <c r="K4" s="83"/>
    </row>
    <row r="5" spans="1:11" ht="15">
      <c r="A5" s="84" t="s">
        <v>144</v>
      </c>
      <c r="B5" s="84"/>
      <c r="C5" s="84"/>
      <c r="D5" s="84"/>
      <c r="E5" s="84"/>
      <c r="F5" s="84"/>
      <c r="G5" s="84"/>
      <c r="H5" s="84"/>
      <c r="I5" s="84"/>
      <c r="J5" s="84"/>
      <c r="K5" s="83"/>
    </row>
    <row r="6" spans="1:11" ht="14.25">
      <c r="A6" s="82" t="s">
        <v>145</v>
      </c>
      <c r="B6" s="82"/>
      <c r="C6" s="82"/>
      <c r="D6" s="82"/>
      <c r="E6" s="82"/>
      <c r="F6" s="82"/>
      <c r="G6" s="82"/>
      <c r="H6" s="82"/>
      <c r="I6" s="82"/>
      <c r="J6" s="82"/>
      <c r="K6" s="83"/>
    </row>
    <row r="7" spans="1:11" ht="15">
      <c r="A7" s="1"/>
      <c r="B7" s="1"/>
      <c r="C7" s="1"/>
      <c r="D7" s="86" t="s">
        <v>0</v>
      </c>
      <c r="E7" s="86"/>
      <c r="F7" s="86"/>
      <c r="G7" s="86"/>
      <c r="H7" s="86"/>
      <c r="I7" s="86"/>
      <c r="J7" s="1"/>
      <c r="K7" s="83" t="s">
        <v>147</v>
      </c>
    </row>
    <row r="8" spans="1:11" ht="78" customHeight="1">
      <c r="A8" s="2" t="s">
        <v>1</v>
      </c>
      <c r="B8" s="88" t="s">
        <v>52</v>
      </c>
      <c r="C8" s="88" t="s">
        <v>2</v>
      </c>
      <c r="D8" s="87" t="s">
        <v>54</v>
      </c>
      <c r="E8" s="86"/>
      <c r="F8" s="87" t="s">
        <v>3</v>
      </c>
      <c r="G8" s="86"/>
      <c r="H8" s="87" t="s">
        <v>4</v>
      </c>
      <c r="I8" s="86"/>
      <c r="J8" s="88" t="s">
        <v>5</v>
      </c>
      <c r="K8" s="83"/>
    </row>
    <row r="9" spans="1:11" ht="15">
      <c r="A9" s="23"/>
      <c r="B9" s="88"/>
      <c r="C9" s="88"/>
      <c r="D9" s="1" t="s">
        <v>8</v>
      </c>
      <c r="E9" s="1" t="s">
        <v>9</v>
      </c>
      <c r="F9" s="1" t="s">
        <v>8</v>
      </c>
      <c r="G9" s="1" t="s">
        <v>9</v>
      </c>
      <c r="H9" s="1" t="s">
        <v>8</v>
      </c>
      <c r="I9" s="1" t="s">
        <v>9</v>
      </c>
      <c r="J9" s="88"/>
      <c r="K9" s="83"/>
    </row>
    <row r="10" spans="1:11" ht="15">
      <c r="A10" s="1"/>
      <c r="B10" s="31" t="s">
        <v>53</v>
      </c>
      <c r="C10" s="1" t="s">
        <v>7</v>
      </c>
      <c r="D10" s="86" t="s">
        <v>53</v>
      </c>
      <c r="E10" s="86"/>
      <c r="F10" s="86" t="s">
        <v>53</v>
      </c>
      <c r="G10" s="86"/>
      <c r="H10" s="86" t="s">
        <v>53</v>
      </c>
      <c r="I10" s="86"/>
      <c r="J10" s="31" t="s">
        <v>53</v>
      </c>
      <c r="K10" s="83"/>
    </row>
    <row r="11" spans="1:11" ht="15">
      <c r="A11" s="1"/>
      <c r="B11" s="86" t="s">
        <v>10</v>
      </c>
      <c r="C11" s="86"/>
      <c r="D11" s="86" t="s">
        <v>11</v>
      </c>
      <c r="E11" s="86"/>
      <c r="F11" s="89" t="s">
        <v>12</v>
      </c>
      <c r="G11" s="89"/>
      <c r="H11" s="86" t="s">
        <v>13</v>
      </c>
      <c r="I11" s="86"/>
      <c r="J11" s="1" t="s">
        <v>14</v>
      </c>
      <c r="K11" s="83"/>
    </row>
    <row r="12" spans="1:11" ht="15.75">
      <c r="A12" s="3" t="s">
        <v>57</v>
      </c>
      <c r="B12" s="24">
        <v>598.99213031399995</v>
      </c>
      <c r="C12" s="46">
        <v>0.00068159255384483617</v>
      </c>
      <c r="D12" s="38"/>
      <c r="E12" s="39"/>
      <c r="F12" s="67"/>
      <c r="G12" s="67"/>
      <c r="H12" s="24"/>
      <c r="I12" s="24"/>
      <c r="J12" s="24"/>
      <c r="K12" s="83"/>
    </row>
    <row r="13" spans="1:11" ht="15">
      <c r="A13" s="3" t="s">
        <v>62</v>
      </c>
      <c r="B13" s="24">
        <v>461.34564632799999</v>
      </c>
      <c r="C13" s="46">
        <v>0.00052496475558211288</v>
      </c>
      <c r="D13" s="28">
        <v>0</v>
      </c>
      <c r="E13" s="28">
        <v>-1006.76</v>
      </c>
      <c r="F13" s="28"/>
      <c r="G13" s="24"/>
      <c r="H13" s="24"/>
      <c r="I13" s="24"/>
      <c r="J13" s="24"/>
      <c r="K13" s="83"/>
    </row>
    <row r="14" spans="1:11" ht="15">
      <c r="A14" s="3" t="s">
        <v>115</v>
      </c>
      <c r="B14" s="24"/>
      <c r="C14" s="46"/>
      <c r="D14" s="28">
        <v>0</v>
      </c>
      <c r="E14" s="28">
        <v>-973.29999999999995</v>
      </c>
      <c r="F14" s="28"/>
      <c r="G14" s="24"/>
      <c r="H14" s="24"/>
      <c r="I14" s="24"/>
      <c r="J14" s="24"/>
      <c r="K14" s="83"/>
    </row>
    <row r="15" spans="1:11" ht="15">
      <c r="A15" s="3" t="s">
        <v>63</v>
      </c>
      <c r="B15" s="24">
        <v>146.69278430199998</v>
      </c>
      <c r="C15" s="46">
        <v>0.00016692157446308436</v>
      </c>
      <c r="D15" s="28"/>
      <c r="E15" s="28"/>
      <c r="F15" s="28"/>
      <c r="G15" s="24">
        <v>-108.67</v>
      </c>
      <c r="H15" s="28"/>
      <c r="I15" s="28"/>
      <c r="J15" s="28"/>
      <c r="K15" s="83"/>
    </row>
    <row r="16" spans="1:11" ht="15">
      <c r="A16" s="3" t="s">
        <v>67</v>
      </c>
      <c r="B16" s="24">
        <v>2760.0013273450004</v>
      </c>
      <c r="C16" s="46">
        <v>0.0031406027861068347</v>
      </c>
      <c r="D16" s="28">
        <v>990.88000000000011</v>
      </c>
      <c r="E16" s="28">
        <v>-6516.2399999999998</v>
      </c>
      <c r="F16" s="28"/>
      <c r="G16" s="24"/>
      <c r="H16" s="28"/>
      <c r="I16" s="28"/>
      <c r="J16" s="28"/>
      <c r="K16" s="83"/>
    </row>
    <row r="17" spans="1:11" ht="15">
      <c r="A17" s="3" t="s">
        <v>89</v>
      </c>
      <c r="B17" s="24">
        <v>60.917460000000005</v>
      </c>
      <c r="C17" s="46">
        <v>6.9317917604985621E-05</v>
      </c>
      <c r="D17" s="28"/>
      <c r="E17" s="28"/>
      <c r="F17" s="28"/>
      <c r="G17" s="24"/>
      <c r="H17" s="28"/>
      <c r="I17" s="28"/>
      <c r="J17" s="28"/>
      <c r="K17" s="83"/>
    </row>
    <row r="18" spans="1:11" ht="15">
      <c r="A18" s="3" t="s">
        <v>15</v>
      </c>
      <c r="B18" s="24">
        <v>1457.3010918760001</v>
      </c>
      <c r="C18" s="46">
        <v>0.0016582614740062397</v>
      </c>
      <c r="D18" s="28">
        <v>27.77</v>
      </c>
      <c r="E18" s="28">
        <v>-466.31</v>
      </c>
      <c r="F18" s="28"/>
      <c r="G18" s="24"/>
      <c r="H18" s="28"/>
      <c r="I18" s="28"/>
      <c r="K18" s="83"/>
    </row>
    <row r="19" spans="1:11" ht="15">
      <c r="A19" s="3" t="s">
        <v>82</v>
      </c>
      <c r="B19" s="24">
        <v>144.66119737299999</v>
      </c>
      <c r="C19" s="46">
        <v>0.00016460983370186766</v>
      </c>
      <c r="D19" s="28">
        <v>28.09</v>
      </c>
      <c r="E19" s="28">
        <v>0</v>
      </c>
      <c r="F19" s="28"/>
      <c r="G19" s="24">
        <v>-218</v>
      </c>
      <c r="H19" s="28"/>
      <c r="I19" s="28"/>
      <c r="K19" s="83"/>
    </row>
    <row r="20" spans="1:11" ht="15.75">
      <c r="A20" s="3" t="s">
        <v>64</v>
      </c>
      <c r="B20" s="24"/>
      <c r="C20" s="46"/>
      <c r="D20" s="28"/>
      <c r="E20" s="28"/>
      <c r="F20" s="28"/>
      <c r="G20" s="24"/>
      <c r="H20" s="28"/>
      <c r="I20" s="28"/>
      <c r="J20" s="53">
        <v>47.805687420000005</v>
      </c>
      <c r="K20" s="83"/>
    </row>
    <row r="21" spans="1:11" ht="15">
      <c r="A21" s="3"/>
      <c r="K21" s="83"/>
    </row>
    <row r="22" spans="1:11" ht="18">
      <c r="A22" s="45" t="s">
        <v>16</v>
      </c>
      <c r="B22" s="32">
        <f>SUM(B12:B20)</f>
        <v>5629.9116375379999</v>
      </c>
      <c r="C22" s="81">
        <f>SUM(C12:C19)</f>
        <v>0.0064062708953099611</v>
      </c>
      <c r="D22" s="32">
        <v>1046.74</v>
      </c>
      <c r="E22" s="32">
        <v>-8962.6099999999988</v>
      </c>
      <c r="F22" s="32">
        <v>0</v>
      </c>
      <c r="G22" s="32">
        <v>-326.67000000000002</v>
      </c>
      <c r="H22" s="32">
        <v>0</v>
      </c>
      <c r="I22" s="32">
        <v>0</v>
      </c>
      <c r="J22" s="32">
        <v>47.805687420000005</v>
      </c>
      <c r="K22" s="83"/>
    </row>
    <row r="23" spans="1:11" ht="14.25">
      <c r="A23" s="82" t="s">
        <v>148</v>
      </c>
      <c r="B23" s="82"/>
      <c r="C23" s="82"/>
      <c r="D23" s="82"/>
      <c r="E23" s="82"/>
      <c r="F23" s="82"/>
      <c r="G23" s="82"/>
      <c r="H23" s="82"/>
      <c r="I23" s="82"/>
      <c r="J23" s="82"/>
      <c r="K23" s="83"/>
    </row>
  </sheetData>
  <mergeCells count="23">
    <mergeCell ref="J8:J9"/>
    <mergeCell ref="C8:C9"/>
    <mergeCell ref="B8:B9"/>
    <mergeCell ref="B11:C11"/>
    <mergeCell ref="D11:E11"/>
    <mergeCell ref="F11:G11"/>
    <mergeCell ref="H11:I11"/>
    <mergeCell ref="A6:J6"/>
    <mergeCell ref="K1:K6"/>
    <mergeCell ref="K7:K23"/>
    <mergeCell ref="A23:J23"/>
    <mergeCell ref="A1:J1"/>
    <mergeCell ref="A3:J3"/>
    <mergeCell ref="A5:J5"/>
    <mergeCell ref="A4:J4"/>
    <mergeCell ref="A2:J2"/>
    <mergeCell ref="D7:I7"/>
    <mergeCell ref="D8:E8"/>
    <mergeCell ref="F8:G8"/>
    <mergeCell ref="H8:I8"/>
    <mergeCell ref="D10:E10"/>
    <mergeCell ref="F10:G10"/>
    <mergeCell ref="H10:I10"/>
  </mergeCells>
  <pageMargins left="0.7" right="0.7" top="0.75" bottom="0.75" header="0.3" footer="0.3"/>
  <pageSetup horizontalDpi="1200" verticalDpi="1200" orientation="portrait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7bd2442-fafe-4bb3-b639-92da048c1e55}">
  <dimension ref="A1:K110"/>
  <sheetViews>
    <sheetView rightToLeft="1" workbookViewId="0" topLeftCell="A1">
      <pane ySplit="8" topLeftCell="A96" activePane="bottomLeft" state="frozen"/>
      <selection pane="topLeft" activeCell="A90" sqref="A90"/>
      <selection pane="bottomLeft" activeCell="A110" sqref="A110:J110"/>
    </sheetView>
  </sheetViews>
  <sheetFormatPr defaultRowHeight="14.25"/>
  <cols>
    <col min="1" max="1" width="43.875" bestFit="1" customWidth="1"/>
    <col min="2" max="2" width="9.875" bestFit="1" customWidth="1"/>
    <col min="9" max="9" width="13.5" bestFit="1" customWidth="1"/>
  </cols>
  <sheetData>
    <row r="1" spans="1:11" ht="15">
      <c r="A1" s="84" t="s">
        <v>149</v>
      </c>
      <c r="B1" s="84"/>
      <c r="C1" s="84"/>
      <c r="D1" s="84"/>
      <c r="E1" s="84"/>
      <c r="F1" s="84"/>
      <c r="G1" s="84"/>
      <c r="H1" s="84"/>
      <c r="I1" s="84"/>
      <c r="J1" s="84"/>
      <c r="K1" s="83" t="s">
        <v>146</v>
      </c>
    </row>
    <row r="2" spans="1:11" ht="14.25">
      <c r="A2" s="85"/>
      <c r="B2" s="85"/>
      <c r="C2" s="85"/>
      <c r="D2" s="85"/>
      <c r="E2" s="85"/>
      <c r="F2" s="85"/>
      <c r="G2" s="85"/>
      <c r="H2" s="85"/>
      <c r="I2" s="85"/>
      <c r="J2" s="85"/>
      <c r="K2" s="83"/>
    </row>
    <row r="3" spans="1:11" ht="15">
      <c r="A3" s="84" t="s">
        <v>143</v>
      </c>
      <c r="B3" s="84"/>
      <c r="C3" s="84"/>
      <c r="D3" s="84"/>
      <c r="E3" s="84"/>
      <c r="F3" s="84"/>
      <c r="G3" s="84"/>
      <c r="H3" s="84"/>
      <c r="I3" s="84"/>
      <c r="J3" s="84"/>
      <c r="K3" s="83"/>
    </row>
    <row r="4" spans="1:11" ht="14.25">
      <c r="A4" s="85"/>
      <c r="B4" s="85"/>
      <c r="C4" s="85"/>
      <c r="D4" s="85"/>
      <c r="E4" s="85"/>
      <c r="F4" s="85"/>
      <c r="G4" s="85"/>
      <c r="H4" s="85"/>
      <c r="I4" s="85"/>
      <c r="J4" s="85"/>
      <c r="K4" s="83"/>
    </row>
    <row r="5" spans="1:11" ht="15">
      <c r="A5" s="84" t="s">
        <v>144</v>
      </c>
      <c r="B5" s="84"/>
      <c r="C5" s="84"/>
      <c r="D5" s="84"/>
      <c r="E5" s="84"/>
      <c r="F5" s="84"/>
      <c r="G5" s="84"/>
      <c r="H5" s="84"/>
      <c r="I5" s="84"/>
      <c r="J5" s="84"/>
      <c r="K5" s="83"/>
    </row>
    <row r="6" spans="1:11" ht="14.25">
      <c r="A6" s="82" t="s">
        <v>145</v>
      </c>
      <c r="B6" s="82"/>
      <c r="C6" s="82"/>
      <c r="D6" s="82"/>
      <c r="E6" s="82"/>
      <c r="F6" s="82"/>
      <c r="G6" s="82"/>
      <c r="H6" s="82"/>
      <c r="I6" s="82"/>
      <c r="J6" s="82"/>
      <c r="K6" s="83"/>
    </row>
    <row r="7" spans="1:11" ht="60">
      <c r="A7" s="33"/>
      <c r="B7" s="34" t="s">
        <v>17</v>
      </c>
      <c r="C7" s="33" t="s">
        <v>18</v>
      </c>
      <c r="D7" s="34" t="s">
        <v>19</v>
      </c>
      <c r="E7" s="34" t="s">
        <v>20</v>
      </c>
      <c r="F7" s="33" t="s">
        <v>21</v>
      </c>
      <c r="G7" s="34" t="s">
        <v>22</v>
      </c>
      <c r="H7" s="34" t="s">
        <v>23</v>
      </c>
      <c r="I7" s="34" t="s">
        <v>24</v>
      </c>
      <c r="J7" s="5" t="s">
        <v>25</v>
      </c>
      <c r="K7" s="83" t="s">
        <v>147</v>
      </c>
    </row>
    <row r="8" spans="1:11" ht="15">
      <c r="A8" s="33"/>
      <c r="B8" s="33"/>
      <c r="C8" s="33"/>
      <c r="D8" s="33"/>
      <c r="E8" s="33" t="s">
        <v>7</v>
      </c>
      <c r="F8" s="33" t="s">
        <v>26</v>
      </c>
      <c r="G8" s="33" t="s">
        <v>7</v>
      </c>
      <c r="H8" s="33" t="s">
        <v>7</v>
      </c>
      <c r="I8" s="33" t="s">
        <v>6</v>
      </c>
      <c r="J8" s="6" t="s">
        <v>7</v>
      </c>
      <c r="K8" s="83"/>
    </row>
    <row r="9" spans="1:11" ht="15">
      <c r="A9" s="19" t="s">
        <v>57</v>
      </c>
      <c r="B9" s="7"/>
      <c r="C9" s="7"/>
      <c r="D9" s="7"/>
      <c r="E9" s="7"/>
      <c r="F9" s="7"/>
      <c r="G9" s="7"/>
      <c r="H9" s="7"/>
      <c r="I9" s="37"/>
      <c r="J9" s="7"/>
      <c r="K9" s="83"/>
    </row>
    <row r="10" spans="1:11" ht="15">
      <c r="A10" s="15" t="s">
        <v>55</v>
      </c>
      <c r="B10" s="7"/>
      <c r="C10" s="7"/>
      <c r="D10" s="7"/>
      <c r="E10" s="7"/>
      <c r="F10" s="7"/>
      <c r="G10" s="7"/>
      <c r="H10" s="7"/>
      <c r="I10" s="37"/>
      <c r="J10" s="7"/>
      <c r="K10" s="83"/>
    </row>
    <row r="11" spans="1:11" ht="15">
      <c r="A11" s="35" t="s">
        <v>56</v>
      </c>
      <c r="B11" s="7"/>
      <c r="C11" s="7"/>
      <c r="D11" s="7"/>
      <c r="E11" s="7"/>
      <c r="F11" s="7"/>
      <c r="G11" s="7"/>
      <c r="H11" s="7"/>
      <c r="I11" s="37"/>
      <c r="J11" s="7"/>
      <c r="K11" s="83"/>
    </row>
    <row r="12" spans="1:11" ht="14.25">
      <c r="A12" s="7"/>
      <c r="B12" s="7"/>
      <c r="C12" s="7"/>
      <c r="D12" s="7"/>
      <c r="E12" s="8"/>
      <c r="F12" s="7"/>
      <c r="G12" s="8"/>
      <c r="H12" s="8"/>
      <c r="I12" s="36"/>
      <c r="J12" s="8"/>
      <c r="K12" s="83"/>
    </row>
    <row r="13" spans="1:11" ht="14.25">
      <c r="A13" s="51" t="s">
        <v>58</v>
      </c>
      <c r="B13" s="40">
        <v>76176445</v>
      </c>
      <c r="C13" s="7"/>
      <c r="D13" s="7"/>
      <c r="E13" s="7"/>
      <c r="F13" s="7"/>
      <c r="G13" s="7"/>
      <c r="H13" s="8">
        <v>0</v>
      </c>
      <c r="I13" s="36">
        <v>598.99213031399995</v>
      </c>
      <c r="J13" s="8">
        <v>0.00068159255384483617</v>
      </c>
      <c r="K13" s="83"/>
    </row>
    <row r="14" spans="1:11" ht="15.75">
      <c r="A14" s="7"/>
      <c r="B14" s="7"/>
      <c r="C14" s="7"/>
      <c r="D14" s="7"/>
      <c r="E14" s="7"/>
      <c r="F14" s="7"/>
      <c r="G14" s="7"/>
      <c r="H14" s="7"/>
      <c r="I14" s="38"/>
      <c r="J14" s="39"/>
      <c r="K14" s="83"/>
    </row>
    <row r="15" spans="1:11" ht="15.75">
      <c r="A15" s="16" t="s">
        <v>29</v>
      </c>
      <c r="B15" s="7"/>
      <c r="C15" s="7"/>
      <c r="D15" s="7"/>
      <c r="E15" s="4"/>
      <c r="F15" s="7"/>
      <c r="G15" s="7"/>
      <c r="H15" s="7"/>
      <c r="I15" s="38">
        <v>598.99213031399995</v>
      </c>
      <c r="J15" s="39">
        <v>0.00068159255384483617</v>
      </c>
      <c r="K15" s="83"/>
    </row>
    <row r="16" spans="1:11" ht="15.75">
      <c r="A16" s="16"/>
      <c r="B16" s="7"/>
      <c r="C16" s="7"/>
      <c r="D16" s="7"/>
      <c r="E16" s="4"/>
      <c r="F16" s="7"/>
      <c r="G16" s="7"/>
      <c r="H16" s="7"/>
      <c r="I16" s="38"/>
      <c r="J16" s="39"/>
      <c r="K16" s="83"/>
    </row>
    <row r="17" spans="1:11" ht="15.75">
      <c r="A17" s="19" t="s">
        <v>65</v>
      </c>
      <c r="B17" s="7"/>
      <c r="C17" s="7"/>
      <c r="D17" s="7"/>
      <c r="E17" s="4"/>
      <c r="F17" s="7"/>
      <c r="G17" s="7"/>
      <c r="H17" s="7"/>
      <c r="I17" s="38">
        <v>598.99213031399995</v>
      </c>
      <c r="J17" s="39">
        <v>0.00068159255384483617</v>
      </c>
      <c r="K17" s="83"/>
    </row>
    <row r="18" spans="1:11" ht="15.75">
      <c r="A18" s="9"/>
      <c r="B18" s="7"/>
      <c r="C18" s="7"/>
      <c r="D18" s="7"/>
      <c r="E18" s="4"/>
      <c r="F18" s="7"/>
      <c r="G18" s="7"/>
      <c r="H18" s="7"/>
      <c r="I18" s="38"/>
      <c r="J18" s="39"/>
      <c r="K18" s="83"/>
    </row>
    <row r="19" spans="1:11" ht="15.75">
      <c r="A19" s="19" t="s">
        <v>82</v>
      </c>
      <c r="B19" s="7"/>
      <c r="C19" s="7"/>
      <c r="D19" s="7"/>
      <c r="E19" s="7"/>
      <c r="F19" s="7"/>
      <c r="G19" s="7"/>
      <c r="H19" s="7"/>
      <c r="I19" s="38"/>
      <c r="J19" s="10"/>
      <c r="K19" s="83"/>
    </row>
    <row r="20" spans="1:11" ht="15.75">
      <c r="A20" s="15" t="s">
        <v>59</v>
      </c>
      <c r="B20" s="7"/>
      <c r="C20" s="7"/>
      <c r="D20" s="7"/>
      <c r="E20" s="7"/>
      <c r="F20" s="7"/>
      <c r="G20" s="7"/>
      <c r="H20" s="7"/>
      <c r="I20" s="38"/>
      <c r="J20" s="10"/>
      <c r="K20" s="83"/>
    </row>
    <row r="21" spans="1:11" ht="15.75">
      <c r="A21" s="35" t="s">
        <v>60</v>
      </c>
      <c r="B21" s="7"/>
      <c r="C21" s="7"/>
      <c r="D21" s="7"/>
      <c r="E21" s="7"/>
      <c r="F21" s="7"/>
      <c r="G21" s="7"/>
      <c r="H21" s="7"/>
      <c r="I21" s="38"/>
      <c r="J21" s="10"/>
      <c r="K21" s="83"/>
    </row>
    <row r="22" spans="1:11" ht="15.75">
      <c r="A22" s="55"/>
      <c r="B22" s="7"/>
      <c r="C22" s="7"/>
      <c r="D22" s="7"/>
      <c r="E22" s="7"/>
      <c r="F22" s="7"/>
      <c r="G22" s="7"/>
      <c r="H22" s="7"/>
      <c r="I22" s="38"/>
      <c r="J22" s="10"/>
      <c r="K22" s="83"/>
    </row>
    <row r="23" spans="1:11" ht="15">
      <c r="A23" s="55" t="s">
        <v>83</v>
      </c>
      <c r="B23" s="40">
        <v>1182583</v>
      </c>
      <c r="C23" s="52" t="s">
        <v>84</v>
      </c>
      <c r="D23" s="52" t="s">
        <v>47</v>
      </c>
      <c r="E23" s="54">
        <v>0.011900000000000001</v>
      </c>
      <c r="F23" s="52">
        <v>0.48999999999999999</v>
      </c>
      <c r="G23" s="52">
        <v>0.011599999999999999</v>
      </c>
      <c r="H23" s="52">
        <v>0.00045583603019702038</v>
      </c>
      <c r="I23" s="53">
        <v>119.30797</v>
      </c>
      <c r="J23" s="57">
        <v>0.00013576042129921528</v>
      </c>
      <c r="K23" s="83"/>
    </row>
    <row r="24" spans="1:11" ht="15.75">
      <c r="A24" s="15"/>
      <c r="B24" s="7"/>
      <c r="C24" s="7"/>
      <c r="D24" s="7"/>
      <c r="E24" s="7"/>
      <c r="F24" s="7"/>
      <c r="G24" s="7"/>
      <c r="H24" s="7"/>
      <c r="I24" s="38"/>
      <c r="J24" s="10"/>
      <c r="K24" s="83"/>
    </row>
    <row r="25" spans="1:11" ht="15">
      <c r="A25" s="35" t="s">
        <v>56</v>
      </c>
      <c r="B25" s="7"/>
      <c r="C25" s="7"/>
      <c r="D25" s="7"/>
      <c r="E25" s="8"/>
      <c r="F25" s="7"/>
      <c r="G25" s="8"/>
      <c r="H25" s="8"/>
      <c r="I25" s="36"/>
      <c r="J25" s="8"/>
      <c r="K25" s="83"/>
    </row>
    <row r="26" spans="1:11" ht="14.25">
      <c r="A26" s="7"/>
      <c r="B26" s="7"/>
      <c r="C26" s="7"/>
      <c r="D26" s="7"/>
      <c r="E26" s="8"/>
      <c r="F26" s="7"/>
      <c r="G26" s="8"/>
      <c r="H26" s="8"/>
      <c r="I26" s="36"/>
      <c r="J26" s="8"/>
      <c r="K26" s="83"/>
    </row>
    <row r="27" spans="1:11" ht="14.25">
      <c r="A27" s="55" t="s">
        <v>85</v>
      </c>
      <c r="B27" s="40">
        <v>1177484</v>
      </c>
      <c r="C27" s="7"/>
      <c r="D27" s="7"/>
      <c r="E27" s="8"/>
      <c r="F27" s="7"/>
      <c r="G27" s="8"/>
      <c r="H27" s="8">
        <v>3.2919938127406922E-05</v>
      </c>
      <c r="I27" s="36">
        <v>25.353227373000003</v>
      </c>
      <c r="J27" s="8">
        <v>2.8849412402652376E-05</v>
      </c>
      <c r="K27" s="83"/>
    </row>
    <row r="28" spans="1:11" ht="14.25">
      <c r="A28" s="7"/>
      <c r="B28" s="7"/>
      <c r="C28" s="7"/>
      <c r="D28" s="7"/>
      <c r="E28" s="8"/>
      <c r="F28" s="7"/>
      <c r="G28" s="8"/>
      <c r="H28" s="8"/>
      <c r="I28" s="36"/>
      <c r="J28" s="8"/>
      <c r="K28" s="83"/>
    </row>
    <row r="29" spans="1:11" ht="15.75">
      <c r="A29" s="16" t="s">
        <v>28</v>
      </c>
      <c r="B29" s="7"/>
      <c r="C29" s="7"/>
      <c r="D29" s="7"/>
      <c r="E29" s="8"/>
      <c r="F29" s="7"/>
      <c r="G29" s="8"/>
      <c r="H29" s="8"/>
      <c r="I29" s="38">
        <v>144.66119737299999</v>
      </c>
      <c r="J29" s="56">
        <v>0.00016460983370186766</v>
      </c>
      <c r="K29" s="83"/>
    </row>
    <row r="30" spans="1:11" ht="15">
      <c r="A30" s="16"/>
      <c r="B30" s="7"/>
      <c r="C30" s="7"/>
      <c r="D30" s="7"/>
      <c r="E30" s="8"/>
      <c r="F30" s="7"/>
      <c r="G30" s="8"/>
      <c r="H30" s="8"/>
      <c r="I30" s="36"/>
      <c r="J30" s="8"/>
      <c r="K30" s="83"/>
    </row>
    <row r="31" spans="1:11" ht="15.75">
      <c r="A31" s="19" t="s">
        <v>86</v>
      </c>
      <c r="B31" s="7"/>
      <c r="C31" s="7"/>
      <c r="D31" s="7"/>
      <c r="E31" s="8"/>
      <c r="F31" s="7"/>
      <c r="G31" s="8"/>
      <c r="H31" s="8"/>
      <c r="I31" s="38">
        <v>144.66119737299999</v>
      </c>
      <c r="J31" s="39">
        <v>0.00016460983370186766</v>
      </c>
      <c r="K31" s="83"/>
    </row>
    <row r="32" spans="1:11" ht="15.75">
      <c r="A32" s="19"/>
      <c r="B32" s="7"/>
      <c r="C32" s="7"/>
      <c r="D32" s="7"/>
      <c r="E32" s="8"/>
      <c r="F32" s="7"/>
      <c r="G32" s="8"/>
      <c r="H32" s="8"/>
      <c r="I32" s="38"/>
      <c r="J32" s="39"/>
      <c r="K32" s="83"/>
    </row>
    <row r="33" spans="1:11" ht="15.75">
      <c r="A33" s="19" t="s">
        <v>87</v>
      </c>
      <c r="B33" s="7"/>
      <c r="C33" s="7"/>
      <c r="D33" s="7"/>
      <c r="E33" s="8"/>
      <c r="F33" s="7"/>
      <c r="G33" s="8"/>
      <c r="H33" s="8"/>
      <c r="I33" s="38"/>
      <c r="J33" s="39"/>
      <c r="K33" s="83"/>
    </row>
    <row r="34" spans="1:11" ht="15.75">
      <c r="A34" s="19" t="s">
        <v>59</v>
      </c>
      <c r="B34" s="7"/>
      <c r="C34" s="7"/>
      <c r="D34" s="7"/>
      <c r="E34" s="8"/>
      <c r="F34" s="7"/>
      <c r="G34" s="8"/>
      <c r="H34" s="8"/>
      <c r="I34" s="38"/>
      <c r="J34" s="39"/>
      <c r="K34" s="83"/>
    </row>
    <row r="35" spans="1:11" ht="15.75">
      <c r="A35" s="35" t="s">
        <v>56</v>
      </c>
      <c r="B35" s="7"/>
      <c r="C35" s="7"/>
      <c r="D35" s="7"/>
      <c r="E35" s="8"/>
      <c r="F35" s="7"/>
      <c r="G35" s="8"/>
      <c r="H35" s="8"/>
      <c r="I35" s="38"/>
      <c r="J35" s="39"/>
      <c r="K35" s="83"/>
    </row>
    <row r="36" spans="1:11" ht="15.75">
      <c r="A36" s="19"/>
      <c r="B36" s="7"/>
      <c r="C36" s="7"/>
      <c r="D36" s="7"/>
      <c r="E36" s="8"/>
      <c r="F36" s="7"/>
      <c r="G36" s="8"/>
      <c r="H36" s="8"/>
      <c r="I36" s="38"/>
      <c r="J36" s="39"/>
      <c r="K36" s="83"/>
    </row>
    <row r="37" spans="1:11" ht="15">
      <c r="A37" s="55" t="s">
        <v>48</v>
      </c>
      <c r="B37" s="40">
        <v>767012</v>
      </c>
      <c r="C37" s="7"/>
      <c r="D37" s="7"/>
      <c r="E37" s="8"/>
      <c r="F37" s="7"/>
      <c r="G37" s="8"/>
      <c r="H37" s="58">
        <v>4.5411124663656198E-05</v>
      </c>
      <c r="I37" s="53">
        <v>461.34564632799999</v>
      </c>
      <c r="J37" s="58">
        <v>0.00052496475558211288</v>
      </c>
      <c r="K37" s="83"/>
    </row>
    <row r="38" spans="1:11" ht="15.75">
      <c r="A38" s="19"/>
      <c r="B38" s="7"/>
      <c r="C38" s="7"/>
      <c r="D38" s="7"/>
      <c r="E38" s="8"/>
      <c r="F38" s="7"/>
      <c r="G38" s="8"/>
      <c r="H38" s="8"/>
      <c r="I38" s="38"/>
      <c r="J38" s="39"/>
      <c r="K38" s="83"/>
    </row>
    <row r="39" spans="1:11" ht="15.75">
      <c r="A39" s="16" t="s">
        <v>28</v>
      </c>
      <c r="B39" s="7"/>
      <c r="C39" s="7"/>
      <c r="D39" s="7"/>
      <c r="E39" s="8"/>
      <c r="F39" s="7"/>
      <c r="G39" s="8"/>
      <c r="H39" s="8"/>
      <c r="I39" s="38">
        <v>461.34564632799999</v>
      </c>
      <c r="J39" s="56">
        <v>0.00052496475558211288</v>
      </c>
      <c r="K39" s="83"/>
    </row>
    <row r="40" spans="1:11" ht="15.75">
      <c r="A40" s="16"/>
      <c r="B40" s="7"/>
      <c r="C40" s="7"/>
      <c r="D40" s="7"/>
      <c r="E40" s="8"/>
      <c r="F40" s="7"/>
      <c r="G40" s="8"/>
      <c r="H40" s="8"/>
      <c r="I40" s="38"/>
      <c r="J40" s="39"/>
      <c r="K40" s="83"/>
    </row>
    <row r="41" spans="1:11" ht="15.75">
      <c r="A41" s="16" t="s">
        <v>141</v>
      </c>
      <c r="B41" s="7"/>
      <c r="C41" s="7"/>
      <c r="D41" s="7"/>
      <c r="E41" s="8"/>
      <c r="F41" s="7"/>
      <c r="G41" s="8"/>
      <c r="H41" s="8"/>
      <c r="I41" s="38">
        <v>461.34564632799999</v>
      </c>
      <c r="J41" s="56">
        <v>0.00052496475558211288</v>
      </c>
      <c r="K41" s="83"/>
    </row>
    <row r="42" spans="1:11" ht="15.75">
      <c r="A42" s="19"/>
      <c r="B42" s="7"/>
      <c r="C42" s="7"/>
      <c r="D42" s="7"/>
      <c r="E42" s="8"/>
      <c r="F42" s="7"/>
      <c r="G42" s="8"/>
      <c r="H42" s="8"/>
      <c r="I42" s="38"/>
      <c r="J42" s="39"/>
      <c r="K42" s="83"/>
    </row>
    <row r="43" spans="1:11" ht="15.75">
      <c r="A43" s="19" t="s">
        <v>88</v>
      </c>
      <c r="B43" s="7"/>
      <c r="C43" s="7"/>
      <c r="D43" s="7"/>
      <c r="E43" s="8"/>
      <c r="F43" s="7"/>
      <c r="G43" s="8"/>
      <c r="H43" s="8"/>
      <c r="I43" s="38"/>
      <c r="J43" s="39"/>
      <c r="K43" s="83"/>
    </row>
    <row r="44" spans="1:11" ht="15.75">
      <c r="A44" s="15" t="s">
        <v>55</v>
      </c>
      <c r="B44" s="7"/>
      <c r="C44" s="7"/>
      <c r="D44" s="7"/>
      <c r="E44" s="8"/>
      <c r="F44" s="7"/>
      <c r="G44" s="8"/>
      <c r="H44" s="8"/>
      <c r="I44" s="38"/>
      <c r="J44" s="39"/>
      <c r="K44" s="83"/>
    </row>
    <row r="45" spans="1:11" ht="15.75">
      <c r="A45" s="35" t="s">
        <v>61</v>
      </c>
      <c r="B45" s="7"/>
      <c r="C45" s="7"/>
      <c r="D45" s="7"/>
      <c r="E45" s="8"/>
      <c r="F45" s="7"/>
      <c r="G45" s="8"/>
      <c r="H45" s="8"/>
      <c r="I45" s="38"/>
      <c r="J45" s="39"/>
      <c r="K45" s="83"/>
    </row>
    <row r="46" spans="1:11" ht="15.75">
      <c r="A46" s="7"/>
      <c r="B46" s="7"/>
      <c r="C46" s="7"/>
      <c r="D46" s="7"/>
      <c r="E46" s="8"/>
      <c r="F46" s="7"/>
      <c r="G46" s="8"/>
      <c r="H46" s="8"/>
      <c r="I46" s="38"/>
      <c r="J46" s="39"/>
      <c r="K46" s="83"/>
    </row>
    <row r="47" spans="1:11" ht="14.25">
      <c r="A47" s="55" t="s">
        <v>77</v>
      </c>
      <c r="B47" s="40">
        <v>10902810</v>
      </c>
      <c r="C47" s="7" t="s">
        <v>40</v>
      </c>
      <c r="D47" s="7" t="s">
        <v>47</v>
      </c>
      <c r="E47" s="59">
        <v>0.079699999999999993</v>
      </c>
      <c r="F47" s="41">
        <v>2.5299999999998994</v>
      </c>
      <c r="G47" s="8">
        <v>0.015100000000000478</v>
      </c>
      <c r="H47" s="8"/>
      <c r="I47" s="36">
        <v>146.69278430199998</v>
      </c>
      <c r="J47" s="8">
        <v>0.00016692157446308436</v>
      </c>
      <c r="K47" s="83"/>
    </row>
    <row r="48" spans="1:11" ht="15.75">
      <c r="A48" s="7"/>
      <c r="B48" s="7"/>
      <c r="C48" s="7"/>
      <c r="D48" s="7"/>
      <c r="E48" s="8"/>
      <c r="F48" s="7"/>
      <c r="G48" s="8"/>
      <c r="H48" s="8"/>
      <c r="I48" s="38"/>
      <c r="J48" s="39"/>
      <c r="K48" s="83"/>
    </row>
    <row r="49" spans="1:11" ht="15.75">
      <c r="A49" s="16" t="s">
        <v>29</v>
      </c>
      <c r="B49" s="7"/>
      <c r="C49" s="7"/>
      <c r="D49" s="7"/>
      <c r="E49" s="8"/>
      <c r="F49" s="7"/>
      <c r="G49" s="8"/>
      <c r="H49" s="8"/>
      <c r="I49" s="38">
        <v>146.69278430199998</v>
      </c>
      <c r="J49" s="56">
        <v>0.00016692157446308436</v>
      </c>
      <c r="K49" s="83"/>
    </row>
    <row r="50" spans="1:11" ht="15">
      <c r="A50" s="16"/>
      <c r="B50" s="7"/>
      <c r="C50" s="7"/>
      <c r="D50" s="7"/>
      <c r="E50" s="8"/>
      <c r="F50" s="7"/>
      <c r="G50" s="8"/>
      <c r="H50" s="8"/>
      <c r="I50" s="36"/>
      <c r="J50" s="8"/>
      <c r="K50" s="83"/>
    </row>
    <row r="51" spans="1:11" ht="15.75">
      <c r="A51" s="19" t="s">
        <v>66</v>
      </c>
      <c r="B51" s="7"/>
      <c r="C51" s="7"/>
      <c r="D51" s="7"/>
      <c r="E51" s="4"/>
      <c r="F51" s="7"/>
      <c r="G51" s="7"/>
      <c r="H51" s="7"/>
      <c r="I51" s="38">
        <v>146.69278430199998</v>
      </c>
      <c r="J51" s="56">
        <v>0.00016692157446308436</v>
      </c>
      <c r="K51" s="83"/>
    </row>
    <row r="52" spans="1:11" ht="15.75">
      <c r="A52" s="9"/>
      <c r="B52" s="7"/>
      <c r="C52" s="7"/>
      <c r="D52" s="7"/>
      <c r="E52" s="4"/>
      <c r="F52" s="7"/>
      <c r="G52" s="7"/>
      <c r="H52" s="7"/>
      <c r="I52" s="38"/>
      <c r="J52" s="39"/>
      <c r="K52" s="83"/>
    </row>
    <row r="53" spans="1:11" ht="15.75">
      <c r="A53" s="19" t="s">
        <v>89</v>
      </c>
      <c r="B53" s="7"/>
      <c r="C53" s="7"/>
      <c r="D53" s="7"/>
      <c r="E53" s="8"/>
      <c r="F53" s="7"/>
      <c r="G53" s="8"/>
      <c r="H53" s="8"/>
      <c r="I53" s="38"/>
      <c r="J53" s="39"/>
      <c r="K53" s="83"/>
    </row>
    <row r="54" spans="1:11" ht="15.75">
      <c r="A54" s="19" t="s">
        <v>90</v>
      </c>
      <c r="B54" s="7"/>
      <c r="C54" s="7"/>
      <c r="D54" s="7"/>
      <c r="E54" s="8"/>
      <c r="F54" s="7"/>
      <c r="G54" s="8"/>
      <c r="H54" s="8"/>
      <c r="I54" s="38"/>
      <c r="J54" s="39"/>
      <c r="K54" s="83"/>
    </row>
    <row r="55" spans="1:11" ht="15.75">
      <c r="A55" s="35" t="s">
        <v>91</v>
      </c>
      <c r="B55" s="7"/>
      <c r="C55" s="7"/>
      <c r="D55" s="7"/>
      <c r="E55" s="8"/>
      <c r="F55" s="7"/>
      <c r="G55" s="8"/>
      <c r="H55" s="8"/>
      <c r="I55" s="38"/>
      <c r="J55" s="39"/>
      <c r="K55" s="83"/>
    </row>
    <row r="56" spans="1:11" ht="15">
      <c r="A56" s="63" t="s">
        <v>92</v>
      </c>
      <c r="B56" s="40">
        <v>51000669</v>
      </c>
      <c r="C56" s="7"/>
      <c r="D56" s="7"/>
      <c r="E56" s="8"/>
      <c r="F56" s="7"/>
      <c r="G56" s="8"/>
      <c r="H56" s="8"/>
      <c r="I56" s="53">
        <v>1.0000000000000001E-05</v>
      </c>
      <c r="J56" s="58">
        <v>1.1378990129428512E-11</v>
      </c>
      <c r="K56" s="83"/>
    </row>
    <row r="57" spans="1:11" ht="15">
      <c r="A57" s="63" t="s">
        <v>93</v>
      </c>
      <c r="B57" s="40">
        <v>51000495</v>
      </c>
      <c r="C57" s="7"/>
      <c r="D57" s="7"/>
      <c r="E57" s="8"/>
      <c r="F57" s="7"/>
      <c r="G57" s="8"/>
      <c r="H57" s="8"/>
      <c r="I57" s="53">
        <v>0.32436000000000004</v>
      </c>
      <c r="J57" s="58">
        <v>3.6908892383814322E-07</v>
      </c>
      <c r="K57" s="83"/>
    </row>
    <row r="58" spans="1:11" ht="15">
      <c r="A58" s="63" t="s">
        <v>94</v>
      </c>
      <c r="B58" s="40">
        <v>51000883</v>
      </c>
      <c r="C58" s="7"/>
      <c r="D58" s="7"/>
      <c r="E58" s="8"/>
      <c r="F58" s="7"/>
      <c r="G58" s="8"/>
      <c r="H58" s="8"/>
      <c r="I58" s="53">
        <v>1.3424200000000002</v>
      </c>
      <c r="J58" s="58">
        <v>1.5275383929547424E-06</v>
      </c>
      <c r="K58" s="83"/>
    </row>
    <row r="59" spans="1:11" ht="15">
      <c r="A59" s="63" t="s">
        <v>95</v>
      </c>
      <c r="B59" s="40">
        <v>51000990</v>
      </c>
      <c r="C59" s="7"/>
      <c r="D59" s="7"/>
      <c r="E59" s="8"/>
      <c r="F59" s="7"/>
      <c r="G59" s="8"/>
      <c r="H59" s="8"/>
      <c r="I59" s="53">
        <v>2.1152899999999999</v>
      </c>
      <c r="J59" s="58">
        <v>2.4069864030878834E-06</v>
      </c>
      <c r="K59" s="83"/>
    </row>
    <row r="60" spans="1:11" ht="15">
      <c r="A60" s="63" t="s">
        <v>96</v>
      </c>
      <c r="B60" s="40">
        <v>51000917</v>
      </c>
      <c r="C60" s="7"/>
      <c r="D60" s="7"/>
      <c r="E60" s="8"/>
      <c r="F60" s="7"/>
      <c r="G60" s="8"/>
      <c r="H60" s="8"/>
      <c r="I60" s="53">
        <v>3.9744600000000001</v>
      </c>
      <c r="J60" s="58">
        <v>4.5225341109808444E-06</v>
      </c>
      <c r="K60" s="83"/>
    </row>
    <row r="61" spans="1:11" ht="15">
      <c r="A61" s="63" t="s">
        <v>97</v>
      </c>
      <c r="B61" s="40">
        <v>51009918</v>
      </c>
      <c r="C61" s="7"/>
      <c r="D61" s="7"/>
      <c r="E61" s="8"/>
      <c r="F61" s="7"/>
      <c r="G61" s="8"/>
      <c r="H61" s="8"/>
      <c r="I61" s="53">
        <v>8.417489999999999</v>
      </c>
      <c r="J61" s="58">
        <v>9.5782535624563188E-06</v>
      </c>
      <c r="K61" s="83"/>
    </row>
    <row r="62" spans="1:11" ht="15">
      <c r="A62" s="63" t="s">
        <v>98</v>
      </c>
      <c r="B62" s="40">
        <v>51009934</v>
      </c>
      <c r="C62" s="7"/>
      <c r="D62" s="7"/>
      <c r="E62" s="8"/>
      <c r="F62" s="7"/>
      <c r="G62" s="8"/>
      <c r="H62" s="8"/>
      <c r="I62" s="53">
        <v>11.127750000000001</v>
      </c>
      <c r="J62" s="58">
        <v>1.2662255741274813E-05</v>
      </c>
      <c r="K62" s="83"/>
    </row>
    <row r="63" spans="1:11" ht="15">
      <c r="A63" s="63" t="s">
        <v>99</v>
      </c>
      <c r="B63" s="40">
        <v>51008837</v>
      </c>
      <c r="C63" s="7"/>
      <c r="D63" s="7"/>
      <c r="E63" s="8"/>
      <c r="F63" s="7"/>
      <c r="G63" s="8"/>
      <c r="H63" s="8"/>
      <c r="I63" s="53">
        <v>10.87387</v>
      </c>
      <c r="J63" s="58">
        <v>1.2373365939868882E-05</v>
      </c>
      <c r="K63" s="83"/>
    </row>
    <row r="64" spans="1:11" ht="15">
      <c r="A64" s="63" t="s">
        <v>100</v>
      </c>
      <c r="B64" s="40">
        <v>51008290</v>
      </c>
      <c r="C64" s="7"/>
      <c r="D64" s="7"/>
      <c r="E64" s="8"/>
      <c r="F64" s="7"/>
      <c r="G64" s="8"/>
      <c r="H64" s="8"/>
      <c r="I64" s="53">
        <v>10.01937</v>
      </c>
      <c r="J64" s="58">
        <v>1.1401031233309214E-05</v>
      </c>
      <c r="K64" s="83"/>
    </row>
    <row r="65" spans="1:11" ht="15">
      <c r="A65" s="63" t="s">
        <v>101</v>
      </c>
      <c r="B65" s="40">
        <v>51008291</v>
      </c>
      <c r="C65" s="7"/>
      <c r="D65" s="7"/>
      <c r="E65" s="8"/>
      <c r="F65" s="7"/>
      <c r="G65" s="8"/>
      <c r="H65" s="8"/>
      <c r="I65" s="53">
        <v>12.722440000000001</v>
      </c>
      <c r="J65" s="58">
        <v>1.4476851918224648E-05</v>
      </c>
      <c r="K65" s="83"/>
    </row>
    <row r="66" spans="1:11" ht="15.75">
      <c r="A66" s="19"/>
      <c r="B66" s="7"/>
      <c r="C66" s="7"/>
      <c r="D66" s="7"/>
      <c r="E66" s="8"/>
      <c r="F66" s="7"/>
      <c r="G66" s="8"/>
      <c r="H66" s="8"/>
      <c r="I66" s="38"/>
      <c r="J66" s="39"/>
      <c r="K66" s="83"/>
    </row>
    <row r="67" spans="1:11" ht="15.75">
      <c r="A67" s="19" t="s">
        <v>102</v>
      </c>
      <c r="B67" s="7"/>
      <c r="C67" s="7"/>
      <c r="D67" s="7"/>
      <c r="E67" s="8"/>
      <c r="F67" s="7"/>
      <c r="G67" s="8"/>
      <c r="H67" s="8"/>
      <c r="I67" s="38">
        <v>60.917460000000005</v>
      </c>
      <c r="J67" s="39">
        <v>6.9317917604985621E-05</v>
      </c>
      <c r="K67" s="83"/>
    </row>
    <row r="68" spans="1:11" ht="15.75">
      <c r="A68" s="19"/>
      <c r="B68" s="7"/>
      <c r="C68" s="7"/>
      <c r="D68" s="7"/>
      <c r="E68" s="8"/>
      <c r="F68" s="7"/>
      <c r="G68" s="8"/>
      <c r="H68" s="8"/>
      <c r="I68" s="38"/>
      <c r="J68" s="39"/>
      <c r="K68" s="83"/>
    </row>
    <row r="69" spans="1:11" ht="15.75">
      <c r="A69" s="19" t="s">
        <v>103</v>
      </c>
      <c r="B69" s="7"/>
      <c r="C69" s="7"/>
      <c r="D69" s="7"/>
      <c r="E69" s="8"/>
      <c r="F69" s="7"/>
      <c r="G69" s="8"/>
      <c r="H69" s="8"/>
      <c r="I69" s="38">
        <v>60.917460000000005</v>
      </c>
      <c r="J69" s="39">
        <v>6.9317917604985621E-05</v>
      </c>
      <c r="K69" s="83"/>
    </row>
    <row r="70" spans="1:11" ht="15.75">
      <c r="A70" s="19"/>
      <c r="B70" s="7"/>
      <c r="C70" s="7"/>
      <c r="D70" s="7"/>
      <c r="E70" s="8"/>
      <c r="F70" s="7"/>
      <c r="G70" s="8"/>
      <c r="H70" s="8"/>
      <c r="I70" s="38"/>
      <c r="J70" s="39"/>
      <c r="K70" s="83"/>
    </row>
    <row r="71" spans="1:11" ht="15.75">
      <c r="A71" s="19" t="s">
        <v>79</v>
      </c>
      <c r="B71" s="7"/>
      <c r="C71" s="7"/>
      <c r="D71" s="7"/>
      <c r="E71" s="8"/>
      <c r="F71" s="7"/>
      <c r="G71" s="8"/>
      <c r="H71" s="8"/>
      <c r="I71" s="38"/>
      <c r="J71" s="39"/>
      <c r="K71" s="83"/>
    </row>
    <row r="72" spans="1:11" ht="15.75">
      <c r="A72" s="15" t="s">
        <v>59</v>
      </c>
      <c r="B72" s="7"/>
      <c r="C72" s="7"/>
      <c r="D72" s="7"/>
      <c r="E72" s="8"/>
      <c r="F72" s="7"/>
      <c r="G72" s="8"/>
      <c r="H72" s="8"/>
      <c r="I72" s="38"/>
      <c r="J72" s="39"/>
      <c r="K72" s="83"/>
    </row>
    <row r="73" spans="1:11" ht="15">
      <c r="A73" s="35" t="s">
        <v>56</v>
      </c>
      <c r="B73" s="7"/>
      <c r="C73" s="7"/>
      <c r="D73" s="7"/>
      <c r="E73" s="8"/>
      <c r="F73" s="7"/>
      <c r="G73" s="8"/>
      <c r="H73" s="8"/>
      <c r="I73" s="36"/>
      <c r="J73" s="8"/>
      <c r="K73" s="83"/>
    </row>
    <row r="74" spans="1:11" ht="14.25">
      <c r="A74" s="7"/>
      <c r="B74" s="7"/>
      <c r="C74" s="7"/>
      <c r="D74" s="7"/>
      <c r="E74" s="8"/>
      <c r="F74" s="7"/>
      <c r="G74" s="8"/>
      <c r="H74" s="8"/>
      <c r="I74" s="36"/>
      <c r="J74" s="8"/>
      <c r="K74" s="83"/>
    </row>
    <row r="75" spans="1:11" ht="14.25">
      <c r="A75" s="18" t="s">
        <v>75</v>
      </c>
      <c r="B75" s="40">
        <v>1155365</v>
      </c>
      <c r="C75" s="7"/>
      <c r="D75" s="7" t="s">
        <v>74</v>
      </c>
      <c r="E75" s="8"/>
      <c r="F75" s="7"/>
      <c r="G75" s="8"/>
      <c r="H75" s="8">
        <v>0.006577463705698723</v>
      </c>
      <c r="I75" s="36">
        <v>2058.1938</v>
      </c>
      <c r="J75" s="8">
        <v>0.0023420166934650958</v>
      </c>
      <c r="K75" s="83"/>
    </row>
    <row r="76" spans="1:11" ht="14.25">
      <c r="A76" s="18" t="s">
        <v>104</v>
      </c>
      <c r="B76" s="40">
        <v>1155126</v>
      </c>
      <c r="C76" s="7"/>
      <c r="D76" s="7" t="s">
        <v>74</v>
      </c>
      <c r="E76" s="8"/>
      <c r="F76" s="7"/>
      <c r="G76" s="8"/>
      <c r="H76" s="8">
        <v>0.0011655090149788807</v>
      </c>
      <c r="I76" s="36">
        <v>303.47048233199996</v>
      </c>
      <c r="J76" s="8">
        <v>0.00034531876230287371</v>
      </c>
      <c r="K76" s="83"/>
    </row>
    <row r="77" spans="1:11" ht="14.25">
      <c r="A77" s="18" t="s">
        <v>105</v>
      </c>
      <c r="B77" s="40">
        <v>1155159</v>
      </c>
      <c r="C77" s="7"/>
      <c r="D77" s="7"/>
      <c r="E77" s="8"/>
      <c r="F77" s="7"/>
      <c r="G77" s="8"/>
      <c r="H77" s="8">
        <v>0.0032555622992447172</v>
      </c>
      <c r="I77" s="36">
        <v>289.91871999999995</v>
      </c>
      <c r="J77" s="8">
        <v>0.0003298982253216548</v>
      </c>
      <c r="K77" s="83"/>
    </row>
    <row r="78" spans="1:11" ht="14.25">
      <c r="A78" s="18" t="s">
        <v>81</v>
      </c>
      <c r="B78" s="40">
        <v>1146539</v>
      </c>
      <c r="C78" s="7"/>
      <c r="D78" s="7"/>
      <c r="E78" s="8"/>
      <c r="F78" s="7"/>
      <c r="G78" s="8"/>
      <c r="H78" s="8">
        <v>0.00010994107960459518</v>
      </c>
      <c r="I78" s="36">
        <v>10.564144393999998</v>
      </c>
      <c r="J78" s="8">
        <v>1.2020929478518351E-05</v>
      </c>
      <c r="K78" s="83"/>
    </row>
    <row r="79" spans="1:11" ht="14.25">
      <c r="A79" s="18" t="s">
        <v>106</v>
      </c>
      <c r="B79" s="40">
        <v>1146950</v>
      </c>
      <c r="C79" s="7"/>
      <c r="D79" s="7"/>
      <c r="E79" s="8"/>
      <c r="F79" s="7"/>
      <c r="G79" s="8"/>
      <c r="H79" s="8">
        <v>5.625522223464482E-05</v>
      </c>
      <c r="I79" s="36">
        <v>20.661232596999998</v>
      </c>
      <c r="J79" s="8">
        <v>2.351039617830896E-05</v>
      </c>
      <c r="K79" s="83"/>
    </row>
    <row r="80" spans="1:11" ht="14.25">
      <c r="A80" s="18" t="s">
        <v>107</v>
      </c>
      <c r="B80" s="40">
        <v>1145960</v>
      </c>
      <c r="C80" s="7"/>
      <c r="D80" s="7"/>
      <c r="E80" s="8"/>
      <c r="F80" s="7"/>
      <c r="G80" s="8"/>
      <c r="H80" s="8">
        <v>2.5908720234534065E-05</v>
      </c>
      <c r="I80" s="36">
        <v>20.412860016</v>
      </c>
      <c r="J80" s="8">
        <v>2.3227773263546991E-05</v>
      </c>
      <c r="K80" s="83"/>
    </row>
    <row r="81" spans="1:11" ht="14.25">
      <c r="A81" s="18" t="s">
        <v>108</v>
      </c>
      <c r="B81" s="40">
        <v>1146232</v>
      </c>
      <c r="C81" s="7"/>
      <c r="D81" s="7"/>
      <c r="E81" s="8"/>
      <c r="F81" s="7"/>
      <c r="G81" s="8"/>
      <c r="H81" s="8">
        <v>4.1692400593557034E-06</v>
      </c>
      <c r="I81" s="36">
        <v>5.9542385250000009</v>
      </c>
      <c r="J81" s="8">
        <v>6.775322140423799E-06</v>
      </c>
      <c r="K81" s="83"/>
    </row>
    <row r="82" spans="1:11" ht="14.25">
      <c r="A82" s="18" t="s">
        <v>109</v>
      </c>
      <c r="B82" s="40">
        <v>1146281</v>
      </c>
      <c r="C82" s="7"/>
      <c r="D82" s="7"/>
      <c r="E82" s="8"/>
      <c r="F82" s="7"/>
      <c r="G82" s="8"/>
      <c r="H82" s="8">
        <v>0.00025783281594099071</v>
      </c>
      <c r="I82" s="36">
        <v>37.494833071999999</v>
      </c>
      <c r="J82" s="8">
        <v>4.2665333543085769E-05</v>
      </c>
      <c r="K82" s="83"/>
    </row>
    <row r="83" spans="1:11" ht="14.25">
      <c r="A83" s="18" t="s">
        <v>110</v>
      </c>
      <c r="B83" s="40">
        <v>1146935</v>
      </c>
      <c r="C83" s="7"/>
      <c r="D83" s="7"/>
      <c r="E83" s="8"/>
      <c r="F83" s="7"/>
      <c r="G83" s="8"/>
      <c r="H83" s="8">
        <v>0.00026770562416313266</v>
      </c>
      <c r="I83" s="36">
        <v>12.149801031999999</v>
      </c>
      <c r="J83" s="8">
        <v>1.3825246601764834E-05</v>
      </c>
      <c r="K83" s="83"/>
    </row>
    <row r="84" spans="1:11" ht="14.25">
      <c r="A84" s="18" t="s">
        <v>111</v>
      </c>
      <c r="B84" s="40">
        <v>1146414</v>
      </c>
      <c r="C84" s="7"/>
      <c r="D84" s="7"/>
      <c r="E84" s="8"/>
      <c r="F84" s="7"/>
      <c r="G84" s="8"/>
      <c r="H84" s="8">
        <v>1.1325819261070451E-06</v>
      </c>
      <c r="I84" s="36">
        <v>0.74657084300000021</v>
      </c>
      <c r="J84" s="8">
        <v>8.4952222534161254E-07</v>
      </c>
      <c r="K84" s="83"/>
    </row>
    <row r="85" spans="1:11" ht="14.25">
      <c r="A85" s="18" t="s">
        <v>112</v>
      </c>
      <c r="B85" s="40">
        <v>1146919</v>
      </c>
      <c r="C85" s="7"/>
      <c r="D85" s="7"/>
      <c r="E85" s="8"/>
      <c r="F85" s="7"/>
      <c r="G85" s="8"/>
      <c r="H85" s="8">
        <v>1.3368987286003802E-05</v>
      </c>
      <c r="I85" s="36">
        <v>0.43464453399999997</v>
      </c>
      <c r="J85" s="8">
        <v>4.9458158621960548E-07</v>
      </c>
      <c r="K85" s="83"/>
    </row>
    <row r="86" spans="1:11" ht="14.25">
      <c r="A86" s="7"/>
      <c r="B86" s="7"/>
      <c r="C86" s="7"/>
      <c r="D86" s="7"/>
      <c r="E86" s="8"/>
      <c r="F86" s="7"/>
      <c r="G86" s="8"/>
      <c r="H86" s="8"/>
      <c r="I86" s="36"/>
      <c r="J86" s="8"/>
      <c r="K86" s="83"/>
    </row>
    <row r="87" spans="1:11" ht="15.75">
      <c r="A87" s="16" t="s">
        <v>28</v>
      </c>
      <c r="B87" s="7"/>
      <c r="C87" s="7"/>
      <c r="D87" s="7"/>
      <c r="E87" s="8"/>
      <c r="F87" s="7"/>
      <c r="G87" s="8"/>
      <c r="H87" s="8"/>
      <c r="I87" s="38">
        <v>2760.0013273450004</v>
      </c>
      <c r="J87" s="39">
        <v>0.0031406027861068347</v>
      </c>
      <c r="K87" s="83"/>
    </row>
    <row r="88" spans="1:11" ht="15">
      <c r="A88" s="16"/>
      <c r="B88" s="7"/>
      <c r="C88" s="7"/>
      <c r="D88" s="7"/>
      <c r="E88" s="8"/>
      <c r="F88" s="7"/>
      <c r="G88" s="8"/>
      <c r="H88" s="8"/>
      <c r="I88" s="36"/>
      <c r="J88" s="8"/>
      <c r="K88" s="83"/>
    </row>
    <row r="89" spans="1:11" ht="15.75">
      <c r="A89" s="19" t="s">
        <v>68</v>
      </c>
      <c r="B89" s="7"/>
      <c r="C89" s="7"/>
      <c r="D89" s="7"/>
      <c r="E89" s="8"/>
      <c r="F89" s="7"/>
      <c r="G89" s="8"/>
      <c r="H89" s="8"/>
      <c r="I89" s="38">
        <v>2760.0013273450004</v>
      </c>
      <c r="J89" s="39">
        <v>0.0031406027861068347</v>
      </c>
      <c r="K89" s="83"/>
    </row>
    <row r="90" spans="11:11" ht="14.25">
      <c r="K90" s="83"/>
    </row>
    <row r="91" spans="1:11" ht="15.75">
      <c r="A91" s="19" t="s">
        <v>15</v>
      </c>
      <c r="B91" s="7"/>
      <c r="C91" s="7"/>
      <c r="D91" s="7"/>
      <c r="E91" s="7"/>
      <c r="F91" s="7"/>
      <c r="G91" s="7"/>
      <c r="H91" s="7"/>
      <c r="I91" s="38"/>
      <c r="J91" s="10"/>
      <c r="K91" s="83"/>
    </row>
    <row r="92" spans="1:11" ht="15.75">
      <c r="A92" s="15" t="s">
        <v>59</v>
      </c>
      <c r="B92" s="7"/>
      <c r="C92" s="7"/>
      <c r="D92" s="7"/>
      <c r="E92" s="7"/>
      <c r="F92" s="7"/>
      <c r="G92" s="7"/>
      <c r="H92" s="7"/>
      <c r="I92" s="38"/>
      <c r="J92" s="10"/>
      <c r="K92" s="83"/>
    </row>
    <row r="93" spans="1:11" ht="15.75">
      <c r="A93" s="35" t="s">
        <v>56</v>
      </c>
      <c r="B93" s="7"/>
      <c r="C93" s="7"/>
      <c r="D93" s="7"/>
      <c r="E93" s="7"/>
      <c r="F93" s="7"/>
      <c r="G93" s="7"/>
      <c r="H93" s="7"/>
      <c r="I93" s="38"/>
      <c r="J93" s="10"/>
      <c r="K93" s="83"/>
    </row>
    <row r="94" spans="1:11" ht="15.75">
      <c r="A94" s="15"/>
      <c r="B94" s="7"/>
      <c r="C94" s="7"/>
      <c r="D94" s="7"/>
      <c r="E94" s="7"/>
      <c r="F94" s="7"/>
      <c r="G94" s="7"/>
      <c r="H94" s="7"/>
      <c r="I94" s="38"/>
      <c r="J94" s="10"/>
      <c r="K94" s="83"/>
    </row>
    <row r="95" spans="1:11" ht="14.25">
      <c r="A95" s="18" t="s">
        <v>15</v>
      </c>
      <c r="B95" s="7" t="s">
        <v>113</v>
      </c>
      <c r="C95" s="7"/>
      <c r="D95" s="7"/>
      <c r="E95" s="7"/>
      <c r="F95" s="7"/>
      <c r="G95" s="7"/>
      <c r="H95" s="60">
        <v>0.00011994305383339916</v>
      </c>
      <c r="I95" s="61">
        <v>492.96773722600005</v>
      </c>
      <c r="J95" s="60">
        <v>0.00056094750160213625</v>
      </c>
      <c r="K95" s="83"/>
    </row>
    <row r="96" spans="1:11" ht="15.75">
      <c r="A96" s="15"/>
      <c r="B96" s="7"/>
      <c r="C96" s="7"/>
      <c r="D96" s="7"/>
      <c r="E96" s="7"/>
      <c r="F96" s="7"/>
      <c r="G96" s="7"/>
      <c r="H96" s="7"/>
      <c r="I96" s="38"/>
      <c r="J96" s="10"/>
      <c r="K96" s="83"/>
    </row>
    <row r="97" spans="1:11" ht="15.75">
      <c r="A97" s="35" t="s">
        <v>60</v>
      </c>
      <c r="B97" s="7"/>
      <c r="C97" s="7"/>
      <c r="D97" s="7"/>
      <c r="E97" s="7"/>
      <c r="F97" s="7"/>
      <c r="G97" s="7"/>
      <c r="H97" s="7"/>
      <c r="I97" s="38"/>
      <c r="J97" s="10"/>
      <c r="K97" s="83"/>
    </row>
    <row r="98" spans="1:11" ht="14.25">
      <c r="A98" s="7"/>
      <c r="B98" s="7"/>
      <c r="C98" s="7"/>
      <c r="D98" s="7"/>
      <c r="E98" s="8"/>
      <c r="F98" s="7"/>
      <c r="G98" s="8"/>
      <c r="H98" s="8"/>
      <c r="I98" s="36"/>
      <c r="J98" s="8"/>
      <c r="K98" s="83"/>
    </row>
    <row r="99" spans="1:11" ht="14.25">
      <c r="A99" s="18" t="s">
        <v>32</v>
      </c>
      <c r="B99" s="40">
        <v>1129899</v>
      </c>
      <c r="C99" s="7" t="s">
        <v>40</v>
      </c>
      <c r="D99" s="7" t="s">
        <v>39</v>
      </c>
      <c r="E99" s="60">
        <v>0.040000000000000001</v>
      </c>
      <c r="F99" s="7">
        <v>1.6900000000092859</v>
      </c>
      <c r="G99" s="8">
        <v>-0.018799999999843865</v>
      </c>
      <c r="H99" s="8">
        <v>5.9826698867317722E-05</v>
      </c>
      <c r="I99" s="36">
        <v>16.649962343999999</v>
      </c>
      <c r="J99" s="8">
        <v>1.8945975716773239E-05</v>
      </c>
      <c r="K99" s="83"/>
    </row>
    <row r="100" spans="1:11" ht="14.25">
      <c r="A100" s="18" t="s">
        <v>49</v>
      </c>
      <c r="B100" s="40">
        <v>1136753</v>
      </c>
      <c r="C100" s="7" t="s">
        <v>40</v>
      </c>
      <c r="D100" s="7" t="s">
        <v>39</v>
      </c>
      <c r="E100" s="60">
        <v>0.040000000000000001</v>
      </c>
      <c r="F100" s="7">
        <v>4.1999999999990907</v>
      </c>
      <c r="G100" s="8">
        <v>-0.012199999999993659</v>
      </c>
      <c r="H100" s="8">
        <v>0.00035717871938115121</v>
      </c>
      <c r="I100" s="36">
        <v>463.40253896600001</v>
      </c>
      <c r="J100" s="8">
        <v>0.00052730529168462258</v>
      </c>
      <c r="K100" s="83"/>
    </row>
    <row r="101" spans="1:11" ht="14.25">
      <c r="A101" s="18" t="s">
        <v>33</v>
      </c>
      <c r="B101" s="40">
        <v>1138544</v>
      </c>
      <c r="C101" s="7" t="s">
        <v>40</v>
      </c>
      <c r="D101" s="7" t="s">
        <v>39</v>
      </c>
      <c r="E101" s="60">
        <v>0.035000000000000003</v>
      </c>
      <c r="F101" s="7">
        <v>5.7199999999986515</v>
      </c>
      <c r="G101" s="8">
        <v>-0.006999999999998432</v>
      </c>
      <c r="H101" s="8">
        <v>0.00035167292860141151</v>
      </c>
      <c r="I101" s="36">
        <v>430.23333450900003</v>
      </c>
      <c r="J101" s="8">
        <v>0.00048956208667290261</v>
      </c>
      <c r="K101" s="83"/>
    </row>
    <row r="102" spans="1:11" ht="14.25">
      <c r="A102" s="18" t="s">
        <v>114</v>
      </c>
      <c r="B102" s="40">
        <v>1171271</v>
      </c>
      <c r="C102" s="7" t="s">
        <v>40</v>
      </c>
      <c r="D102" s="7" t="s">
        <v>39</v>
      </c>
      <c r="E102" s="62">
        <v>0.025000000000000001</v>
      </c>
      <c r="F102" s="7">
        <v>7.5300000000009213</v>
      </c>
      <c r="G102" s="8">
        <v>-0.0015000000000628402</v>
      </c>
      <c r="H102" s="8">
        <v>0.00011247641676358177</v>
      </c>
      <c r="I102" s="36">
        <v>54.047518830999998</v>
      </c>
      <c r="J102" s="8">
        <v>6.1500618329805059E-05</v>
      </c>
      <c r="K102" s="83"/>
    </row>
    <row r="103" spans="1:11" ht="14.25">
      <c r="A103" s="7"/>
      <c r="B103" s="7"/>
      <c r="C103" s="7"/>
      <c r="D103" s="7"/>
      <c r="E103" s="8"/>
      <c r="F103" s="7"/>
      <c r="G103" s="8"/>
      <c r="H103" s="8"/>
      <c r="I103" s="36"/>
      <c r="J103" s="8"/>
      <c r="K103" s="83"/>
    </row>
    <row r="104" spans="1:11" ht="15.75">
      <c r="A104" s="16" t="s">
        <v>28</v>
      </c>
      <c r="B104" s="7"/>
      <c r="C104" s="7"/>
      <c r="D104" s="7"/>
      <c r="E104" s="8"/>
      <c r="F104" s="7"/>
      <c r="G104" s="8"/>
      <c r="H104" s="8"/>
      <c r="I104" s="38">
        <v>1457.3010918760001</v>
      </c>
      <c r="J104" s="56">
        <v>0.0016582614740062397</v>
      </c>
      <c r="K104" s="83"/>
    </row>
    <row r="105" spans="1:11" ht="15">
      <c r="A105" s="16"/>
      <c r="B105" s="7"/>
      <c r="C105" s="7"/>
      <c r="D105" s="7"/>
      <c r="E105" s="8"/>
      <c r="F105" s="7"/>
      <c r="G105" s="8"/>
      <c r="H105" s="8"/>
      <c r="I105" s="36"/>
      <c r="J105" s="8"/>
      <c r="K105" s="83"/>
    </row>
    <row r="106" spans="1:11" ht="15.75">
      <c r="A106" s="19" t="s">
        <v>69</v>
      </c>
      <c r="B106" s="7"/>
      <c r="C106" s="7"/>
      <c r="D106" s="7"/>
      <c r="E106" s="8"/>
      <c r="F106" s="7"/>
      <c r="G106" s="8"/>
      <c r="H106" s="8"/>
      <c r="I106" s="38">
        <v>1457.3010918760001</v>
      </c>
      <c r="J106" s="56">
        <v>0.0016582614740062397</v>
      </c>
      <c r="K106" s="83"/>
    </row>
    <row r="107" spans="1:11" ht="15.75">
      <c r="A107" s="19"/>
      <c r="B107" s="7"/>
      <c r="C107" s="7"/>
      <c r="D107" s="7"/>
      <c r="E107" s="8"/>
      <c r="F107" s="7"/>
      <c r="G107" s="8"/>
      <c r="H107" s="8"/>
      <c r="I107" s="38"/>
      <c r="J107" s="56"/>
      <c r="K107" s="83"/>
    </row>
    <row r="108" spans="11:11" ht="14.25">
      <c r="K108" s="83"/>
    </row>
    <row r="109" spans="1:11" ht="18">
      <c r="A109" s="42" t="s">
        <v>70</v>
      </c>
      <c r="I109" s="43">
        <v>5629.9116375379999</v>
      </c>
      <c r="J109" s="44">
        <v>0.0064062708953099602</v>
      </c>
      <c r="K109" s="83"/>
    </row>
    <row r="110" spans="1:11" ht="14.25">
      <c r="A110" s="82" t="s">
        <v>147</v>
      </c>
      <c r="B110" s="82"/>
      <c r="C110" s="82"/>
      <c r="D110" s="82"/>
      <c r="E110" s="82"/>
      <c r="F110" s="82"/>
      <c r="G110" s="82"/>
      <c r="H110" s="82"/>
      <c r="I110" s="82"/>
      <c r="J110" s="82"/>
      <c r="K110" s="83"/>
    </row>
  </sheetData>
  <mergeCells count="9">
    <mergeCell ref="K1:K6"/>
    <mergeCell ref="K7:K110"/>
    <mergeCell ref="A110:J110"/>
    <mergeCell ref="A1:J1"/>
    <mergeCell ref="A3:J3"/>
    <mergeCell ref="A2:J2"/>
    <mergeCell ref="A4:J4"/>
    <mergeCell ref="A5:J5"/>
    <mergeCell ref="A6:J6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0e70386-406a-4eeb-a485-5257efb5a7d3}">
  <dimension ref="A1:G75"/>
  <sheetViews>
    <sheetView rightToLeft="1" workbookViewId="0" topLeftCell="A1">
      <selection pane="topLeft" activeCell="A75" sqref="A75:C75"/>
    </sheetView>
  </sheetViews>
  <sheetFormatPr defaultRowHeight="14.25"/>
  <cols>
    <col min="1" max="1" width="72.75" bestFit="1" customWidth="1"/>
    <col min="2" max="3" width="13.125" style="24" bestFit="1" customWidth="1"/>
  </cols>
  <sheetData>
    <row r="1" spans="1:4" ht="27.6" customHeight="1">
      <c r="A1" s="90" t="s">
        <v>150</v>
      </c>
      <c r="B1" s="90"/>
      <c r="C1" s="90"/>
      <c r="D1" s="83" t="s">
        <v>146</v>
      </c>
    </row>
    <row r="2" spans="1:4" ht="14.25">
      <c r="A2" s="85"/>
      <c r="B2" s="85"/>
      <c r="C2" s="85"/>
      <c r="D2" s="83"/>
    </row>
    <row r="3" spans="1:4" ht="15">
      <c r="A3" s="91" t="s">
        <v>151</v>
      </c>
      <c r="B3" s="91"/>
      <c r="C3" s="91"/>
      <c r="D3" s="83"/>
    </row>
    <row r="4" spans="1:4" ht="14.25">
      <c r="A4" s="85"/>
      <c r="B4" s="85"/>
      <c r="C4" s="85"/>
      <c r="D4" s="83"/>
    </row>
    <row r="5" spans="1:4" ht="15">
      <c r="A5" s="84" t="s">
        <v>144</v>
      </c>
      <c r="B5" s="84"/>
      <c r="C5" s="84"/>
      <c r="D5" s="83"/>
    </row>
    <row r="6" spans="1:4" ht="14.25">
      <c r="A6" s="92" t="s">
        <v>145</v>
      </c>
      <c r="B6" s="92"/>
      <c r="C6" s="92"/>
      <c r="D6" s="83"/>
    </row>
    <row r="7" spans="1:4" ht="60">
      <c r="A7" s="13"/>
      <c r="B7" s="26" t="s">
        <v>34</v>
      </c>
      <c r="C7" s="26" t="s">
        <v>35</v>
      </c>
      <c r="D7" s="83" t="s">
        <v>147</v>
      </c>
    </row>
    <row r="8" spans="1:4" ht="15">
      <c r="A8" s="14"/>
      <c r="B8" s="27"/>
      <c r="C8" s="27"/>
      <c r="D8" s="83"/>
    </row>
    <row r="9" spans="1:4" ht="15">
      <c r="A9" s="14" t="s">
        <v>62</v>
      </c>
      <c r="B9" s="29"/>
      <c r="C9" s="29"/>
      <c r="D9" s="83"/>
    </row>
    <row r="10" spans="1:4" ht="15">
      <c r="A10" s="15" t="s">
        <v>27</v>
      </c>
      <c r="B10" s="27"/>
      <c r="C10" s="27"/>
      <c r="D10" s="83"/>
    </row>
    <row r="11" spans="1:4" ht="15">
      <c r="A11" s="16" t="s">
        <v>116</v>
      </c>
      <c r="B11" s="27"/>
      <c r="C11" s="27"/>
      <c r="D11" s="83"/>
    </row>
    <row r="12" spans="1:4" ht="14.25">
      <c r="A12" s="18" t="s">
        <v>131</v>
      </c>
      <c r="B12" s="27"/>
      <c r="C12" s="12">
        <v>-418.38</v>
      </c>
      <c r="D12" s="83"/>
    </row>
    <row r="13" spans="1:4" ht="15">
      <c r="A13" s="15"/>
      <c r="B13" s="27"/>
      <c r="C13" s="36"/>
      <c r="D13" s="83"/>
    </row>
    <row r="14" spans="1:4" ht="15">
      <c r="A14" s="16" t="s">
        <v>36</v>
      </c>
      <c r="B14" s="27"/>
      <c r="C14" s="36"/>
      <c r="D14" s="83"/>
    </row>
    <row r="15" spans="1:4" ht="14.25">
      <c r="A15" s="18" t="s">
        <v>48</v>
      </c>
      <c r="C15" s="12">
        <v>-588.38</v>
      </c>
      <c r="D15" s="83"/>
    </row>
    <row r="16" spans="1:4" ht="14.25">
      <c r="A16" s="18"/>
      <c r="B16" s="27"/>
      <c r="C16" s="36"/>
      <c r="D16" s="83"/>
    </row>
    <row r="17" spans="1:4" ht="15">
      <c r="A17" s="25" t="s">
        <v>71</v>
      </c>
      <c r="B17" s="65">
        <v>0</v>
      </c>
      <c r="C17" s="72">
        <v>-1006.76</v>
      </c>
      <c r="D17" s="83"/>
    </row>
    <row r="18" spans="1:4" ht="15">
      <c r="A18" s="25"/>
      <c r="B18" s="66"/>
      <c r="C18" s="66"/>
      <c r="D18" s="83"/>
    </row>
    <row r="19" spans="1:4" ht="15">
      <c r="A19" s="14" t="s">
        <v>115</v>
      </c>
      <c r="B19" s="66"/>
      <c r="C19" s="66"/>
      <c r="D19" s="83"/>
    </row>
    <row r="20" spans="1:4" ht="15">
      <c r="A20" s="15" t="s">
        <v>27</v>
      </c>
      <c r="B20" s="66"/>
      <c r="C20" s="66"/>
      <c r="D20" s="83"/>
    </row>
    <row r="21" spans="1:4" ht="15">
      <c r="A21" s="16" t="s">
        <v>116</v>
      </c>
      <c r="B21" s="66"/>
      <c r="C21" s="66"/>
      <c r="D21" s="83"/>
    </row>
    <row r="22" spans="1:4" ht="15">
      <c r="A22" s="18" t="s">
        <v>117</v>
      </c>
      <c r="B22" s="66"/>
      <c r="C22" s="12">
        <v>-286.01999999999998</v>
      </c>
      <c r="D22" s="83"/>
    </row>
    <row r="23" spans="1:4" ht="15">
      <c r="A23" s="18" t="s">
        <v>118</v>
      </c>
      <c r="B23" s="66"/>
      <c r="C23" s="12">
        <v>-677.13999999999999</v>
      </c>
      <c r="D23" s="83"/>
    </row>
    <row r="24" spans="1:4" ht="15">
      <c r="A24" s="18" t="s">
        <v>119</v>
      </c>
      <c r="B24" s="66"/>
      <c r="C24" s="12">
        <v>-10.140000000000001</v>
      </c>
      <c r="D24" s="83"/>
    </row>
    <row r="25" spans="1:4" ht="15">
      <c r="A25" s="25"/>
      <c r="B25" s="27"/>
      <c r="C25" s="27"/>
      <c r="D25" s="83"/>
    </row>
    <row r="26" spans="1:4" ht="15">
      <c r="A26" s="25" t="s">
        <v>120</v>
      </c>
      <c r="B26" s="65">
        <v>0</v>
      </c>
      <c r="C26" s="71">
        <v>-973.29999999999995</v>
      </c>
      <c r="D26" s="83"/>
    </row>
    <row r="27" spans="1:4" ht="15">
      <c r="A27" s="25"/>
      <c r="B27" s="66"/>
      <c r="C27" s="66"/>
      <c r="D27" s="83"/>
    </row>
    <row r="28" spans="1:4" ht="15">
      <c r="A28" s="14" t="s">
        <v>67</v>
      </c>
      <c r="B28" s="29"/>
      <c r="C28" s="29"/>
      <c r="D28" s="83"/>
    </row>
    <row r="29" spans="1:4" ht="15">
      <c r="A29" s="15" t="s">
        <v>27</v>
      </c>
      <c r="B29" s="27"/>
      <c r="C29" s="27"/>
      <c r="D29" s="83"/>
    </row>
    <row r="30" spans="1:4" ht="15">
      <c r="A30" s="16" t="s">
        <v>36</v>
      </c>
      <c r="B30" s="27"/>
      <c r="C30" s="27"/>
      <c r="D30" s="83"/>
    </row>
    <row r="31" spans="1:4" ht="14.25">
      <c r="A31" s="18" t="s">
        <v>30</v>
      </c>
      <c r="B31" s="64" t="s">
        <v>74</v>
      </c>
      <c r="C31" s="12">
        <v>-2.2799999999999998</v>
      </c>
      <c r="D31" s="83"/>
    </row>
    <row r="32" spans="1:4" ht="14.25">
      <c r="A32" s="18" t="s">
        <v>132</v>
      </c>
      <c r="B32" s="64" t="s">
        <v>74</v>
      </c>
      <c r="C32" s="12">
        <v>-2.9100000000000001</v>
      </c>
      <c r="D32" s="83"/>
    </row>
    <row r="33" spans="1:4" ht="14.25">
      <c r="A33" s="18" t="s">
        <v>133</v>
      </c>
      <c r="B33" s="64" t="s">
        <v>74</v>
      </c>
      <c r="C33" s="12">
        <v>-2.1600000000000001</v>
      </c>
      <c r="D33" s="83"/>
    </row>
    <row r="34" spans="1:4" ht="14.25">
      <c r="A34" s="18" t="s">
        <v>134</v>
      </c>
      <c r="B34" s="64" t="s">
        <v>74</v>
      </c>
      <c r="C34" s="12">
        <v>-2.1400000000000001</v>
      </c>
      <c r="D34" s="83"/>
    </row>
    <row r="35" spans="1:4" ht="14.25">
      <c r="A35" s="18" t="s">
        <v>80</v>
      </c>
      <c r="B35" s="64" t="s">
        <v>74</v>
      </c>
      <c r="C35" s="12">
        <v>-19.34</v>
      </c>
      <c r="D35" s="83"/>
    </row>
    <row r="36" spans="1:4" ht="14.25">
      <c r="A36" s="18" t="s">
        <v>76</v>
      </c>
      <c r="B36" s="12">
        <v>2.1400000000000001</v>
      </c>
      <c r="C36" s="64">
        <v>0</v>
      </c>
      <c r="D36" s="83"/>
    </row>
    <row r="37" spans="1:7" ht="14.25">
      <c r="A37" s="18" t="s">
        <v>81</v>
      </c>
      <c r="B37" s="12">
        <v>1.8</v>
      </c>
      <c r="C37" s="64" t="s">
        <v>74</v>
      </c>
      <c r="D37" s="83"/>
      <c r="G37" t="s">
        <v>136</v>
      </c>
    </row>
    <row r="38" spans="1:4" ht="14.25">
      <c r="A38" s="18" t="s">
        <v>121</v>
      </c>
      <c r="B38" s="12">
        <v>0</v>
      </c>
      <c r="C38" s="64" t="s">
        <v>74</v>
      </c>
      <c r="D38" s="83"/>
    </row>
    <row r="39" spans="1:4" ht="14.25">
      <c r="A39" s="18" t="s">
        <v>31</v>
      </c>
      <c r="B39" s="12" t="s">
        <v>74</v>
      </c>
      <c r="C39" s="12">
        <v>-37.060000000000002</v>
      </c>
      <c r="D39" s="83"/>
    </row>
    <row r="40" spans="1:4" ht="14.25">
      <c r="A40" s="18" t="s">
        <v>122</v>
      </c>
      <c r="B40" s="12" t="s">
        <v>74</v>
      </c>
      <c r="C40" s="12">
        <v>-1105.3399999999999</v>
      </c>
      <c r="D40" s="83"/>
    </row>
    <row r="41" spans="1:4" ht="14.25">
      <c r="A41" s="18" t="s">
        <v>135</v>
      </c>
      <c r="B41" s="12" t="s">
        <v>74</v>
      </c>
      <c r="C41" s="12">
        <v>-0.029999999999999999</v>
      </c>
      <c r="D41" s="83"/>
    </row>
    <row r="42" spans="1:4" ht="14.25">
      <c r="A42" s="18" t="s">
        <v>123</v>
      </c>
      <c r="B42" s="12" t="s">
        <v>74</v>
      </c>
      <c r="C42" s="12">
        <v>-5023.1899999999996</v>
      </c>
      <c r="D42" s="83"/>
    </row>
    <row r="43" spans="1:4" ht="14.25">
      <c r="A43" s="18" t="s">
        <v>124</v>
      </c>
      <c r="B43" s="12" t="s">
        <v>74</v>
      </c>
      <c r="C43" s="12">
        <v>-0.34999999999999998</v>
      </c>
      <c r="D43" s="83"/>
    </row>
    <row r="44" spans="1:4" ht="14.25">
      <c r="A44" s="18" t="s">
        <v>125</v>
      </c>
      <c r="B44" s="12" t="s">
        <v>74</v>
      </c>
      <c r="C44" s="12">
        <v>-85.890000000000001</v>
      </c>
      <c r="D44" s="83"/>
    </row>
    <row r="45" spans="1:4" ht="14.25">
      <c r="A45" s="18" t="s">
        <v>107</v>
      </c>
      <c r="B45" s="12" t="s">
        <v>74</v>
      </c>
      <c r="C45" s="12">
        <v>-103.11</v>
      </c>
      <c r="D45" s="83"/>
    </row>
    <row r="46" spans="1:4" ht="14.25">
      <c r="A46" s="18" t="s">
        <v>108</v>
      </c>
      <c r="B46" s="12">
        <v>924.96000000000004</v>
      </c>
      <c r="C46" s="12" t="s">
        <v>74</v>
      </c>
      <c r="D46" s="83"/>
    </row>
    <row r="47" spans="1:4" ht="14.25">
      <c r="A47" s="18" t="s">
        <v>126</v>
      </c>
      <c r="B47" s="12" t="s">
        <v>74</v>
      </c>
      <c r="C47" s="12">
        <v>-5.5499999999999998</v>
      </c>
      <c r="D47" s="83"/>
    </row>
    <row r="48" spans="1:4" ht="14.25">
      <c r="A48" s="18" t="s">
        <v>106</v>
      </c>
      <c r="B48" s="12" t="s">
        <v>74</v>
      </c>
      <c r="C48" s="12">
        <v>-73.900000000000006</v>
      </c>
      <c r="D48" s="83"/>
    </row>
    <row r="49" spans="1:4" ht="14.25">
      <c r="A49" s="18" t="s">
        <v>110</v>
      </c>
      <c r="B49" s="12" t="s">
        <v>74</v>
      </c>
      <c r="C49" s="12">
        <v>-52.990000000000002</v>
      </c>
      <c r="D49" s="83"/>
    </row>
    <row r="50" spans="1:4" ht="14.25">
      <c r="A50" s="18" t="s">
        <v>112</v>
      </c>
      <c r="B50" s="12">
        <v>61.979999999999997</v>
      </c>
      <c r="C50" s="12" t="s">
        <v>74</v>
      </c>
      <c r="D50" s="83"/>
    </row>
    <row r="51" spans="1:4" ht="14.25">
      <c r="A51" s="18"/>
      <c r="B51" s="12"/>
      <c r="C51" s="12"/>
      <c r="D51" s="83"/>
    </row>
    <row r="52" spans="1:4" ht="15">
      <c r="A52" s="25" t="s">
        <v>72</v>
      </c>
      <c r="B52" s="71">
        <v>990.88000000000011</v>
      </c>
      <c r="C52" s="71">
        <v>-6516.2399999999998</v>
      </c>
      <c r="D52" s="83"/>
    </row>
    <row r="53" spans="1:4" ht="14.25">
      <c r="A53" s="18"/>
      <c r="D53" s="83"/>
    </row>
    <row r="54" spans="1:4" ht="15">
      <c r="A54" s="14" t="s">
        <v>15</v>
      </c>
      <c r="B54" s="29"/>
      <c r="C54" s="29"/>
      <c r="D54" s="83"/>
    </row>
    <row r="55" spans="1:4" ht="15">
      <c r="A55" s="15" t="s">
        <v>27</v>
      </c>
      <c r="B55" s="28"/>
      <c r="C55" s="28"/>
      <c r="D55" s="83"/>
    </row>
    <row r="56" spans="1:4" ht="15">
      <c r="A56" s="16" t="s">
        <v>116</v>
      </c>
      <c r="B56" s="28"/>
      <c r="C56" s="28"/>
      <c r="D56" s="83"/>
    </row>
    <row r="57" spans="1:4" ht="14.25">
      <c r="A57" s="18" t="s">
        <v>49</v>
      </c>
      <c r="B57" s="64" t="s">
        <v>74</v>
      </c>
      <c r="C57" s="12">
        <v>-28.5</v>
      </c>
      <c r="D57" s="83"/>
    </row>
    <row r="58" spans="1:4" ht="14.25">
      <c r="A58" s="18" t="s">
        <v>33</v>
      </c>
      <c r="B58" s="12">
        <v>18.949999999999999</v>
      </c>
      <c r="C58" s="28"/>
      <c r="D58" s="83"/>
    </row>
    <row r="59" spans="1:4" ht="14.25">
      <c r="A59" s="18" t="s">
        <v>114</v>
      </c>
      <c r="B59" s="12">
        <v>3.27</v>
      </c>
      <c r="C59" s="28"/>
      <c r="D59" s="83"/>
    </row>
    <row r="60" spans="1:4" ht="15">
      <c r="A60" s="15"/>
      <c r="B60" s="28"/>
      <c r="C60" s="28"/>
      <c r="D60" s="83"/>
    </row>
    <row r="61" spans="1:4" ht="15">
      <c r="A61" s="16" t="s">
        <v>36</v>
      </c>
      <c r="B61" s="28"/>
      <c r="C61" s="28"/>
      <c r="D61" s="83"/>
    </row>
    <row r="62" spans="1:4" ht="14.25">
      <c r="A62" s="18" t="s">
        <v>15</v>
      </c>
      <c r="B62" s="12">
        <v>5.5499999999999998</v>
      </c>
      <c r="C62" s="12">
        <v>-437.81</v>
      </c>
      <c r="D62" s="83"/>
    </row>
    <row r="63" spans="1:4" ht="14.25">
      <c r="A63" s="18"/>
      <c r="B63" s="28"/>
      <c r="C63" s="28"/>
      <c r="D63" s="83"/>
    </row>
    <row r="64" spans="1:4" ht="15">
      <c r="A64" s="25" t="s">
        <v>50</v>
      </c>
      <c r="B64" s="71">
        <v>27.77</v>
      </c>
      <c r="C64" s="71">
        <v>-466.31</v>
      </c>
      <c r="D64" s="83"/>
    </row>
    <row r="65" spans="4:4" ht="14.25">
      <c r="D65" s="83"/>
    </row>
    <row r="66" spans="1:4" ht="15">
      <c r="A66" s="75" t="s">
        <v>82</v>
      </c>
      <c r="D66" s="83"/>
    </row>
    <row r="67" spans="1:4" ht="15">
      <c r="A67" s="16" t="s">
        <v>116</v>
      </c>
      <c r="D67" s="83"/>
    </row>
    <row r="68" spans="1:4" ht="14.25">
      <c r="A68" s="18" t="s">
        <v>83</v>
      </c>
      <c r="B68" s="12">
        <v>28.09</v>
      </c>
      <c r="C68" s="64"/>
      <c r="D68" s="83"/>
    </row>
    <row r="69" spans="2:4" ht="14.25">
      <c r="B69" s="73"/>
      <c r="D69" s="83"/>
    </row>
    <row r="70" spans="2:4" ht="14.25">
      <c r="B70" s="73"/>
      <c r="D70" s="83"/>
    </row>
    <row r="71" spans="1:4" ht="15">
      <c r="A71" s="25" t="s">
        <v>127</v>
      </c>
      <c r="B71" s="72">
        <v>28.09</v>
      </c>
      <c r="C71" s="65">
        <v>0</v>
      </c>
      <c r="D71" s="83"/>
    </row>
    <row r="72" spans="4:4" ht="14.25">
      <c r="D72" s="83"/>
    </row>
    <row r="73" spans="4:4" ht="14.25">
      <c r="D73" s="83"/>
    </row>
    <row r="74" spans="1:4" ht="15">
      <c r="A74" s="25" t="s">
        <v>128</v>
      </c>
      <c r="B74" s="74">
        <v>1046.74</v>
      </c>
      <c r="C74" s="74">
        <v>-8962.6100000000006</v>
      </c>
      <c r="D74" s="83"/>
    </row>
    <row r="75" spans="1:4" ht="14.25">
      <c r="A75" s="82" t="s">
        <v>147</v>
      </c>
      <c r="B75" s="82"/>
      <c r="C75" s="82"/>
      <c r="D75" s="83"/>
    </row>
  </sheetData>
  <mergeCells count="9">
    <mergeCell ref="D1:D6"/>
    <mergeCell ref="D7:D75"/>
    <mergeCell ref="A75:C75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75c4b1c-2932-448a-a31f-1b311cd8750e}">
  <dimension ref="A1:H31"/>
  <sheetViews>
    <sheetView rightToLeft="1" workbookViewId="0" topLeftCell="A1">
      <selection pane="topLeft" activeCell="A31" sqref="A31:G31"/>
    </sheetView>
  </sheetViews>
  <sheetFormatPr defaultRowHeight="14.25"/>
  <cols>
    <col min="1" max="1" width="44.25" bestFit="1" customWidth="1"/>
    <col min="2" max="6" width="10.625" customWidth="1"/>
    <col min="7" max="7" width="12" bestFit="1" customWidth="1"/>
  </cols>
  <sheetData>
    <row r="1" spans="1:8" ht="41.45" customHeight="1">
      <c r="A1" s="90" t="s">
        <v>152</v>
      </c>
      <c r="B1" s="90"/>
      <c r="C1" s="90"/>
      <c r="D1" s="90"/>
      <c r="E1" s="90"/>
      <c r="F1" s="90"/>
      <c r="G1" s="90"/>
      <c r="H1" s="83" t="s">
        <v>146</v>
      </c>
    </row>
    <row r="2" spans="1:8" ht="14.25">
      <c r="A2" s="85"/>
      <c r="B2" s="85"/>
      <c r="C2" s="85"/>
      <c r="D2" s="85"/>
      <c r="E2" s="85"/>
      <c r="F2" s="85"/>
      <c r="G2" s="85"/>
      <c r="H2" s="83"/>
    </row>
    <row r="3" spans="1:8" ht="15">
      <c r="A3" s="91" t="s">
        <v>151</v>
      </c>
      <c r="B3" s="91"/>
      <c r="C3" s="91"/>
      <c r="D3" s="91"/>
      <c r="E3" s="91"/>
      <c r="F3" s="91"/>
      <c r="G3" s="91"/>
      <c r="H3" s="83"/>
    </row>
    <row r="4" spans="1:8" ht="14.25">
      <c r="A4" s="85"/>
      <c r="B4" s="85"/>
      <c r="C4" s="85"/>
      <c r="D4" s="85"/>
      <c r="E4" s="85"/>
      <c r="F4" s="85"/>
      <c r="G4" s="85"/>
      <c r="H4" s="83"/>
    </row>
    <row r="5" spans="1:8" ht="15">
      <c r="A5" s="84" t="s">
        <v>144</v>
      </c>
      <c r="B5" s="84"/>
      <c r="C5" s="84"/>
      <c r="D5" s="84"/>
      <c r="E5" s="84"/>
      <c r="F5" s="84"/>
      <c r="G5" s="84"/>
      <c r="H5" s="83"/>
    </row>
    <row r="6" spans="1:8" ht="14.25">
      <c r="A6" s="82" t="s">
        <v>145</v>
      </c>
      <c r="B6" s="82"/>
      <c r="C6" s="82"/>
      <c r="D6" s="82"/>
      <c r="E6" s="82"/>
      <c r="F6" s="82"/>
      <c r="G6" s="82"/>
      <c r="H6" s="83"/>
    </row>
    <row r="7" spans="1:8" ht="60">
      <c r="A7" s="1"/>
      <c r="B7" s="1" t="s">
        <v>37</v>
      </c>
      <c r="C7" s="1" t="s">
        <v>18</v>
      </c>
      <c r="D7" s="2" t="s">
        <v>19</v>
      </c>
      <c r="E7" s="2" t="s">
        <v>20</v>
      </c>
      <c r="F7" s="2" t="s">
        <v>23</v>
      </c>
      <c r="G7" s="2" t="s">
        <v>38</v>
      </c>
      <c r="H7" s="83" t="s">
        <v>147</v>
      </c>
    </row>
    <row r="8" spans="1:8" ht="15">
      <c r="A8" s="1"/>
      <c r="B8" s="1"/>
      <c r="C8" s="1"/>
      <c r="D8" s="1"/>
      <c r="E8" s="1" t="s">
        <v>7</v>
      </c>
      <c r="F8" s="1" t="s">
        <v>7</v>
      </c>
      <c r="G8" s="1" t="s">
        <v>6</v>
      </c>
      <c r="H8" s="83"/>
    </row>
    <row r="9" spans="8:8" ht="14.25">
      <c r="H9" s="83"/>
    </row>
    <row r="10" spans="1:8" ht="15">
      <c r="A10" s="19" t="s">
        <v>63</v>
      </c>
      <c r="B10" s="7"/>
      <c r="C10" s="7"/>
      <c r="D10" s="7"/>
      <c r="E10" s="8"/>
      <c r="F10" s="7"/>
      <c r="G10" s="8"/>
      <c r="H10" s="83"/>
    </row>
    <row r="11" spans="1:8" ht="15">
      <c r="A11" s="15" t="s">
        <v>138</v>
      </c>
      <c r="B11" s="7"/>
      <c r="C11" s="7"/>
      <c r="D11" s="7"/>
      <c r="E11" s="8"/>
      <c r="F11" s="7"/>
      <c r="G11" s="8"/>
      <c r="H11" s="83"/>
    </row>
    <row r="12" spans="1:8" ht="15">
      <c r="A12" s="35" t="s">
        <v>61</v>
      </c>
      <c r="B12" s="7"/>
      <c r="C12" s="7"/>
      <c r="D12" s="7"/>
      <c r="E12" s="8"/>
      <c r="F12" s="7"/>
      <c r="G12" s="8"/>
      <c r="H12" s="83"/>
    </row>
    <row r="13" spans="1:8" ht="14.25">
      <c r="A13" s="7"/>
      <c r="B13" s="7"/>
      <c r="C13" s="7"/>
      <c r="D13" s="7"/>
      <c r="E13" s="8"/>
      <c r="F13" s="7"/>
      <c r="G13" s="8"/>
      <c r="H13" s="83"/>
    </row>
    <row r="14" spans="1:8" ht="14.25">
      <c r="A14" s="18" t="s">
        <v>77</v>
      </c>
      <c r="B14" s="48" t="s">
        <v>140</v>
      </c>
      <c r="C14" s="7" t="s">
        <v>40</v>
      </c>
      <c r="D14" s="7" t="s">
        <v>47</v>
      </c>
      <c r="E14" s="8">
        <v>0.079699999999999993</v>
      </c>
      <c r="F14" s="7"/>
      <c r="G14" s="76">
        <v>-108.67</v>
      </c>
      <c r="H14" s="83"/>
    </row>
    <row r="15" spans="1:8" ht="14.25">
      <c r="A15" s="7"/>
      <c r="B15" s="7"/>
      <c r="C15" s="7"/>
      <c r="D15" s="7"/>
      <c r="E15" s="8"/>
      <c r="F15" s="7"/>
      <c r="G15" s="77"/>
      <c r="H15" s="83"/>
    </row>
    <row r="16" spans="1:8" ht="15">
      <c r="A16" s="16" t="s">
        <v>29</v>
      </c>
      <c r="B16" s="7"/>
      <c r="C16" s="7"/>
      <c r="D16" s="7"/>
      <c r="E16" s="8"/>
      <c r="F16" s="7"/>
      <c r="G16" s="30">
        <v>-108.67</v>
      </c>
      <c r="H16" s="83"/>
    </row>
    <row r="17" spans="1:8" ht="15">
      <c r="A17" s="17"/>
      <c r="B17" s="7"/>
      <c r="C17" s="7"/>
      <c r="D17" s="7"/>
      <c r="E17" s="8"/>
      <c r="F17" s="7"/>
      <c r="G17" s="11"/>
      <c r="H17" s="83"/>
    </row>
    <row r="18" spans="1:8" ht="15.75">
      <c r="A18" s="9" t="s">
        <v>78</v>
      </c>
      <c r="B18" s="7"/>
      <c r="C18" s="7"/>
      <c r="D18" s="7"/>
      <c r="E18" s="8"/>
      <c r="F18" s="7"/>
      <c r="G18" s="30">
        <v>-108.67</v>
      </c>
      <c r="H18" s="83"/>
    </row>
    <row r="19" spans="1:8" ht="15.75">
      <c r="A19" s="9"/>
      <c r="B19" s="7"/>
      <c r="C19" s="7"/>
      <c r="D19" s="7"/>
      <c r="E19" s="8"/>
      <c r="F19" s="7"/>
      <c r="G19" s="67"/>
      <c r="H19" s="83"/>
    </row>
    <row r="20" spans="1:8" ht="15">
      <c r="A20" s="68" t="s">
        <v>82</v>
      </c>
      <c r="B20" s="7"/>
      <c r="C20" s="7"/>
      <c r="D20" s="7"/>
      <c r="E20" s="8"/>
      <c r="F20" s="7"/>
      <c r="G20" s="67"/>
      <c r="H20" s="83"/>
    </row>
    <row r="21" spans="1:8" ht="15">
      <c r="A21" s="15" t="s">
        <v>138</v>
      </c>
      <c r="B21" s="7"/>
      <c r="C21" s="7"/>
      <c r="D21" s="7"/>
      <c r="E21" s="8"/>
      <c r="F21" s="7"/>
      <c r="G21" s="67"/>
      <c r="H21" s="83"/>
    </row>
    <row r="22" spans="1:8" ht="15">
      <c r="A22" s="35" t="s">
        <v>61</v>
      </c>
      <c r="B22" s="7"/>
      <c r="C22" s="7"/>
      <c r="D22" s="7"/>
      <c r="E22" s="8"/>
      <c r="F22" s="7"/>
      <c r="G22" s="67"/>
      <c r="H22" s="83"/>
    </row>
    <row r="23" spans="1:8" ht="14.25">
      <c r="A23" s="18" t="s">
        <v>129</v>
      </c>
      <c r="B23" s="48">
        <v>44550</v>
      </c>
      <c r="C23" s="7" t="s">
        <v>84</v>
      </c>
      <c r="D23" s="7" t="s">
        <v>47</v>
      </c>
      <c r="E23" s="8">
        <v>0.013400000000000001</v>
      </c>
      <c r="F23" s="7"/>
      <c r="G23" s="28">
        <v>-218</v>
      </c>
      <c r="H23" s="83"/>
    </row>
    <row r="24" spans="1:8" ht="15.75">
      <c r="A24" s="9"/>
      <c r="B24" s="7"/>
      <c r="C24" s="7"/>
      <c r="D24" s="7"/>
      <c r="E24" s="8"/>
      <c r="F24" s="7"/>
      <c r="G24" s="67"/>
      <c r="H24" s="83"/>
    </row>
    <row r="25" spans="1:8" ht="15">
      <c r="A25" s="16" t="s">
        <v>29</v>
      </c>
      <c r="B25" s="7"/>
      <c r="C25" s="7"/>
      <c r="D25" s="7"/>
      <c r="E25" s="8"/>
      <c r="F25" s="7"/>
      <c r="G25" s="30">
        <v>-218</v>
      </c>
      <c r="H25" s="83"/>
    </row>
    <row r="26" spans="1:8" ht="15.75">
      <c r="A26" s="9"/>
      <c r="B26" s="7"/>
      <c r="C26" s="7"/>
      <c r="D26" s="7"/>
      <c r="E26" s="8"/>
      <c r="F26" s="7"/>
      <c r="G26" s="67"/>
      <c r="H26" s="83"/>
    </row>
    <row r="27" spans="1:8" ht="15.75">
      <c r="A27" s="9" t="s">
        <v>130</v>
      </c>
      <c r="B27" s="7"/>
      <c r="C27" s="7"/>
      <c r="D27" s="7"/>
      <c r="E27" s="8"/>
      <c r="F27" s="7"/>
      <c r="G27" s="30">
        <v>-218</v>
      </c>
      <c r="H27" s="83"/>
    </row>
    <row r="28" spans="1:8" ht="15.75">
      <c r="A28" s="9"/>
      <c r="B28" s="7"/>
      <c r="C28" s="7"/>
      <c r="D28" s="7"/>
      <c r="E28" s="8"/>
      <c r="F28" s="7"/>
      <c r="G28" s="67"/>
      <c r="H28" s="83"/>
    </row>
    <row r="29" spans="1:8" ht="15">
      <c r="A29" s="17"/>
      <c r="B29" s="7"/>
      <c r="C29" s="7"/>
      <c r="D29" s="7"/>
      <c r="E29" s="8"/>
      <c r="F29" s="7"/>
      <c r="G29" s="77"/>
      <c r="H29" s="83"/>
    </row>
    <row r="30" spans="1:8" ht="15.75">
      <c r="A30" s="9" t="s">
        <v>44</v>
      </c>
      <c r="B30" s="7"/>
      <c r="C30" s="7"/>
      <c r="D30" s="7"/>
      <c r="E30" s="7"/>
      <c r="F30" s="7"/>
      <c r="G30" s="78">
        <v>-326.67000000000002</v>
      </c>
      <c r="H30" s="83"/>
    </row>
    <row r="31" spans="1:8" ht="14.25">
      <c r="A31" s="82" t="s">
        <v>147</v>
      </c>
      <c r="B31" s="82"/>
      <c r="C31" s="82"/>
      <c r="D31" s="82"/>
      <c r="E31" s="82"/>
      <c r="F31" s="82"/>
      <c r="G31" s="82"/>
      <c r="H31" s="83"/>
    </row>
  </sheetData>
  <mergeCells count="9">
    <mergeCell ref="H1:H6"/>
    <mergeCell ref="H7:H31"/>
    <mergeCell ref="A31:G31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orientation="portrait" paperSize="9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67fa5fa-e5f0-4c45-8d94-2dd69dd0396f}">
  <dimension ref="A1:L17"/>
  <sheetViews>
    <sheetView rightToLeft="1" workbookViewId="0" topLeftCell="A1">
      <selection pane="topLeft" activeCell="A17" sqref="A17:G17"/>
    </sheetView>
  </sheetViews>
  <sheetFormatPr defaultRowHeight="14.25"/>
  <cols>
    <col min="1" max="1" width="38.25" bestFit="1" customWidth="1"/>
    <col min="2" max="2" width="9.875" bestFit="1" customWidth="1"/>
    <col min="3" max="3" width="9" bestFit="1" customWidth="1"/>
  </cols>
  <sheetData>
    <row r="1" spans="1:8" ht="69" customHeight="1">
      <c r="A1" s="90" t="s">
        <v>153</v>
      </c>
      <c r="B1" s="90"/>
      <c r="C1" s="90"/>
      <c r="D1" s="90"/>
      <c r="E1" s="90"/>
      <c r="F1" s="90"/>
      <c r="G1" s="90"/>
      <c r="H1" s="83" t="s">
        <v>146</v>
      </c>
    </row>
    <row r="2" spans="1:8" ht="15">
      <c r="A2" s="91" t="s">
        <v>154</v>
      </c>
      <c r="B2" s="91"/>
      <c r="C2" s="91"/>
      <c r="D2" s="91"/>
      <c r="E2" s="91"/>
      <c r="F2" s="91"/>
      <c r="G2" s="91"/>
      <c r="H2" s="83"/>
    </row>
    <row r="3" spans="1:8" ht="14.25">
      <c r="A3" s="85"/>
      <c r="B3" s="85"/>
      <c r="C3" s="85"/>
      <c r="D3" s="85"/>
      <c r="E3" s="85"/>
      <c r="F3" s="85"/>
      <c r="G3" s="85"/>
      <c r="H3" s="83"/>
    </row>
    <row r="4" spans="1:8" ht="15">
      <c r="A4" s="84" t="s">
        <v>144</v>
      </c>
      <c r="B4" s="84"/>
      <c r="C4" s="84"/>
      <c r="D4" s="84"/>
      <c r="E4" s="84"/>
      <c r="F4" s="84"/>
      <c r="G4" s="84"/>
      <c r="H4" s="83"/>
    </row>
    <row r="5" spans="1:8" ht="14.25">
      <c r="A5" s="82" t="s">
        <v>145</v>
      </c>
      <c r="B5" s="82"/>
      <c r="C5" s="82"/>
      <c r="D5" s="82"/>
      <c r="E5" s="82"/>
      <c r="F5" s="82"/>
      <c r="G5" s="82"/>
      <c r="H5" s="83"/>
    </row>
    <row r="6" spans="1:12" ht="60">
      <c r="A6" s="1"/>
      <c r="B6" s="22" t="s">
        <v>37</v>
      </c>
      <c r="C6" s="23" t="s">
        <v>51</v>
      </c>
      <c r="D6" s="23" t="s">
        <v>23</v>
      </c>
      <c r="E6" s="23" t="s">
        <v>41</v>
      </c>
      <c r="F6" s="23" t="s">
        <v>42</v>
      </c>
      <c r="G6" s="23" t="s">
        <v>43</v>
      </c>
      <c r="H6" s="93" t="s">
        <v>147</v>
      </c>
      <c r="I6" s="1"/>
      <c r="J6" s="1"/>
      <c r="K6" s="1"/>
      <c r="L6" s="1"/>
    </row>
    <row r="7" spans="1:12" ht="15">
      <c r="A7" s="1"/>
      <c r="B7" s="22"/>
      <c r="C7" s="22"/>
      <c r="D7" s="22" t="s">
        <v>7</v>
      </c>
      <c r="E7" s="22" t="s">
        <v>6</v>
      </c>
      <c r="F7" s="22" t="s">
        <v>6</v>
      </c>
      <c r="G7" s="22" t="s">
        <v>6</v>
      </c>
      <c r="H7" s="93"/>
      <c r="I7" s="1"/>
      <c r="J7" s="1"/>
      <c r="K7" s="1"/>
      <c r="L7" s="1"/>
    </row>
    <row r="8" spans="1:12" ht="15">
      <c r="A8" s="14"/>
      <c r="B8" s="47"/>
      <c r="C8" s="47"/>
      <c r="D8" s="47"/>
      <c r="E8" s="47"/>
      <c r="F8" s="47"/>
      <c r="G8" s="47"/>
      <c r="H8" s="93"/>
      <c r="I8" s="7"/>
      <c r="J8" s="7"/>
      <c r="K8" s="7"/>
      <c r="L8" s="7"/>
    </row>
    <row r="9" spans="1:8" ht="15">
      <c r="A9" s="15"/>
      <c r="B9" s="47"/>
      <c r="C9" s="47"/>
      <c r="D9" s="47"/>
      <c r="E9" s="47"/>
      <c r="F9" s="47"/>
      <c r="G9" s="47"/>
      <c r="H9" s="93"/>
    </row>
    <row r="10" spans="1:8" ht="15">
      <c r="A10" s="35"/>
      <c r="B10" s="47"/>
      <c r="C10" s="47"/>
      <c r="D10" s="47"/>
      <c r="E10" s="47"/>
      <c r="F10" s="47"/>
      <c r="G10" s="47"/>
      <c r="H10" s="93"/>
    </row>
    <row r="11" spans="1:8" ht="14.25">
      <c r="A11" s="18"/>
      <c r="B11" s="48"/>
      <c r="C11" s="40"/>
      <c r="D11" s="46"/>
      <c r="E11" s="24"/>
      <c r="F11" s="24"/>
      <c r="G11" s="36"/>
      <c r="H11" s="93"/>
    </row>
    <row r="12" spans="1:8" ht="14.25">
      <c r="A12" s="18"/>
      <c r="B12" s="48"/>
      <c r="C12" s="40"/>
      <c r="D12" s="46"/>
      <c r="E12" s="24"/>
      <c r="F12" s="24"/>
      <c r="G12" s="36"/>
      <c r="H12" s="93"/>
    </row>
    <row r="13" spans="1:8" ht="14.25">
      <c r="A13" s="18"/>
      <c r="B13" s="48"/>
      <c r="C13" s="40"/>
      <c r="D13" s="46"/>
      <c r="E13" s="24"/>
      <c r="F13" s="24"/>
      <c r="G13" s="36"/>
      <c r="H13" s="93"/>
    </row>
    <row r="14" spans="1:8" ht="14.25">
      <c r="A14" s="18"/>
      <c r="B14" s="48"/>
      <c r="C14" s="40"/>
      <c r="D14" s="46"/>
      <c r="E14" s="24"/>
      <c r="F14" s="24"/>
      <c r="G14" s="36"/>
      <c r="H14" s="93"/>
    </row>
    <row r="15" spans="1:8" ht="15">
      <c r="A15" s="15"/>
      <c r="B15" s="47"/>
      <c r="C15" s="47"/>
      <c r="D15" s="47"/>
      <c r="E15" s="47"/>
      <c r="F15" s="47"/>
      <c r="G15" s="47"/>
      <c r="H15" s="93"/>
    </row>
    <row r="16" spans="1:8" ht="15.75">
      <c r="A16" s="9" t="s">
        <v>44</v>
      </c>
      <c r="B16" s="47"/>
      <c r="C16" s="47"/>
      <c r="D16" s="47"/>
      <c r="E16" s="47"/>
      <c r="F16" s="47"/>
      <c r="G16" s="49">
        <v>0</v>
      </c>
      <c r="H16" s="93"/>
    </row>
    <row r="17" spans="1:8" ht="14.25">
      <c r="A17" s="82" t="s">
        <v>147</v>
      </c>
      <c r="B17" s="82"/>
      <c r="C17" s="82"/>
      <c r="D17" s="82"/>
      <c r="E17" s="82"/>
      <c r="F17" s="82"/>
      <c r="G17" s="82"/>
      <c r="H17" s="93"/>
    </row>
  </sheetData>
  <mergeCells count="8">
    <mergeCell ref="H6:H17"/>
    <mergeCell ref="A17:G17"/>
    <mergeCell ref="A5:G5"/>
    <mergeCell ref="A1:G1"/>
    <mergeCell ref="A2:G2"/>
    <mergeCell ref="A4:G4"/>
    <mergeCell ref="A3:G3"/>
    <mergeCell ref="H1:H5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6255fcd-4c86-41f7-b5ea-a9da85145b06}">
  <dimension ref="A1:F16"/>
  <sheetViews>
    <sheetView rightToLeft="1" workbookViewId="0" topLeftCell="A1">
      <selection pane="topLeft" activeCell="A5" sqref="A5:E5"/>
    </sheetView>
  </sheetViews>
  <sheetFormatPr defaultRowHeight="14.25"/>
  <cols>
    <col min="1" max="1" width="37" customWidth="1"/>
    <col min="2" max="2" width="11.5" bestFit="1" customWidth="1"/>
    <col min="4" max="4" width="9.875" bestFit="1" customWidth="1"/>
    <col min="5" max="5" width="13.5" bestFit="1" customWidth="1"/>
  </cols>
  <sheetData>
    <row r="1" spans="1:6" ht="55.15" customHeight="1">
      <c r="A1" s="90" t="s">
        <v>155</v>
      </c>
      <c r="B1" s="90"/>
      <c r="C1" s="90"/>
      <c r="D1" s="90"/>
      <c r="E1" s="90"/>
      <c r="F1" s="83" t="s">
        <v>146</v>
      </c>
    </row>
    <row r="2" spans="1:6" ht="15">
      <c r="A2" s="84" t="s">
        <v>143</v>
      </c>
      <c r="B2" s="84"/>
      <c r="C2" s="84"/>
      <c r="D2" s="84"/>
      <c r="E2" s="84"/>
      <c r="F2" s="83"/>
    </row>
    <row r="3" spans="1:6" ht="14.25">
      <c r="A3" s="85"/>
      <c r="B3" s="85"/>
      <c r="C3" s="85"/>
      <c r="D3" s="85"/>
      <c r="E3" s="85"/>
      <c r="F3" s="83"/>
    </row>
    <row r="4" spans="1:6" ht="15">
      <c r="A4" s="84" t="s">
        <v>144</v>
      </c>
      <c r="B4" s="84"/>
      <c r="C4" s="84"/>
      <c r="D4" s="84"/>
      <c r="E4" s="84"/>
      <c r="F4" s="83"/>
    </row>
    <row r="5" spans="1:6" ht="14.25">
      <c r="A5" s="82" t="s">
        <v>145</v>
      </c>
      <c r="B5" s="82"/>
      <c r="C5" s="82"/>
      <c r="D5" s="82"/>
      <c r="E5" s="82"/>
      <c r="F5" s="83"/>
    </row>
    <row r="6" spans="1:6" ht="60">
      <c r="A6" s="1"/>
      <c r="B6" s="1" t="s">
        <v>45</v>
      </c>
      <c r="C6" s="2" t="s">
        <v>17</v>
      </c>
      <c r="D6" s="2" t="s">
        <v>23</v>
      </c>
      <c r="E6" s="2" t="s">
        <v>46</v>
      </c>
      <c r="F6" s="93" t="s">
        <v>147</v>
      </c>
    </row>
    <row r="7" spans="1:6" ht="15">
      <c r="A7" s="80" t="s">
        <v>64</v>
      </c>
      <c r="B7" s="1"/>
      <c r="C7" s="1"/>
      <c r="D7" s="1" t="s">
        <v>7</v>
      </c>
      <c r="E7" s="1" t="s">
        <v>6</v>
      </c>
      <c r="F7" s="93"/>
    </row>
    <row r="8" spans="1:6" ht="14.25">
      <c r="A8" s="79" t="s">
        <v>139</v>
      </c>
      <c r="B8" s="20"/>
      <c r="C8" s="20"/>
      <c r="D8" s="21"/>
      <c r="E8" s="21"/>
      <c r="F8" s="93"/>
    </row>
    <row r="9" spans="1:6" ht="15">
      <c r="A9" s="15" t="s">
        <v>59</v>
      </c>
      <c r="B9" s="20"/>
      <c r="C9" s="20"/>
      <c r="D9" s="21"/>
      <c r="E9" s="21"/>
      <c r="F9" s="93"/>
    </row>
    <row r="10" spans="1:6" ht="15">
      <c r="A10" s="35" t="s">
        <v>60</v>
      </c>
      <c r="B10" s="20"/>
      <c r="C10" s="20"/>
      <c r="D10" s="21"/>
      <c r="E10" s="21"/>
      <c r="F10" s="93"/>
    </row>
    <row r="11" spans="1:6" ht="14.25">
      <c r="A11" s="70" t="s">
        <v>137</v>
      </c>
      <c r="B11" s="50">
        <v>44385</v>
      </c>
      <c r="C11" s="69">
        <v>1178292</v>
      </c>
      <c r="D11" s="8">
        <v>0.00010623486093333332</v>
      </c>
      <c r="E11" s="36">
        <f>47805.68742/1000</f>
        <v>47.805687420000005</v>
      </c>
      <c r="F11" s="93"/>
    </row>
    <row r="12" spans="1:6" ht="14.25">
      <c r="A12" s="18"/>
      <c r="C12" s="40"/>
      <c r="D12" s="8"/>
      <c r="E12" s="36"/>
      <c r="F12" s="93"/>
    </row>
    <row r="13" spans="1:6" ht="15.75">
      <c r="A13" s="16" t="s">
        <v>28</v>
      </c>
      <c r="E13" s="38">
        <v>47.805687420000005</v>
      </c>
      <c r="F13" s="93"/>
    </row>
    <row r="14" spans="1:6" ht="15">
      <c r="A14" s="16"/>
      <c r="E14" s="12"/>
      <c r="F14" s="93"/>
    </row>
    <row r="15" spans="1:6" ht="18">
      <c r="A15" s="9" t="s">
        <v>73</v>
      </c>
      <c r="E15" s="43">
        <v>47.805687420000005</v>
      </c>
      <c r="F15" s="93"/>
    </row>
    <row r="16" spans="1:6" ht="14.25">
      <c r="A16" s="82" t="s">
        <v>147</v>
      </c>
      <c r="B16" s="82"/>
      <c r="C16" s="82"/>
      <c r="D16" s="82"/>
      <c r="E16" s="82"/>
      <c r="F16" s="93"/>
    </row>
  </sheetData>
  <mergeCells count="8">
    <mergeCell ref="F6:F16"/>
    <mergeCell ref="A16:E16"/>
    <mergeCell ref="A5:E5"/>
    <mergeCell ref="A1:E1"/>
    <mergeCell ref="A2:E2"/>
    <mergeCell ref="A4:E4"/>
    <mergeCell ref="A3:E3"/>
    <mergeCell ref="F1:F5"/>
  </mergeCells>
  <pageMargins left="0.7" right="0.7" top="0.75" bottom="0.75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3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46155505-A78A-4600-A6FD-69938E6796C0}"/>
</file>

<file path=customXml/itemProps2.xml><?xml version="1.0" encoding="utf-8"?>
<ds:datastoreItem xmlns:ds="http://schemas.openxmlformats.org/officeDocument/2006/customXml" ds:itemID="{7B82BD01-E3C4-49AD-965B-AE465CEDCB90}"/>
</file>

<file path=customXml/itemProps3.xml><?xml version="1.0" encoding="utf-8"?>
<ds:datastoreItem xmlns:ds="http://schemas.openxmlformats.org/officeDocument/2006/customXml" ds:itemID="{F5E848FF-8612-4419-AB53-5BDA2C65FDF2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עסקאות עם צדדים קשורים לשנת 2021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