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ush67110\Downloads\"/>
    </mc:Choice>
  </mc:AlternateContent>
  <xr:revisionPtr revIDLastSave="0" documentId="8_{63D5FC48-DF54-4E91-AB6D-D278FE54BC4B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גיליון1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343" i="1" l="1"/>
  <c r="BG343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5" i="1"/>
  <c r="BG355" i="1"/>
  <c r="BF352" i="1" l="1"/>
  <c r="BF354" i="1" s="1"/>
  <c r="BG352" i="1"/>
  <c r="BG354" i="1" s="1"/>
  <c r="BF361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F360" i="1" l="1"/>
  <c r="BF358" i="1"/>
  <c r="BG360" i="1"/>
  <c r="BF357" i="1"/>
  <c r="BG359" i="1"/>
  <c r="BF359" i="1"/>
  <c r="BF356" i="1"/>
  <c r="BG357" i="1"/>
  <c r="BG358" i="1"/>
  <c r="BG356" i="1"/>
  <c r="Z352" i="1"/>
  <c r="Z354" i="1" s="1"/>
  <c r="AO352" i="1"/>
  <c r="AO354" i="1" s="1"/>
  <c r="G352" i="1"/>
  <c r="G360" i="1" s="1"/>
  <c r="V352" i="1"/>
  <c r="V356" i="1" s="1"/>
  <c r="AW352" i="1"/>
  <c r="AW354" i="1" s="1"/>
  <c r="N352" i="1"/>
  <c r="N356" i="1" s="1"/>
  <c r="AD352" i="1"/>
  <c r="AD356" i="1" s="1"/>
  <c r="R352" i="1"/>
  <c r="R354" i="1" s="1"/>
  <c r="AH352" i="1"/>
  <c r="AH354" i="1" s="1"/>
  <c r="AS352" i="1"/>
  <c r="AS356" i="1" s="1"/>
  <c r="BA352" i="1"/>
  <c r="BA356" i="1" s="1"/>
  <c r="BE352" i="1"/>
  <c r="BE354" i="1" s="1"/>
  <c r="V360" i="1"/>
  <c r="K352" i="1"/>
  <c r="K354" i="1" s="1"/>
  <c r="W352" i="1"/>
  <c r="W354" i="1" s="1"/>
  <c r="AI352" i="1"/>
  <c r="AI354" i="1" s="1"/>
  <c r="AT352" i="1"/>
  <c r="AT354" i="1" s="1"/>
  <c r="Z359" i="1"/>
  <c r="AD359" i="1"/>
  <c r="AS359" i="1"/>
  <c r="H352" i="1"/>
  <c r="H354" i="1" s="1"/>
  <c r="S352" i="1"/>
  <c r="S354" i="1" s="1"/>
  <c r="AE352" i="1"/>
  <c r="AE354" i="1" s="1"/>
  <c r="AP352" i="1"/>
  <c r="AP354" i="1" s="1"/>
  <c r="BB352" i="1"/>
  <c r="BB354" i="1" s="1"/>
  <c r="E352" i="1"/>
  <c r="E354" i="1" s="1"/>
  <c r="I352" i="1"/>
  <c r="I354" i="1" s="1"/>
  <c r="L352" i="1"/>
  <c r="L354" i="1" s="1"/>
  <c r="P352" i="1"/>
  <c r="P354" i="1" s="1"/>
  <c r="T352" i="1"/>
  <c r="T354" i="1" s="1"/>
  <c r="X352" i="1"/>
  <c r="X354" i="1" s="1"/>
  <c r="AB352" i="1"/>
  <c r="AB354" i="1" s="1"/>
  <c r="AF352" i="1"/>
  <c r="AF354" i="1" s="1"/>
  <c r="AJ352" i="1"/>
  <c r="AJ354" i="1" s="1"/>
  <c r="AM352" i="1"/>
  <c r="AM354" i="1" s="1"/>
  <c r="AQ352" i="1"/>
  <c r="AQ354" i="1" s="1"/>
  <c r="AU352" i="1"/>
  <c r="AU354" i="1" s="1"/>
  <c r="AY352" i="1"/>
  <c r="AY354" i="1" s="1"/>
  <c r="BC352" i="1"/>
  <c r="BC354" i="1" s="1"/>
  <c r="AD358" i="1"/>
  <c r="AH358" i="1"/>
  <c r="AO358" i="1"/>
  <c r="AS358" i="1"/>
  <c r="W359" i="1"/>
  <c r="BB359" i="1"/>
  <c r="O352" i="1"/>
  <c r="O354" i="1" s="1"/>
  <c r="AA352" i="1"/>
  <c r="AA354" i="1" s="1"/>
  <c r="AL352" i="1"/>
  <c r="AL354" i="1" s="1"/>
  <c r="AX352" i="1"/>
  <c r="AX354" i="1" s="1"/>
  <c r="F352" i="1"/>
  <c r="F354" i="1" s="1"/>
  <c r="J352" i="1"/>
  <c r="J354" i="1" s="1"/>
  <c r="M352" i="1"/>
  <c r="M354" i="1" s="1"/>
  <c r="Q352" i="1"/>
  <c r="Q354" i="1" s="1"/>
  <c r="U352" i="1"/>
  <c r="U354" i="1" s="1"/>
  <c r="Y352" i="1"/>
  <c r="Y354" i="1" s="1"/>
  <c r="AC352" i="1"/>
  <c r="AC354" i="1" s="1"/>
  <c r="AG352" i="1"/>
  <c r="AG354" i="1" s="1"/>
  <c r="AK352" i="1"/>
  <c r="AK354" i="1" s="1"/>
  <c r="AN352" i="1"/>
  <c r="AN354" i="1" s="1"/>
  <c r="AR352" i="1"/>
  <c r="AR354" i="1" s="1"/>
  <c r="AV352" i="1"/>
  <c r="AV354" i="1" s="1"/>
  <c r="AZ352" i="1"/>
  <c r="AZ354" i="1" s="1"/>
  <c r="BD352" i="1"/>
  <c r="BD354" i="1" s="1"/>
  <c r="R357" i="1"/>
  <c r="Z357" i="1"/>
  <c r="AD357" i="1"/>
  <c r="AH357" i="1"/>
  <c r="AO357" i="1"/>
  <c r="AE358" i="1"/>
  <c r="AT358" i="1"/>
  <c r="BB358" i="1"/>
  <c r="I359" i="1"/>
  <c r="X359" i="1"/>
  <c r="AY359" i="1"/>
  <c r="BC359" i="1"/>
  <c r="Q360" i="1"/>
  <c r="Z361" i="1"/>
  <c r="AH361" i="1"/>
  <c r="BB361" i="1"/>
  <c r="BA359" i="1"/>
  <c r="BE359" i="1"/>
  <c r="O360" i="1"/>
  <c r="S360" i="1"/>
  <c r="W360" i="1"/>
  <c r="AT360" i="1"/>
  <c r="BB360" i="1"/>
  <c r="X361" i="1"/>
  <c r="AB361" i="1"/>
  <c r="AF361" i="1"/>
  <c r="AY361" i="1"/>
  <c r="BC361" i="1"/>
  <c r="BG361" i="1"/>
  <c r="AN360" i="1" l="1"/>
  <c r="AX361" i="1"/>
  <c r="J360" i="1"/>
  <c r="AE360" i="1"/>
  <c r="AT361" i="1"/>
  <c r="F360" i="1"/>
  <c r="W358" i="1"/>
  <c r="Z358" i="1"/>
  <c r="M360" i="1"/>
  <c r="AO361" i="1"/>
  <c r="AS357" i="1"/>
  <c r="T360" i="1"/>
  <c r="AW359" i="1"/>
  <c r="AR360" i="1"/>
  <c r="V359" i="1"/>
  <c r="O358" i="1"/>
  <c r="V358" i="1"/>
  <c r="AV360" i="1"/>
  <c r="V357" i="1"/>
  <c r="K359" i="1"/>
  <c r="AK360" i="1"/>
  <c r="AF359" i="1"/>
  <c r="BE357" i="1"/>
  <c r="BE358" i="1"/>
  <c r="AU361" i="1"/>
  <c r="BE361" i="1"/>
  <c r="U360" i="1"/>
  <c r="BA357" i="1"/>
  <c r="G357" i="1"/>
  <c r="BA358" i="1"/>
  <c r="I361" i="1"/>
  <c r="R358" i="1"/>
  <c r="AG360" i="1"/>
  <c r="AL358" i="1"/>
  <c r="L358" i="1"/>
  <c r="G358" i="1"/>
  <c r="AY360" i="1"/>
  <c r="AQ361" i="1"/>
  <c r="AC360" i="1"/>
  <c r="AM361" i="1"/>
  <c r="R361" i="1"/>
  <c r="Y360" i="1"/>
  <c r="AM359" i="1"/>
  <c r="G359" i="1"/>
  <c r="L361" i="1"/>
  <c r="AX360" i="1"/>
  <c r="AI360" i="1"/>
  <c r="BD360" i="1"/>
  <c r="E360" i="1"/>
  <c r="Z356" i="1"/>
  <c r="AO359" i="1"/>
  <c r="AH359" i="1"/>
  <c r="AW361" i="1"/>
  <c r="P359" i="1"/>
  <c r="H358" i="1"/>
  <c r="AU360" i="1"/>
  <c r="H360" i="1"/>
  <c r="AJ360" i="1"/>
  <c r="H359" i="1"/>
  <c r="AW357" i="1"/>
  <c r="P360" i="1"/>
  <c r="AU359" i="1"/>
  <c r="AW358" i="1"/>
  <c r="AW360" i="1"/>
  <c r="P361" i="1"/>
  <c r="AH360" i="1"/>
  <c r="AP359" i="1"/>
  <c r="R359" i="1"/>
  <c r="AD360" i="1"/>
  <c r="M356" i="1"/>
  <c r="BA360" i="1"/>
  <c r="AO356" i="1"/>
  <c r="AR356" i="1"/>
  <c r="AY356" i="1"/>
  <c r="AK356" i="1"/>
  <c r="F356" i="1"/>
  <c r="AC361" i="1"/>
  <c r="BC360" i="1"/>
  <c r="AF360" i="1"/>
  <c r="Y357" i="1"/>
  <c r="BC356" i="1"/>
  <c r="AU356" i="1"/>
  <c r="AC358" i="1"/>
  <c r="AE361" i="1"/>
  <c r="AS360" i="1"/>
  <c r="Z360" i="1"/>
  <c r="AR359" i="1"/>
  <c r="AU358" i="1"/>
  <c r="AH356" i="1"/>
  <c r="AW356" i="1"/>
  <c r="U361" i="1"/>
  <c r="BD357" i="1"/>
  <c r="U357" i="1"/>
  <c r="BC357" i="1"/>
  <c r="P358" i="1"/>
  <c r="M358" i="1"/>
  <c r="O361" i="1"/>
  <c r="AC359" i="1"/>
  <c r="U356" i="1"/>
  <c r="AR361" i="1"/>
  <c r="M361" i="1"/>
  <c r="AN357" i="1"/>
  <c r="J357" i="1"/>
  <c r="AU357" i="1"/>
  <c r="F358" i="1"/>
  <c r="R360" i="1"/>
  <c r="M359" i="1"/>
  <c r="BE356" i="1"/>
  <c r="R356" i="1"/>
  <c r="O357" i="1"/>
  <c r="G356" i="1"/>
  <c r="AV356" i="1"/>
  <c r="AC356" i="1"/>
  <c r="AK361" i="1"/>
  <c r="F361" i="1"/>
  <c r="AK357" i="1"/>
  <c r="F357" i="1"/>
  <c r="X357" i="1"/>
  <c r="AR358" i="1"/>
  <c r="P357" i="1"/>
  <c r="AY358" i="1"/>
  <c r="W357" i="1"/>
  <c r="AA359" i="1"/>
  <c r="T358" i="1"/>
  <c r="AJ361" i="1"/>
  <c r="E361" i="1"/>
  <c r="AA360" i="1"/>
  <c r="AL360" i="1"/>
  <c r="AZ360" i="1"/>
  <c r="AQ359" i="1"/>
  <c r="AB359" i="1"/>
  <c r="L359" i="1"/>
  <c r="AX358" i="1"/>
  <c r="AI358" i="1"/>
  <c r="S358" i="1"/>
  <c r="AZ356" i="1"/>
  <c r="I357" i="1"/>
  <c r="AL356" i="1"/>
  <c r="O356" i="1"/>
  <c r="AV361" i="1"/>
  <c r="AG361" i="1"/>
  <c r="Q361" i="1"/>
  <c r="AM360" i="1"/>
  <c r="X360" i="1"/>
  <c r="I360" i="1"/>
  <c r="AT359" i="1"/>
  <c r="AE359" i="1"/>
  <c r="O359" i="1"/>
  <c r="AR357" i="1"/>
  <c r="AC357" i="1"/>
  <c r="M357" i="1"/>
  <c r="AM356" i="1"/>
  <c r="AF356" i="1"/>
  <c r="X356" i="1"/>
  <c r="P356" i="1"/>
  <c r="I356" i="1"/>
  <c r="AY357" i="1"/>
  <c r="AF357" i="1"/>
  <c r="BB356" i="1"/>
  <c r="AE356" i="1"/>
  <c r="H356" i="1"/>
  <c r="AV358" i="1"/>
  <c r="AG358" i="1"/>
  <c r="Q358" i="1"/>
  <c r="AB357" i="1"/>
  <c r="AT356" i="1"/>
  <c r="W356" i="1"/>
  <c r="AI361" i="1"/>
  <c r="S361" i="1"/>
  <c r="BE360" i="1"/>
  <c r="AO360" i="1"/>
  <c r="AV359" i="1"/>
  <c r="AG359" i="1"/>
  <c r="Q359" i="1"/>
  <c r="BC358" i="1"/>
  <c r="AM358" i="1"/>
  <c r="X358" i="1"/>
  <c r="AI357" i="1"/>
  <c r="BA354" i="1"/>
  <c r="BA361" i="1"/>
  <c r="AT357" i="1"/>
  <c r="AE357" i="1"/>
  <c r="G354" i="1"/>
  <c r="G361" i="1"/>
  <c r="AA357" i="1"/>
  <c r="K357" i="1"/>
  <c r="S357" i="1"/>
  <c r="AJ359" i="1"/>
  <c r="T359" i="1"/>
  <c r="E359" i="1"/>
  <c r="AP358" i="1"/>
  <c r="AA358" i="1"/>
  <c r="K358" i="1"/>
  <c r="BD356" i="1"/>
  <c r="AN356" i="1"/>
  <c r="AG356" i="1"/>
  <c r="Y356" i="1"/>
  <c r="Q356" i="1"/>
  <c r="J356" i="1"/>
  <c r="AJ357" i="1"/>
  <c r="AX356" i="1"/>
  <c r="AA356" i="1"/>
  <c r="BD361" i="1"/>
  <c r="AN361" i="1"/>
  <c r="Y361" i="1"/>
  <c r="J361" i="1"/>
  <c r="AL359" i="1"/>
  <c r="N358" i="1"/>
  <c r="AZ357" i="1"/>
  <c r="AQ356" i="1"/>
  <c r="AJ356" i="1"/>
  <c r="AB356" i="1"/>
  <c r="T356" i="1"/>
  <c r="L356" i="1"/>
  <c r="E356" i="1"/>
  <c r="AQ357" i="1"/>
  <c r="L357" i="1"/>
  <c r="AP356" i="1"/>
  <c r="S356" i="1"/>
  <c r="E358" i="1"/>
  <c r="BD358" i="1"/>
  <c r="AN358" i="1"/>
  <c r="Y358" i="1"/>
  <c r="J358" i="1"/>
  <c r="E357" i="1"/>
  <c r="AI356" i="1"/>
  <c r="K356" i="1"/>
  <c r="AA361" i="1"/>
  <c r="K361" i="1"/>
  <c r="BD359" i="1"/>
  <c r="AN359" i="1"/>
  <c r="Y359" i="1"/>
  <c r="J359" i="1"/>
  <c r="AF358" i="1"/>
  <c r="I358" i="1"/>
  <c r="AS354" i="1"/>
  <c r="AS361" i="1"/>
  <c r="H357" i="1"/>
  <c r="V354" i="1"/>
  <c r="V361" i="1"/>
  <c r="AX357" i="1"/>
  <c r="AJ358" i="1"/>
  <c r="N354" i="1"/>
  <c r="N361" i="1"/>
  <c r="T361" i="1"/>
  <c r="AP360" i="1"/>
  <c r="K360" i="1"/>
  <c r="AP361" i="1"/>
  <c r="N357" i="1"/>
  <c r="T357" i="1"/>
  <c r="AZ361" i="1"/>
  <c r="AQ360" i="1"/>
  <c r="AB360" i="1"/>
  <c r="L360" i="1"/>
  <c r="AX359" i="1"/>
  <c r="AI359" i="1"/>
  <c r="S359" i="1"/>
  <c r="AV357" i="1"/>
  <c r="AG357" i="1"/>
  <c r="Q357" i="1"/>
  <c r="AM357" i="1"/>
  <c r="N359" i="1"/>
  <c r="AZ358" i="1"/>
  <c r="AK358" i="1"/>
  <c r="U358" i="1"/>
  <c r="AL361" i="1"/>
  <c r="W361" i="1"/>
  <c r="H361" i="1"/>
  <c r="N360" i="1"/>
  <c r="AZ359" i="1"/>
  <c r="AK359" i="1"/>
  <c r="U359" i="1"/>
  <c r="F359" i="1"/>
  <c r="AQ358" i="1"/>
  <c r="AB358" i="1"/>
  <c r="BB357" i="1"/>
  <c r="AD354" i="1"/>
  <c r="AD361" i="1"/>
  <c r="AP357" i="1"/>
  <c r="AL357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<sst xmlns="http://schemas.openxmlformats.org/spreadsheetml/2006/main" count="765" uniqueCount="697">
  <si>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</si>
  <si>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</si>
  <si>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</si>
  <si>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</si>
  <si>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</si>
  <si>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</si>
  <si>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</si>
  <si>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</si>
  <si>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</si>
  <si>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</si>
  <si>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</si>
  <si>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</si>
  <si>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</si>
  <si>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</si>
  <si>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</si>
  <si>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</si>
  <si>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</si>
  <si>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</si>
  <si>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</si>
  <si>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</si>
  <si>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</si>
  <si>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</si>
  <si>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</si>
  <si>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</si>
  <si>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</si>
  <si>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</si>
  <si>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</si>
  <si>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</si>
  <si>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</si>
  <si>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</si>
  <si>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</si>
  <si>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</si>
  <si>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</si>
  <si>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</si>
  <si>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</si>
  <si>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</si>
  <si>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</si>
  <si>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</si>
  <si>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</si>
  <si>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</si>
  <si>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</si>
  <si>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</si>
  <si>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</si>
  <si>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</si>
  <si>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</si>
  <si>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</si>
  <si>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</si>
  <si>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</si>
  <si>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</si>
  <si>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</si>
  <si>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</si>
  <si>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</si>
  <si>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</si>
  <si>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</si>
  <si>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</si>
  <si>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</si>
  <si>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</si>
  <si>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</si>
  <si>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</si>
  <si>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</si>
  <si>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</si>
  <si>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</si>
  <si>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</si>
  <si>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</si>
  <si>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</si>
  <si>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</si>
  <si>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</si>
  <si>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</si>
  <si>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</si>
  <si>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</si>
  <si>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</si>
  <si>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</si>
  <si>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</si>
  <si>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</si>
  <si>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</si>
  <si>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</si>
  <si>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</si>
  <si>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</si>
  <si>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</si>
  <si>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</si>
  <si>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</si>
  <si>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</si>
  <si>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</si>
  <si>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</si>
  <si>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</si>
  <si>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</si>
  <si>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</si>
  <si>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</si>
  <si>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</si>
  <si>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</si>
  <si>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</si>
  <si>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</si>
  <si>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</si>
  <si>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</si>
  <si>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</si>
  <si>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</si>
  <si>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</si>
  <si>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</si>
  <si>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</si>
  <si>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</si>
  <si>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</si>
  <si>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</si>
  <si>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</si>
  <si>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</si>
  <si>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</si>
  <si>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</si>
  <si>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</si>
  <si>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</si>
  <si>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</si>
  <si>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</si>
  <si>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</si>
  <si>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</si>
  <si>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</si>
  <si>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</si>
  <si>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</si>
  <si>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</si>
  <si>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</si>
  <si>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</si>
  <si>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</si>
  <si>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</si>
  <si>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</si>
  <si>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</si>
  <si>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</si>
  <si>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</si>
  <si>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</si>
  <si>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</si>
  <si>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</si>
  <si>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</si>
  <si>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</si>
  <si>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</si>
  <si>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</si>
  <si>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</si>
  <si>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</si>
  <si>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</si>
  <si>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</si>
  <si>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</si>
  <si>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</si>
  <si>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</si>
  <si>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</si>
  <si>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</si>
  <si>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</si>
  <si>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</si>
  <si>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</si>
  <si>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</si>
  <si>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</si>
  <si>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</si>
  <si>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</si>
  <si>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</si>
  <si>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</si>
  <si>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</si>
  <si>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</si>
  <si>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</si>
  <si>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</si>
  <si>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</si>
  <si>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</si>
  <si>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</si>
  <si>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</si>
  <si>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</si>
  <si>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</si>
  <si>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</si>
  <si>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</si>
  <si>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</si>
  <si>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</si>
  <si>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</si>
  <si>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</si>
  <si>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</si>
  <si>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</si>
  <si>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</si>
  <si>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</si>
  <si>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</si>
  <si>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</si>
  <si>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</si>
  <si>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</si>
  <si>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</si>
  <si>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</si>
  <si>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</si>
  <si>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</si>
  <si>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</si>
  <si>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</si>
  <si>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</si>
  <si>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</si>
  <si>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</si>
  <si>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</si>
  <si>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</si>
  <si>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</si>
  <si>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</si>
  <si>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</si>
  <si>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</si>
  <si>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</si>
  <si>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</si>
  <si>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</si>
  <si>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</si>
  <si>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</si>
  <si>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</si>
  <si>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</si>
  <si>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</si>
  <si>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</si>
  <si>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</si>
  <si>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</si>
  <si>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</si>
  <si>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</si>
  <si>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</si>
  <si>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</si>
  <si>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</si>
  <si>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</si>
  <si>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</si>
  <si>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</si>
  <si>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</si>
  <si>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</si>
  <si>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</si>
  <si>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</si>
  <si>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</si>
  <si>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</si>
  <si>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</si>
  <si>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</si>
  <si>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</si>
  <si>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</si>
  <si>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</si>
  <si>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</si>
  <si>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</si>
  <si>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</si>
  <si>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</si>
  <si>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</si>
  <si>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</si>
  <si>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</si>
  <si>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</si>
  <si>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</si>
  <si>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</si>
  <si>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</si>
  <si>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</si>
  <si>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</si>
  <si>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</si>
  <si>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</si>
  <si>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</si>
  <si>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</si>
  <si>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</si>
  <si>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</si>
  <si>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</si>
  <si>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</si>
  <si>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</si>
  <si>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</si>
  <si>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</si>
  <si>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</si>
  <si>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</si>
  <si>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</si>
  <si>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</si>
  <si>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</si>
  <si>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</si>
  <si>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</si>
  <si>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</si>
  <si>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</si>
  <si>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</si>
  <si>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</si>
  <si>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</si>
  <si>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</si>
  <si>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</si>
  <si>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</si>
  <si>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</si>
  <si>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</si>
  <si>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</si>
  <si>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</si>
  <si>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</si>
  <si>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</si>
  <si>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</si>
  <si>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</si>
  <si>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</si>
  <si>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</si>
  <si>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</si>
  <si>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</si>
  <si>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</si>
  <si>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</si>
  <si>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</si>
  <si>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</si>
  <si>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</si>
  <si>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</si>
  <si>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</si>
  <si>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</si>
  <si>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</si>
  <si>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</si>
  <si>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</si>
  <si>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</si>
  <si>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</si>
  <si>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</si>
  <si>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</si>
  <si>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</si>
  <si>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</si>
  <si>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</si>
  <si>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</si>
  <si>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</si>
  <si>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</si>
  <si>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</si>
  <si>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</si>
  <si>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</si>
  <si>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</si>
  <si>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</si>
  <si>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</si>
  <si>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</si>
  <si>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</si>
  <si>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</si>
  <si>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</si>
  <si>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</si>
  <si>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</si>
  <si>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</si>
  <si>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</si>
  <si>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</si>
  <si>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</si>
  <si>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</si>
  <si>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</si>
  <si>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</si>
  <si>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</si>
  <si>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</si>
  <si>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</si>
  <si>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</si>
  <si>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</si>
  <si>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</si>
  <si>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</si>
  <si>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</si>
  <si>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</si>
  <si>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</si>
  <si>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</si>
  <si>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</si>
  <si>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</si>
  <si>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</si>
  <si>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</si>
  <si>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</si>
  <si>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</si>
  <si>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</si>
  <si>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</si>
  <si>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</si>
  <si>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</si>
  <si>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</si>
  <si>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</si>
  <si>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</si>
  <si>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</si>
  <si>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</si>
  <si>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</si>
  <si>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</si>
  <si>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</si>
  <si>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</si>
  <si>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</si>
  <si>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</si>
  <si>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</si>
  <si>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</si>
  <si>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</si>
  <si>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</si>
  <si>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</si>
  <si>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</si>
  <si>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</si>
  <si>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</si>
  <si>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</si>
  <si>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</si>
  <si>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</si>
  <si>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</si>
  <si>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</si>
  <si>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</si>
  <si>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</si>
  <si>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</si>
  <si>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</si>
  <si>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</si>
  <si>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</si>
  <si>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</si>
  <si>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</si>
  <si>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</si>
  <si>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</si>
  <si>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</si>
  <si>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</si>
  <si>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</si>
  <si>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</si>
  <si>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</si>
  <si>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</si>
  <si>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</si>
  <si>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</si>
  <si>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</si>
  <si>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</si>
  <si>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</si>
  <si>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</si>
  <si>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</si>
  <si>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</si>
  <si>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</si>
  <si>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</si>
  <si>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</si>
  <si>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</si>
  <si>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</si>
  <si>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</si>
  <si>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</si>
  <si>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</si>
  <si>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</si>
  <si>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</si>
  <si>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</si>
  <si>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</si>
  <si>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</si>
  <si>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</si>
  <si>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</si>
  <si>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</si>
  <si>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</si>
  <si>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</si>
  <si>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</si>
  <si>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</si>
  <si>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</si>
  <si>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</si>
  <si>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</si>
  <si>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</si>
  <si>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</si>
  <si>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</si>
  <si>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</si>
  <si>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</si>
  <si>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</si>
  <si>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</si>
  <si>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</si>
  <si>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</si>
  <si>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</si>
  <si>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</si>
  <si>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</si>
  <si>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</si>
  <si>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</si>
  <si>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</si>
  <si>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</si>
  <si>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</si>
  <si>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</si>
  <si>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</si>
  <si>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</si>
  <si>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</si>
  <si>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</si>
  <si>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</si>
  <si>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</si>
  <si>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</si>
  <si>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</si>
  <si>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</si>
  <si>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</si>
  <si>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</si>
  <si>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</si>
  <si>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</si>
  <si>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</si>
  <si>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</si>
  <si>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</si>
  <si>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</si>
  <si>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</si>
  <si>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</si>
  <si>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</si>
  <si>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</si>
  <si>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</si>
  <si>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</si>
  <si>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</si>
  <si>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</si>
  <si>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</si>
  <si>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</si>
  <si>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</si>
  <si>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</si>
  <si>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</si>
  <si>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</si>
  <si>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</si>
  <si>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</si>
  <si>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</si>
  <si>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</si>
  <si>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</si>
  <si>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</si>
  <si>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</si>
  <si>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</si>
  <si>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</si>
  <si>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</si>
  <si>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</si>
  <si>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</si>
  <si>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</si>
  <si>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</si>
  <si>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</si>
  <si>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</si>
  <si>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</si>
  <si>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</si>
  <si>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</si>
  <si>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</si>
  <si>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</si>
  <si>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</si>
  <si>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</si>
  <si>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</si>
  <si>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</si>
  <si>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</si>
  <si>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</si>
  <si>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</si>
  <si>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</si>
  <si>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</si>
  <si>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</si>
  <si>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</si>
  <si>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</si>
  <si>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</si>
  <si>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</si>
  <si>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</si>
  <si>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</si>
  <si>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</si>
  <si>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</si>
  <si>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</si>
  <si>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</si>
  <si>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</si>
  <si>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</si>
  <si>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</si>
  <si>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</si>
  <si>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</si>
  <si>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</si>
  <si>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</si>
  <si>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</si>
  <si>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</si>
  <si>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</si>
  <si>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</si>
  <si>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</si>
  <si>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</si>
  <si>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</si>
  <si>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</si>
  <si>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</si>
  <si>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</si>
  <si>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</si>
  <si>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</si>
  <si>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</si>
  <si>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</si>
  <si>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</si>
  <si>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</si>
  <si>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</si>
  <si>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</si>
  <si>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</si>
  <si>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</si>
  <si>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</si>
  <si>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</si>
  <si>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</si>
  <si>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</si>
  <si>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</si>
  <si>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</si>
  <si>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</si>
  <si>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</si>
  <si>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</si>
  <si>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</si>
  <si>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</si>
  <si>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</si>
  <si>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</si>
  <si>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</si>
  <si>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</si>
  <si>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</si>
  <si>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</si>
  <si>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</si>
  <si>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</si>
  <si>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</si>
  <si>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</si>
  <si>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</si>
  <si>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</si>
  <si>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</si>
  <si>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</si>
  <si>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</si>
  <si>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</si>
  <si>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</si>
  <si>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</si>
  <si>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</si>
  <si>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</si>
  <si>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</si>
  <si>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</si>
  <si>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</si>
  <si>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</si>
  <si>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</si>
  <si>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</si>
  <si>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</si>
  <si>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</si>
  <si>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</si>
  <si>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</si>
  <si>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</si>
  <si>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</si>
  <si>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</si>
  <si>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</si>
  <si>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</si>
  <si>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</si>
  <si>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</si>
  <si>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</si>
  <si>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</si>
  <si>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</si>
  <si>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</si>
  <si>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</si>
  <si>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</si>
  <si>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</si>
  <si>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</si>
  <si>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</si>
  <si>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</si>
  <si>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</si>
  <si>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</si>
  <si>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</si>
  <si>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</si>
  <si>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</si>
  <si>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</si>
  <si>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</si>
  <si>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</si>
  <si>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</si>
  <si>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</si>
  <si>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</si>
  <si>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</si>
  <si>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</si>
  <si>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</si>
  <si>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</si>
  <si>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</si>
  <si>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</si>
  <si>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</si>
  <si>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</si>
  <si>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</si>
  <si>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</si>
  <si>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</si>
  <si>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</si>
  <si>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</si>
  <si>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</si>
  <si>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</si>
  <si>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</si>
  <si>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</si>
  <si>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</si>
  <si>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</si>
  <si>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</si>
  <si>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</si>
  <si>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</si>
  <si>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</si>
  <si>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</si>
  <si>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</si>
  <si>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</si>
  <si>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</si>
  <si>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</si>
  <si>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</si>
  <si>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</si>
  <si>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</si>
  <si>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</si>
  <si>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</si>
  <si>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</si>
  <si>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</si>
  <si>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</si>
  <si>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</si>
  <si>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</si>
  <si>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</si>
  <si>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</si>
  <si>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</si>
  <si>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</si>
  <si>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</si>
  <si>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</si>
  <si>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</si>
  <si>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</si>
  <si>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</si>
  <si>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</si>
  <si>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</si>
  <si>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</si>
  <si>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</si>
  <si>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</si>
  <si>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</si>
  <si>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</si>
  <si>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</si>
  <si>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</si>
  <si>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</si>
  <si>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</si>
  <si>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</si>
  <si>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</si>
  <si>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</si>
  <si>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</si>
  <si>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</si>
  <si>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</si>
  <si>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</si>
  <si>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</si>
  <si>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</si>
  <si>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</si>
  <si>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</si>
  <si>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</si>
  <si>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</si>
  <si>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</si>
  <si>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</si>
  <si>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</si>
  <si>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</si>
  <si>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</si>
  <si>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</si>
  <si>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</si>
  <si>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</si>
  <si>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</si>
  <si>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</si>
  <si>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</si>
  <si>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</si>
  <si>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</si>
  <si>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</si>
  <si>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</si>
  <si>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</si>
  <si>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</si>
  <si>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</si>
  <si>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</si>
  <si>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</si>
  <si>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</si>
  <si>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</si>
  <si>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</si>
  <si>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</si>
  <si>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</si>
  <si>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</si>
  <si>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</si>
  <si>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</si>
  <si>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</si>
  <si>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</si>
  <si>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</si>
  <si>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</si>
  <si>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</si>
  <si>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</si>
  <si>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</si>
  <si>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</si>
  <si>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תחילת מידע טבלה </t>
  </si>
  <si>
    <t>סיום מידע טבלה צד שמאל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</si>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</sst>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</numFmts>
  <fonts count="11" x14ac:knownFonts="1"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0" tint="-4.9989318521683403E-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</cellStyleXfs>
  <cellXfs count="23">
    <xf numFmtId="0" fontId="0" fillId="0" borderId="0" xfId="0"/>
    <xf numFmtId="0" fontId="0" fillId="2" borderId="0" xfId="0" applyFill="1" applyAlignment="1">
      <alignment horizontal="right"/>
    </xf>
    <xf numFmtId="164" fontId="1" fillId="0" borderId="0" xfId="0" applyNumberFormat="1" applyFont="1"/>
    <xf numFmtId="164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2" applyFont="1"/>
    <xf numFmtId="0" fontId="4" fillId="3" borderId="1" xfId="0" applyFont="1" applyFill="1" applyBorder="1"/>
    <xf numFmtId="1" fontId="4" fillId="0" borderId="2" xfId="2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6" fillId="0" borderId="0" xfId="0" applyFont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10" fontId="8" fillId="0" borderId="0" xfId="1" applyNumberFormat="1" applyFont="1"/>
    <xf numFmtId="0" fontId="4" fillId="3" borderId="3" xfId="0" applyFont="1" applyFill="1" applyBorder="1"/>
    <xf numFmtId="0" fontId="0" fillId="3" borderId="3" xfId="0" applyFill="1" applyBorder="1" applyAlignment="1">
      <alignment horizontal="center"/>
    </xf>
    <xf numFmtId="0" fontId="10" fillId="0" borderId="0" xfId="0" applyFont="1" applyAlignment="1">
      <alignment horizontal="center"/>
    </xf>
  </cellXfs>
  <cellStyles count="4">
    <cellStyle name="Comma" xfId="2" builtinId="3"/>
    <cellStyle name="Normal" xfId="0" builtinId="0"/>
    <cellStyle name="Normal_מסלולים 1.4.19" xfId="3" xr:uid="{00000000-0005-0000-0000-000002000000}"/>
    <cellStyle name="Percent" xfId="1" builtinId="5"/>
  </cellStyles>
  <dxfs count="5">
    <dxf>
      <font>
        <condense val="0"/>
        <extend val="0"/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 fLocksText="0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00175" y="0"/>
          <a:ext cx="914400" cy="609600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381000</xdr:colOff>
      <xdr:row>2</xdr:row>
      <xdr:rowOff>25865</xdr:rowOff>
    </xdr:to>
    <xdr:pic>
      <xdr:nvPicPr>
        <xdr:cNvPr id="3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505C36D0-9299-4291-A00C-7B79BF672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639700" y="0"/>
          <a:ext cx="381000" cy="376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214"/>
      <sheetName val="גיליון216"/>
      <sheetName val="גיליון218"/>
      <sheetName val="גיליון220"/>
      <sheetName val="גיליון222"/>
      <sheetName val="גיליון22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H362"/>
  <sheetViews>
    <sheetView rightToLeft="1" tabSelected="1" workbookViewId="0">
      <selection activeCell="A3" sqref="A3:BG3"/>
    </sheetView>
  </sheetViews>
  <sheetFormatPr defaultRowHeight="14.25" x14ac:dyDescent="0.2"/>
  <cols>
    <col min="59" max="59" width="11.875" bestFit="1" customWidth="1"/>
  </cols>
  <sheetData>
    <row r="3" spans="1:60" x14ac:dyDescent="0.2">
      <c r="A3" s="22" t="s">
        <v>694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 t="s">
        <v>695</v>
      </c>
    </row>
    <row r="4" spans="1:60" ht="15.75" x14ac:dyDescent="0.25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102</v>
      </c>
      <c r="L4">
        <v>122</v>
      </c>
      <c r="M4">
        <v>142</v>
      </c>
      <c r="N4">
        <v>164</v>
      </c>
      <c r="O4">
        <v>167</v>
      </c>
      <c r="P4">
        <v>169</v>
      </c>
      <c r="Q4">
        <v>425</v>
      </c>
      <c r="R4">
        <v>426</v>
      </c>
      <c r="S4">
        <v>499</v>
      </c>
      <c r="T4">
        <v>519</v>
      </c>
      <c r="U4">
        <v>526</v>
      </c>
      <c r="V4">
        <v>570</v>
      </c>
      <c r="W4">
        <v>571</v>
      </c>
      <c r="X4">
        <v>572</v>
      </c>
      <c r="Y4">
        <v>573</v>
      </c>
      <c r="Z4">
        <v>574</v>
      </c>
      <c r="AA4">
        <v>628</v>
      </c>
      <c r="AB4">
        <v>629</v>
      </c>
      <c r="AC4">
        <v>631</v>
      </c>
      <c r="AD4">
        <v>632</v>
      </c>
      <c r="AE4">
        <v>658</v>
      </c>
      <c r="AF4">
        <v>660</v>
      </c>
      <c r="AG4">
        <v>662</v>
      </c>
      <c r="AH4">
        <v>664</v>
      </c>
      <c r="AI4">
        <v>666</v>
      </c>
      <c r="AJ4">
        <v>726</v>
      </c>
      <c r="AK4">
        <v>737</v>
      </c>
      <c r="AL4">
        <v>827</v>
      </c>
      <c r="AM4">
        <v>575</v>
      </c>
      <c r="AN4">
        <v>576</v>
      </c>
      <c r="AO4">
        <v>359</v>
      </c>
      <c r="AP4" s="9">
        <v>828</v>
      </c>
      <c r="AQ4" s="9">
        <v>844</v>
      </c>
      <c r="AR4" s="9">
        <v>839</v>
      </c>
      <c r="AS4" s="9">
        <v>857</v>
      </c>
      <c r="AT4" s="9">
        <v>851</v>
      </c>
      <c r="AU4" s="9">
        <v>849</v>
      </c>
      <c r="AV4" s="9">
        <v>846</v>
      </c>
      <c r="AW4" s="9">
        <v>834</v>
      </c>
      <c r="AX4" s="9">
        <v>506</v>
      </c>
      <c r="AY4" s="9">
        <v>521</v>
      </c>
      <c r="AZ4" s="9">
        <v>522</v>
      </c>
      <c r="BA4" s="9">
        <v>528</v>
      </c>
      <c r="BB4" s="9">
        <v>548</v>
      </c>
      <c r="BC4" s="9">
        <v>551</v>
      </c>
      <c r="BD4" s="9">
        <v>555</v>
      </c>
      <c r="BE4" s="9">
        <v>558</v>
      </c>
      <c r="BF4" s="20">
        <v>578</v>
      </c>
      <c r="BG4" s="20">
        <v>580</v>
      </c>
      <c r="BH4" s="22"/>
    </row>
    <row r="5" spans="1:60" x14ac:dyDescent="0.2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715</v>
      </c>
      <c r="L5" s="10">
        <v>9916</v>
      </c>
      <c r="M5" s="10">
        <v>1100</v>
      </c>
      <c r="N5" s="10">
        <v>801</v>
      </c>
      <c r="O5" s="10">
        <v>804</v>
      </c>
      <c r="P5" s="10">
        <v>806</v>
      </c>
      <c r="Q5" s="10">
        <v>8765</v>
      </c>
      <c r="R5" s="10">
        <v>8766</v>
      </c>
      <c r="S5" s="10">
        <v>9418</v>
      </c>
      <c r="T5" s="10">
        <v>9475</v>
      </c>
      <c r="U5" s="10">
        <v>9906</v>
      </c>
      <c r="V5" s="10">
        <v>7905</v>
      </c>
      <c r="W5" s="10">
        <v>7906</v>
      </c>
      <c r="X5" s="10">
        <v>7907</v>
      </c>
      <c r="Y5" s="10">
        <v>7908</v>
      </c>
      <c r="Z5" s="10">
        <v>7909</v>
      </c>
      <c r="AA5" s="10">
        <v>11310</v>
      </c>
      <c r="AB5" s="10">
        <v>11311</v>
      </c>
      <c r="AC5" s="10">
        <v>11312</v>
      </c>
      <c r="AD5" s="10">
        <v>11335</v>
      </c>
      <c r="AE5" s="10">
        <v>9529</v>
      </c>
      <c r="AF5" s="10">
        <v>961</v>
      </c>
      <c r="AG5" s="10">
        <v>9528</v>
      </c>
      <c r="AH5" s="10">
        <v>964</v>
      </c>
      <c r="AI5" s="10">
        <v>968</v>
      </c>
      <c r="AJ5" s="10">
        <v>8629</v>
      </c>
      <c r="AK5" s="10">
        <v>13264</v>
      </c>
      <c r="AL5" s="10">
        <v>13263</v>
      </c>
      <c r="AM5" s="10">
        <v>13209</v>
      </c>
      <c r="AN5" s="10">
        <v>13250</v>
      </c>
      <c r="AO5" s="10">
        <v>14281</v>
      </c>
      <c r="AP5" s="11">
        <v>2049</v>
      </c>
      <c r="AQ5" s="12">
        <v>7975</v>
      </c>
      <c r="AR5" s="12">
        <v>8004</v>
      </c>
      <c r="AS5" s="11">
        <v>1008</v>
      </c>
      <c r="AT5" s="11">
        <v>9484</v>
      </c>
      <c r="AU5" s="11">
        <v>682</v>
      </c>
      <c r="AV5" s="11">
        <v>11352</v>
      </c>
      <c r="AW5" s="11">
        <v>2058</v>
      </c>
      <c r="AX5" s="11">
        <v>15007</v>
      </c>
      <c r="AY5" s="11">
        <v>15208</v>
      </c>
      <c r="AZ5" s="11">
        <v>15209</v>
      </c>
      <c r="BA5" s="11">
        <v>15210</v>
      </c>
      <c r="BB5" s="11">
        <v>15211</v>
      </c>
      <c r="BC5" s="11">
        <v>15212</v>
      </c>
      <c r="BD5" s="11">
        <v>15232</v>
      </c>
      <c r="BE5" s="11">
        <v>15214</v>
      </c>
      <c r="BF5" s="21">
        <v>15233</v>
      </c>
      <c r="BG5" s="21">
        <v>15234</v>
      </c>
      <c r="BH5" s="22"/>
    </row>
    <row r="6" spans="1:60" ht="15.75" x14ac:dyDescent="0.25">
      <c r="A6" s="3">
        <v>45474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s="13" t="s">
        <v>651</v>
      </c>
      <c r="AQ6" s="14" t="s">
        <v>652</v>
      </c>
      <c r="AR6" s="13" t="s">
        <v>653</v>
      </c>
      <c r="AS6" s="13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/>
      <c r="AZ6" s="13"/>
      <c r="BA6" s="13"/>
      <c r="BB6" s="13"/>
      <c r="BC6" s="13"/>
      <c r="BD6" s="13"/>
      <c r="BE6" s="13"/>
      <c r="BH6" s="22"/>
    </row>
    <row r="7" spans="1:60" ht="15.75" x14ac:dyDescent="0.25">
      <c r="A7" s="4"/>
      <c r="B7" s="5"/>
      <c r="C7" s="5"/>
      <c r="D7" s="6" t="s">
        <v>0</v>
      </c>
      <c r="E7" s="15" t="s">
        <v>660</v>
      </c>
      <c r="F7" s="15" t="s">
        <v>661</v>
      </c>
      <c r="G7" s="15" t="s">
        <v>662</v>
      </c>
      <c r="H7" s="15" t="s">
        <v>663</v>
      </c>
      <c r="I7" s="15" t="s">
        <v>664</v>
      </c>
      <c r="J7" s="15" t="s">
        <v>665</v>
      </c>
      <c r="K7" s="15" t="s">
        <v>666</v>
      </c>
      <c r="L7" s="15" t="s">
        <v>667</v>
      </c>
      <c r="M7" s="15" t="s">
        <v>668</v>
      </c>
      <c r="N7" s="15" t="s">
        <v>669</v>
      </c>
      <c r="O7" s="15" t="s">
        <v>670</v>
      </c>
      <c r="P7" s="15" t="s">
        <v>671</v>
      </c>
      <c r="Q7" s="15" t="s">
        <v>672</v>
      </c>
      <c r="R7" s="15" t="s">
        <v>673</v>
      </c>
      <c r="S7" s="15" t="s">
        <v>674</v>
      </c>
      <c r="T7" s="15" t="s">
        <v>675</v>
      </c>
      <c r="U7" s="15" t="s">
        <v>676</v>
      </c>
      <c r="V7" s="15" t="s">
        <v>677</v>
      </c>
      <c r="W7" s="15" t="s">
        <v>678</v>
      </c>
      <c r="X7" s="15" t="s">
        <v>679</v>
      </c>
      <c r="Y7" s="15" t="s">
        <v>680</v>
      </c>
      <c r="Z7" s="15" t="s">
        <v>681</v>
      </c>
      <c r="AA7" s="15" t="s">
        <v>682</v>
      </c>
      <c r="AB7" s="15" t="s">
        <v>683</v>
      </c>
      <c r="AC7" s="15" t="s">
        <v>684</v>
      </c>
      <c r="AD7" s="15" t="s">
        <v>685</v>
      </c>
      <c r="AE7" s="15" t="s">
        <v>686</v>
      </c>
      <c r="AF7" s="15" t="s">
        <v>687</v>
      </c>
      <c r="AG7" s="15" t="s">
        <v>688</v>
      </c>
      <c r="AH7" s="15" t="s">
        <v>689</v>
      </c>
      <c r="AI7" s="15" t="s">
        <v>690</v>
      </c>
      <c r="AJ7" s="15" t="s">
        <v>691</v>
      </c>
      <c r="AK7" s="15" t="s">
        <v>692</v>
      </c>
      <c r="AL7" s="15" t="s">
        <v>693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H7" s="22"/>
    </row>
    <row r="8" spans="1:60" ht="15.75" x14ac:dyDescent="0.25">
      <c r="A8" s="5" t="s">
        <v>1</v>
      </c>
      <c r="B8" s="5" t="s">
        <v>2</v>
      </c>
      <c r="C8" s="7">
        <v>1</v>
      </c>
      <c r="D8" s="7">
        <v>1</v>
      </c>
      <c r="E8" s="7">
        <v>156303.212</v>
      </c>
      <c r="F8" s="7">
        <v>18215.337</v>
      </c>
      <c r="G8" s="7">
        <v>24148.794000000002</v>
      </c>
      <c r="H8" s="7">
        <v>87.38</v>
      </c>
      <c r="I8" s="7">
        <v>3090.116</v>
      </c>
      <c r="J8" s="7">
        <v>16586.560000000001</v>
      </c>
      <c r="K8" s="7">
        <v>18478.878000000001</v>
      </c>
      <c r="L8" s="7">
        <v>135330.39300000001</v>
      </c>
      <c r="M8" s="7">
        <v>63315.578000000001</v>
      </c>
      <c r="N8" s="7">
        <v>3.048</v>
      </c>
      <c r="O8" s="7">
        <v>191.929</v>
      </c>
      <c r="P8" s="7">
        <v>67.656999999999996</v>
      </c>
      <c r="Q8" s="7">
        <v>759.96699999999998</v>
      </c>
      <c r="R8" s="7">
        <v>1659.075</v>
      </c>
      <c r="S8" s="7">
        <v>5889.1210000000001</v>
      </c>
      <c r="T8" s="7">
        <v>3.0270000000000001</v>
      </c>
      <c r="U8" s="7">
        <v>13692.579</v>
      </c>
      <c r="V8" s="7">
        <v>1864.643</v>
      </c>
      <c r="W8" s="7">
        <v>6735.0550000000003</v>
      </c>
      <c r="X8" s="7">
        <v>2670.384</v>
      </c>
      <c r="Y8" s="7">
        <v>30457.674999999999</v>
      </c>
      <c r="Z8" s="7">
        <v>5285.11</v>
      </c>
      <c r="AA8" s="7">
        <v>19905.77</v>
      </c>
      <c r="AB8" s="7">
        <v>8687.2289999999994</v>
      </c>
      <c r="AC8" s="7">
        <v>3091.0659999999998</v>
      </c>
      <c r="AD8" s="7">
        <v>932.36199999999997</v>
      </c>
      <c r="AE8" s="7">
        <v>96492.644</v>
      </c>
      <c r="AF8" s="7">
        <v>17399.013999999999</v>
      </c>
      <c r="AG8" s="7">
        <v>3299.17</v>
      </c>
      <c r="AH8" s="7">
        <v>287790.913</v>
      </c>
      <c r="AI8" s="7">
        <v>30944.347000000002</v>
      </c>
      <c r="AJ8" s="7">
        <v>27532.776000000002</v>
      </c>
      <c r="AK8" s="7">
        <v>170721.231</v>
      </c>
      <c r="AL8" s="7">
        <v>101927.431</v>
      </c>
      <c r="AM8" s="7">
        <v>2427.0889999999999</v>
      </c>
      <c r="AN8" s="7">
        <v>56284.123</v>
      </c>
      <c r="AO8" s="7">
        <v>410.899</v>
      </c>
      <c r="AP8" s="7">
        <v>1309.771</v>
      </c>
      <c r="AQ8" s="7">
        <v>6283.6369999999997</v>
      </c>
      <c r="AR8" s="7">
        <v>585.12400000000002</v>
      </c>
      <c r="AS8" s="7">
        <v>102.892</v>
      </c>
      <c r="AT8" s="7">
        <v>0</v>
      </c>
      <c r="AU8" s="7">
        <v>6023.125</v>
      </c>
      <c r="AV8" s="7">
        <v>2259.4639999999999</v>
      </c>
      <c r="AW8" s="7">
        <v>2047.0630000000001</v>
      </c>
      <c r="AX8" s="7">
        <v>944.20699999999999</v>
      </c>
      <c r="AY8" s="7">
        <v>346.62299999999999</v>
      </c>
      <c r="AZ8" s="7">
        <v>256.24900000000002</v>
      </c>
      <c r="BA8" s="7">
        <v>3801.8339999999998</v>
      </c>
      <c r="BB8" s="7">
        <v>127.398</v>
      </c>
      <c r="BC8" s="7">
        <v>177.23500000000001</v>
      </c>
      <c r="BD8" s="7">
        <v>323.822</v>
      </c>
      <c r="BE8" s="7">
        <v>-33.969000000000001</v>
      </c>
      <c r="BF8" s="7">
        <v>78.701999999999998</v>
      </c>
      <c r="BG8" s="7">
        <v>27078.082999999999</v>
      </c>
      <c r="BH8" s="22"/>
    </row>
    <row r="9" spans="1:60" ht="15.75" x14ac:dyDescent="0.25">
      <c r="A9" s="5" t="s">
        <v>3</v>
      </c>
      <c r="B9" s="5" t="s">
        <v>4</v>
      </c>
      <c r="C9" s="7">
        <v>1</v>
      </c>
      <c r="D9" s="7">
        <v>1</v>
      </c>
      <c r="E9" s="7">
        <v>78272.448999999993</v>
      </c>
      <c r="F9" s="7">
        <v>11950.689</v>
      </c>
      <c r="G9" s="7">
        <v>9465.2729999999992</v>
      </c>
      <c r="H9" s="7">
        <v>1278.99</v>
      </c>
      <c r="I9" s="7">
        <v>3784.6990000000001</v>
      </c>
      <c r="J9" s="7">
        <v>5415.1080000000002</v>
      </c>
      <c r="K9" s="7">
        <v>0</v>
      </c>
      <c r="L9" s="7">
        <v>90942.872000000003</v>
      </c>
      <c r="M9" s="7">
        <v>30691.707999999999</v>
      </c>
      <c r="N9" s="7">
        <v>0</v>
      </c>
      <c r="O9" s="7">
        <v>515.68299999999999</v>
      </c>
      <c r="P9" s="7">
        <v>605.99</v>
      </c>
      <c r="Q9" s="7">
        <v>493.25</v>
      </c>
      <c r="R9" s="7">
        <v>300.04300000000001</v>
      </c>
      <c r="S9" s="7">
        <v>2315.502</v>
      </c>
      <c r="T9" s="7">
        <v>0</v>
      </c>
      <c r="U9" s="7">
        <v>0</v>
      </c>
      <c r="V9" s="7">
        <v>824.88099999999997</v>
      </c>
      <c r="W9" s="7">
        <v>2681.6320000000001</v>
      </c>
      <c r="X9" s="7">
        <v>5394.2479999999996</v>
      </c>
      <c r="Y9" s="7">
        <v>16300.513000000001</v>
      </c>
      <c r="Z9" s="7">
        <v>4609.8010000000004</v>
      </c>
      <c r="AA9" s="7">
        <v>7699.2349999999997</v>
      </c>
      <c r="AB9" s="7">
        <v>14897.832</v>
      </c>
      <c r="AC9" s="7">
        <v>1962.4159999999999</v>
      </c>
      <c r="AD9" s="7">
        <v>1820.8879999999999</v>
      </c>
      <c r="AE9" s="7">
        <v>63024.614999999998</v>
      </c>
      <c r="AF9" s="7">
        <v>9764.7520000000004</v>
      </c>
      <c r="AG9" s="7">
        <v>8584.08</v>
      </c>
      <c r="AH9" s="7">
        <v>170566.47099999999</v>
      </c>
      <c r="AI9" s="7">
        <v>16349.861000000001</v>
      </c>
      <c r="AJ9" s="7">
        <v>22021.992999999999</v>
      </c>
      <c r="AK9" s="7">
        <v>348411.64399999997</v>
      </c>
      <c r="AL9" s="7">
        <v>206089.38699999999</v>
      </c>
      <c r="AM9" s="7">
        <v>0</v>
      </c>
      <c r="AN9" s="7">
        <v>113555.11599999999</v>
      </c>
      <c r="AO9" s="7">
        <v>147.85</v>
      </c>
      <c r="AP9" s="7">
        <v>3099.098</v>
      </c>
      <c r="AQ9" s="7">
        <v>2677.5039999999999</v>
      </c>
      <c r="AR9" s="7">
        <v>1553.395</v>
      </c>
      <c r="AS9" s="7">
        <v>45.494999999999997</v>
      </c>
      <c r="AT9" s="7">
        <v>0</v>
      </c>
      <c r="AU9" s="7">
        <v>2731.087</v>
      </c>
      <c r="AV9" s="7">
        <v>4289.4979999999996</v>
      </c>
      <c r="AW9" s="7">
        <v>4370.9089999999997</v>
      </c>
      <c r="AX9" s="7">
        <v>1887.2550000000001</v>
      </c>
      <c r="AY9" s="7">
        <v>16.530999999999999</v>
      </c>
      <c r="AZ9" s="7">
        <v>11.702</v>
      </c>
      <c r="BA9" s="7">
        <v>426.69400000000002</v>
      </c>
      <c r="BB9" s="7">
        <v>27.303000000000001</v>
      </c>
      <c r="BC9" s="7">
        <v>9.7089999999999996</v>
      </c>
      <c r="BD9" s="7">
        <v>27.279</v>
      </c>
      <c r="BE9" s="7">
        <v>1.1930000000000001</v>
      </c>
      <c r="BF9" s="7">
        <v>7.7439999999999998</v>
      </c>
      <c r="BG9" s="7">
        <v>34437.928</v>
      </c>
      <c r="BH9" s="22"/>
    </row>
    <row r="10" spans="1:60" ht="15.75" x14ac:dyDescent="0.25">
      <c r="A10" s="5" t="s">
        <v>5</v>
      </c>
      <c r="B10" s="5" t="s">
        <v>6</v>
      </c>
      <c r="C10" s="7">
        <v>1</v>
      </c>
      <c r="D10" s="7">
        <v>1</v>
      </c>
      <c r="E10" s="7">
        <v>62701.322</v>
      </c>
      <c r="F10" s="7">
        <v>16148.405000000001</v>
      </c>
      <c r="G10" s="7">
        <v>7169.683</v>
      </c>
      <c r="H10" s="7">
        <v>9711.8269999999993</v>
      </c>
      <c r="I10" s="7">
        <v>2207.152</v>
      </c>
      <c r="J10" s="7">
        <v>3594.7620000000002</v>
      </c>
      <c r="K10" s="7">
        <v>2150.5149999999999</v>
      </c>
      <c r="L10" s="7">
        <v>132075.35699999999</v>
      </c>
      <c r="M10" s="7">
        <v>18958.482</v>
      </c>
      <c r="N10" s="7">
        <v>3070.375</v>
      </c>
      <c r="O10" s="7">
        <v>584.471</v>
      </c>
      <c r="P10" s="7">
        <v>271.10199999999998</v>
      </c>
      <c r="Q10" s="7">
        <v>96.814999999999998</v>
      </c>
      <c r="R10" s="7">
        <v>211.98599999999999</v>
      </c>
      <c r="S10" s="7">
        <v>5098.8649999999998</v>
      </c>
      <c r="T10" s="7">
        <v>29.945</v>
      </c>
      <c r="U10" s="7">
        <v>3043.549</v>
      </c>
      <c r="V10" s="7">
        <v>6233.8710000000001</v>
      </c>
      <c r="W10" s="7">
        <v>3378.75</v>
      </c>
      <c r="X10" s="7">
        <v>15185.638000000001</v>
      </c>
      <c r="Y10" s="7">
        <v>20105.054</v>
      </c>
      <c r="Z10" s="7">
        <v>6179.6689999999999</v>
      </c>
      <c r="AA10" s="7">
        <v>51482.690999999999</v>
      </c>
      <c r="AB10" s="7">
        <v>23442.881000000001</v>
      </c>
      <c r="AC10" s="7">
        <v>2180.5880000000002</v>
      </c>
      <c r="AD10" s="7">
        <v>3427.8339999999998</v>
      </c>
      <c r="AE10" s="7">
        <v>60814.209000000003</v>
      </c>
      <c r="AF10" s="7">
        <v>20108.499</v>
      </c>
      <c r="AG10" s="7">
        <v>16763.548999999999</v>
      </c>
      <c r="AH10" s="7">
        <v>204420.41800000001</v>
      </c>
      <c r="AI10" s="7">
        <v>43175.733</v>
      </c>
      <c r="AJ10" s="7">
        <v>44995.112999999998</v>
      </c>
      <c r="AK10" s="7">
        <v>260903.33300000001</v>
      </c>
      <c r="AL10" s="7">
        <v>153616.42800000001</v>
      </c>
      <c r="AM10" s="7">
        <v>1043.06</v>
      </c>
      <c r="AN10" s="7">
        <v>88461.347999999998</v>
      </c>
      <c r="AO10" s="7">
        <v>492.76400000000001</v>
      </c>
      <c r="AP10" s="7">
        <v>0</v>
      </c>
      <c r="AQ10" s="7">
        <v>6498.5619999999999</v>
      </c>
      <c r="AR10" s="7">
        <v>0</v>
      </c>
      <c r="AS10" s="7">
        <v>28.84</v>
      </c>
      <c r="AT10" s="7">
        <v>0</v>
      </c>
      <c r="AU10" s="7">
        <v>299.91899999999998</v>
      </c>
      <c r="AV10" s="7">
        <v>0</v>
      </c>
      <c r="AW10" s="7">
        <v>0</v>
      </c>
      <c r="AX10" s="7">
        <v>3219.3670000000002</v>
      </c>
      <c r="AY10" s="7">
        <v>14.441000000000001</v>
      </c>
      <c r="AZ10" s="7">
        <v>6.782</v>
      </c>
      <c r="BA10" s="7">
        <v>0</v>
      </c>
      <c r="BB10" s="7">
        <v>39.506999999999998</v>
      </c>
      <c r="BC10" s="7">
        <v>3.927</v>
      </c>
      <c r="BD10" s="7">
        <v>15.808999999999999</v>
      </c>
      <c r="BE10" s="7">
        <v>1.724</v>
      </c>
      <c r="BF10" s="7">
        <v>4.4880000000000004</v>
      </c>
      <c r="BG10" s="7">
        <v>962.66600000000005</v>
      </c>
      <c r="BH10" s="22"/>
    </row>
    <row r="11" spans="1:60" ht="15.75" x14ac:dyDescent="0.25">
      <c r="A11" s="5" t="s">
        <v>7</v>
      </c>
      <c r="B11" s="5" t="s">
        <v>8</v>
      </c>
      <c r="C11" s="7">
        <v>1</v>
      </c>
      <c r="D11" s="7">
        <v>1</v>
      </c>
      <c r="E11" s="7">
        <v>466435.946</v>
      </c>
      <c r="F11" s="7">
        <v>98587.485000000001</v>
      </c>
      <c r="G11" s="7">
        <v>0</v>
      </c>
      <c r="H11" s="7">
        <v>0</v>
      </c>
      <c r="I11" s="7">
        <v>4001.1019999999999</v>
      </c>
      <c r="J11" s="7">
        <v>2.3E-2</v>
      </c>
      <c r="K11" s="7">
        <v>0</v>
      </c>
      <c r="L11" s="7">
        <v>1216984.925</v>
      </c>
      <c r="M11" s="7">
        <v>91227.296000000002</v>
      </c>
      <c r="N11" s="7">
        <v>0</v>
      </c>
      <c r="O11" s="7">
        <v>3670.7089999999998</v>
      </c>
      <c r="P11" s="7">
        <v>0</v>
      </c>
      <c r="Q11" s="7">
        <v>3880.3960000000002</v>
      </c>
      <c r="R11" s="7">
        <v>732.78899999999999</v>
      </c>
      <c r="S11" s="7">
        <v>32609.014999999999</v>
      </c>
      <c r="T11" s="7">
        <v>0</v>
      </c>
      <c r="U11" s="7">
        <v>0</v>
      </c>
      <c r="V11" s="7">
        <v>0</v>
      </c>
      <c r="W11" s="7">
        <v>7783.8469999999998</v>
      </c>
      <c r="X11" s="7">
        <v>0</v>
      </c>
      <c r="Y11" s="7">
        <v>195453.66899999999</v>
      </c>
      <c r="Z11" s="7">
        <v>42699.775999999998</v>
      </c>
      <c r="AA11" s="7">
        <v>0</v>
      </c>
      <c r="AB11" s="7">
        <v>134169.87100000001</v>
      </c>
      <c r="AC11" s="7">
        <v>16949.434000000001</v>
      </c>
      <c r="AD11" s="7">
        <v>9425.5820000000003</v>
      </c>
      <c r="AE11" s="7">
        <v>625112.86199999996</v>
      </c>
      <c r="AF11" s="7">
        <v>235229.47399999999</v>
      </c>
      <c r="AG11" s="7">
        <v>41777.144</v>
      </c>
      <c r="AH11" s="7">
        <v>1868499.9169999999</v>
      </c>
      <c r="AI11" s="7">
        <v>418764.2</v>
      </c>
      <c r="AJ11" s="7">
        <v>228210.45800000001</v>
      </c>
      <c r="AK11" s="7">
        <v>5105438.426</v>
      </c>
      <c r="AL11" s="7">
        <v>3048116.0970000001</v>
      </c>
      <c r="AM11" s="7">
        <v>0</v>
      </c>
      <c r="AN11" s="7">
        <v>1683211.4620000001</v>
      </c>
      <c r="AO11" s="7">
        <v>2605.2310000000002</v>
      </c>
      <c r="AP11" s="7">
        <v>0</v>
      </c>
      <c r="AQ11" s="7">
        <v>71175.456999999995</v>
      </c>
      <c r="AR11" s="7">
        <v>0</v>
      </c>
      <c r="AS11" s="7">
        <v>308.09199999999998</v>
      </c>
      <c r="AT11" s="7">
        <v>0</v>
      </c>
      <c r="AU11" s="7">
        <v>2165.989</v>
      </c>
      <c r="AV11" s="7">
        <v>0</v>
      </c>
      <c r="AW11" s="7">
        <v>0</v>
      </c>
      <c r="AX11" s="7">
        <v>0</v>
      </c>
      <c r="AY11" s="7">
        <v>112.619</v>
      </c>
      <c r="AZ11" s="7">
        <v>0</v>
      </c>
      <c r="BA11" s="7">
        <v>0</v>
      </c>
      <c r="BB11" s="7">
        <v>415.11799999999999</v>
      </c>
      <c r="BC11" s="7">
        <v>0</v>
      </c>
      <c r="BD11" s="7">
        <v>0</v>
      </c>
      <c r="BE11" s="7">
        <v>18.135999999999999</v>
      </c>
      <c r="BF11" s="7">
        <v>0</v>
      </c>
      <c r="BG11" s="7">
        <v>188540.777</v>
      </c>
      <c r="BH11" s="22"/>
    </row>
    <row r="12" spans="1:60" ht="15.75" x14ac:dyDescent="0.25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22"/>
    </row>
    <row r="13" spans="1:60" ht="15.75" x14ac:dyDescent="0.25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22"/>
    </row>
    <row r="14" spans="1:60" ht="15.75" x14ac:dyDescent="0.25">
      <c r="A14" s="5" t="s">
        <v>13</v>
      </c>
      <c r="B14" s="5" t="s">
        <v>14</v>
      </c>
      <c r="C14" s="7">
        <v>1</v>
      </c>
      <c r="D14" s="7">
        <v>1</v>
      </c>
      <c r="E14" s="7">
        <v>83487.247000000003</v>
      </c>
      <c r="F14" s="7">
        <v>19021.188999999998</v>
      </c>
      <c r="G14" s="7">
        <v>1902.1420000000001</v>
      </c>
      <c r="H14" s="7">
        <v>25.908000000000001</v>
      </c>
      <c r="I14" s="7">
        <v>926.83399999999995</v>
      </c>
      <c r="J14" s="7">
        <v>2305.9789999999998</v>
      </c>
      <c r="K14" s="7">
        <v>0</v>
      </c>
      <c r="L14" s="7">
        <v>202773.15900000001</v>
      </c>
      <c r="M14" s="7">
        <v>25557.393</v>
      </c>
      <c r="N14" s="7">
        <v>0</v>
      </c>
      <c r="O14" s="7">
        <v>45.048000000000002</v>
      </c>
      <c r="P14" s="7">
        <v>17.103000000000002</v>
      </c>
      <c r="Q14" s="7">
        <v>39.121000000000002</v>
      </c>
      <c r="R14" s="7">
        <v>14.173</v>
      </c>
      <c r="S14" s="7">
        <v>5713.8559999999998</v>
      </c>
      <c r="T14" s="7">
        <v>0</v>
      </c>
      <c r="U14" s="7">
        <v>0</v>
      </c>
      <c r="V14" s="7">
        <v>190.196</v>
      </c>
      <c r="W14" s="7">
        <v>1703.6980000000001</v>
      </c>
      <c r="X14" s="7">
        <v>2.5000000000000001E-2</v>
      </c>
      <c r="Y14" s="7">
        <v>36043.769999999997</v>
      </c>
      <c r="Z14" s="7">
        <v>742.62400000000002</v>
      </c>
      <c r="AA14" s="7">
        <v>2359.819</v>
      </c>
      <c r="AB14" s="7">
        <v>1239.6410000000001</v>
      </c>
      <c r="AC14" s="7">
        <v>3053.741</v>
      </c>
      <c r="AD14" s="7">
        <v>146.61099999999999</v>
      </c>
      <c r="AE14" s="7">
        <v>88219.544999999998</v>
      </c>
      <c r="AF14" s="7">
        <v>39820.571000000004</v>
      </c>
      <c r="AG14" s="7">
        <v>680.05399999999997</v>
      </c>
      <c r="AH14" s="7">
        <v>331934.55200000003</v>
      </c>
      <c r="AI14" s="7">
        <v>72879.156000000003</v>
      </c>
      <c r="AJ14" s="7">
        <v>3946.0459999999998</v>
      </c>
      <c r="AK14" s="7">
        <v>70243.44</v>
      </c>
      <c r="AL14" s="7">
        <v>41937.648000000001</v>
      </c>
      <c r="AM14" s="7">
        <v>0</v>
      </c>
      <c r="AN14" s="7">
        <v>23158.552</v>
      </c>
      <c r="AO14" s="7">
        <v>450.00400000000002</v>
      </c>
      <c r="AP14" s="7">
        <v>0</v>
      </c>
      <c r="AQ14" s="7">
        <v>11715.058999999999</v>
      </c>
      <c r="AR14" s="7">
        <v>0</v>
      </c>
      <c r="AS14" s="7">
        <v>53.070999999999998</v>
      </c>
      <c r="AT14" s="7">
        <v>0</v>
      </c>
      <c r="AU14" s="7">
        <v>410.928</v>
      </c>
      <c r="AV14" s="7">
        <v>0</v>
      </c>
      <c r="AW14" s="7">
        <v>0</v>
      </c>
      <c r="AX14" s="7">
        <v>0</v>
      </c>
      <c r="AY14" s="7">
        <v>23.405999999999999</v>
      </c>
      <c r="AZ14" s="7">
        <v>0.81699999999999995</v>
      </c>
      <c r="BA14" s="7">
        <v>0</v>
      </c>
      <c r="BB14" s="7">
        <v>72.789000000000001</v>
      </c>
      <c r="BC14" s="7">
        <v>3.3279999999999998</v>
      </c>
      <c r="BD14" s="7">
        <v>1.905</v>
      </c>
      <c r="BE14" s="7">
        <v>3.1739999999999999</v>
      </c>
      <c r="BF14" s="7">
        <v>0.54100000000000004</v>
      </c>
      <c r="BG14" s="7">
        <v>3140.1129999999998</v>
      </c>
      <c r="BH14" s="22"/>
    </row>
    <row r="15" spans="1:60" ht="15.75" x14ac:dyDescent="0.25">
      <c r="A15" s="5" t="s">
        <v>3</v>
      </c>
      <c r="B15" s="5" t="s">
        <v>15</v>
      </c>
      <c r="C15" s="7">
        <v>1</v>
      </c>
      <c r="D15" s="7">
        <v>1</v>
      </c>
      <c r="E15" s="7">
        <v>34.395000000000003</v>
      </c>
      <c r="F15" s="7">
        <v>4.7590000000000003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153.32599999999999</v>
      </c>
      <c r="M15" s="7">
        <v>11.38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10.505000000000001</v>
      </c>
      <c r="AF15" s="7">
        <v>1.5640000000000001</v>
      </c>
      <c r="AG15" s="7">
        <v>0</v>
      </c>
      <c r="AH15" s="7">
        <v>98.451999999999998</v>
      </c>
      <c r="AI15" s="7">
        <v>1.06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22"/>
    </row>
    <row r="16" spans="1:60" ht="15.75" x14ac:dyDescent="0.25">
      <c r="A16" s="5" t="s">
        <v>16</v>
      </c>
      <c r="B16" s="5" t="s">
        <v>17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22"/>
    </row>
    <row r="17" spans="1:60" ht="15.75" x14ac:dyDescent="0.25">
      <c r="A17" s="5" t="s">
        <v>18</v>
      </c>
      <c r="B17" s="5" t="s">
        <v>19</v>
      </c>
      <c r="C17" s="7">
        <v>2</v>
      </c>
      <c r="D17" s="7">
        <v>2</v>
      </c>
      <c r="E17" s="7">
        <v>1059572.328</v>
      </c>
      <c r="F17" s="7">
        <v>74798.066999999995</v>
      </c>
      <c r="G17" s="7">
        <v>204879.4</v>
      </c>
      <c r="H17" s="7">
        <v>0</v>
      </c>
      <c r="I17" s="7">
        <v>29678.322</v>
      </c>
      <c r="J17" s="7">
        <v>140363.74</v>
      </c>
      <c r="K17" s="7">
        <v>0</v>
      </c>
      <c r="L17" s="7">
        <v>216978.42</v>
      </c>
      <c r="M17" s="7">
        <v>372936.62300000002</v>
      </c>
      <c r="N17" s="7">
        <v>0</v>
      </c>
      <c r="O17" s="7">
        <v>0</v>
      </c>
      <c r="P17" s="7">
        <v>16303.460999999999</v>
      </c>
      <c r="Q17" s="7">
        <v>696.37800000000004</v>
      </c>
      <c r="R17" s="7">
        <v>1993.8050000000001</v>
      </c>
      <c r="S17" s="7">
        <v>24693.103999999999</v>
      </c>
      <c r="T17" s="7">
        <v>0</v>
      </c>
      <c r="U17" s="7">
        <v>0</v>
      </c>
      <c r="V17" s="7">
        <v>13026.665000000001</v>
      </c>
      <c r="W17" s="7">
        <v>25415.733</v>
      </c>
      <c r="X17" s="7">
        <v>0</v>
      </c>
      <c r="Y17" s="7">
        <v>126339.64200000001</v>
      </c>
      <c r="Z17" s="7">
        <v>0</v>
      </c>
      <c r="AA17" s="7">
        <v>155410.54300000001</v>
      </c>
      <c r="AB17" s="7">
        <v>0</v>
      </c>
      <c r="AC17" s="7">
        <v>9732.2369999999992</v>
      </c>
      <c r="AD17" s="7">
        <v>4674.2749999999996</v>
      </c>
      <c r="AE17" s="7">
        <v>315037.69099999999</v>
      </c>
      <c r="AF17" s="7">
        <v>0</v>
      </c>
      <c r="AG17" s="7">
        <v>14689.218999999999</v>
      </c>
      <c r="AH17" s="7">
        <v>1083878.7409999999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1948.732</v>
      </c>
      <c r="AP17" s="7">
        <v>0</v>
      </c>
      <c r="AQ17" s="7">
        <v>0</v>
      </c>
      <c r="AR17" s="7">
        <v>0</v>
      </c>
      <c r="AS17" s="7">
        <v>649.46900000000005</v>
      </c>
      <c r="AT17" s="7">
        <v>0</v>
      </c>
      <c r="AU17" s="7">
        <v>16294.375</v>
      </c>
      <c r="AV17" s="7">
        <v>0</v>
      </c>
      <c r="AW17" s="7">
        <v>0</v>
      </c>
      <c r="AX17" s="7">
        <v>0</v>
      </c>
      <c r="AY17" s="7">
        <v>335.73200000000003</v>
      </c>
      <c r="AZ17" s="7">
        <v>0</v>
      </c>
      <c r="BA17" s="7">
        <v>0</v>
      </c>
      <c r="BB17" s="7">
        <v>270.78300000000002</v>
      </c>
      <c r="BC17" s="7">
        <v>210.995</v>
      </c>
      <c r="BD17" s="7">
        <v>0</v>
      </c>
      <c r="BE17" s="7">
        <v>14.407999999999999</v>
      </c>
      <c r="BF17" s="7">
        <v>0</v>
      </c>
      <c r="BG17" s="7">
        <v>0</v>
      </c>
      <c r="BH17" s="22"/>
    </row>
    <row r="18" spans="1:60" ht="15.75" x14ac:dyDescent="0.25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22"/>
    </row>
    <row r="19" spans="1:60" ht="15.75" x14ac:dyDescent="0.25">
      <c r="A19" s="5" t="s">
        <v>22</v>
      </c>
      <c r="B19" s="5" t="s">
        <v>23</v>
      </c>
      <c r="C19" s="7">
        <v>2</v>
      </c>
      <c r="D19" s="7">
        <v>2</v>
      </c>
      <c r="E19" s="7">
        <v>728582.86499999999</v>
      </c>
      <c r="F19" s="7">
        <v>52625.315000000002</v>
      </c>
      <c r="G19" s="7">
        <v>136328.277</v>
      </c>
      <c r="H19" s="7">
        <v>0</v>
      </c>
      <c r="I19" s="7">
        <v>19769.34</v>
      </c>
      <c r="J19" s="7">
        <v>93069.448000000004</v>
      </c>
      <c r="K19" s="7">
        <v>91406.142999999996</v>
      </c>
      <c r="L19" s="7">
        <v>182075.87400000001</v>
      </c>
      <c r="M19" s="7">
        <v>258269.747</v>
      </c>
      <c r="N19" s="7">
        <v>11902.468000000001</v>
      </c>
      <c r="O19" s="7">
        <v>0</v>
      </c>
      <c r="P19" s="7">
        <v>0</v>
      </c>
      <c r="Q19" s="7">
        <v>975.94299999999998</v>
      </c>
      <c r="R19" s="7">
        <v>2794.23</v>
      </c>
      <c r="S19" s="7">
        <v>17375.18</v>
      </c>
      <c r="T19" s="7">
        <v>0</v>
      </c>
      <c r="U19" s="7">
        <v>67730.588000000003</v>
      </c>
      <c r="V19" s="7">
        <v>8621.7530000000006</v>
      </c>
      <c r="W19" s="7">
        <v>22619.434000000001</v>
      </c>
      <c r="X19" s="7">
        <v>0</v>
      </c>
      <c r="Y19" s="7">
        <v>89803.75</v>
      </c>
      <c r="Z19" s="7">
        <v>0</v>
      </c>
      <c r="AA19" s="7">
        <v>102859.11500000001</v>
      </c>
      <c r="AB19" s="7">
        <v>2.302</v>
      </c>
      <c r="AC19" s="7">
        <v>6977.7039999999997</v>
      </c>
      <c r="AD19" s="7">
        <v>3093.6880000000001</v>
      </c>
      <c r="AE19" s="7">
        <v>236241.97700000001</v>
      </c>
      <c r="AF19" s="7">
        <v>7444.0780000000004</v>
      </c>
      <c r="AG19" s="7">
        <v>9722.1209999999992</v>
      </c>
      <c r="AH19" s="7">
        <v>776869.36499999999</v>
      </c>
      <c r="AI19" s="7">
        <v>13252.223</v>
      </c>
      <c r="AJ19" s="7">
        <v>0</v>
      </c>
      <c r="AK19" s="7">
        <v>0</v>
      </c>
      <c r="AL19" s="7">
        <v>0</v>
      </c>
      <c r="AM19" s="7">
        <v>12005.68</v>
      </c>
      <c r="AN19" s="7">
        <v>0</v>
      </c>
      <c r="AO19" s="7">
        <v>1372.222</v>
      </c>
      <c r="AP19" s="7">
        <v>0</v>
      </c>
      <c r="AQ19" s="7">
        <v>2252.42</v>
      </c>
      <c r="AR19" s="7">
        <v>0</v>
      </c>
      <c r="AS19" s="7">
        <v>439.60399999999998</v>
      </c>
      <c r="AT19" s="7">
        <v>0</v>
      </c>
      <c r="AU19" s="7">
        <v>11937.098</v>
      </c>
      <c r="AV19" s="7">
        <v>0</v>
      </c>
      <c r="AW19" s="7">
        <v>0</v>
      </c>
      <c r="AX19" s="7">
        <v>0</v>
      </c>
      <c r="AY19" s="7">
        <v>225.76900000000001</v>
      </c>
      <c r="AZ19" s="7">
        <v>0</v>
      </c>
      <c r="BA19" s="7">
        <v>0</v>
      </c>
      <c r="BB19" s="7">
        <v>192.35599999999999</v>
      </c>
      <c r="BC19" s="7">
        <v>139.648</v>
      </c>
      <c r="BD19" s="7">
        <v>0</v>
      </c>
      <c r="BE19" s="7">
        <v>10.11</v>
      </c>
      <c r="BF19" s="7">
        <v>0</v>
      </c>
      <c r="BG19" s="7">
        <v>0</v>
      </c>
      <c r="BH19" s="22"/>
    </row>
    <row r="20" spans="1:60" ht="15.75" x14ac:dyDescent="0.25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28233.837</v>
      </c>
      <c r="L20" s="7">
        <v>0</v>
      </c>
      <c r="M20" s="7">
        <v>0</v>
      </c>
      <c r="N20" s="7">
        <v>279.68700000000001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20920.851999999999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114.011</v>
      </c>
      <c r="AI20" s="7">
        <v>0</v>
      </c>
      <c r="AJ20" s="7">
        <v>0</v>
      </c>
      <c r="AK20" s="7">
        <v>0</v>
      </c>
      <c r="AL20" s="7">
        <v>0</v>
      </c>
      <c r="AM20" s="7">
        <v>3708.355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7.0250000000000004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22"/>
    </row>
    <row r="21" spans="1:60" ht="15.75" x14ac:dyDescent="0.25">
      <c r="A21" s="5" t="s">
        <v>26</v>
      </c>
      <c r="B21" s="5" t="s">
        <v>27</v>
      </c>
      <c r="C21" s="7">
        <v>2</v>
      </c>
      <c r="D21" s="7">
        <v>2</v>
      </c>
      <c r="E21" s="7">
        <v>35421.656000000003</v>
      </c>
      <c r="F21" s="7">
        <v>8406.3160000000007</v>
      </c>
      <c r="G21" s="7">
        <v>0</v>
      </c>
      <c r="H21" s="7">
        <v>0</v>
      </c>
      <c r="I21" s="7">
        <v>365.56700000000001</v>
      </c>
      <c r="J21" s="7">
        <v>0</v>
      </c>
      <c r="K21" s="7">
        <v>90725.990999999995</v>
      </c>
      <c r="L21" s="7">
        <v>98697.267000000007</v>
      </c>
      <c r="M21" s="7">
        <v>8554.5740000000005</v>
      </c>
      <c r="N21" s="7">
        <v>0</v>
      </c>
      <c r="O21" s="7">
        <v>0</v>
      </c>
      <c r="P21" s="7">
        <v>0.55000000000000004</v>
      </c>
      <c r="Q21" s="7">
        <v>0</v>
      </c>
      <c r="R21" s="7">
        <v>0</v>
      </c>
      <c r="S21" s="7">
        <v>2632.0059999999999</v>
      </c>
      <c r="T21" s="7">
        <v>2421.6</v>
      </c>
      <c r="U21" s="7">
        <v>67226.604999999996</v>
      </c>
      <c r="V21" s="7">
        <v>0</v>
      </c>
      <c r="W21" s="7">
        <v>685.23599999999999</v>
      </c>
      <c r="X21" s="7">
        <v>0</v>
      </c>
      <c r="Y21" s="7">
        <v>16367.8</v>
      </c>
      <c r="Z21" s="7">
        <v>0</v>
      </c>
      <c r="AA21" s="7">
        <v>0</v>
      </c>
      <c r="AB21" s="7">
        <v>4.4589999999999996</v>
      </c>
      <c r="AC21" s="7">
        <v>1444.3219999999999</v>
      </c>
      <c r="AD21" s="7">
        <v>0</v>
      </c>
      <c r="AE21" s="7">
        <v>41026.519</v>
      </c>
      <c r="AF21" s="7">
        <v>20072.745999999999</v>
      </c>
      <c r="AG21" s="7">
        <v>0</v>
      </c>
      <c r="AH21" s="7">
        <v>161301.60399999999</v>
      </c>
      <c r="AI21" s="7">
        <v>35685.078000000001</v>
      </c>
      <c r="AJ21" s="7">
        <v>0</v>
      </c>
      <c r="AK21" s="7">
        <v>0</v>
      </c>
      <c r="AL21" s="7">
        <v>0</v>
      </c>
      <c r="AM21" s="7">
        <v>11916.346</v>
      </c>
      <c r="AN21" s="7">
        <v>0</v>
      </c>
      <c r="AO21" s="7">
        <v>201.31</v>
      </c>
      <c r="AP21" s="7">
        <v>0</v>
      </c>
      <c r="AQ21" s="7">
        <v>6061.9870000000001</v>
      </c>
      <c r="AR21" s="7">
        <v>0</v>
      </c>
      <c r="AS21" s="7">
        <v>25.436</v>
      </c>
      <c r="AT21" s="7">
        <v>0</v>
      </c>
      <c r="AU21" s="7">
        <v>233.33099999999999</v>
      </c>
      <c r="AV21" s="7">
        <v>0</v>
      </c>
      <c r="AW21" s="7">
        <v>0</v>
      </c>
      <c r="AX21" s="7">
        <v>0</v>
      </c>
      <c r="AY21" s="7">
        <v>9.9450000000000003</v>
      </c>
      <c r="AZ21" s="7">
        <v>25.74</v>
      </c>
      <c r="BA21" s="7">
        <v>0</v>
      </c>
      <c r="BB21" s="7">
        <v>36.603000000000002</v>
      </c>
      <c r="BC21" s="7">
        <v>0</v>
      </c>
      <c r="BD21" s="7">
        <v>60.003999999999998</v>
      </c>
      <c r="BE21" s="7">
        <v>1.601</v>
      </c>
      <c r="BF21" s="7">
        <v>17.035</v>
      </c>
      <c r="BG21" s="7">
        <v>0</v>
      </c>
      <c r="BH21" s="22"/>
    </row>
    <row r="22" spans="1:60" ht="15.75" x14ac:dyDescent="0.25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22"/>
    </row>
    <row r="23" spans="1:60" ht="15.75" x14ac:dyDescent="0.25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936115.38199999998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22"/>
    </row>
    <row r="24" spans="1:60" ht="15.75" x14ac:dyDescent="0.25">
      <c r="A24" s="5" t="s">
        <v>32</v>
      </c>
      <c r="B24" s="5" t="s">
        <v>33</v>
      </c>
      <c r="C24" s="7">
        <v>2</v>
      </c>
      <c r="D24" s="7">
        <v>2</v>
      </c>
      <c r="E24" s="7">
        <v>7129.6549999999997</v>
      </c>
      <c r="F24" s="7">
        <v>0</v>
      </c>
      <c r="G24" s="7">
        <v>1785.3489999999999</v>
      </c>
      <c r="H24" s="7">
        <v>0</v>
      </c>
      <c r="I24" s="7">
        <v>0</v>
      </c>
      <c r="J24" s="7">
        <v>1369.85</v>
      </c>
      <c r="K24" s="7">
        <v>0</v>
      </c>
      <c r="L24" s="7">
        <v>4356.2529999999997</v>
      </c>
      <c r="M24" s="7">
        <v>2432.2539999999999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811.52200000000005</v>
      </c>
      <c r="AF24" s="7">
        <v>0</v>
      </c>
      <c r="AG24" s="7">
        <v>0</v>
      </c>
      <c r="AH24" s="7">
        <v>4096.5649999999996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22"/>
    </row>
    <row r="25" spans="1:60" ht="15.75" x14ac:dyDescent="0.25">
      <c r="A25" s="5" t="s">
        <v>34</v>
      </c>
      <c r="B25" s="5" t="s">
        <v>35</v>
      </c>
      <c r="C25" s="7">
        <v>2</v>
      </c>
      <c r="D25" s="7">
        <v>2</v>
      </c>
      <c r="E25" s="7">
        <v>26630.238000000001</v>
      </c>
      <c r="F25" s="7">
        <v>5298.8270000000002</v>
      </c>
      <c r="G25" s="7">
        <v>5439.09</v>
      </c>
      <c r="H25" s="7">
        <v>0</v>
      </c>
      <c r="I25" s="7">
        <v>1053.423</v>
      </c>
      <c r="J25" s="7">
        <v>4182.3220000000001</v>
      </c>
      <c r="K25" s="7">
        <v>0</v>
      </c>
      <c r="L25" s="7">
        <v>23054.6</v>
      </c>
      <c r="M25" s="7">
        <v>18476.788</v>
      </c>
      <c r="N25" s="7">
        <v>0</v>
      </c>
      <c r="O25" s="7">
        <v>5.9059999999999997</v>
      </c>
      <c r="P25" s="7">
        <v>0</v>
      </c>
      <c r="Q25" s="7">
        <v>3.9180000000000001</v>
      </c>
      <c r="R25" s="7">
        <v>0</v>
      </c>
      <c r="S25" s="7">
        <v>1651.806</v>
      </c>
      <c r="T25" s="7">
        <v>0</v>
      </c>
      <c r="U25" s="7">
        <v>0</v>
      </c>
      <c r="V25" s="7">
        <v>545.12599999999998</v>
      </c>
      <c r="W25" s="7">
        <v>1417.279</v>
      </c>
      <c r="X25" s="7">
        <v>27781.258999999998</v>
      </c>
      <c r="Y25" s="7">
        <v>4960.4769999999999</v>
      </c>
      <c r="Z25" s="7">
        <v>28.245000000000001</v>
      </c>
      <c r="AA25" s="7">
        <v>5118.71</v>
      </c>
      <c r="AB25" s="7">
        <v>160.26300000000001</v>
      </c>
      <c r="AC25" s="7">
        <v>734.23699999999997</v>
      </c>
      <c r="AD25" s="7">
        <v>30.695</v>
      </c>
      <c r="AE25" s="7">
        <v>13952.397000000001</v>
      </c>
      <c r="AF25" s="7">
        <v>648.25099999999998</v>
      </c>
      <c r="AG25" s="7">
        <v>122.596</v>
      </c>
      <c r="AH25" s="7">
        <v>78876.691000000006</v>
      </c>
      <c r="AI25" s="7">
        <v>1154.04</v>
      </c>
      <c r="AJ25" s="7">
        <v>165.27099999999999</v>
      </c>
      <c r="AK25" s="7">
        <v>131607.21299999999</v>
      </c>
      <c r="AL25" s="7">
        <v>78573.872000000003</v>
      </c>
      <c r="AM25" s="7">
        <v>0</v>
      </c>
      <c r="AN25" s="7">
        <v>43389.567999999999</v>
      </c>
      <c r="AO25" s="7">
        <v>90.93</v>
      </c>
      <c r="AP25" s="7">
        <v>0</v>
      </c>
      <c r="AQ25" s="7">
        <v>196.14699999999999</v>
      </c>
      <c r="AR25" s="7">
        <v>0</v>
      </c>
      <c r="AS25" s="7">
        <v>5.1219999999999999</v>
      </c>
      <c r="AT25" s="7">
        <v>0</v>
      </c>
      <c r="AU25" s="7">
        <v>1216.56</v>
      </c>
      <c r="AV25" s="7">
        <v>0</v>
      </c>
      <c r="AW25" s="7">
        <v>0</v>
      </c>
      <c r="AX25" s="7">
        <v>9823.19</v>
      </c>
      <c r="AY25" s="7">
        <v>17.187000000000001</v>
      </c>
      <c r="AZ25" s="7">
        <v>0</v>
      </c>
      <c r="BA25" s="7">
        <v>2220.9499999999998</v>
      </c>
      <c r="BB25" s="7">
        <v>16.219000000000001</v>
      </c>
      <c r="BC25" s="7">
        <v>11.012</v>
      </c>
      <c r="BD25" s="7">
        <v>0</v>
      </c>
      <c r="BE25" s="7">
        <v>0.71099999999999997</v>
      </c>
      <c r="BF25" s="7">
        <v>0</v>
      </c>
      <c r="BG25" s="7">
        <v>35737.864000000001</v>
      </c>
      <c r="BH25" s="22"/>
    </row>
    <row r="26" spans="1:60" ht="15.75" x14ac:dyDescent="0.25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22"/>
    </row>
    <row r="27" spans="1:60" ht="15.75" x14ac:dyDescent="0.25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22"/>
    </row>
    <row r="28" spans="1:60" ht="15.75" x14ac:dyDescent="0.25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22"/>
    </row>
    <row r="29" spans="1:60" ht="15.75" x14ac:dyDescent="0.25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22"/>
    </row>
    <row r="30" spans="1:60" ht="15.75" x14ac:dyDescent="0.25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22"/>
    </row>
    <row r="31" spans="1:60" ht="15.75" x14ac:dyDescent="0.25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22"/>
    </row>
    <row r="32" spans="1:60" ht="15.75" x14ac:dyDescent="0.25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22"/>
    </row>
    <row r="33" spans="1:60" ht="15.75" x14ac:dyDescent="0.25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22"/>
    </row>
    <row r="34" spans="1:60" ht="15.75" x14ac:dyDescent="0.25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22"/>
    </row>
    <row r="35" spans="1:60" ht="15.75" x14ac:dyDescent="0.25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22"/>
    </row>
    <row r="36" spans="1:60" ht="15.75" x14ac:dyDescent="0.25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4916.1840000000002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3642.819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19.852</v>
      </c>
      <c r="AI36" s="7">
        <v>0</v>
      </c>
      <c r="AJ36" s="7">
        <v>0</v>
      </c>
      <c r="AK36" s="7">
        <v>0</v>
      </c>
      <c r="AL36" s="7">
        <v>0</v>
      </c>
      <c r="AM36" s="7">
        <v>645.71299999999997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22"/>
    </row>
    <row r="37" spans="1:60" ht="15.75" x14ac:dyDescent="0.25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22"/>
    </row>
    <row r="38" spans="1:60" ht="15.75" x14ac:dyDescent="0.25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22"/>
    </row>
    <row r="39" spans="1:60" ht="15.75" x14ac:dyDescent="0.25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22"/>
    </row>
    <row r="40" spans="1:60" ht="15.75" x14ac:dyDescent="0.25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22"/>
    </row>
    <row r="41" spans="1:60" ht="15.75" x14ac:dyDescent="0.25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22"/>
    </row>
    <row r="42" spans="1:60" ht="15.75" x14ac:dyDescent="0.25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22"/>
    </row>
    <row r="43" spans="1:60" ht="15.75" x14ac:dyDescent="0.25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22"/>
    </row>
    <row r="44" spans="1:60" ht="15.75" x14ac:dyDescent="0.25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22"/>
    </row>
    <row r="45" spans="1:60" ht="15.75" x14ac:dyDescent="0.25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22"/>
    </row>
    <row r="46" spans="1:60" ht="15.75" x14ac:dyDescent="0.25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22"/>
    </row>
    <row r="47" spans="1:60" ht="15.75" x14ac:dyDescent="0.25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22"/>
    </row>
    <row r="48" spans="1:60" ht="15.75" x14ac:dyDescent="0.25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22"/>
    </row>
    <row r="49" spans="1:60" ht="15.75" x14ac:dyDescent="0.25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22"/>
    </row>
    <row r="50" spans="1:60" ht="15.75" x14ac:dyDescent="0.25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22"/>
    </row>
    <row r="51" spans="1:60" ht="15.75" x14ac:dyDescent="0.25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22"/>
    </row>
    <row r="52" spans="1:60" ht="15.75" x14ac:dyDescent="0.25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22"/>
    </row>
    <row r="53" spans="1:60" ht="15.75" x14ac:dyDescent="0.25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22"/>
    </row>
    <row r="54" spans="1:60" ht="15.75" x14ac:dyDescent="0.25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22"/>
    </row>
    <row r="55" spans="1:60" ht="15.75" x14ac:dyDescent="0.25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22"/>
    </row>
    <row r="56" spans="1:60" ht="15.75" x14ac:dyDescent="0.25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22"/>
    </row>
    <row r="57" spans="1:60" ht="15.75" x14ac:dyDescent="0.25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22"/>
    </row>
    <row r="58" spans="1:60" ht="15.75" x14ac:dyDescent="0.25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22"/>
    </row>
    <row r="59" spans="1:60" ht="15.75" x14ac:dyDescent="0.25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22"/>
    </row>
    <row r="60" spans="1:60" ht="15.75" x14ac:dyDescent="0.25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22"/>
    </row>
    <row r="61" spans="1:60" ht="15.75" x14ac:dyDescent="0.25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22"/>
    </row>
    <row r="62" spans="1:60" ht="15.75" x14ac:dyDescent="0.25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22"/>
    </row>
    <row r="63" spans="1:60" ht="15.75" x14ac:dyDescent="0.25">
      <c r="A63" s="5" t="s">
        <v>110</v>
      </c>
      <c r="B63" s="5" t="s">
        <v>111</v>
      </c>
      <c r="C63" s="7">
        <v>3</v>
      </c>
      <c r="D63" s="7">
        <v>3</v>
      </c>
      <c r="E63" s="7">
        <v>913379.973</v>
      </c>
      <c r="F63" s="7">
        <v>91200.407000000007</v>
      </c>
      <c r="G63" s="7">
        <v>243285.97</v>
      </c>
      <c r="H63" s="7">
        <v>22163.671999999999</v>
      </c>
      <c r="I63" s="7">
        <v>19500.686000000002</v>
      </c>
      <c r="J63" s="7">
        <v>163657.00599999999</v>
      </c>
      <c r="K63" s="7">
        <v>0</v>
      </c>
      <c r="L63" s="7">
        <v>311445.424</v>
      </c>
      <c r="M63" s="7">
        <v>550082.94700000004</v>
      </c>
      <c r="N63" s="7">
        <v>0</v>
      </c>
      <c r="O63" s="7">
        <v>0</v>
      </c>
      <c r="P63" s="7">
        <v>42.28</v>
      </c>
      <c r="Q63" s="7">
        <v>1351.076</v>
      </c>
      <c r="R63" s="7">
        <v>4816.1909999999998</v>
      </c>
      <c r="S63" s="7">
        <v>37652.758000000002</v>
      </c>
      <c r="T63" s="7">
        <v>0</v>
      </c>
      <c r="U63" s="7">
        <v>0</v>
      </c>
      <c r="V63" s="7">
        <v>18409.47</v>
      </c>
      <c r="W63" s="7">
        <v>48598.237999999998</v>
      </c>
      <c r="X63" s="7">
        <v>0</v>
      </c>
      <c r="Y63" s="7">
        <v>91149.501999999993</v>
      </c>
      <c r="Z63" s="7">
        <v>0</v>
      </c>
      <c r="AA63" s="7">
        <v>191406.15400000001</v>
      </c>
      <c r="AB63" s="7">
        <v>0</v>
      </c>
      <c r="AC63" s="7">
        <v>16515.187999999998</v>
      </c>
      <c r="AD63" s="7">
        <v>254.37799999999999</v>
      </c>
      <c r="AE63" s="7">
        <v>194853.25599999999</v>
      </c>
      <c r="AF63" s="7">
        <v>0</v>
      </c>
      <c r="AG63" s="7">
        <v>440.38900000000001</v>
      </c>
      <c r="AH63" s="7">
        <v>964916.799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2080.0279999999998</v>
      </c>
      <c r="AP63" s="7">
        <v>0</v>
      </c>
      <c r="AQ63" s="7">
        <v>0</v>
      </c>
      <c r="AR63" s="7">
        <v>0</v>
      </c>
      <c r="AS63" s="7">
        <v>255.268</v>
      </c>
      <c r="AT63" s="7">
        <v>0</v>
      </c>
      <c r="AU63" s="7">
        <v>9821.6270000000004</v>
      </c>
      <c r="AV63" s="7">
        <v>0</v>
      </c>
      <c r="AW63" s="7">
        <v>0</v>
      </c>
      <c r="AX63" s="7">
        <v>0</v>
      </c>
      <c r="AY63" s="7">
        <v>446.71199999999999</v>
      </c>
      <c r="AZ63" s="7">
        <v>0</v>
      </c>
      <c r="BA63" s="7">
        <v>0</v>
      </c>
      <c r="BB63" s="7">
        <v>452.46699999999998</v>
      </c>
      <c r="BC63" s="7">
        <v>343.05200000000002</v>
      </c>
      <c r="BD63" s="7">
        <v>0</v>
      </c>
      <c r="BE63" s="7">
        <v>19.445</v>
      </c>
      <c r="BF63" s="7">
        <v>0</v>
      </c>
      <c r="BG63" s="7">
        <v>0</v>
      </c>
      <c r="BH63" s="22"/>
    </row>
    <row r="64" spans="1:60" ht="15.75" x14ac:dyDescent="0.25">
      <c r="A64" s="5" t="s">
        <v>112</v>
      </c>
      <c r="B64" s="5" t="s">
        <v>113</v>
      </c>
      <c r="C64" s="7">
        <v>3</v>
      </c>
      <c r="D64" s="7">
        <v>3</v>
      </c>
      <c r="E64" s="7">
        <v>9407.42</v>
      </c>
      <c r="F64" s="7">
        <v>843.02300000000002</v>
      </c>
      <c r="G64" s="7">
        <v>1543.7370000000001</v>
      </c>
      <c r="H64" s="7">
        <v>0</v>
      </c>
      <c r="I64" s="7">
        <v>157.44200000000001</v>
      </c>
      <c r="J64" s="7">
        <v>1003.981</v>
      </c>
      <c r="K64" s="7">
        <v>0</v>
      </c>
      <c r="L64" s="7">
        <v>4021.732</v>
      </c>
      <c r="M64" s="7">
        <v>4125.9629999999997</v>
      </c>
      <c r="N64" s="7">
        <v>0</v>
      </c>
      <c r="O64" s="7">
        <v>0</v>
      </c>
      <c r="P64" s="7">
        <v>0.184</v>
      </c>
      <c r="Q64" s="7">
        <v>142.21600000000001</v>
      </c>
      <c r="R64" s="7">
        <v>506.95800000000003</v>
      </c>
      <c r="S64" s="7">
        <v>342.41800000000001</v>
      </c>
      <c r="T64" s="7">
        <v>0</v>
      </c>
      <c r="U64" s="7">
        <v>0</v>
      </c>
      <c r="V64" s="7">
        <v>154.66399999999999</v>
      </c>
      <c r="W64" s="7">
        <v>320.13900000000001</v>
      </c>
      <c r="X64" s="7">
        <v>0</v>
      </c>
      <c r="Y64" s="7">
        <v>752.93499999999995</v>
      </c>
      <c r="Z64" s="7">
        <v>0</v>
      </c>
      <c r="AA64" s="7">
        <v>1182.162</v>
      </c>
      <c r="AB64" s="7">
        <v>0</v>
      </c>
      <c r="AC64" s="7">
        <v>148.136</v>
      </c>
      <c r="AD64" s="7">
        <v>0</v>
      </c>
      <c r="AE64" s="7">
        <v>4232.2979999999998</v>
      </c>
      <c r="AF64" s="7">
        <v>0</v>
      </c>
      <c r="AG64" s="7">
        <v>0</v>
      </c>
      <c r="AH64" s="7">
        <v>6939.0190000000002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14.135999999999999</v>
      </c>
      <c r="AP64" s="7">
        <v>0</v>
      </c>
      <c r="AQ64" s="7">
        <v>0</v>
      </c>
      <c r="AR64" s="7">
        <v>0</v>
      </c>
      <c r="AS64" s="7">
        <v>3.327</v>
      </c>
      <c r="AT64" s="7">
        <v>0</v>
      </c>
      <c r="AU64" s="7">
        <v>98.700999999999993</v>
      </c>
      <c r="AV64" s="7">
        <v>0</v>
      </c>
      <c r="AW64" s="7">
        <v>0</v>
      </c>
      <c r="AX64" s="7">
        <v>0</v>
      </c>
      <c r="AY64" s="7">
        <v>3.3620000000000001</v>
      </c>
      <c r="AZ64" s="7">
        <v>0</v>
      </c>
      <c r="BA64" s="7">
        <v>0</v>
      </c>
      <c r="BB64" s="7">
        <v>3.4020000000000001</v>
      </c>
      <c r="BC64" s="7">
        <v>2.5779999999999998</v>
      </c>
      <c r="BD64" s="7">
        <v>0</v>
      </c>
      <c r="BE64" s="7">
        <v>0.14599999999999999</v>
      </c>
      <c r="BF64" s="7">
        <v>0</v>
      </c>
      <c r="BG64" s="7">
        <v>0</v>
      </c>
      <c r="BH64" s="22"/>
    </row>
    <row r="65" spans="1:60" ht="15.75" x14ac:dyDescent="0.25">
      <c r="A65" s="5" t="s">
        <v>114</v>
      </c>
      <c r="B65" s="5" t="s">
        <v>115</v>
      </c>
      <c r="C65" s="7">
        <v>3</v>
      </c>
      <c r="D65" s="7">
        <v>3</v>
      </c>
      <c r="E65" s="7">
        <v>169417.16800000001</v>
      </c>
      <c r="F65" s="7">
        <v>18771.776000000002</v>
      </c>
      <c r="G65" s="7">
        <v>39784.099000000002</v>
      </c>
      <c r="H65" s="7">
        <v>195.60900000000001</v>
      </c>
      <c r="I65" s="7">
        <v>3680.8270000000002</v>
      </c>
      <c r="J65" s="7">
        <v>26259.256000000001</v>
      </c>
      <c r="K65" s="7">
        <v>44584.508999999998</v>
      </c>
      <c r="L65" s="7">
        <v>67804.024000000005</v>
      </c>
      <c r="M65" s="7">
        <v>99229.356</v>
      </c>
      <c r="N65" s="7">
        <v>949.98</v>
      </c>
      <c r="O65" s="7">
        <v>0</v>
      </c>
      <c r="P65" s="7">
        <v>5.6779999999999999</v>
      </c>
      <c r="Q65" s="7">
        <v>516.21600000000001</v>
      </c>
      <c r="R65" s="7">
        <v>1840.1579999999999</v>
      </c>
      <c r="S65" s="7">
        <v>7667.8940000000002</v>
      </c>
      <c r="T65" s="7">
        <v>0</v>
      </c>
      <c r="U65" s="7">
        <v>33036.455000000002</v>
      </c>
      <c r="V65" s="7">
        <v>3562.904</v>
      </c>
      <c r="W65" s="7">
        <v>8118.9070000000002</v>
      </c>
      <c r="X65" s="7">
        <v>0</v>
      </c>
      <c r="Y65" s="7">
        <v>17453.278999999999</v>
      </c>
      <c r="Z65" s="7">
        <v>0</v>
      </c>
      <c r="AA65" s="7">
        <v>30827.708999999999</v>
      </c>
      <c r="AB65" s="7">
        <v>0</v>
      </c>
      <c r="AC65" s="7">
        <v>3333.29</v>
      </c>
      <c r="AD65" s="7">
        <v>0</v>
      </c>
      <c r="AE65" s="7">
        <v>37523.131000000001</v>
      </c>
      <c r="AF65" s="7">
        <v>0</v>
      </c>
      <c r="AG65" s="7">
        <v>0</v>
      </c>
      <c r="AH65" s="7">
        <v>169885.07199999999</v>
      </c>
      <c r="AI65" s="7">
        <v>0</v>
      </c>
      <c r="AJ65" s="7">
        <v>0</v>
      </c>
      <c r="AK65" s="7">
        <v>0</v>
      </c>
      <c r="AL65" s="7">
        <v>0</v>
      </c>
      <c r="AM65" s="7">
        <v>5855.9229999999998</v>
      </c>
      <c r="AN65" s="7">
        <v>0</v>
      </c>
      <c r="AO65" s="7">
        <v>353.82400000000001</v>
      </c>
      <c r="AP65" s="7">
        <v>0</v>
      </c>
      <c r="AQ65" s="7">
        <v>0</v>
      </c>
      <c r="AR65" s="7">
        <v>0</v>
      </c>
      <c r="AS65" s="7">
        <v>66.658000000000001</v>
      </c>
      <c r="AT65" s="7">
        <v>0</v>
      </c>
      <c r="AU65" s="7">
        <v>2294.741</v>
      </c>
      <c r="AV65" s="7">
        <v>0</v>
      </c>
      <c r="AW65" s="7">
        <v>0</v>
      </c>
      <c r="AX65" s="7">
        <v>0</v>
      </c>
      <c r="AY65" s="7">
        <v>80.745000000000005</v>
      </c>
      <c r="AZ65" s="7">
        <v>0</v>
      </c>
      <c r="BA65" s="7">
        <v>0</v>
      </c>
      <c r="BB65" s="7">
        <v>81.739999999999995</v>
      </c>
      <c r="BC65" s="7">
        <v>61.954999999999998</v>
      </c>
      <c r="BD65" s="7">
        <v>0</v>
      </c>
      <c r="BE65" s="7">
        <v>3.5110000000000001</v>
      </c>
      <c r="BF65" s="7">
        <v>0</v>
      </c>
      <c r="BG65" s="7">
        <v>0</v>
      </c>
      <c r="BH65" s="22"/>
    </row>
    <row r="66" spans="1:60" ht="15.75" x14ac:dyDescent="0.25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22"/>
    </row>
    <row r="67" spans="1:60" ht="15.75" x14ac:dyDescent="0.25">
      <c r="A67" s="5" t="s">
        <v>118</v>
      </c>
      <c r="B67" s="5" t="s">
        <v>119</v>
      </c>
      <c r="C67" s="7">
        <v>3</v>
      </c>
      <c r="D67" s="7">
        <v>3</v>
      </c>
      <c r="E67" s="7">
        <v>196145.07500000001</v>
      </c>
      <c r="F67" s="7">
        <v>24426.233</v>
      </c>
      <c r="G67" s="7">
        <v>43129.1</v>
      </c>
      <c r="H67" s="7">
        <v>15109.566000000001</v>
      </c>
      <c r="I67" s="7">
        <v>4451.59</v>
      </c>
      <c r="J67" s="7">
        <v>28066.472000000002</v>
      </c>
      <c r="K67" s="7">
        <v>0</v>
      </c>
      <c r="L67" s="7">
        <v>91487.48</v>
      </c>
      <c r="M67" s="7">
        <v>116962.606</v>
      </c>
      <c r="N67" s="7">
        <v>0</v>
      </c>
      <c r="O67" s="7">
        <v>0</v>
      </c>
      <c r="P67" s="7">
        <v>4.7359999999999998</v>
      </c>
      <c r="Q67" s="7">
        <v>475.226</v>
      </c>
      <c r="R67" s="7">
        <v>1694.04</v>
      </c>
      <c r="S67" s="7">
        <v>9792.6280000000006</v>
      </c>
      <c r="T67" s="7">
        <v>0</v>
      </c>
      <c r="U67" s="7">
        <v>0</v>
      </c>
      <c r="V67" s="7">
        <v>4390.473</v>
      </c>
      <c r="W67" s="7">
        <v>8843.2260000000006</v>
      </c>
      <c r="X67" s="7">
        <v>0</v>
      </c>
      <c r="Y67" s="7">
        <v>21504.887999999999</v>
      </c>
      <c r="Z67" s="7">
        <v>0</v>
      </c>
      <c r="AA67" s="7">
        <v>32484.857</v>
      </c>
      <c r="AB67" s="7">
        <v>0</v>
      </c>
      <c r="AC67" s="7">
        <v>4231.2</v>
      </c>
      <c r="AD67" s="7">
        <v>0</v>
      </c>
      <c r="AE67" s="7">
        <v>38108.267999999996</v>
      </c>
      <c r="AF67" s="7">
        <v>0</v>
      </c>
      <c r="AG67" s="7">
        <v>0</v>
      </c>
      <c r="AH67" s="7">
        <v>197280.524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392.01</v>
      </c>
      <c r="AP67" s="7">
        <v>0</v>
      </c>
      <c r="AQ67" s="7">
        <v>0</v>
      </c>
      <c r="AR67" s="7">
        <v>0</v>
      </c>
      <c r="AS67" s="7">
        <v>97.718000000000004</v>
      </c>
      <c r="AT67" s="7">
        <v>0</v>
      </c>
      <c r="AU67" s="7">
        <v>2959.6709999999998</v>
      </c>
      <c r="AV67" s="7">
        <v>0</v>
      </c>
      <c r="AW67" s="7">
        <v>0</v>
      </c>
      <c r="AX67" s="7">
        <v>0</v>
      </c>
      <c r="AY67" s="7">
        <v>94.344999999999999</v>
      </c>
      <c r="AZ67" s="7">
        <v>0</v>
      </c>
      <c r="BA67" s="7">
        <v>0</v>
      </c>
      <c r="BB67" s="7">
        <v>95.463999999999999</v>
      </c>
      <c r="BC67" s="7">
        <v>72.34</v>
      </c>
      <c r="BD67" s="7">
        <v>0</v>
      </c>
      <c r="BE67" s="7">
        <v>4.0999999999999996</v>
      </c>
      <c r="BF67" s="7">
        <v>0</v>
      </c>
      <c r="BG67" s="7">
        <v>0</v>
      </c>
      <c r="BH67" s="22"/>
    </row>
    <row r="68" spans="1:60" ht="15.75" x14ac:dyDescent="0.25">
      <c r="A68" s="5" t="s">
        <v>120</v>
      </c>
      <c r="B68" s="5" t="s">
        <v>121</v>
      </c>
      <c r="C68" s="7">
        <v>3</v>
      </c>
      <c r="D68" s="7">
        <v>3</v>
      </c>
      <c r="E68" s="7">
        <v>32591.878000000001</v>
      </c>
      <c r="F68" s="7">
        <v>4001.201</v>
      </c>
      <c r="G68" s="7">
        <v>7032.2929999999997</v>
      </c>
      <c r="H68" s="7">
        <v>0</v>
      </c>
      <c r="I68" s="7">
        <v>737.72500000000002</v>
      </c>
      <c r="J68" s="7">
        <v>4552.5159999999996</v>
      </c>
      <c r="K68" s="7">
        <v>0</v>
      </c>
      <c r="L68" s="7">
        <v>14613</v>
      </c>
      <c r="M68" s="7">
        <v>19182.179</v>
      </c>
      <c r="N68" s="7">
        <v>0</v>
      </c>
      <c r="O68" s="7">
        <v>0</v>
      </c>
      <c r="P68" s="7">
        <v>0.78500000000000003</v>
      </c>
      <c r="Q68" s="7">
        <v>97.65</v>
      </c>
      <c r="R68" s="7">
        <v>348.09399999999999</v>
      </c>
      <c r="S68" s="7">
        <v>1622.8520000000001</v>
      </c>
      <c r="T68" s="7">
        <v>0</v>
      </c>
      <c r="U68" s="7">
        <v>0</v>
      </c>
      <c r="V68" s="7">
        <v>727.59699999999998</v>
      </c>
      <c r="W68" s="7">
        <v>1465.5150000000001</v>
      </c>
      <c r="X68" s="7">
        <v>0</v>
      </c>
      <c r="Y68" s="7">
        <v>3536.1669999999999</v>
      </c>
      <c r="Z68" s="7">
        <v>0</v>
      </c>
      <c r="AA68" s="7">
        <v>5365.4750000000004</v>
      </c>
      <c r="AB68" s="7">
        <v>0</v>
      </c>
      <c r="AC68" s="7">
        <v>701.202</v>
      </c>
      <c r="AD68" s="7">
        <v>0</v>
      </c>
      <c r="AE68" s="7">
        <v>6579.5739999999996</v>
      </c>
      <c r="AF68" s="7">
        <v>0</v>
      </c>
      <c r="AG68" s="7">
        <v>0</v>
      </c>
      <c r="AH68" s="7">
        <v>32106.754000000001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64.965000000000003</v>
      </c>
      <c r="AP68" s="7">
        <v>0</v>
      </c>
      <c r="AQ68" s="7">
        <v>0</v>
      </c>
      <c r="AR68" s="7">
        <v>0</v>
      </c>
      <c r="AS68" s="7">
        <v>16.193999999999999</v>
      </c>
      <c r="AT68" s="7">
        <v>0</v>
      </c>
      <c r="AU68" s="7">
        <v>500.86799999999999</v>
      </c>
      <c r="AV68" s="7">
        <v>0</v>
      </c>
      <c r="AW68" s="7">
        <v>0</v>
      </c>
      <c r="AX68" s="7">
        <v>0</v>
      </c>
      <c r="AY68" s="7">
        <v>15.635</v>
      </c>
      <c r="AZ68" s="7">
        <v>0</v>
      </c>
      <c r="BA68" s="7">
        <v>0</v>
      </c>
      <c r="BB68" s="7">
        <v>15.82</v>
      </c>
      <c r="BC68" s="7">
        <v>11.988</v>
      </c>
      <c r="BD68" s="7">
        <v>0</v>
      </c>
      <c r="BE68" s="7">
        <v>0.67900000000000005</v>
      </c>
      <c r="BF68" s="7">
        <v>0</v>
      </c>
      <c r="BG68" s="7">
        <v>0</v>
      </c>
      <c r="BH68" s="22"/>
    </row>
    <row r="69" spans="1:60" ht="15.75" x14ac:dyDescent="0.25">
      <c r="A69" s="5" t="s">
        <v>122</v>
      </c>
      <c r="B69" s="5" t="s">
        <v>123</v>
      </c>
      <c r="C69" s="7">
        <v>3</v>
      </c>
      <c r="D69" s="7">
        <v>3</v>
      </c>
      <c r="E69" s="7">
        <v>183572.136</v>
      </c>
      <c r="F69" s="7">
        <v>22076.38</v>
      </c>
      <c r="G69" s="7">
        <v>38800.239999999998</v>
      </c>
      <c r="H69" s="7">
        <v>0</v>
      </c>
      <c r="I69" s="7">
        <v>4070.3539999999998</v>
      </c>
      <c r="J69" s="7">
        <v>25118.223000000002</v>
      </c>
      <c r="K69" s="7">
        <v>9064.5570000000007</v>
      </c>
      <c r="L69" s="7">
        <v>82116.173999999999</v>
      </c>
      <c r="M69" s="7">
        <v>105836.488</v>
      </c>
      <c r="N69" s="7">
        <v>0</v>
      </c>
      <c r="O69" s="7">
        <v>0</v>
      </c>
      <c r="P69" s="7">
        <v>4.33</v>
      </c>
      <c r="Q69" s="7">
        <v>728.75699999999995</v>
      </c>
      <c r="R69" s="7">
        <v>2597.8069999999998</v>
      </c>
      <c r="S69" s="7">
        <v>8953.9830000000002</v>
      </c>
      <c r="T69" s="7">
        <v>0</v>
      </c>
      <c r="U69" s="7">
        <v>6716.7020000000002</v>
      </c>
      <c r="V69" s="7">
        <v>4014.471</v>
      </c>
      <c r="W69" s="7">
        <v>8085.8879999999999</v>
      </c>
      <c r="X69" s="7">
        <v>0</v>
      </c>
      <c r="Y69" s="7">
        <v>19510.580999999998</v>
      </c>
      <c r="Z69" s="7">
        <v>0</v>
      </c>
      <c r="AA69" s="7">
        <v>29603.675999999999</v>
      </c>
      <c r="AB69" s="7">
        <v>0</v>
      </c>
      <c r="AC69" s="7">
        <v>3868.8380000000002</v>
      </c>
      <c r="AD69" s="7">
        <v>0</v>
      </c>
      <c r="AE69" s="7">
        <v>40671.375999999997</v>
      </c>
      <c r="AF69" s="7">
        <v>0</v>
      </c>
      <c r="AG69" s="7">
        <v>0</v>
      </c>
      <c r="AH69" s="7">
        <v>177183.633</v>
      </c>
      <c r="AI69" s="7">
        <v>0</v>
      </c>
      <c r="AJ69" s="7">
        <v>0</v>
      </c>
      <c r="AK69" s="7">
        <v>0</v>
      </c>
      <c r="AL69" s="7">
        <v>0</v>
      </c>
      <c r="AM69" s="7">
        <v>1190.578</v>
      </c>
      <c r="AN69" s="7">
        <v>0</v>
      </c>
      <c r="AO69" s="7">
        <v>358.43799999999999</v>
      </c>
      <c r="AP69" s="7">
        <v>0</v>
      </c>
      <c r="AQ69" s="7">
        <v>0</v>
      </c>
      <c r="AR69" s="7">
        <v>0</v>
      </c>
      <c r="AS69" s="7">
        <v>89.349000000000004</v>
      </c>
      <c r="AT69" s="7">
        <v>0</v>
      </c>
      <c r="AU69" s="7">
        <v>2708.8739999999998</v>
      </c>
      <c r="AV69" s="7">
        <v>0</v>
      </c>
      <c r="AW69" s="7">
        <v>0</v>
      </c>
      <c r="AX69" s="7">
        <v>0</v>
      </c>
      <c r="AY69" s="7">
        <v>86.265000000000001</v>
      </c>
      <c r="AZ69" s="7">
        <v>0</v>
      </c>
      <c r="BA69" s="7">
        <v>0</v>
      </c>
      <c r="BB69" s="7">
        <v>87.287999999999997</v>
      </c>
      <c r="BC69" s="7">
        <v>66.144000000000005</v>
      </c>
      <c r="BD69" s="7">
        <v>0</v>
      </c>
      <c r="BE69" s="7">
        <v>3.7490000000000001</v>
      </c>
      <c r="BF69" s="7">
        <v>0</v>
      </c>
      <c r="BG69" s="7">
        <v>0</v>
      </c>
      <c r="BH69" s="22"/>
    </row>
    <row r="70" spans="1:60" ht="15.75" x14ac:dyDescent="0.25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22"/>
    </row>
    <row r="71" spans="1:60" ht="15.75" x14ac:dyDescent="0.25">
      <c r="A71" s="5" t="s">
        <v>126</v>
      </c>
      <c r="B71" s="5" t="s">
        <v>127</v>
      </c>
      <c r="C71" s="7">
        <v>3</v>
      </c>
      <c r="D71" s="7">
        <v>3</v>
      </c>
      <c r="E71" s="7">
        <v>42330.7</v>
      </c>
      <c r="F71" s="7">
        <v>5523.326</v>
      </c>
      <c r="G71" s="7">
        <v>9707.4959999999992</v>
      </c>
      <c r="H71" s="7">
        <v>9513.6610000000001</v>
      </c>
      <c r="I71" s="7">
        <v>1018.369</v>
      </c>
      <c r="J71" s="7">
        <v>6284.3689999999997</v>
      </c>
      <c r="K71" s="7">
        <v>0</v>
      </c>
      <c r="L71" s="7">
        <v>19114.928</v>
      </c>
      <c r="M71" s="7">
        <v>26479.404999999999</v>
      </c>
      <c r="N71" s="7">
        <v>0</v>
      </c>
      <c r="O71" s="7">
        <v>0</v>
      </c>
      <c r="P71" s="7">
        <v>1.083</v>
      </c>
      <c r="Q71" s="7">
        <v>0</v>
      </c>
      <c r="R71" s="7">
        <v>0</v>
      </c>
      <c r="S71" s="7">
        <v>2240.212</v>
      </c>
      <c r="T71" s="7">
        <v>0</v>
      </c>
      <c r="U71" s="7">
        <v>0</v>
      </c>
      <c r="V71" s="7">
        <v>1004.3869999999999</v>
      </c>
      <c r="W71" s="7">
        <v>2023.0219999999999</v>
      </c>
      <c r="X71" s="7">
        <v>0</v>
      </c>
      <c r="Y71" s="7">
        <v>4881.384</v>
      </c>
      <c r="Z71" s="7">
        <v>0</v>
      </c>
      <c r="AA71" s="7">
        <v>7406.5919999999996</v>
      </c>
      <c r="AB71" s="7">
        <v>0</v>
      </c>
      <c r="AC71" s="7">
        <v>967.95100000000002</v>
      </c>
      <c r="AD71" s="7">
        <v>0</v>
      </c>
      <c r="AE71" s="7">
        <v>5982.6</v>
      </c>
      <c r="AF71" s="7">
        <v>0</v>
      </c>
      <c r="AG71" s="7">
        <v>0</v>
      </c>
      <c r="AH71" s="7">
        <v>44320.705999999998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89.677999999999997</v>
      </c>
      <c r="AP71" s="7">
        <v>0</v>
      </c>
      <c r="AQ71" s="7">
        <v>0</v>
      </c>
      <c r="AR71" s="7">
        <v>0</v>
      </c>
      <c r="AS71" s="7">
        <v>22.353999999999999</v>
      </c>
      <c r="AT71" s="7">
        <v>0</v>
      </c>
      <c r="AU71" s="7">
        <v>653.38</v>
      </c>
      <c r="AV71" s="7">
        <v>0</v>
      </c>
      <c r="AW71" s="7">
        <v>0</v>
      </c>
      <c r="AX71" s="7">
        <v>0</v>
      </c>
      <c r="AY71" s="7">
        <v>21.582999999999998</v>
      </c>
      <c r="AZ71" s="7">
        <v>0</v>
      </c>
      <c r="BA71" s="7">
        <v>0</v>
      </c>
      <c r="BB71" s="7">
        <v>21.838999999999999</v>
      </c>
      <c r="BC71" s="7">
        <v>16.548999999999999</v>
      </c>
      <c r="BD71" s="7">
        <v>0</v>
      </c>
      <c r="BE71" s="7">
        <v>0.93799999999999994</v>
      </c>
      <c r="BF71" s="7">
        <v>0</v>
      </c>
      <c r="BG71" s="7">
        <v>0</v>
      </c>
      <c r="BH71" s="22"/>
    </row>
    <row r="72" spans="1:60" ht="15.75" x14ac:dyDescent="0.25">
      <c r="A72" s="5" t="s">
        <v>128</v>
      </c>
      <c r="B72" s="5" t="s">
        <v>129</v>
      </c>
      <c r="C72" s="7">
        <v>3</v>
      </c>
      <c r="D72" s="7">
        <v>3</v>
      </c>
      <c r="E72" s="7">
        <v>14123.964</v>
      </c>
      <c r="F72" s="7">
        <v>1842.9</v>
      </c>
      <c r="G72" s="7">
        <v>3238.9810000000002</v>
      </c>
      <c r="H72" s="7">
        <v>2461.8000000000002</v>
      </c>
      <c r="I72" s="7">
        <v>339.78699999999998</v>
      </c>
      <c r="J72" s="7">
        <v>2096.828</v>
      </c>
      <c r="K72" s="7">
        <v>0</v>
      </c>
      <c r="L72" s="7">
        <v>6377.8429999999998</v>
      </c>
      <c r="M72" s="7">
        <v>8835.0570000000007</v>
      </c>
      <c r="N72" s="7">
        <v>0</v>
      </c>
      <c r="O72" s="7">
        <v>0</v>
      </c>
      <c r="P72" s="7">
        <v>0.36099999999999999</v>
      </c>
      <c r="Q72" s="7">
        <v>0</v>
      </c>
      <c r="R72" s="7">
        <v>0</v>
      </c>
      <c r="S72" s="7">
        <v>747.46400000000006</v>
      </c>
      <c r="T72" s="7">
        <v>0</v>
      </c>
      <c r="U72" s="7">
        <v>0</v>
      </c>
      <c r="V72" s="7">
        <v>335.12099999999998</v>
      </c>
      <c r="W72" s="7">
        <v>674.99699999999996</v>
      </c>
      <c r="X72" s="7">
        <v>0</v>
      </c>
      <c r="Y72" s="7">
        <v>1628.712</v>
      </c>
      <c r="Z72" s="7">
        <v>0</v>
      </c>
      <c r="AA72" s="7">
        <v>2471.2669999999998</v>
      </c>
      <c r="AB72" s="7">
        <v>0</v>
      </c>
      <c r="AC72" s="7">
        <v>322.964</v>
      </c>
      <c r="AD72" s="7">
        <v>0</v>
      </c>
      <c r="AE72" s="7">
        <v>1996.14</v>
      </c>
      <c r="AF72" s="7">
        <v>0</v>
      </c>
      <c r="AG72" s="7">
        <v>0</v>
      </c>
      <c r="AH72" s="7">
        <v>14787.945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29.922000000000001</v>
      </c>
      <c r="AP72" s="7">
        <v>0</v>
      </c>
      <c r="AQ72" s="7">
        <v>0</v>
      </c>
      <c r="AR72" s="7">
        <v>0</v>
      </c>
      <c r="AS72" s="7">
        <v>7.4589999999999996</v>
      </c>
      <c r="AT72" s="7">
        <v>0</v>
      </c>
      <c r="AU72" s="7">
        <v>218.005</v>
      </c>
      <c r="AV72" s="7">
        <v>0</v>
      </c>
      <c r="AW72" s="7">
        <v>0</v>
      </c>
      <c r="AX72" s="7">
        <v>0</v>
      </c>
      <c r="AY72" s="7">
        <v>7.2009999999999996</v>
      </c>
      <c r="AZ72" s="7">
        <v>0</v>
      </c>
      <c r="BA72" s="7">
        <v>0</v>
      </c>
      <c r="BB72" s="7">
        <v>7.2869999999999999</v>
      </c>
      <c r="BC72" s="7">
        <v>5.5220000000000002</v>
      </c>
      <c r="BD72" s="7">
        <v>0</v>
      </c>
      <c r="BE72" s="7">
        <v>0.313</v>
      </c>
      <c r="BF72" s="7">
        <v>0</v>
      </c>
      <c r="BG72" s="7">
        <v>0</v>
      </c>
      <c r="BH72" s="22"/>
    </row>
    <row r="73" spans="1:60" ht="15.75" x14ac:dyDescent="0.25">
      <c r="A73" s="5" t="s">
        <v>130</v>
      </c>
      <c r="B73" s="5" t="s">
        <v>131</v>
      </c>
      <c r="C73" s="7">
        <v>3</v>
      </c>
      <c r="D73" s="7">
        <v>3</v>
      </c>
      <c r="E73" s="7">
        <v>44439.777999999998</v>
      </c>
      <c r="F73" s="7">
        <v>5797.7550000000001</v>
      </c>
      <c r="G73" s="7">
        <v>10189.816999999999</v>
      </c>
      <c r="H73" s="7">
        <v>6356.375</v>
      </c>
      <c r="I73" s="7">
        <v>1068.9670000000001</v>
      </c>
      <c r="J73" s="7">
        <v>6596.6109999999999</v>
      </c>
      <c r="K73" s="7">
        <v>0</v>
      </c>
      <c r="L73" s="7">
        <v>20066.990000000002</v>
      </c>
      <c r="M73" s="7">
        <v>27795.045999999998</v>
      </c>
      <c r="N73" s="7">
        <v>0</v>
      </c>
      <c r="O73" s="7">
        <v>0</v>
      </c>
      <c r="P73" s="7">
        <v>1.137</v>
      </c>
      <c r="Q73" s="7">
        <v>0.29699999999999999</v>
      </c>
      <c r="R73" s="7">
        <v>1.0580000000000001</v>
      </c>
      <c r="S73" s="7">
        <v>2351.518</v>
      </c>
      <c r="T73" s="7">
        <v>0</v>
      </c>
      <c r="U73" s="7">
        <v>0</v>
      </c>
      <c r="V73" s="7">
        <v>1054.2909999999999</v>
      </c>
      <c r="W73" s="7">
        <v>2123.5360000000001</v>
      </c>
      <c r="X73" s="7">
        <v>0</v>
      </c>
      <c r="Y73" s="7">
        <v>5123.9179999999997</v>
      </c>
      <c r="Z73" s="7">
        <v>0</v>
      </c>
      <c r="AA73" s="7">
        <v>7774.5919999999996</v>
      </c>
      <c r="AB73" s="7">
        <v>0</v>
      </c>
      <c r="AC73" s="7">
        <v>1016.044</v>
      </c>
      <c r="AD73" s="7">
        <v>0</v>
      </c>
      <c r="AE73" s="7">
        <v>6286.674</v>
      </c>
      <c r="AF73" s="7">
        <v>6.673</v>
      </c>
      <c r="AG73" s="7">
        <v>0</v>
      </c>
      <c r="AH73" s="7">
        <v>46522.800999999999</v>
      </c>
      <c r="AI73" s="7">
        <v>23.158000000000001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94.134</v>
      </c>
      <c r="AP73" s="7">
        <v>0</v>
      </c>
      <c r="AQ73" s="7">
        <v>0</v>
      </c>
      <c r="AR73" s="7">
        <v>0</v>
      </c>
      <c r="AS73" s="7">
        <v>23.465</v>
      </c>
      <c r="AT73" s="7">
        <v>0</v>
      </c>
      <c r="AU73" s="7">
        <v>685.84400000000005</v>
      </c>
      <c r="AV73" s="7">
        <v>0</v>
      </c>
      <c r="AW73" s="7">
        <v>0</v>
      </c>
      <c r="AX73" s="7">
        <v>0</v>
      </c>
      <c r="AY73" s="7">
        <v>22.655000000000001</v>
      </c>
      <c r="AZ73" s="7">
        <v>0</v>
      </c>
      <c r="BA73" s="7">
        <v>0</v>
      </c>
      <c r="BB73" s="7">
        <v>22.923999999999999</v>
      </c>
      <c r="BC73" s="7">
        <v>17.370999999999999</v>
      </c>
      <c r="BD73" s="7">
        <v>0</v>
      </c>
      <c r="BE73" s="7">
        <v>0.98499999999999999</v>
      </c>
      <c r="BF73" s="7">
        <v>0</v>
      </c>
      <c r="BG73" s="7">
        <v>0</v>
      </c>
      <c r="BH73" s="22"/>
    </row>
    <row r="74" spans="1:60" ht="15.75" x14ac:dyDescent="0.25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22"/>
    </row>
    <row r="75" spans="1:60" ht="15.75" x14ac:dyDescent="0.25">
      <c r="A75" s="5" t="s">
        <v>134</v>
      </c>
      <c r="B75" s="5" t="s">
        <v>135</v>
      </c>
      <c r="C75" s="7">
        <v>6</v>
      </c>
      <c r="D75" s="7">
        <v>6</v>
      </c>
      <c r="E75" s="7">
        <v>53868.678999999996</v>
      </c>
      <c r="F75" s="7">
        <v>5509.3289999999997</v>
      </c>
      <c r="G75" s="7">
        <v>15491.227999999999</v>
      </c>
      <c r="H75" s="7">
        <v>1978.758</v>
      </c>
      <c r="I75" s="7">
        <v>1039.7850000000001</v>
      </c>
      <c r="J75" s="7">
        <v>10449.665999999999</v>
      </c>
      <c r="K75" s="7">
        <v>0</v>
      </c>
      <c r="L75" s="7">
        <v>21409.727999999999</v>
      </c>
      <c r="M75" s="7">
        <v>29900.378000000001</v>
      </c>
      <c r="N75" s="7">
        <v>0</v>
      </c>
      <c r="O75" s="7">
        <v>0</v>
      </c>
      <c r="P75" s="7">
        <v>42.46</v>
      </c>
      <c r="Q75" s="7">
        <v>0</v>
      </c>
      <c r="R75" s="7">
        <v>126.011</v>
      </c>
      <c r="S75" s="7">
        <v>1452.2809999999999</v>
      </c>
      <c r="T75" s="7">
        <v>0</v>
      </c>
      <c r="U75" s="7">
        <v>0</v>
      </c>
      <c r="V75" s="7">
        <v>862.22500000000002</v>
      </c>
      <c r="W75" s="7">
        <v>2645.6120000000001</v>
      </c>
      <c r="X75" s="7">
        <v>0</v>
      </c>
      <c r="Y75" s="7">
        <v>6362.5910000000003</v>
      </c>
      <c r="Z75" s="7">
        <v>0</v>
      </c>
      <c r="AA75" s="7">
        <v>10331.469999999999</v>
      </c>
      <c r="AB75" s="7">
        <v>0</v>
      </c>
      <c r="AC75" s="7">
        <v>781.11699999999996</v>
      </c>
      <c r="AD75" s="7">
        <v>0</v>
      </c>
      <c r="AE75" s="7">
        <v>21447.285</v>
      </c>
      <c r="AF75" s="7">
        <v>0</v>
      </c>
      <c r="AG75" s="7">
        <v>0</v>
      </c>
      <c r="AH75" s="7">
        <v>70441.486999999994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97.736000000000004</v>
      </c>
      <c r="AP75" s="7">
        <v>0</v>
      </c>
      <c r="AQ75" s="7">
        <v>0</v>
      </c>
      <c r="AR75" s="7">
        <v>0</v>
      </c>
      <c r="AS75" s="7">
        <v>6.1630000000000003</v>
      </c>
      <c r="AT75" s="7">
        <v>0</v>
      </c>
      <c r="AU75" s="7">
        <v>315.53399999999999</v>
      </c>
      <c r="AV75" s="7">
        <v>0</v>
      </c>
      <c r="AW75" s="7">
        <v>0</v>
      </c>
      <c r="AX75" s="7">
        <v>0</v>
      </c>
      <c r="AY75" s="7">
        <v>19.795999999999999</v>
      </c>
      <c r="AZ75" s="7">
        <v>0</v>
      </c>
      <c r="BA75" s="7">
        <v>0</v>
      </c>
      <c r="BB75" s="7">
        <v>20.062999999999999</v>
      </c>
      <c r="BC75" s="7">
        <v>15.215999999999999</v>
      </c>
      <c r="BD75" s="7">
        <v>0</v>
      </c>
      <c r="BE75" s="7">
        <v>0.86299999999999999</v>
      </c>
      <c r="BF75" s="7">
        <v>0</v>
      </c>
      <c r="BG75" s="7">
        <v>0</v>
      </c>
      <c r="BH75" s="22"/>
    </row>
    <row r="76" spans="1:60" ht="15.75" x14ac:dyDescent="0.25">
      <c r="A76" s="5" t="s">
        <v>136</v>
      </c>
      <c r="B76" s="5" t="s">
        <v>137</v>
      </c>
      <c r="C76" s="7">
        <v>6</v>
      </c>
      <c r="D76" s="7">
        <v>6</v>
      </c>
      <c r="E76" s="7">
        <v>1222.72</v>
      </c>
      <c r="F76" s="7">
        <v>113.514</v>
      </c>
      <c r="G76" s="7">
        <v>162.44</v>
      </c>
      <c r="H76" s="7">
        <v>0</v>
      </c>
      <c r="I76" s="7">
        <v>28.535</v>
      </c>
      <c r="J76" s="7">
        <v>98.941000000000003</v>
      </c>
      <c r="K76" s="7">
        <v>0</v>
      </c>
      <c r="L76" s="7">
        <v>899.46</v>
      </c>
      <c r="M76" s="7">
        <v>441.98599999999999</v>
      </c>
      <c r="N76" s="7">
        <v>0</v>
      </c>
      <c r="O76" s="7">
        <v>0</v>
      </c>
      <c r="P76" s="7">
        <v>5.3280000000000003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14.012</v>
      </c>
      <c r="W76" s="7">
        <v>43.180999999999997</v>
      </c>
      <c r="X76" s="7">
        <v>0</v>
      </c>
      <c r="Y76" s="7">
        <v>341.30700000000002</v>
      </c>
      <c r="Z76" s="7">
        <v>0</v>
      </c>
      <c r="AA76" s="7">
        <v>120.015</v>
      </c>
      <c r="AB76" s="7">
        <v>0</v>
      </c>
      <c r="AC76" s="7">
        <v>18.149999999999999</v>
      </c>
      <c r="AD76" s="7">
        <v>0</v>
      </c>
      <c r="AE76" s="7">
        <v>1084.71</v>
      </c>
      <c r="AF76" s="7">
        <v>0</v>
      </c>
      <c r="AG76" s="7">
        <v>0</v>
      </c>
      <c r="AH76" s="7">
        <v>2566.7950000000001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22"/>
    </row>
    <row r="77" spans="1:60" ht="15.75" x14ac:dyDescent="0.25">
      <c r="A77" s="5" t="s">
        <v>138</v>
      </c>
      <c r="B77" s="5" t="s">
        <v>139</v>
      </c>
      <c r="C77" s="7">
        <v>6</v>
      </c>
      <c r="D77" s="7">
        <v>6</v>
      </c>
      <c r="E77" s="7">
        <v>10477.079</v>
      </c>
      <c r="F77" s="7">
        <v>1974.6590000000001</v>
      </c>
      <c r="G77" s="7">
        <v>1068.3150000000001</v>
      </c>
      <c r="H77" s="7">
        <v>0</v>
      </c>
      <c r="I77" s="7">
        <v>128.87899999999999</v>
      </c>
      <c r="J77" s="7">
        <v>1563.788</v>
      </c>
      <c r="K77" s="7">
        <v>0</v>
      </c>
      <c r="L77" s="7">
        <v>23204.532999999999</v>
      </c>
      <c r="M77" s="7">
        <v>4442.7479999999996</v>
      </c>
      <c r="N77" s="7">
        <v>0</v>
      </c>
      <c r="O77" s="7">
        <v>0</v>
      </c>
      <c r="P77" s="7">
        <v>7.883</v>
      </c>
      <c r="Q77" s="7">
        <v>0</v>
      </c>
      <c r="R77" s="7">
        <v>357.53899999999999</v>
      </c>
      <c r="S77" s="7">
        <v>191.72399999999999</v>
      </c>
      <c r="T77" s="7">
        <v>0</v>
      </c>
      <c r="U77" s="7">
        <v>0</v>
      </c>
      <c r="V77" s="7">
        <v>106.447</v>
      </c>
      <c r="W77" s="7">
        <v>236.27500000000001</v>
      </c>
      <c r="X77" s="7">
        <v>0</v>
      </c>
      <c r="Y77" s="7">
        <v>916.81799999999998</v>
      </c>
      <c r="Z77" s="7">
        <v>0</v>
      </c>
      <c r="AA77" s="7">
        <v>809.36400000000003</v>
      </c>
      <c r="AB77" s="7">
        <v>0</v>
      </c>
      <c r="AC77" s="7">
        <v>109.379</v>
      </c>
      <c r="AD77" s="7">
        <v>0</v>
      </c>
      <c r="AE77" s="7">
        <v>4368.4759999999997</v>
      </c>
      <c r="AF77" s="7">
        <v>0</v>
      </c>
      <c r="AG77" s="7">
        <v>0</v>
      </c>
      <c r="AH77" s="7">
        <v>20830.149000000001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7.6749999999999998</v>
      </c>
      <c r="AP77" s="7">
        <v>0</v>
      </c>
      <c r="AQ77" s="7">
        <v>0</v>
      </c>
      <c r="AR77" s="7">
        <v>0</v>
      </c>
      <c r="AS77" s="7">
        <v>1.913</v>
      </c>
      <c r="AT77" s="7">
        <v>0</v>
      </c>
      <c r="AU77" s="7">
        <v>55.917999999999999</v>
      </c>
      <c r="AV77" s="7">
        <v>0</v>
      </c>
      <c r="AW77" s="7">
        <v>0</v>
      </c>
      <c r="AX77" s="7">
        <v>0</v>
      </c>
      <c r="AY77" s="7">
        <v>1.847</v>
      </c>
      <c r="AZ77" s="7">
        <v>0</v>
      </c>
      <c r="BA77" s="7">
        <v>0</v>
      </c>
      <c r="BB77" s="7">
        <v>1.869</v>
      </c>
      <c r="BC77" s="7">
        <v>1.4159999999999999</v>
      </c>
      <c r="BD77" s="7">
        <v>0</v>
      </c>
      <c r="BE77" s="7">
        <v>0.08</v>
      </c>
      <c r="BF77" s="7">
        <v>0</v>
      </c>
      <c r="BG77" s="7">
        <v>0</v>
      </c>
      <c r="BH77" s="22"/>
    </row>
    <row r="78" spans="1:60" ht="15.75" x14ac:dyDescent="0.25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22"/>
    </row>
    <row r="79" spans="1:60" ht="15.75" x14ac:dyDescent="0.25">
      <c r="A79" s="5" t="s">
        <v>142</v>
      </c>
      <c r="B79" s="5" t="s">
        <v>143</v>
      </c>
      <c r="C79" s="7">
        <v>6</v>
      </c>
      <c r="D79" s="7">
        <v>6</v>
      </c>
      <c r="E79" s="7">
        <v>9650.1560000000009</v>
      </c>
      <c r="F79" s="7">
        <v>1138.4649999999999</v>
      </c>
      <c r="G79" s="7">
        <v>1903.713</v>
      </c>
      <c r="H79" s="7">
        <v>6002.4</v>
      </c>
      <c r="I79" s="7">
        <v>229.85</v>
      </c>
      <c r="J79" s="7">
        <v>1216.107</v>
      </c>
      <c r="K79" s="7">
        <v>0</v>
      </c>
      <c r="L79" s="7">
        <v>5268.3819999999996</v>
      </c>
      <c r="M79" s="7">
        <v>5189.9110000000001</v>
      </c>
      <c r="N79" s="7">
        <v>0</v>
      </c>
      <c r="O79" s="7">
        <v>0</v>
      </c>
      <c r="P79" s="7">
        <v>14.135</v>
      </c>
      <c r="Q79" s="7">
        <v>0</v>
      </c>
      <c r="R79" s="7">
        <v>0</v>
      </c>
      <c r="S79" s="7">
        <v>341.02699999999999</v>
      </c>
      <c r="T79" s="7">
        <v>0</v>
      </c>
      <c r="U79" s="7">
        <v>0</v>
      </c>
      <c r="V79" s="7">
        <v>189.64</v>
      </c>
      <c r="W79" s="7">
        <v>421.19200000000001</v>
      </c>
      <c r="X79" s="7">
        <v>0</v>
      </c>
      <c r="Y79" s="7">
        <v>1638.05</v>
      </c>
      <c r="Z79" s="7">
        <v>0</v>
      </c>
      <c r="AA79" s="7">
        <v>1442.202</v>
      </c>
      <c r="AB79" s="7">
        <v>0</v>
      </c>
      <c r="AC79" s="7">
        <v>194.94399999999999</v>
      </c>
      <c r="AD79" s="7">
        <v>0</v>
      </c>
      <c r="AE79" s="7">
        <v>3755.002</v>
      </c>
      <c r="AF79" s="7">
        <v>0</v>
      </c>
      <c r="AG79" s="7">
        <v>0</v>
      </c>
      <c r="AH79" s="7">
        <v>13477.459000000001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13.651999999999999</v>
      </c>
      <c r="AP79" s="7">
        <v>0</v>
      </c>
      <c r="AQ79" s="7">
        <v>0</v>
      </c>
      <c r="AR79" s="7">
        <v>0</v>
      </c>
      <c r="AS79" s="7">
        <v>3.403</v>
      </c>
      <c r="AT79" s="7">
        <v>0</v>
      </c>
      <c r="AU79" s="7">
        <v>99.463999999999999</v>
      </c>
      <c r="AV79" s="7">
        <v>0</v>
      </c>
      <c r="AW79" s="7">
        <v>0</v>
      </c>
      <c r="AX79" s="7">
        <v>0</v>
      </c>
      <c r="AY79" s="7">
        <v>3.286</v>
      </c>
      <c r="AZ79" s="7">
        <v>0</v>
      </c>
      <c r="BA79" s="7">
        <v>0</v>
      </c>
      <c r="BB79" s="7">
        <v>3.3250000000000002</v>
      </c>
      <c r="BC79" s="7">
        <v>2.5190000000000001</v>
      </c>
      <c r="BD79" s="7">
        <v>0</v>
      </c>
      <c r="BE79" s="7">
        <v>0.14299999999999999</v>
      </c>
      <c r="BF79" s="7">
        <v>0</v>
      </c>
      <c r="BG79" s="7">
        <v>0</v>
      </c>
      <c r="BH79" s="22"/>
    </row>
    <row r="80" spans="1:60" ht="15.75" x14ac:dyDescent="0.25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22"/>
    </row>
    <row r="81" spans="1:60" ht="15.75" x14ac:dyDescent="0.25">
      <c r="A81" s="5" t="s">
        <v>146</v>
      </c>
      <c r="B81" s="5" t="s">
        <v>147</v>
      </c>
      <c r="C81" s="7">
        <v>6</v>
      </c>
      <c r="D81" s="7">
        <v>6</v>
      </c>
      <c r="E81" s="7">
        <v>12402.529</v>
      </c>
      <c r="F81" s="7">
        <v>1622.3209999999999</v>
      </c>
      <c r="G81" s="7">
        <v>2400.0720000000001</v>
      </c>
      <c r="H81" s="7">
        <v>0</v>
      </c>
      <c r="I81" s="7">
        <v>219.24600000000001</v>
      </c>
      <c r="J81" s="7">
        <v>1854.376</v>
      </c>
      <c r="K81" s="7">
        <v>0</v>
      </c>
      <c r="L81" s="7">
        <v>15440.155000000001</v>
      </c>
      <c r="M81" s="7">
        <v>5177.7290000000003</v>
      </c>
      <c r="N81" s="7">
        <v>0</v>
      </c>
      <c r="O81" s="7">
        <v>0</v>
      </c>
      <c r="P81" s="7">
        <v>28.472000000000001</v>
      </c>
      <c r="Q81" s="7">
        <v>0</v>
      </c>
      <c r="R81" s="7">
        <v>154.15799999999999</v>
      </c>
      <c r="S81" s="7">
        <v>147.66300000000001</v>
      </c>
      <c r="T81" s="7">
        <v>0</v>
      </c>
      <c r="U81" s="7">
        <v>0</v>
      </c>
      <c r="V81" s="7">
        <v>140.90199999999999</v>
      </c>
      <c r="W81" s="7">
        <v>363.54199999999997</v>
      </c>
      <c r="X81" s="7">
        <v>0</v>
      </c>
      <c r="Y81" s="7">
        <v>2354.8670000000002</v>
      </c>
      <c r="Z81" s="7">
        <v>0</v>
      </c>
      <c r="AA81" s="7">
        <v>1225.5809999999999</v>
      </c>
      <c r="AB81" s="7">
        <v>0</v>
      </c>
      <c r="AC81" s="7">
        <v>160.56</v>
      </c>
      <c r="AD81" s="7">
        <v>0</v>
      </c>
      <c r="AE81" s="7">
        <v>8203.2090000000007</v>
      </c>
      <c r="AF81" s="7">
        <v>0</v>
      </c>
      <c r="AG81" s="7">
        <v>0</v>
      </c>
      <c r="AH81" s="7">
        <v>24127.960999999999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5.9109999999999996</v>
      </c>
      <c r="AP81" s="7">
        <v>0</v>
      </c>
      <c r="AQ81" s="7">
        <v>0</v>
      </c>
      <c r="AR81" s="7">
        <v>0</v>
      </c>
      <c r="AS81" s="7">
        <v>1.4730000000000001</v>
      </c>
      <c r="AT81" s="7">
        <v>0</v>
      </c>
      <c r="AU81" s="7">
        <v>43.067</v>
      </c>
      <c r="AV81" s="7">
        <v>0</v>
      </c>
      <c r="AW81" s="7">
        <v>0</v>
      </c>
      <c r="AX81" s="7">
        <v>0</v>
      </c>
      <c r="AY81" s="7">
        <v>1.423</v>
      </c>
      <c r="AZ81" s="7">
        <v>0</v>
      </c>
      <c r="BA81" s="7">
        <v>0</v>
      </c>
      <c r="BB81" s="7">
        <v>1.4390000000000001</v>
      </c>
      <c r="BC81" s="7">
        <v>1.091</v>
      </c>
      <c r="BD81" s="7">
        <v>0</v>
      </c>
      <c r="BE81" s="7">
        <v>6.2E-2</v>
      </c>
      <c r="BF81" s="7">
        <v>0</v>
      </c>
      <c r="BG81" s="7">
        <v>0</v>
      </c>
      <c r="BH81" s="22"/>
    </row>
    <row r="82" spans="1:60" ht="15.75" x14ac:dyDescent="0.25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22"/>
    </row>
    <row r="83" spans="1:60" ht="15.75" x14ac:dyDescent="0.25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22"/>
    </row>
    <row r="84" spans="1:60" ht="15.75" x14ac:dyDescent="0.25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22"/>
    </row>
    <row r="85" spans="1:60" ht="15.75" x14ac:dyDescent="0.25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22"/>
    </row>
    <row r="86" spans="1:60" ht="15.75" x14ac:dyDescent="0.25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22"/>
    </row>
    <row r="87" spans="1:60" ht="15.75" x14ac:dyDescent="0.25">
      <c r="A87" s="5" t="s">
        <v>158</v>
      </c>
      <c r="B87" s="5" t="s">
        <v>159</v>
      </c>
      <c r="C87" s="7">
        <v>6</v>
      </c>
      <c r="D87" s="7">
        <v>6</v>
      </c>
      <c r="E87" s="7">
        <v>4.1849999999999996</v>
      </c>
      <c r="F87" s="7">
        <v>1.1200000000000001</v>
      </c>
      <c r="G87" s="7">
        <v>1.0740000000000001</v>
      </c>
      <c r="H87" s="7">
        <v>2379.5709999999999</v>
      </c>
      <c r="I87" s="7">
        <v>0.13500000000000001</v>
      </c>
      <c r="J87" s="7">
        <v>0.58099999999999996</v>
      </c>
      <c r="K87" s="7">
        <v>0</v>
      </c>
      <c r="L87" s="7">
        <v>18.155000000000001</v>
      </c>
      <c r="M87" s="7">
        <v>3.9060000000000001</v>
      </c>
      <c r="N87" s="7">
        <v>0</v>
      </c>
      <c r="O87" s="7">
        <v>0</v>
      </c>
      <c r="P87" s="7">
        <v>2.3E-2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0.01</v>
      </c>
      <c r="W87" s="7">
        <v>4.1000000000000002E-2</v>
      </c>
      <c r="X87" s="7">
        <v>0</v>
      </c>
      <c r="Y87" s="7">
        <v>0.115</v>
      </c>
      <c r="Z87" s="7">
        <v>0</v>
      </c>
      <c r="AA87" s="7">
        <v>0.105</v>
      </c>
      <c r="AB87" s="7">
        <v>0</v>
      </c>
      <c r="AC87" s="7">
        <v>1.2999999999999999E-2</v>
      </c>
      <c r="AD87" s="7">
        <v>0</v>
      </c>
      <c r="AE87" s="7">
        <v>0.27500000000000002</v>
      </c>
      <c r="AF87" s="7">
        <v>0</v>
      </c>
      <c r="AG87" s="7">
        <v>0</v>
      </c>
      <c r="AH87" s="7">
        <v>26.638999999999999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22"/>
    </row>
    <row r="88" spans="1:60" ht="15.75" x14ac:dyDescent="0.25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22"/>
    </row>
    <row r="89" spans="1:60" ht="15.75" x14ac:dyDescent="0.25">
      <c r="A89" s="5" t="s">
        <v>162</v>
      </c>
      <c r="B89" s="5" t="s">
        <v>163</v>
      </c>
      <c r="C89" s="7">
        <v>6</v>
      </c>
      <c r="D89" s="7">
        <v>6</v>
      </c>
      <c r="E89" s="7">
        <v>22131.098999999998</v>
      </c>
      <c r="F89" s="7">
        <v>3316.4870000000001</v>
      </c>
      <c r="G89" s="7">
        <v>4529.0940000000001</v>
      </c>
      <c r="H89" s="7">
        <v>0</v>
      </c>
      <c r="I89" s="7">
        <v>664.19799999999998</v>
      </c>
      <c r="J89" s="7">
        <v>3134.0970000000002</v>
      </c>
      <c r="K89" s="7">
        <v>0</v>
      </c>
      <c r="L89" s="7">
        <v>20219.754000000001</v>
      </c>
      <c r="M89" s="7">
        <v>12356.873</v>
      </c>
      <c r="N89" s="7">
        <v>0</v>
      </c>
      <c r="O89" s="7">
        <v>0</v>
      </c>
      <c r="P89" s="7">
        <v>71.39</v>
      </c>
      <c r="Q89" s="7">
        <v>0</v>
      </c>
      <c r="R89" s="7">
        <v>111.181</v>
      </c>
      <c r="S89" s="7">
        <v>943.14800000000002</v>
      </c>
      <c r="T89" s="7">
        <v>0</v>
      </c>
      <c r="U89" s="7">
        <v>0</v>
      </c>
      <c r="V89" s="7">
        <v>429.47</v>
      </c>
      <c r="W89" s="7">
        <v>872.09400000000005</v>
      </c>
      <c r="X89" s="7">
        <v>0</v>
      </c>
      <c r="Y89" s="7">
        <v>2317.915</v>
      </c>
      <c r="Z89" s="7">
        <v>0</v>
      </c>
      <c r="AA89" s="7">
        <v>3174.8939999999998</v>
      </c>
      <c r="AB89" s="7">
        <v>0</v>
      </c>
      <c r="AC89" s="7">
        <v>416.084</v>
      </c>
      <c r="AD89" s="7">
        <v>0</v>
      </c>
      <c r="AE89" s="7">
        <v>4145.2470000000003</v>
      </c>
      <c r="AF89" s="7">
        <v>0</v>
      </c>
      <c r="AG89" s="7">
        <v>0</v>
      </c>
      <c r="AH89" s="7">
        <v>31646.664000000001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37.755000000000003</v>
      </c>
      <c r="AP89" s="7">
        <v>0</v>
      </c>
      <c r="AQ89" s="7">
        <v>0</v>
      </c>
      <c r="AR89" s="7">
        <v>0</v>
      </c>
      <c r="AS89" s="7">
        <v>9.4109999999999996</v>
      </c>
      <c r="AT89" s="7">
        <v>0</v>
      </c>
      <c r="AU89" s="7">
        <v>275.07799999999997</v>
      </c>
      <c r="AV89" s="7">
        <v>0</v>
      </c>
      <c r="AW89" s="7">
        <v>0</v>
      </c>
      <c r="AX89" s="7">
        <v>0</v>
      </c>
      <c r="AY89" s="7">
        <v>9.0869999999999997</v>
      </c>
      <c r="AZ89" s="7">
        <v>0</v>
      </c>
      <c r="BA89" s="7">
        <v>0</v>
      </c>
      <c r="BB89" s="7">
        <v>9.1940000000000008</v>
      </c>
      <c r="BC89" s="7">
        <v>6.9669999999999996</v>
      </c>
      <c r="BD89" s="7">
        <v>0</v>
      </c>
      <c r="BE89" s="7">
        <v>0.39500000000000002</v>
      </c>
      <c r="BF89" s="7">
        <v>0</v>
      </c>
      <c r="BG89" s="7">
        <v>0</v>
      </c>
      <c r="BH89" s="22"/>
    </row>
    <row r="90" spans="1:60" ht="15.75" x14ac:dyDescent="0.25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22"/>
    </row>
    <row r="91" spans="1:60" ht="15.75" x14ac:dyDescent="0.25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22"/>
    </row>
    <row r="92" spans="1:60" ht="15.75" x14ac:dyDescent="0.25">
      <c r="A92" s="5" t="s">
        <v>168</v>
      </c>
      <c r="B92" s="5" t="s">
        <v>169</v>
      </c>
      <c r="C92" s="7">
        <v>3</v>
      </c>
      <c r="D92" s="7">
        <v>3</v>
      </c>
      <c r="E92" s="7">
        <v>59117.498</v>
      </c>
      <c r="F92" s="7">
        <v>7645.8119999999999</v>
      </c>
      <c r="G92" s="7">
        <v>14551.111999999999</v>
      </c>
      <c r="H92" s="7">
        <v>10291.172</v>
      </c>
      <c r="I92" s="7">
        <v>1364.972</v>
      </c>
      <c r="J92" s="7">
        <v>10032.903</v>
      </c>
      <c r="K92" s="7">
        <v>0</v>
      </c>
      <c r="L92" s="7">
        <v>26614.505000000001</v>
      </c>
      <c r="M92" s="7">
        <v>37381.294000000002</v>
      </c>
      <c r="N92" s="7">
        <v>0</v>
      </c>
      <c r="O92" s="7">
        <v>0</v>
      </c>
      <c r="P92" s="7">
        <v>1.452</v>
      </c>
      <c r="Q92" s="7">
        <v>0</v>
      </c>
      <c r="R92" s="7">
        <v>139.96799999999999</v>
      </c>
      <c r="S92" s="7">
        <v>3002.672</v>
      </c>
      <c r="T92" s="7">
        <v>0</v>
      </c>
      <c r="U92" s="7">
        <v>0</v>
      </c>
      <c r="V92" s="7">
        <v>1346.232</v>
      </c>
      <c r="W92" s="7">
        <v>2711.5610000000001</v>
      </c>
      <c r="X92" s="7">
        <v>0</v>
      </c>
      <c r="Y92" s="7">
        <v>6542.7730000000001</v>
      </c>
      <c r="Z92" s="7">
        <v>0</v>
      </c>
      <c r="AA92" s="7">
        <v>9927.44</v>
      </c>
      <c r="AB92" s="7">
        <v>0</v>
      </c>
      <c r="AC92" s="7">
        <v>1297.395</v>
      </c>
      <c r="AD92" s="7">
        <v>0</v>
      </c>
      <c r="AE92" s="7">
        <v>12381.135</v>
      </c>
      <c r="AF92" s="7">
        <v>0</v>
      </c>
      <c r="AG92" s="7">
        <v>0</v>
      </c>
      <c r="AH92" s="7">
        <v>64070.955999999998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120.2</v>
      </c>
      <c r="AP92" s="7">
        <v>0</v>
      </c>
      <c r="AQ92" s="7">
        <v>0</v>
      </c>
      <c r="AR92" s="7">
        <v>0</v>
      </c>
      <c r="AS92" s="7">
        <v>29.963000000000001</v>
      </c>
      <c r="AT92" s="7">
        <v>0</v>
      </c>
      <c r="AU92" s="7">
        <v>875.75900000000001</v>
      </c>
      <c r="AV92" s="7">
        <v>0</v>
      </c>
      <c r="AW92" s="7">
        <v>0</v>
      </c>
      <c r="AX92" s="7">
        <v>0</v>
      </c>
      <c r="AY92" s="7">
        <v>28.928999999999998</v>
      </c>
      <c r="AZ92" s="7">
        <v>0</v>
      </c>
      <c r="BA92" s="7">
        <v>0</v>
      </c>
      <c r="BB92" s="7">
        <v>29.271999999999998</v>
      </c>
      <c r="BC92" s="7">
        <v>22.181000000000001</v>
      </c>
      <c r="BD92" s="7">
        <v>0</v>
      </c>
      <c r="BE92" s="7">
        <v>1.2569999999999999</v>
      </c>
      <c r="BF92" s="7">
        <v>0</v>
      </c>
      <c r="BG92" s="7">
        <v>0</v>
      </c>
      <c r="BH92" s="22"/>
    </row>
    <row r="93" spans="1:60" ht="15.75" x14ac:dyDescent="0.25">
      <c r="A93" s="5" t="s">
        <v>170</v>
      </c>
      <c r="B93" s="5" t="s">
        <v>171</v>
      </c>
      <c r="C93" s="7">
        <v>3</v>
      </c>
      <c r="D93" s="7">
        <v>3</v>
      </c>
      <c r="E93" s="7">
        <v>84444.040999999997</v>
      </c>
      <c r="F93" s="7">
        <v>11018.29</v>
      </c>
      <c r="G93" s="7">
        <v>19365.146000000001</v>
      </c>
      <c r="H93" s="7">
        <v>0</v>
      </c>
      <c r="I93" s="7">
        <v>2031.508</v>
      </c>
      <c r="J93" s="7">
        <v>12536.47</v>
      </c>
      <c r="K93" s="7">
        <v>0</v>
      </c>
      <c r="L93" s="7">
        <v>38131.703999999998</v>
      </c>
      <c r="M93" s="7">
        <v>52822.843000000001</v>
      </c>
      <c r="N93" s="7">
        <v>0</v>
      </c>
      <c r="O93" s="7">
        <v>0</v>
      </c>
      <c r="P93" s="7">
        <v>2.161</v>
      </c>
      <c r="Q93" s="7">
        <v>0</v>
      </c>
      <c r="R93" s="7">
        <v>0</v>
      </c>
      <c r="S93" s="7">
        <v>4468.92</v>
      </c>
      <c r="T93" s="7">
        <v>0</v>
      </c>
      <c r="U93" s="7">
        <v>0</v>
      </c>
      <c r="V93" s="7">
        <v>2003.617</v>
      </c>
      <c r="W93" s="7">
        <v>4035.6550000000002</v>
      </c>
      <c r="X93" s="7">
        <v>0</v>
      </c>
      <c r="Y93" s="7">
        <v>9737.7039999999997</v>
      </c>
      <c r="Z93" s="7">
        <v>0</v>
      </c>
      <c r="AA93" s="7">
        <v>14775.153</v>
      </c>
      <c r="AB93" s="7">
        <v>0</v>
      </c>
      <c r="AC93" s="7">
        <v>1930.932</v>
      </c>
      <c r="AD93" s="7">
        <v>0</v>
      </c>
      <c r="AE93" s="7">
        <v>11934.48</v>
      </c>
      <c r="AF93" s="7">
        <v>0</v>
      </c>
      <c r="AG93" s="7">
        <v>0</v>
      </c>
      <c r="AH93" s="7">
        <v>88413.835000000006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178.89599999999999</v>
      </c>
      <c r="AP93" s="7">
        <v>0</v>
      </c>
      <c r="AQ93" s="7">
        <v>0</v>
      </c>
      <c r="AR93" s="7">
        <v>0</v>
      </c>
      <c r="AS93" s="7">
        <v>44.594000000000001</v>
      </c>
      <c r="AT93" s="7">
        <v>0</v>
      </c>
      <c r="AU93" s="7">
        <v>1303.4059999999999</v>
      </c>
      <c r="AV93" s="7">
        <v>0</v>
      </c>
      <c r="AW93" s="7">
        <v>0</v>
      </c>
      <c r="AX93" s="7">
        <v>0</v>
      </c>
      <c r="AY93" s="7">
        <v>43.055</v>
      </c>
      <c r="AZ93" s="7">
        <v>0</v>
      </c>
      <c r="BA93" s="7">
        <v>0</v>
      </c>
      <c r="BB93" s="7">
        <v>43.564999999999998</v>
      </c>
      <c r="BC93" s="7">
        <v>33.012999999999998</v>
      </c>
      <c r="BD93" s="7">
        <v>0</v>
      </c>
      <c r="BE93" s="7">
        <v>1.871</v>
      </c>
      <c r="BF93" s="7">
        <v>0</v>
      </c>
      <c r="BG93" s="7">
        <v>0</v>
      </c>
      <c r="BH93" s="22"/>
    </row>
    <row r="94" spans="1:60" ht="15.75" x14ac:dyDescent="0.25">
      <c r="A94" s="5" t="s">
        <v>172</v>
      </c>
      <c r="B94" s="5" t="s">
        <v>173</v>
      </c>
      <c r="C94" s="7">
        <v>3</v>
      </c>
      <c r="D94" s="7">
        <v>3</v>
      </c>
      <c r="E94" s="7">
        <v>7332.1379999999999</v>
      </c>
      <c r="F94" s="7">
        <v>1801.335</v>
      </c>
      <c r="G94" s="7">
        <v>4123.4229999999998</v>
      </c>
      <c r="H94" s="7">
        <v>0</v>
      </c>
      <c r="I94" s="7">
        <v>232.21799999999999</v>
      </c>
      <c r="J94" s="7">
        <v>1643.86</v>
      </c>
      <c r="K94" s="7">
        <v>0</v>
      </c>
      <c r="L94" s="7">
        <v>9741.8130000000001</v>
      </c>
      <c r="M94" s="7">
        <v>3762.7240000000002</v>
      </c>
      <c r="N94" s="7">
        <v>0</v>
      </c>
      <c r="O94" s="7">
        <v>0</v>
      </c>
      <c r="P94" s="7">
        <v>0.38100000000000001</v>
      </c>
      <c r="Q94" s="7">
        <v>0</v>
      </c>
      <c r="R94" s="7">
        <v>0</v>
      </c>
      <c r="S94" s="7">
        <v>637.41</v>
      </c>
      <c r="T94" s="7">
        <v>0</v>
      </c>
      <c r="U94" s="7">
        <v>0</v>
      </c>
      <c r="V94" s="7">
        <v>208.40700000000001</v>
      </c>
      <c r="W94" s="7">
        <v>234.01599999999999</v>
      </c>
      <c r="X94" s="7">
        <v>0</v>
      </c>
      <c r="Y94" s="7">
        <v>2324.366</v>
      </c>
      <c r="Z94" s="7">
        <v>0</v>
      </c>
      <c r="AA94" s="7">
        <v>2314.6</v>
      </c>
      <c r="AB94" s="7">
        <v>0</v>
      </c>
      <c r="AC94" s="7">
        <v>554.16899999999998</v>
      </c>
      <c r="AD94" s="7">
        <v>0</v>
      </c>
      <c r="AE94" s="7">
        <v>3561.761</v>
      </c>
      <c r="AF94" s="7">
        <v>1361.01</v>
      </c>
      <c r="AG94" s="7">
        <v>0</v>
      </c>
      <c r="AH94" s="7">
        <v>29107.916000000001</v>
      </c>
      <c r="AI94" s="7">
        <v>2411.09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64.844999999999999</v>
      </c>
      <c r="AP94" s="7">
        <v>0</v>
      </c>
      <c r="AQ94" s="7">
        <v>409.02100000000002</v>
      </c>
      <c r="AR94" s="7">
        <v>0</v>
      </c>
      <c r="AS94" s="7">
        <v>3.306</v>
      </c>
      <c r="AT94" s="7">
        <v>0</v>
      </c>
      <c r="AU94" s="7">
        <v>317.74700000000001</v>
      </c>
      <c r="AV94" s="7">
        <v>0</v>
      </c>
      <c r="AW94" s="7">
        <v>0</v>
      </c>
      <c r="AX94" s="7">
        <v>0</v>
      </c>
      <c r="AY94" s="7">
        <v>17.66</v>
      </c>
      <c r="AZ94" s="7">
        <v>6.194</v>
      </c>
      <c r="BA94" s="7">
        <v>0</v>
      </c>
      <c r="BB94" s="7">
        <v>14.576000000000001</v>
      </c>
      <c r="BC94" s="7">
        <v>7.976</v>
      </c>
      <c r="BD94" s="7">
        <v>14.439</v>
      </c>
      <c r="BE94" s="7">
        <v>0.56100000000000005</v>
      </c>
      <c r="BF94" s="7">
        <v>4.0990000000000002</v>
      </c>
      <c r="BG94" s="7">
        <v>0</v>
      </c>
      <c r="BH94" s="22"/>
    </row>
    <row r="95" spans="1:60" ht="15.75" x14ac:dyDescent="0.25">
      <c r="A95" s="5" t="s">
        <v>174</v>
      </c>
      <c r="B95" s="5" t="s">
        <v>175</v>
      </c>
      <c r="C95" s="7">
        <v>3</v>
      </c>
      <c r="D95" s="7">
        <v>3</v>
      </c>
      <c r="E95" s="7">
        <v>24302.641</v>
      </c>
      <c r="F95" s="7">
        <v>15469.474</v>
      </c>
      <c r="G95" s="7">
        <v>26398.215</v>
      </c>
      <c r="H95" s="7">
        <v>1086.8150000000001</v>
      </c>
      <c r="I95" s="7">
        <v>2028.421</v>
      </c>
      <c r="J95" s="7">
        <v>12435.834000000001</v>
      </c>
      <c r="K95" s="7">
        <v>0</v>
      </c>
      <c r="L95" s="7">
        <v>46252.798999999999</v>
      </c>
      <c r="M95" s="7">
        <v>17589.725999999999</v>
      </c>
      <c r="N95" s="7">
        <v>0</v>
      </c>
      <c r="O95" s="7">
        <v>0</v>
      </c>
      <c r="P95" s="7">
        <v>0.248</v>
      </c>
      <c r="Q95" s="7">
        <v>0</v>
      </c>
      <c r="R95" s="7">
        <v>0</v>
      </c>
      <c r="S95" s="7">
        <v>5739.9290000000001</v>
      </c>
      <c r="T95" s="7">
        <v>0</v>
      </c>
      <c r="U95" s="7">
        <v>0</v>
      </c>
      <c r="V95" s="7">
        <v>1664.7529999999999</v>
      </c>
      <c r="W95" s="7">
        <v>-120.825</v>
      </c>
      <c r="X95" s="7">
        <v>0</v>
      </c>
      <c r="Y95" s="7">
        <v>9656.4110000000001</v>
      </c>
      <c r="Z95" s="7">
        <v>0</v>
      </c>
      <c r="AA95" s="7">
        <v>22714.52</v>
      </c>
      <c r="AB95" s="7">
        <v>0</v>
      </c>
      <c r="AC95" s="7">
        <v>4916.7039999999997</v>
      </c>
      <c r="AD95" s="7">
        <v>0</v>
      </c>
      <c r="AE95" s="7">
        <v>5064.7619999999997</v>
      </c>
      <c r="AF95" s="7">
        <v>2380.0390000000002</v>
      </c>
      <c r="AG95" s="7">
        <v>0</v>
      </c>
      <c r="AH95" s="7">
        <v>186174.467</v>
      </c>
      <c r="AI95" s="7">
        <v>3990.694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690.85599999999999</v>
      </c>
      <c r="AP95" s="7">
        <v>0</v>
      </c>
      <c r="AQ95" s="7">
        <v>694.55899999999997</v>
      </c>
      <c r="AR95" s="7">
        <v>0</v>
      </c>
      <c r="AS95" s="7">
        <v>23.29</v>
      </c>
      <c r="AT95" s="7">
        <v>0</v>
      </c>
      <c r="AU95" s="7">
        <v>20.219000000000001</v>
      </c>
      <c r="AV95" s="7">
        <v>0</v>
      </c>
      <c r="AW95" s="7">
        <v>0</v>
      </c>
      <c r="AX95" s="7">
        <v>0</v>
      </c>
      <c r="AY95" s="7">
        <v>175.76599999999999</v>
      </c>
      <c r="AZ95" s="7">
        <v>10.244</v>
      </c>
      <c r="BA95" s="7">
        <v>0</v>
      </c>
      <c r="BB95" s="7">
        <v>139.797</v>
      </c>
      <c r="BC95" s="7">
        <v>95.019000000000005</v>
      </c>
      <c r="BD95" s="7">
        <v>23.88</v>
      </c>
      <c r="BE95" s="7">
        <v>5.4619999999999997</v>
      </c>
      <c r="BF95" s="7">
        <v>6.7789999999999999</v>
      </c>
      <c r="BG95" s="7">
        <v>0</v>
      </c>
      <c r="BH95" s="22"/>
    </row>
    <row r="96" spans="1:60" ht="15.75" x14ac:dyDescent="0.25">
      <c r="A96" s="5" t="s">
        <v>176</v>
      </c>
      <c r="B96" s="5" t="s">
        <v>177</v>
      </c>
      <c r="C96" s="7">
        <v>3</v>
      </c>
      <c r="D96" s="7">
        <v>3</v>
      </c>
      <c r="E96" s="7">
        <v>70556.555999999997</v>
      </c>
      <c r="F96" s="7">
        <v>27364.014999999999</v>
      </c>
      <c r="G96" s="7">
        <v>4196.8239999999996</v>
      </c>
      <c r="H96" s="7">
        <v>7179.8829999999998</v>
      </c>
      <c r="I96" s="7">
        <v>3480.3530000000001</v>
      </c>
      <c r="J96" s="7">
        <v>19032.157999999999</v>
      </c>
      <c r="K96" s="7">
        <v>0</v>
      </c>
      <c r="L96" s="7">
        <v>112257.11199999999</v>
      </c>
      <c r="M96" s="7">
        <v>48148.366000000002</v>
      </c>
      <c r="N96" s="7">
        <v>0</v>
      </c>
      <c r="O96" s="7">
        <v>0</v>
      </c>
      <c r="P96" s="7">
        <v>1.238</v>
      </c>
      <c r="Q96" s="7">
        <v>0</v>
      </c>
      <c r="R96" s="7">
        <v>0</v>
      </c>
      <c r="S96" s="7">
        <v>9783.3649999999998</v>
      </c>
      <c r="T96" s="7">
        <v>0</v>
      </c>
      <c r="U96" s="7">
        <v>0</v>
      </c>
      <c r="V96" s="7">
        <v>1838.163</v>
      </c>
      <c r="W96" s="7">
        <v>1664.508</v>
      </c>
      <c r="X96" s="7">
        <v>0</v>
      </c>
      <c r="Y96" s="7">
        <v>8363.6290000000008</v>
      </c>
      <c r="Z96" s="7">
        <v>0</v>
      </c>
      <c r="AA96" s="7">
        <v>38049.160000000003</v>
      </c>
      <c r="AB96" s="7">
        <v>0</v>
      </c>
      <c r="AC96" s="7">
        <v>5171.8890000000001</v>
      </c>
      <c r="AD96" s="7">
        <v>0</v>
      </c>
      <c r="AE96" s="7">
        <v>19514.748</v>
      </c>
      <c r="AF96" s="7">
        <v>9844.4619999999995</v>
      </c>
      <c r="AG96" s="7">
        <v>0</v>
      </c>
      <c r="AH96" s="7">
        <v>249610.62899999999</v>
      </c>
      <c r="AI96" s="7">
        <v>16677.508999999998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1024.5029999999999</v>
      </c>
      <c r="AP96" s="7">
        <v>0</v>
      </c>
      <c r="AQ96" s="7">
        <v>2888.5650000000001</v>
      </c>
      <c r="AR96" s="7">
        <v>0</v>
      </c>
      <c r="AS96" s="7">
        <v>48.857999999999997</v>
      </c>
      <c r="AT96" s="7">
        <v>0</v>
      </c>
      <c r="AU96" s="7">
        <v>218.357</v>
      </c>
      <c r="AV96" s="7">
        <v>0</v>
      </c>
      <c r="AW96" s="7">
        <v>0</v>
      </c>
      <c r="AX96" s="7">
        <v>0</v>
      </c>
      <c r="AY96" s="7">
        <v>152.77000000000001</v>
      </c>
      <c r="AZ96" s="7">
        <v>42.816000000000003</v>
      </c>
      <c r="BA96" s="7">
        <v>0</v>
      </c>
      <c r="BB96" s="7">
        <v>185.27099999999999</v>
      </c>
      <c r="BC96" s="7">
        <v>131.78299999999999</v>
      </c>
      <c r="BD96" s="7">
        <v>99.811999999999998</v>
      </c>
      <c r="BE96" s="7">
        <v>8.15</v>
      </c>
      <c r="BF96" s="7">
        <v>28.335999999999999</v>
      </c>
      <c r="BG96" s="7">
        <v>0</v>
      </c>
      <c r="BH96" s="22"/>
    </row>
    <row r="97" spans="1:60" ht="15.75" x14ac:dyDescent="0.25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22"/>
    </row>
    <row r="98" spans="1:60" ht="15.75" x14ac:dyDescent="0.25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22"/>
    </row>
    <row r="99" spans="1:60" ht="15.75" x14ac:dyDescent="0.25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22"/>
    </row>
    <row r="100" spans="1:60" ht="15.75" x14ac:dyDescent="0.25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22"/>
    </row>
    <row r="101" spans="1:60" ht="15.75" x14ac:dyDescent="0.25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22"/>
    </row>
    <row r="102" spans="1:60" ht="15.75" x14ac:dyDescent="0.25">
      <c r="A102" s="5" t="s">
        <v>188</v>
      </c>
      <c r="B102" s="5" t="s">
        <v>189</v>
      </c>
      <c r="C102" s="7">
        <v>6</v>
      </c>
      <c r="D102" s="7">
        <v>6</v>
      </c>
      <c r="E102" s="7">
        <v>5868.5259999999998</v>
      </c>
      <c r="F102" s="7">
        <v>544.81600000000003</v>
      </c>
      <c r="G102" s="7">
        <v>779.63900000000001</v>
      </c>
      <c r="H102" s="7">
        <v>0</v>
      </c>
      <c r="I102" s="7">
        <v>136.958</v>
      </c>
      <c r="J102" s="7">
        <v>474.87299999999999</v>
      </c>
      <c r="K102" s="7">
        <v>0</v>
      </c>
      <c r="L102" s="7">
        <v>4317.0159999999996</v>
      </c>
      <c r="M102" s="7">
        <v>2121.3389999999999</v>
      </c>
      <c r="N102" s="7">
        <v>0</v>
      </c>
      <c r="O102" s="7">
        <v>0</v>
      </c>
      <c r="P102" s="7">
        <v>25.57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67.253</v>
      </c>
      <c r="W102" s="7">
        <v>207.251</v>
      </c>
      <c r="X102" s="7">
        <v>0</v>
      </c>
      <c r="Y102" s="7">
        <v>1638.124</v>
      </c>
      <c r="Z102" s="7">
        <v>0</v>
      </c>
      <c r="AA102" s="7">
        <v>576.01900000000001</v>
      </c>
      <c r="AB102" s="7">
        <v>0</v>
      </c>
      <c r="AC102" s="7">
        <v>87.113</v>
      </c>
      <c r="AD102" s="7">
        <v>0</v>
      </c>
      <c r="AE102" s="7">
        <v>5206.1379999999999</v>
      </c>
      <c r="AF102" s="7">
        <v>0</v>
      </c>
      <c r="AG102" s="7">
        <v>0</v>
      </c>
      <c r="AH102" s="7">
        <v>12319.504000000001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22"/>
    </row>
    <row r="103" spans="1:60" ht="15.75" x14ac:dyDescent="0.25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22"/>
    </row>
    <row r="104" spans="1:60" ht="15.75" x14ac:dyDescent="0.25">
      <c r="A104" s="5" t="s">
        <v>192</v>
      </c>
      <c r="B104" s="5" t="s">
        <v>193</v>
      </c>
      <c r="C104" s="7">
        <v>6</v>
      </c>
      <c r="D104" s="7">
        <v>6</v>
      </c>
      <c r="E104" s="7">
        <v>0</v>
      </c>
      <c r="F104" s="7">
        <v>0</v>
      </c>
      <c r="G104" s="7">
        <v>0</v>
      </c>
      <c r="H104" s="7">
        <v>1923.9690000000001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22"/>
    </row>
    <row r="105" spans="1:60" ht="15.75" x14ac:dyDescent="0.25">
      <c r="A105" s="5" t="s">
        <v>194</v>
      </c>
      <c r="B105" s="5" t="s">
        <v>195</v>
      </c>
      <c r="C105" s="7">
        <v>4</v>
      </c>
      <c r="D105" s="7">
        <v>4</v>
      </c>
      <c r="E105" s="7">
        <v>260176.77100000001</v>
      </c>
      <c r="F105" s="7">
        <v>59821.716999999997</v>
      </c>
      <c r="G105" s="7">
        <v>0</v>
      </c>
      <c r="H105" s="7">
        <v>0</v>
      </c>
      <c r="I105" s="7">
        <v>2921.0419999999999</v>
      </c>
      <c r="J105" s="7">
        <v>0</v>
      </c>
      <c r="K105" s="7">
        <v>0</v>
      </c>
      <c r="L105" s="7">
        <v>691709.67500000005</v>
      </c>
      <c r="M105" s="7">
        <v>71928.001000000004</v>
      </c>
      <c r="N105" s="7">
        <v>0</v>
      </c>
      <c r="O105" s="7">
        <v>25.86</v>
      </c>
      <c r="P105" s="7">
        <v>13.358000000000001</v>
      </c>
      <c r="Q105" s="7">
        <v>49.238</v>
      </c>
      <c r="R105" s="7">
        <v>0</v>
      </c>
      <c r="S105" s="7">
        <v>15375.154</v>
      </c>
      <c r="T105" s="7">
        <v>0</v>
      </c>
      <c r="U105" s="7">
        <v>0</v>
      </c>
      <c r="V105" s="7">
        <v>0</v>
      </c>
      <c r="W105" s="7">
        <v>5052.8819999999996</v>
      </c>
      <c r="X105" s="7">
        <v>0</v>
      </c>
      <c r="Y105" s="7">
        <v>106524.19899999999</v>
      </c>
      <c r="Z105" s="7">
        <v>0</v>
      </c>
      <c r="AA105" s="7">
        <v>0</v>
      </c>
      <c r="AB105" s="7">
        <v>1859.2829999999999</v>
      </c>
      <c r="AC105" s="7">
        <v>9842.768</v>
      </c>
      <c r="AD105" s="7">
        <v>0</v>
      </c>
      <c r="AE105" s="7">
        <v>267460.01699999999</v>
      </c>
      <c r="AF105" s="7">
        <v>137280.625</v>
      </c>
      <c r="AG105" s="7">
        <v>0</v>
      </c>
      <c r="AH105" s="7">
        <v>1133506.862</v>
      </c>
      <c r="AI105" s="7">
        <v>243198.677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1010.669</v>
      </c>
      <c r="AP105" s="7">
        <v>0</v>
      </c>
      <c r="AQ105" s="7">
        <v>41256.639000000003</v>
      </c>
      <c r="AR105" s="7">
        <v>0</v>
      </c>
      <c r="AS105" s="7">
        <v>159.06800000000001</v>
      </c>
      <c r="AT105" s="7">
        <v>0</v>
      </c>
      <c r="AU105" s="7">
        <v>1151.394</v>
      </c>
      <c r="AV105" s="7">
        <v>0</v>
      </c>
      <c r="AW105" s="7">
        <v>0</v>
      </c>
      <c r="AX105" s="7">
        <v>0</v>
      </c>
      <c r="AY105" s="7">
        <v>73.864000000000004</v>
      </c>
      <c r="AZ105" s="7">
        <v>624.76499999999999</v>
      </c>
      <c r="BA105" s="7">
        <v>0</v>
      </c>
      <c r="BB105" s="7">
        <v>270.90699999999998</v>
      </c>
      <c r="BC105" s="7">
        <v>0</v>
      </c>
      <c r="BD105" s="7">
        <v>1456.443</v>
      </c>
      <c r="BE105" s="7">
        <v>11.888999999999999</v>
      </c>
      <c r="BF105" s="7">
        <v>413.483</v>
      </c>
      <c r="BG105" s="7">
        <v>0</v>
      </c>
      <c r="BH105" s="22"/>
    </row>
    <row r="106" spans="1:60" ht="15.75" x14ac:dyDescent="0.25">
      <c r="A106" s="5" t="s">
        <v>196</v>
      </c>
      <c r="B106" s="5" t="s">
        <v>197</v>
      </c>
      <c r="C106" s="7">
        <v>4</v>
      </c>
      <c r="D106" s="7">
        <v>4</v>
      </c>
      <c r="E106" s="7">
        <v>130393.621</v>
      </c>
      <c r="F106" s="7">
        <v>29018.775000000001</v>
      </c>
      <c r="G106" s="7">
        <v>0</v>
      </c>
      <c r="H106" s="7">
        <v>384.83800000000002</v>
      </c>
      <c r="I106" s="7">
        <v>1477.25</v>
      </c>
      <c r="J106" s="7">
        <v>0</v>
      </c>
      <c r="K106" s="7">
        <v>0</v>
      </c>
      <c r="L106" s="7">
        <v>346096.65700000001</v>
      </c>
      <c r="M106" s="7">
        <v>36375.932000000001</v>
      </c>
      <c r="N106" s="7">
        <v>0</v>
      </c>
      <c r="O106" s="7">
        <v>0.46100000000000002</v>
      </c>
      <c r="P106" s="7">
        <v>6.7560000000000002</v>
      </c>
      <c r="Q106" s="7">
        <v>0.877</v>
      </c>
      <c r="R106" s="7">
        <v>0</v>
      </c>
      <c r="S106" s="7">
        <v>7775.63</v>
      </c>
      <c r="T106" s="7">
        <v>0</v>
      </c>
      <c r="U106" s="7">
        <v>0</v>
      </c>
      <c r="V106" s="7">
        <v>0</v>
      </c>
      <c r="W106" s="7">
        <v>2555.3789999999999</v>
      </c>
      <c r="X106" s="7">
        <v>0</v>
      </c>
      <c r="Y106" s="7">
        <v>53872.163</v>
      </c>
      <c r="Z106" s="7">
        <v>0</v>
      </c>
      <c r="AA106" s="7">
        <v>0</v>
      </c>
      <c r="AB106" s="7">
        <v>33.124000000000002</v>
      </c>
      <c r="AC106" s="7">
        <v>4977.7529999999997</v>
      </c>
      <c r="AD106" s="7">
        <v>0</v>
      </c>
      <c r="AE106" s="7">
        <v>134325.12299999999</v>
      </c>
      <c r="AF106" s="7">
        <v>69426.517999999996</v>
      </c>
      <c r="AG106" s="7">
        <v>0</v>
      </c>
      <c r="AH106" s="7">
        <v>569781.59699999995</v>
      </c>
      <c r="AI106" s="7">
        <v>122992.136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511.12299999999999</v>
      </c>
      <c r="AP106" s="7">
        <v>0</v>
      </c>
      <c r="AQ106" s="7">
        <v>20864.596000000001</v>
      </c>
      <c r="AR106" s="7">
        <v>0</v>
      </c>
      <c r="AS106" s="7">
        <v>80.444999999999993</v>
      </c>
      <c r="AT106" s="7">
        <v>0</v>
      </c>
      <c r="AU106" s="7">
        <v>582.29100000000005</v>
      </c>
      <c r="AV106" s="7">
        <v>0</v>
      </c>
      <c r="AW106" s="7">
        <v>0</v>
      </c>
      <c r="AX106" s="7">
        <v>0</v>
      </c>
      <c r="AY106" s="7">
        <v>37.354999999999997</v>
      </c>
      <c r="AZ106" s="7">
        <v>315.96100000000001</v>
      </c>
      <c r="BA106" s="7">
        <v>0</v>
      </c>
      <c r="BB106" s="7">
        <v>137.005</v>
      </c>
      <c r="BC106" s="7">
        <v>0</v>
      </c>
      <c r="BD106" s="7">
        <v>736.56299999999999</v>
      </c>
      <c r="BE106" s="7">
        <v>6.0119999999999996</v>
      </c>
      <c r="BF106" s="7">
        <v>209.11</v>
      </c>
      <c r="BG106" s="7">
        <v>0</v>
      </c>
      <c r="BH106" s="22"/>
    </row>
    <row r="107" spans="1:60" ht="15.75" x14ac:dyDescent="0.25">
      <c r="A107" s="5" t="s">
        <v>198</v>
      </c>
      <c r="B107" s="5" t="s">
        <v>199</v>
      </c>
      <c r="C107" s="7">
        <v>4</v>
      </c>
      <c r="D107" s="7">
        <v>4</v>
      </c>
      <c r="E107" s="7">
        <v>58662.114000000001</v>
      </c>
      <c r="F107" s="7">
        <v>12992.971</v>
      </c>
      <c r="G107" s="7">
        <v>121.57899999999999</v>
      </c>
      <c r="H107" s="7">
        <v>2.734</v>
      </c>
      <c r="I107" s="7">
        <v>719.63900000000001</v>
      </c>
      <c r="J107" s="7">
        <v>78.706999999999994</v>
      </c>
      <c r="K107" s="7">
        <v>0</v>
      </c>
      <c r="L107" s="7">
        <v>149981.51999999999</v>
      </c>
      <c r="M107" s="7">
        <v>18459.928</v>
      </c>
      <c r="N107" s="7">
        <v>0</v>
      </c>
      <c r="O107" s="7">
        <v>44.125999999999998</v>
      </c>
      <c r="P107" s="7">
        <v>2.7530000000000001</v>
      </c>
      <c r="Q107" s="7">
        <v>84.019000000000005</v>
      </c>
      <c r="R107" s="7">
        <v>0</v>
      </c>
      <c r="S107" s="7">
        <v>3181.616</v>
      </c>
      <c r="T107" s="7">
        <v>0</v>
      </c>
      <c r="U107" s="7">
        <v>0</v>
      </c>
      <c r="V107" s="7">
        <v>12.579000000000001</v>
      </c>
      <c r="W107" s="7">
        <v>1061.721</v>
      </c>
      <c r="X107" s="7">
        <v>0</v>
      </c>
      <c r="Y107" s="7">
        <v>21910.048999999999</v>
      </c>
      <c r="Z107" s="7">
        <v>0</v>
      </c>
      <c r="AA107" s="7">
        <v>92.762</v>
      </c>
      <c r="AB107" s="7">
        <v>3172.605</v>
      </c>
      <c r="AC107" s="7">
        <v>2030.9480000000001</v>
      </c>
      <c r="AD107" s="7">
        <v>0</v>
      </c>
      <c r="AE107" s="7">
        <v>57814.889000000003</v>
      </c>
      <c r="AF107" s="7">
        <v>28159.800999999999</v>
      </c>
      <c r="AG107" s="7">
        <v>0</v>
      </c>
      <c r="AH107" s="7">
        <v>241917.024</v>
      </c>
      <c r="AI107" s="7">
        <v>49890.597999999998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208.41900000000001</v>
      </c>
      <c r="AP107" s="7">
        <v>0</v>
      </c>
      <c r="AQ107" s="7">
        <v>8462.0470000000005</v>
      </c>
      <c r="AR107" s="7">
        <v>0</v>
      </c>
      <c r="AS107" s="7">
        <v>32.905999999999999</v>
      </c>
      <c r="AT107" s="7">
        <v>0</v>
      </c>
      <c r="AU107" s="7">
        <v>244.34200000000001</v>
      </c>
      <c r="AV107" s="7">
        <v>0</v>
      </c>
      <c r="AW107" s="7">
        <v>0</v>
      </c>
      <c r="AX107" s="7">
        <v>0</v>
      </c>
      <c r="AY107" s="7">
        <v>15.42</v>
      </c>
      <c r="AZ107" s="7">
        <v>128.14400000000001</v>
      </c>
      <c r="BA107" s="7">
        <v>0</v>
      </c>
      <c r="BB107" s="7">
        <v>55.838999999999999</v>
      </c>
      <c r="BC107" s="7">
        <v>0.20699999999999999</v>
      </c>
      <c r="BD107" s="7">
        <v>298.72699999999998</v>
      </c>
      <c r="BE107" s="7">
        <v>2.4500000000000002</v>
      </c>
      <c r="BF107" s="7">
        <v>84.808000000000007</v>
      </c>
      <c r="BG107" s="7">
        <v>0</v>
      </c>
      <c r="BH107" s="22"/>
    </row>
    <row r="108" spans="1:60" ht="15.75" x14ac:dyDescent="0.25">
      <c r="A108" s="5" t="s">
        <v>200</v>
      </c>
      <c r="B108" s="5" t="s">
        <v>201</v>
      </c>
      <c r="C108" s="7">
        <v>4</v>
      </c>
      <c r="D108" s="7">
        <v>4</v>
      </c>
      <c r="E108" s="7">
        <v>3428.989</v>
      </c>
      <c r="F108" s="7">
        <v>737.95799999999997</v>
      </c>
      <c r="G108" s="7">
        <v>1.268</v>
      </c>
      <c r="H108" s="7">
        <v>0</v>
      </c>
      <c r="I108" s="7">
        <v>37.662999999999997</v>
      </c>
      <c r="J108" s="7">
        <v>0.82099999999999995</v>
      </c>
      <c r="K108" s="7">
        <v>0</v>
      </c>
      <c r="L108" s="7">
        <v>8917.7369999999992</v>
      </c>
      <c r="M108" s="7">
        <v>927.60799999999995</v>
      </c>
      <c r="N108" s="7">
        <v>0</v>
      </c>
      <c r="O108" s="7">
        <v>3.2509999999999999</v>
      </c>
      <c r="P108" s="7">
        <v>0.17199999999999999</v>
      </c>
      <c r="Q108" s="7">
        <v>6.19</v>
      </c>
      <c r="R108" s="7">
        <v>0</v>
      </c>
      <c r="S108" s="7">
        <v>197.83600000000001</v>
      </c>
      <c r="T108" s="7">
        <v>0</v>
      </c>
      <c r="U108" s="7">
        <v>0</v>
      </c>
      <c r="V108" s="7">
        <v>0.13100000000000001</v>
      </c>
      <c r="W108" s="7">
        <v>65.185000000000002</v>
      </c>
      <c r="X108" s="7">
        <v>0</v>
      </c>
      <c r="Y108" s="7">
        <v>1369.287</v>
      </c>
      <c r="Z108" s="7">
        <v>0</v>
      </c>
      <c r="AA108" s="7">
        <v>0.96799999999999997</v>
      </c>
      <c r="AB108" s="7">
        <v>233.73699999999999</v>
      </c>
      <c r="AC108" s="7">
        <v>126.589</v>
      </c>
      <c r="AD108" s="7">
        <v>0</v>
      </c>
      <c r="AE108" s="7">
        <v>3653.8389999999999</v>
      </c>
      <c r="AF108" s="7">
        <v>1763.816</v>
      </c>
      <c r="AG108" s="7">
        <v>0</v>
      </c>
      <c r="AH108" s="7">
        <v>14481.379000000001</v>
      </c>
      <c r="AI108" s="7">
        <v>3124.6770000000001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12.997</v>
      </c>
      <c r="AP108" s="7">
        <v>0</v>
      </c>
      <c r="AQ108" s="7">
        <v>530.07600000000002</v>
      </c>
      <c r="AR108" s="7">
        <v>0</v>
      </c>
      <c r="AS108" s="7">
        <v>2.0470000000000002</v>
      </c>
      <c r="AT108" s="7">
        <v>0</v>
      </c>
      <c r="AU108" s="7">
        <v>14.879</v>
      </c>
      <c r="AV108" s="7">
        <v>0</v>
      </c>
      <c r="AW108" s="7">
        <v>0</v>
      </c>
      <c r="AX108" s="7">
        <v>0</v>
      </c>
      <c r="AY108" s="7">
        <v>0.95199999999999996</v>
      </c>
      <c r="AZ108" s="7">
        <v>8.0269999999999992</v>
      </c>
      <c r="BA108" s="7">
        <v>0</v>
      </c>
      <c r="BB108" s="7">
        <v>3.484</v>
      </c>
      <c r="BC108" s="7">
        <v>2E-3</v>
      </c>
      <c r="BD108" s="7">
        <v>18.713000000000001</v>
      </c>
      <c r="BE108" s="7">
        <v>0.153</v>
      </c>
      <c r="BF108" s="7">
        <v>5.3129999999999997</v>
      </c>
      <c r="BG108" s="7">
        <v>0</v>
      </c>
      <c r="BH108" s="22"/>
    </row>
    <row r="109" spans="1:60" ht="15.75" x14ac:dyDescent="0.25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22"/>
    </row>
    <row r="110" spans="1:60" ht="15.75" x14ac:dyDescent="0.25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22"/>
    </row>
    <row r="111" spans="1:60" ht="15.75" x14ac:dyDescent="0.25">
      <c r="A111" s="5" t="s">
        <v>206</v>
      </c>
      <c r="B111" s="5" t="s">
        <v>207</v>
      </c>
      <c r="C111" s="7">
        <v>6</v>
      </c>
      <c r="D111" s="7">
        <v>6</v>
      </c>
      <c r="E111" s="7">
        <v>82732.308999999994</v>
      </c>
      <c r="F111" s="7">
        <v>627.66</v>
      </c>
      <c r="G111" s="7">
        <v>0</v>
      </c>
      <c r="H111" s="7">
        <v>9321.3649999999998</v>
      </c>
      <c r="I111" s="7">
        <v>0.29699999999999999</v>
      </c>
      <c r="J111" s="7">
        <v>0</v>
      </c>
      <c r="K111" s="7">
        <v>0</v>
      </c>
      <c r="L111" s="7">
        <v>120173.383</v>
      </c>
      <c r="M111" s="7">
        <v>19883.241999999998</v>
      </c>
      <c r="N111" s="7">
        <v>0</v>
      </c>
      <c r="O111" s="7">
        <v>0</v>
      </c>
      <c r="P111" s="7">
        <v>1E-3</v>
      </c>
      <c r="Q111" s="7">
        <v>0</v>
      </c>
      <c r="R111" s="7">
        <v>3.0000000000000001E-3</v>
      </c>
      <c r="S111" s="7">
        <v>1.5509999999999999</v>
      </c>
      <c r="T111" s="7">
        <v>0</v>
      </c>
      <c r="U111" s="7">
        <v>0</v>
      </c>
      <c r="V111" s="7">
        <v>0</v>
      </c>
      <c r="W111" s="7">
        <v>0.51</v>
      </c>
      <c r="X111" s="7">
        <v>0</v>
      </c>
      <c r="Y111" s="7">
        <v>26971.951000000001</v>
      </c>
      <c r="Z111" s="7">
        <v>0</v>
      </c>
      <c r="AA111" s="7">
        <v>0</v>
      </c>
      <c r="AB111" s="7">
        <v>0</v>
      </c>
      <c r="AC111" s="7">
        <v>0.99299999999999999</v>
      </c>
      <c r="AD111" s="7">
        <v>0</v>
      </c>
      <c r="AE111" s="7">
        <v>93342.327999999994</v>
      </c>
      <c r="AF111" s="7">
        <v>3947.9670000000001</v>
      </c>
      <c r="AG111" s="7">
        <v>0</v>
      </c>
      <c r="AH111" s="7">
        <v>291626.72499999998</v>
      </c>
      <c r="AI111" s="7">
        <v>5416.125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0.10199999999999999</v>
      </c>
      <c r="AP111" s="7">
        <v>0</v>
      </c>
      <c r="AQ111" s="7">
        <v>4.1630000000000003</v>
      </c>
      <c r="AR111" s="7">
        <v>0</v>
      </c>
      <c r="AS111" s="7">
        <v>2.1999999999999999E-2</v>
      </c>
      <c r="AT111" s="7">
        <v>0</v>
      </c>
      <c r="AU111" s="7">
        <v>0.11600000000000001</v>
      </c>
      <c r="AV111" s="7">
        <v>0</v>
      </c>
      <c r="AW111" s="7">
        <v>0</v>
      </c>
      <c r="AX111" s="7">
        <v>0</v>
      </c>
      <c r="AY111" s="7">
        <v>7.0000000000000001E-3</v>
      </c>
      <c r="AZ111" s="7">
        <v>6.3E-2</v>
      </c>
      <c r="BA111" s="7">
        <v>0</v>
      </c>
      <c r="BB111" s="7">
        <v>2.7E-2</v>
      </c>
      <c r="BC111" s="7">
        <v>0</v>
      </c>
      <c r="BD111" s="7">
        <v>0.14699999999999999</v>
      </c>
      <c r="BE111" s="7">
        <v>1E-3</v>
      </c>
      <c r="BF111" s="7">
        <v>4.2000000000000003E-2</v>
      </c>
      <c r="BG111" s="7">
        <v>0</v>
      </c>
      <c r="BH111" s="22"/>
    </row>
    <row r="112" spans="1:60" ht="15.75" x14ac:dyDescent="0.25">
      <c r="A112" s="5" t="s">
        <v>208</v>
      </c>
      <c r="B112" s="5" t="s">
        <v>209</v>
      </c>
      <c r="C112" s="7">
        <v>4</v>
      </c>
      <c r="D112" s="7">
        <v>4</v>
      </c>
      <c r="E112" s="7">
        <v>90956.217999999993</v>
      </c>
      <c r="F112" s="7">
        <v>20249.64</v>
      </c>
      <c r="G112" s="7">
        <v>0</v>
      </c>
      <c r="H112" s="7">
        <v>0</v>
      </c>
      <c r="I112" s="7">
        <v>1028.8920000000001</v>
      </c>
      <c r="J112" s="7">
        <v>0</v>
      </c>
      <c r="K112" s="7">
        <v>0</v>
      </c>
      <c r="L112" s="7">
        <v>242017.98</v>
      </c>
      <c r="M112" s="7">
        <v>25346.326000000001</v>
      </c>
      <c r="N112" s="7">
        <v>0</v>
      </c>
      <c r="O112" s="7">
        <v>0</v>
      </c>
      <c r="P112" s="7">
        <v>4.702</v>
      </c>
      <c r="Q112" s="7">
        <v>0</v>
      </c>
      <c r="R112" s="7">
        <v>0</v>
      </c>
      <c r="S112" s="7">
        <v>5417.3180000000002</v>
      </c>
      <c r="T112" s="7">
        <v>0</v>
      </c>
      <c r="U112" s="7">
        <v>0</v>
      </c>
      <c r="V112" s="7">
        <v>0</v>
      </c>
      <c r="W112" s="7">
        <v>1779.924</v>
      </c>
      <c r="X112" s="7">
        <v>0</v>
      </c>
      <c r="Y112" s="7">
        <v>37564.061000000002</v>
      </c>
      <c r="Z112" s="7">
        <v>0</v>
      </c>
      <c r="AA112" s="7">
        <v>0</v>
      </c>
      <c r="AB112" s="7">
        <v>23.625</v>
      </c>
      <c r="AC112" s="7">
        <v>3467.4630000000002</v>
      </c>
      <c r="AD112" s="7">
        <v>0</v>
      </c>
      <c r="AE112" s="7">
        <v>93716.065000000002</v>
      </c>
      <c r="AF112" s="7">
        <v>48420.811000000002</v>
      </c>
      <c r="AG112" s="7">
        <v>0</v>
      </c>
      <c r="AH112" s="7">
        <v>398725.52600000001</v>
      </c>
      <c r="AI112" s="7">
        <v>85734.35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356.16800000000001</v>
      </c>
      <c r="AP112" s="7">
        <v>0</v>
      </c>
      <c r="AQ112" s="7">
        <v>14557.742</v>
      </c>
      <c r="AR112" s="7">
        <v>0</v>
      </c>
      <c r="AS112" s="7">
        <v>56.042999999999999</v>
      </c>
      <c r="AT112" s="7">
        <v>0</v>
      </c>
      <c r="AU112" s="7">
        <v>602.94200000000001</v>
      </c>
      <c r="AV112" s="7">
        <v>0</v>
      </c>
      <c r="AW112" s="7">
        <v>0</v>
      </c>
      <c r="AX112" s="7">
        <v>0</v>
      </c>
      <c r="AY112" s="7">
        <v>26.018999999999998</v>
      </c>
      <c r="AZ112" s="7">
        <v>219.941</v>
      </c>
      <c r="BA112" s="7">
        <v>0</v>
      </c>
      <c r="BB112" s="7">
        <v>95.427999999999997</v>
      </c>
      <c r="BC112" s="7">
        <v>0</v>
      </c>
      <c r="BD112" s="7">
        <v>512.72500000000002</v>
      </c>
      <c r="BE112" s="7">
        <v>4.1879999999999997</v>
      </c>
      <c r="BF112" s="7">
        <v>145.56200000000001</v>
      </c>
      <c r="BG112" s="7">
        <v>0</v>
      </c>
      <c r="BH112" s="22"/>
    </row>
    <row r="113" spans="1:60" ht="15.75" x14ac:dyDescent="0.25">
      <c r="A113" s="5" t="s">
        <v>210</v>
      </c>
      <c r="B113" s="5" t="s">
        <v>211</v>
      </c>
      <c r="C113" s="7">
        <v>4</v>
      </c>
      <c r="D113" s="7">
        <v>4</v>
      </c>
      <c r="E113" s="7">
        <v>222044.965</v>
      </c>
      <c r="F113" s="7">
        <v>53514.1</v>
      </c>
      <c r="G113" s="7">
        <v>2.1030000000000002</v>
      </c>
      <c r="H113" s="7">
        <v>3.827</v>
      </c>
      <c r="I113" s="7">
        <v>2273.4470000000001</v>
      </c>
      <c r="J113" s="7">
        <v>18.43</v>
      </c>
      <c r="K113" s="7">
        <v>0</v>
      </c>
      <c r="L113" s="7">
        <v>628276.87399999995</v>
      </c>
      <c r="M113" s="7">
        <v>51594.375</v>
      </c>
      <c r="N113" s="7">
        <v>0</v>
      </c>
      <c r="O113" s="7">
        <v>0</v>
      </c>
      <c r="P113" s="7">
        <v>0.26700000000000002</v>
      </c>
      <c r="Q113" s="7">
        <v>0</v>
      </c>
      <c r="R113" s="7">
        <v>0</v>
      </c>
      <c r="S113" s="7">
        <v>17500.573</v>
      </c>
      <c r="T113" s="7">
        <v>0</v>
      </c>
      <c r="U113" s="7">
        <v>0</v>
      </c>
      <c r="V113" s="7">
        <v>1.6910000000000001</v>
      </c>
      <c r="W113" s="7">
        <v>4312.1790000000001</v>
      </c>
      <c r="X113" s="7">
        <v>75307.827000000005</v>
      </c>
      <c r="Y113" s="7">
        <v>99562.225999999995</v>
      </c>
      <c r="Z113" s="7">
        <v>0</v>
      </c>
      <c r="AA113" s="7">
        <v>37.972999999999999</v>
      </c>
      <c r="AB113" s="7">
        <v>36.265000000000001</v>
      </c>
      <c r="AC113" s="7">
        <v>9100.9629999999997</v>
      </c>
      <c r="AD113" s="7">
        <v>0</v>
      </c>
      <c r="AE113" s="7">
        <v>250018.71900000001</v>
      </c>
      <c r="AF113" s="7">
        <v>126651.019</v>
      </c>
      <c r="AG113" s="7">
        <v>0</v>
      </c>
      <c r="AH113" s="7">
        <v>1061420.43</v>
      </c>
      <c r="AI113" s="7">
        <v>224908.717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1319.7819999999999</v>
      </c>
      <c r="AP113" s="7">
        <v>38386.976999999999</v>
      </c>
      <c r="AQ113" s="7">
        <v>37128.737999999998</v>
      </c>
      <c r="AR113" s="7">
        <v>16716.934000000001</v>
      </c>
      <c r="AS113" s="7">
        <v>156.786</v>
      </c>
      <c r="AT113" s="7">
        <v>0</v>
      </c>
      <c r="AU113" s="7">
        <v>1102.681</v>
      </c>
      <c r="AV113" s="7">
        <v>61033.667999999998</v>
      </c>
      <c r="AW113" s="7">
        <v>58812.682000000001</v>
      </c>
      <c r="AX113" s="7">
        <v>26628.142</v>
      </c>
      <c r="AY113" s="7">
        <v>57.761000000000003</v>
      </c>
      <c r="AZ113" s="7">
        <v>12.497999999999999</v>
      </c>
      <c r="BA113" s="7">
        <v>6020.4309999999996</v>
      </c>
      <c r="BB113" s="7">
        <v>212.505</v>
      </c>
      <c r="BC113" s="7">
        <v>0.13400000000000001</v>
      </c>
      <c r="BD113" s="7">
        <v>29.138999999999999</v>
      </c>
      <c r="BE113" s="7">
        <v>9.2850000000000001</v>
      </c>
      <c r="BF113" s="7">
        <v>8.2710000000000008</v>
      </c>
      <c r="BG113" s="7">
        <v>0</v>
      </c>
      <c r="BH113" s="22"/>
    </row>
    <row r="114" spans="1:60" ht="15.75" x14ac:dyDescent="0.25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22"/>
    </row>
    <row r="115" spans="1:60" ht="15.75" x14ac:dyDescent="0.25">
      <c r="A115" s="5" t="s">
        <v>214</v>
      </c>
      <c r="B115" s="5" t="s">
        <v>215</v>
      </c>
      <c r="C115" s="7">
        <v>6</v>
      </c>
      <c r="D115" s="7">
        <v>6</v>
      </c>
      <c r="E115" s="7">
        <v>0.753</v>
      </c>
      <c r="F115" s="7">
        <v>43.697000000000003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-0.23899999999999999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366.15199999999999</v>
      </c>
      <c r="AF115" s="7">
        <v>24.484999999999999</v>
      </c>
      <c r="AG115" s="7">
        <v>0</v>
      </c>
      <c r="AH115" s="7">
        <v>305.75400000000002</v>
      </c>
      <c r="AI115" s="7">
        <v>12.808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22"/>
    </row>
    <row r="116" spans="1:60" ht="15.75" x14ac:dyDescent="0.25">
      <c r="A116" s="5" t="s">
        <v>216</v>
      </c>
      <c r="B116" s="5" t="s">
        <v>217</v>
      </c>
      <c r="C116" s="7">
        <v>6</v>
      </c>
      <c r="D116" s="7">
        <v>6</v>
      </c>
      <c r="E116" s="7">
        <v>85941.462</v>
      </c>
      <c r="F116" s="7">
        <v>1180.0350000000001</v>
      </c>
      <c r="G116" s="7">
        <v>0</v>
      </c>
      <c r="H116" s="7">
        <v>0</v>
      </c>
      <c r="I116" s="7">
        <v>77.945999999999998</v>
      </c>
      <c r="J116" s="7">
        <v>0</v>
      </c>
      <c r="K116" s="7">
        <v>0</v>
      </c>
      <c r="L116" s="7">
        <v>188505.31400000001</v>
      </c>
      <c r="M116" s="7">
        <v>39417.843999999997</v>
      </c>
      <c r="N116" s="7">
        <v>0</v>
      </c>
      <c r="O116" s="7">
        <v>0</v>
      </c>
      <c r="P116" s="7">
        <v>25.981999999999999</v>
      </c>
      <c r="Q116" s="7">
        <v>0</v>
      </c>
      <c r="R116" s="7">
        <v>25.981999999999999</v>
      </c>
      <c r="S116" s="7">
        <v>0</v>
      </c>
      <c r="T116" s="7">
        <v>0</v>
      </c>
      <c r="U116" s="7">
        <v>0</v>
      </c>
      <c r="V116" s="7">
        <v>0</v>
      </c>
      <c r="W116" s="7">
        <v>259.81900000000002</v>
      </c>
      <c r="X116" s="7">
        <v>0</v>
      </c>
      <c r="Y116" s="7">
        <v>18857.904999999999</v>
      </c>
      <c r="Z116" s="7">
        <v>0</v>
      </c>
      <c r="AA116" s="7">
        <v>2442.3029999999999</v>
      </c>
      <c r="AB116" s="7">
        <v>0</v>
      </c>
      <c r="AC116" s="7">
        <v>207.85599999999999</v>
      </c>
      <c r="AD116" s="7">
        <v>0</v>
      </c>
      <c r="AE116" s="7">
        <v>54606.906000000003</v>
      </c>
      <c r="AF116" s="7">
        <v>114.562</v>
      </c>
      <c r="AG116" s="7">
        <v>0</v>
      </c>
      <c r="AH116" s="7">
        <v>271248.48599999998</v>
      </c>
      <c r="AI116" s="7">
        <v>77.656000000000006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22"/>
    </row>
    <row r="117" spans="1:60" ht="15.75" x14ac:dyDescent="0.25">
      <c r="A117" s="5" t="s">
        <v>218</v>
      </c>
      <c r="B117" s="5" t="s">
        <v>219</v>
      </c>
      <c r="C117" s="7">
        <v>4</v>
      </c>
      <c r="D117" s="7">
        <v>4</v>
      </c>
      <c r="E117" s="7">
        <v>26981.471000000001</v>
      </c>
      <c r="F117" s="7">
        <v>6005.3850000000002</v>
      </c>
      <c r="G117" s="7">
        <v>0</v>
      </c>
      <c r="H117" s="7">
        <v>11710.237999999999</v>
      </c>
      <c r="I117" s="7">
        <v>305.714</v>
      </c>
      <c r="J117" s="7">
        <v>0</v>
      </c>
      <c r="K117" s="7">
        <v>0</v>
      </c>
      <c r="L117" s="7">
        <v>71620.490000000005</v>
      </c>
      <c r="M117" s="7">
        <v>7527.9350000000004</v>
      </c>
      <c r="N117" s="7">
        <v>0</v>
      </c>
      <c r="O117" s="7">
        <v>0</v>
      </c>
      <c r="P117" s="7">
        <v>1.3979999999999999</v>
      </c>
      <c r="Q117" s="7">
        <v>0</v>
      </c>
      <c r="R117" s="7">
        <v>0</v>
      </c>
      <c r="S117" s="7">
        <v>1609.153</v>
      </c>
      <c r="T117" s="7">
        <v>0</v>
      </c>
      <c r="U117" s="7">
        <v>0</v>
      </c>
      <c r="V117" s="7">
        <v>0</v>
      </c>
      <c r="W117" s="7">
        <v>528.83100000000002</v>
      </c>
      <c r="X117" s="7">
        <v>0</v>
      </c>
      <c r="Y117" s="7">
        <v>11148.749</v>
      </c>
      <c r="Z117" s="7">
        <v>0</v>
      </c>
      <c r="AA117" s="7">
        <v>0</v>
      </c>
      <c r="AB117" s="7">
        <v>0</v>
      </c>
      <c r="AC117" s="7">
        <v>1030.1369999999999</v>
      </c>
      <c r="AD117" s="7">
        <v>7433.991</v>
      </c>
      <c r="AE117" s="7">
        <v>27791.271000000001</v>
      </c>
      <c r="AF117" s="7">
        <v>14367.696</v>
      </c>
      <c r="AG117" s="7">
        <v>34452.383999999998</v>
      </c>
      <c r="AH117" s="7">
        <v>117915.3</v>
      </c>
      <c r="AI117" s="7">
        <v>25453.006000000001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105.776</v>
      </c>
      <c r="AP117" s="7">
        <v>0</v>
      </c>
      <c r="AQ117" s="7">
        <v>4317.8909999999996</v>
      </c>
      <c r="AR117" s="7">
        <v>0</v>
      </c>
      <c r="AS117" s="7">
        <v>16.648</v>
      </c>
      <c r="AT117" s="7">
        <v>0</v>
      </c>
      <c r="AU117" s="7">
        <v>2107.1439999999998</v>
      </c>
      <c r="AV117" s="7">
        <v>0</v>
      </c>
      <c r="AW117" s="7">
        <v>0</v>
      </c>
      <c r="AX117" s="7">
        <v>0</v>
      </c>
      <c r="AY117" s="7">
        <v>7.7309999999999999</v>
      </c>
      <c r="AZ117" s="7">
        <v>65.388000000000005</v>
      </c>
      <c r="BA117" s="7">
        <v>0</v>
      </c>
      <c r="BB117" s="7">
        <v>28.353000000000002</v>
      </c>
      <c r="BC117" s="7">
        <v>0</v>
      </c>
      <c r="BD117" s="7">
        <v>152.43</v>
      </c>
      <c r="BE117" s="7">
        <v>1.244</v>
      </c>
      <c r="BF117" s="7">
        <v>43.274999999999999</v>
      </c>
      <c r="BG117" s="7">
        <v>0</v>
      </c>
      <c r="BH117" s="22"/>
    </row>
    <row r="118" spans="1:60" ht="15.75" x14ac:dyDescent="0.25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1048.357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456846.641</v>
      </c>
      <c r="AL118" s="7">
        <v>272752.59899999999</v>
      </c>
      <c r="AM118" s="7">
        <v>0</v>
      </c>
      <c r="AN118" s="7">
        <v>150617.72099999999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1582.07</v>
      </c>
      <c r="AV118" s="7">
        <v>0</v>
      </c>
      <c r="AW118" s="7">
        <v>0</v>
      </c>
      <c r="AX118" s="7">
        <v>370.68900000000002</v>
      </c>
      <c r="AY118" s="7">
        <v>0</v>
      </c>
      <c r="AZ118" s="7">
        <v>0</v>
      </c>
      <c r="BA118" s="7">
        <v>83.81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22"/>
    </row>
    <row r="119" spans="1:60" ht="15.75" x14ac:dyDescent="0.25">
      <c r="A119" s="5" t="s">
        <v>222</v>
      </c>
      <c r="B119" s="5" t="s">
        <v>223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2332.4839999999999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10646.4</v>
      </c>
      <c r="AE119" s="7">
        <v>0</v>
      </c>
      <c r="AF119" s="7">
        <v>0</v>
      </c>
      <c r="AG119" s="7">
        <v>44242.423999999999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41.566000000000003</v>
      </c>
      <c r="AT119" s="7">
        <v>0</v>
      </c>
      <c r="AU119" s="7">
        <v>2068.9720000000002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22"/>
    </row>
    <row r="120" spans="1:60" ht="15.75" x14ac:dyDescent="0.25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22"/>
    </row>
    <row r="121" spans="1:60" ht="15.75" x14ac:dyDescent="0.25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22"/>
    </row>
    <row r="122" spans="1:60" ht="15.75" x14ac:dyDescent="0.25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22"/>
    </row>
    <row r="123" spans="1:60" ht="15.75" x14ac:dyDescent="0.25">
      <c r="A123" s="5" t="s">
        <v>230</v>
      </c>
      <c r="B123" s="5" t="s">
        <v>231</v>
      </c>
      <c r="C123" s="7">
        <v>4</v>
      </c>
      <c r="D123" s="7">
        <v>4</v>
      </c>
      <c r="E123" s="7">
        <v>213412.89300000001</v>
      </c>
      <c r="F123" s="7">
        <v>48398.667999999998</v>
      </c>
      <c r="G123" s="7">
        <v>0</v>
      </c>
      <c r="H123" s="7">
        <v>0</v>
      </c>
      <c r="I123" s="7">
        <v>1964.846</v>
      </c>
      <c r="J123" s="7">
        <v>0</v>
      </c>
      <c r="K123" s="7">
        <v>0</v>
      </c>
      <c r="L123" s="7">
        <v>582817.06700000004</v>
      </c>
      <c r="M123" s="7">
        <v>44797.307999999997</v>
      </c>
      <c r="N123" s="7">
        <v>0</v>
      </c>
      <c r="O123" s="7">
        <v>1462.797</v>
      </c>
      <c r="P123" s="7">
        <v>0</v>
      </c>
      <c r="Q123" s="7">
        <v>744.50599999999997</v>
      </c>
      <c r="R123" s="7">
        <v>0</v>
      </c>
      <c r="S123" s="7">
        <v>16007.538</v>
      </c>
      <c r="T123" s="7">
        <v>0</v>
      </c>
      <c r="U123" s="7">
        <v>0</v>
      </c>
      <c r="V123" s="7">
        <v>0</v>
      </c>
      <c r="W123" s="7">
        <v>3821.8029999999999</v>
      </c>
      <c r="X123" s="7">
        <v>79019.856</v>
      </c>
      <c r="Y123" s="7">
        <v>95907.376999999993</v>
      </c>
      <c r="Z123" s="7">
        <v>42635.232000000004</v>
      </c>
      <c r="AA123" s="7">
        <v>0</v>
      </c>
      <c r="AB123" s="7">
        <v>40390.942999999999</v>
      </c>
      <c r="AC123" s="7">
        <v>8320.1290000000008</v>
      </c>
      <c r="AD123" s="7">
        <v>8416.0519999999997</v>
      </c>
      <c r="AE123" s="7">
        <v>276179.587</v>
      </c>
      <c r="AF123" s="7">
        <v>115472.10400000001</v>
      </c>
      <c r="AG123" s="7">
        <v>36869.716</v>
      </c>
      <c r="AH123" s="7">
        <v>917616.61199999996</v>
      </c>
      <c r="AI123" s="7">
        <v>205563.91099999999</v>
      </c>
      <c r="AJ123" s="7">
        <v>250014.155</v>
      </c>
      <c r="AK123" s="7">
        <v>2574441.0959999999</v>
      </c>
      <c r="AL123" s="7">
        <v>1537026.7309999999</v>
      </c>
      <c r="AM123" s="7">
        <v>0</v>
      </c>
      <c r="AN123" s="7">
        <v>848767.21400000004</v>
      </c>
      <c r="AO123" s="7">
        <v>1278.3630000000001</v>
      </c>
      <c r="AP123" s="7">
        <v>0</v>
      </c>
      <c r="AQ123" s="7">
        <v>34930.998</v>
      </c>
      <c r="AR123" s="7">
        <v>0</v>
      </c>
      <c r="AS123" s="7">
        <v>151.178</v>
      </c>
      <c r="AT123" s="7">
        <v>0</v>
      </c>
      <c r="AU123" s="7">
        <v>1062.83</v>
      </c>
      <c r="AV123" s="7">
        <v>0</v>
      </c>
      <c r="AW123" s="7">
        <v>0</v>
      </c>
      <c r="AX123" s="7">
        <v>27940.674999999999</v>
      </c>
      <c r="AY123" s="7">
        <v>55.261000000000003</v>
      </c>
      <c r="AZ123" s="7">
        <v>0</v>
      </c>
      <c r="BA123" s="7">
        <v>6317.1779999999999</v>
      </c>
      <c r="BB123" s="7">
        <v>203.69499999999999</v>
      </c>
      <c r="BC123" s="7">
        <v>0</v>
      </c>
      <c r="BD123" s="7">
        <v>0</v>
      </c>
      <c r="BE123" s="7">
        <v>8.8989999999999991</v>
      </c>
      <c r="BF123" s="7">
        <v>0</v>
      </c>
      <c r="BG123" s="7">
        <v>115395.37</v>
      </c>
      <c r="BH123" s="22"/>
    </row>
    <row r="124" spans="1:60" ht="15.75" x14ac:dyDescent="0.25">
      <c r="A124" s="5" t="s">
        <v>232</v>
      </c>
      <c r="B124" s="5" t="s">
        <v>233</v>
      </c>
      <c r="C124" s="7">
        <v>4</v>
      </c>
      <c r="D124" s="7">
        <v>3</v>
      </c>
      <c r="E124" s="7">
        <v>6686.0219999999999</v>
      </c>
      <c r="F124" s="7">
        <v>764.46199999999999</v>
      </c>
      <c r="G124" s="7">
        <v>824.50900000000001</v>
      </c>
      <c r="H124" s="7">
        <v>86.721000000000004</v>
      </c>
      <c r="I124" s="7">
        <v>104.67</v>
      </c>
      <c r="J124" s="7">
        <v>634.53099999999995</v>
      </c>
      <c r="K124" s="7">
        <v>0</v>
      </c>
      <c r="L124" s="7">
        <v>5406.174</v>
      </c>
      <c r="M124" s="7">
        <v>1048.7349999999999</v>
      </c>
      <c r="N124" s="7">
        <v>0</v>
      </c>
      <c r="O124" s="7">
        <v>0</v>
      </c>
      <c r="P124" s="7">
        <v>2E-3</v>
      </c>
      <c r="Q124" s="7">
        <v>463.25799999999998</v>
      </c>
      <c r="R124" s="7">
        <v>549.11900000000003</v>
      </c>
      <c r="S124" s="7">
        <v>286.505</v>
      </c>
      <c r="T124" s="7">
        <v>0</v>
      </c>
      <c r="U124" s="7">
        <v>0</v>
      </c>
      <c r="V124" s="7">
        <v>73.988</v>
      </c>
      <c r="W124" s="7">
        <v>21.341999999999999</v>
      </c>
      <c r="X124" s="7">
        <v>0</v>
      </c>
      <c r="Y124" s="7">
        <v>238.19</v>
      </c>
      <c r="Z124" s="7">
        <v>15421.746999999999</v>
      </c>
      <c r="AA124" s="7">
        <v>1219.7760000000001</v>
      </c>
      <c r="AB124" s="7">
        <v>0</v>
      </c>
      <c r="AC124" s="7">
        <v>206.03</v>
      </c>
      <c r="AD124" s="7">
        <v>2217.5169999999998</v>
      </c>
      <c r="AE124" s="7">
        <v>9317.2960000000003</v>
      </c>
      <c r="AF124" s="7">
        <v>10.308</v>
      </c>
      <c r="AG124" s="7">
        <v>6914.1949999999997</v>
      </c>
      <c r="AH124" s="7">
        <v>7438.152</v>
      </c>
      <c r="AI124" s="7">
        <v>0.25600000000000001</v>
      </c>
      <c r="AJ124" s="7">
        <v>74020.240000000005</v>
      </c>
      <c r="AK124" s="7">
        <v>0</v>
      </c>
      <c r="AL124" s="7">
        <v>0</v>
      </c>
      <c r="AM124" s="7">
        <v>0</v>
      </c>
      <c r="AN124" s="7">
        <v>0</v>
      </c>
      <c r="AO124" s="7">
        <v>34.037999999999997</v>
      </c>
      <c r="AP124" s="7">
        <v>0</v>
      </c>
      <c r="AQ124" s="7">
        <v>1.4450000000000001</v>
      </c>
      <c r="AR124" s="7">
        <v>0</v>
      </c>
      <c r="AS124" s="7">
        <v>1.1120000000000001</v>
      </c>
      <c r="AT124" s="7">
        <v>0</v>
      </c>
      <c r="AU124" s="7">
        <v>48.591000000000001</v>
      </c>
      <c r="AV124" s="7">
        <v>0</v>
      </c>
      <c r="AW124" s="7">
        <v>0</v>
      </c>
      <c r="AX124" s="7">
        <v>0</v>
      </c>
      <c r="AY124" s="7">
        <v>7.3490000000000002</v>
      </c>
      <c r="AZ124" s="7">
        <v>0</v>
      </c>
      <c r="BA124" s="7">
        <v>0</v>
      </c>
      <c r="BB124" s="7">
        <v>6.452</v>
      </c>
      <c r="BC124" s="7">
        <v>4.7430000000000003</v>
      </c>
      <c r="BD124" s="7">
        <v>0</v>
      </c>
      <c r="BE124" s="7">
        <v>0.26300000000000001</v>
      </c>
      <c r="BF124" s="7">
        <v>0</v>
      </c>
      <c r="BG124" s="7">
        <v>60866.131999999998</v>
      </c>
      <c r="BH124" s="22"/>
    </row>
    <row r="125" spans="1:60" ht="15.75" x14ac:dyDescent="0.25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-14.186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22"/>
    </row>
    <row r="126" spans="1:60" ht="15.75" x14ac:dyDescent="0.25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22"/>
    </row>
    <row r="127" spans="1:60" ht="15.75" x14ac:dyDescent="0.25">
      <c r="A127" s="5" t="s">
        <v>237</v>
      </c>
      <c r="B127" s="5" t="s">
        <v>238</v>
      </c>
      <c r="C127" s="7">
        <v>4</v>
      </c>
      <c r="D127" s="7">
        <v>4</v>
      </c>
      <c r="E127" s="7">
        <v>16.190999999999999</v>
      </c>
      <c r="F127" s="7">
        <v>1.3660000000000001</v>
      </c>
      <c r="G127" s="7">
        <v>4.93</v>
      </c>
      <c r="H127" s="7">
        <v>0</v>
      </c>
      <c r="I127" s="7">
        <v>0.33400000000000002</v>
      </c>
      <c r="J127" s="7">
        <v>3.38</v>
      </c>
      <c r="K127" s="7">
        <v>0</v>
      </c>
      <c r="L127" s="7">
        <v>4.2770000000000001</v>
      </c>
      <c r="M127" s="7">
        <v>9.9879999999999995</v>
      </c>
      <c r="N127" s="7">
        <v>0</v>
      </c>
      <c r="O127" s="7">
        <v>0</v>
      </c>
      <c r="P127" s="7">
        <v>1E-3</v>
      </c>
      <c r="Q127" s="7">
        <v>0</v>
      </c>
      <c r="R127" s="7">
        <v>102.095</v>
      </c>
      <c r="S127" s="7">
        <v>0.57399999999999995</v>
      </c>
      <c r="T127" s="7">
        <v>0</v>
      </c>
      <c r="U127" s="7">
        <v>0</v>
      </c>
      <c r="V127" s="7">
        <v>0.30399999999999999</v>
      </c>
      <c r="W127" s="7">
        <v>0.96299999999999997</v>
      </c>
      <c r="X127" s="7">
        <v>0</v>
      </c>
      <c r="Y127" s="7">
        <v>1.5289999999999999</v>
      </c>
      <c r="Z127" s="7">
        <v>0</v>
      </c>
      <c r="AA127" s="7">
        <v>3.9380000000000002</v>
      </c>
      <c r="AB127" s="7">
        <v>0</v>
      </c>
      <c r="AC127" s="7">
        <v>0.25600000000000001</v>
      </c>
      <c r="AD127" s="7">
        <v>0</v>
      </c>
      <c r="AE127" s="7">
        <v>3.4609999999999999</v>
      </c>
      <c r="AF127" s="7">
        <v>0</v>
      </c>
      <c r="AG127" s="7">
        <v>0</v>
      </c>
      <c r="AH127" s="7">
        <v>18.065000000000001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0.04</v>
      </c>
      <c r="AP127" s="7">
        <v>0</v>
      </c>
      <c r="AQ127" s="7">
        <v>0</v>
      </c>
      <c r="AR127" s="7">
        <v>0</v>
      </c>
      <c r="AS127" s="7">
        <v>2E-3</v>
      </c>
      <c r="AT127" s="7">
        <v>0</v>
      </c>
      <c r="AU127" s="7">
        <v>0.12</v>
      </c>
      <c r="AV127" s="7">
        <v>0</v>
      </c>
      <c r="AW127" s="7">
        <v>0</v>
      </c>
      <c r="AX127" s="7">
        <v>0</v>
      </c>
      <c r="AY127" s="7">
        <v>8.0000000000000002E-3</v>
      </c>
      <c r="AZ127" s="7">
        <v>0</v>
      </c>
      <c r="BA127" s="7">
        <v>0</v>
      </c>
      <c r="BB127" s="7">
        <v>8.0000000000000002E-3</v>
      </c>
      <c r="BC127" s="7">
        <v>6.0000000000000001E-3</v>
      </c>
      <c r="BD127" s="7">
        <v>0</v>
      </c>
      <c r="BE127" s="7">
        <v>0</v>
      </c>
      <c r="BF127" s="7">
        <v>0</v>
      </c>
      <c r="BG127" s="7">
        <v>0</v>
      </c>
      <c r="BH127" s="22"/>
    </row>
    <row r="128" spans="1:60" ht="15.75" x14ac:dyDescent="0.25">
      <c r="A128" s="5" t="s">
        <v>239</v>
      </c>
      <c r="B128" s="5" t="s">
        <v>240</v>
      </c>
      <c r="C128" s="7">
        <v>4</v>
      </c>
      <c r="D128" s="7">
        <v>3</v>
      </c>
      <c r="E128" s="7">
        <v>5605.7749999999996</v>
      </c>
      <c r="F128" s="7">
        <v>2825.7460000000001</v>
      </c>
      <c r="G128" s="7">
        <v>257.471</v>
      </c>
      <c r="H128" s="7">
        <v>466.56200000000001</v>
      </c>
      <c r="I128" s="7">
        <v>389.137</v>
      </c>
      <c r="J128" s="7">
        <v>2248.3789999999999</v>
      </c>
      <c r="K128" s="7">
        <v>0</v>
      </c>
      <c r="L128" s="7">
        <v>7789.3429999999998</v>
      </c>
      <c r="M128" s="7">
        <v>4793.817</v>
      </c>
      <c r="N128" s="7">
        <v>0</v>
      </c>
      <c r="O128" s="7">
        <v>0</v>
      </c>
      <c r="P128" s="7">
        <v>1.2999999999999999E-2</v>
      </c>
      <c r="Q128" s="7">
        <v>0</v>
      </c>
      <c r="R128" s="7">
        <v>0.10199999999999999</v>
      </c>
      <c r="S128" s="7">
        <v>1047.8019999999999</v>
      </c>
      <c r="T128" s="7">
        <v>0</v>
      </c>
      <c r="U128" s="7">
        <v>0</v>
      </c>
      <c r="V128" s="7">
        <v>206.185</v>
      </c>
      <c r="W128" s="7">
        <v>114.822</v>
      </c>
      <c r="X128" s="7">
        <v>0</v>
      </c>
      <c r="Y128" s="7">
        <v>0.32200000000000001</v>
      </c>
      <c r="Z128" s="7">
        <v>0</v>
      </c>
      <c r="AA128" s="7">
        <v>4629.9639999999999</v>
      </c>
      <c r="AB128" s="7">
        <v>0</v>
      </c>
      <c r="AC128" s="7">
        <v>543.03399999999999</v>
      </c>
      <c r="AD128" s="7">
        <v>0</v>
      </c>
      <c r="AE128" s="7">
        <v>14.003</v>
      </c>
      <c r="AF128" s="7">
        <v>55.459000000000003</v>
      </c>
      <c r="AG128" s="7">
        <v>0</v>
      </c>
      <c r="AH128" s="7">
        <v>20643.637999999999</v>
      </c>
      <c r="AI128" s="7">
        <v>1.3779999999999999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118.679</v>
      </c>
      <c r="AP128" s="7">
        <v>0</v>
      </c>
      <c r="AQ128" s="7">
        <v>7.7770000000000001</v>
      </c>
      <c r="AR128" s="7">
        <v>0</v>
      </c>
      <c r="AS128" s="7">
        <v>4.2270000000000003</v>
      </c>
      <c r="AT128" s="7">
        <v>0</v>
      </c>
      <c r="AU128" s="7">
        <v>0.57499999999999996</v>
      </c>
      <c r="AV128" s="7">
        <v>0</v>
      </c>
      <c r="AW128" s="7">
        <v>0</v>
      </c>
      <c r="AX128" s="7">
        <v>0</v>
      </c>
      <c r="AY128" s="7">
        <v>18.087</v>
      </c>
      <c r="AZ128" s="7">
        <v>0</v>
      </c>
      <c r="BA128" s="7">
        <v>0</v>
      </c>
      <c r="BB128" s="7">
        <v>20.533999999999999</v>
      </c>
      <c r="BC128" s="7">
        <v>16.260999999999999</v>
      </c>
      <c r="BD128" s="7">
        <v>0</v>
      </c>
      <c r="BE128" s="7">
        <v>0.90400000000000003</v>
      </c>
      <c r="BF128" s="7">
        <v>0</v>
      </c>
      <c r="BG128" s="7">
        <v>0</v>
      </c>
      <c r="BH128" s="22"/>
    </row>
    <row r="129" spans="1:60" ht="15.75" x14ac:dyDescent="0.25">
      <c r="A129" s="5" t="s">
        <v>241</v>
      </c>
      <c r="B129" s="5" t="s">
        <v>242</v>
      </c>
      <c r="C129" s="7">
        <v>2</v>
      </c>
      <c r="D129" s="7">
        <v>2</v>
      </c>
      <c r="E129" s="7">
        <v>52771.421999999999</v>
      </c>
      <c r="F129" s="7">
        <v>11664.032999999999</v>
      </c>
      <c r="G129" s="7">
        <v>11448.797</v>
      </c>
      <c r="H129" s="7">
        <v>0</v>
      </c>
      <c r="I129" s="7">
        <v>2283.6509999999998</v>
      </c>
      <c r="J129" s="7">
        <v>8961.9509999999991</v>
      </c>
      <c r="K129" s="7">
        <v>0</v>
      </c>
      <c r="L129" s="7">
        <v>46753.184999999998</v>
      </c>
      <c r="M129" s="7">
        <v>41427.78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3610.2</v>
      </c>
      <c r="T129" s="7">
        <v>0</v>
      </c>
      <c r="U129" s="7">
        <v>0</v>
      </c>
      <c r="V129" s="7">
        <v>1217.9929999999999</v>
      </c>
      <c r="W129" s="7">
        <v>3265.8449999999998</v>
      </c>
      <c r="X129" s="7">
        <v>0</v>
      </c>
      <c r="Y129" s="7">
        <v>9683.0020000000004</v>
      </c>
      <c r="Z129" s="7">
        <v>0</v>
      </c>
      <c r="AA129" s="7">
        <v>11121.782999999999</v>
      </c>
      <c r="AB129" s="7">
        <v>0</v>
      </c>
      <c r="AC129" s="7">
        <v>1599.9459999999999</v>
      </c>
      <c r="AD129" s="7">
        <v>0</v>
      </c>
      <c r="AE129" s="7">
        <v>27859.616000000002</v>
      </c>
      <c r="AF129" s="7">
        <v>0</v>
      </c>
      <c r="AG129" s="7">
        <v>0</v>
      </c>
      <c r="AH129" s="7">
        <v>171188.13500000001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187.626</v>
      </c>
      <c r="AP129" s="7">
        <v>0</v>
      </c>
      <c r="AQ129" s="7">
        <v>0</v>
      </c>
      <c r="AR129" s="7">
        <v>0</v>
      </c>
      <c r="AS129" s="7">
        <v>4.335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38.350999999999999</v>
      </c>
      <c r="AZ129" s="7">
        <v>0</v>
      </c>
      <c r="BA129" s="7">
        <v>0</v>
      </c>
      <c r="BB129" s="7">
        <v>34.533000000000001</v>
      </c>
      <c r="BC129" s="7">
        <v>25.099</v>
      </c>
      <c r="BD129" s="7">
        <v>0</v>
      </c>
      <c r="BE129" s="7">
        <v>1.492</v>
      </c>
      <c r="BF129" s="7">
        <v>0</v>
      </c>
      <c r="BG129" s="7">
        <v>0</v>
      </c>
      <c r="BH129" s="22"/>
    </row>
    <row r="130" spans="1:60" ht="15.75" x14ac:dyDescent="0.25">
      <c r="A130" s="5" t="s">
        <v>243</v>
      </c>
      <c r="B130" s="5" t="s">
        <v>244</v>
      </c>
      <c r="C130" s="7">
        <v>4</v>
      </c>
      <c r="D130" s="7">
        <v>4</v>
      </c>
      <c r="E130" s="7">
        <v>35781.523000000001</v>
      </c>
      <c r="F130" s="7">
        <v>8717.7150000000001</v>
      </c>
      <c r="G130" s="7">
        <v>0</v>
      </c>
      <c r="H130" s="7">
        <v>0</v>
      </c>
      <c r="I130" s="7">
        <v>353.82499999999999</v>
      </c>
      <c r="J130" s="7">
        <v>0</v>
      </c>
      <c r="K130" s="7">
        <v>0</v>
      </c>
      <c r="L130" s="7">
        <v>101721.632</v>
      </c>
      <c r="M130" s="7">
        <v>8066.8590000000004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2883.4749999999999</v>
      </c>
      <c r="T130" s="7">
        <v>0</v>
      </c>
      <c r="U130" s="7">
        <v>0</v>
      </c>
      <c r="V130" s="7">
        <v>0</v>
      </c>
      <c r="W130" s="7">
        <v>688.27599999999995</v>
      </c>
      <c r="X130" s="7">
        <v>0</v>
      </c>
      <c r="Y130" s="7">
        <v>17283.239000000001</v>
      </c>
      <c r="Z130" s="7">
        <v>0</v>
      </c>
      <c r="AA130" s="7">
        <v>0</v>
      </c>
      <c r="AB130" s="7">
        <v>6.423</v>
      </c>
      <c r="AC130" s="7">
        <v>1498.739</v>
      </c>
      <c r="AD130" s="7">
        <v>0</v>
      </c>
      <c r="AE130" s="7">
        <v>43408.239000000001</v>
      </c>
      <c r="AF130" s="7">
        <v>20800.46</v>
      </c>
      <c r="AG130" s="7">
        <v>0</v>
      </c>
      <c r="AH130" s="7">
        <v>165224.299</v>
      </c>
      <c r="AI130" s="7">
        <v>37029.748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230.41399999999999</v>
      </c>
      <c r="AP130" s="7">
        <v>0</v>
      </c>
      <c r="AQ130" s="7">
        <v>6293.799</v>
      </c>
      <c r="AR130" s="7">
        <v>0</v>
      </c>
      <c r="AS130" s="7">
        <v>27.274999999999999</v>
      </c>
      <c r="AT130" s="7">
        <v>0</v>
      </c>
      <c r="AU130" s="7">
        <v>191.14</v>
      </c>
      <c r="AV130" s="7">
        <v>0</v>
      </c>
      <c r="AW130" s="7">
        <v>0</v>
      </c>
      <c r="AX130" s="7">
        <v>0</v>
      </c>
      <c r="AY130" s="7">
        <v>9.9860000000000007</v>
      </c>
      <c r="AZ130" s="7">
        <v>0</v>
      </c>
      <c r="BA130" s="7">
        <v>0</v>
      </c>
      <c r="BB130" s="7">
        <v>36.674999999999997</v>
      </c>
      <c r="BC130" s="7">
        <v>0</v>
      </c>
      <c r="BD130" s="7">
        <v>0</v>
      </c>
      <c r="BE130" s="7">
        <v>1.5740000000000001</v>
      </c>
      <c r="BF130" s="7">
        <v>0</v>
      </c>
      <c r="BG130" s="7">
        <v>0</v>
      </c>
      <c r="BH130" s="22"/>
    </row>
    <row r="131" spans="1:60" ht="15.75" x14ac:dyDescent="0.25">
      <c r="A131" s="5" t="s">
        <v>245</v>
      </c>
      <c r="B131" s="5" t="s">
        <v>246</v>
      </c>
      <c r="C131" s="7">
        <v>4</v>
      </c>
      <c r="D131" s="7">
        <v>6</v>
      </c>
      <c r="E131" s="7">
        <v>3156.3820000000001</v>
      </c>
      <c r="F131" s="7">
        <v>889.94899999999996</v>
      </c>
      <c r="G131" s="7">
        <v>21.225999999999999</v>
      </c>
      <c r="H131" s="7">
        <v>38.64</v>
      </c>
      <c r="I131" s="7">
        <v>58.848999999999997</v>
      </c>
      <c r="J131" s="7">
        <v>186.10400000000001</v>
      </c>
      <c r="K131" s="7">
        <v>0</v>
      </c>
      <c r="L131" s="7">
        <v>8298.902</v>
      </c>
      <c r="M131" s="7">
        <v>1003.855</v>
      </c>
      <c r="N131" s="7">
        <v>0</v>
      </c>
      <c r="O131" s="7">
        <v>0</v>
      </c>
      <c r="P131" s="7">
        <v>1E-3</v>
      </c>
      <c r="Q131" s="7">
        <v>0</v>
      </c>
      <c r="R131" s="7">
        <v>0</v>
      </c>
      <c r="S131" s="7">
        <v>303.73899999999998</v>
      </c>
      <c r="T131" s="7">
        <v>0</v>
      </c>
      <c r="U131" s="7">
        <v>0</v>
      </c>
      <c r="V131" s="7">
        <v>17.076000000000001</v>
      </c>
      <c r="W131" s="7">
        <v>61.298999999999999</v>
      </c>
      <c r="X131" s="7">
        <v>0</v>
      </c>
      <c r="Y131" s="7">
        <v>1300.4639999999999</v>
      </c>
      <c r="Z131" s="7">
        <v>0</v>
      </c>
      <c r="AA131" s="7">
        <v>383.44200000000001</v>
      </c>
      <c r="AB131" s="7">
        <v>0.48399999999999999</v>
      </c>
      <c r="AC131" s="7">
        <v>157.745</v>
      </c>
      <c r="AD131" s="7">
        <v>0</v>
      </c>
      <c r="AE131" s="7">
        <v>3266.9850000000001</v>
      </c>
      <c r="AF131" s="7">
        <v>1569.6859999999999</v>
      </c>
      <c r="AG131" s="7">
        <v>0</v>
      </c>
      <c r="AH131" s="7">
        <v>14141.305</v>
      </c>
      <c r="AI131" s="7">
        <v>2786.35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27.161999999999999</v>
      </c>
      <c r="AP131" s="7">
        <v>0</v>
      </c>
      <c r="AQ131" s="7">
        <v>474.20800000000003</v>
      </c>
      <c r="AR131" s="7">
        <v>0</v>
      </c>
      <c r="AS131" s="7">
        <v>2.4</v>
      </c>
      <c r="AT131" s="7">
        <v>0</v>
      </c>
      <c r="AU131" s="7">
        <v>14.459</v>
      </c>
      <c r="AV131" s="7">
        <v>0</v>
      </c>
      <c r="AW131" s="7">
        <v>0</v>
      </c>
      <c r="AX131" s="7">
        <v>0</v>
      </c>
      <c r="AY131" s="7">
        <v>2.2469999999999999</v>
      </c>
      <c r="AZ131" s="7">
        <v>0</v>
      </c>
      <c r="BA131" s="7">
        <v>0</v>
      </c>
      <c r="BB131" s="7">
        <v>4.4630000000000001</v>
      </c>
      <c r="BC131" s="7">
        <v>1.347</v>
      </c>
      <c r="BD131" s="7">
        <v>0</v>
      </c>
      <c r="BE131" s="7">
        <v>0.19600000000000001</v>
      </c>
      <c r="BF131" s="7">
        <v>0</v>
      </c>
      <c r="BG131" s="7">
        <v>0</v>
      </c>
      <c r="BH131" s="22"/>
    </row>
    <row r="132" spans="1:60" ht="15.75" x14ac:dyDescent="0.25">
      <c r="A132" s="5" t="s">
        <v>247</v>
      </c>
      <c r="B132" s="5" t="s">
        <v>248</v>
      </c>
      <c r="C132" s="7">
        <v>6</v>
      </c>
      <c r="D132" s="7">
        <v>6</v>
      </c>
      <c r="E132" s="7">
        <v>43481.237999999998</v>
      </c>
      <c r="F132" s="7">
        <v>439.13799999999998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75858.17</v>
      </c>
      <c r="M132" s="7">
        <v>11385.585999999999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4077.739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22884.654999999999</v>
      </c>
      <c r="AF132" s="7">
        <v>92.247</v>
      </c>
      <c r="AG132" s="7">
        <v>0</v>
      </c>
      <c r="AH132" s="7">
        <v>113622.147</v>
      </c>
      <c r="AI132" s="7">
        <v>58.866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22"/>
    </row>
    <row r="133" spans="1:60" ht="15.75" x14ac:dyDescent="0.25">
      <c r="A133" s="5" t="s">
        <v>249</v>
      </c>
      <c r="B133" s="5" t="s">
        <v>250</v>
      </c>
      <c r="C133" s="7">
        <v>6</v>
      </c>
      <c r="D133" s="7">
        <v>6</v>
      </c>
      <c r="E133" s="7">
        <v>65254.042000000001</v>
      </c>
      <c r="F133" s="7">
        <v>5262.7280000000001</v>
      </c>
      <c r="G133" s="7">
        <v>7531.0410000000002</v>
      </c>
      <c r="H133" s="7">
        <v>0</v>
      </c>
      <c r="I133" s="7">
        <v>1322.961</v>
      </c>
      <c r="J133" s="7">
        <v>4587.1059999999998</v>
      </c>
      <c r="K133" s="7">
        <v>0</v>
      </c>
      <c r="L133" s="7">
        <v>62997.612000000001</v>
      </c>
      <c r="M133" s="7">
        <v>21237.965</v>
      </c>
      <c r="N133" s="7">
        <v>0</v>
      </c>
      <c r="O133" s="7">
        <v>0</v>
      </c>
      <c r="P133" s="7">
        <v>246.99600000000001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649.63699999999994</v>
      </c>
      <c r="W133" s="7">
        <v>2001.9680000000001</v>
      </c>
      <c r="X133" s="7">
        <v>0</v>
      </c>
      <c r="Y133" s="7">
        <v>15823.700999999999</v>
      </c>
      <c r="Z133" s="7">
        <v>0</v>
      </c>
      <c r="AA133" s="7">
        <v>5564.143</v>
      </c>
      <c r="AB133" s="7">
        <v>0</v>
      </c>
      <c r="AC133" s="7">
        <v>841.48500000000001</v>
      </c>
      <c r="AD133" s="7">
        <v>0</v>
      </c>
      <c r="AE133" s="7">
        <v>51545.758999999998</v>
      </c>
      <c r="AF133" s="7">
        <v>0</v>
      </c>
      <c r="AG133" s="7">
        <v>0</v>
      </c>
      <c r="AH133" s="7">
        <v>128382.12699999999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22"/>
    </row>
    <row r="134" spans="1:60" ht="15.75" x14ac:dyDescent="0.25">
      <c r="A134" s="5" t="s">
        <v>251</v>
      </c>
      <c r="B134" s="5" t="s">
        <v>252</v>
      </c>
      <c r="C134" s="7">
        <v>6</v>
      </c>
      <c r="D134" s="7">
        <v>6</v>
      </c>
      <c r="E134" s="7">
        <v>11737.671</v>
      </c>
      <c r="F134" s="7">
        <v>-2E-3</v>
      </c>
      <c r="G134" s="7">
        <v>-4.0000000000000001E-3</v>
      </c>
      <c r="H134" s="7">
        <v>0</v>
      </c>
      <c r="I134" s="7">
        <v>0</v>
      </c>
      <c r="J134" s="7">
        <v>-3.0000000000000001E-3</v>
      </c>
      <c r="K134" s="7">
        <v>0</v>
      </c>
      <c r="L134" s="7">
        <v>61049.915999999997</v>
      </c>
      <c r="M134" s="7">
        <v>1993.1210000000001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-1E-3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-2E-3</v>
      </c>
      <c r="Z134" s="7">
        <v>0</v>
      </c>
      <c r="AA134" s="7">
        <v>231.065</v>
      </c>
      <c r="AB134" s="7">
        <v>0</v>
      </c>
      <c r="AC134" s="7">
        <v>0</v>
      </c>
      <c r="AD134" s="7">
        <v>0</v>
      </c>
      <c r="AE134" s="7">
        <v>14388.686</v>
      </c>
      <c r="AF134" s="7">
        <v>0</v>
      </c>
      <c r="AG134" s="7">
        <v>0</v>
      </c>
      <c r="AH134" s="7">
        <v>83438.274999999994</v>
      </c>
      <c r="AI134" s="7">
        <v>15465.763999999999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22"/>
    </row>
    <row r="135" spans="1:60" ht="15.75" x14ac:dyDescent="0.25">
      <c r="A135" s="5" t="s">
        <v>253</v>
      </c>
      <c r="B135" s="5" t="s">
        <v>254</v>
      </c>
      <c r="C135" s="7">
        <v>6</v>
      </c>
      <c r="D135" s="7">
        <v>6</v>
      </c>
      <c r="E135" s="7">
        <v>182714.83799999999</v>
      </c>
      <c r="F135" s="7">
        <v>13625.755999999999</v>
      </c>
      <c r="G135" s="7">
        <v>7852.75</v>
      </c>
      <c r="H135" s="7">
        <v>6274.2510000000002</v>
      </c>
      <c r="I135" s="7">
        <v>1149.492</v>
      </c>
      <c r="J135" s="7">
        <v>5475.86</v>
      </c>
      <c r="K135" s="7">
        <v>0</v>
      </c>
      <c r="L135" s="7">
        <v>306074.39</v>
      </c>
      <c r="M135" s="7">
        <v>63518.813000000002</v>
      </c>
      <c r="N135" s="7">
        <v>0</v>
      </c>
      <c r="O135" s="7">
        <v>0</v>
      </c>
      <c r="P135" s="7">
        <v>196.297</v>
      </c>
      <c r="Q135" s="7">
        <v>0</v>
      </c>
      <c r="R135" s="7">
        <v>103.999</v>
      </c>
      <c r="S135" s="7">
        <v>3206.65</v>
      </c>
      <c r="T135" s="7">
        <v>0</v>
      </c>
      <c r="U135" s="7">
        <v>0</v>
      </c>
      <c r="V135" s="7">
        <v>790.51700000000005</v>
      </c>
      <c r="W135" s="7">
        <v>2471.8870000000002</v>
      </c>
      <c r="X135" s="7">
        <v>0</v>
      </c>
      <c r="Y135" s="7">
        <v>26159.84</v>
      </c>
      <c r="Z135" s="7">
        <v>0</v>
      </c>
      <c r="AA135" s="7">
        <v>7385.69</v>
      </c>
      <c r="AB135" s="7">
        <v>0</v>
      </c>
      <c r="AC135" s="7">
        <v>1182.5740000000001</v>
      </c>
      <c r="AD135" s="7">
        <v>0</v>
      </c>
      <c r="AE135" s="7">
        <v>98403.167000000001</v>
      </c>
      <c r="AF135" s="7">
        <v>236.083</v>
      </c>
      <c r="AG135" s="7">
        <v>0</v>
      </c>
      <c r="AH135" s="7">
        <v>430224.342</v>
      </c>
      <c r="AI135" s="7">
        <v>440.20100000000002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164.59800000000001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22"/>
    </row>
    <row r="136" spans="1:60" ht="15.75" x14ac:dyDescent="0.25">
      <c r="A136" s="5" t="s">
        <v>255</v>
      </c>
      <c r="B136" s="5" t="s">
        <v>256</v>
      </c>
      <c r="C136" s="7">
        <v>6</v>
      </c>
      <c r="D136" s="7">
        <v>6</v>
      </c>
      <c r="E136" s="7">
        <v>4562.6469999999999</v>
      </c>
      <c r="F136" s="7">
        <v>32.957999999999998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7995.3109999999997</v>
      </c>
      <c r="M136" s="7">
        <v>471.06099999999998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278.46199999999999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1756.2729999999999</v>
      </c>
      <c r="AF136" s="7">
        <v>154.63999999999999</v>
      </c>
      <c r="AG136" s="7">
        <v>0</v>
      </c>
      <c r="AH136" s="7">
        <v>9550.0730000000003</v>
      </c>
      <c r="AI136" s="7">
        <v>510.51499999999999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22"/>
    </row>
    <row r="137" spans="1:60" ht="15.75" x14ac:dyDescent="0.25">
      <c r="A137" s="5" t="s">
        <v>257</v>
      </c>
      <c r="B137" s="5" t="s">
        <v>258</v>
      </c>
      <c r="C137" s="7">
        <v>6</v>
      </c>
      <c r="D137" s="7">
        <v>6</v>
      </c>
      <c r="E137" s="7">
        <v>45631.1</v>
      </c>
      <c r="F137" s="7">
        <v>1862.184</v>
      </c>
      <c r="G137" s="7">
        <v>0</v>
      </c>
      <c r="H137" s="7">
        <v>0</v>
      </c>
      <c r="I137" s="7">
        <v>1.161</v>
      </c>
      <c r="J137" s="7">
        <v>0</v>
      </c>
      <c r="K137" s="7">
        <v>0</v>
      </c>
      <c r="L137" s="7">
        <v>89909.186000000002</v>
      </c>
      <c r="M137" s="7">
        <v>24463.947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1799.44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25593.406999999999</v>
      </c>
      <c r="AF137" s="7">
        <v>1655.2950000000001</v>
      </c>
      <c r="AG137" s="7">
        <v>0</v>
      </c>
      <c r="AH137" s="7">
        <v>141269.1</v>
      </c>
      <c r="AI137" s="7">
        <v>2195.355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22"/>
    </row>
    <row r="138" spans="1:60" ht="15.75" x14ac:dyDescent="0.25">
      <c r="A138" s="5" t="s">
        <v>259</v>
      </c>
      <c r="B138" s="5" t="s">
        <v>260</v>
      </c>
      <c r="C138" s="7">
        <v>6</v>
      </c>
      <c r="D138" s="7">
        <v>6</v>
      </c>
      <c r="E138" s="7">
        <v>20504.03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40107.995999999999</v>
      </c>
      <c r="M138" s="7">
        <v>3447.6689999999999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8115.8969999999999</v>
      </c>
      <c r="AF138" s="7">
        <v>0</v>
      </c>
      <c r="AG138" s="7">
        <v>0</v>
      </c>
      <c r="AH138" s="7">
        <v>72682.796000000002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22"/>
    </row>
    <row r="139" spans="1:60" ht="15.75" x14ac:dyDescent="0.25">
      <c r="A139" s="5" t="s">
        <v>261</v>
      </c>
      <c r="B139" s="5" t="s">
        <v>262</v>
      </c>
      <c r="C139" s="7">
        <v>6</v>
      </c>
      <c r="D139" s="7">
        <v>6</v>
      </c>
      <c r="E139" s="7">
        <v>975334.03899999999</v>
      </c>
      <c r="F139" s="7">
        <v>18994.791000000001</v>
      </c>
      <c r="G139" s="7">
        <v>22735.920999999998</v>
      </c>
      <c r="H139" s="7">
        <v>1890.415</v>
      </c>
      <c r="I139" s="7">
        <v>4418.8919999999998</v>
      </c>
      <c r="J139" s="7">
        <v>13556.03</v>
      </c>
      <c r="K139" s="7">
        <v>0</v>
      </c>
      <c r="L139" s="7">
        <v>993982.52599999995</v>
      </c>
      <c r="M139" s="7">
        <v>311121.109</v>
      </c>
      <c r="N139" s="7">
        <v>0</v>
      </c>
      <c r="O139" s="7">
        <v>0</v>
      </c>
      <c r="P139" s="7">
        <v>754.3</v>
      </c>
      <c r="Q139" s="7">
        <v>0</v>
      </c>
      <c r="R139" s="7">
        <v>0.59199999999999997</v>
      </c>
      <c r="S139" s="7">
        <v>0</v>
      </c>
      <c r="T139" s="7">
        <v>0</v>
      </c>
      <c r="U139" s="7">
        <v>0</v>
      </c>
      <c r="V139" s="7">
        <v>1425.376</v>
      </c>
      <c r="W139" s="7">
        <v>4503.33</v>
      </c>
      <c r="X139" s="7">
        <v>0</v>
      </c>
      <c r="Y139" s="7">
        <v>119459.10400000001</v>
      </c>
      <c r="Z139" s="7">
        <v>0</v>
      </c>
      <c r="AA139" s="7">
        <v>14898.636</v>
      </c>
      <c r="AB139" s="7">
        <v>0</v>
      </c>
      <c r="AC139" s="7">
        <v>1854.2470000000001</v>
      </c>
      <c r="AD139" s="7">
        <v>0</v>
      </c>
      <c r="AE139" s="7">
        <v>507694.70400000003</v>
      </c>
      <c r="AF139" s="7">
        <v>6687.2870000000003</v>
      </c>
      <c r="AG139" s="7">
        <v>0</v>
      </c>
      <c r="AH139" s="7">
        <v>2055691.3430000001</v>
      </c>
      <c r="AI139" s="7">
        <v>15749.492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150.34100000000001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22"/>
    </row>
    <row r="140" spans="1:60" ht="15.75" x14ac:dyDescent="0.25">
      <c r="A140" s="5" t="s">
        <v>263</v>
      </c>
      <c r="B140" s="5" t="s">
        <v>264</v>
      </c>
      <c r="C140" s="7">
        <v>4</v>
      </c>
      <c r="D140" s="7">
        <v>4</v>
      </c>
      <c r="E140" s="7">
        <v>285.24900000000002</v>
      </c>
      <c r="F140" s="7">
        <v>60.514000000000003</v>
      </c>
      <c r="G140" s="7">
        <v>7.407</v>
      </c>
      <c r="H140" s="7">
        <v>0</v>
      </c>
      <c r="I140" s="7">
        <v>3.6429999999999998</v>
      </c>
      <c r="J140" s="7">
        <v>4.7949999999999999</v>
      </c>
      <c r="K140" s="7">
        <v>0</v>
      </c>
      <c r="L140" s="7">
        <v>686.01900000000001</v>
      </c>
      <c r="M140" s="7">
        <v>90.778999999999996</v>
      </c>
      <c r="N140" s="7">
        <v>0</v>
      </c>
      <c r="O140" s="7">
        <v>0</v>
      </c>
      <c r="P140" s="7">
        <v>1.4E-2</v>
      </c>
      <c r="Q140" s="7">
        <v>0</v>
      </c>
      <c r="R140" s="7">
        <v>0</v>
      </c>
      <c r="S140" s="7">
        <v>16.795000000000002</v>
      </c>
      <c r="T140" s="7">
        <v>0</v>
      </c>
      <c r="U140" s="7">
        <v>0</v>
      </c>
      <c r="V140" s="7">
        <v>0.76600000000000001</v>
      </c>
      <c r="W140" s="7">
        <v>6.5010000000000003</v>
      </c>
      <c r="X140" s="7">
        <v>0</v>
      </c>
      <c r="Y140" s="7">
        <v>108.24299999999999</v>
      </c>
      <c r="Z140" s="7">
        <v>0</v>
      </c>
      <c r="AA140" s="7">
        <v>5.6520000000000001</v>
      </c>
      <c r="AB140" s="7">
        <v>0</v>
      </c>
      <c r="AC140" s="7">
        <v>10.396000000000001</v>
      </c>
      <c r="AD140" s="7">
        <v>0</v>
      </c>
      <c r="AE140" s="7">
        <v>265.10500000000002</v>
      </c>
      <c r="AF140" s="7">
        <v>135.03399999999999</v>
      </c>
      <c r="AG140" s="7">
        <v>0</v>
      </c>
      <c r="AH140" s="7">
        <v>1139.26</v>
      </c>
      <c r="AI140" s="7">
        <v>239.79300000000001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1.06</v>
      </c>
      <c r="AP140" s="7">
        <v>0</v>
      </c>
      <c r="AQ140" s="7">
        <v>40.479999999999997</v>
      </c>
      <c r="AR140" s="7">
        <v>0</v>
      </c>
      <c r="AS140" s="7">
        <v>0.17299999999999999</v>
      </c>
      <c r="AT140" s="7">
        <v>0</v>
      </c>
      <c r="AU140" s="7">
        <v>1.6279999999999999</v>
      </c>
      <c r="AV140" s="7">
        <v>0</v>
      </c>
      <c r="AW140" s="7">
        <v>0</v>
      </c>
      <c r="AX140" s="7">
        <v>0</v>
      </c>
      <c r="AY140" s="7">
        <v>8.8999999999999996E-2</v>
      </c>
      <c r="AZ140" s="7">
        <v>0.61299999999999999</v>
      </c>
      <c r="BA140" s="7">
        <v>0</v>
      </c>
      <c r="BB140" s="7">
        <v>0.28199999999999997</v>
      </c>
      <c r="BC140" s="7">
        <v>1.2999999999999999E-2</v>
      </c>
      <c r="BD140" s="7">
        <v>1.429</v>
      </c>
      <c r="BE140" s="7">
        <v>1.2E-2</v>
      </c>
      <c r="BF140" s="7">
        <v>0.40600000000000003</v>
      </c>
      <c r="BG140" s="7">
        <v>0</v>
      </c>
      <c r="BH140" s="22"/>
    </row>
    <row r="141" spans="1:60" ht="15.75" x14ac:dyDescent="0.25">
      <c r="A141" s="5" t="s">
        <v>265</v>
      </c>
      <c r="B141" s="5" t="s">
        <v>266</v>
      </c>
      <c r="C141" s="7">
        <v>6</v>
      </c>
      <c r="D141" s="7">
        <v>6</v>
      </c>
      <c r="E141" s="7">
        <v>3047.0219999999999</v>
      </c>
      <c r="F141" s="7">
        <v>7.266</v>
      </c>
      <c r="G141" s="7">
        <v>0</v>
      </c>
      <c r="H141" s="7">
        <v>0</v>
      </c>
      <c r="I141" s="7">
        <v>0.37</v>
      </c>
      <c r="J141" s="7">
        <v>0</v>
      </c>
      <c r="K141" s="7">
        <v>0</v>
      </c>
      <c r="L141" s="7">
        <v>5779.0929999999998</v>
      </c>
      <c r="M141" s="7">
        <v>977.87</v>
      </c>
      <c r="N141" s="7">
        <v>0</v>
      </c>
      <c r="O141" s="7">
        <v>0</v>
      </c>
      <c r="P141" s="7">
        <v>2E-3</v>
      </c>
      <c r="Q141" s="7">
        <v>0</v>
      </c>
      <c r="R141" s="7">
        <v>0</v>
      </c>
      <c r="S141" s="7">
        <v>1.9470000000000001</v>
      </c>
      <c r="T141" s="7">
        <v>0</v>
      </c>
      <c r="U141" s="7">
        <v>0</v>
      </c>
      <c r="V141" s="7">
        <v>0</v>
      </c>
      <c r="W141" s="7">
        <v>0.64</v>
      </c>
      <c r="X141" s="7">
        <v>0</v>
      </c>
      <c r="Y141" s="7">
        <v>852.70600000000002</v>
      </c>
      <c r="Z141" s="7">
        <v>0</v>
      </c>
      <c r="AA141" s="7">
        <v>0</v>
      </c>
      <c r="AB141" s="7">
        <v>0</v>
      </c>
      <c r="AC141" s="7">
        <v>1.246</v>
      </c>
      <c r="AD141" s="7">
        <v>0</v>
      </c>
      <c r="AE141" s="7">
        <v>3324.7179999999998</v>
      </c>
      <c r="AF141" s="7">
        <v>17.382999999999999</v>
      </c>
      <c r="AG141" s="7">
        <v>0</v>
      </c>
      <c r="AH141" s="7">
        <v>13171.216</v>
      </c>
      <c r="AI141" s="7">
        <v>30.795000000000002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0.128</v>
      </c>
      <c r="AP141" s="7">
        <v>0</v>
      </c>
      <c r="AQ141" s="7">
        <v>5.2240000000000002</v>
      </c>
      <c r="AR141" s="7">
        <v>0</v>
      </c>
      <c r="AS141" s="7">
        <v>0.02</v>
      </c>
      <c r="AT141" s="7">
        <v>0</v>
      </c>
      <c r="AU141" s="7">
        <v>0.14599999999999999</v>
      </c>
      <c r="AV141" s="7">
        <v>0</v>
      </c>
      <c r="AW141" s="7">
        <v>0</v>
      </c>
      <c r="AX141" s="7">
        <v>0</v>
      </c>
      <c r="AY141" s="7">
        <v>8.9999999999999993E-3</v>
      </c>
      <c r="AZ141" s="7">
        <v>7.9000000000000001E-2</v>
      </c>
      <c r="BA141" s="7">
        <v>0</v>
      </c>
      <c r="BB141" s="7">
        <v>3.4000000000000002E-2</v>
      </c>
      <c r="BC141" s="7">
        <v>0</v>
      </c>
      <c r="BD141" s="7">
        <v>0.184</v>
      </c>
      <c r="BE141" s="7">
        <v>2E-3</v>
      </c>
      <c r="BF141" s="7">
        <v>5.1999999999999998E-2</v>
      </c>
      <c r="BG141" s="7">
        <v>0</v>
      </c>
      <c r="BH141" s="22"/>
    </row>
    <row r="142" spans="1:60" ht="15.75" x14ac:dyDescent="0.25">
      <c r="A142" s="5" t="s">
        <v>267</v>
      </c>
      <c r="B142" s="5" t="s">
        <v>268</v>
      </c>
      <c r="C142" s="7">
        <v>4</v>
      </c>
      <c r="D142" s="7">
        <v>4</v>
      </c>
      <c r="E142" s="7">
        <v>262.553</v>
      </c>
      <c r="F142" s="7">
        <v>63.348999999999997</v>
      </c>
      <c r="G142" s="7">
        <v>0</v>
      </c>
      <c r="H142" s="7">
        <v>0</v>
      </c>
      <c r="I142" s="7">
        <v>2.6379999999999999</v>
      </c>
      <c r="J142" s="7">
        <v>0</v>
      </c>
      <c r="K142" s="7">
        <v>0</v>
      </c>
      <c r="L142" s="7">
        <v>740.86400000000003</v>
      </c>
      <c r="M142" s="7">
        <v>60.765000000000001</v>
      </c>
      <c r="N142" s="7">
        <v>0</v>
      </c>
      <c r="O142" s="7">
        <v>0</v>
      </c>
      <c r="P142" s="7">
        <v>2E-3</v>
      </c>
      <c r="Q142" s="7">
        <v>0</v>
      </c>
      <c r="R142" s="7">
        <v>0</v>
      </c>
      <c r="S142" s="7">
        <v>20.542999999999999</v>
      </c>
      <c r="T142" s="7">
        <v>0</v>
      </c>
      <c r="U142" s="7">
        <v>0</v>
      </c>
      <c r="V142" s="7">
        <v>0</v>
      </c>
      <c r="W142" s="7">
        <v>5.0609999999999999</v>
      </c>
      <c r="X142" s="7">
        <v>0</v>
      </c>
      <c r="Y142" s="7">
        <v>124.767</v>
      </c>
      <c r="Z142" s="7">
        <v>0</v>
      </c>
      <c r="AA142" s="7">
        <v>0</v>
      </c>
      <c r="AB142" s="7">
        <v>4.2000000000000003E-2</v>
      </c>
      <c r="AC142" s="7">
        <v>10.888999999999999</v>
      </c>
      <c r="AD142" s="7">
        <v>0</v>
      </c>
      <c r="AE142" s="7">
        <v>313.13499999999999</v>
      </c>
      <c r="AF142" s="7">
        <v>151.19300000000001</v>
      </c>
      <c r="AG142" s="7">
        <v>0</v>
      </c>
      <c r="AH142" s="7">
        <v>1205.0930000000001</v>
      </c>
      <c r="AI142" s="7">
        <v>269.02300000000002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1.6160000000000001</v>
      </c>
      <c r="AP142" s="7">
        <v>0</v>
      </c>
      <c r="AQ142" s="7">
        <v>45.716000000000001</v>
      </c>
      <c r="AR142" s="7">
        <v>0</v>
      </c>
      <c r="AS142" s="7">
        <v>0.19600000000000001</v>
      </c>
      <c r="AT142" s="7">
        <v>0</v>
      </c>
      <c r="AU142" s="7">
        <v>1.379</v>
      </c>
      <c r="AV142" s="7">
        <v>0</v>
      </c>
      <c r="AW142" s="7">
        <v>0</v>
      </c>
      <c r="AX142" s="7">
        <v>0</v>
      </c>
      <c r="AY142" s="7">
        <v>7.2999999999999995E-2</v>
      </c>
      <c r="AZ142" s="7">
        <v>7.0999999999999994E-2</v>
      </c>
      <c r="BA142" s="7">
        <v>0</v>
      </c>
      <c r="BB142" s="7">
        <v>0.27</v>
      </c>
      <c r="BC142" s="7">
        <v>0</v>
      </c>
      <c r="BD142" s="7">
        <v>0.16600000000000001</v>
      </c>
      <c r="BE142" s="7">
        <v>1.2E-2</v>
      </c>
      <c r="BF142" s="7">
        <v>4.7E-2</v>
      </c>
      <c r="BG142" s="7">
        <v>0</v>
      </c>
      <c r="BH142" s="22"/>
    </row>
    <row r="143" spans="1:60" ht="15.75" x14ac:dyDescent="0.25">
      <c r="A143" s="5" t="s">
        <v>269</v>
      </c>
      <c r="B143" s="5" t="s">
        <v>270</v>
      </c>
      <c r="C143" s="7">
        <v>6</v>
      </c>
      <c r="D143" s="7">
        <v>6</v>
      </c>
      <c r="E143" s="7">
        <v>2212.8209999999999</v>
      </c>
      <c r="F143" s="7">
        <v>13.855</v>
      </c>
      <c r="G143" s="7">
        <v>19.826000000000001</v>
      </c>
      <c r="H143" s="7">
        <v>0</v>
      </c>
      <c r="I143" s="7">
        <v>3.4830000000000001</v>
      </c>
      <c r="J143" s="7">
        <v>12.076000000000001</v>
      </c>
      <c r="K143" s="7">
        <v>0</v>
      </c>
      <c r="L143" s="7">
        <v>3365.0149999999999</v>
      </c>
      <c r="M143" s="7">
        <v>734.06</v>
      </c>
      <c r="N143" s="7">
        <v>0</v>
      </c>
      <c r="O143" s="7">
        <v>0</v>
      </c>
      <c r="P143" s="7">
        <v>0.65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1.71</v>
      </c>
      <c r="W143" s="7">
        <v>5.27</v>
      </c>
      <c r="X143" s="7">
        <v>0</v>
      </c>
      <c r="Y143" s="7">
        <v>663.63800000000003</v>
      </c>
      <c r="Z143" s="7">
        <v>0</v>
      </c>
      <c r="AA143" s="7">
        <v>14.648</v>
      </c>
      <c r="AB143" s="7">
        <v>0</v>
      </c>
      <c r="AC143" s="7">
        <v>2.2149999999999999</v>
      </c>
      <c r="AD143" s="7">
        <v>0</v>
      </c>
      <c r="AE143" s="7">
        <v>2602.8850000000002</v>
      </c>
      <c r="AF143" s="7">
        <v>0</v>
      </c>
      <c r="AG143" s="7">
        <v>0</v>
      </c>
      <c r="AH143" s="7">
        <v>7073.7070000000003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22"/>
    </row>
    <row r="144" spans="1:60" ht="15.75" x14ac:dyDescent="0.25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22"/>
    </row>
    <row r="145" spans="1:60" ht="15.75" x14ac:dyDescent="0.25">
      <c r="A145" s="5" t="s">
        <v>273</v>
      </c>
      <c r="B145" s="5" t="s">
        <v>274</v>
      </c>
      <c r="C145" s="7">
        <v>6</v>
      </c>
      <c r="D145" s="7">
        <v>6</v>
      </c>
      <c r="E145" s="7">
        <v>-1230.998</v>
      </c>
      <c r="F145" s="7">
        <v>-204.624</v>
      </c>
      <c r="G145" s="7">
        <v>0</v>
      </c>
      <c r="H145" s="7">
        <v>0</v>
      </c>
      <c r="I145" s="7">
        <v>-10.417</v>
      </c>
      <c r="J145" s="7">
        <v>0</v>
      </c>
      <c r="K145" s="7">
        <v>0</v>
      </c>
      <c r="L145" s="7">
        <v>-2785.0329999999999</v>
      </c>
      <c r="M145" s="7">
        <v>-256.50299999999999</v>
      </c>
      <c r="N145" s="7">
        <v>0</v>
      </c>
      <c r="O145" s="7">
        <v>-9.1150000000000002</v>
      </c>
      <c r="P145" s="7">
        <v>-4.8000000000000001E-2</v>
      </c>
      <c r="Q145" s="7">
        <v>-17.356000000000002</v>
      </c>
      <c r="R145" s="7">
        <v>0</v>
      </c>
      <c r="S145" s="7">
        <v>-54.829000000000001</v>
      </c>
      <c r="T145" s="7">
        <v>0</v>
      </c>
      <c r="U145" s="7">
        <v>0</v>
      </c>
      <c r="V145" s="7">
        <v>0</v>
      </c>
      <c r="W145" s="7">
        <v>-18.018999999999998</v>
      </c>
      <c r="X145" s="7">
        <v>0</v>
      </c>
      <c r="Y145" s="7">
        <v>-379.87700000000001</v>
      </c>
      <c r="Z145" s="7">
        <v>0</v>
      </c>
      <c r="AA145" s="7">
        <v>0</v>
      </c>
      <c r="AB145" s="7">
        <v>-655.39499999999998</v>
      </c>
      <c r="AC145" s="7">
        <v>-35.1</v>
      </c>
      <c r="AD145" s="7">
        <v>0</v>
      </c>
      <c r="AE145" s="7">
        <v>-1623.626</v>
      </c>
      <c r="AF145" s="7">
        <v>-489.55799999999999</v>
      </c>
      <c r="AG145" s="7">
        <v>0</v>
      </c>
      <c r="AH145" s="7">
        <v>-4017.7869999999998</v>
      </c>
      <c r="AI145" s="7">
        <v>-867.27300000000002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-3.6040000000000001</v>
      </c>
      <c r="AP145" s="7">
        <v>0</v>
      </c>
      <c r="AQ145" s="7">
        <v>-147.126</v>
      </c>
      <c r="AR145" s="7">
        <v>0</v>
      </c>
      <c r="AS145" s="7">
        <v>-0.56699999999999995</v>
      </c>
      <c r="AT145" s="7">
        <v>0</v>
      </c>
      <c r="AU145" s="7">
        <v>-4.1059999999999999</v>
      </c>
      <c r="AV145" s="7">
        <v>0</v>
      </c>
      <c r="AW145" s="7">
        <v>0</v>
      </c>
      <c r="AX145" s="7">
        <v>0</v>
      </c>
      <c r="AY145" s="7">
        <v>-0.26300000000000001</v>
      </c>
      <c r="AZ145" s="7">
        <v>-2.2280000000000002</v>
      </c>
      <c r="BA145" s="7">
        <v>0</v>
      </c>
      <c r="BB145" s="7">
        <v>-0.96599999999999997</v>
      </c>
      <c r="BC145" s="7">
        <v>0</v>
      </c>
      <c r="BD145" s="7">
        <v>-5.194</v>
      </c>
      <c r="BE145" s="7">
        <v>-4.2000000000000003E-2</v>
      </c>
      <c r="BF145" s="7">
        <v>-1.4750000000000001</v>
      </c>
      <c r="BG145" s="7">
        <v>0</v>
      </c>
      <c r="BH145" s="22"/>
    </row>
    <row r="146" spans="1:60" ht="15.75" x14ac:dyDescent="0.25">
      <c r="A146" s="5" t="s">
        <v>275</v>
      </c>
      <c r="B146" s="5" t="s">
        <v>276</v>
      </c>
      <c r="C146" s="7">
        <v>6</v>
      </c>
      <c r="D146" s="7">
        <v>6</v>
      </c>
      <c r="E146" s="7">
        <v>-7747.49</v>
      </c>
      <c r="F146" s="7">
        <v>-1299.796</v>
      </c>
      <c r="G146" s="7">
        <v>2239.3359999999998</v>
      </c>
      <c r="H146" s="7">
        <v>-115.453</v>
      </c>
      <c r="I146" s="7">
        <v>235.20500000000001</v>
      </c>
      <c r="J146" s="7">
        <v>1166.672</v>
      </c>
      <c r="K146" s="7">
        <v>0</v>
      </c>
      <c r="L146" s="7">
        <v>-38635.201000000001</v>
      </c>
      <c r="M146" s="7">
        <v>1062.7950000000001</v>
      </c>
      <c r="N146" s="7">
        <v>0</v>
      </c>
      <c r="O146" s="7">
        <v>-25.454999999999998</v>
      </c>
      <c r="P146" s="7">
        <v>26.710999999999999</v>
      </c>
      <c r="Q146" s="7">
        <v>-15.388999999999999</v>
      </c>
      <c r="R146" s="7">
        <v>23.152999999999999</v>
      </c>
      <c r="S146" s="7">
        <v>-296.10199999999998</v>
      </c>
      <c r="T146" s="7">
        <v>0</v>
      </c>
      <c r="U146" s="7">
        <v>0</v>
      </c>
      <c r="V146" s="7">
        <v>260.56700000000001</v>
      </c>
      <c r="W146" s="7">
        <v>491.762</v>
      </c>
      <c r="X146" s="7">
        <v>0</v>
      </c>
      <c r="Y146" s="7">
        <v>-3957.7530000000002</v>
      </c>
      <c r="Z146" s="7">
        <v>479.25700000000001</v>
      </c>
      <c r="AA146" s="7">
        <v>975.58299999999997</v>
      </c>
      <c r="AB146" s="7">
        <v>-692.34799999999996</v>
      </c>
      <c r="AC146" s="7">
        <v>-316.33600000000001</v>
      </c>
      <c r="AD146" s="7">
        <v>-53.48</v>
      </c>
      <c r="AE146" s="7">
        <v>-14358.752</v>
      </c>
      <c r="AF146" s="7">
        <v>-5824.7309999999998</v>
      </c>
      <c r="AG146" s="7">
        <v>-358.238</v>
      </c>
      <c r="AH146" s="7">
        <v>-60354.207999999999</v>
      </c>
      <c r="AI146" s="7">
        <v>-9124.7330000000002</v>
      </c>
      <c r="AJ146" s="7">
        <v>3262.8980000000001</v>
      </c>
      <c r="AK146" s="7">
        <v>115397.576</v>
      </c>
      <c r="AL146" s="7">
        <v>68896.180999999997</v>
      </c>
      <c r="AM146" s="7">
        <v>0</v>
      </c>
      <c r="AN146" s="7">
        <v>38045.415000000001</v>
      </c>
      <c r="AO146" s="7">
        <v>-77.507999999999996</v>
      </c>
      <c r="AP146" s="7">
        <v>0</v>
      </c>
      <c r="AQ146" s="7">
        <v>-1701.69</v>
      </c>
      <c r="AR146" s="7">
        <v>0</v>
      </c>
      <c r="AS146" s="7">
        <v>-1.413</v>
      </c>
      <c r="AT146" s="7">
        <v>0</v>
      </c>
      <c r="AU146" s="7">
        <v>130.346</v>
      </c>
      <c r="AV146" s="7">
        <v>0</v>
      </c>
      <c r="AW146" s="7">
        <v>0</v>
      </c>
      <c r="AX146" s="7">
        <v>0</v>
      </c>
      <c r="AY146" s="7">
        <v>-1.4810000000000001</v>
      </c>
      <c r="AZ146" s="7">
        <v>0.19</v>
      </c>
      <c r="BA146" s="7">
        <v>0</v>
      </c>
      <c r="BB146" s="7">
        <v>-5.6159999999999997</v>
      </c>
      <c r="BC146" s="7">
        <v>-0.46899999999999997</v>
      </c>
      <c r="BD146" s="7">
        <v>0</v>
      </c>
      <c r="BE146" s="7">
        <v>-0.47299999999999998</v>
      </c>
      <c r="BF146" s="7">
        <v>0</v>
      </c>
      <c r="BG146" s="7">
        <v>-2214.145</v>
      </c>
      <c r="BH146" s="22"/>
    </row>
    <row r="147" spans="1:60" ht="15.75" x14ac:dyDescent="0.25">
      <c r="A147" s="5" t="s">
        <v>277</v>
      </c>
      <c r="B147" s="5" t="s">
        <v>278</v>
      </c>
      <c r="C147" s="7">
        <v>6</v>
      </c>
      <c r="D147" s="7">
        <v>6</v>
      </c>
      <c r="E147" s="7">
        <v>2708.1329999999998</v>
      </c>
      <c r="F147" s="7">
        <v>464.94900000000001</v>
      </c>
      <c r="G147" s="7">
        <v>-105.664</v>
      </c>
      <c r="H147" s="7">
        <v>17.895</v>
      </c>
      <c r="I147" s="7">
        <v>49.923999999999999</v>
      </c>
      <c r="J147" s="7">
        <v>-61.868000000000002</v>
      </c>
      <c r="K147" s="7">
        <v>0</v>
      </c>
      <c r="L147" s="7">
        <v>7313.6409999999996</v>
      </c>
      <c r="M147" s="7">
        <v>658.30499999999995</v>
      </c>
      <c r="N147" s="7">
        <v>0</v>
      </c>
      <c r="O147" s="7">
        <v>0</v>
      </c>
      <c r="P147" s="7">
        <v>-1.4999999999999999E-2</v>
      </c>
      <c r="Q147" s="7">
        <v>0</v>
      </c>
      <c r="R147" s="7">
        <v>-0.35</v>
      </c>
      <c r="S147" s="7">
        <v>202.54</v>
      </c>
      <c r="T147" s="7">
        <v>0</v>
      </c>
      <c r="U147" s="7">
        <v>0</v>
      </c>
      <c r="V147" s="7">
        <v>-2.81</v>
      </c>
      <c r="W147" s="7">
        <v>9.4480000000000004</v>
      </c>
      <c r="X147" s="7">
        <v>0</v>
      </c>
      <c r="Y147" s="7">
        <v>597.69100000000003</v>
      </c>
      <c r="Z147" s="7">
        <v>0</v>
      </c>
      <c r="AA147" s="7">
        <v>-34.83</v>
      </c>
      <c r="AB147" s="7">
        <v>0.29699999999999999</v>
      </c>
      <c r="AC147" s="7">
        <v>55.216000000000001</v>
      </c>
      <c r="AD147" s="7">
        <v>0</v>
      </c>
      <c r="AE147" s="7">
        <v>1489.1030000000001</v>
      </c>
      <c r="AF147" s="7">
        <v>589.63</v>
      </c>
      <c r="AG147" s="7">
        <v>0</v>
      </c>
      <c r="AH147" s="7">
        <v>9837.4740000000002</v>
      </c>
      <c r="AI147" s="7">
        <v>945.07399999999996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14.288</v>
      </c>
      <c r="AP147" s="7">
        <v>0</v>
      </c>
      <c r="AQ147" s="7">
        <v>234.57300000000001</v>
      </c>
      <c r="AR147" s="7">
        <v>0</v>
      </c>
      <c r="AS147" s="7">
        <v>1.0900000000000001</v>
      </c>
      <c r="AT147" s="7">
        <v>0</v>
      </c>
      <c r="AU147" s="7">
        <v>10.121</v>
      </c>
      <c r="AV147" s="7">
        <v>0</v>
      </c>
      <c r="AW147" s="7">
        <v>0</v>
      </c>
      <c r="AX147" s="7">
        <v>0</v>
      </c>
      <c r="AY147" s="7">
        <v>1.2450000000000001</v>
      </c>
      <c r="AZ147" s="7">
        <v>0</v>
      </c>
      <c r="BA147" s="7">
        <v>0</v>
      </c>
      <c r="BB147" s="7">
        <v>2.5510000000000002</v>
      </c>
      <c r="BC147" s="7">
        <v>0.67100000000000004</v>
      </c>
      <c r="BD147" s="7">
        <v>0</v>
      </c>
      <c r="BE147" s="7">
        <v>0.111</v>
      </c>
      <c r="BF147" s="7">
        <v>0</v>
      </c>
      <c r="BG147" s="7">
        <v>0</v>
      </c>
      <c r="BH147" s="22"/>
    </row>
    <row r="148" spans="1:60" ht="15.75" x14ac:dyDescent="0.25">
      <c r="A148" s="5" t="s">
        <v>279</v>
      </c>
      <c r="B148" s="5" t="s">
        <v>280</v>
      </c>
      <c r="C148" s="7">
        <v>6</v>
      </c>
      <c r="D148" s="7">
        <v>6</v>
      </c>
      <c r="E148" s="7">
        <v>-25202.280999999999</v>
      </c>
      <c r="F148" s="7">
        <v>-3435.2939999999999</v>
      </c>
      <c r="G148" s="7">
        <v>-4336.5950000000003</v>
      </c>
      <c r="H148" s="7">
        <v>-22.562999999999999</v>
      </c>
      <c r="I148" s="7">
        <v>-568.947</v>
      </c>
      <c r="J148" s="7">
        <v>-2850.3789999999999</v>
      </c>
      <c r="K148" s="7">
        <v>0</v>
      </c>
      <c r="L148" s="7">
        <v>-20659.794999999998</v>
      </c>
      <c r="M148" s="7">
        <v>-12889.652</v>
      </c>
      <c r="N148" s="7">
        <v>0</v>
      </c>
      <c r="O148" s="7">
        <v>0</v>
      </c>
      <c r="P148" s="7">
        <v>-39.226999999999997</v>
      </c>
      <c r="Q148" s="7">
        <v>0</v>
      </c>
      <c r="R148" s="7">
        <v>0</v>
      </c>
      <c r="S148" s="7">
        <v>-1014.9109999999999</v>
      </c>
      <c r="T148" s="7">
        <v>0</v>
      </c>
      <c r="U148" s="7">
        <v>0</v>
      </c>
      <c r="V148" s="7">
        <v>-449.22300000000001</v>
      </c>
      <c r="W148" s="7">
        <v>-1061.0730000000001</v>
      </c>
      <c r="X148" s="7">
        <v>0</v>
      </c>
      <c r="Y148" s="7">
        <v>-5264.5469999999996</v>
      </c>
      <c r="Z148" s="7">
        <v>0</v>
      </c>
      <c r="AA148" s="7">
        <v>-3494.8040000000001</v>
      </c>
      <c r="AB148" s="7">
        <v>-0.45900000000000002</v>
      </c>
      <c r="AC148" s="7">
        <v>-594.68200000000002</v>
      </c>
      <c r="AD148" s="7">
        <v>7.08</v>
      </c>
      <c r="AE148" s="7">
        <v>-12679.621999999999</v>
      </c>
      <c r="AF148" s="7">
        <v>-1487.0360000000001</v>
      </c>
      <c r="AG148" s="7">
        <v>22.248999999999999</v>
      </c>
      <c r="AH148" s="7">
        <v>-45606.328999999998</v>
      </c>
      <c r="AI148" s="7">
        <v>-2642.569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-51.087000000000003</v>
      </c>
      <c r="AP148" s="7">
        <v>0</v>
      </c>
      <c r="AQ148" s="7">
        <v>-449.51</v>
      </c>
      <c r="AR148" s="7">
        <v>0</v>
      </c>
      <c r="AS148" s="7">
        <v>-9.1069999999999993</v>
      </c>
      <c r="AT148" s="7">
        <v>0</v>
      </c>
      <c r="AU148" s="7">
        <v>-225.82599999999999</v>
      </c>
      <c r="AV148" s="7">
        <v>0</v>
      </c>
      <c r="AW148" s="7">
        <v>0</v>
      </c>
      <c r="AX148" s="7">
        <v>0</v>
      </c>
      <c r="AY148" s="7">
        <v>-8.7449999999999992</v>
      </c>
      <c r="AZ148" s="7">
        <v>0</v>
      </c>
      <c r="BA148" s="7">
        <v>0</v>
      </c>
      <c r="BB148" s="7">
        <v>-10.961</v>
      </c>
      <c r="BC148" s="7">
        <v>-6.3460000000000001</v>
      </c>
      <c r="BD148" s="7">
        <v>0</v>
      </c>
      <c r="BE148" s="7">
        <v>-0.47</v>
      </c>
      <c r="BF148" s="7">
        <v>0</v>
      </c>
      <c r="BG148" s="7">
        <v>0</v>
      </c>
      <c r="BH148" s="22"/>
    </row>
    <row r="149" spans="1:60" ht="15.75" x14ac:dyDescent="0.25">
      <c r="A149" s="5" t="s">
        <v>281</v>
      </c>
      <c r="B149" s="5" t="s">
        <v>282</v>
      </c>
      <c r="C149" s="7">
        <v>6</v>
      </c>
      <c r="D149" s="7">
        <v>6</v>
      </c>
      <c r="E149" s="7">
        <v>-8096.1409999999996</v>
      </c>
      <c r="F149" s="7">
        <v>-283.20499999999998</v>
      </c>
      <c r="G149" s="7">
        <v>-277.97899999999998</v>
      </c>
      <c r="H149" s="7">
        <v>0</v>
      </c>
      <c r="I149" s="7">
        <v>-55.447000000000003</v>
      </c>
      <c r="J149" s="7">
        <v>-217.619</v>
      </c>
      <c r="K149" s="7">
        <v>0</v>
      </c>
      <c r="L149" s="7">
        <v>-5462.5450000000001</v>
      </c>
      <c r="M149" s="7">
        <v>-1005.873</v>
      </c>
      <c r="N149" s="7">
        <v>0</v>
      </c>
      <c r="O149" s="7">
        <v>0</v>
      </c>
      <c r="P149" s="7">
        <v>0</v>
      </c>
      <c r="Q149" s="7">
        <v>-581.08100000000002</v>
      </c>
      <c r="R149" s="7">
        <v>-688.77599999999995</v>
      </c>
      <c r="S149" s="7">
        <v>-87.656000000000006</v>
      </c>
      <c r="T149" s="7">
        <v>0</v>
      </c>
      <c r="U149" s="7">
        <v>0</v>
      </c>
      <c r="V149" s="7">
        <v>-29.573</v>
      </c>
      <c r="W149" s="7">
        <v>-79.295000000000002</v>
      </c>
      <c r="X149" s="7">
        <v>0</v>
      </c>
      <c r="Y149" s="7">
        <v>-235.10499999999999</v>
      </c>
      <c r="Z149" s="7">
        <v>-19344.02</v>
      </c>
      <c r="AA149" s="7">
        <v>-270.03899999999999</v>
      </c>
      <c r="AB149" s="7">
        <v>0</v>
      </c>
      <c r="AC149" s="7">
        <v>-38.847000000000001</v>
      </c>
      <c r="AD149" s="7">
        <v>-4227.4889999999996</v>
      </c>
      <c r="AE149" s="7">
        <v>-12335.165999999999</v>
      </c>
      <c r="AF149" s="7">
        <v>0</v>
      </c>
      <c r="AG149" s="7">
        <v>-13838.382</v>
      </c>
      <c r="AH149" s="7">
        <v>-4156.4750000000004</v>
      </c>
      <c r="AI149" s="7">
        <v>0</v>
      </c>
      <c r="AJ149" s="7">
        <v>-92846.107999999993</v>
      </c>
      <c r="AK149" s="7">
        <v>0</v>
      </c>
      <c r="AL149" s="7">
        <v>0</v>
      </c>
      <c r="AM149" s="7">
        <v>0</v>
      </c>
      <c r="AN149" s="7">
        <v>0</v>
      </c>
      <c r="AO149" s="7">
        <v>-4.556</v>
      </c>
      <c r="AP149" s="7">
        <v>0</v>
      </c>
      <c r="AQ149" s="7">
        <v>0</v>
      </c>
      <c r="AR149" s="7">
        <v>0</v>
      </c>
      <c r="AS149" s="7">
        <v>-0.105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-0.93100000000000005</v>
      </c>
      <c r="AZ149" s="7">
        <v>0</v>
      </c>
      <c r="BA149" s="7">
        <v>0</v>
      </c>
      <c r="BB149" s="7">
        <v>-0.83899999999999997</v>
      </c>
      <c r="BC149" s="7">
        <v>-0.60899999999999999</v>
      </c>
      <c r="BD149" s="7">
        <v>0</v>
      </c>
      <c r="BE149" s="7">
        <v>-3.5999999999999997E-2</v>
      </c>
      <c r="BF149" s="7">
        <v>0</v>
      </c>
      <c r="BG149" s="7">
        <v>-76346.462</v>
      </c>
      <c r="BH149" s="22"/>
    </row>
    <row r="150" spans="1:60" ht="15.75" x14ac:dyDescent="0.25">
      <c r="A150" s="5" t="s">
        <v>283</v>
      </c>
      <c r="B150" s="5" t="s">
        <v>284</v>
      </c>
      <c r="C150" s="7">
        <v>4</v>
      </c>
      <c r="D150" s="7">
        <v>4</v>
      </c>
      <c r="E150" s="7">
        <v>-5462.2929999999997</v>
      </c>
      <c r="F150" s="7">
        <v>-1069.2560000000001</v>
      </c>
      <c r="G150" s="7">
        <v>1.242</v>
      </c>
      <c r="H150" s="7">
        <v>0</v>
      </c>
      <c r="I150" s="7">
        <v>-43.155000000000001</v>
      </c>
      <c r="J150" s="7">
        <v>0.97199999999999998</v>
      </c>
      <c r="K150" s="7">
        <v>0</v>
      </c>
      <c r="L150" s="7">
        <v>-13755.608</v>
      </c>
      <c r="M150" s="7">
        <v>-1093.6780000000001</v>
      </c>
      <c r="N150" s="7">
        <v>0</v>
      </c>
      <c r="O150" s="7">
        <v>-19.314</v>
      </c>
      <c r="P150" s="7">
        <v>0</v>
      </c>
      <c r="Q150" s="7">
        <v>-14.031000000000001</v>
      </c>
      <c r="R150" s="7">
        <v>0</v>
      </c>
      <c r="S150" s="7">
        <v>-353.762</v>
      </c>
      <c r="T150" s="7">
        <v>0</v>
      </c>
      <c r="U150" s="7">
        <v>0</v>
      </c>
      <c r="V150" s="7">
        <v>0.13200000000000001</v>
      </c>
      <c r="W150" s="7">
        <v>-84.128</v>
      </c>
      <c r="X150" s="7">
        <v>43.313000000000002</v>
      </c>
      <c r="Y150" s="7">
        <v>-2124.5169999999998</v>
      </c>
      <c r="Z150" s="7">
        <v>-2.931</v>
      </c>
      <c r="AA150" s="7">
        <v>1.2070000000000001</v>
      </c>
      <c r="AB150" s="7">
        <v>-518.04300000000001</v>
      </c>
      <c r="AC150" s="7">
        <v>-183.92400000000001</v>
      </c>
      <c r="AD150" s="7">
        <v>-49.796999999999997</v>
      </c>
      <c r="AE150" s="7">
        <v>-5733.9110000000001</v>
      </c>
      <c r="AF150" s="7">
        <v>-2554.7620000000002</v>
      </c>
      <c r="AG150" s="7">
        <v>-253.85900000000001</v>
      </c>
      <c r="AH150" s="7">
        <v>-19319.287</v>
      </c>
      <c r="AI150" s="7">
        <v>-4548.3549999999996</v>
      </c>
      <c r="AJ150" s="7">
        <v>-16.75</v>
      </c>
      <c r="AK150" s="7">
        <v>12859.915999999999</v>
      </c>
      <c r="AL150" s="7">
        <v>7677.8019999999997</v>
      </c>
      <c r="AM150" s="7">
        <v>0</v>
      </c>
      <c r="AN150" s="7">
        <v>4239.74</v>
      </c>
      <c r="AO150" s="7">
        <v>-28.311</v>
      </c>
      <c r="AP150" s="7">
        <v>0</v>
      </c>
      <c r="AQ150" s="7">
        <v>-773.62</v>
      </c>
      <c r="AR150" s="7">
        <v>0</v>
      </c>
      <c r="AS150" s="7">
        <v>-3.351</v>
      </c>
      <c r="AT150" s="7">
        <v>0</v>
      </c>
      <c r="AU150" s="7">
        <v>-23.553999999999998</v>
      </c>
      <c r="AV150" s="7">
        <v>0</v>
      </c>
      <c r="AW150" s="7">
        <v>0</v>
      </c>
      <c r="AX150" s="7">
        <v>15.313000000000001</v>
      </c>
      <c r="AY150" s="7">
        <v>-1.2210000000000001</v>
      </c>
      <c r="AZ150" s="7">
        <v>0</v>
      </c>
      <c r="BA150" s="7">
        <v>3.464</v>
      </c>
      <c r="BB150" s="7">
        <v>-4.5110000000000001</v>
      </c>
      <c r="BC150" s="7">
        <v>3.0000000000000001E-3</v>
      </c>
      <c r="BD150" s="7">
        <v>0</v>
      </c>
      <c r="BE150" s="7">
        <v>-0.19600000000000001</v>
      </c>
      <c r="BF150" s="7">
        <v>0</v>
      </c>
      <c r="BG150" s="7">
        <v>-866.48299999999995</v>
      </c>
      <c r="BH150" s="22"/>
    </row>
    <row r="151" spans="1:60" ht="15.75" x14ac:dyDescent="0.25">
      <c r="A151" s="5" t="s">
        <v>285</v>
      </c>
      <c r="B151" s="5" t="s">
        <v>286</v>
      </c>
      <c r="C151" s="7">
        <v>6</v>
      </c>
      <c r="D151" s="7">
        <v>6</v>
      </c>
      <c r="E151" s="7">
        <v>-970.40499999999997</v>
      </c>
      <c r="F151" s="7">
        <v>-443.65800000000002</v>
      </c>
      <c r="G151" s="7">
        <v>-60.447000000000003</v>
      </c>
      <c r="H151" s="7">
        <v>-110.03700000000001</v>
      </c>
      <c r="I151" s="7">
        <v>-82.736999999999995</v>
      </c>
      <c r="J151" s="7">
        <v>-529.98599999999999</v>
      </c>
      <c r="K151" s="7">
        <v>0</v>
      </c>
      <c r="L151" s="7">
        <v>688.00099999999998</v>
      </c>
      <c r="M151" s="7">
        <v>-924.12199999999996</v>
      </c>
      <c r="N151" s="7">
        <v>0</v>
      </c>
      <c r="O151" s="7">
        <v>49.997999999999998</v>
      </c>
      <c r="P151" s="7">
        <v>-3.0000000000000001E-3</v>
      </c>
      <c r="Q151" s="7">
        <v>-62.542999999999999</v>
      </c>
      <c r="R151" s="7">
        <v>-108.13200000000001</v>
      </c>
      <c r="S151" s="7">
        <v>-173.45099999999999</v>
      </c>
      <c r="T151" s="7">
        <v>0</v>
      </c>
      <c r="U151" s="7">
        <v>0</v>
      </c>
      <c r="V151" s="7">
        <v>-48.628</v>
      </c>
      <c r="W151" s="7">
        <v>-9.4960000000000004</v>
      </c>
      <c r="X151" s="7">
        <v>0</v>
      </c>
      <c r="Y151" s="7">
        <v>441.50400000000002</v>
      </c>
      <c r="Z151" s="7">
        <v>-2459.799</v>
      </c>
      <c r="AA151" s="7">
        <v>-1091.9570000000001</v>
      </c>
      <c r="AB151" s="7">
        <v>1389.537</v>
      </c>
      <c r="AC151" s="7">
        <v>-89.781000000000006</v>
      </c>
      <c r="AD151" s="7">
        <v>-266.06099999999998</v>
      </c>
      <c r="AE151" s="7">
        <v>462.76600000000002</v>
      </c>
      <c r="AF151" s="7">
        <v>518.33500000000004</v>
      </c>
      <c r="AG151" s="7">
        <v>-608.90499999999997</v>
      </c>
      <c r="AH151" s="7">
        <v>-646.5</v>
      </c>
      <c r="AI151" s="7">
        <v>945.72</v>
      </c>
      <c r="AJ151" s="7">
        <v>-11199.504999999999</v>
      </c>
      <c r="AK151" s="7">
        <v>33689.652999999998</v>
      </c>
      <c r="AL151" s="7">
        <v>20113.84</v>
      </c>
      <c r="AM151" s="7">
        <v>0</v>
      </c>
      <c r="AN151" s="7">
        <v>11107.138000000001</v>
      </c>
      <c r="AO151" s="7">
        <v>-22.103999999999999</v>
      </c>
      <c r="AP151" s="7">
        <v>0</v>
      </c>
      <c r="AQ151" s="7">
        <v>158.96100000000001</v>
      </c>
      <c r="AR151" s="7">
        <v>0</v>
      </c>
      <c r="AS151" s="7">
        <v>-0.30099999999999999</v>
      </c>
      <c r="AT151" s="7">
        <v>0</v>
      </c>
      <c r="AU151" s="7">
        <v>4.758</v>
      </c>
      <c r="AV151" s="7">
        <v>0</v>
      </c>
      <c r="AW151" s="7">
        <v>0</v>
      </c>
      <c r="AX151" s="7">
        <v>0</v>
      </c>
      <c r="AY151" s="7">
        <v>-4.0110000000000001</v>
      </c>
      <c r="AZ151" s="7">
        <v>0</v>
      </c>
      <c r="BA151" s="7">
        <v>0</v>
      </c>
      <c r="BB151" s="7">
        <v>-3.9049999999999998</v>
      </c>
      <c r="BC151" s="7">
        <v>-3.835</v>
      </c>
      <c r="BD151" s="7">
        <v>0</v>
      </c>
      <c r="BE151" s="7">
        <v>-0.17299999999999999</v>
      </c>
      <c r="BF151" s="7">
        <v>0</v>
      </c>
      <c r="BG151" s="7">
        <v>-10372.175999999999</v>
      </c>
      <c r="BH151" s="22"/>
    </row>
    <row r="152" spans="1:60" ht="15.75" x14ac:dyDescent="0.25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22"/>
    </row>
    <row r="153" spans="1:60" ht="15.75" x14ac:dyDescent="0.25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22"/>
    </row>
    <row r="154" spans="1:60" ht="15.75" x14ac:dyDescent="0.25">
      <c r="A154" s="5" t="s">
        <v>291</v>
      </c>
      <c r="B154" s="5" t="s">
        <v>292</v>
      </c>
      <c r="C154" s="7">
        <v>6</v>
      </c>
      <c r="D154" s="7">
        <v>6</v>
      </c>
      <c r="E154" s="7">
        <v>10620.369000000001</v>
      </c>
      <c r="F154" s="7">
        <v>946.80700000000002</v>
      </c>
      <c r="G154" s="7">
        <v>333.27499999999998</v>
      </c>
      <c r="H154" s="7">
        <v>110.486</v>
      </c>
      <c r="I154" s="7">
        <v>146.52199999999999</v>
      </c>
      <c r="J154" s="7">
        <v>745.54399999999998</v>
      </c>
      <c r="K154" s="7">
        <v>0</v>
      </c>
      <c r="L154" s="7">
        <v>8060.9849999999997</v>
      </c>
      <c r="M154" s="7">
        <v>2121.1750000000002</v>
      </c>
      <c r="N154" s="7">
        <v>0</v>
      </c>
      <c r="O154" s="7">
        <v>0</v>
      </c>
      <c r="P154" s="7">
        <v>3.0000000000000001E-3</v>
      </c>
      <c r="Q154" s="7">
        <v>685.29200000000003</v>
      </c>
      <c r="R154" s="7">
        <v>812.30100000000004</v>
      </c>
      <c r="S154" s="7">
        <v>334.08300000000003</v>
      </c>
      <c r="T154" s="7">
        <v>0</v>
      </c>
      <c r="U154" s="7">
        <v>0</v>
      </c>
      <c r="V154" s="7">
        <v>77.825000000000003</v>
      </c>
      <c r="W154" s="7">
        <v>104.947</v>
      </c>
      <c r="X154" s="7">
        <v>0</v>
      </c>
      <c r="Y154" s="7">
        <v>230.59200000000001</v>
      </c>
      <c r="Z154" s="7">
        <v>22813.151000000002</v>
      </c>
      <c r="AA154" s="7">
        <v>1361.211</v>
      </c>
      <c r="AB154" s="7">
        <v>0</v>
      </c>
      <c r="AC154" s="7">
        <v>166.68799999999999</v>
      </c>
      <c r="AD154" s="7">
        <v>4636.049</v>
      </c>
      <c r="AE154" s="7">
        <v>14415.209000000001</v>
      </c>
      <c r="AF154" s="7">
        <v>13.132999999999999</v>
      </c>
      <c r="AG154" s="7">
        <v>15071.243</v>
      </c>
      <c r="AH154" s="7">
        <v>8963.3410000000003</v>
      </c>
      <c r="AI154" s="7">
        <v>0.32600000000000001</v>
      </c>
      <c r="AJ154" s="7">
        <v>109497.011</v>
      </c>
      <c r="AK154" s="7">
        <v>0</v>
      </c>
      <c r="AL154" s="7">
        <v>0</v>
      </c>
      <c r="AM154" s="7">
        <v>0</v>
      </c>
      <c r="AN154" s="7">
        <v>0</v>
      </c>
      <c r="AO154" s="7">
        <v>32.570999999999998</v>
      </c>
      <c r="AP154" s="7">
        <v>0</v>
      </c>
      <c r="AQ154" s="7">
        <v>1.8420000000000001</v>
      </c>
      <c r="AR154" s="7">
        <v>0</v>
      </c>
      <c r="AS154" s="7">
        <v>1.1040000000000001</v>
      </c>
      <c r="AT154" s="7">
        <v>0</v>
      </c>
      <c r="AU154" s="7">
        <v>0.13600000000000001</v>
      </c>
      <c r="AV154" s="7">
        <v>0</v>
      </c>
      <c r="AW154" s="7">
        <v>0</v>
      </c>
      <c r="AX154" s="7">
        <v>0</v>
      </c>
      <c r="AY154" s="7">
        <v>5.1959999999999997</v>
      </c>
      <c r="AZ154" s="7">
        <v>0</v>
      </c>
      <c r="BA154" s="7">
        <v>0</v>
      </c>
      <c r="BB154" s="7">
        <v>5.6849999999999996</v>
      </c>
      <c r="BC154" s="7">
        <v>4.4480000000000004</v>
      </c>
      <c r="BD154" s="7">
        <v>0</v>
      </c>
      <c r="BE154" s="7">
        <v>0.25</v>
      </c>
      <c r="BF154" s="7">
        <v>0</v>
      </c>
      <c r="BG154" s="7">
        <v>90038.338000000003</v>
      </c>
      <c r="BH154" s="22"/>
    </row>
    <row r="155" spans="1:60" ht="15.75" x14ac:dyDescent="0.25">
      <c r="A155" s="5" t="s">
        <v>293</v>
      </c>
      <c r="B155" s="5" t="s">
        <v>294</v>
      </c>
      <c r="C155" s="7">
        <v>4</v>
      </c>
      <c r="D155" s="7">
        <v>4</v>
      </c>
      <c r="E155" s="7">
        <v>14262.264999999999</v>
      </c>
      <c r="F155" s="7">
        <v>3174.4140000000002</v>
      </c>
      <c r="G155" s="7">
        <v>0</v>
      </c>
      <c r="H155" s="7">
        <v>0</v>
      </c>
      <c r="I155" s="7">
        <v>161.59800000000001</v>
      </c>
      <c r="J155" s="7">
        <v>0</v>
      </c>
      <c r="K155" s="7">
        <v>0</v>
      </c>
      <c r="L155" s="7">
        <v>37858.216999999997</v>
      </c>
      <c r="M155" s="7">
        <v>3979.2289999999998</v>
      </c>
      <c r="N155" s="7">
        <v>0</v>
      </c>
      <c r="O155" s="7">
        <v>0</v>
      </c>
      <c r="P155" s="7">
        <v>0.73899999999999999</v>
      </c>
      <c r="Q155" s="7">
        <v>0</v>
      </c>
      <c r="R155" s="7">
        <v>0</v>
      </c>
      <c r="S155" s="7">
        <v>850.58900000000006</v>
      </c>
      <c r="T155" s="7">
        <v>0</v>
      </c>
      <c r="U155" s="7">
        <v>0</v>
      </c>
      <c r="V155" s="7">
        <v>0</v>
      </c>
      <c r="W155" s="7">
        <v>279.536</v>
      </c>
      <c r="X155" s="7">
        <v>0</v>
      </c>
      <c r="Y155" s="7">
        <v>5893.174</v>
      </c>
      <c r="Z155" s="7">
        <v>0</v>
      </c>
      <c r="AA155" s="7">
        <v>0</v>
      </c>
      <c r="AB155" s="7">
        <v>0</v>
      </c>
      <c r="AC155" s="7">
        <v>544.52700000000004</v>
      </c>
      <c r="AD155" s="7">
        <v>0</v>
      </c>
      <c r="AE155" s="7">
        <v>14690.322</v>
      </c>
      <c r="AF155" s="7">
        <v>7594.69</v>
      </c>
      <c r="AG155" s="7">
        <v>0</v>
      </c>
      <c r="AH155" s="7">
        <v>62329.413</v>
      </c>
      <c r="AI155" s="7">
        <v>13454.325999999999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55.911000000000001</v>
      </c>
      <c r="AP155" s="7">
        <v>0</v>
      </c>
      <c r="AQ155" s="7">
        <v>2282.4119999999998</v>
      </c>
      <c r="AR155" s="7">
        <v>0</v>
      </c>
      <c r="AS155" s="7">
        <v>8.8019999999999996</v>
      </c>
      <c r="AT155" s="7">
        <v>0</v>
      </c>
      <c r="AU155" s="7">
        <v>63.698999999999998</v>
      </c>
      <c r="AV155" s="7">
        <v>0</v>
      </c>
      <c r="AW155" s="7">
        <v>0</v>
      </c>
      <c r="AX155" s="7">
        <v>0</v>
      </c>
      <c r="AY155" s="7">
        <v>4.0880000000000001</v>
      </c>
      <c r="AZ155" s="7">
        <v>34.561</v>
      </c>
      <c r="BA155" s="7">
        <v>0</v>
      </c>
      <c r="BB155" s="7">
        <v>14.988</v>
      </c>
      <c r="BC155" s="7">
        <v>0</v>
      </c>
      <c r="BD155" s="7">
        <v>80.575000000000003</v>
      </c>
      <c r="BE155" s="7">
        <v>0.65600000000000003</v>
      </c>
      <c r="BF155" s="7">
        <v>22.875</v>
      </c>
      <c r="BG155" s="7">
        <v>0</v>
      </c>
      <c r="BH155" s="22"/>
    </row>
    <row r="156" spans="1:60" ht="15.75" x14ac:dyDescent="0.25">
      <c r="A156" s="5" t="s">
        <v>295</v>
      </c>
      <c r="B156" s="5" t="s">
        <v>296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22"/>
    </row>
    <row r="157" spans="1:60" ht="15.75" x14ac:dyDescent="0.25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22"/>
    </row>
    <row r="158" spans="1:60" ht="15.75" x14ac:dyDescent="0.25">
      <c r="A158" s="5" t="s">
        <v>299</v>
      </c>
      <c r="B158" s="5" t="s">
        <v>300</v>
      </c>
      <c r="C158" s="7">
        <v>4</v>
      </c>
      <c r="D158" s="7">
        <v>4</v>
      </c>
      <c r="E158" s="7">
        <v>611.59699999999998</v>
      </c>
      <c r="F158" s="7">
        <v>56.779000000000003</v>
      </c>
      <c r="G158" s="7">
        <v>81.251000000000005</v>
      </c>
      <c r="H158" s="7">
        <v>0</v>
      </c>
      <c r="I158" s="7">
        <v>14.273</v>
      </c>
      <c r="J158" s="7">
        <v>49.49</v>
      </c>
      <c r="K158" s="7">
        <v>0</v>
      </c>
      <c r="L158" s="7">
        <v>449.904</v>
      </c>
      <c r="M158" s="7">
        <v>221.07900000000001</v>
      </c>
      <c r="N158" s="7">
        <v>0</v>
      </c>
      <c r="O158" s="7">
        <v>0</v>
      </c>
      <c r="P158" s="7">
        <v>2.665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7.0090000000000003</v>
      </c>
      <c r="W158" s="7">
        <v>21.599</v>
      </c>
      <c r="X158" s="7">
        <v>0</v>
      </c>
      <c r="Y158" s="7">
        <v>170.72</v>
      </c>
      <c r="Z158" s="7">
        <v>0</v>
      </c>
      <c r="AA158" s="7">
        <v>60.030999999999999</v>
      </c>
      <c r="AB158" s="7">
        <v>0</v>
      </c>
      <c r="AC158" s="7">
        <v>9.0790000000000006</v>
      </c>
      <c r="AD158" s="7">
        <v>0</v>
      </c>
      <c r="AE158" s="7">
        <v>542.56600000000003</v>
      </c>
      <c r="AF158" s="7">
        <v>0</v>
      </c>
      <c r="AG158" s="7">
        <v>0</v>
      </c>
      <c r="AH158" s="7">
        <v>1283.896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22"/>
    </row>
    <row r="159" spans="1:60" ht="15.75" x14ac:dyDescent="0.25">
      <c r="A159" s="5" t="s">
        <v>301</v>
      </c>
      <c r="B159" s="5" t="s">
        <v>302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22"/>
    </row>
    <row r="160" spans="1:60" ht="15.75" x14ac:dyDescent="0.25">
      <c r="A160" s="5" t="s">
        <v>303</v>
      </c>
      <c r="B160" s="5" t="s">
        <v>304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22"/>
    </row>
    <row r="161" spans="1:60" ht="15.75" x14ac:dyDescent="0.25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22"/>
    </row>
    <row r="162" spans="1:60" ht="15.75" x14ac:dyDescent="0.25">
      <c r="A162" s="5" t="s">
        <v>307</v>
      </c>
      <c r="B162" s="5" t="s">
        <v>308</v>
      </c>
      <c r="C162" s="7">
        <v>4</v>
      </c>
      <c r="D162" s="7">
        <v>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22"/>
    </row>
    <row r="163" spans="1:60" ht="15.75" x14ac:dyDescent="0.25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22"/>
    </row>
    <row r="164" spans="1:60" ht="15.75" x14ac:dyDescent="0.25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22"/>
    </row>
    <row r="165" spans="1:60" ht="15.75" x14ac:dyDescent="0.25">
      <c r="A165" s="5" t="s">
        <v>312</v>
      </c>
      <c r="B165" s="5" t="s">
        <v>313</v>
      </c>
      <c r="C165" s="7">
        <v>6</v>
      </c>
      <c r="D165" s="7">
        <v>6</v>
      </c>
      <c r="E165" s="7">
        <v>74.525999999999996</v>
      </c>
      <c r="F165" s="7">
        <v>16.472000000000001</v>
      </c>
      <c r="G165" s="7">
        <v>16.169</v>
      </c>
      <c r="H165" s="7">
        <v>0</v>
      </c>
      <c r="I165" s="7">
        <v>3.2250000000000001</v>
      </c>
      <c r="J165" s="7">
        <v>12.657</v>
      </c>
      <c r="K165" s="7">
        <v>0</v>
      </c>
      <c r="L165" s="7">
        <v>66.027000000000001</v>
      </c>
      <c r="M165" s="7">
        <v>58.506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5.0979999999999999</v>
      </c>
      <c r="T165" s="7">
        <v>0</v>
      </c>
      <c r="U165" s="7">
        <v>0</v>
      </c>
      <c r="V165" s="7">
        <v>1.72</v>
      </c>
      <c r="W165" s="7">
        <v>4.6120000000000001</v>
      </c>
      <c r="X165" s="7">
        <v>0</v>
      </c>
      <c r="Y165" s="7">
        <v>13.675000000000001</v>
      </c>
      <c r="Z165" s="7">
        <v>0</v>
      </c>
      <c r="AA165" s="7">
        <v>15.707000000000001</v>
      </c>
      <c r="AB165" s="7">
        <v>0</v>
      </c>
      <c r="AC165" s="7">
        <v>2.2589999999999999</v>
      </c>
      <c r="AD165" s="7">
        <v>0</v>
      </c>
      <c r="AE165" s="7">
        <v>39.344999999999999</v>
      </c>
      <c r="AF165" s="7">
        <v>0</v>
      </c>
      <c r="AG165" s="7">
        <v>0</v>
      </c>
      <c r="AH165" s="7">
        <v>241.76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0.26500000000000001</v>
      </c>
      <c r="AP165" s="7">
        <v>0</v>
      </c>
      <c r="AQ165" s="7">
        <v>0</v>
      </c>
      <c r="AR165" s="7">
        <v>0</v>
      </c>
      <c r="AS165" s="7">
        <v>6.0000000000000001E-3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5.3999999999999999E-2</v>
      </c>
      <c r="AZ165" s="7">
        <v>0</v>
      </c>
      <c r="BA165" s="7">
        <v>0</v>
      </c>
      <c r="BB165" s="7">
        <v>4.9000000000000002E-2</v>
      </c>
      <c r="BC165" s="7">
        <v>3.5000000000000003E-2</v>
      </c>
      <c r="BD165" s="7">
        <v>0</v>
      </c>
      <c r="BE165" s="7">
        <v>2E-3</v>
      </c>
      <c r="BF165" s="7">
        <v>0</v>
      </c>
      <c r="BG165" s="7">
        <v>0</v>
      </c>
      <c r="BH165" s="22"/>
    </row>
    <row r="166" spans="1:60" ht="15.75" x14ac:dyDescent="0.25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22"/>
    </row>
    <row r="167" spans="1:60" ht="15.75" x14ac:dyDescent="0.25">
      <c r="A167" s="5" t="s">
        <v>299</v>
      </c>
      <c r="B167" s="5" t="s">
        <v>315</v>
      </c>
      <c r="C167" s="7">
        <v>6</v>
      </c>
      <c r="D167" s="7">
        <v>6</v>
      </c>
      <c r="E167" s="7">
        <v>678.25900000000001</v>
      </c>
      <c r="F167" s="7">
        <v>62.966999999999999</v>
      </c>
      <c r="G167" s="7">
        <v>90.106999999999999</v>
      </c>
      <c r="H167" s="7">
        <v>0</v>
      </c>
      <c r="I167" s="7">
        <v>15.829000000000001</v>
      </c>
      <c r="J167" s="7">
        <v>54.884</v>
      </c>
      <c r="K167" s="7">
        <v>0</v>
      </c>
      <c r="L167" s="7">
        <v>498.94200000000001</v>
      </c>
      <c r="M167" s="7">
        <v>245.17500000000001</v>
      </c>
      <c r="N167" s="7">
        <v>0</v>
      </c>
      <c r="O167" s="7">
        <v>0</v>
      </c>
      <c r="P167" s="7">
        <v>2.9550000000000001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7.7729999999999997</v>
      </c>
      <c r="W167" s="7">
        <v>23.952999999999999</v>
      </c>
      <c r="X167" s="7">
        <v>0</v>
      </c>
      <c r="Y167" s="7">
        <v>189.327</v>
      </c>
      <c r="Z167" s="7">
        <v>0</v>
      </c>
      <c r="AA167" s="7">
        <v>66.573999999999998</v>
      </c>
      <c r="AB167" s="7">
        <v>0</v>
      </c>
      <c r="AC167" s="7">
        <v>10.068</v>
      </c>
      <c r="AD167" s="7">
        <v>0</v>
      </c>
      <c r="AE167" s="7">
        <v>601.70299999999997</v>
      </c>
      <c r="AF167" s="7">
        <v>0</v>
      </c>
      <c r="AG167" s="7">
        <v>0</v>
      </c>
      <c r="AH167" s="7">
        <v>1423.836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22"/>
    </row>
    <row r="168" spans="1:60" ht="15.75" x14ac:dyDescent="0.25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22"/>
    </row>
    <row r="169" spans="1:60" ht="15.75" x14ac:dyDescent="0.25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22"/>
    </row>
    <row r="170" spans="1:60" ht="15.75" x14ac:dyDescent="0.25">
      <c r="A170" s="5" t="s">
        <v>319</v>
      </c>
      <c r="B170" s="5" t="s">
        <v>320</v>
      </c>
      <c r="C170" s="7">
        <v>6</v>
      </c>
      <c r="D170" s="7">
        <v>6</v>
      </c>
      <c r="E170" s="7">
        <v>-28.045999999999999</v>
      </c>
      <c r="F170" s="7">
        <v>-6.1989999999999998</v>
      </c>
      <c r="G170" s="7">
        <v>-6.085</v>
      </c>
      <c r="H170" s="7">
        <v>0</v>
      </c>
      <c r="I170" s="7">
        <v>-1.214</v>
      </c>
      <c r="J170" s="7">
        <v>-4.7629999999999999</v>
      </c>
      <c r="K170" s="7">
        <v>0</v>
      </c>
      <c r="L170" s="7">
        <v>-24.847000000000001</v>
      </c>
      <c r="M170" s="7">
        <v>-22.016999999999999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-1.919</v>
      </c>
      <c r="T170" s="7">
        <v>0</v>
      </c>
      <c r="U170" s="7">
        <v>0</v>
      </c>
      <c r="V170" s="7">
        <v>-0.64700000000000002</v>
      </c>
      <c r="W170" s="7">
        <v>-1.736</v>
      </c>
      <c r="X170" s="7">
        <v>0</v>
      </c>
      <c r="Y170" s="7">
        <v>-5.1459999999999999</v>
      </c>
      <c r="Z170" s="7">
        <v>0</v>
      </c>
      <c r="AA170" s="7">
        <v>-5.9109999999999996</v>
      </c>
      <c r="AB170" s="7">
        <v>0</v>
      </c>
      <c r="AC170" s="7">
        <v>-0.85</v>
      </c>
      <c r="AD170" s="7">
        <v>0</v>
      </c>
      <c r="AE170" s="7">
        <v>-14.805999999999999</v>
      </c>
      <c r="AF170" s="7">
        <v>0</v>
      </c>
      <c r="AG170" s="7">
        <v>0</v>
      </c>
      <c r="AH170" s="7">
        <v>-90.98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-0.1</v>
      </c>
      <c r="AP170" s="7">
        <v>0</v>
      </c>
      <c r="AQ170" s="7">
        <v>0</v>
      </c>
      <c r="AR170" s="7">
        <v>0</v>
      </c>
      <c r="AS170" s="7">
        <v>-2E-3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-0.02</v>
      </c>
      <c r="AZ170" s="7">
        <v>0</v>
      </c>
      <c r="BA170" s="7">
        <v>0</v>
      </c>
      <c r="BB170" s="7">
        <v>-1.7999999999999999E-2</v>
      </c>
      <c r="BC170" s="7">
        <v>-1.2999999999999999E-2</v>
      </c>
      <c r="BD170" s="7">
        <v>0</v>
      </c>
      <c r="BE170" s="7">
        <v>0</v>
      </c>
      <c r="BF170" s="7">
        <v>0</v>
      </c>
      <c r="BG170" s="7">
        <v>0</v>
      </c>
      <c r="BH170" s="22"/>
    </row>
    <row r="171" spans="1:60" ht="15.75" x14ac:dyDescent="0.25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22"/>
    </row>
    <row r="172" spans="1:60" ht="15.75" x14ac:dyDescent="0.25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22"/>
    </row>
    <row r="173" spans="1:60" ht="15.75" x14ac:dyDescent="0.25">
      <c r="A173" s="5" t="s">
        <v>323</v>
      </c>
      <c r="B173" s="5" t="s">
        <v>324</v>
      </c>
      <c r="C173" s="7">
        <v>4</v>
      </c>
      <c r="D173" s="7">
        <v>4</v>
      </c>
      <c r="E173" s="7">
        <v>5476.9380000000001</v>
      </c>
      <c r="F173" s="7">
        <v>1270.836</v>
      </c>
      <c r="G173" s="7">
        <v>0</v>
      </c>
      <c r="H173" s="7">
        <v>0</v>
      </c>
      <c r="I173" s="7">
        <v>58.674999999999997</v>
      </c>
      <c r="J173" s="7">
        <v>0</v>
      </c>
      <c r="K173" s="7">
        <v>0</v>
      </c>
      <c r="L173" s="7">
        <v>15013.55</v>
      </c>
      <c r="M173" s="7">
        <v>1396.3050000000001</v>
      </c>
      <c r="N173" s="7">
        <v>0</v>
      </c>
      <c r="O173" s="7">
        <v>0</v>
      </c>
      <c r="P173" s="7">
        <v>0.151</v>
      </c>
      <c r="Q173" s="7">
        <v>0</v>
      </c>
      <c r="R173" s="7">
        <v>0</v>
      </c>
      <c r="S173" s="7">
        <v>379.11799999999999</v>
      </c>
      <c r="T173" s="7">
        <v>0</v>
      </c>
      <c r="U173" s="7">
        <v>0</v>
      </c>
      <c r="V173" s="7">
        <v>0</v>
      </c>
      <c r="W173" s="7">
        <v>106.601</v>
      </c>
      <c r="X173" s="7">
        <v>0</v>
      </c>
      <c r="Y173" s="7">
        <v>2406.94</v>
      </c>
      <c r="Z173" s="7">
        <v>0</v>
      </c>
      <c r="AA173" s="7">
        <v>0</v>
      </c>
      <c r="AB173" s="7">
        <v>0.44900000000000001</v>
      </c>
      <c r="AC173" s="7">
        <v>217.749</v>
      </c>
      <c r="AD173" s="7">
        <v>0</v>
      </c>
      <c r="AE173" s="7">
        <v>6022.6570000000002</v>
      </c>
      <c r="AF173" s="7">
        <v>3031.5619999999999</v>
      </c>
      <c r="AG173" s="7">
        <v>0</v>
      </c>
      <c r="AH173" s="7">
        <v>24755.215</v>
      </c>
      <c r="AI173" s="7">
        <v>5380.8329999999996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27.472000000000001</v>
      </c>
      <c r="AP173" s="7">
        <v>0</v>
      </c>
      <c r="AQ173" s="7">
        <v>908.30100000000004</v>
      </c>
      <c r="AR173" s="7">
        <v>0</v>
      </c>
      <c r="AS173" s="7">
        <v>3.694</v>
      </c>
      <c r="AT173" s="7">
        <v>0</v>
      </c>
      <c r="AU173" s="7">
        <v>26.347000000000001</v>
      </c>
      <c r="AV173" s="7">
        <v>0</v>
      </c>
      <c r="AW173" s="7">
        <v>0</v>
      </c>
      <c r="AX173" s="7">
        <v>0</v>
      </c>
      <c r="AY173" s="7">
        <v>1.526</v>
      </c>
      <c r="AZ173" s="7">
        <v>7.0369999999999999</v>
      </c>
      <c r="BA173" s="7">
        <v>0</v>
      </c>
      <c r="BB173" s="7">
        <v>5.617</v>
      </c>
      <c r="BC173" s="7">
        <v>0</v>
      </c>
      <c r="BD173" s="7">
        <v>16.405999999999999</v>
      </c>
      <c r="BE173" s="7">
        <v>0.24399999999999999</v>
      </c>
      <c r="BF173" s="7">
        <v>4.657</v>
      </c>
      <c r="BG173" s="7">
        <v>0</v>
      </c>
      <c r="BH173" s="22"/>
    </row>
    <row r="174" spans="1:60" ht="15.75" x14ac:dyDescent="0.25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22"/>
    </row>
    <row r="175" spans="1:60" ht="15.75" x14ac:dyDescent="0.25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22"/>
    </row>
    <row r="176" spans="1:60" ht="15.75" x14ac:dyDescent="0.25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22"/>
    </row>
    <row r="177" spans="1:60" ht="15.75" x14ac:dyDescent="0.25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22"/>
    </row>
    <row r="178" spans="1:60" ht="15.75" x14ac:dyDescent="0.25">
      <c r="A178" s="5" t="s">
        <v>333</v>
      </c>
      <c r="B178" s="5" t="s">
        <v>334</v>
      </c>
      <c r="C178" s="7">
        <v>4</v>
      </c>
      <c r="D178" s="7">
        <v>4</v>
      </c>
      <c r="E178" s="7">
        <v>-8393.5570000000007</v>
      </c>
      <c r="F178" s="7">
        <v>-1955.6279999999999</v>
      </c>
      <c r="G178" s="7">
        <v>0</v>
      </c>
      <c r="H178" s="7">
        <v>0</v>
      </c>
      <c r="I178" s="7">
        <v>-89.194000000000003</v>
      </c>
      <c r="J178" s="7">
        <v>0</v>
      </c>
      <c r="K178" s="7">
        <v>0</v>
      </c>
      <c r="L178" s="7">
        <v>-23067.967000000001</v>
      </c>
      <c r="M178" s="7">
        <v>-2119.4870000000001</v>
      </c>
      <c r="N178" s="7">
        <v>0</v>
      </c>
      <c r="O178" s="7">
        <v>0</v>
      </c>
      <c r="P178" s="7">
        <v>-0.216</v>
      </c>
      <c r="Q178" s="7">
        <v>0</v>
      </c>
      <c r="R178" s="7">
        <v>0</v>
      </c>
      <c r="S178" s="7">
        <v>-587.995</v>
      </c>
      <c r="T178" s="7">
        <v>0</v>
      </c>
      <c r="U178" s="7">
        <v>0</v>
      </c>
      <c r="V178" s="7">
        <v>0</v>
      </c>
      <c r="W178" s="7">
        <v>-163.07300000000001</v>
      </c>
      <c r="X178" s="7">
        <v>0</v>
      </c>
      <c r="Y178" s="7">
        <v>-3744.8470000000002</v>
      </c>
      <c r="Z178" s="7">
        <v>0</v>
      </c>
      <c r="AA178" s="7">
        <v>0</v>
      </c>
      <c r="AB178" s="7">
        <v>-0.75</v>
      </c>
      <c r="AC178" s="7">
        <v>-335.62599999999998</v>
      </c>
      <c r="AD178" s="7">
        <v>0</v>
      </c>
      <c r="AE178" s="7">
        <v>-9372.9390000000003</v>
      </c>
      <c r="AF178" s="7">
        <v>-4669.866</v>
      </c>
      <c r="AG178" s="7">
        <v>0</v>
      </c>
      <c r="AH178" s="7">
        <v>-37808.811000000002</v>
      </c>
      <c r="AI178" s="7">
        <v>-8292.84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-43.267000000000003</v>
      </c>
      <c r="AP178" s="7">
        <v>0</v>
      </c>
      <c r="AQ178" s="7">
        <v>-1405.673</v>
      </c>
      <c r="AR178" s="7">
        <v>0</v>
      </c>
      <c r="AS178" s="7">
        <v>-5.76</v>
      </c>
      <c r="AT178" s="7">
        <v>0</v>
      </c>
      <c r="AU178" s="7">
        <v>-41.018999999999998</v>
      </c>
      <c r="AV178" s="7">
        <v>0</v>
      </c>
      <c r="AW178" s="7">
        <v>0</v>
      </c>
      <c r="AX178" s="7">
        <v>0</v>
      </c>
      <c r="AY178" s="7">
        <v>-2.3620000000000001</v>
      </c>
      <c r="AZ178" s="7">
        <v>-10.15</v>
      </c>
      <c r="BA178" s="7">
        <v>0</v>
      </c>
      <c r="BB178" s="7">
        <v>-8.68</v>
      </c>
      <c r="BC178" s="7">
        <v>0</v>
      </c>
      <c r="BD178" s="7">
        <v>-23.663</v>
      </c>
      <c r="BE178" s="7">
        <v>-0.38</v>
      </c>
      <c r="BF178" s="7">
        <v>-6.7169999999999996</v>
      </c>
      <c r="BG178" s="7">
        <v>0</v>
      </c>
      <c r="BH178" s="22"/>
    </row>
    <row r="179" spans="1:60" ht="15.75" x14ac:dyDescent="0.25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22"/>
    </row>
    <row r="180" spans="1:60" ht="15.75" x14ac:dyDescent="0.25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22"/>
    </row>
    <row r="181" spans="1:60" ht="15.75" x14ac:dyDescent="0.25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22"/>
    </row>
    <row r="182" spans="1:60" ht="15.75" x14ac:dyDescent="0.25">
      <c r="A182" s="5" t="s">
        <v>341</v>
      </c>
      <c r="B182" s="5" t="s">
        <v>342</v>
      </c>
      <c r="C182" s="7">
        <v>4</v>
      </c>
      <c r="D182" s="7">
        <v>4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22"/>
    </row>
    <row r="183" spans="1:60" ht="15.75" x14ac:dyDescent="0.25">
      <c r="A183" s="5" t="s">
        <v>323</v>
      </c>
      <c r="B183" s="5" t="s">
        <v>343</v>
      </c>
      <c r="C183" s="7">
        <v>6</v>
      </c>
      <c r="D183" s="7">
        <v>6</v>
      </c>
      <c r="E183" s="7">
        <v>47.051000000000002</v>
      </c>
      <c r="F183" s="7">
        <v>10.472</v>
      </c>
      <c r="G183" s="7">
        <v>0</v>
      </c>
      <c r="H183" s="7">
        <v>0</v>
      </c>
      <c r="I183" s="7">
        <v>0.53300000000000003</v>
      </c>
      <c r="J183" s="7">
        <v>0</v>
      </c>
      <c r="K183" s="7">
        <v>0</v>
      </c>
      <c r="L183" s="7">
        <v>124.893</v>
      </c>
      <c r="M183" s="7">
        <v>13.127000000000001</v>
      </c>
      <c r="N183" s="7">
        <v>0</v>
      </c>
      <c r="O183" s="7">
        <v>0</v>
      </c>
      <c r="P183" s="7">
        <v>2E-3</v>
      </c>
      <c r="Q183" s="7">
        <v>0</v>
      </c>
      <c r="R183" s="7">
        <v>0</v>
      </c>
      <c r="S183" s="7">
        <v>2.806</v>
      </c>
      <c r="T183" s="7">
        <v>0</v>
      </c>
      <c r="U183" s="7">
        <v>0</v>
      </c>
      <c r="V183" s="7">
        <v>0</v>
      </c>
      <c r="W183" s="7">
        <v>0.92200000000000004</v>
      </c>
      <c r="X183" s="7">
        <v>0</v>
      </c>
      <c r="Y183" s="7">
        <v>19.440999999999999</v>
      </c>
      <c r="Z183" s="7">
        <v>0</v>
      </c>
      <c r="AA183" s="7">
        <v>0</v>
      </c>
      <c r="AB183" s="7">
        <v>0</v>
      </c>
      <c r="AC183" s="7">
        <v>1.796</v>
      </c>
      <c r="AD183" s="7">
        <v>0</v>
      </c>
      <c r="AE183" s="7">
        <v>48.463000000000001</v>
      </c>
      <c r="AF183" s="7">
        <v>25.055</v>
      </c>
      <c r="AG183" s="7">
        <v>0</v>
      </c>
      <c r="AH183" s="7">
        <v>205.62299999999999</v>
      </c>
      <c r="AI183" s="7">
        <v>44.384999999999998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0.184</v>
      </c>
      <c r="AP183" s="7">
        <v>0</v>
      </c>
      <c r="AQ183" s="7">
        <v>7.53</v>
      </c>
      <c r="AR183" s="7">
        <v>0</v>
      </c>
      <c r="AS183" s="7">
        <v>2.9000000000000001E-2</v>
      </c>
      <c r="AT183" s="7">
        <v>0</v>
      </c>
      <c r="AU183" s="7">
        <v>0.21</v>
      </c>
      <c r="AV183" s="7">
        <v>0</v>
      </c>
      <c r="AW183" s="7">
        <v>0</v>
      </c>
      <c r="AX183" s="7">
        <v>0</v>
      </c>
      <c r="AY183" s="7">
        <v>1.2999999999999999E-2</v>
      </c>
      <c r="AZ183" s="7">
        <v>0.114</v>
      </c>
      <c r="BA183" s="7">
        <v>0</v>
      </c>
      <c r="BB183" s="7">
        <v>4.9000000000000002E-2</v>
      </c>
      <c r="BC183" s="7">
        <v>0</v>
      </c>
      <c r="BD183" s="7">
        <v>0.26600000000000001</v>
      </c>
      <c r="BE183" s="7">
        <v>2E-3</v>
      </c>
      <c r="BF183" s="7">
        <v>7.4999999999999997E-2</v>
      </c>
      <c r="BG183" s="7">
        <v>0</v>
      </c>
      <c r="BH183" s="22"/>
    </row>
    <row r="184" spans="1:60" ht="15.75" x14ac:dyDescent="0.25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22"/>
    </row>
    <row r="185" spans="1:60" ht="15.75" x14ac:dyDescent="0.25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22"/>
    </row>
    <row r="186" spans="1:60" ht="15.75" x14ac:dyDescent="0.25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22"/>
    </row>
    <row r="187" spans="1:60" ht="15.75" x14ac:dyDescent="0.25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22"/>
    </row>
    <row r="188" spans="1:60" ht="15.75" x14ac:dyDescent="0.25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22"/>
    </row>
    <row r="189" spans="1:60" ht="15.75" x14ac:dyDescent="0.25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22"/>
    </row>
    <row r="190" spans="1:60" ht="15.75" x14ac:dyDescent="0.25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22"/>
    </row>
    <row r="191" spans="1:60" ht="15.75" x14ac:dyDescent="0.25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22"/>
    </row>
    <row r="192" spans="1:60" ht="15.75" x14ac:dyDescent="0.25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22"/>
    </row>
    <row r="193" spans="1:60" ht="15.75" x14ac:dyDescent="0.25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22"/>
    </row>
    <row r="194" spans="1:60" ht="15.75" x14ac:dyDescent="0.25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22"/>
    </row>
    <row r="195" spans="1:60" ht="15.75" x14ac:dyDescent="0.25">
      <c r="A195" s="5" t="s">
        <v>357</v>
      </c>
      <c r="B195" s="5" t="s">
        <v>358</v>
      </c>
      <c r="C195" s="7">
        <v>6</v>
      </c>
      <c r="D195" s="7">
        <v>6</v>
      </c>
      <c r="E195" s="7">
        <v>39.780999999999999</v>
      </c>
      <c r="F195" s="7">
        <v>3.3559999999999999</v>
      </c>
      <c r="G195" s="7">
        <v>12.114000000000001</v>
      </c>
      <c r="H195" s="7">
        <v>0</v>
      </c>
      <c r="I195" s="7">
        <v>0.82</v>
      </c>
      <c r="J195" s="7">
        <v>8.3040000000000003</v>
      </c>
      <c r="K195" s="7">
        <v>0</v>
      </c>
      <c r="L195" s="7">
        <v>10.507999999999999</v>
      </c>
      <c r="M195" s="7">
        <v>24.541</v>
      </c>
      <c r="N195" s="7">
        <v>0</v>
      </c>
      <c r="O195" s="7">
        <v>0</v>
      </c>
      <c r="P195" s="7">
        <v>2E-3</v>
      </c>
      <c r="Q195" s="7">
        <v>0</v>
      </c>
      <c r="R195" s="7">
        <v>0</v>
      </c>
      <c r="S195" s="7">
        <v>1.411</v>
      </c>
      <c r="T195" s="7">
        <v>0</v>
      </c>
      <c r="U195" s="7">
        <v>0</v>
      </c>
      <c r="V195" s="7">
        <v>0.747</v>
      </c>
      <c r="W195" s="7">
        <v>2.367</v>
      </c>
      <c r="X195" s="7">
        <v>0</v>
      </c>
      <c r="Y195" s="7">
        <v>3.7559999999999998</v>
      </c>
      <c r="Z195" s="7">
        <v>0</v>
      </c>
      <c r="AA195" s="7">
        <v>9.6760000000000002</v>
      </c>
      <c r="AB195" s="7">
        <v>0</v>
      </c>
      <c r="AC195" s="7">
        <v>0.628</v>
      </c>
      <c r="AD195" s="7">
        <v>0</v>
      </c>
      <c r="AE195" s="7">
        <v>8.5030000000000001</v>
      </c>
      <c r="AF195" s="7">
        <v>0</v>
      </c>
      <c r="AG195" s="7">
        <v>0</v>
      </c>
      <c r="AH195" s="7">
        <v>44.386000000000003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9.9000000000000005E-2</v>
      </c>
      <c r="AP195" s="7">
        <v>0</v>
      </c>
      <c r="AQ195" s="7">
        <v>0</v>
      </c>
      <c r="AR195" s="7">
        <v>0</v>
      </c>
      <c r="AS195" s="7">
        <v>5.0000000000000001E-3</v>
      </c>
      <c r="AT195" s="7">
        <v>0</v>
      </c>
      <c r="AU195" s="7">
        <v>0.29399999999999998</v>
      </c>
      <c r="AV195" s="7">
        <v>0</v>
      </c>
      <c r="AW195" s="7">
        <v>0</v>
      </c>
      <c r="AX195" s="7">
        <v>0</v>
      </c>
      <c r="AY195" s="7">
        <v>0.02</v>
      </c>
      <c r="AZ195" s="7">
        <v>0</v>
      </c>
      <c r="BA195" s="7">
        <v>0</v>
      </c>
      <c r="BB195" s="7">
        <v>0.02</v>
      </c>
      <c r="BC195" s="7">
        <v>1.4999999999999999E-2</v>
      </c>
      <c r="BD195" s="7">
        <v>0</v>
      </c>
      <c r="BE195" s="7">
        <v>0</v>
      </c>
      <c r="BF195" s="7">
        <v>0</v>
      </c>
      <c r="BG195" s="7">
        <v>0</v>
      </c>
      <c r="BH195" s="22"/>
    </row>
    <row r="196" spans="1:60" ht="15.75" x14ac:dyDescent="0.25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22"/>
    </row>
    <row r="197" spans="1:60" ht="15.75" x14ac:dyDescent="0.25">
      <c r="A197" s="5" t="s">
        <v>361</v>
      </c>
      <c r="B197" s="5" t="s">
        <v>362</v>
      </c>
      <c r="C197" s="7">
        <v>6</v>
      </c>
      <c r="D197" s="7">
        <v>6</v>
      </c>
      <c r="E197" s="7">
        <v>164.77799999999999</v>
      </c>
      <c r="F197" s="7">
        <v>0</v>
      </c>
      <c r="G197" s="7">
        <v>40.122999999999998</v>
      </c>
      <c r="H197" s="7">
        <v>0</v>
      </c>
      <c r="I197" s="7">
        <v>0</v>
      </c>
      <c r="J197" s="7">
        <v>69.792000000000002</v>
      </c>
      <c r="K197" s="7">
        <v>0</v>
      </c>
      <c r="L197" s="7">
        <v>592.66999999999996</v>
      </c>
      <c r="M197" s="7">
        <v>85.938000000000002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508.05799999999999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22"/>
    </row>
    <row r="198" spans="1:60" ht="15.75" x14ac:dyDescent="0.25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22"/>
    </row>
    <row r="199" spans="1:60" ht="15.75" x14ac:dyDescent="0.25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22"/>
    </row>
    <row r="200" spans="1:60" ht="15.75" x14ac:dyDescent="0.25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22"/>
    </row>
    <row r="201" spans="1:60" ht="15.75" x14ac:dyDescent="0.25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22"/>
    </row>
    <row r="202" spans="1:60" ht="15.75" x14ac:dyDescent="0.25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22"/>
    </row>
    <row r="203" spans="1:60" ht="15.75" x14ac:dyDescent="0.25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22"/>
    </row>
    <row r="204" spans="1:60" ht="15.75" x14ac:dyDescent="0.25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22"/>
    </row>
    <row r="205" spans="1:60" ht="15.75" x14ac:dyDescent="0.25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22"/>
    </row>
    <row r="206" spans="1:60" ht="15.75" x14ac:dyDescent="0.25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22"/>
    </row>
    <row r="207" spans="1:60" ht="15.75" x14ac:dyDescent="0.25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22"/>
    </row>
    <row r="208" spans="1:60" ht="15.75" x14ac:dyDescent="0.25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22"/>
    </row>
    <row r="209" spans="1:60" ht="15.75" x14ac:dyDescent="0.25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22"/>
    </row>
    <row r="210" spans="1:60" ht="15.75" x14ac:dyDescent="0.25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22"/>
    </row>
    <row r="211" spans="1:60" ht="15.75" x14ac:dyDescent="0.25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22"/>
    </row>
    <row r="212" spans="1:60" ht="15.75" x14ac:dyDescent="0.25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22"/>
    </row>
    <row r="213" spans="1:60" ht="15.75" x14ac:dyDescent="0.25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22"/>
    </row>
    <row r="214" spans="1:60" ht="15.75" x14ac:dyDescent="0.25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22"/>
    </row>
    <row r="215" spans="1:60" ht="15.75" x14ac:dyDescent="0.25">
      <c r="A215" s="5" t="s">
        <v>353</v>
      </c>
      <c r="B215" s="5" t="s">
        <v>397</v>
      </c>
      <c r="C215" s="7">
        <v>6</v>
      </c>
      <c r="D215" s="7">
        <v>6</v>
      </c>
      <c r="E215" s="7">
        <v>1471.049</v>
      </c>
      <c r="F215" s="7">
        <v>135.536</v>
      </c>
      <c r="G215" s="7">
        <v>199.68899999999999</v>
      </c>
      <c r="H215" s="7">
        <v>2.8959999999999999</v>
      </c>
      <c r="I215" s="7">
        <v>34.070999999999998</v>
      </c>
      <c r="J215" s="7">
        <v>119.34099999999999</v>
      </c>
      <c r="K215" s="7">
        <v>0</v>
      </c>
      <c r="L215" s="7">
        <v>1085.259</v>
      </c>
      <c r="M215" s="7">
        <v>537.69299999999998</v>
      </c>
      <c r="N215" s="7">
        <v>0</v>
      </c>
      <c r="O215" s="7">
        <v>0</v>
      </c>
      <c r="P215" s="7">
        <v>6.3609999999999998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16.731000000000002</v>
      </c>
      <c r="W215" s="7">
        <v>51.558999999999997</v>
      </c>
      <c r="X215" s="7">
        <v>0</v>
      </c>
      <c r="Y215" s="7">
        <v>407.52300000000002</v>
      </c>
      <c r="Z215" s="7">
        <v>0</v>
      </c>
      <c r="AA215" s="7">
        <v>143.29900000000001</v>
      </c>
      <c r="AB215" s="7">
        <v>0</v>
      </c>
      <c r="AC215" s="7">
        <v>21.672000000000001</v>
      </c>
      <c r="AD215" s="7">
        <v>0</v>
      </c>
      <c r="AE215" s="7">
        <v>1295.1510000000001</v>
      </c>
      <c r="AF215" s="7">
        <v>0</v>
      </c>
      <c r="AG215" s="7">
        <v>0</v>
      </c>
      <c r="AH215" s="7">
        <v>3080.732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22"/>
    </row>
    <row r="216" spans="1:60" ht="15.75" x14ac:dyDescent="0.25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22"/>
    </row>
    <row r="217" spans="1:60" ht="15.75" x14ac:dyDescent="0.25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22"/>
    </row>
    <row r="218" spans="1:60" ht="15.75" x14ac:dyDescent="0.25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22"/>
    </row>
    <row r="219" spans="1:60" ht="15.75" x14ac:dyDescent="0.25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22"/>
    </row>
    <row r="220" spans="1:60" ht="15.75" x14ac:dyDescent="0.25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-2E-3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22"/>
    </row>
    <row r="221" spans="1:60" ht="15.75" x14ac:dyDescent="0.25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22"/>
    </row>
    <row r="222" spans="1:60" ht="15.75" x14ac:dyDescent="0.25">
      <c r="A222" s="5" t="s">
        <v>367</v>
      </c>
      <c r="B222" s="5" t="s">
        <v>404</v>
      </c>
      <c r="C222" s="7">
        <v>6</v>
      </c>
      <c r="D222" s="7">
        <v>6</v>
      </c>
      <c r="E222" s="7">
        <v>13270.08</v>
      </c>
      <c r="F222" s="7">
        <v>2953.58</v>
      </c>
      <c r="G222" s="7">
        <v>0</v>
      </c>
      <c r="H222" s="7">
        <v>0</v>
      </c>
      <c r="I222" s="7">
        <v>150.357</v>
      </c>
      <c r="J222" s="7">
        <v>0</v>
      </c>
      <c r="K222" s="7">
        <v>0</v>
      </c>
      <c r="L222" s="7">
        <v>35224.531000000003</v>
      </c>
      <c r="M222" s="7">
        <v>3702.404</v>
      </c>
      <c r="N222" s="7">
        <v>0</v>
      </c>
      <c r="O222" s="7">
        <v>0</v>
      </c>
      <c r="P222" s="7">
        <v>0.68799999999999994</v>
      </c>
      <c r="Q222" s="7">
        <v>0</v>
      </c>
      <c r="R222" s="7">
        <v>0</v>
      </c>
      <c r="S222" s="7">
        <v>791.41700000000003</v>
      </c>
      <c r="T222" s="7">
        <v>0</v>
      </c>
      <c r="U222" s="7">
        <v>0</v>
      </c>
      <c r="V222" s="7">
        <v>0</v>
      </c>
      <c r="W222" s="7">
        <v>260.09100000000001</v>
      </c>
      <c r="X222" s="7">
        <v>0</v>
      </c>
      <c r="Y222" s="7">
        <v>5483.2</v>
      </c>
      <c r="Z222" s="7">
        <v>0</v>
      </c>
      <c r="AA222" s="7">
        <v>0</v>
      </c>
      <c r="AB222" s="7">
        <v>0</v>
      </c>
      <c r="AC222" s="7">
        <v>506.64400000000001</v>
      </c>
      <c r="AD222" s="7">
        <v>0</v>
      </c>
      <c r="AE222" s="7">
        <v>13668.357</v>
      </c>
      <c r="AF222" s="7">
        <v>7066.348</v>
      </c>
      <c r="AG222" s="7">
        <v>0</v>
      </c>
      <c r="AH222" s="7">
        <v>57993.334999999999</v>
      </c>
      <c r="AI222" s="7">
        <v>12518.348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52.023000000000003</v>
      </c>
      <c r="AP222" s="7">
        <v>0</v>
      </c>
      <c r="AQ222" s="7">
        <v>2123.634</v>
      </c>
      <c r="AR222" s="7">
        <v>0</v>
      </c>
      <c r="AS222" s="7">
        <v>8.1880000000000006</v>
      </c>
      <c r="AT222" s="7">
        <v>0</v>
      </c>
      <c r="AU222" s="7">
        <v>59.267000000000003</v>
      </c>
      <c r="AV222" s="7">
        <v>0</v>
      </c>
      <c r="AW222" s="7">
        <v>0</v>
      </c>
      <c r="AX222" s="7">
        <v>0</v>
      </c>
      <c r="AY222" s="7">
        <v>3.802</v>
      </c>
      <c r="AZ222" s="7">
        <v>32.158999999999999</v>
      </c>
      <c r="BA222" s="7">
        <v>0</v>
      </c>
      <c r="BB222" s="7">
        <v>13.945</v>
      </c>
      <c r="BC222" s="7">
        <v>0</v>
      </c>
      <c r="BD222" s="7">
        <v>74.968999999999994</v>
      </c>
      <c r="BE222" s="7">
        <v>0.61199999999999999</v>
      </c>
      <c r="BF222" s="7">
        <v>21.283999999999999</v>
      </c>
      <c r="BG222" s="7">
        <v>0</v>
      </c>
      <c r="BH222" s="22"/>
    </row>
    <row r="223" spans="1:60" ht="15.75" x14ac:dyDescent="0.25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22"/>
    </row>
    <row r="224" spans="1:60" ht="15.75" x14ac:dyDescent="0.25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22"/>
    </row>
    <row r="225" spans="1:60" ht="15.75" x14ac:dyDescent="0.25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22"/>
    </row>
    <row r="226" spans="1:60" ht="15.75" x14ac:dyDescent="0.25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22"/>
    </row>
    <row r="227" spans="1:60" ht="15.75" x14ac:dyDescent="0.25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22"/>
    </row>
    <row r="228" spans="1:60" ht="15.75" x14ac:dyDescent="0.25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22"/>
    </row>
    <row r="229" spans="1:60" ht="15.75" x14ac:dyDescent="0.25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22"/>
    </row>
    <row r="230" spans="1:60" ht="15.75" x14ac:dyDescent="0.25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22"/>
    </row>
    <row r="231" spans="1:60" ht="15.75" x14ac:dyDescent="0.25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22"/>
    </row>
    <row r="232" spans="1:60" ht="15.75" x14ac:dyDescent="0.25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22"/>
    </row>
    <row r="233" spans="1:60" ht="15.75" x14ac:dyDescent="0.25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22"/>
    </row>
    <row r="234" spans="1:60" ht="15.75" x14ac:dyDescent="0.25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22"/>
    </row>
    <row r="235" spans="1:60" ht="15.75" x14ac:dyDescent="0.25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22"/>
    </row>
    <row r="236" spans="1:60" ht="15.75" x14ac:dyDescent="0.25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22"/>
    </row>
    <row r="237" spans="1:60" ht="15.75" x14ac:dyDescent="0.25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22"/>
    </row>
    <row r="238" spans="1:60" ht="15.75" x14ac:dyDescent="0.25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22"/>
    </row>
    <row r="239" spans="1:60" ht="15.75" x14ac:dyDescent="0.25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22"/>
    </row>
    <row r="240" spans="1:60" ht="15.75" x14ac:dyDescent="0.25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22"/>
    </row>
    <row r="241" spans="1:60" ht="15.75" x14ac:dyDescent="0.25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22"/>
    </row>
    <row r="242" spans="1:60" ht="15.75" x14ac:dyDescent="0.25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22"/>
    </row>
    <row r="243" spans="1:60" ht="15.75" x14ac:dyDescent="0.25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22"/>
    </row>
    <row r="244" spans="1:60" ht="15.75" x14ac:dyDescent="0.25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22"/>
    </row>
    <row r="245" spans="1:60" ht="15.75" x14ac:dyDescent="0.25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22"/>
    </row>
    <row r="246" spans="1:60" ht="15.75" x14ac:dyDescent="0.25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22"/>
    </row>
    <row r="247" spans="1:60" ht="15.75" x14ac:dyDescent="0.25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22"/>
    </row>
    <row r="248" spans="1:60" ht="15.75" x14ac:dyDescent="0.25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22"/>
    </row>
    <row r="249" spans="1:60" ht="15.75" x14ac:dyDescent="0.25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22"/>
    </row>
    <row r="250" spans="1:60" ht="15.75" x14ac:dyDescent="0.25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22"/>
    </row>
    <row r="251" spans="1:60" ht="15.75" x14ac:dyDescent="0.25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22"/>
    </row>
    <row r="252" spans="1:60" ht="15.75" x14ac:dyDescent="0.25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22"/>
    </row>
    <row r="253" spans="1:60" ht="15.75" x14ac:dyDescent="0.25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22"/>
    </row>
    <row r="254" spans="1:60" ht="15.75" x14ac:dyDescent="0.25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22"/>
    </row>
    <row r="255" spans="1:60" ht="15.75" x14ac:dyDescent="0.25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22"/>
    </row>
    <row r="256" spans="1:60" ht="15.75" x14ac:dyDescent="0.25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22"/>
    </row>
    <row r="257" spans="1:60" ht="15.75" x14ac:dyDescent="0.25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22"/>
    </row>
    <row r="258" spans="1:60" ht="15.75" x14ac:dyDescent="0.25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534.10199999999998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419.065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22"/>
    </row>
    <row r="259" spans="1:60" ht="15.75" x14ac:dyDescent="0.25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4.1000000000000002E-2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4.7E-2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22"/>
    </row>
    <row r="260" spans="1:60" ht="15.75" x14ac:dyDescent="0.25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22"/>
    </row>
    <row r="261" spans="1:60" ht="15.75" x14ac:dyDescent="0.25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22"/>
    </row>
    <row r="262" spans="1:60" ht="15.75" x14ac:dyDescent="0.25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22"/>
    </row>
    <row r="263" spans="1:60" ht="15.75" x14ac:dyDescent="0.25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22"/>
    </row>
    <row r="264" spans="1:60" ht="15.75" x14ac:dyDescent="0.25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22"/>
    </row>
    <row r="265" spans="1:60" ht="15.75" x14ac:dyDescent="0.25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22"/>
    </row>
    <row r="266" spans="1:60" ht="15.75" x14ac:dyDescent="0.25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22"/>
    </row>
    <row r="267" spans="1:60" ht="15.75" x14ac:dyDescent="0.25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22"/>
    </row>
    <row r="268" spans="1:60" ht="15.75" x14ac:dyDescent="0.25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22"/>
    </row>
    <row r="269" spans="1:60" ht="15.75" x14ac:dyDescent="0.25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22"/>
    </row>
    <row r="270" spans="1:60" ht="15.75" x14ac:dyDescent="0.25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22"/>
    </row>
    <row r="271" spans="1:60" ht="15.75" x14ac:dyDescent="0.25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22"/>
    </row>
    <row r="272" spans="1:60" ht="15.75" x14ac:dyDescent="0.25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22"/>
    </row>
    <row r="273" spans="1:60" ht="15.75" x14ac:dyDescent="0.25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22"/>
    </row>
    <row r="274" spans="1:60" ht="15.75" x14ac:dyDescent="0.25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22"/>
    </row>
    <row r="275" spans="1:60" ht="15.75" x14ac:dyDescent="0.25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22"/>
    </row>
    <row r="276" spans="1:60" ht="15.75" x14ac:dyDescent="0.25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22"/>
    </row>
    <row r="277" spans="1:60" ht="15.75" x14ac:dyDescent="0.25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22"/>
    </row>
    <row r="278" spans="1:60" ht="15.75" x14ac:dyDescent="0.25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22"/>
    </row>
    <row r="279" spans="1:60" ht="15.75" x14ac:dyDescent="0.25">
      <c r="A279" s="5" t="s">
        <v>459</v>
      </c>
      <c r="B279" s="5" t="s">
        <v>483</v>
      </c>
      <c r="C279" s="7">
        <v>6</v>
      </c>
      <c r="D279" s="7">
        <v>6</v>
      </c>
      <c r="E279" s="7">
        <v>4748.1660000000002</v>
      </c>
      <c r="F279" s="7">
        <v>2394.23</v>
      </c>
      <c r="G279" s="7">
        <v>217.179</v>
      </c>
      <c r="H279" s="7">
        <v>395.35</v>
      </c>
      <c r="I279" s="7">
        <v>329.74200000000002</v>
      </c>
      <c r="J279" s="7">
        <v>1904.1669999999999</v>
      </c>
      <c r="K279" s="7">
        <v>0</v>
      </c>
      <c r="L279" s="7">
        <v>6599.8329999999996</v>
      </c>
      <c r="M279" s="7">
        <v>4060.7440000000001</v>
      </c>
      <c r="N279" s="7">
        <v>0</v>
      </c>
      <c r="O279" s="7">
        <v>0</v>
      </c>
      <c r="P279" s="7">
        <v>1.0999999999999999E-2</v>
      </c>
      <c r="Q279" s="7">
        <v>0</v>
      </c>
      <c r="R279" s="7">
        <v>0</v>
      </c>
      <c r="S279" s="7">
        <v>887.87300000000005</v>
      </c>
      <c r="T279" s="7">
        <v>0</v>
      </c>
      <c r="U279" s="7">
        <v>0</v>
      </c>
      <c r="V279" s="7">
        <v>174.715</v>
      </c>
      <c r="W279" s="7">
        <v>97.296999999999997</v>
      </c>
      <c r="X279" s="7">
        <v>0</v>
      </c>
      <c r="Y279" s="7">
        <v>0.186</v>
      </c>
      <c r="Z279" s="7">
        <v>0</v>
      </c>
      <c r="AA279" s="7">
        <v>3923.2820000000002</v>
      </c>
      <c r="AB279" s="7">
        <v>0</v>
      </c>
      <c r="AC279" s="7">
        <v>460.149</v>
      </c>
      <c r="AD279" s="7">
        <v>0</v>
      </c>
      <c r="AE279" s="7">
        <v>8.2810000000000006</v>
      </c>
      <c r="AF279" s="7">
        <v>46.994999999999997</v>
      </c>
      <c r="AG279" s="7">
        <v>0</v>
      </c>
      <c r="AH279" s="7">
        <v>17489.080999999998</v>
      </c>
      <c r="AI279" s="7">
        <v>1.1679999999999999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100.56399999999999</v>
      </c>
      <c r="AP279" s="7">
        <v>0</v>
      </c>
      <c r="AQ279" s="7">
        <v>6.59</v>
      </c>
      <c r="AR279" s="7">
        <v>0</v>
      </c>
      <c r="AS279" s="7">
        <v>3.5819999999999999</v>
      </c>
      <c r="AT279" s="7">
        <v>0</v>
      </c>
      <c r="AU279" s="7">
        <v>0.48799999999999999</v>
      </c>
      <c r="AV279" s="7">
        <v>0</v>
      </c>
      <c r="AW279" s="7">
        <v>0</v>
      </c>
      <c r="AX279" s="7">
        <v>0</v>
      </c>
      <c r="AY279" s="7">
        <v>15.327</v>
      </c>
      <c r="AZ279" s="7">
        <v>0</v>
      </c>
      <c r="BA279" s="7">
        <v>0</v>
      </c>
      <c r="BB279" s="7">
        <v>17.399000000000001</v>
      </c>
      <c r="BC279" s="7">
        <v>13.779</v>
      </c>
      <c r="BD279" s="7">
        <v>0</v>
      </c>
      <c r="BE279" s="7">
        <v>0.76700000000000002</v>
      </c>
      <c r="BF279" s="7">
        <v>0</v>
      </c>
      <c r="BG279" s="7">
        <v>0</v>
      </c>
      <c r="BH279" s="22"/>
    </row>
    <row r="280" spans="1:60" ht="15.75" x14ac:dyDescent="0.25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22"/>
    </row>
    <row r="281" spans="1:60" ht="15.75" x14ac:dyDescent="0.25">
      <c r="A281" s="5" t="s">
        <v>485</v>
      </c>
      <c r="B281" s="5" t="s">
        <v>486</v>
      </c>
      <c r="C281" s="7">
        <v>5</v>
      </c>
      <c r="D281" s="7">
        <v>5</v>
      </c>
      <c r="E281" s="7">
        <v>137420.90900000001</v>
      </c>
      <c r="F281" s="7">
        <v>0</v>
      </c>
      <c r="G281" s="7">
        <v>14598.101000000001</v>
      </c>
      <c r="H281" s="7">
        <v>497.642</v>
      </c>
      <c r="I281" s="7">
        <v>0</v>
      </c>
      <c r="J281" s="7">
        <v>23715.723999999998</v>
      </c>
      <c r="K281" s="7">
        <v>6832.3440000000001</v>
      </c>
      <c r="L281" s="7">
        <v>179220.88399999999</v>
      </c>
      <c r="M281" s="7">
        <v>138011.16699999999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2424.1460000000002</v>
      </c>
      <c r="V281" s="7">
        <v>599.43399999999997</v>
      </c>
      <c r="W281" s="7">
        <v>4022.56</v>
      </c>
      <c r="X281" s="7">
        <v>0</v>
      </c>
      <c r="Y281" s="7">
        <v>36342.527000000002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87519.161999999997</v>
      </c>
      <c r="AF281" s="7">
        <v>13569.436</v>
      </c>
      <c r="AG281" s="7">
        <v>2828.1930000000002</v>
      </c>
      <c r="AH281" s="7">
        <v>594729.18099999998</v>
      </c>
      <c r="AI281" s="7">
        <v>116190.906</v>
      </c>
      <c r="AJ281" s="7">
        <v>25.9</v>
      </c>
      <c r="AK281" s="7">
        <v>34.182000000000002</v>
      </c>
      <c r="AL281" s="7">
        <v>116.46599999999999</v>
      </c>
      <c r="AM281" s="7">
        <v>522.61400000000003</v>
      </c>
      <c r="AN281" s="7">
        <v>637.70899999999995</v>
      </c>
      <c r="AO281" s="7">
        <v>0</v>
      </c>
      <c r="AP281" s="7">
        <v>0</v>
      </c>
      <c r="AQ281" s="7">
        <v>3672.9180000000001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22"/>
    </row>
    <row r="282" spans="1:60" ht="15.75" x14ac:dyDescent="0.25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22"/>
    </row>
    <row r="283" spans="1:60" ht="15.75" x14ac:dyDescent="0.25">
      <c r="A283" s="5" t="s">
        <v>489</v>
      </c>
      <c r="B283" s="5" t="s">
        <v>490</v>
      </c>
      <c r="C283" s="7">
        <v>5</v>
      </c>
      <c r="D283" s="7">
        <v>5</v>
      </c>
      <c r="E283" s="7">
        <v>18055.546999999999</v>
      </c>
      <c r="F283" s="7">
        <v>1676.221</v>
      </c>
      <c r="G283" s="7">
        <v>2398.6970000000001</v>
      </c>
      <c r="H283" s="7">
        <v>0</v>
      </c>
      <c r="I283" s="7">
        <v>421.37400000000002</v>
      </c>
      <c r="J283" s="7">
        <v>1461.03</v>
      </c>
      <c r="K283" s="7">
        <v>0</v>
      </c>
      <c r="L283" s="7">
        <v>13282.055</v>
      </c>
      <c r="M283" s="7">
        <v>6526.67</v>
      </c>
      <c r="N283" s="7">
        <v>0</v>
      </c>
      <c r="O283" s="7">
        <v>0</v>
      </c>
      <c r="P283" s="7">
        <v>78.67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206.91499999999999</v>
      </c>
      <c r="W283" s="7">
        <v>637.64300000000003</v>
      </c>
      <c r="X283" s="7">
        <v>0</v>
      </c>
      <c r="Y283" s="7">
        <v>5039.9759999999997</v>
      </c>
      <c r="Z283" s="7">
        <v>0</v>
      </c>
      <c r="AA283" s="7">
        <v>1772.2239999999999</v>
      </c>
      <c r="AB283" s="7">
        <v>0</v>
      </c>
      <c r="AC283" s="7">
        <v>268.02</v>
      </c>
      <c r="AD283" s="7">
        <v>0</v>
      </c>
      <c r="AE283" s="7">
        <v>16017.594999999999</v>
      </c>
      <c r="AF283" s="7">
        <v>0</v>
      </c>
      <c r="AG283" s="7">
        <v>0</v>
      </c>
      <c r="AH283" s="7">
        <v>37903.108999999997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22"/>
    </row>
    <row r="284" spans="1:60" ht="15.75" x14ac:dyDescent="0.25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22"/>
    </row>
    <row r="285" spans="1:60" ht="15.75" x14ac:dyDescent="0.25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22"/>
    </row>
    <row r="286" spans="1:60" ht="15.75" x14ac:dyDescent="0.25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22"/>
    </row>
    <row r="287" spans="1:60" ht="15.75" x14ac:dyDescent="0.25">
      <c r="A287" s="5" t="s">
        <v>497</v>
      </c>
      <c r="B287" s="5" t="s">
        <v>498</v>
      </c>
      <c r="C287" s="7">
        <v>5</v>
      </c>
      <c r="D287" s="7">
        <v>5</v>
      </c>
      <c r="E287" s="7">
        <v>62557.286</v>
      </c>
      <c r="F287" s="7">
        <v>6034.241</v>
      </c>
      <c r="G287" s="7">
        <v>9724.2829999999994</v>
      </c>
      <c r="H287" s="7">
        <v>0</v>
      </c>
      <c r="I287" s="7">
        <v>1576.874</v>
      </c>
      <c r="J287" s="7">
        <v>5495.6319999999996</v>
      </c>
      <c r="K287" s="7">
        <v>0</v>
      </c>
      <c r="L287" s="7">
        <v>58798.322999999997</v>
      </c>
      <c r="M287" s="7">
        <v>26675.719000000001</v>
      </c>
      <c r="N287" s="7">
        <v>0</v>
      </c>
      <c r="O287" s="7">
        <v>0</v>
      </c>
      <c r="P287" s="7">
        <v>320.06</v>
      </c>
      <c r="Q287" s="7">
        <v>0</v>
      </c>
      <c r="R287" s="7">
        <v>0</v>
      </c>
      <c r="S287" s="7">
        <v>0.152</v>
      </c>
      <c r="T287" s="7">
        <v>0</v>
      </c>
      <c r="U287" s="7">
        <v>0</v>
      </c>
      <c r="V287" s="7">
        <v>599.79200000000003</v>
      </c>
      <c r="W287" s="7">
        <v>1848.29</v>
      </c>
      <c r="X287" s="7">
        <v>0</v>
      </c>
      <c r="Y287" s="7">
        <v>15649.834999999999</v>
      </c>
      <c r="Z287" s="7">
        <v>0</v>
      </c>
      <c r="AA287" s="7">
        <v>5137.1409999999996</v>
      </c>
      <c r="AB287" s="7">
        <v>0</v>
      </c>
      <c r="AC287" s="7">
        <v>776.89800000000002</v>
      </c>
      <c r="AD287" s="7">
        <v>0</v>
      </c>
      <c r="AE287" s="7">
        <v>50570.425999999999</v>
      </c>
      <c r="AF287" s="7">
        <v>0</v>
      </c>
      <c r="AG287" s="7">
        <v>0</v>
      </c>
      <c r="AH287" s="7">
        <v>148081.90900000001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6.0000000000000001E-3</v>
      </c>
      <c r="AP287" s="7">
        <v>0</v>
      </c>
      <c r="AQ287" s="7">
        <v>0</v>
      </c>
      <c r="AR287" s="7">
        <v>0</v>
      </c>
      <c r="AS287" s="7">
        <v>2E-3</v>
      </c>
      <c r="AT287" s="7">
        <v>0</v>
      </c>
      <c r="AU287" s="7">
        <v>4.3999999999999997E-2</v>
      </c>
      <c r="AV287" s="7">
        <v>0</v>
      </c>
      <c r="AW287" s="7">
        <v>0</v>
      </c>
      <c r="AX287" s="7">
        <v>0</v>
      </c>
      <c r="AY287" s="7">
        <v>1E-3</v>
      </c>
      <c r="AZ287" s="7">
        <v>0</v>
      </c>
      <c r="BA287" s="7">
        <v>0</v>
      </c>
      <c r="BB287" s="7">
        <v>1E-3</v>
      </c>
      <c r="BC287" s="7">
        <v>1E-3</v>
      </c>
      <c r="BD287" s="7">
        <v>0</v>
      </c>
      <c r="BE287" s="7">
        <v>0</v>
      </c>
      <c r="BF287" s="7">
        <v>0</v>
      </c>
      <c r="BG287" s="7">
        <v>0</v>
      </c>
      <c r="BH287" s="22"/>
    </row>
    <row r="288" spans="1:60" ht="15.75" x14ac:dyDescent="0.25">
      <c r="A288" s="5" t="s">
        <v>499</v>
      </c>
      <c r="B288" s="5" t="s">
        <v>500</v>
      </c>
      <c r="C288" s="7">
        <v>5</v>
      </c>
      <c r="D288" s="7">
        <v>5</v>
      </c>
      <c r="E288" s="7">
        <v>190257.774</v>
      </c>
      <c r="F288" s="7">
        <v>18958.217000000001</v>
      </c>
      <c r="G288" s="7">
        <v>28482.830999999998</v>
      </c>
      <c r="H288" s="7">
        <v>14335.61</v>
      </c>
      <c r="I288" s="7">
        <v>5007.348</v>
      </c>
      <c r="J288" s="7">
        <v>16793.499</v>
      </c>
      <c r="K288" s="7">
        <v>0</v>
      </c>
      <c r="L288" s="7">
        <v>147680.02900000001</v>
      </c>
      <c r="M288" s="7">
        <v>76353.428</v>
      </c>
      <c r="N288" s="7">
        <v>0</v>
      </c>
      <c r="O288" s="7">
        <v>0</v>
      </c>
      <c r="P288" s="7">
        <v>930.82899999999995</v>
      </c>
      <c r="Q288" s="7">
        <v>0</v>
      </c>
      <c r="R288" s="7">
        <v>54.12</v>
      </c>
      <c r="S288" s="7">
        <v>0</v>
      </c>
      <c r="T288" s="7">
        <v>0</v>
      </c>
      <c r="U288" s="7">
        <v>0</v>
      </c>
      <c r="V288" s="7">
        <v>1998.4069999999999</v>
      </c>
      <c r="W288" s="7">
        <v>6243.9440000000004</v>
      </c>
      <c r="X288" s="7">
        <v>0</v>
      </c>
      <c r="Y288" s="7">
        <v>49018.737999999998</v>
      </c>
      <c r="Z288" s="7">
        <v>0</v>
      </c>
      <c r="AA288" s="7">
        <v>17387.63</v>
      </c>
      <c r="AB288" s="7">
        <v>0</v>
      </c>
      <c r="AC288" s="7">
        <v>2588.5680000000002</v>
      </c>
      <c r="AD288" s="7">
        <v>0</v>
      </c>
      <c r="AE288" s="7">
        <v>156420.08300000001</v>
      </c>
      <c r="AF288" s="7">
        <v>0</v>
      </c>
      <c r="AG288" s="7">
        <v>0</v>
      </c>
      <c r="AH288" s="7">
        <v>395612.03100000002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50.356999999999999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22"/>
    </row>
    <row r="289" spans="1:60" ht="15.75" x14ac:dyDescent="0.25">
      <c r="A289" s="5" t="s">
        <v>501</v>
      </c>
      <c r="B289" s="5" t="s">
        <v>502</v>
      </c>
      <c r="C289" s="7">
        <v>5</v>
      </c>
      <c r="D289" s="7">
        <v>5</v>
      </c>
      <c r="E289" s="7">
        <v>2150.9859999999999</v>
      </c>
      <c r="F289" s="7">
        <v>0</v>
      </c>
      <c r="G289" s="7">
        <v>59.338000000000001</v>
      </c>
      <c r="H289" s="7">
        <v>0</v>
      </c>
      <c r="I289" s="7">
        <v>0</v>
      </c>
      <c r="J289" s="7">
        <v>33.418999999999997</v>
      </c>
      <c r="K289" s="7">
        <v>0</v>
      </c>
      <c r="L289" s="7">
        <v>6285.241</v>
      </c>
      <c r="M289" s="7">
        <v>347.84899999999999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2293.0650000000001</v>
      </c>
      <c r="Z289" s="7">
        <v>0</v>
      </c>
      <c r="AA289" s="7">
        <v>24.327000000000002</v>
      </c>
      <c r="AB289" s="7">
        <v>0</v>
      </c>
      <c r="AC289" s="7">
        <v>0</v>
      </c>
      <c r="AD289" s="7">
        <v>0</v>
      </c>
      <c r="AE289" s="7">
        <v>4636.6260000000002</v>
      </c>
      <c r="AF289" s="7">
        <v>0</v>
      </c>
      <c r="AG289" s="7">
        <v>0</v>
      </c>
      <c r="AH289" s="7">
        <v>11239.473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22"/>
    </row>
    <row r="290" spans="1:60" ht="15.75" x14ac:dyDescent="0.25">
      <c r="A290" s="5" t="s">
        <v>503</v>
      </c>
      <c r="B290" s="5" t="s">
        <v>504</v>
      </c>
      <c r="C290" s="7">
        <v>5</v>
      </c>
      <c r="D290" s="7">
        <v>5</v>
      </c>
      <c r="E290" s="7">
        <v>46717.036</v>
      </c>
      <c r="F290" s="7">
        <v>4026.0830000000001</v>
      </c>
      <c r="G290" s="7">
        <v>5761.3829999999998</v>
      </c>
      <c r="H290" s="7">
        <v>102.11</v>
      </c>
      <c r="I290" s="7">
        <v>1012.0890000000001</v>
      </c>
      <c r="J290" s="7">
        <v>3509.22</v>
      </c>
      <c r="K290" s="7">
        <v>0</v>
      </c>
      <c r="L290" s="7">
        <v>39078.764999999999</v>
      </c>
      <c r="M290" s="7">
        <v>16781.081999999999</v>
      </c>
      <c r="N290" s="7">
        <v>0</v>
      </c>
      <c r="O290" s="7">
        <v>0</v>
      </c>
      <c r="P290" s="7">
        <v>188.95699999999999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496.98399999999998</v>
      </c>
      <c r="W290" s="7">
        <v>1531.5419999999999</v>
      </c>
      <c r="X290" s="7">
        <v>0</v>
      </c>
      <c r="Y290" s="7">
        <v>14735.087</v>
      </c>
      <c r="Z290" s="7">
        <v>0</v>
      </c>
      <c r="AA290" s="7">
        <v>4256.6710000000003</v>
      </c>
      <c r="AB290" s="7">
        <v>0</v>
      </c>
      <c r="AC290" s="7">
        <v>643.75199999999995</v>
      </c>
      <c r="AD290" s="7">
        <v>0</v>
      </c>
      <c r="AE290" s="7">
        <v>43722.322</v>
      </c>
      <c r="AF290" s="7">
        <v>0</v>
      </c>
      <c r="AG290" s="7">
        <v>0</v>
      </c>
      <c r="AH290" s="7">
        <v>103023.30100000001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22"/>
    </row>
    <row r="291" spans="1:60" ht="15.75" x14ac:dyDescent="0.25">
      <c r="A291" s="5" t="s">
        <v>505</v>
      </c>
      <c r="B291" s="5" t="s">
        <v>506</v>
      </c>
      <c r="C291" s="7">
        <v>5</v>
      </c>
      <c r="D291" s="7">
        <v>5</v>
      </c>
      <c r="E291" s="7">
        <v>40316.603000000003</v>
      </c>
      <c r="F291" s="7">
        <v>1095.0150000000001</v>
      </c>
      <c r="G291" s="7">
        <v>1566.9829999999999</v>
      </c>
      <c r="H291" s="7">
        <v>9345.1749999999993</v>
      </c>
      <c r="I291" s="7">
        <v>275.26799999999997</v>
      </c>
      <c r="J291" s="7">
        <v>954.43899999999996</v>
      </c>
      <c r="K291" s="7">
        <v>0</v>
      </c>
      <c r="L291" s="7">
        <v>55583.516000000003</v>
      </c>
      <c r="M291" s="7">
        <v>11987.013999999999</v>
      </c>
      <c r="N291" s="7">
        <v>0</v>
      </c>
      <c r="O291" s="7">
        <v>0</v>
      </c>
      <c r="P291" s="7">
        <v>51.392000000000003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135.16999999999999</v>
      </c>
      <c r="W291" s="7">
        <v>416.54899999999998</v>
      </c>
      <c r="X291" s="7">
        <v>0</v>
      </c>
      <c r="Y291" s="7">
        <v>15979.434999999999</v>
      </c>
      <c r="Z291" s="7">
        <v>0</v>
      </c>
      <c r="AA291" s="7">
        <v>1157.731</v>
      </c>
      <c r="AB291" s="7">
        <v>0</v>
      </c>
      <c r="AC291" s="7">
        <v>175.08799999999999</v>
      </c>
      <c r="AD291" s="7">
        <v>0</v>
      </c>
      <c r="AE291" s="7">
        <v>52851.75</v>
      </c>
      <c r="AF291" s="7">
        <v>0</v>
      </c>
      <c r="AG291" s="7">
        <v>0</v>
      </c>
      <c r="AH291" s="7">
        <v>119146.743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22"/>
    </row>
    <row r="292" spans="1:60" ht="15.75" x14ac:dyDescent="0.25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22"/>
    </row>
    <row r="293" spans="1:60" ht="15.75" x14ac:dyDescent="0.25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22"/>
    </row>
    <row r="294" spans="1:60" ht="15.75" x14ac:dyDescent="0.25">
      <c r="A294" s="5" t="s">
        <v>511</v>
      </c>
      <c r="B294" s="5" t="s">
        <v>512</v>
      </c>
      <c r="C294" s="7">
        <v>5</v>
      </c>
      <c r="D294" s="7">
        <v>5</v>
      </c>
      <c r="E294" s="7">
        <v>225934.587</v>
      </c>
      <c r="F294" s="7">
        <v>18674.806</v>
      </c>
      <c r="G294" s="7">
        <v>26431.508999999998</v>
      </c>
      <c r="H294" s="7">
        <v>0</v>
      </c>
      <c r="I294" s="7">
        <v>4281.2719999999999</v>
      </c>
      <c r="J294" s="7">
        <v>16623.373</v>
      </c>
      <c r="K294" s="7">
        <v>0</v>
      </c>
      <c r="L294" s="7">
        <v>154587.677</v>
      </c>
      <c r="M294" s="7">
        <v>71761.134000000005</v>
      </c>
      <c r="N294" s="7">
        <v>0</v>
      </c>
      <c r="O294" s="7">
        <v>0</v>
      </c>
      <c r="P294" s="7">
        <v>802.24400000000003</v>
      </c>
      <c r="Q294" s="7">
        <v>0</v>
      </c>
      <c r="R294" s="7">
        <v>27.722000000000001</v>
      </c>
      <c r="S294" s="7">
        <v>0</v>
      </c>
      <c r="T294" s="7">
        <v>0</v>
      </c>
      <c r="U294" s="7">
        <v>0</v>
      </c>
      <c r="V294" s="7">
        <v>2752.7469999999998</v>
      </c>
      <c r="W294" s="7">
        <v>8566.9050000000007</v>
      </c>
      <c r="X294" s="7">
        <v>0</v>
      </c>
      <c r="Y294" s="7">
        <v>69393.051000000007</v>
      </c>
      <c r="Z294" s="7">
        <v>0</v>
      </c>
      <c r="AA294" s="7">
        <v>25018.499</v>
      </c>
      <c r="AB294" s="7">
        <v>0</v>
      </c>
      <c r="AC294" s="7">
        <v>3937.4110000000001</v>
      </c>
      <c r="AD294" s="7">
        <v>0</v>
      </c>
      <c r="AE294" s="7">
        <v>213749.97899999999</v>
      </c>
      <c r="AF294" s="7">
        <v>0</v>
      </c>
      <c r="AG294" s="7">
        <v>0</v>
      </c>
      <c r="AH294" s="7">
        <v>478629.95400000003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22"/>
    </row>
    <row r="295" spans="1:60" ht="15.75" x14ac:dyDescent="0.25">
      <c r="A295" s="5" t="s">
        <v>513</v>
      </c>
      <c r="B295" s="5" t="s">
        <v>514</v>
      </c>
      <c r="C295" s="7">
        <v>5</v>
      </c>
      <c r="D295" s="7">
        <v>5</v>
      </c>
      <c r="E295" s="7">
        <v>18358.02</v>
      </c>
      <c r="F295" s="7">
        <v>381.976</v>
      </c>
      <c r="G295" s="7">
        <v>502.88799999999998</v>
      </c>
      <c r="H295" s="7">
        <v>0</v>
      </c>
      <c r="I295" s="7">
        <v>34.226999999999997</v>
      </c>
      <c r="J295" s="7">
        <v>384.678</v>
      </c>
      <c r="K295" s="7">
        <v>0</v>
      </c>
      <c r="L295" s="7">
        <v>23456.677</v>
      </c>
      <c r="M295" s="7">
        <v>4877.058</v>
      </c>
      <c r="N295" s="7">
        <v>0</v>
      </c>
      <c r="O295" s="7">
        <v>0</v>
      </c>
      <c r="P295" s="7">
        <v>6.8280000000000003</v>
      </c>
      <c r="Q295" s="7">
        <v>0</v>
      </c>
      <c r="R295" s="7">
        <v>4.1449999999999996</v>
      </c>
      <c r="S295" s="7">
        <v>0</v>
      </c>
      <c r="T295" s="7">
        <v>0</v>
      </c>
      <c r="U295" s="7">
        <v>0</v>
      </c>
      <c r="V295" s="7">
        <v>114.068</v>
      </c>
      <c r="W295" s="7">
        <v>364.05799999999999</v>
      </c>
      <c r="X295" s="7">
        <v>0</v>
      </c>
      <c r="Y295" s="7">
        <v>2999.9090000000001</v>
      </c>
      <c r="Z295" s="7">
        <v>0</v>
      </c>
      <c r="AA295" s="7">
        <v>1192.5029999999999</v>
      </c>
      <c r="AB295" s="7">
        <v>0</v>
      </c>
      <c r="AC295" s="7">
        <v>203.34100000000001</v>
      </c>
      <c r="AD295" s="7">
        <v>0</v>
      </c>
      <c r="AE295" s="7">
        <v>10954.678</v>
      </c>
      <c r="AF295" s="7">
        <v>0</v>
      </c>
      <c r="AG295" s="7">
        <v>0</v>
      </c>
      <c r="AH295" s="7">
        <v>29093.360000000001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22"/>
    </row>
    <row r="296" spans="1:60" ht="15.75" x14ac:dyDescent="0.25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22"/>
    </row>
    <row r="297" spans="1:60" ht="15.75" x14ac:dyDescent="0.25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22"/>
    </row>
    <row r="298" spans="1:60" ht="15.75" x14ac:dyDescent="0.25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22"/>
    </row>
    <row r="299" spans="1:60" ht="15.75" x14ac:dyDescent="0.25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22"/>
    </row>
    <row r="300" spans="1:60" ht="15.75" x14ac:dyDescent="0.25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22"/>
    </row>
    <row r="301" spans="1:60" ht="15.75" x14ac:dyDescent="0.25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22"/>
    </row>
    <row r="302" spans="1:60" ht="15.75" x14ac:dyDescent="0.25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22"/>
    </row>
    <row r="303" spans="1:60" ht="15.75" x14ac:dyDescent="0.25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22"/>
    </row>
    <row r="304" spans="1:60" ht="15.75" x14ac:dyDescent="0.25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22"/>
    </row>
    <row r="305" spans="1:60" ht="15.75" x14ac:dyDescent="0.25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22"/>
    </row>
    <row r="306" spans="1:60" ht="15.75" x14ac:dyDescent="0.25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22"/>
    </row>
    <row r="307" spans="1:60" ht="15.75" x14ac:dyDescent="0.25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22"/>
    </row>
    <row r="308" spans="1:60" ht="15.75" x14ac:dyDescent="0.25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22"/>
    </row>
    <row r="309" spans="1:60" ht="15.75" x14ac:dyDescent="0.25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22"/>
    </row>
    <row r="310" spans="1:60" ht="15.75" x14ac:dyDescent="0.25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22"/>
    </row>
    <row r="311" spans="1:60" ht="15.75" x14ac:dyDescent="0.25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22"/>
    </row>
    <row r="312" spans="1:60" ht="15.75" x14ac:dyDescent="0.25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22"/>
    </row>
    <row r="313" spans="1:60" ht="15.75" x14ac:dyDescent="0.25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22"/>
    </row>
    <row r="314" spans="1:60" ht="15.75" x14ac:dyDescent="0.25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22"/>
    </row>
    <row r="315" spans="1:60" ht="15.75" x14ac:dyDescent="0.25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22"/>
    </row>
    <row r="316" spans="1:60" ht="15.75" x14ac:dyDescent="0.25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22"/>
    </row>
    <row r="317" spans="1:60" ht="15.75" x14ac:dyDescent="0.25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22"/>
    </row>
    <row r="318" spans="1:60" ht="15.75" x14ac:dyDescent="0.25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22"/>
    </row>
    <row r="319" spans="1:60" ht="15.75" x14ac:dyDescent="0.25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22"/>
    </row>
    <row r="320" spans="1:60" ht="15.75" x14ac:dyDescent="0.25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22"/>
    </row>
    <row r="321" spans="1:60" ht="15.75" x14ac:dyDescent="0.25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22"/>
    </row>
    <row r="322" spans="1:60" ht="15.75" x14ac:dyDescent="0.25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22"/>
    </row>
    <row r="323" spans="1:60" ht="15.75" x14ac:dyDescent="0.25">
      <c r="A323" s="5" t="s">
        <v>569</v>
      </c>
      <c r="B323" s="5" t="s">
        <v>570</v>
      </c>
      <c r="C323" s="7">
        <v>5</v>
      </c>
      <c r="D323" s="7">
        <v>5</v>
      </c>
      <c r="E323" s="7">
        <v>-11801.009</v>
      </c>
      <c r="F323" s="7">
        <v>-2875.163</v>
      </c>
      <c r="G323" s="7">
        <v>0</v>
      </c>
      <c r="H323" s="7">
        <v>0</v>
      </c>
      <c r="I323" s="7">
        <v>-116.68600000000001</v>
      </c>
      <c r="J323" s="7">
        <v>0</v>
      </c>
      <c r="K323" s="7">
        <v>0</v>
      </c>
      <c r="L323" s="7">
        <v>-33548.523000000001</v>
      </c>
      <c r="M323" s="7">
        <v>-2660.5140000000001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-950.995</v>
      </c>
      <c r="T323" s="7">
        <v>0</v>
      </c>
      <c r="U323" s="7">
        <v>0</v>
      </c>
      <c r="V323" s="7">
        <v>0</v>
      </c>
      <c r="W323" s="7">
        <v>-227.005</v>
      </c>
      <c r="X323" s="7">
        <v>0</v>
      </c>
      <c r="Y323" s="7">
        <v>-5700.1270000000004</v>
      </c>
      <c r="Z323" s="7">
        <v>0</v>
      </c>
      <c r="AA323" s="7">
        <v>0</v>
      </c>
      <c r="AB323" s="7">
        <v>-2.1219999999999999</v>
      </c>
      <c r="AC323" s="7">
        <v>-494.30599999999998</v>
      </c>
      <c r="AD323" s="7">
        <v>0</v>
      </c>
      <c r="AE323" s="7">
        <v>-14316.34</v>
      </c>
      <c r="AF323" s="7">
        <v>-6860.1319999999996</v>
      </c>
      <c r="AG323" s="7">
        <v>0</v>
      </c>
      <c r="AH323" s="7">
        <v>-54492.133000000002</v>
      </c>
      <c r="AI323" s="7">
        <v>-12212.66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-75.977999999999994</v>
      </c>
      <c r="AP323" s="7">
        <v>0</v>
      </c>
      <c r="AQ323" s="7">
        <v>-2075.7310000000002</v>
      </c>
      <c r="AR323" s="7">
        <v>0</v>
      </c>
      <c r="AS323" s="7">
        <v>-8.9849999999999994</v>
      </c>
      <c r="AT323" s="7">
        <v>0</v>
      </c>
      <c r="AU323" s="7">
        <v>-63.167999999999999</v>
      </c>
      <c r="AV323" s="7">
        <v>0</v>
      </c>
      <c r="AW323" s="7">
        <v>0</v>
      </c>
      <c r="AX323" s="7">
        <v>0</v>
      </c>
      <c r="AY323" s="7">
        <v>-3.2839999999999998</v>
      </c>
      <c r="AZ323" s="7">
        <v>0</v>
      </c>
      <c r="BA323" s="7">
        <v>0</v>
      </c>
      <c r="BB323" s="7">
        <v>-12.106</v>
      </c>
      <c r="BC323" s="7">
        <v>0</v>
      </c>
      <c r="BD323" s="7">
        <v>0</v>
      </c>
      <c r="BE323" s="7">
        <v>-0.52900000000000003</v>
      </c>
      <c r="BF323" s="7">
        <v>0</v>
      </c>
      <c r="BG323" s="7">
        <v>0</v>
      </c>
      <c r="BH323" s="22"/>
    </row>
    <row r="324" spans="1:60" ht="15.75" x14ac:dyDescent="0.25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22"/>
    </row>
    <row r="325" spans="1:60" ht="15.75" x14ac:dyDescent="0.25">
      <c r="A325" s="5" t="s">
        <v>573</v>
      </c>
      <c r="B325" s="5" t="s">
        <v>574</v>
      </c>
      <c r="C325" s="7">
        <v>5</v>
      </c>
      <c r="D325" s="7">
        <v>5</v>
      </c>
      <c r="E325" s="7">
        <v>-5908.32</v>
      </c>
      <c r="F325" s="7">
        <v>-1439.4860000000001</v>
      </c>
      <c r="G325" s="7">
        <v>0</v>
      </c>
      <c r="H325" s="7">
        <v>0</v>
      </c>
      <c r="I325" s="7">
        <v>-58.42</v>
      </c>
      <c r="J325" s="7">
        <v>0</v>
      </c>
      <c r="K325" s="7">
        <v>0</v>
      </c>
      <c r="L325" s="7">
        <v>-16796.478999999999</v>
      </c>
      <c r="M325" s="7">
        <v>-1332.019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-476.12700000000001</v>
      </c>
      <c r="T325" s="7">
        <v>0</v>
      </c>
      <c r="U325" s="7">
        <v>0</v>
      </c>
      <c r="V325" s="7">
        <v>0</v>
      </c>
      <c r="W325" s="7">
        <v>-113.65300000000001</v>
      </c>
      <c r="X325" s="7">
        <v>0</v>
      </c>
      <c r="Y325" s="7">
        <v>-2853.8389999999999</v>
      </c>
      <c r="Z325" s="7">
        <v>0</v>
      </c>
      <c r="AA325" s="7">
        <v>0</v>
      </c>
      <c r="AB325" s="7">
        <v>-1.0620000000000001</v>
      </c>
      <c r="AC325" s="7">
        <v>-247.48</v>
      </c>
      <c r="AD325" s="7">
        <v>0</v>
      </c>
      <c r="AE325" s="7">
        <v>-7167.6509999999998</v>
      </c>
      <c r="AF325" s="7">
        <v>-3434.6089999999999</v>
      </c>
      <c r="AG325" s="7">
        <v>0</v>
      </c>
      <c r="AH325" s="7">
        <v>-27282.153999999999</v>
      </c>
      <c r="AI325" s="7">
        <v>-6114.4179999999997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-38.039000000000001</v>
      </c>
      <c r="AP325" s="7">
        <v>0</v>
      </c>
      <c r="AQ325" s="7">
        <v>-1039.24</v>
      </c>
      <c r="AR325" s="7">
        <v>0</v>
      </c>
      <c r="AS325" s="7">
        <v>-4.4980000000000002</v>
      </c>
      <c r="AT325" s="7">
        <v>0</v>
      </c>
      <c r="AU325" s="7">
        <v>-31.626000000000001</v>
      </c>
      <c r="AV325" s="7">
        <v>0</v>
      </c>
      <c r="AW325" s="7">
        <v>0</v>
      </c>
      <c r="AX325" s="7">
        <v>0</v>
      </c>
      <c r="AY325" s="7">
        <v>-1.6439999999999999</v>
      </c>
      <c r="AZ325" s="7">
        <v>0</v>
      </c>
      <c r="BA325" s="7">
        <v>0</v>
      </c>
      <c r="BB325" s="7">
        <v>-6.0609999999999999</v>
      </c>
      <c r="BC325" s="7">
        <v>0</v>
      </c>
      <c r="BD325" s="7">
        <v>0</v>
      </c>
      <c r="BE325" s="7">
        <v>-0.26500000000000001</v>
      </c>
      <c r="BF325" s="7">
        <v>0</v>
      </c>
      <c r="BG325" s="7">
        <v>0</v>
      </c>
      <c r="BH325" s="22"/>
    </row>
    <row r="326" spans="1:60" ht="15.75" x14ac:dyDescent="0.25">
      <c r="A326" s="5" t="s">
        <v>575</v>
      </c>
      <c r="B326" s="5" t="s">
        <v>576</v>
      </c>
      <c r="C326" s="7">
        <v>6</v>
      </c>
      <c r="D326" s="7">
        <v>6</v>
      </c>
      <c r="E326" s="7">
        <v>71.510999999999996</v>
      </c>
      <c r="F326" s="7">
        <v>0</v>
      </c>
      <c r="G326" s="7">
        <v>0</v>
      </c>
      <c r="H326" s="7">
        <v>0</v>
      </c>
      <c r="I326" s="7">
        <v>100.851</v>
      </c>
      <c r="J326" s="7">
        <v>0</v>
      </c>
      <c r="K326" s="7">
        <v>0</v>
      </c>
      <c r="L326" s="7">
        <v>10627.398999999999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22"/>
    </row>
    <row r="327" spans="1:60" ht="15.75" x14ac:dyDescent="0.25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22"/>
    </row>
    <row r="328" spans="1:60" ht="15.75" x14ac:dyDescent="0.25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22"/>
    </row>
    <row r="329" spans="1:60" ht="15.75" x14ac:dyDescent="0.25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22"/>
    </row>
    <row r="330" spans="1:60" ht="15.75" x14ac:dyDescent="0.25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22"/>
    </row>
    <row r="331" spans="1:60" ht="15.75" x14ac:dyDescent="0.25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22"/>
    </row>
    <row r="332" spans="1:60" ht="15.75" x14ac:dyDescent="0.25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22"/>
    </row>
    <row r="333" spans="1:60" ht="15.75" x14ac:dyDescent="0.25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22"/>
    </row>
    <row r="334" spans="1:60" ht="15.75" x14ac:dyDescent="0.25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22"/>
    </row>
    <row r="335" spans="1:60" ht="15.75" x14ac:dyDescent="0.25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22"/>
    </row>
    <row r="336" spans="1:60" ht="15.75" x14ac:dyDescent="0.25">
      <c r="A336" s="5" t="s">
        <v>595</v>
      </c>
      <c r="B336" s="5" t="s">
        <v>596</v>
      </c>
      <c r="C336" s="7">
        <v>6</v>
      </c>
      <c r="D336" s="7">
        <v>6</v>
      </c>
      <c r="E336" s="7">
        <v>23272.991000000002</v>
      </c>
      <c r="F336" s="7">
        <v>5415.0029999999997</v>
      </c>
      <c r="G336" s="7">
        <v>1013.278</v>
      </c>
      <c r="H336" s="7">
        <v>2237.3649999999998</v>
      </c>
      <c r="I336" s="7">
        <v>305.78100000000001</v>
      </c>
      <c r="J336" s="7">
        <v>1320.472</v>
      </c>
      <c r="K336" s="7">
        <v>0</v>
      </c>
      <c r="L336" s="7">
        <v>57393.364000000001</v>
      </c>
      <c r="M336" s="7">
        <v>6175.8509999999997</v>
      </c>
      <c r="N336" s="7">
        <v>2.7509999999999999</v>
      </c>
      <c r="O336" s="7">
        <v>3.226</v>
      </c>
      <c r="P336" s="7">
        <v>17.056999999999999</v>
      </c>
      <c r="Q336" s="7">
        <v>3.47</v>
      </c>
      <c r="R336" s="7">
        <v>58.152999999999999</v>
      </c>
      <c r="S336" s="7">
        <v>1598.731</v>
      </c>
      <c r="T336" s="7">
        <v>0</v>
      </c>
      <c r="U336" s="7">
        <v>4.5289999999999999</v>
      </c>
      <c r="V336" s="7">
        <v>61.768000000000001</v>
      </c>
      <c r="W336" s="7">
        <v>513.34199999999998</v>
      </c>
      <c r="X336" s="7">
        <v>23.748999999999999</v>
      </c>
      <c r="Y336" s="7">
        <v>21302.597000000002</v>
      </c>
      <c r="Z336" s="7">
        <v>35.375</v>
      </c>
      <c r="AA336" s="7">
        <v>590.404</v>
      </c>
      <c r="AB336" s="7">
        <v>95.293999999999997</v>
      </c>
      <c r="AC336" s="7">
        <v>869.59100000000001</v>
      </c>
      <c r="AD336" s="7">
        <v>7.4109999999999996</v>
      </c>
      <c r="AE336" s="7">
        <v>26122.233</v>
      </c>
      <c r="AF336" s="7">
        <v>11756.906000000001</v>
      </c>
      <c r="AG336" s="7">
        <v>34.029000000000003</v>
      </c>
      <c r="AH336" s="7">
        <v>99047.947</v>
      </c>
      <c r="AI336" s="7">
        <v>19541.245999999999</v>
      </c>
      <c r="AJ336" s="7">
        <v>568.08299999999997</v>
      </c>
      <c r="AK336" s="7">
        <v>0</v>
      </c>
      <c r="AL336" s="7">
        <v>0</v>
      </c>
      <c r="AM336" s="7">
        <v>0</v>
      </c>
      <c r="AN336" s="7">
        <v>0</v>
      </c>
      <c r="AO336" s="7">
        <v>133.012</v>
      </c>
      <c r="AP336" s="7">
        <v>16.696999999999999</v>
      </c>
      <c r="AQ336" s="7">
        <v>3513.2759999999998</v>
      </c>
      <c r="AR336" s="7">
        <v>4.5</v>
      </c>
      <c r="AS336" s="7">
        <v>15.083</v>
      </c>
      <c r="AT336" s="7">
        <v>0</v>
      </c>
      <c r="AU336" s="7">
        <v>117.432</v>
      </c>
      <c r="AV336" s="7">
        <v>16.260999999999999</v>
      </c>
      <c r="AW336" s="7">
        <v>39.703000000000003</v>
      </c>
      <c r="AX336" s="7">
        <v>8.3970000000000002</v>
      </c>
      <c r="AY336" s="7">
        <v>6.2649999999999997</v>
      </c>
      <c r="AZ336" s="7">
        <v>0.52800000000000002</v>
      </c>
      <c r="BA336" s="7">
        <v>1.899</v>
      </c>
      <c r="BB336" s="7">
        <v>20.446000000000002</v>
      </c>
      <c r="BC336" s="7">
        <v>0.81499999999999995</v>
      </c>
      <c r="BD336" s="7">
        <v>1.23</v>
      </c>
      <c r="BE336" s="7">
        <v>0.89400000000000002</v>
      </c>
      <c r="BF336" s="7">
        <v>0.34899999999999998</v>
      </c>
      <c r="BG336" s="7">
        <v>141.19200000000001</v>
      </c>
      <c r="BH336" s="22"/>
    </row>
    <row r="337" spans="1:60" ht="15.75" x14ac:dyDescent="0.25">
      <c r="A337" s="5" t="s">
        <v>597</v>
      </c>
      <c r="B337" s="5" t="s">
        <v>598</v>
      </c>
      <c r="C337" s="7">
        <v>6</v>
      </c>
      <c r="D337" s="7">
        <v>6</v>
      </c>
      <c r="E337" s="7">
        <v>-12031.324000000001</v>
      </c>
      <c r="F337" s="7">
        <v>-2141.0650000000001</v>
      </c>
      <c r="G337" s="7">
        <v>-1046.981</v>
      </c>
      <c r="H337" s="7">
        <v>-8500.2240000000002</v>
      </c>
      <c r="I337" s="7">
        <v>-354.75900000000001</v>
      </c>
      <c r="J337" s="7">
        <v>-941.37</v>
      </c>
      <c r="K337" s="7">
        <v>-145.30600000000001</v>
      </c>
      <c r="L337" s="7">
        <v>-20214.503000000001</v>
      </c>
      <c r="M337" s="7">
        <v>-4512.5</v>
      </c>
      <c r="N337" s="7">
        <v>-6.2030000000000003</v>
      </c>
      <c r="O337" s="7">
        <v>-11.430999999999999</v>
      </c>
      <c r="P337" s="7">
        <v>-76.838999999999999</v>
      </c>
      <c r="Q337" s="7">
        <v>-11.282</v>
      </c>
      <c r="R337" s="7">
        <v>-146.49600000000001</v>
      </c>
      <c r="S337" s="7">
        <v>-49.875</v>
      </c>
      <c r="T337" s="7">
        <v>-1.667</v>
      </c>
      <c r="U337" s="7">
        <v>-105.233</v>
      </c>
      <c r="V337" s="7">
        <v>-286.93</v>
      </c>
      <c r="W337" s="7">
        <v>-892.54899999999998</v>
      </c>
      <c r="X337" s="7">
        <v>-653.76900000000001</v>
      </c>
      <c r="Y337" s="7">
        <v>-1739.5139999999999</v>
      </c>
      <c r="Z337" s="7">
        <v>-328.00599999999997</v>
      </c>
      <c r="AA337" s="7">
        <v>-159.72900000000001</v>
      </c>
      <c r="AB337" s="7">
        <v>-2.2599999999999998</v>
      </c>
      <c r="AC337" s="7">
        <v>-27.218</v>
      </c>
      <c r="AD337" s="7">
        <v>-0.36599999999999999</v>
      </c>
      <c r="AE337" s="7">
        <v>-5652.0150000000003</v>
      </c>
      <c r="AF337" s="7">
        <v>-519.03200000000004</v>
      </c>
      <c r="AG337" s="7">
        <v>-160.959</v>
      </c>
      <c r="AH337" s="7">
        <v>-29799.771000000001</v>
      </c>
      <c r="AI337" s="7">
        <v>-1625.807</v>
      </c>
      <c r="AJ337" s="7">
        <v>-330.36700000000002</v>
      </c>
      <c r="AK337" s="7">
        <v>-9720.5280000000002</v>
      </c>
      <c r="AL337" s="7">
        <v>-3276.6060000000002</v>
      </c>
      <c r="AM337" s="7">
        <v>-1078.5350000000001</v>
      </c>
      <c r="AN337" s="7">
        <v>-9974.4989999999998</v>
      </c>
      <c r="AO337" s="7">
        <v>-8.5069999999999997</v>
      </c>
      <c r="AP337" s="7">
        <v>-20.881</v>
      </c>
      <c r="AQ337" s="7">
        <v>-157.15199999999999</v>
      </c>
      <c r="AR337" s="7">
        <v>-84.784000000000006</v>
      </c>
      <c r="AS337" s="7">
        <v>-3.746</v>
      </c>
      <c r="AT337" s="7">
        <v>0</v>
      </c>
      <c r="AU337" s="7">
        <v>-26.943999999999999</v>
      </c>
      <c r="AV337" s="7">
        <v>-0.216</v>
      </c>
      <c r="AW337" s="7">
        <v>-37.838000000000001</v>
      </c>
      <c r="AX337" s="7">
        <v>-28.068999999999999</v>
      </c>
      <c r="AY337" s="7">
        <v>-0.47299999999999998</v>
      </c>
      <c r="AZ337" s="7">
        <v>-0.438</v>
      </c>
      <c r="BA337" s="7">
        <v>-3.4420000000000002</v>
      </c>
      <c r="BB337" s="7">
        <v>-0.59099999999999997</v>
      </c>
      <c r="BC337" s="7">
        <v>-0.24399999999999999</v>
      </c>
      <c r="BD337" s="7">
        <v>-0.80800000000000005</v>
      </c>
      <c r="BE337" s="7">
        <v>-1.7000000000000001E-2</v>
      </c>
      <c r="BF337" s="7">
        <v>-0.17100000000000001</v>
      </c>
      <c r="BG337" s="7">
        <v>-229.053</v>
      </c>
      <c r="BH337" s="22"/>
    </row>
    <row r="338" spans="1:60" ht="15.75" x14ac:dyDescent="0.25">
      <c r="A338" s="5" t="s">
        <v>599</v>
      </c>
      <c r="B338" s="5" t="s">
        <v>600</v>
      </c>
      <c r="C338" s="7">
        <v>6</v>
      </c>
      <c r="D338" s="7">
        <v>6</v>
      </c>
      <c r="E338" s="7">
        <v>-964.09100000000001</v>
      </c>
      <c r="F338" s="7">
        <v>-51.75</v>
      </c>
      <c r="G338" s="7">
        <v>-23.138999999999999</v>
      </c>
      <c r="H338" s="7">
        <v>0</v>
      </c>
      <c r="I338" s="7">
        <v>-0.112</v>
      </c>
      <c r="J338" s="7">
        <v>-6.1459999999999999</v>
      </c>
      <c r="K338" s="7">
        <v>-5.97</v>
      </c>
      <c r="L338" s="7">
        <v>-2588.35</v>
      </c>
      <c r="M338" s="7">
        <v>-109.134</v>
      </c>
      <c r="N338" s="7">
        <v>-51.216999999999999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-1.6279999999999999</v>
      </c>
      <c r="V338" s="7">
        <v>-9.3960000000000008</v>
      </c>
      <c r="W338" s="7">
        <v>-12.808999999999999</v>
      </c>
      <c r="X338" s="7">
        <v>-12.253</v>
      </c>
      <c r="Y338" s="7">
        <v>-159.678</v>
      </c>
      <c r="Z338" s="7">
        <v>-11.645</v>
      </c>
      <c r="AA338" s="7">
        <v>-0.61599999999999999</v>
      </c>
      <c r="AB338" s="7">
        <v>-34.322000000000003</v>
      </c>
      <c r="AC338" s="7">
        <v>-16.547999999999998</v>
      </c>
      <c r="AD338" s="7">
        <v>-2.1219999999999999</v>
      </c>
      <c r="AE338" s="7">
        <v>-767.04700000000003</v>
      </c>
      <c r="AF338" s="7">
        <v>-61.177999999999997</v>
      </c>
      <c r="AG338" s="7">
        <v>-0.92400000000000004</v>
      </c>
      <c r="AH338" s="7">
        <v>-1500.885</v>
      </c>
      <c r="AI338" s="7">
        <v>-139.16399999999999</v>
      </c>
      <c r="AJ338" s="7">
        <v>-15.507</v>
      </c>
      <c r="AK338" s="7">
        <v>-555.62099999999998</v>
      </c>
      <c r="AL338" s="7">
        <v>-1502.675</v>
      </c>
      <c r="AM338" s="7">
        <v>-21.654</v>
      </c>
      <c r="AN338" s="7">
        <v>-1266.0920000000001</v>
      </c>
      <c r="AO338" s="7">
        <v>-4.5999999999999999E-2</v>
      </c>
      <c r="AP338" s="7">
        <v>-0.88700000000000001</v>
      </c>
      <c r="AQ338" s="7">
        <v>-83.433000000000007</v>
      </c>
      <c r="AR338" s="7">
        <v>-18.855</v>
      </c>
      <c r="AS338" s="7">
        <v>0</v>
      </c>
      <c r="AT338" s="7">
        <v>0</v>
      </c>
      <c r="AU338" s="7">
        <v>0</v>
      </c>
      <c r="AV338" s="7">
        <v>-15.077</v>
      </c>
      <c r="AW338" s="7">
        <v>-30.605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-48.771999999999998</v>
      </c>
      <c r="BH338" s="22"/>
    </row>
    <row r="339" spans="1:60" ht="15.75" x14ac:dyDescent="0.25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12.884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22"/>
    </row>
    <row r="340" spans="1:60" ht="15.75" x14ac:dyDescent="0.25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 s="7">
        <v>0</v>
      </c>
      <c r="BG340" s="7">
        <v>0</v>
      </c>
      <c r="BH340" s="22"/>
    </row>
    <row r="341" spans="1:60" ht="15.75" x14ac:dyDescent="0.25">
      <c r="A341" s="5" t="s">
        <v>605</v>
      </c>
      <c r="B341" s="5" t="s">
        <v>606</v>
      </c>
      <c r="C341" s="5"/>
      <c r="D341" s="5"/>
      <c r="E341">
        <v>8036583.6699999999</v>
      </c>
      <c r="F341">
        <v>907422.277</v>
      </c>
      <c r="G341">
        <v>1021541.746</v>
      </c>
      <c r="H341">
        <v>1082351.4650000001</v>
      </c>
      <c r="I341">
        <v>145221.97899999999</v>
      </c>
      <c r="J341">
        <v>710576.05299999996</v>
      </c>
      <c r="K341">
        <v>296241.68199999997</v>
      </c>
      <c r="L341">
        <v>8775457.409</v>
      </c>
      <c r="M341">
        <v>3231151.46</v>
      </c>
      <c r="N341">
        <v>18483.373</v>
      </c>
      <c r="O341">
        <v>6538.15</v>
      </c>
      <c r="P341">
        <v>21100.822</v>
      </c>
      <c r="Q341">
        <v>11592.394</v>
      </c>
      <c r="R341">
        <v>21216.995999999999</v>
      </c>
      <c r="S341">
        <v>275509.11499999999</v>
      </c>
      <c r="T341">
        <v>2452.9050000000002</v>
      </c>
      <c r="U341">
        <v>218331.96299999999</v>
      </c>
      <c r="V341">
        <v>84914.894</v>
      </c>
      <c r="W341">
        <v>221496.177</v>
      </c>
      <c r="X341">
        <v>205808.63399999999</v>
      </c>
      <c r="Y341">
        <v>1647557.736</v>
      </c>
      <c r="Z341">
        <v>118783.586</v>
      </c>
      <c r="AA341">
        <v>864887.44700000004</v>
      </c>
      <c r="AB341">
        <v>227939.82500000001</v>
      </c>
      <c r="AC341">
        <v>148961.85399999999</v>
      </c>
      <c r="AD341">
        <v>52571.498</v>
      </c>
      <c r="AE341">
        <v>4689513.3229999999</v>
      </c>
      <c r="AF341">
        <v>959586.79799999995</v>
      </c>
      <c r="AG341">
        <v>221291.48800000001</v>
      </c>
      <c r="AH341">
        <v>17789880.982000001</v>
      </c>
      <c r="AI341">
        <v>1819912.8589999999</v>
      </c>
      <c r="AJ341">
        <v>659851.70700000005</v>
      </c>
      <c r="AK341">
        <v>9270318.2019999996</v>
      </c>
      <c r="AL341">
        <v>5532065.2010000004</v>
      </c>
      <c r="AM341">
        <v>38215.169000000002</v>
      </c>
      <c r="AN341">
        <v>3050234.5150000001</v>
      </c>
      <c r="AO341">
        <v>18906.556</v>
      </c>
      <c r="AP341">
        <v>42790.775000000001</v>
      </c>
      <c r="AQ341">
        <v>284851.31900000002</v>
      </c>
      <c r="AR341">
        <v>18756.313999999998</v>
      </c>
      <c r="AS341">
        <v>3316.9839999999999</v>
      </c>
      <c r="AT341">
        <v>0</v>
      </c>
      <c r="AU341">
        <v>75760.993000000002</v>
      </c>
      <c r="AV341">
        <v>67583.597999999998</v>
      </c>
      <c r="AW341">
        <v>65201.913999999997</v>
      </c>
      <c r="AX341">
        <v>70809.165999999997</v>
      </c>
      <c r="AY341">
        <v>2698.0459999999998</v>
      </c>
      <c r="AZ341">
        <v>1797.867</v>
      </c>
      <c r="BA341">
        <v>18872.817999999999</v>
      </c>
      <c r="BB341">
        <v>3571.6680000000001</v>
      </c>
      <c r="BC341">
        <v>1526.597</v>
      </c>
      <c r="BD341">
        <v>3917.3969999999999</v>
      </c>
      <c r="BE341">
        <v>119.331</v>
      </c>
      <c r="BF341" s="5">
        <v>1098.97</v>
      </c>
      <c r="BG341" s="5">
        <v>466261.37199999997</v>
      </c>
      <c r="BH341" s="22"/>
    </row>
    <row r="342" spans="1:60" x14ac:dyDescent="0.2">
      <c r="BH342" s="22"/>
    </row>
    <row r="343" spans="1:60" ht="15.75" x14ac:dyDescent="0.25">
      <c r="A343" s="5" t="s">
        <v>607</v>
      </c>
      <c r="E343">
        <f t="shared" ref="E343:BE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>SUM(AM8:AM340)-AM341</f>
        <v>0</v>
      </c>
      <c r="AN343">
        <f>SUM(AN8:AN340)-AN341</f>
        <v>0</v>
      </c>
      <c r="AO343">
        <f>SUM(AO8:AO340)-AO341</f>
        <v>0</v>
      </c>
      <c r="AP343">
        <f t="shared" si="0"/>
        <v>0</v>
      </c>
      <c r="AQ343">
        <f t="shared" si="0"/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 t="shared" si="0"/>
        <v>0</v>
      </c>
      <c r="AY343">
        <f t="shared" si="0"/>
        <v>0</v>
      </c>
      <c r="AZ343">
        <f t="shared" si="0"/>
        <v>0</v>
      </c>
      <c r="BA343">
        <f t="shared" si="0"/>
        <v>0</v>
      </c>
      <c r="BB343">
        <f t="shared" si="0"/>
        <v>0</v>
      </c>
      <c r="BC343">
        <f t="shared" si="0"/>
        <v>0</v>
      </c>
      <c r="BD343">
        <f t="shared" si="0"/>
        <v>0</v>
      </c>
      <c r="BE343">
        <f t="shared" si="0"/>
        <v>0</v>
      </c>
      <c r="BF343">
        <f t="shared" ref="BF343:BG343" si="1">SUM(BF8:BF340)-BF341</f>
        <v>0</v>
      </c>
      <c r="BG343">
        <f t="shared" si="1"/>
        <v>0</v>
      </c>
      <c r="BH343" s="22"/>
    </row>
    <row r="344" spans="1:60" x14ac:dyDescent="0.2">
      <c r="BH344" s="22"/>
    </row>
    <row r="345" spans="1:60" x14ac:dyDescent="0.2">
      <c r="A345" t="s">
        <v>608</v>
      </c>
      <c r="D345">
        <v>1</v>
      </c>
      <c r="E345" s="16">
        <f t="shared" ref="E345:BE345" si="2">SUMIF($D$7:$D$339,$D$345,E7:E339)</f>
        <v>847234.571</v>
      </c>
      <c r="F345" s="16">
        <f t="shared" si="2"/>
        <v>163927.86399999997</v>
      </c>
      <c r="G345" s="16">
        <f t="shared" si="2"/>
        <v>42685.892</v>
      </c>
      <c r="H345" s="16">
        <f t="shared" si="2"/>
        <v>11104.105</v>
      </c>
      <c r="I345" s="16">
        <f t="shared" si="2"/>
        <v>14009.903</v>
      </c>
      <c r="J345" s="16">
        <f t="shared" si="2"/>
        <v>27902.432000000001</v>
      </c>
      <c r="K345" s="16">
        <f t="shared" si="2"/>
        <v>20629.393</v>
      </c>
      <c r="L345" s="16">
        <f t="shared" si="2"/>
        <v>1778260.0319999999</v>
      </c>
      <c r="M345" s="16">
        <f t="shared" si="2"/>
        <v>229761.83700000003</v>
      </c>
      <c r="N345" s="16">
        <f>SUMIF($D$7:$D$339,$D$345,N7:N339)</f>
        <v>3073.4229999999998</v>
      </c>
      <c r="O345" s="16">
        <f t="shared" si="2"/>
        <v>5007.8399999999992</v>
      </c>
      <c r="P345" s="16">
        <f t="shared" si="2"/>
        <v>961.85199999999998</v>
      </c>
      <c r="Q345" s="16">
        <f t="shared" si="2"/>
        <v>5269.549</v>
      </c>
      <c r="R345" s="16">
        <f t="shared" si="2"/>
        <v>2918.0659999999998</v>
      </c>
      <c r="S345" s="16">
        <f t="shared" si="2"/>
        <v>51626.358999999997</v>
      </c>
      <c r="T345" s="16">
        <f t="shared" si="2"/>
        <v>32.972000000000001</v>
      </c>
      <c r="U345" s="16">
        <f t="shared" si="2"/>
        <v>16736.128000000001</v>
      </c>
      <c r="V345" s="16">
        <f t="shared" si="2"/>
        <v>9113.5910000000003</v>
      </c>
      <c r="W345" s="16">
        <f t="shared" si="2"/>
        <v>22282.982</v>
      </c>
      <c r="X345" s="16">
        <f t="shared" si="2"/>
        <v>23250.295000000002</v>
      </c>
      <c r="Y345" s="16">
        <f t="shared" si="2"/>
        <v>298360.68099999998</v>
      </c>
      <c r="Z345" s="16">
        <f t="shared" si="2"/>
        <v>59516.98</v>
      </c>
      <c r="AA345" s="16">
        <f t="shared" si="2"/>
        <v>81447.514999999999</v>
      </c>
      <c r="AB345" s="16">
        <f t="shared" si="2"/>
        <v>182437.45400000003</v>
      </c>
      <c r="AC345" s="16">
        <f t="shared" si="2"/>
        <v>27237.245000000003</v>
      </c>
      <c r="AD345" s="16">
        <f t="shared" si="2"/>
        <v>15753.277000000002</v>
      </c>
      <c r="AE345" s="16">
        <f t="shared" si="2"/>
        <v>933674.38</v>
      </c>
      <c r="AF345" s="16">
        <f t="shared" si="2"/>
        <v>322323.87400000001</v>
      </c>
      <c r="AG345" s="16">
        <f t="shared" si="2"/>
        <v>71103.997000000003</v>
      </c>
      <c r="AH345" s="16">
        <f t="shared" si="2"/>
        <v>2863310.7229999998</v>
      </c>
      <c r="AI345" s="16">
        <f t="shared" si="2"/>
        <v>582114.35700000008</v>
      </c>
      <c r="AJ345" s="16">
        <f t="shared" si="2"/>
        <v>326706.386</v>
      </c>
      <c r="AK345" s="16">
        <f t="shared" si="2"/>
        <v>5955718.074</v>
      </c>
      <c r="AL345" s="16">
        <f t="shared" si="2"/>
        <v>3551686.9909999999</v>
      </c>
      <c r="AM345" s="16">
        <f>SUMIF($D$7:$D$339,$D$345,AM7:AM339)</f>
        <v>3470.1489999999999</v>
      </c>
      <c r="AN345" s="16">
        <f>SUMIF($D$7:$D$339,$D$345,AN7:AN339)</f>
        <v>1964670.601</v>
      </c>
      <c r="AO345" s="16">
        <f>SUMIF($D$7:$D$339,$D$345,AO7:AO339)</f>
        <v>4106.7480000000005</v>
      </c>
      <c r="AP345" s="16">
        <f t="shared" si="2"/>
        <v>4408.8689999999997</v>
      </c>
      <c r="AQ345" s="16">
        <f t="shared" si="2"/>
        <v>98350.218999999983</v>
      </c>
      <c r="AR345" s="16">
        <f t="shared" si="2"/>
        <v>2138.5190000000002</v>
      </c>
      <c r="AS345" s="16">
        <f t="shared" si="2"/>
        <v>538.39</v>
      </c>
      <c r="AT345" s="16">
        <f t="shared" si="2"/>
        <v>0</v>
      </c>
      <c r="AU345" s="16">
        <f t="shared" si="2"/>
        <v>11631.047999999999</v>
      </c>
      <c r="AV345" s="16">
        <f t="shared" si="2"/>
        <v>6548.9619999999995</v>
      </c>
      <c r="AW345" s="16">
        <f t="shared" si="2"/>
        <v>6417.9719999999998</v>
      </c>
      <c r="AX345" s="16">
        <f t="shared" si="2"/>
        <v>6050.8289999999997</v>
      </c>
      <c r="AY345" s="16">
        <f t="shared" si="2"/>
        <v>513.61999999999989</v>
      </c>
      <c r="AZ345" s="16">
        <f t="shared" si="2"/>
        <v>275.55</v>
      </c>
      <c r="BA345" s="16">
        <f t="shared" si="2"/>
        <v>4228.5280000000002</v>
      </c>
      <c r="BB345" s="16">
        <f t="shared" si="2"/>
        <v>682.11500000000001</v>
      </c>
      <c r="BC345" s="16">
        <f t="shared" si="2"/>
        <v>194.19900000000001</v>
      </c>
      <c r="BD345" s="16">
        <f t="shared" si="2"/>
        <v>368.815</v>
      </c>
      <c r="BE345" s="16">
        <f t="shared" si="2"/>
        <v>-9.7420000000000044</v>
      </c>
      <c r="BF345" s="16">
        <f t="shared" ref="BF345:BG345" si="3">SUMIF($D$7:$D$339,$D$345,BF7:BF339)</f>
        <v>91.474999999999994</v>
      </c>
      <c r="BG345" s="16">
        <f t="shared" si="3"/>
        <v>254159.56700000001</v>
      </c>
      <c r="BH345" s="22"/>
    </row>
    <row r="346" spans="1:60" x14ac:dyDescent="0.2">
      <c r="A346" t="s">
        <v>609</v>
      </c>
      <c r="D346">
        <v>2</v>
      </c>
      <c r="E346" s="16">
        <f t="shared" ref="E346:BE346" si="4">SUMIF($D$7:$D$339,$D$346,E7:E339)</f>
        <v>1910108.1639999999</v>
      </c>
      <c r="F346" s="16">
        <f t="shared" si="4"/>
        <v>152792.55799999999</v>
      </c>
      <c r="G346" s="16">
        <f t="shared" si="4"/>
        <v>359880.91300000006</v>
      </c>
      <c r="H346" s="16">
        <f t="shared" si="4"/>
        <v>0</v>
      </c>
      <c r="I346" s="16">
        <f t="shared" si="4"/>
        <v>53150.303</v>
      </c>
      <c r="J346" s="16">
        <f t="shared" si="4"/>
        <v>247947.31099999999</v>
      </c>
      <c r="K346" s="16">
        <f t="shared" si="4"/>
        <v>210365.97099999999</v>
      </c>
      <c r="L346" s="16">
        <f t="shared" si="4"/>
        <v>571915.59899999993</v>
      </c>
      <c r="M346" s="16">
        <f t="shared" si="4"/>
        <v>702097.76600000006</v>
      </c>
      <c r="N346" s="16">
        <f>SUMIF($D$7:$D$339,$D$346,N7:N339)</f>
        <v>12182.155000000001</v>
      </c>
      <c r="O346" s="16">
        <f t="shared" si="4"/>
        <v>5.9059999999999997</v>
      </c>
      <c r="P346" s="16">
        <f t="shared" si="4"/>
        <v>16304.010999999999</v>
      </c>
      <c r="Q346" s="16">
        <f t="shared" si="4"/>
        <v>1676.2389999999998</v>
      </c>
      <c r="R346" s="16">
        <f t="shared" si="4"/>
        <v>4788.0349999999999</v>
      </c>
      <c r="S346" s="16">
        <f t="shared" si="4"/>
        <v>49962.295999999995</v>
      </c>
      <c r="T346" s="16">
        <f t="shared" si="4"/>
        <v>2421.6</v>
      </c>
      <c r="U346" s="16">
        <f t="shared" si="4"/>
        <v>155878.04499999998</v>
      </c>
      <c r="V346" s="16">
        <f t="shared" si="4"/>
        <v>23411.537</v>
      </c>
      <c r="W346" s="16">
        <f t="shared" si="4"/>
        <v>53403.527000000002</v>
      </c>
      <c r="X346" s="16">
        <f t="shared" si="4"/>
        <v>27781.258999999998</v>
      </c>
      <c r="Y346" s="16">
        <f t="shared" si="4"/>
        <v>247154.671</v>
      </c>
      <c r="Z346" s="16">
        <f t="shared" si="4"/>
        <v>28.245000000000001</v>
      </c>
      <c r="AA346" s="16">
        <f t="shared" si="4"/>
        <v>274510.15100000001</v>
      </c>
      <c r="AB346" s="16">
        <f t="shared" si="4"/>
        <v>167.024</v>
      </c>
      <c r="AC346" s="16">
        <f t="shared" si="4"/>
        <v>20488.446</v>
      </c>
      <c r="AD346" s="16">
        <f t="shared" si="4"/>
        <v>7798.6579999999994</v>
      </c>
      <c r="AE346" s="16">
        <f t="shared" si="4"/>
        <v>634929.72200000007</v>
      </c>
      <c r="AF346" s="16">
        <f t="shared" si="4"/>
        <v>28165.075000000001</v>
      </c>
      <c r="AG346" s="16">
        <f t="shared" si="4"/>
        <v>24533.935999999998</v>
      </c>
      <c r="AH346" s="16">
        <f t="shared" si="4"/>
        <v>2276325.1119999997</v>
      </c>
      <c r="AI346" s="16">
        <f t="shared" si="4"/>
        <v>50091.341</v>
      </c>
      <c r="AJ346" s="16">
        <f t="shared" si="4"/>
        <v>165.27099999999999</v>
      </c>
      <c r="AK346" s="16">
        <f t="shared" si="4"/>
        <v>131607.21299999999</v>
      </c>
      <c r="AL346" s="16">
        <f t="shared" si="4"/>
        <v>78573.872000000003</v>
      </c>
      <c r="AM346" s="16">
        <f>SUMIF($D$7:$D$339,$D$346,AM7:AM339)</f>
        <v>27630.381000000001</v>
      </c>
      <c r="AN346" s="16">
        <f>SUMIF($D$7:$D$339,$D$346,AN7:AN339)</f>
        <v>43389.567999999999</v>
      </c>
      <c r="AO346" s="16">
        <f>SUMIF($D$7:$D$339,$D$346,AO7:AO339)</f>
        <v>3800.8199999999997</v>
      </c>
      <c r="AP346" s="16">
        <f t="shared" si="4"/>
        <v>0</v>
      </c>
      <c r="AQ346" s="16">
        <f t="shared" si="4"/>
        <v>8510.5540000000001</v>
      </c>
      <c r="AR346" s="16">
        <f t="shared" si="4"/>
        <v>0</v>
      </c>
      <c r="AS346" s="16">
        <f t="shared" si="4"/>
        <v>1123.9660000000001</v>
      </c>
      <c r="AT346" s="16">
        <f t="shared" si="4"/>
        <v>0</v>
      </c>
      <c r="AU346" s="16">
        <f t="shared" si="4"/>
        <v>29688.388999999999</v>
      </c>
      <c r="AV346" s="16">
        <f t="shared" si="4"/>
        <v>0</v>
      </c>
      <c r="AW346" s="16">
        <f t="shared" si="4"/>
        <v>0</v>
      </c>
      <c r="AX346" s="16">
        <f t="shared" si="4"/>
        <v>9823.19</v>
      </c>
      <c r="AY346" s="16">
        <f t="shared" si="4"/>
        <v>626.98400000000004</v>
      </c>
      <c r="AZ346" s="16">
        <f t="shared" si="4"/>
        <v>25.74</v>
      </c>
      <c r="BA346" s="16">
        <f t="shared" si="4"/>
        <v>2220.9499999999998</v>
      </c>
      <c r="BB346" s="16">
        <f t="shared" si="4"/>
        <v>550.49400000000003</v>
      </c>
      <c r="BC346" s="16">
        <f t="shared" si="4"/>
        <v>386.75400000000002</v>
      </c>
      <c r="BD346" s="16">
        <f t="shared" si="4"/>
        <v>60.003999999999998</v>
      </c>
      <c r="BE346" s="16">
        <f t="shared" si="4"/>
        <v>28.321999999999999</v>
      </c>
      <c r="BF346" s="16">
        <f t="shared" ref="BF346:BG346" si="5">SUMIF($D$7:$D$339,$D$346,BF7:BF339)</f>
        <v>17.035</v>
      </c>
      <c r="BG346" s="16">
        <f t="shared" si="5"/>
        <v>35737.864000000001</v>
      </c>
      <c r="BH346" s="22"/>
    </row>
    <row r="347" spans="1:60" x14ac:dyDescent="0.2">
      <c r="A347" t="s">
        <v>610</v>
      </c>
      <c r="D347">
        <v>3</v>
      </c>
      <c r="E347" s="16">
        <f t="shared" ref="E347:BE347" si="6">SUMIF($D$7:$D$339,$D$347,E7:E339)</f>
        <v>1863452.7629999998</v>
      </c>
      <c r="F347" s="16">
        <f t="shared" si="6"/>
        <v>241372.13500000004</v>
      </c>
      <c r="G347" s="16">
        <f t="shared" si="6"/>
        <v>466428.43300000008</v>
      </c>
      <c r="H347" s="16">
        <f t="shared" si="6"/>
        <v>74911.836000000025</v>
      </c>
      <c r="I347" s="16">
        <f t="shared" si="6"/>
        <v>44657.026000000005</v>
      </c>
      <c r="J347" s="16">
        <f t="shared" si="6"/>
        <v>322199.39699999994</v>
      </c>
      <c r="K347" s="16">
        <f t="shared" si="6"/>
        <v>53649.065999999999</v>
      </c>
      <c r="L347" s="16">
        <f t="shared" si="6"/>
        <v>863241.04499999993</v>
      </c>
      <c r="M347" s="16">
        <f t="shared" si="6"/>
        <v>1124076.5520000001</v>
      </c>
      <c r="N347" s="16">
        <f>SUMIF($D$7:$D$339,$D$347,N7:N339)</f>
        <v>3282.4639999999999</v>
      </c>
      <c r="O347" s="16">
        <f t="shared" si="6"/>
        <v>0</v>
      </c>
      <c r="P347" s="16">
        <f t="shared" si="6"/>
        <v>66.068999999999988</v>
      </c>
      <c r="Q347" s="16">
        <f t="shared" si="6"/>
        <v>3774.6959999999999</v>
      </c>
      <c r="R347" s="16">
        <f t="shared" si="6"/>
        <v>12493.494999999999</v>
      </c>
      <c r="S347" s="16">
        <f t="shared" si="6"/>
        <v>96338.330000000016</v>
      </c>
      <c r="T347" s="16">
        <f t="shared" si="6"/>
        <v>0</v>
      </c>
      <c r="U347" s="16">
        <f t="shared" si="6"/>
        <v>39753.156999999999</v>
      </c>
      <c r="V347" s="16">
        <f t="shared" si="6"/>
        <v>40994.722999999991</v>
      </c>
      <c r="W347" s="16">
        <f t="shared" si="6"/>
        <v>88914.547000000006</v>
      </c>
      <c r="X347" s="16">
        <f t="shared" si="6"/>
        <v>0</v>
      </c>
      <c r="Y347" s="16">
        <f t="shared" si="6"/>
        <v>202404.76099999994</v>
      </c>
      <c r="Z347" s="16">
        <f t="shared" si="6"/>
        <v>15421.746999999999</v>
      </c>
      <c r="AA347" s="16">
        <f t="shared" si="6"/>
        <v>402153.09699999995</v>
      </c>
      <c r="AB347" s="16">
        <f t="shared" si="6"/>
        <v>0</v>
      </c>
      <c r="AC347" s="16">
        <f t="shared" si="6"/>
        <v>45724.966</v>
      </c>
      <c r="AD347" s="16">
        <f t="shared" si="6"/>
        <v>13118.295</v>
      </c>
      <c r="AE347" s="16">
        <f t="shared" si="6"/>
        <v>398021.50199999998</v>
      </c>
      <c r="AF347" s="16">
        <f t="shared" si="6"/>
        <v>13657.951000000001</v>
      </c>
      <c r="AG347" s="16">
        <f t="shared" si="6"/>
        <v>51597.008000000002</v>
      </c>
      <c r="AH347" s="16">
        <f t="shared" si="6"/>
        <v>2299402.8459999994</v>
      </c>
      <c r="AI347" s="16">
        <f t="shared" si="6"/>
        <v>23104.084999999999</v>
      </c>
      <c r="AJ347" s="16">
        <f t="shared" si="6"/>
        <v>74020.240000000005</v>
      </c>
      <c r="AK347" s="16">
        <f t="shared" si="6"/>
        <v>0</v>
      </c>
      <c r="AL347" s="16">
        <f t="shared" si="6"/>
        <v>0</v>
      </c>
      <c r="AM347" s="16">
        <f>SUMIF($D$7:$D$339,$D$347,AM7:AM339)</f>
        <v>7046.5010000000002</v>
      </c>
      <c r="AN347" s="16">
        <f>SUMIF($D$7:$D$339,$D$347,AN7:AN339)</f>
        <v>0</v>
      </c>
      <c r="AO347" s="16">
        <f>SUMIF($D$7:$D$339,$D$347,AO7:AO339)</f>
        <v>5709.1519999999991</v>
      </c>
      <c r="AP347" s="16">
        <f t="shared" si="6"/>
        <v>0</v>
      </c>
      <c r="AQ347" s="16">
        <f t="shared" si="6"/>
        <v>4001.3670000000002</v>
      </c>
      <c r="AR347" s="16">
        <f t="shared" si="6"/>
        <v>0</v>
      </c>
      <c r="AS347" s="16">
        <f t="shared" si="6"/>
        <v>778.70800000000008</v>
      </c>
      <c r="AT347" s="16">
        <f t="shared" si="6"/>
        <v>0</v>
      </c>
      <c r="AU347" s="16">
        <f t="shared" si="6"/>
        <v>24795.337000000003</v>
      </c>
      <c r="AV347" s="16">
        <f t="shared" si="6"/>
        <v>0</v>
      </c>
      <c r="AW347" s="16">
        <f t="shared" si="6"/>
        <v>0</v>
      </c>
      <c r="AX347" s="16">
        <f t="shared" si="6"/>
        <v>0</v>
      </c>
      <c r="AY347" s="16">
        <f t="shared" si="6"/>
        <v>1222.1189999999997</v>
      </c>
      <c r="AZ347" s="16">
        <f t="shared" si="6"/>
        <v>59.254000000000005</v>
      </c>
      <c r="BA347" s="16">
        <f t="shared" si="6"/>
        <v>0</v>
      </c>
      <c r="BB347" s="16">
        <f t="shared" si="6"/>
        <v>1227.6980000000001</v>
      </c>
      <c r="BC347" s="16">
        <f t="shared" si="6"/>
        <v>908.47500000000014</v>
      </c>
      <c r="BD347" s="16">
        <f t="shared" si="6"/>
        <v>138.131</v>
      </c>
      <c r="BE347" s="16">
        <f t="shared" si="6"/>
        <v>52.333999999999996</v>
      </c>
      <c r="BF347" s="16">
        <f t="shared" ref="BF347:BG347" si="7">SUMIF($D$7:$D$339,$D$347,BF7:BF339)</f>
        <v>39.213999999999999</v>
      </c>
      <c r="BG347" s="16">
        <f t="shared" si="7"/>
        <v>60866.131999999998</v>
      </c>
      <c r="BH347" s="22"/>
    </row>
    <row r="348" spans="1:60" x14ac:dyDescent="0.2">
      <c r="A348" t="s">
        <v>611</v>
      </c>
      <c r="B348">
        <v>7</v>
      </c>
      <c r="D348">
        <v>4</v>
      </c>
      <c r="E348" s="16">
        <f t="shared" ref="E348:BE348" si="8">SUMIF($D$7:$D$339,$D$348,E7:E339)</f>
        <v>1048897.5080000001</v>
      </c>
      <c r="F348" s="16">
        <f t="shared" si="8"/>
        <v>241059.30300000001</v>
      </c>
      <c r="G348" s="16">
        <f t="shared" si="8"/>
        <v>219.78</v>
      </c>
      <c r="H348" s="16">
        <f t="shared" si="8"/>
        <v>12101.636999999999</v>
      </c>
      <c r="I348" s="16">
        <f t="shared" si="8"/>
        <v>11191.13</v>
      </c>
      <c r="J348" s="16">
        <f t="shared" si="8"/>
        <v>156.595</v>
      </c>
      <c r="K348" s="16">
        <f t="shared" si="8"/>
        <v>0</v>
      </c>
      <c r="L348" s="16">
        <f t="shared" si="8"/>
        <v>2841088.8879999998</v>
      </c>
      <c r="M348" s="16">
        <f t="shared" si="8"/>
        <v>267569.25199999998</v>
      </c>
      <c r="N348" s="16">
        <f>SUMIF($D$7:$D$339,$D$348,N7:N339)</f>
        <v>0</v>
      </c>
      <c r="O348" s="16">
        <f t="shared" si="8"/>
        <v>1517.181</v>
      </c>
      <c r="P348" s="16">
        <f t="shared" si="8"/>
        <v>32.762</v>
      </c>
      <c r="Q348" s="16">
        <f t="shared" si="8"/>
        <v>870.79899999999998</v>
      </c>
      <c r="R348" s="16">
        <f t="shared" si="8"/>
        <v>102.095</v>
      </c>
      <c r="S348" s="16">
        <f t="shared" si="8"/>
        <v>70274.155000000013</v>
      </c>
      <c r="T348" s="16">
        <f t="shared" si="8"/>
        <v>0</v>
      </c>
      <c r="U348" s="16">
        <f t="shared" si="8"/>
        <v>0</v>
      </c>
      <c r="V348" s="16">
        <f t="shared" si="8"/>
        <v>22.612000000000002</v>
      </c>
      <c r="W348" s="16">
        <f t="shared" si="8"/>
        <v>20025.054</v>
      </c>
      <c r="X348" s="16">
        <f t="shared" si="8"/>
        <v>155419.353</v>
      </c>
      <c r="Y348" s="16">
        <f t="shared" si="8"/>
        <v>447977.35899999994</v>
      </c>
      <c r="Z348" s="16">
        <f t="shared" si="8"/>
        <v>42632.301000000007</v>
      </c>
      <c r="AA348" s="16">
        <f t="shared" si="8"/>
        <v>202.53099999999998</v>
      </c>
      <c r="AB348" s="16">
        <f t="shared" si="8"/>
        <v>45237.703000000009</v>
      </c>
      <c r="AC348" s="16">
        <f t="shared" si="8"/>
        <v>40668.835000000014</v>
      </c>
      <c r="AD348" s="16">
        <f t="shared" si="8"/>
        <v>15800.245999999999</v>
      </c>
      <c r="AE348" s="16">
        <f t="shared" si="8"/>
        <v>1161098.1449999998</v>
      </c>
      <c r="AF348" s="16">
        <f t="shared" si="8"/>
        <v>566030.70099999988</v>
      </c>
      <c r="AG348" s="16">
        <f t="shared" si="8"/>
        <v>71068.241000000009</v>
      </c>
      <c r="AH348" s="16">
        <f t="shared" si="8"/>
        <v>4654191.8729999997</v>
      </c>
      <c r="AI348" s="16">
        <f t="shared" si="8"/>
        <v>1004398.6000000001</v>
      </c>
      <c r="AJ348" s="16">
        <f t="shared" si="8"/>
        <v>249997.405</v>
      </c>
      <c r="AK348" s="16">
        <f t="shared" si="8"/>
        <v>3044147.6529999999</v>
      </c>
      <c r="AL348" s="16">
        <f t="shared" si="8"/>
        <v>1817457.1319999998</v>
      </c>
      <c r="AM348" s="16">
        <f>SUMIF($D$7:$D$339,$D$348,AM7:AM339)</f>
        <v>0</v>
      </c>
      <c r="AN348" s="16">
        <f>SUMIF($D$7:$D$339,$D$348,AN7:AN339)</f>
        <v>1003624.675</v>
      </c>
      <c r="AO348" s="16">
        <f>SUMIF($D$7:$D$339,$D$348,AO7:AO339)</f>
        <v>5048.2320000000009</v>
      </c>
      <c r="AP348" s="16">
        <f t="shared" si="8"/>
        <v>38386.976999999999</v>
      </c>
      <c r="AQ348" s="16">
        <f t="shared" si="8"/>
        <v>169440.14200000002</v>
      </c>
      <c r="AR348" s="16">
        <f t="shared" si="8"/>
        <v>16716.934000000001</v>
      </c>
      <c r="AS348" s="16">
        <f t="shared" si="8"/>
        <v>686.15200000000004</v>
      </c>
      <c r="AT348" s="16">
        <f t="shared" si="8"/>
        <v>0</v>
      </c>
      <c r="AU348" s="16">
        <f t="shared" si="8"/>
        <v>8670.3130000000019</v>
      </c>
      <c r="AV348" s="16">
        <f t="shared" si="8"/>
        <v>61033.667999999998</v>
      </c>
      <c r="AW348" s="16">
        <f t="shared" si="8"/>
        <v>58812.682000000001</v>
      </c>
      <c r="AX348" s="16">
        <f t="shared" si="8"/>
        <v>54954.818999999996</v>
      </c>
      <c r="AY348" s="16">
        <f t="shared" si="8"/>
        <v>286.54999999999995</v>
      </c>
      <c r="AZ348" s="16">
        <f t="shared" si="8"/>
        <v>1406.8559999999998</v>
      </c>
      <c r="BA348" s="16">
        <f t="shared" si="8"/>
        <v>12424.883</v>
      </c>
      <c r="BB348" s="16">
        <f t="shared" si="8"/>
        <v>1051.8649999999998</v>
      </c>
      <c r="BC348" s="16">
        <f t="shared" si="8"/>
        <v>0.36499999999999999</v>
      </c>
      <c r="BD348" s="16">
        <f t="shared" si="8"/>
        <v>3279.6529999999998</v>
      </c>
      <c r="BE348" s="16">
        <f t="shared" si="8"/>
        <v>46.041999999999994</v>
      </c>
      <c r="BF348" s="16">
        <f t="shared" ref="BF348:BG348" si="9">SUMIF($D$7:$D$339,$D$348,BF7:BF339)</f>
        <v>931.09</v>
      </c>
      <c r="BG348" s="16">
        <f t="shared" si="9"/>
        <v>114528.887</v>
      </c>
      <c r="BH348" s="22"/>
    </row>
    <row r="349" spans="1:60" x14ac:dyDescent="0.2">
      <c r="A349" t="s">
        <v>612</v>
      </c>
      <c r="D349">
        <v>5</v>
      </c>
      <c r="E349" s="16">
        <f t="shared" ref="E349:BE349" si="10">SUMIF($D$7:$D$339,$D$349,E7:E339)</f>
        <v>724059.41900000011</v>
      </c>
      <c r="F349" s="16">
        <f t="shared" si="10"/>
        <v>46531.91</v>
      </c>
      <c r="G349" s="16">
        <f t="shared" si="10"/>
        <v>89526.013000000006</v>
      </c>
      <c r="H349" s="16">
        <f t="shared" si="10"/>
        <v>960395.91899999999</v>
      </c>
      <c r="I349" s="16">
        <f t="shared" si="10"/>
        <v>12433.346</v>
      </c>
      <c r="J349" s="16">
        <f t="shared" si="10"/>
        <v>68971.013999999996</v>
      </c>
      <c r="K349" s="16">
        <f t="shared" si="10"/>
        <v>6832.3440000000001</v>
      </c>
      <c r="L349" s="16">
        <f t="shared" si="10"/>
        <v>627628.16499999992</v>
      </c>
      <c r="M349" s="16">
        <f t="shared" si="10"/>
        <v>349328.58800000005</v>
      </c>
      <c r="N349" s="16">
        <f>SUMIF($D$7:$D$339,$D$349,N7:N339)</f>
        <v>0</v>
      </c>
      <c r="O349" s="16">
        <f t="shared" si="10"/>
        <v>0</v>
      </c>
      <c r="P349" s="16">
        <f t="shared" si="10"/>
        <v>2378.98</v>
      </c>
      <c r="Q349" s="16">
        <f t="shared" si="10"/>
        <v>0</v>
      </c>
      <c r="R349" s="16">
        <f t="shared" si="10"/>
        <v>85.986999999999995</v>
      </c>
      <c r="S349" s="16">
        <f t="shared" si="10"/>
        <v>-1426.97</v>
      </c>
      <c r="T349" s="16">
        <f t="shared" si="10"/>
        <v>0</v>
      </c>
      <c r="U349" s="16">
        <f t="shared" si="10"/>
        <v>2424.1460000000002</v>
      </c>
      <c r="V349" s="16">
        <f t="shared" si="10"/>
        <v>6903.5169999999998</v>
      </c>
      <c r="W349" s="16">
        <f t="shared" si="10"/>
        <v>23290.832999999999</v>
      </c>
      <c r="X349" s="16">
        <f t="shared" si="10"/>
        <v>0</v>
      </c>
      <c r="Y349" s="16">
        <f t="shared" si="10"/>
        <v>202897.65700000001</v>
      </c>
      <c r="Z349" s="16">
        <f t="shared" si="10"/>
        <v>0</v>
      </c>
      <c r="AA349" s="16">
        <f t="shared" si="10"/>
        <v>55946.725999999995</v>
      </c>
      <c r="AB349" s="16">
        <f t="shared" si="10"/>
        <v>-3.1840000000000002</v>
      </c>
      <c r="AC349" s="16">
        <f t="shared" si="10"/>
        <v>7851.2920000000022</v>
      </c>
      <c r="AD349" s="16">
        <f t="shared" si="10"/>
        <v>0</v>
      </c>
      <c r="AE349" s="16">
        <f t="shared" si="10"/>
        <v>614958.63</v>
      </c>
      <c r="AF349" s="16">
        <f t="shared" si="10"/>
        <v>3274.6950000000002</v>
      </c>
      <c r="AG349" s="16">
        <f t="shared" si="10"/>
        <v>2828.1930000000002</v>
      </c>
      <c r="AH349" s="16">
        <f t="shared" si="10"/>
        <v>1835684.774</v>
      </c>
      <c r="AI349" s="16">
        <f t="shared" si="10"/>
        <v>97863.827999999994</v>
      </c>
      <c r="AJ349" s="16">
        <f t="shared" si="10"/>
        <v>25.9</v>
      </c>
      <c r="AK349" s="16">
        <f t="shared" si="10"/>
        <v>34.182000000000002</v>
      </c>
      <c r="AL349" s="16">
        <f t="shared" si="10"/>
        <v>116.46599999999999</v>
      </c>
      <c r="AM349" s="16">
        <f>SUMIF($D$7:$D$339,$D$349,AM7:AM339)</f>
        <v>522.61400000000003</v>
      </c>
      <c r="AN349" s="16">
        <f>SUMIF($D$7:$D$339,$D$349,AN7:AN339)</f>
        <v>637.70899999999995</v>
      </c>
      <c r="AO349" s="16">
        <f>SUMIF($D$7:$D$339,$D$349,AO7:AO339)</f>
        <v>-114.011</v>
      </c>
      <c r="AP349" s="16">
        <f t="shared" si="10"/>
        <v>0</v>
      </c>
      <c r="AQ349" s="16">
        <f t="shared" si="10"/>
        <v>557.94699999999989</v>
      </c>
      <c r="AR349" s="16">
        <f t="shared" si="10"/>
        <v>0</v>
      </c>
      <c r="AS349" s="16">
        <f t="shared" si="10"/>
        <v>-13.480999999999998</v>
      </c>
      <c r="AT349" s="16">
        <f t="shared" si="10"/>
        <v>0</v>
      </c>
      <c r="AU349" s="16">
        <f t="shared" si="10"/>
        <v>-44.393000000000001</v>
      </c>
      <c r="AV349" s="16">
        <f t="shared" si="10"/>
        <v>0</v>
      </c>
      <c r="AW349" s="16">
        <f t="shared" si="10"/>
        <v>0</v>
      </c>
      <c r="AX349" s="16">
        <f t="shared" si="10"/>
        <v>0</v>
      </c>
      <c r="AY349" s="16">
        <f t="shared" si="10"/>
        <v>-4.9269999999999996</v>
      </c>
      <c r="AZ349" s="16">
        <f t="shared" si="10"/>
        <v>0</v>
      </c>
      <c r="BA349" s="16">
        <f t="shared" si="10"/>
        <v>0</v>
      </c>
      <c r="BB349" s="16">
        <f t="shared" si="10"/>
        <v>-18.166</v>
      </c>
      <c r="BC349" s="16">
        <f t="shared" si="10"/>
        <v>1E-3</v>
      </c>
      <c r="BD349" s="16">
        <f t="shared" si="10"/>
        <v>0</v>
      </c>
      <c r="BE349" s="16">
        <f t="shared" si="10"/>
        <v>-0.79400000000000004</v>
      </c>
      <c r="BF349" s="16">
        <f t="shared" ref="BF349:BG349" si="11">SUMIF($D$7:$D$339,$D$349,BF7:BF339)</f>
        <v>0</v>
      </c>
      <c r="BG349" s="16">
        <f t="shared" si="11"/>
        <v>0</v>
      </c>
      <c r="BH349" s="22"/>
    </row>
    <row r="350" spans="1:60" x14ac:dyDescent="0.2">
      <c r="A350" t="s">
        <v>613</v>
      </c>
      <c r="B350">
        <v>7</v>
      </c>
      <c r="D350">
        <v>6</v>
      </c>
      <c r="E350" s="16">
        <f t="shared" ref="E350:BE350" si="12">SUMIF($D$7:$D$339,$D$350,E7:E339)+SUMIF($D$7:$D$339,$B$350,E7:E339)</f>
        <v>1642831.2449999999</v>
      </c>
      <c r="F350" s="16">
        <f t="shared" si="12"/>
        <v>61738.506999999991</v>
      </c>
      <c r="G350" s="16">
        <f t="shared" si="12"/>
        <v>62800.714999999982</v>
      </c>
      <c r="H350" s="16">
        <f t="shared" si="12"/>
        <v>23837.968000000001</v>
      </c>
      <c r="I350" s="16">
        <f t="shared" si="12"/>
        <v>9780.2710000000061</v>
      </c>
      <c r="J350" s="16">
        <f t="shared" si="12"/>
        <v>43399.303999999996</v>
      </c>
      <c r="K350" s="16">
        <f t="shared" si="12"/>
        <v>4764.9080000000004</v>
      </c>
      <c r="L350" s="16">
        <f t="shared" si="12"/>
        <v>2093323.6799999997</v>
      </c>
      <c r="M350" s="16">
        <f t="shared" si="12"/>
        <v>558317.46500000008</v>
      </c>
      <c r="N350" s="16">
        <f>SUMIF($D$7:$D$339,$D$350,N7:N339)+SUMIF($D$7:$D$339,$B$350,N7:N339)</f>
        <v>-54.668999999999997</v>
      </c>
      <c r="O350" s="16">
        <f t="shared" si="12"/>
        <v>7.2229999999999972</v>
      </c>
      <c r="P350" s="16">
        <f t="shared" si="12"/>
        <v>1357.1479999999999</v>
      </c>
      <c r="Q350" s="16">
        <f t="shared" si="12"/>
        <v>1.1110000000000024</v>
      </c>
      <c r="R350" s="16">
        <f t="shared" si="12"/>
        <v>829.3180000000001</v>
      </c>
      <c r="S350" s="16">
        <f t="shared" si="12"/>
        <v>8734.9449999999997</v>
      </c>
      <c r="T350" s="16">
        <f t="shared" si="12"/>
        <v>-1.667</v>
      </c>
      <c r="U350" s="16">
        <f t="shared" si="12"/>
        <v>3540.4869999999996</v>
      </c>
      <c r="V350" s="16">
        <f t="shared" si="12"/>
        <v>4468.9140000000007</v>
      </c>
      <c r="W350" s="16">
        <f t="shared" si="12"/>
        <v>13579.234000000002</v>
      </c>
      <c r="X350" s="16">
        <f t="shared" si="12"/>
        <v>-642.27300000000002</v>
      </c>
      <c r="Y350" s="16">
        <f t="shared" si="12"/>
        <v>248762.60699999993</v>
      </c>
      <c r="Z350" s="16">
        <f t="shared" si="12"/>
        <v>1184.3130000000037</v>
      </c>
      <c r="AA350" s="16">
        <f t="shared" si="12"/>
        <v>50627.427000000003</v>
      </c>
      <c r="AB350" s="16">
        <f t="shared" si="12"/>
        <v>100.82799999999997</v>
      </c>
      <c r="AC350" s="16">
        <f t="shared" si="12"/>
        <v>6991.0700000000015</v>
      </c>
      <c r="AD350" s="16">
        <f t="shared" si="12"/>
        <v>101.02200000000107</v>
      </c>
      <c r="AE350" s="16">
        <f t="shared" si="12"/>
        <v>946830.94399999978</v>
      </c>
      <c r="AF350" s="16">
        <f t="shared" si="12"/>
        <v>26134.502000000004</v>
      </c>
      <c r="AG350" s="16">
        <f t="shared" si="12"/>
        <v>160.11300000000054</v>
      </c>
      <c r="AH350" s="16">
        <f t="shared" si="12"/>
        <v>3860965.6539999996</v>
      </c>
      <c r="AI350" s="16">
        <f t="shared" si="12"/>
        <v>62340.647999999994</v>
      </c>
      <c r="AJ350" s="16">
        <f t="shared" si="12"/>
        <v>8936.5050000000028</v>
      </c>
      <c r="AK350" s="16">
        <f t="shared" si="12"/>
        <v>138811.07999999999</v>
      </c>
      <c r="AL350" s="16">
        <f t="shared" si="12"/>
        <v>84230.739999999991</v>
      </c>
      <c r="AM350" s="16">
        <f>SUMIF($D$7:$D$339,$D$350,AM7:AM339)+SUMIF($D$7:$D$339,$B$350,AM7:AM339)</f>
        <v>-454.47600000000011</v>
      </c>
      <c r="AN350" s="16">
        <f>SUMIF($D$7:$D$339,$D$350,AN7:AN339)+SUMIF($D$7:$D$339,$B$350,AN7:AN339)</f>
        <v>37911.962000000007</v>
      </c>
      <c r="AO350" s="16">
        <f>SUMIF($D$7:$D$339,$D$350,AO7:AO339)+SUMIF($D$7:$D$339,$B$350,AO7:AO339)</f>
        <v>355.61500000000001</v>
      </c>
      <c r="AP350" s="16">
        <f t="shared" si="12"/>
        <v>-5.0710000000000015</v>
      </c>
      <c r="AQ350" s="16">
        <f t="shared" si="12"/>
        <v>3991.09</v>
      </c>
      <c r="AR350" s="16">
        <f t="shared" si="12"/>
        <v>-99.13900000000001</v>
      </c>
      <c r="AS350" s="16">
        <f t="shared" si="12"/>
        <v>203.249</v>
      </c>
      <c r="AT350" s="16">
        <f t="shared" si="12"/>
        <v>0</v>
      </c>
      <c r="AU350" s="16">
        <f t="shared" si="12"/>
        <v>1020.299</v>
      </c>
      <c r="AV350" s="16">
        <f t="shared" si="12"/>
        <v>0.9679999999999982</v>
      </c>
      <c r="AW350" s="16">
        <f t="shared" si="12"/>
        <v>-28.74</v>
      </c>
      <c r="AX350" s="16">
        <f t="shared" si="12"/>
        <v>-19.671999999999997</v>
      </c>
      <c r="AY350" s="16">
        <f t="shared" si="12"/>
        <v>53.7</v>
      </c>
      <c r="AZ350" s="16">
        <f t="shared" si="12"/>
        <v>30.466999999999999</v>
      </c>
      <c r="BA350" s="16">
        <f t="shared" si="12"/>
        <v>-1.5430000000000001</v>
      </c>
      <c r="BB350" s="16">
        <f t="shared" si="12"/>
        <v>77.662000000000006</v>
      </c>
      <c r="BC350" s="16">
        <f t="shared" si="12"/>
        <v>36.802999999999997</v>
      </c>
      <c r="BD350" s="16">
        <f t="shared" si="12"/>
        <v>70.793999999999997</v>
      </c>
      <c r="BE350" s="16">
        <f t="shared" si="12"/>
        <v>3.169</v>
      </c>
      <c r="BF350" s="16">
        <f t="shared" ref="BF350:BG350" si="13">SUMIF($D$7:$D$339,$D$350,BF7:BF339)+SUMIF($D$7:$D$339,$B$350,BF7:BF339)</f>
        <v>20.155999999999999</v>
      </c>
      <c r="BG350" s="16">
        <f t="shared" si="13"/>
        <v>968.92200000000753</v>
      </c>
      <c r="BH350" s="22"/>
    </row>
    <row r="351" spans="1:60" x14ac:dyDescent="0.2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22"/>
    </row>
    <row r="352" spans="1:60" x14ac:dyDescent="0.2">
      <c r="E352">
        <f t="shared" ref="E352:M352" si="14">SUM(E345:E351)</f>
        <v>8036583.6699999999</v>
      </c>
      <c r="F352">
        <f t="shared" si="14"/>
        <v>907422.27700000012</v>
      </c>
      <c r="G352">
        <f t="shared" si="14"/>
        <v>1021541.7460000002</v>
      </c>
      <c r="H352">
        <f t="shared" si="14"/>
        <v>1082351.4650000001</v>
      </c>
      <c r="I352">
        <f t="shared" si="14"/>
        <v>145221.97900000002</v>
      </c>
      <c r="J352">
        <f t="shared" si="14"/>
        <v>710576.05299999984</v>
      </c>
      <c r="K352">
        <f t="shared" si="14"/>
        <v>296241.68199999997</v>
      </c>
      <c r="L352" s="17">
        <f t="shared" si="14"/>
        <v>8775457.4089999981</v>
      </c>
      <c r="M352">
        <f t="shared" si="14"/>
        <v>3231151.46</v>
      </c>
      <c r="N352">
        <f>SUM(N345:N351)</f>
        <v>18483.373</v>
      </c>
      <c r="O352">
        <f t="shared" ref="O352:AL352" si="15">SUM(O345:O351)</f>
        <v>6538.15</v>
      </c>
      <c r="P352">
        <f t="shared" si="15"/>
        <v>21100.821999999996</v>
      </c>
      <c r="Q352">
        <f t="shared" si="15"/>
        <v>11592.394</v>
      </c>
      <c r="R352">
        <f t="shared" si="15"/>
        <v>21216.995999999999</v>
      </c>
      <c r="S352">
        <f t="shared" si="15"/>
        <v>275509.11500000005</v>
      </c>
      <c r="T352">
        <f t="shared" si="15"/>
        <v>2452.9050000000002</v>
      </c>
      <c r="U352">
        <f t="shared" si="15"/>
        <v>218331.96299999999</v>
      </c>
      <c r="V352">
        <f t="shared" si="15"/>
        <v>84914.893999999986</v>
      </c>
      <c r="W352">
        <f t="shared" si="15"/>
        <v>221496.17700000003</v>
      </c>
      <c r="X352">
        <f t="shared" si="15"/>
        <v>205808.63400000002</v>
      </c>
      <c r="Y352">
        <f t="shared" si="15"/>
        <v>1647557.7359999996</v>
      </c>
      <c r="Z352">
        <f t="shared" si="15"/>
        <v>118783.58600000002</v>
      </c>
      <c r="AA352">
        <f t="shared" si="15"/>
        <v>864887.44700000004</v>
      </c>
      <c r="AB352">
        <f t="shared" si="15"/>
        <v>227939.82500000004</v>
      </c>
      <c r="AC352">
        <f t="shared" si="15"/>
        <v>148961.85400000005</v>
      </c>
      <c r="AD352">
        <f t="shared" si="15"/>
        <v>52571.498000000007</v>
      </c>
      <c r="AE352">
        <f t="shared" si="15"/>
        <v>4689513.3229999999</v>
      </c>
      <c r="AF352">
        <f t="shared" si="15"/>
        <v>959586.79799999984</v>
      </c>
      <c r="AG352">
        <f t="shared" si="15"/>
        <v>221291.48800000001</v>
      </c>
      <c r="AH352">
        <f t="shared" si="15"/>
        <v>17789880.981999997</v>
      </c>
      <c r="AI352">
        <f t="shared" si="15"/>
        <v>1819912.8590000002</v>
      </c>
      <c r="AJ352">
        <f t="shared" si="15"/>
        <v>659851.70700000005</v>
      </c>
      <c r="AK352">
        <f t="shared" si="15"/>
        <v>9270318.2020000014</v>
      </c>
      <c r="AL352">
        <f t="shared" si="15"/>
        <v>5532065.2009999994</v>
      </c>
      <c r="AM352">
        <f>SUM(AM345:AM351)</f>
        <v>38215.169000000002</v>
      </c>
      <c r="AN352">
        <f>SUM(AN345:AN351)</f>
        <v>3050234.5149999997</v>
      </c>
      <c r="AO352">
        <f>SUM(AO345:AO351)</f>
        <v>18906.556000000004</v>
      </c>
      <c r="AP352">
        <f>SUM(AP345:AP351)</f>
        <v>42790.774999999994</v>
      </c>
      <c r="AQ352">
        <f t="shared" ref="AQ352:BE352" si="16">SUM(AQ345:AQ351)</f>
        <v>284851.31900000002</v>
      </c>
      <c r="AR352">
        <f t="shared" si="16"/>
        <v>18756.314000000002</v>
      </c>
      <c r="AS352">
        <f t="shared" si="16"/>
        <v>3316.9839999999999</v>
      </c>
      <c r="AT352">
        <f t="shared" si="16"/>
        <v>0</v>
      </c>
      <c r="AU352">
        <f t="shared" si="16"/>
        <v>75760.993000000002</v>
      </c>
      <c r="AV352">
        <f t="shared" si="16"/>
        <v>67583.597999999998</v>
      </c>
      <c r="AW352">
        <f t="shared" si="16"/>
        <v>65201.914000000004</v>
      </c>
      <c r="AX352">
        <f t="shared" si="16"/>
        <v>70809.165999999983</v>
      </c>
      <c r="AY352">
        <f t="shared" si="16"/>
        <v>2698.0459999999989</v>
      </c>
      <c r="AZ352">
        <f t="shared" si="16"/>
        <v>1797.867</v>
      </c>
      <c r="BA352">
        <f t="shared" si="16"/>
        <v>18872.817999999999</v>
      </c>
      <c r="BB352">
        <f t="shared" si="16"/>
        <v>3571.6679999999992</v>
      </c>
      <c r="BC352">
        <f t="shared" si="16"/>
        <v>1526.5970000000002</v>
      </c>
      <c r="BD352">
        <f t="shared" si="16"/>
        <v>3917.3969999999999</v>
      </c>
      <c r="BE352">
        <f t="shared" si="16"/>
        <v>119.33099999999999</v>
      </c>
      <c r="BF352">
        <f t="shared" ref="BF352:BG352" si="17">SUM(BF345:BF351)</f>
        <v>1098.97</v>
      </c>
      <c r="BG352">
        <f t="shared" si="17"/>
        <v>466261.37199999997</v>
      </c>
      <c r="BH352" s="22"/>
    </row>
    <row r="353" spans="1:60" x14ac:dyDescent="0.2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22"/>
    </row>
    <row r="354" spans="1:60" x14ac:dyDescent="0.2">
      <c r="A354" s="8"/>
      <c r="B354" s="8"/>
      <c r="C354" s="8"/>
      <c r="D354" s="8"/>
      <c r="E354" s="8">
        <f>E352-E341</f>
        <v>0</v>
      </c>
      <c r="F354" s="8">
        <f t="shared" ref="F354:BG354" si="18">F352-F341</f>
        <v>0</v>
      </c>
      <c r="G354" s="8">
        <f t="shared" si="18"/>
        <v>0</v>
      </c>
      <c r="H354" s="8">
        <f t="shared" si="18"/>
        <v>0</v>
      </c>
      <c r="I354" s="8">
        <f t="shared" si="18"/>
        <v>0</v>
      </c>
      <c r="J354" s="8">
        <f t="shared" si="18"/>
        <v>0</v>
      </c>
      <c r="K354" s="8">
        <f t="shared" si="18"/>
        <v>0</v>
      </c>
      <c r="L354" s="8">
        <f t="shared" si="18"/>
        <v>0</v>
      </c>
      <c r="M354" s="8">
        <f t="shared" si="18"/>
        <v>0</v>
      </c>
      <c r="N354" s="8">
        <f t="shared" si="18"/>
        <v>0</v>
      </c>
      <c r="O354" s="8">
        <f t="shared" si="18"/>
        <v>0</v>
      </c>
      <c r="P354" s="8">
        <f t="shared" si="18"/>
        <v>0</v>
      </c>
      <c r="Q354" s="8">
        <f t="shared" si="18"/>
        <v>0</v>
      </c>
      <c r="R354" s="8">
        <f t="shared" si="18"/>
        <v>0</v>
      </c>
      <c r="S354" s="8">
        <f t="shared" si="18"/>
        <v>0</v>
      </c>
      <c r="T354" s="8">
        <f t="shared" si="18"/>
        <v>0</v>
      </c>
      <c r="U354" s="8">
        <f t="shared" si="18"/>
        <v>0</v>
      </c>
      <c r="V354" s="8">
        <f t="shared" si="18"/>
        <v>0</v>
      </c>
      <c r="W354" s="8">
        <f t="shared" si="18"/>
        <v>0</v>
      </c>
      <c r="X354" s="8">
        <f t="shared" si="18"/>
        <v>0</v>
      </c>
      <c r="Y354" s="8">
        <f t="shared" si="18"/>
        <v>0</v>
      </c>
      <c r="Z354" s="8">
        <f t="shared" si="18"/>
        <v>0</v>
      </c>
      <c r="AA354" s="8">
        <f t="shared" si="18"/>
        <v>0</v>
      </c>
      <c r="AB354" s="8">
        <f t="shared" si="18"/>
        <v>0</v>
      </c>
      <c r="AC354" s="8">
        <f t="shared" si="18"/>
        <v>0</v>
      </c>
      <c r="AD354" s="8">
        <f t="shared" si="18"/>
        <v>0</v>
      </c>
      <c r="AE354" s="8">
        <f t="shared" si="18"/>
        <v>0</v>
      </c>
      <c r="AF354" s="8">
        <f t="shared" si="18"/>
        <v>0</v>
      </c>
      <c r="AG354" s="8">
        <f t="shared" si="18"/>
        <v>0</v>
      </c>
      <c r="AH354" s="8">
        <f t="shared" si="18"/>
        <v>0</v>
      </c>
      <c r="AI354" s="8">
        <f t="shared" si="18"/>
        <v>0</v>
      </c>
      <c r="AJ354" s="8">
        <f t="shared" si="18"/>
        <v>0</v>
      </c>
      <c r="AK354" s="8">
        <f t="shared" si="18"/>
        <v>0</v>
      </c>
      <c r="AL354" s="8">
        <f t="shared" si="18"/>
        <v>0</v>
      </c>
      <c r="AM354" s="8">
        <f t="shared" si="18"/>
        <v>0</v>
      </c>
      <c r="AN354" s="8">
        <f t="shared" si="18"/>
        <v>0</v>
      </c>
      <c r="AO354" s="8">
        <f t="shared" si="18"/>
        <v>0</v>
      </c>
      <c r="AP354" s="8">
        <f t="shared" si="18"/>
        <v>0</v>
      </c>
      <c r="AQ354" s="8">
        <f t="shared" si="18"/>
        <v>0</v>
      </c>
      <c r="AR354" s="8">
        <f t="shared" si="18"/>
        <v>0</v>
      </c>
      <c r="AS354" s="8">
        <f t="shared" si="18"/>
        <v>0</v>
      </c>
      <c r="AT354" s="8">
        <f t="shared" si="18"/>
        <v>0</v>
      </c>
      <c r="AU354" s="8">
        <f t="shared" si="18"/>
        <v>0</v>
      </c>
      <c r="AV354" s="8">
        <f t="shared" si="18"/>
        <v>0</v>
      </c>
      <c r="AW354" s="8">
        <f t="shared" si="18"/>
        <v>0</v>
      </c>
      <c r="AX354" s="8">
        <f t="shared" si="18"/>
        <v>0</v>
      </c>
      <c r="AY354" s="8">
        <f t="shared" si="18"/>
        <v>0</v>
      </c>
      <c r="AZ354" s="8">
        <f t="shared" si="18"/>
        <v>0</v>
      </c>
      <c r="BA354" s="8">
        <f t="shared" si="18"/>
        <v>0</v>
      </c>
      <c r="BB354" s="8">
        <f t="shared" si="18"/>
        <v>0</v>
      </c>
      <c r="BC354" s="8">
        <f t="shared" si="18"/>
        <v>0</v>
      </c>
      <c r="BD354" s="8">
        <f t="shared" si="18"/>
        <v>0</v>
      </c>
      <c r="BE354" s="8">
        <f t="shared" si="18"/>
        <v>0</v>
      </c>
      <c r="BF354" s="8">
        <f t="shared" si="18"/>
        <v>0</v>
      </c>
      <c r="BG354" s="8">
        <f t="shared" si="18"/>
        <v>0</v>
      </c>
      <c r="BH354" s="22"/>
    </row>
    <row r="355" spans="1:60" x14ac:dyDescent="0.2">
      <c r="E355" s="18">
        <f t="shared" ref="E355:M355" si="19">E5</f>
        <v>401</v>
      </c>
      <c r="F355" s="18">
        <f t="shared" si="19"/>
        <v>242</v>
      </c>
      <c r="G355" s="18">
        <f t="shared" si="19"/>
        <v>385</v>
      </c>
      <c r="H355" s="18">
        <f t="shared" si="19"/>
        <v>528</v>
      </c>
      <c r="I355" s="18">
        <f t="shared" si="19"/>
        <v>384</v>
      </c>
      <c r="J355" s="18">
        <f t="shared" si="19"/>
        <v>716</v>
      </c>
      <c r="K355" s="18">
        <f t="shared" si="19"/>
        <v>715</v>
      </c>
      <c r="L355" s="18">
        <f t="shared" si="19"/>
        <v>9916</v>
      </c>
      <c r="M355" s="18">
        <f t="shared" si="19"/>
        <v>1100</v>
      </c>
      <c r="N355" s="18">
        <f>N5</f>
        <v>801</v>
      </c>
      <c r="O355" s="18">
        <f t="shared" ref="O355:T355" si="20">O5</f>
        <v>804</v>
      </c>
      <c r="P355" s="18">
        <f t="shared" si="20"/>
        <v>806</v>
      </c>
      <c r="Q355" s="18">
        <f t="shared" si="20"/>
        <v>8765</v>
      </c>
      <c r="R355" s="18">
        <f t="shared" si="20"/>
        <v>8766</v>
      </c>
      <c r="S355" s="18">
        <f t="shared" si="20"/>
        <v>9418</v>
      </c>
      <c r="T355" s="18">
        <f t="shared" si="20"/>
        <v>9475</v>
      </c>
      <c r="U355" s="18">
        <f>U5</f>
        <v>9906</v>
      </c>
      <c r="V355" s="18">
        <f>V5</f>
        <v>7905</v>
      </c>
      <c r="W355" s="18">
        <f t="shared" ref="W355:BE355" si="21">W5</f>
        <v>7906</v>
      </c>
      <c r="X355" s="18">
        <f t="shared" si="21"/>
        <v>7907</v>
      </c>
      <c r="Y355" s="18">
        <f t="shared" si="21"/>
        <v>7908</v>
      </c>
      <c r="Z355" s="18">
        <f t="shared" si="21"/>
        <v>7909</v>
      </c>
      <c r="AA355" s="18">
        <f t="shared" si="21"/>
        <v>11310</v>
      </c>
      <c r="AB355" s="18">
        <f t="shared" si="21"/>
        <v>11311</v>
      </c>
      <c r="AC355" s="18">
        <f t="shared" si="21"/>
        <v>11312</v>
      </c>
      <c r="AD355" s="18">
        <f t="shared" si="21"/>
        <v>11335</v>
      </c>
      <c r="AE355" s="18">
        <f t="shared" si="21"/>
        <v>9529</v>
      </c>
      <c r="AF355" s="18">
        <f t="shared" si="21"/>
        <v>961</v>
      </c>
      <c r="AG355" s="18">
        <f t="shared" si="21"/>
        <v>9528</v>
      </c>
      <c r="AH355" s="18">
        <f t="shared" si="21"/>
        <v>964</v>
      </c>
      <c r="AI355" s="18">
        <f t="shared" si="21"/>
        <v>968</v>
      </c>
      <c r="AJ355" s="18">
        <f t="shared" si="21"/>
        <v>8629</v>
      </c>
      <c r="AK355" s="18">
        <f t="shared" si="21"/>
        <v>13264</v>
      </c>
      <c r="AL355" s="18">
        <f t="shared" si="21"/>
        <v>13263</v>
      </c>
      <c r="AM355" s="18">
        <f t="shared" si="21"/>
        <v>13209</v>
      </c>
      <c r="AN355" s="18">
        <f t="shared" si="21"/>
        <v>13250</v>
      </c>
      <c r="AO355" s="18">
        <f t="shared" si="21"/>
        <v>14281</v>
      </c>
      <c r="AP355" s="18">
        <f t="shared" si="21"/>
        <v>2049</v>
      </c>
      <c r="AQ355" s="18">
        <f t="shared" si="21"/>
        <v>7975</v>
      </c>
      <c r="AR355" s="18">
        <f t="shared" si="21"/>
        <v>8004</v>
      </c>
      <c r="AS355" s="18">
        <f t="shared" si="21"/>
        <v>1008</v>
      </c>
      <c r="AT355" s="18">
        <f t="shared" si="21"/>
        <v>9484</v>
      </c>
      <c r="AU355" s="18">
        <f t="shared" si="21"/>
        <v>682</v>
      </c>
      <c r="AV355" s="18">
        <f t="shared" si="21"/>
        <v>11352</v>
      </c>
      <c r="AW355" s="18">
        <f t="shared" si="21"/>
        <v>2058</v>
      </c>
      <c r="AX355" s="18">
        <f t="shared" si="21"/>
        <v>15007</v>
      </c>
      <c r="AY355" s="18">
        <f t="shared" si="21"/>
        <v>15208</v>
      </c>
      <c r="AZ355" s="18">
        <f t="shared" si="21"/>
        <v>15209</v>
      </c>
      <c r="BA355" s="18">
        <f t="shared" si="21"/>
        <v>15210</v>
      </c>
      <c r="BB355" s="18">
        <f t="shared" si="21"/>
        <v>15211</v>
      </c>
      <c r="BC355" s="18">
        <f t="shared" si="21"/>
        <v>15212</v>
      </c>
      <c r="BD355" s="18">
        <f t="shared" si="21"/>
        <v>15232</v>
      </c>
      <c r="BE355" s="18">
        <f t="shared" si="21"/>
        <v>15214</v>
      </c>
      <c r="BF355" s="18">
        <f t="shared" ref="BF355:BG355" si="22">BF5</f>
        <v>15233</v>
      </c>
      <c r="BG355" s="18">
        <f t="shared" si="22"/>
        <v>15234</v>
      </c>
      <c r="BH355" s="22"/>
    </row>
    <row r="356" spans="1:60" x14ac:dyDescent="0.2">
      <c r="A356" t="s">
        <v>608</v>
      </c>
      <c r="E356" s="19">
        <f t="shared" ref="E356:AL356" si="23">E345/E352</f>
        <v>0.10542222986648754</v>
      </c>
      <c r="F356" s="19">
        <f t="shared" si="23"/>
        <v>0.18065223673145503</v>
      </c>
      <c r="G356" s="19">
        <f t="shared" si="23"/>
        <v>4.1785753903002994E-2</v>
      </c>
      <c r="H356" s="19">
        <f t="shared" si="23"/>
        <v>1.0259241437807818E-2</v>
      </c>
      <c r="I356" s="19">
        <f t="shared" si="23"/>
        <v>9.6472332194288565E-2</v>
      </c>
      <c r="J356" s="19">
        <f t="shared" si="23"/>
        <v>3.9267340747268342E-2</v>
      </c>
      <c r="K356" s="19">
        <f t="shared" si="23"/>
        <v>6.9637037099998647E-2</v>
      </c>
      <c r="L356" s="19">
        <f t="shared" si="23"/>
        <v>0.20264015299945948</v>
      </c>
      <c r="M356" s="19">
        <f t="shared" si="23"/>
        <v>7.1108346310698803E-2</v>
      </c>
      <c r="N356" s="19">
        <f>N345/N352</f>
        <v>0.16628041862272649</v>
      </c>
      <c r="O356" s="19">
        <f t="shared" si="23"/>
        <v>0.76594143603312859</v>
      </c>
      <c r="P356" s="19">
        <f t="shared" si="23"/>
        <v>4.5583627026473193E-2</v>
      </c>
      <c r="Q356" s="19">
        <f t="shared" si="23"/>
        <v>0.45456952205040652</v>
      </c>
      <c r="R356" s="19">
        <f t="shared" si="23"/>
        <v>0.13753436160331084</v>
      </c>
      <c r="S356" s="19">
        <f t="shared" si="23"/>
        <v>0.1873853030234589</v>
      </c>
      <c r="T356" s="19">
        <f t="shared" si="23"/>
        <v>1.3442020787596747E-2</v>
      </c>
      <c r="U356" s="19">
        <f t="shared" si="23"/>
        <v>7.6654502483449946E-2</v>
      </c>
      <c r="V356" s="19">
        <f t="shared" si="23"/>
        <v>0.10732617766678249</v>
      </c>
      <c r="W356" s="19">
        <f t="shared" si="23"/>
        <v>0.10060210655464269</v>
      </c>
      <c r="X356" s="19">
        <f t="shared" si="23"/>
        <v>0.11297045487411378</v>
      </c>
      <c r="Y356" s="19">
        <f t="shared" si="23"/>
        <v>0.18109270132430738</v>
      </c>
      <c r="Z356" s="19">
        <f t="shared" si="23"/>
        <v>0.50105390823947671</v>
      </c>
      <c r="AA356" s="19">
        <f t="shared" si="23"/>
        <v>9.4171230352011331E-2</v>
      </c>
      <c r="AB356" s="19">
        <f t="shared" si="23"/>
        <v>0.80037551138770946</v>
      </c>
      <c r="AC356" s="19">
        <f t="shared" si="23"/>
        <v>0.18284711332875861</v>
      </c>
      <c r="AD356" s="19">
        <f t="shared" si="23"/>
        <v>0.29965432980433621</v>
      </c>
      <c r="AE356" s="19">
        <f t="shared" si="23"/>
        <v>0.19909835321732383</v>
      </c>
      <c r="AF356" s="19">
        <f t="shared" si="23"/>
        <v>0.33589861247757608</v>
      </c>
      <c r="AG356" s="19">
        <f t="shared" si="23"/>
        <v>0.3213137461482477</v>
      </c>
      <c r="AH356" s="19">
        <f t="shared" si="23"/>
        <v>0.16095165144146439</v>
      </c>
      <c r="AI356" s="19">
        <f t="shared" si="23"/>
        <v>0.31985836800991579</v>
      </c>
      <c r="AJ356" s="19">
        <f t="shared" si="23"/>
        <v>0.49512092267725233</v>
      </c>
      <c r="AK356" s="19">
        <f t="shared" si="23"/>
        <v>0.64245023139713786</v>
      </c>
      <c r="AL356" s="19">
        <f t="shared" si="23"/>
        <v>0.6420182810495404</v>
      </c>
      <c r="AM356" s="19">
        <f>AM345/AM352</f>
        <v>9.0805538502263319E-2</v>
      </c>
      <c r="AN356" s="19">
        <f>AN345/AN352</f>
        <v>0.64410477008847311</v>
      </c>
      <c r="AO356" s="19">
        <f>AO345/AO352</f>
        <v>0.21721290752266037</v>
      </c>
      <c r="AP356" s="19">
        <f>AP345/AP352</f>
        <v>0.10303316544278528</v>
      </c>
      <c r="AQ356" s="19">
        <f t="shared" ref="AQ356:BE356" si="24">AQ345/AQ352</f>
        <v>0.34526861011305332</v>
      </c>
      <c r="AR356" s="19">
        <f t="shared" si="24"/>
        <v>0.11401595217482496</v>
      </c>
      <c r="AS356" s="19">
        <f t="shared" si="24"/>
        <v>0.16231311335840029</v>
      </c>
      <c r="AT356" s="19" t="e">
        <f t="shared" si="24"/>
        <v>#DIV/0!</v>
      </c>
      <c r="AU356" s="19">
        <f t="shared" si="24"/>
        <v>0.15352290855005027</v>
      </c>
      <c r="AV356" s="19">
        <f t="shared" si="24"/>
        <v>9.6901647645335487E-2</v>
      </c>
      <c r="AW356" s="19">
        <f t="shared" si="24"/>
        <v>9.8432263813605217E-2</v>
      </c>
      <c r="AX356" s="19">
        <f t="shared" si="24"/>
        <v>8.5452623464030084E-2</v>
      </c>
      <c r="AY356" s="19">
        <f t="shared" si="24"/>
        <v>0.19036739922151072</v>
      </c>
      <c r="AZ356" s="19">
        <f t="shared" si="24"/>
        <v>0.153264952301811</v>
      </c>
      <c r="BA356" s="19">
        <f t="shared" si="24"/>
        <v>0.22405387473137295</v>
      </c>
      <c r="BB356" s="19">
        <f t="shared" si="24"/>
        <v>0.19097939674124251</v>
      </c>
      <c r="BC356" s="19">
        <f t="shared" si="24"/>
        <v>0.12721039016845964</v>
      </c>
      <c r="BD356" s="19">
        <f t="shared" si="24"/>
        <v>9.4147976322032201E-2</v>
      </c>
      <c r="BE356" s="19">
        <f t="shared" si="24"/>
        <v>-8.1638467791269709E-2</v>
      </c>
      <c r="BF356" s="19">
        <f t="shared" ref="BF356:BG356" si="25">BF345/BF352</f>
        <v>8.32370310381539E-2</v>
      </c>
      <c r="BG356" s="19">
        <f t="shared" si="25"/>
        <v>0.54510105761023675</v>
      </c>
      <c r="BH356" s="22"/>
    </row>
    <row r="357" spans="1:60" x14ac:dyDescent="0.2">
      <c r="A357" t="s">
        <v>609</v>
      </c>
      <c r="E357" s="19">
        <f t="shared" ref="E357:AL357" si="26">E346/E352</f>
        <v>0.23767663505206807</v>
      </c>
      <c r="F357" s="19">
        <f t="shared" si="26"/>
        <v>0.16838087610670371</v>
      </c>
      <c r="G357" s="19">
        <f t="shared" si="26"/>
        <v>0.35229192973186629</v>
      </c>
      <c r="H357" s="19">
        <f t="shared" si="26"/>
        <v>0</v>
      </c>
      <c r="I357" s="19">
        <f t="shared" si="26"/>
        <v>0.36599351810238029</v>
      </c>
      <c r="J357" s="19">
        <f t="shared" si="26"/>
        <v>0.34893845627527786</v>
      </c>
      <c r="K357" s="19">
        <f t="shared" si="26"/>
        <v>0.71011604302192699</v>
      </c>
      <c r="L357" s="19">
        <f t="shared" si="26"/>
        <v>6.5172169648211223E-2</v>
      </c>
      <c r="M357" s="19">
        <f t="shared" si="26"/>
        <v>0.21729026778583757</v>
      </c>
      <c r="N357" s="19">
        <f>N346/N352</f>
        <v>0.65908722396069164</v>
      </c>
      <c r="O357" s="19">
        <f t="shared" si="26"/>
        <v>9.0331362847288603E-4</v>
      </c>
      <c r="P357" s="19">
        <f t="shared" si="26"/>
        <v>0.77267184188369542</v>
      </c>
      <c r="Q357" s="19">
        <f t="shared" si="26"/>
        <v>0.14459817359554891</v>
      </c>
      <c r="R357" s="19">
        <f t="shared" si="26"/>
        <v>0.2256697885035186</v>
      </c>
      <c r="S357" s="19">
        <f t="shared" si="26"/>
        <v>0.18134534677736519</v>
      </c>
      <c r="T357" s="19">
        <f t="shared" si="26"/>
        <v>0.98723758156145458</v>
      </c>
      <c r="U357" s="19">
        <f t="shared" si="26"/>
        <v>0.71394972526308476</v>
      </c>
      <c r="V357" s="19">
        <f t="shared" si="26"/>
        <v>0.27570589677707191</v>
      </c>
      <c r="W357" s="19">
        <f t="shared" si="26"/>
        <v>0.24110360604553457</v>
      </c>
      <c r="X357" s="19">
        <f t="shared" si="26"/>
        <v>0.1349858772202919</v>
      </c>
      <c r="Y357" s="19">
        <f t="shared" si="26"/>
        <v>0.15001275257281793</v>
      </c>
      <c r="Z357" s="19">
        <f t="shared" si="26"/>
        <v>2.3778537886539304E-4</v>
      </c>
      <c r="AA357" s="19">
        <f t="shared" si="26"/>
        <v>0.31739407474600567</v>
      </c>
      <c r="AB357" s="19">
        <f t="shared" si="26"/>
        <v>7.3275479613972669E-4</v>
      </c>
      <c r="AC357" s="19">
        <f t="shared" si="26"/>
        <v>0.13754156147922267</v>
      </c>
      <c r="AD357" s="19">
        <f t="shared" si="26"/>
        <v>0.14834384213286064</v>
      </c>
      <c r="AE357" s="19">
        <f t="shared" si="26"/>
        <v>0.13539352130336194</v>
      </c>
      <c r="AF357" s="19">
        <f t="shared" si="26"/>
        <v>2.9351253121346097E-2</v>
      </c>
      <c r="AG357" s="19">
        <f t="shared" si="26"/>
        <v>0.11086705693804182</v>
      </c>
      <c r="AH357" s="19">
        <f t="shared" si="26"/>
        <v>0.12795617431635498</v>
      </c>
      <c r="AI357" s="19">
        <f t="shared" si="26"/>
        <v>2.7524032676775539E-2</v>
      </c>
      <c r="AJ357" s="19">
        <f t="shared" si="26"/>
        <v>2.5046688255365833E-4</v>
      </c>
      <c r="AK357" s="19">
        <f t="shared" si="26"/>
        <v>1.4196623042735116E-2</v>
      </c>
      <c r="AL357" s="19">
        <f t="shared" si="26"/>
        <v>1.4203352481419898E-2</v>
      </c>
      <c r="AM357" s="19">
        <f>AM346/AM352</f>
        <v>0.72302129554889583</v>
      </c>
      <c r="AN357" s="19">
        <f>AN346/AN352</f>
        <v>1.4224994106723628E-2</v>
      </c>
      <c r="AO357" s="19">
        <f>AO346/AO352</f>
        <v>0.20103185371254284</v>
      </c>
      <c r="AP357" s="19">
        <f>AP346/AP352</f>
        <v>0</v>
      </c>
      <c r="AQ357" s="19">
        <f t="shared" ref="AQ357:BE357" si="27">AQ346/AQ352</f>
        <v>2.9877179540109482E-2</v>
      </c>
      <c r="AR357" s="19">
        <f t="shared" si="27"/>
        <v>0</v>
      </c>
      <c r="AS357" s="19">
        <f t="shared" si="27"/>
        <v>0.33885180031016132</v>
      </c>
      <c r="AT357" s="19" t="e">
        <f t="shared" si="27"/>
        <v>#DIV/0!</v>
      </c>
      <c r="AU357" s="19">
        <f t="shared" si="27"/>
        <v>0.39186905852725556</v>
      </c>
      <c r="AV357" s="19">
        <f t="shared" si="27"/>
        <v>0</v>
      </c>
      <c r="AW357" s="19">
        <f t="shared" si="27"/>
        <v>0</v>
      </c>
      <c r="AX357" s="19">
        <f t="shared" si="27"/>
        <v>0.13872766133130282</v>
      </c>
      <c r="AY357" s="19">
        <f t="shared" si="27"/>
        <v>0.23238447380066918</v>
      </c>
      <c r="AZ357" s="19">
        <f t="shared" si="27"/>
        <v>1.4316965604241024E-2</v>
      </c>
      <c r="BA357" s="19">
        <f t="shared" si="27"/>
        <v>0.11767982926556066</v>
      </c>
      <c r="BB357" s="19">
        <f t="shared" si="27"/>
        <v>0.15412798725973414</v>
      </c>
      <c r="BC357" s="19">
        <f t="shared" si="27"/>
        <v>0.25334387529911295</v>
      </c>
      <c r="BD357" s="19">
        <f t="shared" si="27"/>
        <v>1.5317314022551199E-2</v>
      </c>
      <c r="BE357" s="19">
        <f t="shared" si="27"/>
        <v>0.23733983625378152</v>
      </c>
      <c r="BF357" s="19">
        <f t="shared" ref="BF357:BG357" si="28">BF346/BF352</f>
        <v>1.5500878094943446E-2</v>
      </c>
      <c r="BG357" s="19">
        <f t="shared" si="28"/>
        <v>7.6647704798500874E-2</v>
      </c>
      <c r="BH357" s="22"/>
    </row>
    <row r="358" spans="1:60" x14ac:dyDescent="0.2">
      <c r="A358" t="s">
        <v>610</v>
      </c>
      <c r="E358" s="19">
        <f t="shared" ref="E358:AL358" si="29">E347/E352</f>
        <v>0.23187125767832636</v>
      </c>
      <c r="F358" s="19">
        <f t="shared" si="29"/>
        <v>0.26599758581858135</v>
      </c>
      <c r="G358" s="19">
        <f t="shared" si="29"/>
        <v>0.45659263052770044</v>
      </c>
      <c r="H358" s="19">
        <f t="shared" si="29"/>
        <v>6.9212116786851685E-2</v>
      </c>
      <c r="I358" s="19">
        <f t="shared" si="29"/>
        <v>0.30750872772502291</v>
      </c>
      <c r="J358" s="19">
        <f t="shared" si="29"/>
        <v>0.4534340773794695</v>
      </c>
      <c r="K358" s="19">
        <f t="shared" si="29"/>
        <v>0.18109897850228923</v>
      </c>
      <c r="L358" s="19">
        <f t="shared" si="29"/>
        <v>9.8369920195233454E-2</v>
      </c>
      <c r="M358" s="19">
        <f t="shared" si="29"/>
        <v>0.3478872983564813</v>
      </c>
      <c r="N358" s="19">
        <f>N347/N352</f>
        <v>0.1775900967859059</v>
      </c>
      <c r="O358" s="19">
        <f t="shared" si="29"/>
        <v>0</v>
      </c>
      <c r="P358" s="19">
        <f t="shared" si="29"/>
        <v>3.1311102477429554E-3</v>
      </c>
      <c r="Q358" s="19">
        <f t="shared" si="29"/>
        <v>0.32561833215813746</v>
      </c>
      <c r="R358" s="19">
        <f t="shared" si="29"/>
        <v>0.58884372698189691</v>
      </c>
      <c r="S358" s="19">
        <f t="shared" si="29"/>
        <v>0.34967383928477286</v>
      </c>
      <c r="T358" s="19">
        <f t="shared" si="29"/>
        <v>0</v>
      </c>
      <c r="U358" s="19">
        <f t="shared" si="29"/>
        <v>0.18207667101861766</v>
      </c>
      <c r="V358" s="19">
        <f t="shared" si="29"/>
        <v>0.48277423510650558</v>
      </c>
      <c r="W358" s="19">
        <f t="shared" si="29"/>
        <v>0.40142700521643765</v>
      </c>
      <c r="X358" s="19">
        <f t="shared" si="29"/>
        <v>0</v>
      </c>
      <c r="Y358" s="19">
        <f t="shared" si="29"/>
        <v>0.12285139183735409</v>
      </c>
      <c r="Z358" s="19">
        <f t="shared" si="29"/>
        <v>0.12983062323105818</v>
      </c>
      <c r="AA358" s="19">
        <f t="shared" si="29"/>
        <v>0.46497737757084123</v>
      </c>
      <c r="AB358" s="19">
        <f t="shared" si="29"/>
        <v>0</v>
      </c>
      <c r="AC358" s="19">
        <f t="shared" si="29"/>
        <v>0.3069575516964228</v>
      </c>
      <c r="AD358" s="19">
        <f t="shared" si="29"/>
        <v>0.24953245578050673</v>
      </c>
      <c r="AE358" s="19">
        <f t="shared" si="29"/>
        <v>8.487479927775865E-2</v>
      </c>
      <c r="AF358" s="19">
        <f t="shared" si="29"/>
        <v>1.423315850996108E-2</v>
      </c>
      <c r="AG358" s="19">
        <f t="shared" si="29"/>
        <v>0.23316309391891296</v>
      </c>
      <c r="AH358" s="19">
        <f t="shared" si="29"/>
        <v>0.12925341368649748</v>
      </c>
      <c r="AI358" s="19">
        <f t="shared" si="29"/>
        <v>1.2695160037879592E-2</v>
      </c>
      <c r="AJ358" s="19">
        <f t="shared" si="29"/>
        <v>0.11217708344884224</v>
      </c>
      <c r="AK358" s="19">
        <f t="shared" si="29"/>
        <v>0</v>
      </c>
      <c r="AL358" s="19">
        <f t="shared" si="29"/>
        <v>0</v>
      </c>
      <c r="AM358" s="19">
        <f>AM347/AM352</f>
        <v>0.18439015669406042</v>
      </c>
      <c r="AN358" s="19">
        <f>AN347/AN352</f>
        <v>0</v>
      </c>
      <c r="AO358" s="19">
        <f>AO347/AO352</f>
        <v>0.3019667886631493</v>
      </c>
      <c r="AP358" s="19">
        <f>AP347/AP352</f>
        <v>0</v>
      </c>
      <c r="AQ358" s="19">
        <f t="shared" ref="AQ358:BE358" si="30">AQ347/AQ352</f>
        <v>1.4047212468761642E-2</v>
      </c>
      <c r="AR358" s="19">
        <f t="shared" si="30"/>
        <v>0</v>
      </c>
      <c r="AS358" s="19">
        <f t="shared" si="30"/>
        <v>0.23476386982873601</v>
      </c>
      <c r="AT358" s="19" t="e">
        <f t="shared" si="30"/>
        <v>#DIV/0!</v>
      </c>
      <c r="AU358" s="19">
        <f t="shared" si="30"/>
        <v>0.32728368541843167</v>
      </c>
      <c r="AV358" s="19">
        <f t="shared" si="30"/>
        <v>0</v>
      </c>
      <c r="AW358" s="19">
        <f t="shared" si="30"/>
        <v>0</v>
      </c>
      <c r="AX358" s="19">
        <f t="shared" si="30"/>
        <v>0</v>
      </c>
      <c r="AY358" s="19">
        <f t="shared" si="30"/>
        <v>0.45296447873757534</v>
      </c>
      <c r="AZ358" s="19">
        <f t="shared" si="30"/>
        <v>3.2957944052591212E-2</v>
      </c>
      <c r="BA358" s="19">
        <f t="shared" si="30"/>
        <v>0</v>
      </c>
      <c r="BB358" s="19">
        <f t="shared" si="30"/>
        <v>0.34373239618016016</v>
      </c>
      <c r="BC358" s="19">
        <f t="shared" si="30"/>
        <v>0.59509811692280279</v>
      </c>
      <c r="BD358" s="19">
        <f t="shared" si="30"/>
        <v>3.5260914326528559E-2</v>
      </c>
      <c r="BE358" s="19">
        <f t="shared" si="30"/>
        <v>0.43856164785344964</v>
      </c>
      <c r="BF358" s="19">
        <f t="shared" ref="BF358:BG358" si="31">BF347/BF352</f>
        <v>3.5682502707080267E-2</v>
      </c>
      <c r="BG358" s="19">
        <f t="shared" si="31"/>
        <v>0.13054079890624093</v>
      </c>
      <c r="BH358" s="22"/>
    </row>
    <row r="359" spans="1:60" x14ac:dyDescent="0.2">
      <c r="A359" t="s">
        <v>611</v>
      </c>
      <c r="E359" s="19">
        <f t="shared" ref="E359:AL359" si="32">E348/E352</f>
        <v>0.13051534720100788</v>
      </c>
      <c r="F359" s="19">
        <f t="shared" si="32"/>
        <v>0.26565283783527832</v>
      </c>
      <c r="G359" s="19">
        <f t="shared" si="32"/>
        <v>2.1514539259955017E-4</v>
      </c>
      <c r="H359" s="19">
        <f t="shared" si="32"/>
        <v>1.1180875520873433E-2</v>
      </c>
      <c r="I359" s="19">
        <f t="shared" si="32"/>
        <v>7.7062233121062182E-2</v>
      </c>
      <c r="J359" s="19">
        <f t="shared" si="32"/>
        <v>2.203775364211437E-4</v>
      </c>
      <c r="K359" s="19">
        <f t="shared" si="32"/>
        <v>0</v>
      </c>
      <c r="L359" s="19">
        <f t="shared" si="32"/>
        <v>0.32375393732595809</v>
      </c>
      <c r="M359" s="19">
        <f t="shared" si="32"/>
        <v>8.2809257106133918E-2</v>
      </c>
      <c r="N359" s="19">
        <f>N348/N352</f>
        <v>0</v>
      </c>
      <c r="O359" s="19">
        <f t="shared" si="32"/>
        <v>0.23205050358281779</v>
      </c>
      <c r="P359" s="19">
        <f t="shared" si="32"/>
        <v>1.5526409350308725E-3</v>
      </c>
      <c r="Q359" s="19">
        <f t="shared" si="32"/>
        <v>7.5118133493392303E-2</v>
      </c>
      <c r="R359" s="19">
        <f t="shared" si="32"/>
        <v>4.8119441602383298E-3</v>
      </c>
      <c r="S359" s="19">
        <f t="shared" si="32"/>
        <v>0.25507016346809436</v>
      </c>
      <c r="T359" s="19">
        <f t="shared" si="32"/>
        <v>0</v>
      </c>
      <c r="U359" s="19">
        <f t="shared" si="32"/>
        <v>0</v>
      </c>
      <c r="V359" s="19">
        <f t="shared" si="32"/>
        <v>2.6629015164289087E-4</v>
      </c>
      <c r="W359" s="19">
        <f t="shared" si="32"/>
        <v>9.0408124741584134E-2</v>
      </c>
      <c r="X359" s="19">
        <f t="shared" si="32"/>
        <v>0.75516439703885307</v>
      </c>
      <c r="Y359" s="19">
        <f t="shared" si="32"/>
        <v>0.27190389096021339</v>
      </c>
      <c r="Z359" s="19">
        <f t="shared" si="32"/>
        <v>0.35890734095197291</v>
      </c>
      <c r="AA359" s="19">
        <f t="shared" si="32"/>
        <v>2.3417035442300732E-4</v>
      </c>
      <c r="AB359" s="19">
        <f t="shared" si="32"/>
        <v>0.19846335759887507</v>
      </c>
      <c r="AC359" s="19">
        <f t="shared" si="32"/>
        <v>0.27301509687171321</v>
      </c>
      <c r="AD359" s="19">
        <f t="shared" si="32"/>
        <v>0.30054776068964206</v>
      </c>
      <c r="AE359" s="19">
        <f t="shared" si="32"/>
        <v>0.24759459351684196</v>
      </c>
      <c r="AF359" s="19">
        <f t="shared" si="32"/>
        <v>0.5898692043072481</v>
      </c>
      <c r="AG359" s="19">
        <f t="shared" si="32"/>
        <v>0.32115216740736097</v>
      </c>
      <c r="AH359" s="19">
        <f t="shared" si="32"/>
        <v>0.2616201804671523</v>
      </c>
      <c r="AI359" s="19">
        <f t="shared" si="32"/>
        <v>0.55189378712994741</v>
      </c>
      <c r="AJ359" s="19">
        <f t="shared" si="32"/>
        <v>0.37886907368415729</v>
      </c>
      <c r="AK359" s="19">
        <f t="shared" si="32"/>
        <v>0.32837574575846251</v>
      </c>
      <c r="AL359" s="19">
        <f t="shared" si="32"/>
        <v>0.32853140119741692</v>
      </c>
      <c r="AM359" s="19">
        <f>AM348/AM352</f>
        <v>0</v>
      </c>
      <c r="AN359" s="19">
        <f>AN348/AN352</f>
        <v>0.32903197116960042</v>
      </c>
      <c r="AO359" s="19">
        <f>AO348/AO352</f>
        <v>0.26700960238342719</v>
      </c>
      <c r="AP359" s="19">
        <f>AP348/AP352</f>
        <v>0.89708534140828255</v>
      </c>
      <c r="AQ359" s="19">
        <f t="shared" ref="AQ359:BE359" si="33">AQ348/AQ352</f>
        <v>0.59483713326249332</v>
      </c>
      <c r="AR359" s="19">
        <f t="shared" si="33"/>
        <v>0.89126968123907502</v>
      </c>
      <c r="AS359" s="19">
        <f t="shared" si="33"/>
        <v>0.20686020794794308</v>
      </c>
      <c r="AT359" s="19" t="e">
        <f t="shared" si="33"/>
        <v>#DIV/0!</v>
      </c>
      <c r="AU359" s="19">
        <f t="shared" si="33"/>
        <v>0.11444296935231567</v>
      </c>
      <c r="AV359" s="19">
        <f t="shared" si="33"/>
        <v>0.90308402935280241</v>
      </c>
      <c r="AW359" s="19">
        <f t="shared" si="33"/>
        <v>0.9020085207928098</v>
      </c>
      <c r="AX359" s="19">
        <f t="shared" si="33"/>
        <v>0.77609753234489454</v>
      </c>
      <c r="AY359" s="19">
        <f t="shared" si="33"/>
        <v>0.1062064916610021</v>
      </c>
      <c r="AZ359" s="19">
        <f t="shared" si="33"/>
        <v>0.78251394569231192</v>
      </c>
      <c r="BA359" s="19">
        <f t="shared" si="33"/>
        <v>0.65834805379885508</v>
      </c>
      <c r="BB359" s="19">
        <f t="shared" si="33"/>
        <v>0.29450245655531254</v>
      </c>
      <c r="BC359" s="19">
        <f t="shared" si="33"/>
        <v>2.3909388004823796E-4</v>
      </c>
      <c r="BD359" s="19">
        <f t="shared" si="33"/>
        <v>0.83720210129328221</v>
      </c>
      <c r="BE359" s="19">
        <f t="shared" si="33"/>
        <v>0.38583435988971848</v>
      </c>
      <c r="BF359" s="19">
        <f t="shared" ref="BF359:BG359" si="34">BF348/BF352</f>
        <v>0.84723877812861137</v>
      </c>
      <c r="BG359" s="19">
        <f t="shared" si="34"/>
        <v>0.2456323724797001</v>
      </c>
      <c r="BH359" s="22"/>
    </row>
    <row r="360" spans="1:60" x14ac:dyDescent="0.2">
      <c r="A360" t="s">
        <v>612</v>
      </c>
      <c r="E360" s="19">
        <f t="shared" ref="E360:AL360" si="35">E349/E352</f>
        <v>9.0095424714218164E-2</v>
      </c>
      <c r="F360" s="19">
        <f t="shared" si="35"/>
        <v>5.1279223774225238E-2</v>
      </c>
      <c r="G360" s="19">
        <f t="shared" si="35"/>
        <v>8.7638134565280884E-2</v>
      </c>
      <c r="H360" s="19">
        <f t="shared" si="35"/>
        <v>0.88732352665129888</v>
      </c>
      <c r="I360" s="19">
        <f t="shared" si="35"/>
        <v>8.5616144922525797E-2</v>
      </c>
      <c r="J360" s="19">
        <f t="shared" si="35"/>
        <v>9.7063521503165565E-2</v>
      </c>
      <c r="K360" s="19">
        <f t="shared" si="35"/>
        <v>2.3063412123078619E-2</v>
      </c>
      <c r="L360" s="19">
        <f t="shared" si="35"/>
        <v>7.1520849084893562E-2</v>
      </c>
      <c r="M360" s="19">
        <f t="shared" si="35"/>
        <v>0.10811272461984807</v>
      </c>
      <c r="N360" s="19">
        <f>N349/N352</f>
        <v>0</v>
      </c>
      <c r="O360" s="19">
        <f t="shared" si="35"/>
        <v>0</v>
      </c>
      <c r="P360" s="19">
        <f t="shared" si="35"/>
        <v>0.11274347511201224</v>
      </c>
      <c r="Q360" s="19">
        <f t="shared" si="35"/>
        <v>0</v>
      </c>
      <c r="R360" s="19">
        <f t="shared" si="35"/>
        <v>4.052741490831218E-3</v>
      </c>
      <c r="S360" s="19">
        <f t="shared" si="35"/>
        <v>-5.1793930665415544E-3</v>
      </c>
      <c r="T360" s="19">
        <f t="shared" si="35"/>
        <v>0</v>
      </c>
      <c r="U360" s="19">
        <f t="shared" si="35"/>
        <v>1.1103028464961863E-2</v>
      </c>
      <c r="V360" s="19">
        <f t="shared" si="35"/>
        <v>8.1299247691459187E-2</v>
      </c>
      <c r="W360" s="19">
        <f t="shared" si="35"/>
        <v>0.1051523024706652</v>
      </c>
      <c r="X360" s="19">
        <f t="shared" si="35"/>
        <v>0</v>
      </c>
      <c r="Y360" s="19">
        <f t="shared" si="35"/>
        <v>0.12315055950184926</v>
      </c>
      <c r="Z360" s="19">
        <f t="shared" si="35"/>
        <v>0</v>
      </c>
      <c r="AA360" s="19">
        <f t="shared" si="35"/>
        <v>6.4686712929017676E-2</v>
      </c>
      <c r="AB360" s="19">
        <f t="shared" si="35"/>
        <v>-1.3968598949306026E-5</v>
      </c>
      <c r="AC360" s="19">
        <f t="shared" si="35"/>
        <v>5.2706728529305226E-2</v>
      </c>
      <c r="AD360" s="19">
        <f t="shared" si="35"/>
        <v>0</v>
      </c>
      <c r="AE360" s="19">
        <f t="shared" si="35"/>
        <v>0.13113485081360116</v>
      </c>
      <c r="AF360" s="19">
        <f t="shared" si="35"/>
        <v>3.4126094761049441E-3</v>
      </c>
      <c r="AG360" s="19">
        <f t="shared" si="35"/>
        <v>1.2780396686563923E-2</v>
      </c>
      <c r="AH360" s="19">
        <f t="shared" si="35"/>
        <v>0.10318701827501638</v>
      </c>
      <c r="AI360" s="19">
        <f t="shared" si="35"/>
        <v>5.3773908742957011E-2</v>
      </c>
      <c r="AJ360" s="19">
        <f t="shared" si="35"/>
        <v>3.9251243461585826E-5</v>
      </c>
      <c r="AK360" s="19">
        <f t="shared" si="35"/>
        <v>3.6872520721700245E-6</v>
      </c>
      <c r="AL360" s="19">
        <f t="shared" si="35"/>
        <v>2.1052897203551959E-5</v>
      </c>
      <c r="AM360" s="19">
        <f>AM349/AM352</f>
        <v>1.3675564276583469E-2</v>
      </c>
      <c r="AN360" s="19">
        <f>AN349/AN352</f>
        <v>2.0906884269519848E-4</v>
      </c>
      <c r="AO360" s="19">
        <f>AO349/AO352</f>
        <v>-6.0302362841757095E-3</v>
      </c>
      <c r="AP360" s="19">
        <f>AP349/AP352</f>
        <v>0</v>
      </c>
      <c r="AQ360" s="19">
        <f t="shared" ref="AQ360:BE360" si="36">AQ349/AQ352</f>
        <v>1.9587306176384596E-3</v>
      </c>
      <c r="AR360" s="19">
        <f t="shared" si="36"/>
        <v>0</v>
      </c>
      <c r="AS360" s="19">
        <f t="shared" si="36"/>
        <v>-4.0642342561797102E-3</v>
      </c>
      <c r="AT360" s="19" t="e">
        <f t="shared" si="36"/>
        <v>#DIV/0!</v>
      </c>
      <c r="AU360" s="19">
        <f t="shared" si="36"/>
        <v>-5.8596116869798686E-4</v>
      </c>
      <c r="AV360" s="19">
        <f t="shared" si="36"/>
        <v>0</v>
      </c>
      <c r="AW360" s="19">
        <f t="shared" si="36"/>
        <v>0</v>
      </c>
      <c r="AX360" s="19">
        <f t="shared" si="36"/>
        <v>0</v>
      </c>
      <c r="AY360" s="19">
        <f t="shared" si="36"/>
        <v>-1.8261363964884223E-3</v>
      </c>
      <c r="AZ360" s="19">
        <f t="shared" si="36"/>
        <v>0</v>
      </c>
      <c r="BA360" s="19">
        <f t="shared" si="36"/>
        <v>0</v>
      </c>
      <c r="BB360" s="19">
        <f t="shared" si="36"/>
        <v>-5.0861390252397495E-3</v>
      </c>
      <c r="BC360" s="19">
        <f t="shared" si="36"/>
        <v>6.5505172615955612E-7</v>
      </c>
      <c r="BD360" s="19">
        <f t="shared" si="36"/>
        <v>0</v>
      </c>
      <c r="BE360" s="19">
        <f t="shared" si="36"/>
        <v>-6.6537613863958244E-3</v>
      </c>
      <c r="BF360" s="19">
        <f t="shared" ref="BF360:BG360" si="37">BF349/BF352</f>
        <v>0</v>
      </c>
      <c r="BG360" s="19">
        <f t="shared" si="37"/>
        <v>0</v>
      </c>
      <c r="BH360" s="22"/>
    </row>
    <row r="361" spans="1:60" x14ac:dyDescent="0.2">
      <c r="A361" t="s">
        <v>613</v>
      </c>
      <c r="E361" s="19">
        <f t="shared" ref="E361:M361" si="38">E350/E352</f>
        <v>0.20441910548789197</v>
      </c>
      <c r="F361" s="19">
        <f t="shared" si="38"/>
        <v>6.8037239733756263E-2</v>
      </c>
      <c r="G361" s="19">
        <f t="shared" si="38"/>
        <v>6.1476405879549806E-2</v>
      </c>
      <c r="H361" s="19">
        <f t="shared" si="38"/>
        <v>2.2024239603168089E-2</v>
      </c>
      <c r="I361" s="19">
        <f t="shared" si="38"/>
        <v>6.734704393472013E-2</v>
      </c>
      <c r="J361" s="19">
        <f t="shared" si="38"/>
        <v>6.1076226558397693E-2</v>
      </c>
      <c r="K361" s="19">
        <f t="shared" si="38"/>
        <v>1.6084529252706582E-2</v>
      </c>
      <c r="L361" s="19">
        <f t="shared" si="38"/>
        <v>0.23854297074624434</v>
      </c>
      <c r="M361" s="19">
        <f t="shared" si="38"/>
        <v>0.17279210582100044</v>
      </c>
      <c r="N361" s="19">
        <f>N350/N352</f>
        <v>-2.9577393693239864E-3</v>
      </c>
      <c r="O361" s="19">
        <f t="shared" ref="O361:AL361" si="39">O350/O352</f>
        <v>1.1047467555807067E-3</v>
      </c>
      <c r="P361" s="19">
        <f t="shared" si="39"/>
        <v>6.4317304795045438E-2</v>
      </c>
      <c r="Q361" s="19">
        <f t="shared" si="39"/>
        <v>9.5838702514769799E-5</v>
      </c>
      <c r="R361" s="19">
        <f t="shared" si="39"/>
        <v>3.9087437260204042E-2</v>
      </c>
      <c r="S361" s="19">
        <f t="shared" si="39"/>
        <v>3.1704740512850174E-2</v>
      </c>
      <c r="T361" s="19">
        <f t="shared" si="39"/>
        <v>-6.7960234905143084E-4</v>
      </c>
      <c r="U361" s="19">
        <f t="shared" si="39"/>
        <v>1.6216072769885737E-2</v>
      </c>
      <c r="V361" s="19">
        <f t="shared" si="39"/>
        <v>5.262815260653804E-2</v>
      </c>
      <c r="W361" s="19">
        <f t="shared" si="39"/>
        <v>6.1306854971135687E-2</v>
      </c>
      <c r="X361" s="19">
        <f t="shared" si="39"/>
        <v>-3.1207291332588116E-3</v>
      </c>
      <c r="Y361" s="19">
        <f t="shared" si="39"/>
        <v>0.15098870380345808</v>
      </c>
      <c r="Z361" s="19">
        <f t="shared" si="39"/>
        <v>9.9703421986266985E-3</v>
      </c>
      <c r="AA361" s="19">
        <f t="shared" si="39"/>
        <v>5.8536434047701008E-2</v>
      </c>
      <c r="AB361" s="19">
        <f t="shared" si="39"/>
        <v>4.4234481622507148E-4</v>
      </c>
      <c r="AC361" s="19">
        <f t="shared" si="39"/>
        <v>4.6931948094577285E-2</v>
      </c>
      <c r="AD361" s="19">
        <f t="shared" si="39"/>
        <v>1.9216115926542754E-3</v>
      </c>
      <c r="AE361" s="19">
        <f t="shared" si="39"/>
        <v>0.20190388187111241</v>
      </c>
      <c r="AF361" s="19">
        <f t="shared" si="39"/>
        <v>2.7235162107763812E-2</v>
      </c>
      <c r="AG361" s="19">
        <f t="shared" si="39"/>
        <v>7.2353890087268301E-4</v>
      </c>
      <c r="AH361" s="19">
        <f t="shared" si="39"/>
        <v>0.21703156181351457</v>
      </c>
      <c r="AI361" s="19">
        <f t="shared" si="39"/>
        <v>3.4254743402524629E-2</v>
      </c>
      <c r="AJ361" s="19">
        <f t="shared" si="39"/>
        <v>1.3543202063732787E-2</v>
      </c>
      <c r="AK361" s="19">
        <f t="shared" si="39"/>
        <v>1.4973712549592153E-2</v>
      </c>
      <c r="AL361" s="19">
        <f t="shared" si="39"/>
        <v>1.5225912374419247E-2</v>
      </c>
      <c r="AM361" s="19">
        <f>AM350/AM352</f>
        <v>-1.1892555021802994E-2</v>
      </c>
      <c r="AN361" s="19">
        <f>AN350/AN352</f>
        <v>1.242919579250778E-2</v>
      </c>
      <c r="AO361" s="19">
        <f>AO350/AO352</f>
        <v>1.8809084002395778E-2</v>
      </c>
      <c r="AP361" s="19">
        <f>AP350/AP352</f>
        <v>-1.1850685106778277E-4</v>
      </c>
      <c r="AQ361" s="19">
        <f t="shared" ref="AQ361:BE361" si="40">AQ350/AQ352</f>
        <v>1.4011133997943678E-2</v>
      </c>
      <c r="AR361" s="19">
        <f t="shared" si="40"/>
        <v>-5.2856334138999808E-3</v>
      </c>
      <c r="AS361" s="19">
        <f t="shared" si="40"/>
        <v>6.1275242810939094E-2</v>
      </c>
      <c r="AT361" s="19" t="e">
        <f t="shared" si="40"/>
        <v>#DIV/0!</v>
      </c>
      <c r="AU361" s="19">
        <f t="shared" si="40"/>
        <v>1.346733932064486E-2</v>
      </c>
      <c r="AV361" s="19">
        <f t="shared" si="40"/>
        <v>1.4323001862078994E-5</v>
      </c>
      <c r="AW361" s="19">
        <f t="shared" si="40"/>
        <v>-4.4078460641508156E-4</v>
      </c>
      <c r="AX361" s="19">
        <f t="shared" si="40"/>
        <v>-2.7781714022729774E-4</v>
      </c>
      <c r="AY361" s="19">
        <f t="shared" si="40"/>
        <v>1.9903292975731336E-2</v>
      </c>
      <c r="AZ361" s="19">
        <f t="shared" si="40"/>
        <v>1.6946192349044729E-2</v>
      </c>
      <c r="BA361" s="19">
        <f t="shared" si="40"/>
        <v>-8.1757795788631047E-5</v>
      </c>
      <c r="BB361" s="19">
        <f t="shared" si="40"/>
        <v>2.1743902288790567E-2</v>
      </c>
      <c r="BC361" s="19">
        <f t="shared" si="40"/>
        <v>2.4107868677850142E-2</v>
      </c>
      <c r="BD361" s="19">
        <f t="shared" si="40"/>
        <v>1.8071694035605785E-2</v>
      </c>
      <c r="BE361" s="19">
        <f t="shared" si="40"/>
        <v>2.6556385180715826E-2</v>
      </c>
      <c r="BF361" s="19">
        <f t="shared" ref="BF361:BG361" si="41">BF350/BF352</f>
        <v>1.8340810031211043E-2</v>
      </c>
      <c r="BG361" s="19">
        <f t="shared" si="41"/>
        <v>2.0780662053214386E-3</v>
      </c>
      <c r="BH361" s="22"/>
    </row>
    <row r="362" spans="1:60" x14ac:dyDescent="0.2">
      <c r="A362" s="22" t="s">
        <v>696</v>
      </c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</row>
  </sheetData>
  <mergeCells count="3">
    <mergeCell ref="A3:BG3"/>
    <mergeCell ref="BH3:BH362"/>
    <mergeCell ref="A362:BG362"/>
  </mergeCells>
  <conditionalFormatting sqref="A19:A35">
    <cfRule type="cellIs" dxfId="4" priority="17" stopIfTrue="1" operator="lessThan">
      <formula>0</formula>
    </cfRule>
  </conditionalFormatting>
  <conditionalFormatting sqref="B25:B35">
    <cfRule type="cellIs" dxfId="3" priority="26" stopIfTrue="1" operator="lessThan">
      <formula>0</formula>
    </cfRule>
  </conditionalFormatting>
  <conditionalFormatting sqref="C18:D26">
    <cfRule type="cellIs" dxfId="2" priority="18" stopIfTrue="1" operator="lessThan">
      <formula>0</formula>
    </cfRule>
  </conditionalFormatting>
  <conditionalFormatting sqref="E17:BE25">
    <cfRule type="cellIs" dxfId="1" priority="5" stopIfTrue="1" operator="lessThan">
      <formula>0</formula>
    </cfRule>
  </conditionalFormatting>
  <conditionalFormatting sqref="BF18:BG26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  <Value>17</Value>
      <Value>16</Value>
      <Value>1</Value>
      <Value>8</Value>
      <Value>10</Value>
      <Value>13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  <Value>7</Value>
      <Value>1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33B2DEC7-FB8C-4366-A60F-2FD163E79E6E}"/>
</file>

<file path=customXml/itemProps2.xml><?xml version="1.0" encoding="utf-8"?>
<ds:datastoreItem xmlns:ds="http://schemas.openxmlformats.org/officeDocument/2006/customXml" ds:itemID="{BFDDBAED-F233-4EE5-BB16-F72621D3B3BD}"/>
</file>

<file path=customXml/itemProps3.xml><?xml version="1.0" encoding="utf-8"?>
<ds:datastoreItem xmlns:ds="http://schemas.openxmlformats.org/officeDocument/2006/customXml" ds:itemID="{5BF4283B-0FD6-46C9-B9B0-46D47DFD15D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Manager/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7/2024</dc:title>
  <dc:subject/>
  <dc:creator>פרידמן אמיר</dc:creator>
  <cp:keywords/>
  <dc:description/>
  <cp:lastModifiedBy>ארנה מור</cp:lastModifiedBy>
  <dcterms:created xsi:type="dcterms:W3CDTF">2024-08-22T14:47:56Z</dcterms:created>
  <dcterms:modified xsi:type="dcterms:W3CDTF">2024-08-27T10:19:14Z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