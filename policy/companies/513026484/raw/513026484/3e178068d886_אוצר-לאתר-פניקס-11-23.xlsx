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/>
  <mc:AlternateContent xmlns:mc="http://schemas.openxmlformats.org/markup-compatibility/2006">
    <mc:Choice Requires="x15">
      <x15ac:absPath xmlns:x15ac="http://schemas.microsoft.com/office/spreadsheetml/2010/11/ac" url="C:\Users\ush67110\Downloads\"/>
    </mc:Choice>
  </mc:AlternateContent>
  <xr:revisionPtr revIDLastSave="0" documentId="8_{EAC56C7A-8223-4FC9-AF88-A04662F337DE}" xr6:coauthVersionLast="36" xr6:coauthVersionMax="36" xr10:uidLastSave="{00000000-0000-0000-0000-000000000000}"/>
  <bookViews>
    <workbookView xWindow="0" yWindow="0" windowWidth="23040" windowHeight="9015" xr2:uid="{00000000-000D-0000-FFFF-FFFF00000000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353" i="1" l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J350" i="1" l="1"/>
  <c r="J354" i="1" s="1"/>
  <c r="Z350" i="1"/>
  <c r="Z354" i="1" s="1"/>
  <c r="AP350" i="1"/>
  <c r="AP354" i="1" s="1"/>
  <c r="BB350" i="1"/>
  <c r="BB352" i="1" s="1"/>
  <c r="H350" i="1"/>
  <c r="H352" i="1" s="1"/>
  <c r="L350" i="1"/>
  <c r="L352" i="1" s="1"/>
  <c r="P354" i="1"/>
  <c r="P350" i="1"/>
  <c r="P352" i="1" s="1"/>
  <c r="T350" i="1"/>
  <c r="T352" i="1" s="1"/>
  <c r="X350" i="1"/>
  <c r="X352" i="1" s="1"/>
  <c r="AB350" i="1"/>
  <c r="AB352" i="1" s="1"/>
  <c r="AF350" i="1"/>
  <c r="AF352" i="1" s="1"/>
  <c r="AJ350" i="1"/>
  <c r="AJ352" i="1" s="1"/>
  <c r="AN350" i="1"/>
  <c r="AN352" i="1" s="1"/>
  <c r="AR350" i="1"/>
  <c r="AR352" i="1" s="1"/>
  <c r="AV350" i="1"/>
  <c r="AV352" i="1" s="1"/>
  <c r="AZ350" i="1"/>
  <c r="AZ352" i="1" s="1"/>
  <c r="BD350" i="1"/>
  <c r="BD352" i="1" s="1"/>
  <c r="J356" i="1"/>
  <c r="AP356" i="1"/>
  <c r="N350" i="1"/>
  <c r="N352" i="1" s="1"/>
  <c r="AD350" i="1"/>
  <c r="AD352" i="1" s="1"/>
  <c r="E350" i="1"/>
  <c r="E352" i="1" s="1"/>
  <c r="I350" i="1"/>
  <c r="I352" i="1" s="1"/>
  <c r="M350" i="1"/>
  <c r="M352" i="1" s="1"/>
  <c r="Q350" i="1"/>
  <c r="Q352" i="1" s="1"/>
  <c r="U350" i="1"/>
  <c r="U352" i="1" s="1"/>
  <c r="Y350" i="1"/>
  <c r="Y352" i="1" s="1"/>
  <c r="AC350" i="1"/>
  <c r="AC352" i="1" s="1"/>
  <c r="AG350" i="1"/>
  <c r="AG352" i="1" s="1"/>
  <c r="AK350" i="1"/>
  <c r="AK352" i="1" s="1"/>
  <c r="AO350" i="1"/>
  <c r="AO352" i="1" s="1"/>
  <c r="AS350" i="1"/>
  <c r="AS352" i="1" s="1"/>
  <c r="AW350" i="1"/>
  <c r="AW352" i="1" s="1"/>
  <c r="BA350" i="1"/>
  <c r="BA352" i="1" s="1"/>
  <c r="BE350" i="1"/>
  <c r="BE352" i="1" s="1"/>
  <c r="H355" i="1"/>
  <c r="P355" i="1"/>
  <c r="X355" i="1"/>
  <c r="AF355" i="1"/>
  <c r="AR355" i="1"/>
  <c r="BD355" i="1"/>
  <c r="F350" i="1"/>
  <c r="F352" i="1" s="1"/>
  <c r="R350" i="1"/>
  <c r="R352" i="1" s="1"/>
  <c r="AH350" i="1"/>
  <c r="AH352" i="1" s="1"/>
  <c r="AT350" i="1"/>
  <c r="AT352" i="1" s="1"/>
  <c r="AB356" i="1"/>
  <c r="AR356" i="1"/>
  <c r="AV356" i="1"/>
  <c r="BD356" i="1"/>
  <c r="J358" i="1"/>
  <c r="Z358" i="1"/>
  <c r="AP358" i="1"/>
  <c r="AG359" i="1"/>
  <c r="V350" i="1"/>
  <c r="V352" i="1" s="1"/>
  <c r="AL350" i="1"/>
  <c r="AL352" i="1" s="1"/>
  <c r="AX350" i="1"/>
  <c r="AX352" i="1" s="1"/>
  <c r="P356" i="1"/>
  <c r="AF356" i="1"/>
  <c r="G350" i="1"/>
  <c r="G352" i="1" s="1"/>
  <c r="K350" i="1"/>
  <c r="K352" i="1" s="1"/>
  <c r="O350" i="1"/>
  <c r="O352" i="1" s="1"/>
  <c r="S350" i="1"/>
  <c r="S352" i="1" s="1"/>
  <c r="W350" i="1"/>
  <c r="W352" i="1" s="1"/>
  <c r="AA350" i="1"/>
  <c r="AA352" i="1" s="1"/>
  <c r="AE350" i="1"/>
  <c r="AE352" i="1" s="1"/>
  <c r="AI350" i="1"/>
  <c r="AI356" i="1" s="1"/>
  <c r="AM350" i="1"/>
  <c r="AM352" i="1" s="1"/>
  <c r="AQ350" i="1"/>
  <c r="AQ352" i="1" s="1"/>
  <c r="AU350" i="1"/>
  <c r="AU352" i="1" s="1"/>
  <c r="AY350" i="1"/>
  <c r="AY356" i="1" s="1"/>
  <c r="BC350" i="1"/>
  <c r="BC352" i="1" s="1"/>
  <c r="J355" i="1"/>
  <c r="R355" i="1"/>
  <c r="AC356" i="1"/>
  <c r="H357" i="1"/>
  <c r="P357" i="1"/>
  <c r="AF357" i="1"/>
  <c r="AR357" i="1"/>
  <c r="AV357" i="1"/>
  <c r="BD357" i="1"/>
  <c r="K358" i="1"/>
  <c r="AQ358" i="1"/>
  <c r="AU358" i="1"/>
  <c r="BC358" i="1"/>
  <c r="AD359" i="1"/>
  <c r="AW359" i="1"/>
  <c r="BE359" i="1"/>
  <c r="H358" i="1"/>
  <c r="P358" i="1"/>
  <c r="X358" i="1"/>
  <c r="AF358" i="1"/>
  <c r="AR358" i="1"/>
  <c r="AV358" i="1"/>
  <c r="AZ358" i="1"/>
  <c r="BD358" i="1"/>
  <c r="K359" i="1"/>
  <c r="O359" i="1"/>
  <c r="AA359" i="1"/>
  <c r="BC359" i="1"/>
  <c r="AP357" i="1"/>
  <c r="AT357" i="1"/>
  <c r="I358" i="1"/>
  <c r="Q358" i="1"/>
  <c r="Y358" i="1"/>
  <c r="AG358" i="1"/>
  <c r="AK358" i="1"/>
  <c r="AO358" i="1"/>
  <c r="BE358" i="1"/>
  <c r="H359" i="1"/>
  <c r="P359" i="1"/>
  <c r="T359" i="1"/>
  <c r="X359" i="1"/>
  <c r="AF359" i="1"/>
  <c r="AR359" i="1"/>
  <c r="AV359" i="1"/>
  <c r="BD359" i="1"/>
  <c r="X356" i="1" l="1"/>
  <c r="AZ354" i="1"/>
  <c r="X354" i="1"/>
  <c r="AJ359" i="1"/>
  <c r="AW358" i="1"/>
  <c r="E358" i="1"/>
  <c r="AI359" i="1"/>
  <c r="BB359" i="1"/>
  <c r="AZ357" i="1"/>
  <c r="X357" i="1"/>
  <c r="E356" i="1"/>
  <c r="BC354" i="1"/>
  <c r="Q359" i="1"/>
  <c r="AJ355" i="1"/>
  <c r="Q355" i="1"/>
  <c r="BA358" i="1"/>
  <c r="AZ356" i="1"/>
  <c r="BA355" i="1"/>
  <c r="AN355" i="1"/>
  <c r="AZ359" i="1"/>
  <c r="U358" i="1"/>
  <c r="AE359" i="1"/>
  <c r="AW357" i="1"/>
  <c r="S358" i="1"/>
  <c r="AP355" i="1"/>
  <c r="E359" i="1"/>
  <c r="AQ357" i="1"/>
  <c r="AZ355" i="1"/>
  <c r="H354" i="1"/>
  <c r="AJ354" i="1"/>
  <c r="AB358" i="1"/>
  <c r="L358" i="1"/>
  <c r="AB357" i="1"/>
  <c r="L357" i="1"/>
  <c r="M356" i="1"/>
  <c r="AL355" i="1"/>
  <c r="L356" i="1"/>
  <c r="T355" i="1"/>
  <c r="AB354" i="1"/>
  <c r="T354" i="1"/>
  <c r="L354" i="1"/>
  <c r="AB359" i="1"/>
  <c r="L359" i="1"/>
  <c r="BB357" i="1"/>
  <c r="AU359" i="1"/>
  <c r="AN358" i="1"/>
  <c r="R359" i="1"/>
  <c r="AN357" i="1"/>
  <c r="AD355" i="1"/>
  <c r="Y355" i="1"/>
  <c r="K357" i="1"/>
  <c r="AV355" i="1"/>
  <c r="AN359" i="1"/>
  <c r="AS358" i="1"/>
  <c r="AC358" i="1"/>
  <c r="M358" i="1"/>
  <c r="AQ359" i="1"/>
  <c r="S359" i="1"/>
  <c r="AJ358" i="1"/>
  <c r="T358" i="1"/>
  <c r="BE357" i="1"/>
  <c r="AO359" i="1"/>
  <c r="N359" i="1"/>
  <c r="AA358" i="1"/>
  <c r="AJ357" i="1"/>
  <c r="T357" i="1"/>
  <c r="AS356" i="1"/>
  <c r="BB355" i="1"/>
  <c r="V355" i="1"/>
  <c r="R358" i="1"/>
  <c r="AN356" i="1"/>
  <c r="AD357" i="1"/>
  <c r="AB355" i="1"/>
  <c r="L355" i="1"/>
  <c r="AG357" i="1"/>
  <c r="AR354" i="1"/>
  <c r="AM359" i="1"/>
  <c r="W359" i="1"/>
  <c r="G359" i="1"/>
  <c r="AH359" i="1"/>
  <c r="F359" i="1"/>
  <c r="AM358" i="1"/>
  <c r="AH355" i="1"/>
  <c r="AA357" i="1"/>
  <c r="AH357" i="1"/>
  <c r="AU356" i="1"/>
  <c r="O356" i="1"/>
  <c r="E357" i="1"/>
  <c r="Z356" i="1"/>
  <c r="AI355" i="1"/>
  <c r="BD354" i="1"/>
  <c r="AV354" i="1"/>
  <c r="AN354" i="1"/>
  <c r="AF354" i="1"/>
  <c r="AE358" i="1"/>
  <c r="O358" i="1"/>
  <c r="F355" i="1"/>
  <c r="AU354" i="1"/>
  <c r="AM354" i="1"/>
  <c r="AE354" i="1"/>
  <c r="W354" i="1"/>
  <c r="O354" i="1"/>
  <c r="G354" i="1"/>
  <c r="BE355" i="1"/>
  <c r="I359" i="1"/>
  <c r="AH358" i="1"/>
  <c r="F358" i="1"/>
  <c r="S357" i="1"/>
  <c r="AH354" i="1"/>
  <c r="F354" i="1"/>
  <c r="AM356" i="1"/>
  <c r="BB356" i="1"/>
  <c r="R356" i="1"/>
  <c r="S355" i="1"/>
  <c r="T356" i="1"/>
  <c r="F357" i="1"/>
  <c r="AE356" i="1"/>
  <c r="G355" i="1"/>
  <c r="W358" i="1"/>
  <c r="G358" i="1"/>
  <c r="AQ354" i="1"/>
  <c r="AI354" i="1"/>
  <c r="AA354" i="1"/>
  <c r="S354" i="1"/>
  <c r="K354" i="1"/>
  <c r="Y359" i="1"/>
  <c r="BB358" i="1"/>
  <c r="AI357" i="1"/>
  <c r="G357" i="1"/>
  <c r="R354" i="1"/>
  <c r="AL357" i="1"/>
  <c r="BC356" i="1"/>
  <c r="W356" i="1"/>
  <c r="E354" i="1"/>
  <c r="E355" i="1"/>
  <c r="Q357" i="1"/>
  <c r="AH356" i="1"/>
  <c r="F356" i="1"/>
  <c r="BB354" i="1"/>
  <c r="V359" i="1"/>
  <c r="AK356" i="1"/>
  <c r="N355" i="1"/>
  <c r="AX357" i="1"/>
  <c r="AY359" i="1"/>
  <c r="BA357" i="1"/>
  <c r="BA359" i="1"/>
  <c r="AK359" i="1"/>
  <c r="AL359" i="1"/>
  <c r="AW356" i="1"/>
  <c r="AG356" i="1"/>
  <c r="Q356" i="1"/>
  <c r="Z355" i="1"/>
  <c r="I355" i="1"/>
  <c r="AL354" i="1"/>
  <c r="U359" i="1"/>
  <c r="AT358" i="1"/>
  <c r="AD358" i="1"/>
  <c r="N358" i="1"/>
  <c r="BC357" i="1"/>
  <c r="AM357" i="1"/>
  <c r="W357" i="1"/>
  <c r="Z357" i="1"/>
  <c r="J357" i="1"/>
  <c r="S356" i="1"/>
  <c r="G356" i="1"/>
  <c r="BE354" i="1"/>
  <c r="AW354" i="1"/>
  <c r="AO354" i="1"/>
  <c r="AG354" i="1"/>
  <c r="Y354" i="1"/>
  <c r="Q354" i="1"/>
  <c r="I354" i="1"/>
  <c r="AG355" i="1"/>
  <c r="AD354" i="1"/>
  <c r="AK357" i="1"/>
  <c r="U357" i="1"/>
  <c r="AT356" i="1"/>
  <c r="AD356" i="1"/>
  <c r="N356" i="1"/>
  <c r="BC355" i="1"/>
  <c r="AM355" i="1"/>
  <c r="W355" i="1"/>
  <c r="H356" i="1"/>
  <c r="AY358" i="1"/>
  <c r="AY352" i="1"/>
  <c r="V357" i="1"/>
  <c r="AY355" i="1"/>
  <c r="AS355" i="1"/>
  <c r="Z352" i="1"/>
  <c r="Z359" i="1"/>
  <c r="AY357" i="1"/>
  <c r="AS357" i="1"/>
  <c r="AS359" i="1"/>
  <c r="AX359" i="1"/>
  <c r="BE356" i="1"/>
  <c r="AO356" i="1"/>
  <c r="Y356" i="1"/>
  <c r="I356" i="1"/>
  <c r="AX355" i="1"/>
  <c r="AY354" i="1"/>
  <c r="AI358" i="1"/>
  <c r="AI352" i="1"/>
  <c r="AO355" i="1"/>
  <c r="AX354" i="1"/>
  <c r="V354" i="1"/>
  <c r="AC359" i="1"/>
  <c r="M359" i="1"/>
  <c r="AL358" i="1"/>
  <c r="V358" i="1"/>
  <c r="AU357" i="1"/>
  <c r="AE357" i="1"/>
  <c r="O357" i="1"/>
  <c r="AK355" i="1"/>
  <c r="AT354" i="1"/>
  <c r="R357" i="1"/>
  <c r="AQ356" i="1"/>
  <c r="AA356" i="1"/>
  <c r="K356" i="1"/>
  <c r="BA354" i="1"/>
  <c r="AS354" i="1"/>
  <c r="AK354" i="1"/>
  <c r="AC354" i="1"/>
  <c r="U354" i="1"/>
  <c r="M354" i="1"/>
  <c r="N354" i="1"/>
  <c r="AC357" i="1"/>
  <c r="M357" i="1"/>
  <c r="AL356" i="1"/>
  <c r="V356" i="1"/>
  <c r="AU355" i="1"/>
  <c r="AE355" i="1"/>
  <c r="O355" i="1"/>
  <c r="AJ356" i="1"/>
  <c r="AC355" i="1"/>
  <c r="AP352" i="1"/>
  <c r="AP359" i="1"/>
  <c r="AT359" i="1"/>
  <c r="BA356" i="1"/>
  <c r="U356" i="1"/>
  <c r="AT355" i="1"/>
  <c r="AX358" i="1"/>
  <c r="U355" i="1"/>
  <c r="N357" i="1"/>
  <c r="AW355" i="1"/>
  <c r="AO357" i="1"/>
  <c r="Y357" i="1"/>
  <c r="I357" i="1"/>
  <c r="AX356" i="1"/>
  <c r="AQ355" i="1"/>
  <c r="AA355" i="1"/>
  <c r="K355" i="1"/>
  <c r="M355" i="1"/>
  <c r="J352" i="1"/>
  <c r="J359" i="1"/>
</calcChain>
</file>

<file path=xl/sharedStrings.xml><?xml version="1.0" encoding="utf-8"?>
<sst xmlns="http://schemas.openxmlformats.org/spreadsheetml/2006/main" count="778" uniqueCount="710">
  <si>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</si>
  <si>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</si>
  <si>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</si>
  <si>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</si>
  <si>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</si>
  <si>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</si>
  <si>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</si>
  <si>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</si>
  <si>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</si>
  <si>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</si>
  <si>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</si>
  <si>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</si>
  <si>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</si>
  <si>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</si>
  <si>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</si>
  <si>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</si>
  <si>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</si>
  <si>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</si>
  <si>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</si>
  <si>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</si>
  <si>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</si>
  <si>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</si>
  <si>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</si>
  <si>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</si>
  <si>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</si>
  <si>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</si>
  <si>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</si>
  <si>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</si>
  <si>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</si>
  <si>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</si>
  <si>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</si>
  <si>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</si>
  <si>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</si>
  <si>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</si>
  <si>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</si>
  <si>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</si>
  <si>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</si>
  <si>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</si>
  <si>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</si>
  <si>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</si>
  <si>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</si>
  <si>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</si>
  <si>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</si>
  <si>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</si>
  <si>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</si>
  <si>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</si>
  <si>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</si>
  <si>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</si>
  <si>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</si>
  <si>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</si>
  <si>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</si>
  <si>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</si>
  <si>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</si>
  <si>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</si>
  <si>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</si>
  <si>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</si>
  <si>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</si>
  <si>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</si>
  <si>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</si>
  <si>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</si>
  <si>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</si>
  <si>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</si>
  <si>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</si>
  <si>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</si>
  <si>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</si>
  <si>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</si>
  <si>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</si>
  <si>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</si>
  <si>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</si>
  <si>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</si>
  <si>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</si>
  <si>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</si>
  <si>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</si>
  <si>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</si>
  <si>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</si>
  <si>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</si>
  <si>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</si>
  <si>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</si>
  <si>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</si>
  <si>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</si>
  <si>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</si>
  <si>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</si>
  <si>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</si>
  <si>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</si>
  <si>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</si>
  <si>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</si>
  <si>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</si>
  <si>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</si>
  <si>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</si>
  <si>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</si>
  <si>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</si>
  <si>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</si>
  <si>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</si>
  <si>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</si>
  <si>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</si>
  <si>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</si>
  <si>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</si>
  <si>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</si>
  <si>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</si>
  <si>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</si>
  <si>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</si>
  <si>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</si>
  <si>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</si>
  <si>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</si>
  <si>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</si>
  <si>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</si>
  <si>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</si>
  <si>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</si>
  <si>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</si>
  <si>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</si>
  <si>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</si>
  <si>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</si>
  <si>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</si>
  <si>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</si>
  <si>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</si>
  <si>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</si>
  <si>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</si>
  <si>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</si>
  <si>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</si>
  <si>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</si>
  <si>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</si>
  <si>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</si>
  <si>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</si>
  <si>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</si>
  <si>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</si>
  <si>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</si>
  <si>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</si>
  <si>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</si>
  <si>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</si>
  <si>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</si>
  <si>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</si>
  <si>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</si>
  <si>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</si>
  <si>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</si>
  <si>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</si>
  <si>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</si>
  <si>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</si>
  <si>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</si>
  <si>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</si>
  <si>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</si>
  <si>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</si>
  <si>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</si>
  <si>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</si>
  <si>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</si>
  <si>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</si>
  <si>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</si>
  <si>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</si>
  <si>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</si>
  <si>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</si>
  <si>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</si>
  <si>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</si>
  <si>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</si>
  <si>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</si>
  <si>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</si>
  <si>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</si>
  <si>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</si>
  <si>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</si>
  <si>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</si>
  <si>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</si>
  <si>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</si>
  <si>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</si>
  <si>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</si>
  <si>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</si>
  <si>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</si>
  <si>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</si>
  <si>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</si>
  <si>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</si>
  <si>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</si>
  <si>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</si>
  <si>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</si>
  <si>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</si>
  <si>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</si>
  <si>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</si>
  <si>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</si>
  <si>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</si>
  <si>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</si>
  <si>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</si>
  <si>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</si>
  <si>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</si>
  <si>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</si>
  <si>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</si>
  <si>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</si>
  <si>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</si>
  <si>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</si>
  <si>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</si>
  <si>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</si>
  <si>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</si>
  <si>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</si>
  <si>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</si>
  <si>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</si>
  <si>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</si>
  <si>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</si>
  <si>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</si>
  <si>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</si>
  <si>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</si>
  <si>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</si>
  <si>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</si>
  <si>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</si>
  <si>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</si>
  <si>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</si>
  <si>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</si>
  <si>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</si>
  <si>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</si>
  <si>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</si>
  <si>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</si>
  <si>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</si>
  <si>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</si>
  <si>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</si>
  <si>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</si>
  <si>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</si>
  <si>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</si>
  <si>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</si>
  <si>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</si>
  <si>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</si>
  <si>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</si>
  <si>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</si>
  <si>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</si>
  <si>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</si>
  <si>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</si>
  <si>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</si>
  <si>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</si>
  <si>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</si>
  <si>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</si>
  <si>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</si>
  <si>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</si>
  <si>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</si>
  <si>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</si>
  <si>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</si>
  <si>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</si>
  <si>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</si>
  <si>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</si>
  <si>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</si>
  <si>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</si>
  <si>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</si>
  <si>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</si>
  <si>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</si>
  <si>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</si>
  <si>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</si>
  <si>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</si>
  <si>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</si>
  <si>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</si>
  <si>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</si>
  <si>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</si>
  <si>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</si>
  <si>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</si>
  <si>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</si>
  <si>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</si>
  <si>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</si>
  <si>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</si>
  <si>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</si>
  <si>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</si>
  <si>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</si>
  <si>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</si>
  <si>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</si>
  <si>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</si>
  <si>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</si>
  <si>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</si>
  <si>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</si>
  <si>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</si>
  <si>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</si>
  <si>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</si>
  <si>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</si>
  <si>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</si>
  <si>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</si>
  <si>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</si>
  <si>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</si>
  <si>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</si>
  <si>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</si>
  <si>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</si>
  <si>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</si>
  <si>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</si>
  <si>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</si>
  <si>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</si>
  <si>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</si>
  <si>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</si>
  <si>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</si>
  <si>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</si>
  <si>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</si>
  <si>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</si>
  <si>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</si>
  <si>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</si>
  <si>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</si>
  <si>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</si>
  <si>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</si>
  <si>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</si>
  <si>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</si>
  <si>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</si>
  <si>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</si>
  <si>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</si>
  <si>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</si>
  <si>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</si>
  <si>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</si>
  <si>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</si>
  <si>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</si>
  <si>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</si>
  <si>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</si>
  <si>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</si>
  <si>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</si>
  <si>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</si>
  <si>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</si>
  <si>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</si>
  <si>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</si>
  <si>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</si>
  <si>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</si>
  <si>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</si>
  <si>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</si>
  <si>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</si>
  <si>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</si>
  <si>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</si>
  <si>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</si>
  <si>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</si>
  <si>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</si>
  <si>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</si>
  <si>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</si>
  <si>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</si>
  <si>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</si>
  <si>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</si>
  <si>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</si>
  <si>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</si>
  <si>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</si>
  <si>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</si>
  <si>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</si>
  <si>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</si>
  <si>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</si>
  <si>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</si>
  <si>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</si>
  <si>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</si>
  <si>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</si>
  <si>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</si>
  <si>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</si>
  <si>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</si>
  <si>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</si>
  <si>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</si>
  <si>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</si>
  <si>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</si>
  <si>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</si>
  <si>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</si>
  <si>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</si>
  <si>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</si>
  <si>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</si>
  <si>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</si>
  <si>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</si>
  <si>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</si>
  <si>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</si>
  <si>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</si>
  <si>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</si>
  <si>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</si>
  <si>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</si>
  <si>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</si>
  <si>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</si>
  <si>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</si>
  <si>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</si>
  <si>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</si>
  <si>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</si>
  <si>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</si>
  <si>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</si>
  <si>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</si>
  <si>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</si>
  <si>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</si>
  <si>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</si>
  <si>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</si>
  <si>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</si>
  <si>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</si>
  <si>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</si>
  <si>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</si>
  <si>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</si>
  <si>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</si>
  <si>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</si>
  <si>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</si>
  <si>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</si>
  <si>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</si>
  <si>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</si>
  <si>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</si>
  <si>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</si>
  <si>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</si>
  <si>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</si>
  <si>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</si>
  <si>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</si>
  <si>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</si>
  <si>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</si>
  <si>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</si>
  <si>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</si>
  <si>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</si>
  <si>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</si>
  <si>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</si>
  <si>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</si>
  <si>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</si>
  <si>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</si>
  <si>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</si>
  <si>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</si>
  <si>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</si>
  <si>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</si>
  <si>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</si>
  <si>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</si>
  <si>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</si>
  <si>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</si>
  <si>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</si>
  <si>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</si>
  <si>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</si>
  <si>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</si>
  <si>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</si>
  <si>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</si>
  <si>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</si>
  <si>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</si>
  <si>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</si>
  <si>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</si>
  <si>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</si>
  <si>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</si>
  <si>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</si>
  <si>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</si>
  <si>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</si>
  <si>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</si>
  <si>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</si>
  <si>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</si>
  <si>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</si>
  <si>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</si>
  <si>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</si>
  <si>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</si>
  <si>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</si>
  <si>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</si>
  <si>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</si>
  <si>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</si>
  <si>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</si>
  <si>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</si>
  <si>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</si>
  <si>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</si>
  <si>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</si>
  <si>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</si>
  <si>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</si>
  <si>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</si>
  <si>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</si>
  <si>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</si>
  <si>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</si>
  <si>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</si>
  <si>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</si>
  <si>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</si>
  <si>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</si>
  <si>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</si>
  <si>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</si>
  <si>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</si>
  <si>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</si>
  <si>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</si>
  <si>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</si>
  <si>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</si>
  <si>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</si>
  <si>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</si>
  <si>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</si>
  <si>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</si>
  <si>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</si>
  <si>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</si>
  <si>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</si>
  <si>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</si>
  <si>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</si>
  <si>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</si>
  <si>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</si>
  <si>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</si>
  <si>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</si>
  <si>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</si>
  <si>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</si>
  <si>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</si>
  <si>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</si>
  <si>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</si>
  <si>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</si>
  <si>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</si>
  <si>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</si>
  <si>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</si>
  <si>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</si>
  <si>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</si>
  <si>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</si>
  <si>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</si>
  <si>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</si>
  <si>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</si>
  <si>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</si>
  <si>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</si>
  <si>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</si>
  <si>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</si>
  <si>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</si>
  <si>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</si>
  <si>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</si>
  <si>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</si>
  <si>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</si>
  <si>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</si>
  <si>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</si>
  <si>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</si>
  <si>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</si>
  <si>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</si>
  <si>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</si>
  <si>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</si>
  <si>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</si>
  <si>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</si>
  <si>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</si>
  <si>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</si>
  <si>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</si>
  <si>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</si>
  <si>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</si>
  <si>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</si>
  <si>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</si>
  <si>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</si>
  <si>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</si>
  <si>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</si>
  <si>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</si>
  <si>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</si>
  <si>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</si>
  <si>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</si>
  <si>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</si>
  <si>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</si>
  <si>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</si>
  <si>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</si>
  <si>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</si>
  <si>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</si>
  <si>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</si>
  <si>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</si>
  <si>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</si>
  <si>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</si>
  <si>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</si>
  <si>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</si>
  <si>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</si>
  <si>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</si>
  <si>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</si>
  <si>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</si>
  <si>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</si>
  <si>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</si>
  <si>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</si>
  <si>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</si>
  <si>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</si>
  <si>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</si>
  <si>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</si>
  <si>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</si>
  <si>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</si>
  <si>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</si>
  <si>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</si>
  <si>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</si>
  <si>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</si>
  <si>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</si>
  <si>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</si>
  <si>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</si>
  <si>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</si>
  <si>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</si>
  <si>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</si>
  <si>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</si>
  <si>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</si>
  <si>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</si>
  <si>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</si>
  <si>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</si>
  <si>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</si>
  <si>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</si>
  <si>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</si>
  <si>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</si>
  <si>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</si>
  <si>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</si>
  <si>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</si>
  <si>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</si>
  <si>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</si>
  <si>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</si>
  <si>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</si>
  <si>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</si>
  <si>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</si>
  <si>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</si>
  <si>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</si>
  <si>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</si>
  <si>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</si>
  <si>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</si>
  <si>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</si>
  <si>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</si>
  <si>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</si>
  <si>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</si>
  <si>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</si>
  <si>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</si>
  <si>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</si>
  <si>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</si>
  <si>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</si>
  <si>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</si>
  <si>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</si>
  <si>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</si>
  <si>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</si>
  <si>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</si>
  <si>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</si>
  <si>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</si>
  <si>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</si>
  <si>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</si>
  <si>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</si>
  <si>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</si>
  <si>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</si>
  <si>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</si>
  <si>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</si>
  <si>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</si>
  <si>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</si>
  <si>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</si>
  <si>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</si>
  <si>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</si>
  <si>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</si>
  <si>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</si>
  <si>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</si>
  <si>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</si>
  <si>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</si>
  <si>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</si>
  <si>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</si>
  <si>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</si>
  <si>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</si>
  <si>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</si>
  <si>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</si>
  <si>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</si>
  <si>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</si>
  <si>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</si>
  <si>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</si>
  <si>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</si>
  <si>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</si>
  <si>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</si>
  <si>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</si>
  <si>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</si>
  <si>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</si>
  <si>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</si>
  <si>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</si>
  <si>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</si>
  <si>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</si>
  <si>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</si>
  <si>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</si>
  <si>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</si>
  <si>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</si>
  <si>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</si>
  <si>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 השתלמות לטווח קצר</t>
  </si>
  <si>
    <t>הפניקס השתלמות עד 25% מניות</t>
  </si>
  <si>
    <t>הפניקס השתלמות שקלי טווח קצר</t>
  </si>
  <si>
    <t>הפניקס גמל עד 15% מניות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</si>
  <si>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</si>
  <si>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</si>
  <si>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</si>
  <si>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</si>
  <si>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</si>
  <si>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</si>
  <si>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</si>
  <si>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</si>
  <si>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</si>
  <si>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פאסיבי לבמי 50 ומטה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</si>
  <si>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</si>
  <si>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</si>
  <si>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</si>
  <si>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</si>
  <si>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</si>
  <si>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</si>
  <si>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</si>
  <si>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</si>
  <si>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</si>
  <si>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</si>
  <si>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</si>
  <si>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</si>
  <si>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</si>
  <si>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</si>
  <si>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</si>
  <si>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</si>
  <si>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</si>
  <si>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 גמל פאסיבי לבני 50 עד 60</t>
  </si>
  <si>
    <t>הפניקס גמל פאסיבי לבני 60 ומעלה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</si>
  <si>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</si>
  <si>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</si>
  <si>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</si>
  <si>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</si>
  <si>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גמל מסלול עוקב מדדים גמיש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</si>
  <si>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</si>
  <si>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</si>
  <si>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</si>
  <si>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</si>
  <si>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</si>
  <si>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</si>
  <si>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</si>
  <si>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</si>
  <si>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גמל חו"ל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</si>
  <si>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</si>
  <si>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</si>
  <si>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</si>
  <si>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</si>
  <si>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</si>
  <si>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</si>
  <si>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513026484-00000000000399-0686-000</t>
  </si>
  <si>
    <t>513026484-00000000000399-1190-000</t>
  </si>
  <si>
    <t>513026484-00000000000399-0715-000</t>
  </si>
  <si>
    <t>513026484-00000000000102-0211-000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</si>
  <si>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</si>
  <si>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</si>
  <si>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</si>
  <si>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</si>
  <si>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</si>
  <si>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</si>
  <si>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</si>
  <si>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</si>
  <si>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</si>
  <si>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</si>
  <si>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</si>
  <si>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</si>
  <si>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</si>
  <si>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</si>
  <si>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</si>
  <si>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</si>
  <si>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</si>
  <si>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</si>
  <si>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</si>
  <si>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</si>
  <si>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</si>
  <si>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</si>
  <si>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</si>
  <si>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</si>
  <si>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</si>
  <si>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</si>
  <si>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</si>
  <si>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513026484-00000000000102-9917-000</t>
  </si>
  <si>
    <t>513026484-00000000000102-8624-000</t>
  </si>
  <si>
    <t>513026484-00000000000102-8626-000</t>
  </si>
  <si>
    <t>סוף מידע טבלה צד שמאל</t>
  </si>
  <si>
    <t>תחילת מידע טבלה</t>
  </si>
  <si>
    <t>סוף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</si>
</sst>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</xdr:row>
      <xdr:rowOff>0</xdr:rowOff>
    </xdr:from>
    <xdr:to>
      <xdr:col>3</xdr:col>
      <xdr:colOff>257175</xdr:colOff>
      <xdr:row>4</xdr:row>
      <xdr:rowOff>31623</xdr:rowOff>
    </xdr:to>
    <xdr:sp macro="[1]!Module1.מאקרו1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265179400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1</xdr:col>
      <xdr:colOff>190500</xdr:colOff>
      <xdr:row>0</xdr:row>
      <xdr:rowOff>60028</xdr:rowOff>
    </xdr:from>
    <xdr:to>
      <xdr:col>1</xdr:col>
      <xdr:colOff>495300</xdr:colOff>
      <xdr:row>1</xdr:row>
      <xdr:rowOff>186827</xdr:rowOff>
    </xdr:to>
    <xdr:pic>
      <xdr:nvPicPr>
        <xdr:cNvPr id="4" name="תמונה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194410E5-43A1-BCB4-F2CD-7B2ACE2D4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4966100" y="60028"/>
          <a:ext cx="304800" cy="3077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2018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גיליון212"/>
      <sheetName val="גיליון214"/>
      <sheetName val="גיליון216"/>
      <sheetName val="גיליון218"/>
      <sheetName val="גיליון220"/>
      <sheetName val="גיליון222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60"/>
  <sheetViews>
    <sheetView rightToLeft="1" tabSelected="1" workbookViewId="0">
      <selection activeCell="C9" sqref="C9"/>
    </sheetView>
  </sheetViews>
  <sheetFormatPr defaultRowHeight="14.25" x14ac:dyDescent="0.2"/>
  <sheetData>
    <row r="1" spans="1:58" x14ac:dyDescent="0.2">
      <c r="A1" s="21" t="s">
        <v>708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</row>
    <row r="2" spans="1:58" ht="15.75" x14ac:dyDescent="0.25">
      <c r="A2" s="1"/>
      <c r="B2" s="2"/>
      <c r="C2" s="2"/>
      <c r="D2" s="2"/>
      <c r="E2">
        <v>6</v>
      </c>
      <c r="F2">
        <v>10</v>
      </c>
      <c r="G2">
        <v>30</v>
      </c>
      <c r="H2">
        <v>50</v>
      </c>
      <c r="I2">
        <v>93</v>
      </c>
      <c r="J2">
        <v>99</v>
      </c>
      <c r="K2">
        <v>100</v>
      </c>
      <c r="L2">
        <v>101</v>
      </c>
      <c r="M2">
        <v>102</v>
      </c>
      <c r="N2">
        <v>121</v>
      </c>
      <c r="O2">
        <v>122</v>
      </c>
      <c r="P2">
        <v>142</v>
      </c>
      <c r="Q2">
        <v>164</v>
      </c>
      <c r="R2">
        <v>167</v>
      </c>
      <c r="S2">
        <v>169</v>
      </c>
      <c r="T2">
        <v>425</v>
      </c>
      <c r="U2">
        <v>426</v>
      </c>
      <c r="V2">
        <v>499</v>
      </c>
      <c r="W2">
        <v>519</v>
      </c>
      <c r="X2">
        <v>525</v>
      </c>
      <c r="Y2">
        <v>526</v>
      </c>
      <c r="Z2">
        <v>570</v>
      </c>
      <c r="AA2">
        <v>571</v>
      </c>
      <c r="AB2">
        <v>572</v>
      </c>
      <c r="AC2">
        <v>573</v>
      </c>
      <c r="AD2">
        <v>574</v>
      </c>
      <c r="AE2">
        <v>628</v>
      </c>
      <c r="AF2">
        <v>629</v>
      </c>
      <c r="AG2">
        <v>631</v>
      </c>
      <c r="AH2">
        <v>632</v>
      </c>
      <c r="AI2">
        <v>658</v>
      </c>
      <c r="AJ2">
        <v>660</v>
      </c>
      <c r="AK2">
        <v>662</v>
      </c>
      <c r="AL2">
        <v>664</v>
      </c>
      <c r="AM2">
        <v>666</v>
      </c>
      <c r="AN2">
        <v>726</v>
      </c>
      <c r="AO2">
        <v>737</v>
      </c>
      <c r="AP2">
        <v>805</v>
      </c>
      <c r="AQ2">
        <v>807</v>
      </c>
      <c r="AR2">
        <v>827</v>
      </c>
      <c r="AS2">
        <v>575</v>
      </c>
      <c r="AT2">
        <v>576</v>
      </c>
      <c r="AU2">
        <v>359</v>
      </c>
      <c r="AV2">
        <v>360</v>
      </c>
      <c r="AW2" s="9">
        <v>828</v>
      </c>
      <c r="AX2" s="9">
        <v>844</v>
      </c>
      <c r="AY2" s="9">
        <v>839</v>
      </c>
      <c r="AZ2" s="9">
        <v>857</v>
      </c>
      <c r="BA2" s="9">
        <v>851</v>
      </c>
      <c r="BB2" s="9">
        <v>849</v>
      </c>
      <c r="BC2" s="9">
        <v>846</v>
      </c>
      <c r="BD2" s="9">
        <v>834</v>
      </c>
      <c r="BE2" s="9">
        <v>488</v>
      </c>
      <c r="BF2" s="21" t="s">
        <v>707</v>
      </c>
    </row>
    <row r="3" spans="1:58" x14ac:dyDescent="0.2">
      <c r="E3" s="10">
        <v>401</v>
      </c>
      <c r="F3" s="10">
        <v>242</v>
      </c>
      <c r="G3" s="10">
        <v>385</v>
      </c>
      <c r="H3" s="10">
        <v>528</v>
      </c>
      <c r="I3" s="10">
        <v>384</v>
      </c>
      <c r="J3" s="10">
        <v>716</v>
      </c>
      <c r="K3" s="10">
        <v>686</v>
      </c>
      <c r="L3" s="10">
        <v>1190</v>
      </c>
      <c r="M3" s="10">
        <v>715</v>
      </c>
      <c r="N3" s="10">
        <v>211</v>
      </c>
      <c r="O3" s="10">
        <v>9916</v>
      </c>
      <c r="P3" s="10">
        <v>1100</v>
      </c>
      <c r="Q3" s="10">
        <v>801</v>
      </c>
      <c r="R3" s="10">
        <v>804</v>
      </c>
      <c r="S3" s="10">
        <v>806</v>
      </c>
      <c r="T3" s="10">
        <v>8765</v>
      </c>
      <c r="U3" s="10">
        <v>8766</v>
      </c>
      <c r="V3" s="10">
        <v>9418</v>
      </c>
      <c r="W3" s="10">
        <v>9475</v>
      </c>
      <c r="X3" s="10">
        <v>9905</v>
      </c>
      <c r="Y3" s="10">
        <v>9906</v>
      </c>
      <c r="Z3" s="10">
        <v>7905</v>
      </c>
      <c r="AA3" s="10">
        <v>7906</v>
      </c>
      <c r="AB3" s="10">
        <v>7907</v>
      </c>
      <c r="AC3" s="10">
        <v>7908</v>
      </c>
      <c r="AD3" s="10">
        <v>7909</v>
      </c>
      <c r="AE3" s="10">
        <v>11310</v>
      </c>
      <c r="AF3" s="10">
        <v>11311</v>
      </c>
      <c r="AG3" s="10">
        <v>11312</v>
      </c>
      <c r="AH3" s="10">
        <v>11335</v>
      </c>
      <c r="AI3" s="10">
        <v>9529</v>
      </c>
      <c r="AJ3" s="10">
        <v>961</v>
      </c>
      <c r="AK3" s="10">
        <v>9528</v>
      </c>
      <c r="AL3" s="10">
        <v>964</v>
      </c>
      <c r="AM3" s="10">
        <v>968</v>
      </c>
      <c r="AN3" s="10">
        <v>8629</v>
      </c>
      <c r="AO3" s="10">
        <v>13264</v>
      </c>
      <c r="AP3" s="10">
        <v>9917</v>
      </c>
      <c r="AQ3" s="10">
        <v>8624</v>
      </c>
      <c r="AR3" s="10">
        <v>13263</v>
      </c>
      <c r="AS3" s="10">
        <v>13209</v>
      </c>
      <c r="AT3" s="10">
        <v>13250</v>
      </c>
      <c r="AU3" s="10">
        <v>14281</v>
      </c>
      <c r="AV3" s="10">
        <v>14282</v>
      </c>
      <c r="AW3" s="11">
        <v>2049</v>
      </c>
      <c r="AX3" s="12">
        <v>7975</v>
      </c>
      <c r="AY3" s="12">
        <v>8004</v>
      </c>
      <c r="AZ3" s="11">
        <v>1008</v>
      </c>
      <c r="BA3" s="11">
        <v>9484</v>
      </c>
      <c r="BB3" s="11">
        <v>682</v>
      </c>
      <c r="BC3" s="11">
        <v>11352</v>
      </c>
      <c r="BD3" s="11">
        <v>2058</v>
      </c>
      <c r="BE3" s="11">
        <v>12088</v>
      </c>
      <c r="BF3" s="21"/>
    </row>
    <row r="4" spans="1:58" ht="15.75" x14ac:dyDescent="0.25">
      <c r="A4" s="3">
        <v>45231</v>
      </c>
      <c r="B4" s="2"/>
      <c r="C4" s="2"/>
      <c r="D4" s="2"/>
      <c r="E4" t="s">
        <v>614</v>
      </c>
      <c r="F4" t="s">
        <v>615</v>
      </c>
      <c r="G4" t="s">
        <v>616</v>
      </c>
      <c r="H4" t="s">
        <v>617</v>
      </c>
      <c r="I4" t="s">
        <v>618</v>
      </c>
      <c r="J4" t="s">
        <v>619</v>
      </c>
      <c r="K4" t="s">
        <v>620</v>
      </c>
      <c r="L4" t="s">
        <v>621</v>
      </c>
      <c r="M4" t="s">
        <v>622</v>
      </c>
      <c r="N4" t="s">
        <v>623</v>
      </c>
      <c r="O4" t="s">
        <v>624</v>
      </c>
      <c r="P4" t="s">
        <v>625</v>
      </c>
      <c r="Q4" t="s">
        <v>626</v>
      </c>
      <c r="R4" t="s">
        <v>627</v>
      </c>
      <c r="S4" t="s">
        <v>628</v>
      </c>
      <c r="T4" t="s">
        <v>629</v>
      </c>
      <c r="U4" t="s">
        <v>630</v>
      </c>
      <c r="V4" t="s">
        <v>631</v>
      </c>
      <c r="W4" t="s">
        <v>632</v>
      </c>
      <c r="X4" t="s">
        <v>633</v>
      </c>
      <c r="Y4" t="s">
        <v>634</v>
      </c>
      <c r="Z4" t="s">
        <v>635</v>
      </c>
      <c r="AA4" t="s">
        <v>636</v>
      </c>
      <c r="AB4" t="s">
        <v>637</v>
      </c>
      <c r="AC4" t="s">
        <v>638</v>
      </c>
      <c r="AD4" t="s">
        <v>639</v>
      </c>
      <c r="AE4" t="s">
        <v>640</v>
      </c>
      <c r="AF4" t="s">
        <v>641</v>
      </c>
      <c r="AG4" t="s">
        <v>642</v>
      </c>
      <c r="AH4" t="s">
        <v>643</v>
      </c>
      <c r="AI4" t="s">
        <v>644</v>
      </c>
      <c r="AJ4" t="s">
        <v>645</v>
      </c>
      <c r="AK4" t="s">
        <v>646</v>
      </c>
      <c r="AL4" t="s">
        <v>647</v>
      </c>
      <c r="AM4" t="s">
        <v>648</v>
      </c>
      <c r="AN4" t="s">
        <v>649</v>
      </c>
      <c r="AO4" t="s">
        <v>650</v>
      </c>
      <c r="AP4" t="s">
        <v>651</v>
      </c>
      <c r="AQ4" t="s">
        <v>652</v>
      </c>
      <c r="AR4" t="s">
        <v>653</v>
      </c>
      <c r="AS4" t="s">
        <v>654</v>
      </c>
      <c r="AT4" t="s">
        <v>655</v>
      </c>
      <c r="AU4" t="s">
        <v>656</v>
      </c>
      <c r="AV4" t="s">
        <v>657</v>
      </c>
      <c r="AW4" s="13" t="s">
        <v>658</v>
      </c>
      <c r="AX4" s="14" t="s">
        <v>659</v>
      </c>
      <c r="AY4" s="13" t="s">
        <v>660</v>
      </c>
      <c r="AZ4" s="13" t="s">
        <v>661</v>
      </c>
      <c r="BA4" s="13" t="s">
        <v>662</v>
      </c>
      <c r="BB4" s="13" t="s">
        <v>663</v>
      </c>
      <c r="BC4" s="13" t="s">
        <v>664</v>
      </c>
      <c r="BD4" s="13" t="s">
        <v>665</v>
      </c>
      <c r="BE4" s="13" t="s">
        <v>666</v>
      </c>
      <c r="BF4" s="21"/>
    </row>
    <row r="5" spans="1:58" ht="15.75" x14ac:dyDescent="0.25">
      <c r="A5" s="4"/>
      <c r="B5" s="5"/>
      <c r="C5" s="5"/>
      <c r="D5" s="6" t="s">
        <v>0</v>
      </c>
      <c r="E5" s="15" t="s">
        <v>667</v>
      </c>
      <c r="F5" s="15" t="s">
        <v>668</v>
      </c>
      <c r="G5" s="15" t="s">
        <v>669</v>
      </c>
      <c r="H5" s="15" t="s">
        <v>670</v>
      </c>
      <c r="I5" s="15" t="s">
        <v>671</v>
      </c>
      <c r="J5" s="15" t="s">
        <v>672</v>
      </c>
      <c r="K5" s="15" t="s">
        <v>673</v>
      </c>
      <c r="L5" s="15" t="s">
        <v>674</v>
      </c>
      <c r="M5" s="15" t="s">
        <v>675</v>
      </c>
      <c r="N5" s="15" t="s">
        <v>676</v>
      </c>
      <c r="O5" s="15" t="s">
        <v>677</v>
      </c>
      <c r="P5" s="15" t="s">
        <v>678</v>
      </c>
      <c r="Q5" s="15" t="s">
        <v>679</v>
      </c>
      <c r="R5" s="15" t="s">
        <v>680</v>
      </c>
      <c r="S5" s="15" t="s">
        <v>681</v>
      </c>
      <c r="T5" s="15" t="s">
        <v>682</v>
      </c>
      <c r="U5" s="15" t="s">
        <v>683</v>
      </c>
      <c r="V5" s="15" t="s">
        <v>684</v>
      </c>
      <c r="W5" s="15" t="s">
        <v>685</v>
      </c>
      <c r="X5" s="15" t="s">
        <v>686</v>
      </c>
      <c r="Y5" s="15" t="s">
        <v>687</v>
      </c>
      <c r="Z5" s="15" t="s">
        <v>688</v>
      </c>
      <c r="AA5" s="15" t="s">
        <v>689</v>
      </c>
      <c r="AB5" s="15" t="s">
        <v>690</v>
      </c>
      <c r="AC5" s="15" t="s">
        <v>691</v>
      </c>
      <c r="AD5" s="15" t="s">
        <v>692</v>
      </c>
      <c r="AE5" s="15" t="s">
        <v>693</v>
      </c>
      <c r="AF5" s="15" t="s">
        <v>694</v>
      </c>
      <c r="AG5" s="15" t="s">
        <v>695</v>
      </c>
      <c r="AH5" s="15" t="s">
        <v>696</v>
      </c>
      <c r="AI5" s="15" t="s">
        <v>697</v>
      </c>
      <c r="AJ5" s="15" t="s">
        <v>698</v>
      </c>
      <c r="AK5" s="15" t="s">
        <v>699</v>
      </c>
      <c r="AL5" s="15" t="s">
        <v>700</v>
      </c>
      <c r="AM5" s="15" t="s">
        <v>701</v>
      </c>
      <c r="AN5" s="15" t="s">
        <v>702</v>
      </c>
      <c r="AO5" s="15" t="s">
        <v>703</v>
      </c>
      <c r="AP5" s="15" t="s">
        <v>704</v>
      </c>
      <c r="AQ5" s="15" t="s">
        <v>705</v>
      </c>
      <c r="AR5" s="15" t="s">
        <v>706</v>
      </c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21"/>
    </row>
    <row r="6" spans="1:58" ht="15.75" x14ac:dyDescent="0.25">
      <c r="A6" s="5" t="s">
        <v>1</v>
      </c>
      <c r="B6" s="5" t="s">
        <v>2</v>
      </c>
      <c r="C6" s="7">
        <v>1</v>
      </c>
      <c r="D6" s="7">
        <v>1</v>
      </c>
      <c r="E6" s="7">
        <v>161889.774</v>
      </c>
      <c r="F6" s="7">
        <v>31988.58</v>
      </c>
      <c r="G6" s="7">
        <v>23054.664000000001</v>
      </c>
      <c r="H6" s="7">
        <v>283.09199999999998</v>
      </c>
      <c r="I6" s="7">
        <v>3962.0990000000002</v>
      </c>
      <c r="J6" s="7">
        <v>15773.790999999999</v>
      </c>
      <c r="K6" s="7">
        <v>159521.016</v>
      </c>
      <c r="L6" s="7">
        <v>20508.169999999998</v>
      </c>
      <c r="M6" s="7">
        <v>8075.4120000000003</v>
      </c>
      <c r="N6" s="7">
        <v>53208.728999999999</v>
      </c>
      <c r="O6" s="7">
        <v>329307.875</v>
      </c>
      <c r="P6" s="7">
        <v>57082.839</v>
      </c>
      <c r="Q6" s="7">
        <v>3.0179999999999998</v>
      </c>
      <c r="R6" s="7">
        <v>473.24599999999998</v>
      </c>
      <c r="S6" s="7">
        <v>89.853999999999999</v>
      </c>
      <c r="T6" s="7">
        <v>568.79499999999996</v>
      </c>
      <c r="U6" s="7">
        <v>590.03499999999997</v>
      </c>
      <c r="V6" s="7">
        <v>9501.1180000000004</v>
      </c>
      <c r="W6" s="7">
        <v>3.0219999999999998</v>
      </c>
      <c r="X6" s="7">
        <v>7500.0969999999998</v>
      </c>
      <c r="Y6" s="7">
        <v>6183.0119999999997</v>
      </c>
      <c r="Z6" s="7">
        <v>1492.4549999999999</v>
      </c>
      <c r="AA6" s="7">
        <v>6313.7879999999996</v>
      </c>
      <c r="AB6" s="7">
        <v>17864.72</v>
      </c>
      <c r="AC6" s="7">
        <v>64201.533000000003</v>
      </c>
      <c r="AD6" s="7">
        <v>3508.1729999999998</v>
      </c>
      <c r="AE6" s="7">
        <v>16631.534</v>
      </c>
      <c r="AF6" s="7">
        <v>14558.883</v>
      </c>
      <c r="AG6" s="7">
        <v>5006.3829999999998</v>
      </c>
      <c r="AH6" s="7">
        <v>823.45799999999997</v>
      </c>
      <c r="AI6" s="7">
        <v>164125.21100000001</v>
      </c>
      <c r="AJ6" s="7">
        <v>57810.45</v>
      </c>
      <c r="AK6" s="7">
        <v>3242.5529999999999</v>
      </c>
      <c r="AL6" s="7">
        <v>471014.48300000001</v>
      </c>
      <c r="AM6" s="7">
        <v>112420.584</v>
      </c>
      <c r="AN6" s="7">
        <v>23546.873</v>
      </c>
      <c r="AO6" s="7">
        <v>129548.766</v>
      </c>
      <c r="AP6" s="7">
        <v>19085.385999999999</v>
      </c>
      <c r="AQ6" s="7">
        <v>9018.4519999999993</v>
      </c>
      <c r="AR6" s="7">
        <v>83183.72</v>
      </c>
      <c r="AS6" s="7">
        <v>1100.9880000000001</v>
      </c>
      <c r="AT6" s="7">
        <v>38417.535000000003</v>
      </c>
      <c r="AU6" s="7">
        <v>336.19600000000003</v>
      </c>
      <c r="AV6" s="7">
        <v>432.43200000000002</v>
      </c>
      <c r="AW6" s="7">
        <v>57.697000000000003</v>
      </c>
      <c r="AX6" s="7">
        <v>18054.030999999999</v>
      </c>
      <c r="AY6" s="7">
        <v>96.013000000000005</v>
      </c>
      <c r="AZ6" s="7">
        <v>203.69399999999999</v>
      </c>
      <c r="BA6" s="7">
        <v>0</v>
      </c>
      <c r="BB6" s="7">
        <v>12065.773999999999</v>
      </c>
      <c r="BC6" s="7">
        <v>-54.582000000000001</v>
      </c>
      <c r="BD6" s="7">
        <v>203.054</v>
      </c>
      <c r="BE6" s="7">
        <v>12362.444</v>
      </c>
      <c r="BF6" s="21"/>
    </row>
    <row r="7" spans="1:58" ht="15.75" x14ac:dyDescent="0.25">
      <c r="A7" s="5" t="s">
        <v>3</v>
      </c>
      <c r="B7" s="5" t="s">
        <v>4</v>
      </c>
      <c r="C7" s="7">
        <v>1</v>
      </c>
      <c r="D7" s="7">
        <v>1</v>
      </c>
      <c r="E7" s="7">
        <v>62320.597000000002</v>
      </c>
      <c r="F7" s="7">
        <v>10884.861000000001</v>
      </c>
      <c r="G7" s="7">
        <v>8805.4179999999997</v>
      </c>
      <c r="H7" s="7">
        <v>2845.8820000000001</v>
      </c>
      <c r="I7" s="7">
        <v>3480.047</v>
      </c>
      <c r="J7" s="7">
        <v>5141.799</v>
      </c>
      <c r="K7" s="7">
        <v>47076.260999999999</v>
      </c>
      <c r="L7" s="7">
        <v>9852.3279999999995</v>
      </c>
      <c r="M7" s="7">
        <v>0</v>
      </c>
      <c r="N7" s="7">
        <v>45408.915999999997</v>
      </c>
      <c r="O7" s="7">
        <v>126371.27</v>
      </c>
      <c r="P7" s="7">
        <v>36513.917999999998</v>
      </c>
      <c r="Q7" s="7">
        <v>0</v>
      </c>
      <c r="R7" s="7">
        <v>103.739</v>
      </c>
      <c r="S7" s="7">
        <v>608.49400000000003</v>
      </c>
      <c r="T7" s="7">
        <v>112.78700000000001</v>
      </c>
      <c r="U7" s="7">
        <v>169.22900000000001</v>
      </c>
      <c r="V7" s="7">
        <v>2398.1030000000001</v>
      </c>
      <c r="W7" s="7">
        <v>0</v>
      </c>
      <c r="X7" s="7">
        <v>1766.8430000000001</v>
      </c>
      <c r="Y7" s="7">
        <v>0</v>
      </c>
      <c r="Z7" s="7">
        <v>680.47400000000005</v>
      </c>
      <c r="AA7" s="7">
        <v>2463.2869999999998</v>
      </c>
      <c r="AB7" s="7">
        <v>4505.5330000000004</v>
      </c>
      <c r="AC7" s="7">
        <v>13782.833000000001</v>
      </c>
      <c r="AD7" s="7">
        <v>369.75900000000001</v>
      </c>
      <c r="AE7" s="7">
        <v>7127.9319999999998</v>
      </c>
      <c r="AF7" s="7">
        <v>3679.64</v>
      </c>
      <c r="AG7" s="7">
        <v>1558.9280000000001</v>
      </c>
      <c r="AH7" s="7">
        <v>318.98599999999999</v>
      </c>
      <c r="AI7" s="7">
        <v>35073.964999999997</v>
      </c>
      <c r="AJ7" s="7">
        <v>6554.8429999999998</v>
      </c>
      <c r="AK7" s="7">
        <v>1606.7729999999999</v>
      </c>
      <c r="AL7" s="7">
        <v>109282.898</v>
      </c>
      <c r="AM7" s="7">
        <v>12692.925999999999</v>
      </c>
      <c r="AN7" s="7">
        <v>17477.692999999999</v>
      </c>
      <c r="AO7" s="7">
        <v>35718.044999999998</v>
      </c>
      <c r="AP7" s="7">
        <v>4247.0450000000001</v>
      </c>
      <c r="AQ7" s="7">
        <v>1740.1279999999999</v>
      </c>
      <c r="AR7" s="7">
        <v>20902.151999999998</v>
      </c>
      <c r="AS7" s="7">
        <v>0</v>
      </c>
      <c r="AT7" s="7">
        <v>9486.9130000000005</v>
      </c>
      <c r="AU7" s="7">
        <v>61.009</v>
      </c>
      <c r="AV7" s="7">
        <v>89.986000000000004</v>
      </c>
      <c r="AW7" s="7">
        <v>3003.0329999999999</v>
      </c>
      <c r="AX7" s="7">
        <v>1694.4059999999999</v>
      </c>
      <c r="AY7" s="7">
        <v>1113.027</v>
      </c>
      <c r="AZ7" s="7">
        <v>40.579000000000001</v>
      </c>
      <c r="BA7" s="7">
        <v>0</v>
      </c>
      <c r="BB7" s="7">
        <v>2977.357</v>
      </c>
      <c r="BC7" s="7">
        <v>5279.1530000000002</v>
      </c>
      <c r="BD7" s="7">
        <v>4454.8689999999997</v>
      </c>
      <c r="BE7" s="7">
        <v>6466.9350000000004</v>
      </c>
      <c r="BF7" s="21"/>
    </row>
    <row r="8" spans="1:58" ht="15.75" x14ac:dyDescent="0.25">
      <c r="A8" s="5" t="s">
        <v>5</v>
      </c>
      <c r="B8" s="5" t="s">
        <v>6</v>
      </c>
      <c r="C8" s="7">
        <v>1</v>
      </c>
      <c r="D8" s="7">
        <v>1</v>
      </c>
      <c r="E8" s="7">
        <v>75357.707999999999</v>
      </c>
      <c r="F8" s="7">
        <v>13761.187</v>
      </c>
      <c r="G8" s="7">
        <v>13490.507</v>
      </c>
      <c r="H8" s="7">
        <v>2397.9540000000002</v>
      </c>
      <c r="I8" s="7">
        <v>2199.373</v>
      </c>
      <c r="J8" s="7">
        <v>11722.905000000001</v>
      </c>
      <c r="K8" s="7">
        <v>60823.578999999998</v>
      </c>
      <c r="L8" s="7">
        <v>9645.0220000000008</v>
      </c>
      <c r="M8" s="7">
        <v>5545.0190000000002</v>
      </c>
      <c r="N8" s="7">
        <v>32563.383999999998</v>
      </c>
      <c r="O8" s="7">
        <v>133641.07199999999</v>
      </c>
      <c r="P8" s="7">
        <v>28787.062999999998</v>
      </c>
      <c r="Q8" s="7">
        <v>413.92599999999999</v>
      </c>
      <c r="R8" s="7">
        <v>109.65300000000001</v>
      </c>
      <c r="S8" s="7">
        <v>289.89699999999999</v>
      </c>
      <c r="T8" s="7">
        <v>187.87</v>
      </c>
      <c r="U8" s="7">
        <v>812.61500000000001</v>
      </c>
      <c r="V8" s="7">
        <v>5246.8829999999998</v>
      </c>
      <c r="W8" s="7">
        <v>89.260999999999996</v>
      </c>
      <c r="X8" s="7">
        <v>2359.2130000000002</v>
      </c>
      <c r="Y8" s="7">
        <v>9467.9410000000007</v>
      </c>
      <c r="Z8" s="7">
        <v>1797.2159999999999</v>
      </c>
      <c r="AA8" s="7">
        <v>2325.1750000000002</v>
      </c>
      <c r="AB8" s="7">
        <v>4322.9470000000001</v>
      </c>
      <c r="AC8" s="7">
        <v>26414.941999999999</v>
      </c>
      <c r="AD8" s="7">
        <v>5718.5020000000004</v>
      </c>
      <c r="AE8" s="7">
        <v>41802.731</v>
      </c>
      <c r="AF8" s="7">
        <v>6433.058</v>
      </c>
      <c r="AG8" s="7">
        <v>4410.8379999999997</v>
      </c>
      <c r="AH8" s="7">
        <v>4231.9089999999997</v>
      </c>
      <c r="AI8" s="7">
        <v>56120.805999999997</v>
      </c>
      <c r="AJ8" s="7">
        <v>21967.167000000001</v>
      </c>
      <c r="AK8" s="7">
        <v>23558.522000000001</v>
      </c>
      <c r="AL8" s="7">
        <v>204233.12</v>
      </c>
      <c r="AM8" s="7">
        <v>39879.360999999997</v>
      </c>
      <c r="AN8" s="7">
        <v>35738.589999999997</v>
      </c>
      <c r="AO8" s="7">
        <v>128774.387</v>
      </c>
      <c r="AP8" s="7">
        <v>7102.1</v>
      </c>
      <c r="AQ8" s="7">
        <v>5856.74</v>
      </c>
      <c r="AR8" s="7">
        <v>89046.716</v>
      </c>
      <c r="AS8" s="7">
        <v>343.95600000000002</v>
      </c>
      <c r="AT8" s="7">
        <v>37587.065000000002</v>
      </c>
      <c r="AU8" s="7">
        <v>339.04899999999998</v>
      </c>
      <c r="AV8" s="7">
        <v>193.50399999999999</v>
      </c>
      <c r="AW8" s="7">
        <v>0</v>
      </c>
      <c r="AX8" s="7">
        <v>4846.5540000000001</v>
      </c>
      <c r="AY8" s="7">
        <v>0</v>
      </c>
      <c r="AZ8" s="7">
        <v>52.618000000000002</v>
      </c>
      <c r="BA8" s="7">
        <v>0</v>
      </c>
      <c r="BB8" s="7">
        <v>970.34500000000003</v>
      </c>
      <c r="BC8" s="7">
        <v>0</v>
      </c>
      <c r="BD8" s="7">
        <v>0</v>
      </c>
      <c r="BE8" s="7">
        <v>23319.858</v>
      </c>
      <c r="BF8" s="21"/>
    </row>
    <row r="9" spans="1:58" ht="15.75" x14ac:dyDescent="0.25">
      <c r="A9" s="5" t="s">
        <v>7</v>
      </c>
      <c r="B9" s="5" t="s">
        <v>8</v>
      </c>
      <c r="C9" s="7">
        <v>1</v>
      </c>
      <c r="D9" s="7">
        <v>1</v>
      </c>
      <c r="E9" s="7">
        <v>327827.50799999997</v>
      </c>
      <c r="F9" s="7">
        <v>86361.013999999996</v>
      </c>
      <c r="G9" s="7">
        <v>0</v>
      </c>
      <c r="H9" s="7">
        <v>0</v>
      </c>
      <c r="I9" s="7">
        <v>5007.567</v>
      </c>
      <c r="J9" s="7">
        <v>0.02</v>
      </c>
      <c r="K9" s="7">
        <v>481162.76299999998</v>
      </c>
      <c r="L9" s="7">
        <v>41073.088000000003</v>
      </c>
      <c r="M9" s="7">
        <v>0</v>
      </c>
      <c r="N9" s="7">
        <v>48541.394</v>
      </c>
      <c r="O9" s="7">
        <v>1107758.041</v>
      </c>
      <c r="P9" s="7">
        <v>66411.91</v>
      </c>
      <c r="Q9" s="7">
        <v>0</v>
      </c>
      <c r="R9" s="7">
        <v>3626.723</v>
      </c>
      <c r="S9" s="7">
        <v>0</v>
      </c>
      <c r="T9" s="7">
        <v>3522.172</v>
      </c>
      <c r="U9" s="7">
        <v>658.14099999999996</v>
      </c>
      <c r="V9" s="7">
        <v>25456.915000000001</v>
      </c>
      <c r="W9" s="7">
        <v>0</v>
      </c>
      <c r="X9" s="7">
        <v>51140.027000000002</v>
      </c>
      <c r="Y9" s="7">
        <v>0</v>
      </c>
      <c r="Z9" s="7">
        <v>0</v>
      </c>
      <c r="AA9" s="7">
        <v>8739.9240000000009</v>
      </c>
      <c r="AB9" s="7">
        <v>132925.67000000001</v>
      </c>
      <c r="AC9" s="7">
        <v>186920.84099999999</v>
      </c>
      <c r="AD9" s="7">
        <v>31851.558000000001</v>
      </c>
      <c r="AE9" s="7">
        <v>0</v>
      </c>
      <c r="AF9" s="7">
        <v>107859.557</v>
      </c>
      <c r="AG9" s="7">
        <v>13686.057000000001</v>
      </c>
      <c r="AH9" s="7">
        <v>6793.99</v>
      </c>
      <c r="AI9" s="7">
        <v>481555.25</v>
      </c>
      <c r="AJ9" s="7">
        <v>227476.889</v>
      </c>
      <c r="AK9" s="7">
        <v>27225.772000000001</v>
      </c>
      <c r="AL9" s="7">
        <v>1406087.8089999999</v>
      </c>
      <c r="AM9" s="7">
        <v>441239.446</v>
      </c>
      <c r="AN9" s="7">
        <v>212261.717</v>
      </c>
      <c r="AO9" s="7">
        <v>4093182.8990000002</v>
      </c>
      <c r="AP9" s="7">
        <v>123190.20699999999</v>
      </c>
      <c r="AQ9" s="7">
        <v>53324.084999999999</v>
      </c>
      <c r="AR9" s="7">
        <v>2628213.162</v>
      </c>
      <c r="AS9" s="7">
        <v>0</v>
      </c>
      <c r="AT9" s="7">
        <v>1213855.906</v>
      </c>
      <c r="AU9" s="7">
        <v>1031.903</v>
      </c>
      <c r="AV9" s="7">
        <v>2838.4409999999998</v>
      </c>
      <c r="AW9" s="7">
        <v>0</v>
      </c>
      <c r="AX9" s="7">
        <v>64259.864000000001</v>
      </c>
      <c r="AY9" s="7">
        <v>0</v>
      </c>
      <c r="AZ9" s="7">
        <v>256.488</v>
      </c>
      <c r="BA9" s="7">
        <v>0</v>
      </c>
      <c r="BB9" s="7">
        <v>2054.6080000000002</v>
      </c>
      <c r="BC9" s="7">
        <v>0</v>
      </c>
      <c r="BD9" s="7">
        <v>0</v>
      </c>
      <c r="BE9" s="7">
        <v>51059.146999999997</v>
      </c>
      <c r="BF9" s="21"/>
    </row>
    <row r="10" spans="1:58" ht="15.75" x14ac:dyDescent="0.25">
      <c r="A10" s="5" t="s">
        <v>9</v>
      </c>
      <c r="B10" s="5" t="s">
        <v>10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21"/>
    </row>
    <row r="11" spans="1:58" ht="15.75" x14ac:dyDescent="0.25">
      <c r="A11" s="5" t="s">
        <v>11</v>
      </c>
      <c r="B11" s="5" t="s">
        <v>12</v>
      </c>
      <c r="C11" s="7">
        <v>1</v>
      </c>
      <c r="D11" s="7">
        <v>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21"/>
    </row>
    <row r="12" spans="1:58" ht="15.75" x14ac:dyDescent="0.25">
      <c r="A12" s="5" t="s">
        <v>13</v>
      </c>
      <c r="B12" s="5" t="s">
        <v>14</v>
      </c>
      <c r="C12" s="7">
        <v>1</v>
      </c>
      <c r="D12" s="7">
        <v>1</v>
      </c>
      <c r="E12" s="7">
        <v>33608.733</v>
      </c>
      <c r="F12" s="7">
        <v>7849.9830000000002</v>
      </c>
      <c r="G12" s="7">
        <v>2253.1460000000002</v>
      </c>
      <c r="H12" s="7">
        <v>481.81400000000002</v>
      </c>
      <c r="I12" s="7">
        <v>737.95699999999999</v>
      </c>
      <c r="J12" s="7">
        <v>1980.087</v>
      </c>
      <c r="K12" s="7">
        <v>38390.237999999998</v>
      </c>
      <c r="L12" s="7">
        <v>7780.3220000000001</v>
      </c>
      <c r="M12" s="7">
        <v>0</v>
      </c>
      <c r="N12" s="7">
        <v>13789.933000000001</v>
      </c>
      <c r="O12" s="7">
        <v>93722.214000000007</v>
      </c>
      <c r="P12" s="7">
        <v>11136.15</v>
      </c>
      <c r="Q12" s="7">
        <v>0</v>
      </c>
      <c r="R12" s="7">
        <v>14.294</v>
      </c>
      <c r="S12" s="7">
        <v>2.5019999999999998</v>
      </c>
      <c r="T12" s="7">
        <v>32.340000000000003</v>
      </c>
      <c r="U12" s="7">
        <v>29.064</v>
      </c>
      <c r="V12" s="7">
        <v>2479.7739999999999</v>
      </c>
      <c r="W12" s="7">
        <v>0</v>
      </c>
      <c r="X12" s="7">
        <v>309.70400000000001</v>
      </c>
      <c r="Y12" s="7">
        <v>0</v>
      </c>
      <c r="Z12" s="7">
        <v>183.90899999999999</v>
      </c>
      <c r="AA12" s="7">
        <v>1193.4760000000001</v>
      </c>
      <c r="AB12" s="7">
        <v>445.92099999999999</v>
      </c>
      <c r="AC12" s="7">
        <v>15094.177</v>
      </c>
      <c r="AD12" s="7">
        <v>839.05899999999997</v>
      </c>
      <c r="AE12" s="7">
        <v>2431.7950000000001</v>
      </c>
      <c r="AF12" s="7">
        <v>387.34899999999999</v>
      </c>
      <c r="AG12" s="7">
        <v>1254.4860000000001</v>
      </c>
      <c r="AH12" s="7">
        <v>111.054</v>
      </c>
      <c r="AI12" s="7">
        <v>36855.845000000001</v>
      </c>
      <c r="AJ12" s="7">
        <v>15878.629000000001</v>
      </c>
      <c r="AK12" s="7">
        <v>369.738</v>
      </c>
      <c r="AL12" s="7">
        <v>118819.54300000001</v>
      </c>
      <c r="AM12" s="7">
        <v>30860.577000000001</v>
      </c>
      <c r="AN12" s="7">
        <v>5505.4070000000002</v>
      </c>
      <c r="AO12" s="7">
        <v>118308.33</v>
      </c>
      <c r="AP12" s="7">
        <v>881.303</v>
      </c>
      <c r="AQ12" s="7">
        <v>594.30700000000002</v>
      </c>
      <c r="AR12" s="7">
        <v>75965.197</v>
      </c>
      <c r="AS12" s="7">
        <v>0</v>
      </c>
      <c r="AT12" s="7">
        <v>35084.985999999997</v>
      </c>
      <c r="AU12" s="7">
        <v>91.911000000000001</v>
      </c>
      <c r="AV12" s="7">
        <v>24.379000000000001</v>
      </c>
      <c r="AW12" s="7">
        <v>0</v>
      </c>
      <c r="AX12" s="7">
        <v>4456.277</v>
      </c>
      <c r="AY12" s="7">
        <v>0</v>
      </c>
      <c r="AZ12" s="7">
        <v>22.885000000000002</v>
      </c>
      <c r="BA12" s="7">
        <v>0</v>
      </c>
      <c r="BB12" s="7">
        <v>246.464</v>
      </c>
      <c r="BC12" s="7">
        <v>0</v>
      </c>
      <c r="BD12" s="7">
        <v>0</v>
      </c>
      <c r="BE12" s="7">
        <v>4406.8459999999995</v>
      </c>
      <c r="BF12" s="21"/>
    </row>
    <row r="13" spans="1:58" ht="15.75" x14ac:dyDescent="0.25">
      <c r="A13" s="5" t="s">
        <v>3</v>
      </c>
      <c r="B13" s="5" t="s">
        <v>15</v>
      </c>
      <c r="C13" s="7">
        <v>1</v>
      </c>
      <c r="D13" s="7">
        <v>1</v>
      </c>
      <c r="E13" s="7">
        <v>18.991</v>
      </c>
      <c r="F13" s="7">
        <v>4.6920000000000002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5.3049999999999997</v>
      </c>
      <c r="M13" s="7">
        <v>0</v>
      </c>
      <c r="N13" s="7">
        <v>14.92</v>
      </c>
      <c r="O13" s="7">
        <v>151.16900000000001</v>
      </c>
      <c r="P13" s="7">
        <v>5.915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10.356999999999999</v>
      </c>
      <c r="AJ13" s="7">
        <v>1.542</v>
      </c>
      <c r="AK13" s="7">
        <v>0</v>
      </c>
      <c r="AL13" s="7">
        <v>97.066999999999993</v>
      </c>
      <c r="AM13" s="7">
        <v>1.0449999999999999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21"/>
    </row>
    <row r="14" spans="1:58" ht="15.75" x14ac:dyDescent="0.25">
      <c r="A14" s="5" t="s">
        <v>16</v>
      </c>
      <c r="B14" s="5" t="s">
        <v>17</v>
      </c>
      <c r="C14" s="7">
        <v>1</v>
      </c>
      <c r="D14" s="7">
        <v>1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21"/>
    </row>
    <row r="15" spans="1:58" ht="15.75" x14ac:dyDescent="0.25">
      <c r="A15" s="5" t="s">
        <v>18</v>
      </c>
      <c r="B15" s="5" t="s">
        <v>19</v>
      </c>
      <c r="C15" s="7">
        <v>2</v>
      </c>
      <c r="D15" s="7">
        <v>2</v>
      </c>
      <c r="E15" s="7">
        <v>655729.96400000004</v>
      </c>
      <c r="F15" s="7">
        <v>61807.105000000003</v>
      </c>
      <c r="G15" s="7">
        <v>173193.378</v>
      </c>
      <c r="H15" s="7">
        <v>0</v>
      </c>
      <c r="I15" s="7">
        <v>23926.147000000001</v>
      </c>
      <c r="J15" s="7">
        <v>120925.061</v>
      </c>
      <c r="K15" s="7">
        <v>292573.45899999997</v>
      </c>
      <c r="L15" s="7">
        <v>65046.862000000001</v>
      </c>
      <c r="M15" s="7">
        <v>0</v>
      </c>
      <c r="N15" s="7">
        <v>282728.56400000001</v>
      </c>
      <c r="O15" s="7">
        <v>202313.14199999999</v>
      </c>
      <c r="P15" s="7">
        <v>270777.38900000002</v>
      </c>
      <c r="Q15" s="7">
        <v>0</v>
      </c>
      <c r="R15" s="7">
        <v>0</v>
      </c>
      <c r="S15" s="7">
        <v>18105.848999999998</v>
      </c>
      <c r="T15" s="7">
        <v>561.78300000000002</v>
      </c>
      <c r="U15" s="7">
        <v>1751.634</v>
      </c>
      <c r="V15" s="7">
        <v>19272.441999999999</v>
      </c>
      <c r="W15" s="7">
        <v>0</v>
      </c>
      <c r="X15" s="7">
        <v>1732.0540000000001</v>
      </c>
      <c r="Y15" s="7">
        <v>0</v>
      </c>
      <c r="Z15" s="7">
        <v>9133.5239999999994</v>
      </c>
      <c r="AA15" s="7">
        <v>20856.88</v>
      </c>
      <c r="AB15" s="7">
        <v>0</v>
      </c>
      <c r="AC15" s="7">
        <v>106341.512</v>
      </c>
      <c r="AD15" s="7">
        <v>0</v>
      </c>
      <c r="AE15" s="7">
        <v>117829.269</v>
      </c>
      <c r="AF15" s="7">
        <v>0</v>
      </c>
      <c r="AG15" s="7">
        <v>7498.1310000000003</v>
      </c>
      <c r="AH15" s="7">
        <v>2934.6370000000002</v>
      </c>
      <c r="AI15" s="7">
        <v>288972.80200000003</v>
      </c>
      <c r="AJ15" s="7">
        <v>0</v>
      </c>
      <c r="AK15" s="7">
        <v>7948.2659999999996</v>
      </c>
      <c r="AL15" s="7">
        <v>698363.00100000005</v>
      </c>
      <c r="AM15" s="7">
        <v>0</v>
      </c>
      <c r="AN15" s="7">
        <v>0</v>
      </c>
      <c r="AO15" s="7">
        <v>0</v>
      </c>
      <c r="AP15" s="7">
        <v>13319.402</v>
      </c>
      <c r="AQ15" s="7">
        <v>13583.288</v>
      </c>
      <c r="AR15" s="7">
        <v>0</v>
      </c>
      <c r="AS15" s="7">
        <v>0</v>
      </c>
      <c r="AT15" s="7">
        <v>0</v>
      </c>
      <c r="AU15" s="7">
        <v>581.40200000000004</v>
      </c>
      <c r="AV15" s="7">
        <v>477.15199999999999</v>
      </c>
      <c r="AW15" s="7">
        <v>0</v>
      </c>
      <c r="AX15" s="7">
        <v>0</v>
      </c>
      <c r="AY15" s="7">
        <v>0</v>
      </c>
      <c r="AZ15" s="7">
        <v>490.44400000000002</v>
      </c>
      <c r="BA15" s="7">
        <v>0</v>
      </c>
      <c r="BB15" s="7">
        <v>14063.557000000001</v>
      </c>
      <c r="BC15" s="7">
        <v>0</v>
      </c>
      <c r="BD15" s="7">
        <v>0</v>
      </c>
      <c r="BE15" s="7">
        <v>0</v>
      </c>
      <c r="BF15" s="21"/>
    </row>
    <row r="16" spans="1:58" ht="15.75" x14ac:dyDescent="0.25">
      <c r="A16" s="5" t="s">
        <v>20</v>
      </c>
      <c r="B16" s="5" t="s">
        <v>21</v>
      </c>
      <c r="C16" s="7">
        <v>2</v>
      </c>
      <c r="D16" s="7">
        <v>2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21"/>
    </row>
    <row r="17" spans="1:58" ht="15.75" x14ac:dyDescent="0.25">
      <c r="A17" s="5" t="s">
        <v>22</v>
      </c>
      <c r="B17" s="5" t="s">
        <v>23</v>
      </c>
      <c r="C17" s="7">
        <v>2</v>
      </c>
      <c r="D17" s="7">
        <v>2</v>
      </c>
      <c r="E17" s="7">
        <v>614777.00399999996</v>
      </c>
      <c r="F17" s="7">
        <v>57947.004000000001</v>
      </c>
      <c r="G17" s="7">
        <v>163025.573</v>
      </c>
      <c r="H17" s="7">
        <v>0</v>
      </c>
      <c r="I17" s="7">
        <v>22431.863000000001</v>
      </c>
      <c r="J17" s="7">
        <v>113523.53599999999</v>
      </c>
      <c r="K17" s="7">
        <v>274301.076</v>
      </c>
      <c r="L17" s="7">
        <v>68607.278999999995</v>
      </c>
      <c r="M17" s="7">
        <v>0</v>
      </c>
      <c r="N17" s="7">
        <v>265071.03399999999</v>
      </c>
      <c r="O17" s="7">
        <v>189677.87700000001</v>
      </c>
      <c r="P17" s="7">
        <v>253866.258</v>
      </c>
      <c r="Q17" s="7">
        <v>12163.54</v>
      </c>
      <c r="R17" s="7">
        <v>0</v>
      </c>
      <c r="S17" s="7">
        <v>0</v>
      </c>
      <c r="T17" s="7">
        <v>961.93299999999999</v>
      </c>
      <c r="U17" s="7">
        <v>2999.2939999999999</v>
      </c>
      <c r="V17" s="7">
        <v>18068.800999999999</v>
      </c>
      <c r="W17" s="7">
        <v>0</v>
      </c>
      <c r="X17" s="7">
        <v>2965.768</v>
      </c>
      <c r="Y17" s="7">
        <v>0</v>
      </c>
      <c r="Z17" s="7">
        <v>8563.0990000000002</v>
      </c>
      <c r="AA17" s="7">
        <v>24502.078000000001</v>
      </c>
      <c r="AB17" s="7">
        <v>0</v>
      </c>
      <c r="AC17" s="7">
        <v>99700.058999999994</v>
      </c>
      <c r="AD17" s="7">
        <v>0</v>
      </c>
      <c r="AE17" s="7">
        <v>110470.359</v>
      </c>
      <c r="AF17" s="7">
        <v>0</v>
      </c>
      <c r="AG17" s="7">
        <v>7029.8429999999998</v>
      </c>
      <c r="AH17" s="7">
        <v>2751.357</v>
      </c>
      <c r="AI17" s="7">
        <v>270925.29399999999</v>
      </c>
      <c r="AJ17" s="7">
        <v>0</v>
      </c>
      <c r="AK17" s="7">
        <v>7451.8649999999998</v>
      </c>
      <c r="AL17" s="7">
        <v>654669.95299999998</v>
      </c>
      <c r="AM17" s="7">
        <v>0</v>
      </c>
      <c r="AN17" s="7">
        <v>0</v>
      </c>
      <c r="AO17" s="7">
        <v>0</v>
      </c>
      <c r="AP17" s="7">
        <v>22806.597000000002</v>
      </c>
      <c r="AQ17" s="7">
        <v>23258.445</v>
      </c>
      <c r="AR17" s="7">
        <v>0</v>
      </c>
      <c r="AS17" s="7">
        <v>0</v>
      </c>
      <c r="AT17" s="7">
        <v>0</v>
      </c>
      <c r="AU17" s="7">
        <v>545.09100000000001</v>
      </c>
      <c r="AV17" s="7">
        <v>817.01900000000001</v>
      </c>
      <c r="AW17" s="7">
        <v>0</v>
      </c>
      <c r="AX17" s="7">
        <v>0</v>
      </c>
      <c r="AY17" s="7">
        <v>0</v>
      </c>
      <c r="AZ17" s="7">
        <v>459.81400000000002</v>
      </c>
      <c r="BA17" s="7">
        <v>0</v>
      </c>
      <c r="BB17" s="7">
        <v>10838.632</v>
      </c>
      <c r="BC17" s="7">
        <v>0</v>
      </c>
      <c r="BD17" s="7">
        <v>0</v>
      </c>
      <c r="BE17" s="7">
        <v>0</v>
      </c>
      <c r="BF17" s="21"/>
    </row>
    <row r="18" spans="1:58" ht="15.75" x14ac:dyDescent="0.25">
      <c r="A18" s="5" t="s">
        <v>24</v>
      </c>
      <c r="B18" s="5" t="s">
        <v>25</v>
      </c>
      <c r="C18" s="7">
        <v>2</v>
      </c>
      <c r="D18" s="7">
        <v>2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13053.837</v>
      </c>
      <c r="N18" s="7">
        <v>0</v>
      </c>
      <c r="O18" s="7">
        <v>0</v>
      </c>
      <c r="P18" s="7">
        <v>0</v>
      </c>
      <c r="Q18" s="7">
        <v>276.47699999999998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9993.68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1780.319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6.944</v>
      </c>
      <c r="BC18" s="7">
        <v>0</v>
      </c>
      <c r="BD18" s="7">
        <v>0</v>
      </c>
      <c r="BE18" s="7">
        <v>0</v>
      </c>
      <c r="BF18" s="21"/>
    </row>
    <row r="19" spans="1:58" ht="15.75" x14ac:dyDescent="0.25">
      <c r="A19" s="5" t="s">
        <v>26</v>
      </c>
      <c r="B19" s="5" t="s">
        <v>27</v>
      </c>
      <c r="C19" s="7">
        <v>2</v>
      </c>
      <c r="D19" s="7">
        <v>2</v>
      </c>
      <c r="E19" s="7">
        <v>70042.187999999995</v>
      </c>
      <c r="F19" s="7">
        <v>16858.306</v>
      </c>
      <c r="G19" s="7">
        <v>2583.9479999999999</v>
      </c>
      <c r="H19" s="7">
        <v>0</v>
      </c>
      <c r="I19" s="7">
        <v>1288.7170000000001</v>
      </c>
      <c r="J19" s="7">
        <v>1809.9069999999999</v>
      </c>
      <c r="K19" s="7">
        <v>92437.481</v>
      </c>
      <c r="L19" s="7">
        <v>8255.6710000000003</v>
      </c>
      <c r="M19" s="7">
        <v>225953.91699999999</v>
      </c>
      <c r="N19" s="7">
        <v>13174.989</v>
      </c>
      <c r="O19" s="7">
        <v>207378.06099999999</v>
      </c>
      <c r="P19" s="7">
        <v>16218.017</v>
      </c>
      <c r="Q19" s="7">
        <v>553.98</v>
      </c>
      <c r="R19" s="7">
        <v>0</v>
      </c>
      <c r="S19" s="7">
        <v>3.0179999999999998</v>
      </c>
      <c r="T19" s="7">
        <v>0</v>
      </c>
      <c r="U19" s="7">
        <v>0</v>
      </c>
      <c r="V19" s="7">
        <v>4990.2809999999999</v>
      </c>
      <c r="W19" s="7">
        <v>2814.1410000000001</v>
      </c>
      <c r="X19" s="7">
        <v>0</v>
      </c>
      <c r="Y19" s="7">
        <v>172984.48300000001</v>
      </c>
      <c r="Z19" s="7">
        <v>136.863</v>
      </c>
      <c r="AA19" s="7">
        <v>1822.154</v>
      </c>
      <c r="AB19" s="7">
        <v>0</v>
      </c>
      <c r="AC19" s="7">
        <v>35725.838000000003</v>
      </c>
      <c r="AD19" s="7">
        <v>0</v>
      </c>
      <c r="AE19" s="7">
        <v>1765.6410000000001</v>
      </c>
      <c r="AF19" s="7">
        <v>10.465</v>
      </c>
      <c r="AG19" s="7">
        <v>2629.8870000000002</v>
      </c>
      <c r="AH19" s="7">
        <v>43.975000000000001</v>
      </c>
      <c r="AI19" s="7">
        <v>92444.906000000003</v>
      </c>
      <c r="AJ19" s="7">
        <v>41643.879000000001</v>
      </c>
      <c r="AK19" s="7">
        <v>119.10299999999999</v>
      </c>
      <c r="AL19" s="7">
        <v>269311.598</v>
      </c>
      <c r="AM19" s="7">
        <v>80931.043000000005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30816.231</v>
      </c>
      <c r="AT19" s="7">
        <v>0</v>
      </c>
      <c r="AU19" s="7">
        <v>193.285</v>
      </c>
      <c r="AV19" s="7">
        <v>0</v>
      </c>
      <c r="AW19" s="7">
        <v>0</v>
      </c>
      <c r="AX19" s="7">
        <v>11718.598</v>
      </c>
      <c r="AY19" s="7">
        <v>0</v>
      </c>
      <c r="AZ19" s="7">
        <v>54.393999999999998</v>
      </c>
      <c r="BA19" s="7">
        <v>0</v>
      </c>
      <c r="BB19" s="7">
        <v>2269.5300000000002</v>
      </c>
      <c r="BC19" s="7">
        <v>0</v>
      </c>
      <c r="BD19" s="7">
        <v>0</v>
      </c>
      <c r="BE19" s="7">
        <v>8821.777</v>
      </c>
      <c r="BF19" s="21"/>
    </row>
    <row r="20" spans="1:58" ht="15.75" x14ac:dyDescent="0.25">
      <c r="A20" s="5" t="s">
        <v>28</v>
      </c>
      <c r="B20" s="5" t="s">
        <v>29</v>
      </c>
      <c r="C20" s="7">
        <v>6</v>
      </c>
      <c r="D20" s="7">
        <v>6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21"/>
    </row>
    <row r="21" spans="1:58" ht="15.75" x14ac:dyDescent="0.25">
      <c r="A21" s="5" t="s">
        <v>30</v>
      </c>
      <c r="B21" s="5" t="s">
        <v>31</v>
      </c>
      <c r="C21" s="7">
        <v>5</v>
      </c>
      <c r="D21" s="7">
        <v>5</v>
      </c>
      <c r="E21" s="7">
        <v>0</v>
      </c>
      <c r="F21" s="7">
        <v>0</v>
      </c>
      <c r="G21" s="7">
        <v>0</v>
      </c>
      <c r="H21" s="7">
        <v>916525.06799999997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21"/>
    </row>
    <row r="22" spans="1:58" ht="15.75" x14ac:dyDescent="0.25">
      <c r="A22" s="5" t="s">
        <v>32</v>
      </c>
      <c r="B22" s="5" t="s">
        <v>33</v>
      </c>
      <c r="C22" s="7">
        <v>2</v>
      </c>
      <c r="D22" s="7">
        <v>2</v>
      </c>
      <c r="E22" s="7">
        <v>3095.9520000000002</v>
      </c>
      <c r="F22" s="7">
        <v>0</v>
      </c>
      <c r="G22" s="7">
        <v>1762.7049999999999</v>
      </c>
      <c r="H22" s="7">
        <v>0</v>
      </c>
      <c r="I22" s="7">
        <v>0</v>
      </c>
      <c r="J22" s="7">
        <v>1352.4760000000001</v>
      </c>
      <c r="K22" s="7">
        <v>0</v>
      </c>
      <c r="L22" s="7">
        <v>1168.4760000000001</v>
      </c>
      <c r="M22" s="7">
        <v>0</v>
      </c>
      <c r="N22" s="7">
        <v>4136.6509999999998</v>
      </c>
      <c r="O22" s="7">
        <v>4301.0010000000002</v>
      </c>
      <c r="P22" s="7">
        <v>1288.377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801.23</v>
      </c>
      <c r="AJ22" s="7">
        <v>0</v>
      </c>
      <c r="AK22" s="7">
        <v>0</v>
      </c>
      <c r="AL22" s="7">
        <v>4044.6080000000002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21"/>
    </row>
    <row r="23" spans="1:58" ht="15.75" x14ac:dyDescent="0.25">
      <c r="A23" s="5" t="s">
        <v>34</v>
      </c>
      <c r="B23" s="5" t="s">
        <v>35</v>
      </c>
      <c r="C23" s="7">
        <v>2</v>
      </c>
      <c r="D23" s="7">
        <v>2</v>
      </c>
      <c r="E23" s="7">
        <v>65587.012000000002</v>
      </c>
      <c r="F23" s="7">
        <v>10121.528</v>
      </c>
      <c r="G23" s="7">
        <v>19659.348000000002</v>
      </c>
      <c r="H23" s="7">
        <v>0</v>
      </c>
      <c r="I23" s="7">
        <v>2857.06</v>
      </c>
      <c r="J23" s="7">
        <v>13093.978999999999</v>
      </c>
      <c r="K23" s="7">
        <v>49799.790999999997</v>
      </c>
      <c r="L23" s="7">
        <v>9746.7739999999994</v>
      </c>
      <c r="M23" s="7">
        <v>0</v>
      </c>
      <c r="N23" s="7">
        <v>29935.699000000001</v>
      </c>
      <c r="O23" s="7">
        <v>43894.379000000001</v>
      </c>
      <c r="P23" s="7">
        <v>34329.993999999999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3185.0720000000001</v>
      </c>
      <c r="W23" s="7">
        <v>0</v>
      </c>
      <c r="X23" s="7">
        <v>0</v>
      </c>
      <c r="Y23" s="7">
        <v>0</v>
      </c>
      <c r="Z23" s="7">
        <v>1222.56</v>
      </c>
      <c r="AA23" s="7">
        <v>2501.9560000000001</v>
      </c>
      <c r="AB23" s="7">
        <v>0</v>
      </c>
      <c r="AC23" s="7">
        <v>12768.222</v>
      </c>
      <c r="AD23" s="7">
        <v>0</v>
      </c>
      <c r="AE23" s="7">
        <v>13691.044</v>
      </c>
      <c r="AF23" s="7">
        <v>0</v>
      </c>
      <c r="AG23" s="7">
        <v>1425.133</v>
      </c>
      <c r="AH23" s="7">
        <v>192.89</v>
      </c>
      <c r="AI23" s="7">
        <v>36629.951999999997</v>
      </c>
      <c r="AJ23" s="7">
        <v>0</v>
      </c>
      <c r="AK23" s="7">
        <v>522.42899999999997</v>
      </c>
      <c r="AL23" s="7">
        <v>109256.685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93.855000000000004</v>
      </c>
      <c r="AV23" s="7">
        <v>0</v>
      </c>
      <c r="AW23" s="7">
        <v>0</v>
      </c>
      <c r="AX23" s="7">
        <v>0</v>
      </c>
      <c r="AY23" s="7">
        <v>0</v>
      </c>
      <c r="AZ23" s="7">
        <v>35.284999999999997</v>
      </c>
      <c r="BA23" s="7">
        <v>0</v>
      </c>
      <c r="BB23" s="7">
        <v>1855.739</v>
      </c>
      <c r="BC23" s="7">
        <v>0</v>
      </c>
      <c r="BD23" s="7">
        <v>0</v>
      </c>
      <c r="BE23" s="7">
        <v>34518.483999999997</v>
      </c>
      <c r="BF23" s="21"/>
    </row>
    <row r="24" spans="1:58" ht="15.75" x14ac:dyDescent="0.25">
      <c r="A24" s="5" t="s">
        <v>36</v>
      </c>
      <c r="B24" s="5" t="s">
        <v>37</v>
      </c>
      <c r="C24" s="7">
        <v>6</v>
      </c>
      <c r="D24" s="7">
        <v>6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21"/>
    </row>
    <row r="25" spans="1:58" ht="15.75" x14ac:dyDescent="0.25">
      <c r="A25" s="5" t="s">
        <v>38</v>
      </c>
      <c r="B25" s="5" t="s">
        <v>39</v>
      </c>
      <c r="C25" s="7">
        <v>6</v>
      </c>
      <c r="D25" s="7">
        <v>6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21"/>
    </row>
    <row r="26" spans="1:58" ht="15.75" x14ac:dyDescent="0.25">
      <c r="A26" s="5" t="s">
        <v>40</v>
      </c>
      <c r="B26" s="5" t="s">
        <v>41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21"/>
    </row>
    <row r="27" spans="1:58" ht="15.75" x14ac:dyDescent="0.25">
      <c r="A27" s="5" t="s">
        <v>42</v>
      </c>
      <c r="B27" s="5" t="s">
        <v>43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21"/>
    </row>
    <row r="28" spans="1:58" ht="15.75" x14ac:dyDescent="0.25">
      <c r="A28" s="5" t="s">
        <v>44</v>
      </c>
      <c r="B28" s="5" t="s">
        <v>45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21"/>
    </row>
    <row r="29" spans="1:58" ht="15.75" x14ac:dyDescent="0.25">
      <c r="A29" s="5" t="s">
        <v>46</v>
      </c>
      <c r="B29" s="5" t="s">
        <v>47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21"/>
    </row>
    <row r="30" spans="1:58" ht="15.75" x14ac:dyDescent="0.25">
      <c r="A30" s="5" t="s">
        <v>48</v>
      </c>
      <c r="B30" s="5" t="s">
        <v>49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21"/>
    </row>
    <row r="31" spans="1:58" ht="15.75" x14ac:dyDescent="0.25">
      <c r="A31" s="5" t="s">
        <v>50</v>
      </c>
      <c r="B31" s="5" t="s">
        <v>51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21"/>
    </row>
    <row r="32" spans="1:58" ht="15.75" x14ac:dyDescent="0.25">
      <c r="A32" s="5" t="s">
        <v>52</v>
      </c>
      <c r="B32" s="5" t="s">
        <v>53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21"/>
    </row>
    <row r="33" spans="1:58" ht="15.75" x14ac:dyDescent="0.25">
      <c r="A33" s="5" t="s">
        <v>54</v>
      </c>
      <c r="B33" s="5" t="s">
        <v>55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21"/>
    </row>
    <row r="34" spans="1:58" ht="15.75" x14ac:dyDescent="0.25">
      <c r="A34" s="5" t="s">
        <v>56</v>
      </c>
      <c r="B34" s="5" t="s">
        <v>57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4568.7110000000002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3497.6869999999999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623.09400000000005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21"/>
    </row>
    <row r="35" spans="1:58" ht="15.75" x14ac:dyDescent="0.25">
      <c r="A35" s="5" t="s">
        <v>58</v>
      </c>
      <c r="B35" s="5" t="s">
        <v>59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21"/>
    </row>
    <row r="36" spans="1:58" ht="15.75" x14ac:dyDescent="0.25">
      <c r="A36" s="5" t="s">
        <v>60</v>
      </c>
      <c r="B36" s="5" t="s">
        <v>61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21"/>
    </row>
    <row r="37" spans="1:58" ht="15.75" x14ac:dyDescent="0.25">
      <c r="A37" s="5" t="s">
        <v>62</v>
      </c>
      <c r="B37" s="5" t="s">
        <v>63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21"/>
    </row>
    <row r="38" spans="1:58" ht="15.75" x14ac:dyDescent="0.25">
      <c r="A38" s="5" t="s">
        <v>64</v>
      </c>
      <c r="B38" s="5" t="s">
        <v>65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21"/>
    </row>
    <row r="39" spans="1:58" ht="15.75" x14ac:dyDescent="0.25">
      <c r="A39" s="5" t="s">
        <v>66</v>
      </c>
      <c r="B39" s="5" t="s">
        <v>67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21"/>
    </row>
    <row r="40" spans="1:58" ht="15.75" x14ac:dyDescent="0.25">
      <c r="A40" s="5" t="s">
        <v>68</v>
      </c>
      <c r="B40" s="5" t="s">
        <v>69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21"/>
    </row>
    <row r="41" spans="1:58" ht="15.75" x14ac:dyDescent="0.25">
      <c r="A41" s="5" t="s">
        <v>70</v>
      </c>
      <c r="B41" s="5" t="s">
        <v>71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21"/>
    </row>
    <row r="42" spans="1:58" ht="15.75" x14ac:dyDescent="0.25">
      <c r="A42" s="5" t="s">
        <v>72</v>
      </c>
      <c r="B42" s="5" t="s">
        <v>73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21"/>
    </row>
    <row r="43" spans="1:58" ht="15.75" x14ac:dyDescent="0.25">
      <c r="A43" s="5" t="s">
        <v>74</v>
      </c>
      <c r="B43" s="5" t="s">
        <v>75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21"/>
    </row>
    <row r="44" spans="1:58" ht="15.75" x14ac:dyDescent="0.25">
      <c r="A44" s="5" t="s">
        <v>76</v>
      </c>
      <c r="B44" s="5" t="s">
        <v>77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21"/>
    </row>
    <row r="45" spans="1:58" ht="15.75" x14ac:dyDescent="0.25">
      <c r="A45" s="5" t="s">
        <v>78</v>
      </c>
      <c r="B45" s="5" t="s">
        <v>79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21"/>
    </row>
    <row r="46" spans="1:58" ht="15.75" x14ac:dyDescent="0.25">
      <c r="A46" s="5" t="s">
        <v>80</v>
      </c>
      <c r="B46" s="5" t="s">
        <v>81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21"/>
    </row>
    <row r="47" spans="1:58" ht="15.75" x14ac:dyDescent="0.25">
      <c r="A47" s="5" t="s">
        <v>82</v>
      </c>
      <c r="B47" s="5" t="s">
        <v>83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21"/>
    </row>
    <row r="48" spans="1:58" ht="15.75" x14ac:dyDescent="0.25">
      <c r="A48" s="5" t="s">
        <v>84</v>
      </c>
      <c r="B48" s="5" t="s">
        <v>85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21"/>
    </row>
    <row r="49" spans="1:58" ht="15.75" x14ac:dyDescent="0.25">
      <c r="A49" s="5" t="s">
        <v>86</v>
      </c>
      <c r="B49" s="5" t="s">
        <v>87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21"/>
    </row>
    <row r="50" spans="1:58" ht="15.75" x14ac:dyDescent="0.25">
      <c r="A50" s="5" t="s">
        <v>88</v>
      </c>
      <c r="B50" s="5" t="s">
        <v>89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21"/>
    </row>
    <row r="51" spans="1:58" ht="15.75" x14ac:dyDescent="0.25">
      <c r="A51" s="5" t="s">
        <v>90</v>
      </c>
      <c r="B51" s="5" t="s">
        <v>91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21"/>
    </row>
    <row r="52" spans="1:58" ht="15.75" x14ac:dyDescent="0.25">
      <c r="A52" s="5" t="s">
        <v>92</v>
      </c>
      <c r="B52" s="5" t="s">
        <v>93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21"/>
    </row>
    <row r="53" spans="1:58" ht="15.75" x14ac:dyDescent="0.25">
      <c r="A53" s="5" t="s">
        <v>94</v>
      </c>
      <c r="B53" s="5" t="s">
        <v>95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21"/>
    </row>
    <row r="54" spans="1:58" ht="15.75" x14ac:dyDescent="0.25">
      <c r="A54" s="5" t="s">
        <v>96</v>
      </c>
      <c r="B54" s="5" t="s">
        <v>97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21"/>
    </row>
    <row r="55" spans="1:58" ht="15.75" x14ac:dyDescent="0.25">
      <c r="A55" s="5" t="s">
        <v>98</v>
      </c>
      <c r="B55" s="5" t="s">
        <v>99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21"/>
    </row>
    <row r="56" spans="1:58" ht="15.75" x14ac:dyDescent="0.25">
      <c r="A56" s="5" t="s">
        <v>100</v>
      </c>
      <c r="B56" s="5" t="s">
        <v>101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21"/>
    </row>
    <row r="57" spans="1:58" ht="15.75" x14ac:dyDescent="0.25">
      <c r="A57" s="5" t="s">
        <v>102</v>
      </c>
      <c r="B57" s="5" t="s">
        <v>103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21"/>
    </row>
    <row r="58" spans="1:58" ht="15.75" x14ac:dyDescent="0.25">
      <c r="A58" s="5" t="s">
        <v>104</v>
      </c>
      <c r="B58" s="5" t="s">
        <v>105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21"/>
    </row>
    <row r="59" spans="1:58" ht="15.75" x14ac:dyDescent="0.25">
      <c r="A59" s="5" t="s">
        <v>106</v>
      </c>
      <c r="B59" s="5" t="s">
        <v>107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21"/>
    </row>
    <row r="60" spans="1:58" ht="15.75" x14ac:dyDescent="0.25">
      <c r="A60" s="5" t="s">
        <v>108</v>
      </c>
      <c r="B60" s="5" t="s">
        <v>109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21"/>
    </row>
    <row r="61" spans="1:58" ht="15.75" x14ac:dyDescent="0.25">
      <c r="A61" s="5" t="s">
        <v>110</v>
      </c>
      <c r="B61" s="5" t="s">
        <v>111</v>
      </c>
      <c r="C61" s="7">
        <v>3</v>
      </c>
      <c r="D61" s="7">
        <v>3</v>
      </c>
      <c r="E61" s="7">
        <v>617162.772</v>
      </c>
      <c r="F61" s="7">
        <v>82675.712</v>
      </c>
      <c r="G61" s="7">
        <v>247394.59</v>
      </c>
      <c r="H61" s="7">
        <v>7980.7920000000004</v>
      </c>
      <c r="I61" s="7">
        <v>18069.578000000001</v>
      </c>
      <c r="J61" s="7">
        <v>163983.98300000001</v>
      </c>
      <c r="K61" s="7">
        <v>122004.49</v>
      </c>
      <c r="L61" s="7">
        <v>176945.79199999999</v>
      </c>
      <c r="M61" s="7">
        <v>0</v>
      </c>
      <c r="N61" s="7">
        <v>398866.22399999999</v>
      </c>
      <c r="O61" s="7">
        <v>331346.174</v>
      </c>
      <c r="P61" s="7">
        <v>389594.58500000002</v>
      </c>
      <c r="Q61" s="7">
        <v>0</v>
      </c>
      <c r="R61" s="7">
        <v>0</v>
      </c>
      <c r="S61" s="7">
        <v>118.247</v>
      </c>
      <c r="T61" s="7">
        <v>1207.3900000000001</v>
      </c>
      <c r="U61" s="7">
        <v>5058.34</v>
      </c>
      <c r="V61" s="7">
        <v>34267.449999999997</v>
      </c>
      <c r="W61" s="7">
        <v>0</v>
      </c>
      <c r="X61" s="7">
        <v>8561.8179999999993</v>
      </c>
      <c r="Y61" s="7">
        <v>0</v>
      </c>
      <c r="Z61" s="7">
        <v>16276.148999999999</v>
      </c>
      <c r="AA61" s="7">
        <v>49158.798000000003</v>
      </c>
      <c r="AB61" s="7">
        <v>0</v>
      </c>
      <c r="AC61" s="7">
        <v>106756.27899999999</v>
      </c>
      <c r="AD61" s="7">
        <v>0</v>
      </c>
      <c r="AE61" s="7">
        <v>171451.47099999999</v>
      </c>
      <c r="AF61" s="7">
        <v>0</v>
      </c>
      <c r="AG61" s="7">
        <v>13417.876</v>
      </c>
      <c r="AH61" s="7">
        <v>870.87199999999996</v>
      </c>
      <c r="AI61" s="7">
        <v>223424.14199999999</v>
      </c>
      <c r="AJ61" s="7">
        <v>0</v>
      </c>
      <c r="AK61" s="7">
        <v>441.22899999999998</v>
      </c>
      <c r="AL61" s="7">
        <v>839716.36699999997</v>
      </c>
      <c r="AM61" s="7">
        <v>0</v>
      </c>
      <c r="AN61" s="7">
        <v>0</v>
      </c>
      <c r="AO61" s="7">
        <v>0</v>
      </c>
      <c r="AP61" s="7">
        <v>30324.339</v>
      </c>
      <c r="AQ61" s="7">
        <v>23019.011999999999</v>
      </c>
      <c r="AR61" s="7">
        <v>0</v>
      </c>
      <c r="AS61" s="7">
        <v>0</v>
      </c>
      <c r="AT61" s="7">
        <v>0</v>
      </c>
      <c r="AU61" s="7">
        <v>893.81200000000001</v>
      </c>
      <c r="AV61" s="7">
        <v>638.56299999999999</v>
      </c>
      <c r="AW61" s="7">
        <v>0</v>
      </c>
      <c r="AX61" s="7">
        <v>0</v>
      </c>
      <c r="AY61" s="7">
        <v>0</v>
      </c>
      <c r="AZ61" s="7">
        <v>238.99600000000001</v>
      </c>
      <c r="BA61" s="7">
        <v>0</v>
      </c>
      <c r="BB61" s="7">
        <v>10502.815000000001</v>
      </c>
      <c r="BC61" s="7">
        <v>0</v>
      </c>
      <c r="BD61" s="7">
        <v>0</v>
      </c>
      <c r="BE61" s="7">
        <v>0</v>
      </c>
      <c r="BF61" s="21"/>
    </row>
    <row r="62" spans="1:58" ht="15.75" x14ac:dyDescent="0.25">
      <c r="A62" s="5" t="s">
        <v>112</v>
      </c>
      <c r="B62" s="5" t="s">
        <v>113</v>
      </c>
      <c r="C62" s="7">
        <v>3</v>
      </c>
      <c r="D62" s="7">
        <v>3</v>
      </c>
      <c r="E62" s="7">
        <v>5083.4089999999997</v>
      </c>
      <c r="F62" s="7">
        <v>836.72299999999996</v>
      </c>
      <c r="G62" s="7">
        <v>1869.2460000000001</v>
      </c>
      <c r="H62" s="7">
        <v>0</v>
      </c>
      <c r="I62" s="7">
        <v>149.63800000000001</v>
      </c>
      <c r="J62" s="7">
        <v>1193.357</v>
      </c>
      <c r="K62" s="7">
        <v>1619.4760000000001</v>
      </c>
      <c r="L62" s="7">
        <v>1473.364</v>
      </c>
      <c r="M62" s="7">
        <v>0</v>
      </c>
      <c r="N62" s="7">
        <v>3381.578</v>
      </c>
      <c r="O62" s="7">
        <v>3655.89</v>
      </c>
      <c r="P62" s="7">
        <v>3299.096</v>
      </c>
      <c r="Q62" s="7">
        <v>0</v>
      </c>
      <c r="R62" s="7">
        <v>0</v>
      </c>
      <c r="S62" s="7">
        <v>0.39400000000000002</v>
      </c>
      <c r="T62" s="7">
        <v>120.776</v>
      </c>
      <c r="U62" s="7">
        <v>505.98700000000002</v>
      </c>
      <c r="V62" s="7">
        <v>360.65499999999997</v>
      </c>
      <c r="W62" s="7">
        <v>0</v>
      </c>
      <c r="X62" s="7">
        <v>856.44100000000003</v>
      </c>
      <c r="Y62" s="7">
        <v>0</v>
      </c>
      <c r="Z62" s="7">
        <v>145.821</v>
      </c>
      <c r="AA62" s="7">
        <v>367.92500000000001</v>
      </c>
      <c r="AB62" s="7">
        <v>0</v>
      </c>
      <c r="AC62" s="7">
        <v>1065.1189999999999</v>
      </c>
      <c r="AD62" s="7">
        <v>0</v>
      </c>
      <c r="AE62" s="7">
        <v>1137.796</v>
      </c>
      <c r="AF62" s="7">
        <v>0</v>
      </c>
      <c r="AG62" s="7">
        <v>141.97</v>
      </c>
      <c r="AH62" s="7">
        <v>0</v>
      </c>
      <c r="AI62" s="7">
        <v>1954.5840000000001</v>
      </c>
      <c r="AJ62" s="7">
        <v>0</v>
      </c>
      <c r="AK62" s="7">
        <v>0</v>
      </c>
      <c r="AL62" s="7">
        <v>6757.9089999999997</v>
      </c>
      <c r="AM62" s="7">
        <v>0</v>
      </c>
      <c r="AN62" s="7">
        <v>0</v>
      </c>
      <c r="AO62" s="7">
        <v>0</v>
      </c>
      <c r="AP62" s="7">
        <v>3033.3519999999999</v>
      </c>
      <c r="AQ62" s="7">
        <v>2302.598</v>
      </c>
      <c r="AR62" s="7">
        <v>0</v>
      </c>
      <c r="AS62" s="7">
        <v>0</v>
      </c>
      <c r="AT62" s="7">
        <v>0</v>
      </c>
      <c r="AU62" s="7">
        <v>5.77</v>
      </c>
      <c r="AV62" s="7">
        <v>63.875999999999998</v>
      </c>
      <c r="AW62" s="7">
        <v>0</v>
      </c>
      <c r="AX62" s="7">
        <v>0</v>
      </c>
      <c r="AY62" s="7">
        <v>0</v>
      </c>
      <c r="AZ62" s="7">
        <v>3.22</v>
      </c>
      <c r="BA62" s="7">
        <v>0</v>
      </c>
      <c r="BB62" s="7">
        <v>99.951999999999998</v>
      </c>
      <c r="BC62" s="7">
        <v>0</v>
      </c>
      <c r="BD62" s="7">
        <v>0</v>
      </c>
      <c r="BE62" s="7">
        <v>0</v>
      </c>
      <c r="BF62" s="21"/>
    </row>
    <row r="63" spans="1:58" ht="15.75" x14ac:dyDescent="0.25">
      <c r="A63" s="5" t="s">
        <v>114</v>
      </c>
      <c r="B63" s="5" t="s">
        <v>115</v>
      </c>
      <c r="C63" s="7">
        <v>3</v>
      </c>
      <c r="D63" s="7">
        <v>3</v>
      </c>
      <c r="E63" s="7">
        <v>124441.395</v>
      </c>
      <c r="F63" s="7">
        <v>17718.556</v>
      </c>
      <c r="G63" s="7">
        <v>48749.343999999997</v>
      </c>
      <c r="H63" s="7">
        <v>929</v>
      </c>
      <c r="I63" s="7">
        <v>3648.8620000000001</v>
      </c>
      <c r="J63" s="7">
        <v>32005.867999999999</v>
      </c>
      <c r="K63" s="7">
        <v>28736.718000000001</v>
      </c>
      <c r="L63" s="7">
        <v>35785.472000000002</v>
      </c>
      <c r="M63" s="7">
        <v>40143.442999999999</v>
      </c>
      <c r="N63" s="7">
        <v>81072.884000000005</v>
      </c>
      <c r="O63" s="7">
        <v>73048.043999999994</v>
      </c>
      <c r="P63" s="7">
        <v>79162.247000000003</v>
      </c>
      <c r="Q63" s="7">
        <v>952.66</v>
      </c>
      <c r="R63" s="7">
        <v>0</v>
      </c>
      <c r="S63" s="7">
        <v>19.940999999999999</v>
      </c>
      <c r="T63" s="7">
        <v>514.75699999999995</v>
      </c>
      <c r="U63" s="7">
        <v>2156.5650000000001</v>
      </c>
      <c r="V63" s="7">
        <v>7437.2060000000001</v>
      </c>
      <c r="W63" s="7">
        <v>0</v>
      </c>
      <c r="X63" s="7">
        <v>3650.232</v>
      </c>
      <c r="Y63" s="7">
        <v>30732.782999999999</v>
      </c>
      <c r="Z63" s="7">
        <v>3360.9810000000002</v>
      </c>
      <c r="AA63" s="7">
        <v>9663.1980000000003</v>
      </c>
      <c r="AB63" s="7">
        <v>0</v>
      </c>
      <c r="AC63" s="7">
        <v>22776.297999999999</v>
      </c>
      <c r="AD63" s="7">
        <v>0</v>
      </c>
      <c r="AE63" s="7">
        <v>32723.624</v>
      </c>
      <c r="AF63" s="7">
        <v>0</v>
      </c>
      <c r="AG63" s="7">
        <v>2917.194</v>
      </c>
      <c r="AH63" s="7">
        <v>0</v>
      </c>
      <c r="AI63" s="7">
        <v>45819.347999999998</v>
      </c>
      <c r="AJ63" s="7">
        <v>0</v>
      </c>
      <c r="AK63" s="7">
        <v>210.42400000000001</v>
      </c>
      <c r="AL63" s="7">
        <v>168248.321</v>
      </c>
      <c r="AM63" s="7">
        <v>0</v>
      </c>
      <c r="AN63" s="7">
        <v>0</v>
      </c>
      <c r="AO63" s="7">
        <v>0</v>
      </c>
      <c r="AP63" s="7">
        <v>12928.433000000001</v>
      </c>
      <c r="AQ63" s="7">
        <v>9813.89</v>
      </c>
      <c r="AR63" s="7">
        <v>0</v>
      </c>
      <c r="AS63" s="7">
        <v>5474.8760000000002</v>
      </c>
      <c r="AT63" s="7">
        <v>0</v>
      </c>
      <c r="AU63" s="7">
        <v>169.50700000000001</v>
      </c>
      <c r="AV63" s="7">
        <v>272.24400000000003</v>
      </c>
      <c r="AW63" s="7">
        <v>0</v>
      </c>
      <c r="AX63" s="7">
        <v>0</v>
      </c>
      <c r="AY63" s="7">
        <v>0</v>
      </c>
      <c r="AZ63" s="7">
        <v>56.610999999999997</v>
      </c>
      <c r="BA63" s="7">
        <v>0</v>
      </c>
      <c r="BB63" s="7">
        <v>2408.1970000000001</v>
      </c>
      <c r="BC63" s="7">
        <v>0</v>
      </c>
      <c r="BD63" s="7">
        <v>0</v>
      </c>
      <c r="BE63" s="7">
        <v>0</v>
      </c>
      <c r="BF63" s="21"/>
    </row>
    <row r="64" spans="1:58" ht="15.75" x14ac:dyDescent="0.25">
      <c r="A64" s="5" t="s">
        <v>116</v>
      </c>
      <c r="B64" s="5" t="s">
        <v>117</v>
      </c>
      <c r="C64" s="7">
        <v>3</v>
      </c>
      <c r="D64" s="7">
        <v>3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21"/>
    </row>
    <row r="65" spans="1:58" ht="15.75" x14ac:dyDescent="0.25">
      <c r="A65" s="5" t="s">
        <v>118</v>
      </c>
      <c r="B65" s="5" t="s">
        <v>119</v>
      </c>
      <c r="C65" s="7">
        <v>3</v>
      </c>
      <c r="D65" s="7">
        <v>3</v>
      </c>
      <c r="E65" s="7">
        <v>147268.07999999999</v>
      </c>
      <c r="F65" s="7">
        <v>24937.23</v>
      </c>
      <c r="G65" s="7">
        <v>53455.159</v>
      </c>
      <c r="H65" s="7">
        <v>34307.076000000001</v>
      </c>
      <c r="I65" s="7">
        <v>4287.8739999999998</v>
      </c>
      <c r="J65" s="7">
        <v>34054.910000000003</v>
      </c>
      <c r="K65" s="7">
        <v>49126.999000000003</v>
      </c>
      <c r="L65" s="7">
        <v>42850.661999999997</v>
      </c>
      <c r="M65" s="7">
        <v>0</v>
      </c>
      <c r="N65" s="7">
        <v>97249.728000000003</v>
      </c>
      <c r="O65" s="7">
        <v>113029.709</v>
      </c>
      <c r="P65" s="7">
        <v>95476.51</v>
      </c>
      <c r="Q65" s="7">
        <v>0</v>
      </c>
      <c r="R65" s="7">
        <v>0</v>
      </c>
      <c r="S65" s="7">
        <v>8.6850000000000005</v>
      </c>
      <c r="T65" s="7">
        <v>432.32600000000002</v>
      </c>
      <c r="U65" s="7">
        <v>1811.223</v>
      </c>
      <c r="V65" s="7">
        <v>10677.97</v>
      </c>
      <c r="W65" s="7">
        <v>0</v>
      </c>
      <c r="X65" s="7">
        <v>3065.7020000000002</v>
      </c>
      <c r="Y65" s="7">
        <v>0</v>
      </c>
      <c r="Z65" s="7">
        <v>4227.8019999999997</v>
      </c>
      <c r="AA65" s="7">
        <v>10367.947</v>
      </c>
      <c r="AB65" s="7">
        <v>0</v>
      </c>
      <c r="AC65" s="7">
        <v>31496.348999999998</v>
      </c>
      <c r="AD65" s="7">
        <v>0</v>
      </c>
      <c r="AE65" s="7">
        <v>31452.034</v>
      </c>
      <c r="AF65" s="7">
        <v>0</v>
      </c>
      <c r="AG65" s="7">
        <v>4205.9799999999996</v>
      </c>
      <c r="AH65" s="7">
        <v>0</v>
      </c>
      <c r="AI65" s="7">
        <v>57500.815000000002</v>
      </c>
      <c r="AJ65" s="7">
        <v>0</v>
      </c>
      <c r="AK65" s="7">
        <v>0</v>
      </c>
      <c r="AL65" s="7">
        <v>196308.31599999999</v>
      </c>
      <c r="AM65" s="7">
        <v>0</v>
      </c>
      <c r="AN65" s="7">
        <v>0</v>
      </c>
      <c r="AO65" s="7">
        <v>0</v>
      </c>
      <c r="AP65" s="7">
        <v>10858.138000000001</v>
      </c>
      <c r="AQ65" s="7">
        <v>8242.3430000000008</v>
      </c>
      <c r="AR65" s="7">
        <v>0</v>
      </c>
      <c r="AS65" s="7">
        <v>0</v>
      </c>
      <c r="AT65" s="7">
        <v>0</v>
      </c>
      <c r="AU65" s="7">
        <v>158.042</v>
      </c>
      <c r="AV65" s="7">
        <v>228.648</v>
      </c>
      <c r="AW65" s="7">
        <v>0</v>
      </c>
      <c r="AX65" s="7">
        <v>0</v>
      </c>
      <c r="AY65" s="7">
        <v>0</v>
      </c>
      <c r="AZ65" s="7">
        <v>97.795000000000002</v>
      </c>
      <c r="BA65" s="7">
        <v>0</v>
      </c>
      <c r="BB65" s="7">
        <v>3121.3870000000002</v>
      </c>
      <c r="BC65" s="7">
        <v>0</v>
      </c>
      <c r="BD65" s="7">
        <v>0</v>
      </c>
      <c r="BE65" s="7">
        <v>0</v>
      </c>
      <c r="BF65" s="21"/>
    </row>
    <row r="66" spans="1:58" ht="15.75" x14ac:dyDescent="0.25">
      <c r="A66" s="5" t="s">
        <v>120</v>
      </c>
      <c r="B66" s="5" t="s">
        <v>121</v>
      </c>
      <c r="C66" s="7">
        <v>3</v>
      </c>
      <c r="D66" s="7">
        <v>3</v>
      </c>
      <c r="E66" s="7">
        <v>26536.652999999998</v>
      </c>
      <c r="F66" s="7">
        <v>4495.4290000000001</v>
      </c>
      <c r="G66" s="7">
        <v>9619.9719999999998</v>
      </c>
      <c r="H66" s="7">
        <v>536.72199999999998</v>
      </c>
      <c r="I66" s="7">
        <v>781.80399999999997</v>
      </c>
      <c r="J66" s="7">
        <v>6100.7849999999999</v>
      </c>
      <c r="K66" s="7">
        <v>8957.2860000000001</v>
      </c>
      <c r="L66" s="7">
        <v>7704.3530000000001</v>
      </c>
      <c r="M66" s="7">
        <v>0</v>
      </c>
      <c r="N66" s="7">
        <v>17731.464</v>
      </c>
      <c r="O66" s="7">
        <v>19843.447</v>
      </c>
      <c r="P66" s="7">
        <v>17295.88</v>
      </c>
      <c r="Q66" s="7">
        <v>0</v>
      </c>
      <c r="R66" s="7">
        <v>0</v>
      </c>
      <c r="S66" s="7">
        <v>1.5840000000000001</v>
      </c>
      <c r="T66" s="7">
        <v>79.822999999999993</v>
      </c>
      <c r="U66" s="7">
        <v>334.41500000000002</v>
      </c>
      <c r="V66" s="7">
        <v>1946.9059999999999</v>
      </c>
      <c r="W66" s="7">
        <v>0</v>
      </c>
      <c r="X66" s="7">
        <v>566.03599999999994</v>
      </c>
      <c r="Y66" s="7">
        <v>0</v>
      </c>
      <c r="Z66" s="7">
        <v>770.85199999999998</v>
      </c>
      <c r="AA66" s="7">
        <v>1890.3789999999999</v>
      </c>
      <c r="AB66" s="7">
        <v>0</v>
      </c>
      <c r="AC66" s="7">
        <v>5712.3220000000001</v>
      </c>
      <c r="AD66" s="7">
        <v>0</v>
      </c>
      <c r="AE66" s="7">
        <v>5714.8829999999998</v>
      </c>
      <c r="AF66" s="7">
        <v>0</v>
      </c>
      <c r="AG66" s="7">
        <v>766.87300000000005</v>
      </c>
      <c r="AH66" s="7">
        <v>0</v>
      </c>
      <c r="AI66" s="7">
        <v>10297.004000000001</v>
      </c>
      <c r="AJ66" s="7">
        <v>0</v>
      </c>
      <c r="AK66" s="7">
        <v>0</v>
      </c>
      <c r="AL66" s="7">
        <v>35148.080999999998</v>
      </c>
      <c r="AM66" s="7">
        <v>0</v>
      </c>
      <c r="AN66" s="7">
        <v>0</v>
      </c>
      <c r="AO66" s="7">
        <v>0</v>
      </c>
      <c r="AP66" s="7">
        <v>2004.7940000000001</v>
      </c>
      <c r="AQ66" s="7">
        <v>1521.826</v>
      </c>
      <c r="AR66" s="7">
        <v>0</v>
      </c>
      <c r="AS66" s="7">
        <v>0</v>
      </c>
      <c r="AT66" s="7">
        <v>0</v>
      </c>
      <c r="AU66" s="7">
        <v>28.815999999999999</v>
      </c>
      <c r="AV66" s="7">
        <v>42.216000000000001</v>
      </c>
      <c r="AW66" s="7">
        <v>0</v>
      </c>
      <c r="AX66" s="7">
        <v>0</v>
      </c>
      <c r="AY66" s="7">
        <v>0</v>
      </c>
      <c r="AZ66" s="7">
        <v>17.831</v>
      </c>
      <c r="BA66" s="7">
        <v>0</v>
      </c>
      <c r="BB66" s="7">
        <v>562.48500000000001</v>
      </c>
      <c r="BC66" s="7">
        <v>0</v>
      </c>
      <c r="BD66" s="7">
        <v>0</v>
      </c>
      <c r="BE66" s="7">
        <v>0</v>
      </c>
      <c r="BF66" s="21"/>
    </row>
    <row r="67" spans="1:58" ht="15.75" x14ac:dyDescent="0.25">
      <c r="A67" s="5" t="s">
        <v>122</v>
      </c>
      <c r="B67" s="5" t="s">
        <v>123</v>
      </c>
      <c r="C67" s="7">
        <v>3</v>
      </c>
      <c r="D67" s="7">
        <v>3</v>
      </c>
      <c r="E67" s="7">
        <v>120141.558</v>
      </c>
      <c r="F67" s="7">
        <v>20352.521000000001</v>
      </c>
      <c r="G67" s="7">
        <v>43553.286999999997</v>
      </c>
      <c r="H67" s="7">
        <v>8291.5</v>
      </c>
      <c r="I67" s="7">
        <v>3539.527</v>
      </c>
      <c r="J67" s="7">
        <v>27620.581999999999</v>
      </c>
      <c r="K67" s="7">
        <v>40553.052000000003</v>
      </c>
      <c r="L67" s="7">
        <v>34880.546000000002</v>
      </c>
      <c r="M67" s="7">
        <v>13500.416999999999</v>
      </c>
      <c r="N67" s="7">
        <v>80277.104999999996</v>
      </c>
      <c r="O67" s="7">
        <v>89838.86</v>
      </c>
      <c r="P67" s="7">
        <v>78305.05</v>
      </c>
      <c r="Q67" s="7">
        <v>0</v>
      </c>
      <c r="R67" s="7">
        <v>0</v>
      </c>
      <c r="S67" s="7">
        <v>7.1689999999999996</v>
      </c>
      <c r="T67" s="7">
        <v>630.86599999999999</v>
      </c>
      <c r="U67" s="7">
        <v>2643.002</v>
      </c>
      <c r="V67" s="7">
        <v>8814.384</v>
      </c>
      <c r="W67" s="7">
        <v>0</v>
      </c>
      <c r="X67" s="7">
        <v>4473.5820000000003</v>
      </c>
      <c r="Y67" s="7">
        <v>10335.571</v>
      </c>
      <c r="Z67" s="7">
        <v>3489.94</v>
      </c>
      <c r="AA67" s="7">
        <v>8558.4689999999991</v>
      </c>
      <c r="AB67" s="7">
        <v>0</v>
      </c>
      <c r="AC67" s="7">
        <v>25861.861000000001</v>
      </c>
      <c r="AD67" s="7">
        <v>0</v>
      </c>
      <c r="AE67" s="7">
        <v>25873.457999999999</v>
      </c>
      <c r="AF67" s="7">
        <v>0</v>
      </c>
      <c r="AG67" s="7">
        <v>3471.9270000000001</v>
      </c>
      <c r="AH67" s="7">
        <v>99.88</v>
      </c>
      <c r="AI67" s="7">
        <v>46618.466</v>
      </c>
      <c r="AJ67" s="7">
        <v>0</v>
      </c>
      <c r="AK67" s="7">
        <v>0</v>
      </c>
      <c r="AL67" s="7">
        <v>159128.77900000001</v>
      </c>
      <c r="AM67" s="7">
        <v>0</v>
      </c>
      <c r="AN67" s="7">
        <v>0</v>
      </c>
      <c r="AO67" s="7">
        <v>0</v>
      </c>
      <c r="AP67" s="7">
        <v>15844.582</v>
      </c>
      <c r="AQ67" s="7">
        <v>12027.521000000001</v>
      </c>
      <c r="AR67" s="7">
        <v>0</v>
      </c>
      <c r="AS67" s="7">
        <v>1841.2249999999999</v>
      </c>
      <c r="AT67" s="7">
        <v>0</v>
      </c>
      <c r="AU67" s="7">
        <v>130.459</v>
      </c>
      <c r="AV67" s="7">
        <v>333.65100000000001</v>
      </c>
      <c r="AW67" s="7">
        <v>0</v>
      </c>
      <c r="AX67" s="7">
        <v>0</v>
      </c>
      <c r="AY67" s="7">
        <v>0</v>
      </c>
      <c r="AZ67" s="7">
        <v>80.727000000000004</v>
      </c>
      <c r="BA67" s="7">
        <v>0</v>
      </c>
      <c r="BB67" s="7">
        <v>2556.4839999999999</v>
      </c>
      <c r="BC67" s="7">
        <v>0</v>
      </c>
      <c r="BD67" s="7">
        <v>0</v>
      </c>
      <c r="BE67" s="7">
        <v>0</v>
      </c>
      <c r="BF67" s="21"/>
    </row>
    <row r="68" spans="1:58" ht="15.75" x14ac:dyDescent="0.25">
      <c r="A68" s="5" t="s">
        <v>124</v>
      </c>
      <c r="B68" s="5" t="s">
        <v>125</v>
      </c>
      <c r="C68" s="7">
        <v>3</v>
      </c>
      <c r="D68" s="7">
        <v>3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21"/>
    </row>
    <row r="69" spans="1:58" ht="15.75" x14ac:dyDescent="0.25">
      <c r="A69" s="5" t="s">
        <v>126</v>
      </c>
      <c r="B69" s="5" t="s">
        <v>127</v>
      </c>
      <c r="C69" s="7">
        <v>3</v>
      </c>
      <c r="D69" s="7">
        <v>3</v>
      </c>
      <c r="E69" s="7">
        <v>35963.995000000003</v>
      </c>
      <c r="F69" s="7">
        <v>6092.4629999999997</v>
      </c>
      <c r="G69" s="7">
        <v>13037.538</v>
      </c>
      <c r="H69" s="7">
        <v>10143.688</v>
      </c>
      <c r="I69" s="7">
        <v>1059.546</v>
      </c>
      <c r="J69" s="7">
        <v>8268.134</v>
      </c>
      <c r="K69" s="7">
        <v>12139.428</v>
      </c>
      <c r="L69" s="7">
        <v>10441.380999999999</v>
      </c>
      <c r="M69" s="7">
        <v>0</v>
      </c>
      <c r="N69" s="7">
        <v>24030.697</v>
      </c>
      <c r="O69" s="7">
        <v>26892.977999999999</v>
      </c>
      <c r="P69" s="7">
        <v>23440.368999999999</v>
      </c>
      <c r="Q69" s="7">
        <v>0</v>
      </c>
      <c r="R69" s="7">
        <v>0</v>
      </c>
      <c r="S69" s="7">
        <v>2.1459999999999999</v>
      </c>
      <c r="T69" s="7">
        <v>0</v>
      </c>
      <c r="U69" s="7">
        <v>0</v>
      </c>
      <c r="V69" s="7">
        <v>2638.558</v>
      </c>
      <c r="W69" s="7">
        <v>0</v>
      </c>
      <c r="X69" s="7">
        <v>0</v>
      </c>
      <c r="Y69" s="7">
        <v>0</v>
      </c>
      <c r="Z69" s="7">
        <v>1044.702</v>
      </c>
      <c r="AA69" s="7">
        <v>2561.951</v>
      </c>
      <c r="AB69" s="7">
        <v>0</v>
      </c>
      <c r="AC69" s="7">
        <v>7741.6660000000002</v>
      </c>
      <c r="AD69" s="7">
        <v>0</v>
      </c>
      <c r="AE69" s="7">
        <v>7745.1379999999999</v>
      </c>
      <c r="AF69" s="7">
        <v>0</v>
      </c>
      <c r="AG69" s="7">
        <v>1039.31</v>
      </c>
      <c r="AH69" s="7">
        <v>0</v>
      </c>
      <c r="AI69" s="7">
        <v>13955.09</v>
      </c>
      <c r="AJ69" s="7">
        <v>0</v>
      </c>
      <c r="AK69" s="7">
        <v>0</v>
      </c>
      <c r="AL69" s="7">
        <v>47634.696000000004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39.052999999999997</v>
      </c>
      <c r="AV69" s="7">
        <v>0</v>
      </c>
      <c r="AW69" s="7">
        <v>0</v>
      </c>
      <c r="AX69" s="7">
        <v>0</v>
      </c>
      <c r="AY69" s="7">
        <v>0</v>
      </c>
      <c r="AZ69" s="7">
        <v>24.164999999999999</v>
      </c>
      <c r="BA69" s="7">
        <v>0</v>
      </c>
      <c r="BB69" s="7">
        <v>725.803</v>
      </c>
      <c r="BC69" s="7">
        <v>0</v>
      </c>
      <c r="BD69" s="7">
        <v>0</v>
      </c>
      <c r="BE69" s="7">
        <v>0</v>
      </c>
      <c r="BF69" s="21"/>
    </row>
    <row r="70" spans="1:58" ht="15.75" x14ac:dyDescent="0.25">
      <c r="A70" s="5" t="s">
        <v>128</v>
      </c>
      <c r="B70" s="5" t="s">
        <v>129</v>
      </c>
      <c r="C70" s="7">
        <v>3</v>
      </c>
      <c r="D70" s="7">
        <v>3</v>
      </c>
      <c r="E70" s="7">
        <v>8180.3130000000001</v>
      </c>
      <c r="F70" s="7">
        <v>1385.7819999999999</v>
      </c>
      <c r="G70" s="7">
        <v>2965.498</v>
      </c>
      <c r="H70" s="7">
        <v>0</v>
      </c>
      <c r="I70" s="7">
        <v>241.00299999999999</v>
      </c>
      <c r="J70" s="7">
        <v>1880.6569999999999</v>
      </c>
      <c r="K70" s="7">
        <v>2761.2150000000001</v>
      </c>
      <c r="L70" s="7">
        <v>2374.98</v>
      </c>
      <c r="M70" s="7">
        <v>0</v>
      </c>
      <c r="N70" s="7">
        <v>5465.9840000000004</v>
      </c>
      <c r="O70" s="7">
        <v>6117.0339999999997</v>
      </c>
      <c r="P70" s="7">
        <v>5331.7089999999998</v>
      </c>
      <c r="Q70" s="7">
        <v>0</v>
      </c>
      <c r="R70" s="7">
        <v>0</v>
      </c>
      <c r="S70" s="7">
        <v>0.48799999999999999</v>
      </c>
      <c r="T70" s="7">
        <v>0</v>
      </c>
      <c r="U70" s="7">
        <v>0</v>
      </c>
      <c r="V70" s="7">
        <v>600.16200000000003</v>
      </c>
      <c r="W70" s="7">
        <v>0</v>
      </c>
      <c r="X70" s="7">
        <v>0</v>
      </c>
      <c r="Y70" s="7">
        <v>0</v>
      </c>
      <c r="Z70" s="7">
        <v>237.626</v>
      </c>
      <c r="AA70" s="7">
        <v>582.73699999999997</v>
      </c>
      <c r="AB70" s="7">
        <v>0</v>
      </c>
      <c r="AC70" s="7">
        <v>1760.9069999999999</v>
      </c>
      <c r="AD70" s="7">
        <v>0</v>
      </c>
      <c r="AE70" s="7">
        <v>1761.6969999999999</v>
      </c>
      <c r="AF70" s="7">
        <v>0</v>
      </c>
      <c r="AG70" s="7">
        <v>236.4</v>
      </c>
      <c r="AH70" s="7">
        <v>0</v>
      </c>
      <c r="AI70" s="7">
        <v>3174.203</v>
      </c>
      <c r="AJ70" s="7">
        <v>0</v>
      </c>
      <c r="AK70" s="7">
        <v>0</v>
      </c>
      <c r="AL70" s="7">
        <v>10834.913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8.8829999999999991</v>
      </c>
      <c r="AV70" s="7">
        <v>0</v>
      </c>
      <c r="AW70" s="7">
        <v>0</v>
      </c>
      <c r="AX70" s="7">
        <v>0</v>
      </c>
      <c r="AY70" s="7">
        <v>0</v>
      </c>
      <c r="AZ70" s="7">
        <v>5.4969999999999999</v>
      </c>
      <c r="BA70" s="7">
        <v>0</v>
      </c>
      <c r="BB70" s="7">
        <v>165.09</v>
      </c>
      <c r="BC70" s="7">
        <v>0</v>
      </c>
      <c r="BD70" s="7">
        <v>0</v>
      </c>
      <c r="BE70" s="7">
        <v>0</v>
      </c>
      <c r="BF70" s="21"/>
    </row>
    <row r="71" spans="1:58" ht="15.75" x14ac:dyDescent="0.25">
      <c r="A71" s="5" t="s">
        <v>130</v>
      </c>
      <c r="B71" s="5" t="s">
        <v>131</v>
      </c>
      <c r="C71" s="7">
        <v>3</v>
      </c>
      <c r="D71" s="7">
        <v>3</v>
      </c>
      <c r="E71" s="7">
        <v>52957.512999999999</v>
      </c>
      <c r="F71" s="7">
        <v>8971.241</v>
      </c>
      <c r="G71" s="7">
        <v>19197.968000000001</v>
      </c>
      <c r="H71" s="7">
        <v>2383.2020000000002</v>
      </c>
      <c r="I71" s="7">
        <v>1560.1980000000001</v>
      </c>
      <c r="J71" s="7">
        <v>12174.949000000001</v>
      </c>
      <c r="K71" s="7">
        <v>17875.487000000001</v>
      </c>
      <c r="L71" s="7">
        <v>15375.088</v>
      </c>
      <c r="M71" s="7">
        <v>0</v>
      </c>
      <c r="N71" s="7">
        <v>35385.555999999997</v>
      </c>
      <c r="O71" s="7">
        <v>39600.307000000001</v>
      </c>
      <c r="P71" s="7">
        <v>34516.288999999997</v>
      </c>
      <c r="Q71" s="7">
        <v>0</v>
      </c>
      <c r="R71" s="7">
        <v>0</v>
      </c>
      <c r="S71" s="7">
        <v>3.16</v>
      </c>
      <c r="T71" s="7">
        <v>0.214</v>
      </c>
      <c r="U71" s="7">
        <v>0.89500000000000002</v>
      </c>
      <c r="V71" s="7">
        <v>3885.3159999999998</v>
      </c>
      <c r="W71" s="7">
        <v>0</v>
      </c>
      <c r="X71" s="7">
        <v>1.516</v>
      </c>
      <c r="Y71" s="7">
        <v>0</v>
      </c>
      <c r="Z71" s="7">
        <v>1538.34</v>
      </c>
      <c r="AA71" s="7">
        <v>3772.51</v>
      </c>
      <c r="AB71" s="7">
        <v>0</v>
      </c>
      <c r="AC71" s="7">
        <v>11399.718000000001</v>
      </c>
      <c r="AD71" s="7">
        <v>0</v>
      </c>
      <c r="AE71" s="7">
        <v>11404.83</v>
      </c>
      <c r="AF71" s="7">
        <v>0</v>
      </c>
      <c r="AG71" s="7">
        <v>1530.4</v>
      </c>
      <c r="AH71" s="7">
        <v>0</v>
      </c>
      <c r="AI71" s="7">
        <v>20549.076000000001</v>
      </c>
      <c r="AJ71" s="7">
        <v>6.5369999999999999</v>
      </c>
      <c r="AK71" s="7">
        <v>0</v>
      </c>
      <c r="AL71" s="7">
        <v>70142.793000000005</v>
      </c>
      <c r="AM71" s="7">
        <v>22.687000000000001</v>
      </c>
      <c r="AN71" s="7">
        <v>0</v>
      </c>
      <c r="AO71" s="7">
        <v>0</v>
      </c>
      <c r="AP71" s="7">
        <v>5.3680000000000003</v>
      </c>
      <c r="AQ71" s="7">
        <v>4.0750000000000002</v>
      </c>
      <c r="AR71" s="7">
        <v>0</v>
      </c>
      <c r="AS71" s="7">
        <v>0</v>
      </c>
      <c r="AT71" s="7">
        <v>0</v>
      </c>
      <c r="AU71" s="7">
        <v>57.506</v>
      </c>
      <c r="AV71" s="7">
        <v>0.113</v>
      </c>
      <c r="AW71" s="7">
        <v>0</v>
      </c>
      <c r="AX71" s="7">
        <v>0</v>
      </c>
      <c r="AY71" s="7">
        <v>0</v>
      </c>
      <c r="AZ71" s="7">
        <v>35.584000000000003</v>
      </c>
      <c r="BA71" s="7">
        <v>0</v>
      </c>
      <c r="BB71" s="7">
        <v>1068.7560000000001</v>
      </c>
      <c r="BC71" s="7">
        <v>0</v>
      </c>
      <c r="BD71" s="7">
        <v>0</v>
      </c>
      <c r="BE71" s="7">
        <v>0</v>
      </c>
      <c r="BF71" s="21"/>
    </row>
    <row r="72" spans="1:58" ht="15.75" x14ac:dyDescent="0.25">
      <c r="A72" s="5" t="s">
        <v>132</v>
      </c>
      <c r="B72" s="5" t="s">
        <v>133</v>
      </c>
      <c r="C72" s="7">
        <v>3</v>
      </c>
      <c r="D72" s="7">
        <v>3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21"/>
    </row>
    <row r="73" spans="1:58" ht="15.75" x14ac:dyDescent="0.25">
      <c r="A73" s="5" t="s">
        <v>134</v>
      </c>
      <c r="B73" s="5" t="s">
        <v>135</v>
      </c>
      <c r="C73" s="7">
        <v>6</v>
      </c>
      <c r="D73" s="7">
        <v>6</v>
      </c>
      <c r="E73" s="7">
        <v>44133.163999999997</v>
      </c>
      <c r="F73" s="7">
        <v>7925.5379999999996</v>
      </c>
      <c r="G73" s="7">
        <v>17390.78</v>
      </c>
      <c r="H73" s="7">
        <v>2128.25</v>
      </c>
      <c r="I73" s="7">
        <v>1246.2860000000001</v>
      </c>
      <c r="J73" s="7">
        <v>11065.689</v>
      </c>
      <c r="K73" s="7">
        <v>18491.688999999998</v>
      </c>
      <c r="L73" s="7">
        <v>8875.3809999999994</v>
      </c>
      <c r="M73" s="7">
        <v>0</v>
      </c>
      <c r="N73" s="7">
        <v>25458.464</v>
      </c>
      <c r="O73" s="7">
        <v>30058.827000000001</v>
      </c>
      <c r="P73" s="7">
        <v>24999.148000000001</v>
      </c>
      <c r="Q73" s="7">
        <v>0</v>
      </c>
      <c r="R73" s="7">
        <v>0</v>
      </c>
      <c r="S73" s="7">
        <v>95.903999999999996</v>
      </c>
      <c r="T73" s="7">
        <v>0</v>
      </c>
      <c r="U73" s="7">
        <v>139.22800000000001</v>
      </c>
      <c r="V73" s="7">
        <v>1215.367</v>
      </c>
      <c r="W73" s="7">
        <v>0</v>
      </c>
      <c r="X73" s="7">
        <v>0</v>
      </c>
      <c r="Y73" s="7">
        <v>0</v>
      </c>
      <c r="Z73" s="7">
        <v>859.75599999999997</v>
      </c>
      <c r="AA73" s="7">
        <v>2929.547</v>
      </c>
      <c r="AB73" s="7">
        <v>0</v>
      </c>
      <c r="AC73" s="7">
        <v>9038.1550000000007</v>
      </c>
      <c r="AD73" s="7">
        <v>0</v>
      </c>
      <c r="AE73" s="7">
        <v>10323.364</v>
      </c>
      <c r="AF73" s="7">
        <v>0</v>
      </c>
      <c r="AG73" s="7">
        <v>767.57299999999998</v>
      </c>
      <c r="AH73" s="7">
        <v>0</v>
      </c>
      <c r="AI73" s="7">
        <v>30144.804</v>
      </c>
      <c r="AJ73" s="7">
        <v>0</v>
      </c>
      <c r="AK73" s="7">
        <v>0</v>
      </c>
      <c r="AL73" s="7">
        <v>69057.687999999995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45.38</v>
      </c>
      <c r="AV73" s="7">
        <v>0</v>
      </c>
      <c r="AW73" s="7">
        <v>0</v>
      </c>
      <c r="AX73" s="7">
        <v>0</v>
      </c>
      <c r="AY73" s="7">
        <v>0</v>
      </c>
      <c r="AZ73" s="7">
        <v>5.8289999999999997</v>
      </c>
      <c r="BA73" s="7">
        <v>0</v>
      </c>
      <c r="BB73" s="7">
        <v>381.53800000000001</v>
      </c>
      <c r="BC73" s="7">
        <v>0</v>
      </c>
      <c r="BD73" s="7">
        <v>0</v>
      </c>
      <c r="BE73" s="7">
        <v>0</v>
      </c>
      <c r="BF73" s="21"/>
    </row>
    <row r="74" spans="1:58" ht="15.75" x14ac:dyDescent="0.25">
      <c r="A74" s="5" t="s">
        <v>136</v>
      </c>
      <c r="B74" s="5" t="s">
        <v>137</v>
      </c>
      <c r="C74" s="7">
        <v>6</v>
      </c>
      <c r="D74" s="7">
        <v>6</v>
      </c>
      <c r="E74" s="7">
        <v>1051.8430000000001</v>
      </c>
      <c r="F74" s="7">
        <v>154.29400000000001</v>
      </c>
      <c r="G74" s="7">
        <v>227.54</v>
      </c>
      <c r="H74" s="7">
        <v>0</v>
      </c>
      <c r="I74" s="7">
        <v>39.572000000000003</v>
      </c>
      <c r="J74" s="7">
        <v>133.55000000000001</v>
      </c>
      <c r="K74" s="7">
        <v>1112.691</v>
      </c>
      <c r="L74" s="7">
        <v>99.326999999999998</v>
      </c>
      <c r="M74" s="7">
        <v>0</v>
      </c>
      <c r="N74" s="7">
        <v>515.07600000000002</v>
      </c>
      <c r="O74" s="7">
        <v>1189.06</v>
      </c>
      <c r="P74" s="7">
        <v>514.66899999999998</v>
      </c>
      <c r="Q74" s="7">
        <v>0</v>
      </c>
      <c r="R74" s="7">
        <v>0</v>
      </c>
      <c r="S74" s="7">
        <v>7.7329999999999997</v>
      </c>
      <c r="T74" s="7">
        <v>0</v>
      </c>
      <c r="U74" s="7">
        <v>0.217</v>
      </c>
      <c r="V74" s="7">
        <v>0</v>
      </c>
      <c r="W74" s="7">
        <v>0</v>
      </c>
      <c r="X74" s="7">
        <v>0</v>
      </c>
      <c r="Y74" s="7">
        <v>0</v>
      </c>
      <c r="Z74" s="7">
        <v>16.308</v>
      </c>
      <c r="AA74" s="7">
        <v>54.512</v>
      </c>
      <c r="AB74" s="7">
        <v>0</v>
      </c>
      <c r="AC74" s="7">
        <v>439.61</v>
      </c>
      <c r="AD74" s="7">
        <v>0</v>
      </c>
      <c r="AE74" s="7">
        <v>151.6</v>
      </c>
      <c r="AF74" s="7">
        <v>0</v>
      </c>
      <c r="AG74" s="7">
        <v>25.728999999999999</v>
      </c>
      <c r="AH74" s="7">
        <v>0</v>
      </c>
      <c r="AI74" s="7">
        <v>1344.0630000000001</v>
      </c>
      <c r="AJ74" s="7">
        <v>0</v>
      </c>
      <c r="AK74" s="7">
        <v>0</v>
      </c>
      <c r="AL74" s="7">
        <v>2193.9319999999998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21"/>
    </row>
    <row r="75" spans="1:58" ht="15.75" x14ac:dyDescent="0.25">
      <c r="A75" s="5" t="s">
        <v>138</v>
      </c>
      <c r="B75" s="5" t="s">
        <v>139</v>
      </c>
      <c r="C75" s="7">
        <v>6</v>
      </c>
      <c r="D75" s="7">
        <v>6</v>
      </c>
      <c r="E75" s="7">
        <v>11902.735000000001</v>
      </c>
      <c r="F75" s="7">
        <v>2692.279</v>
      </c>
      <c r="G75" s="7">
        <v>2423.1579999999999</v>
      </c>
      <c r="H75" s="7">
        <v>0</v>
      </c>
      <c r="I75" s="7">
        <v>221.81100000000001</v>
      </c>
      <c r="J75" s="7">
        <v>2512.2179999999998</v>
      </c>
      <c r="K75" s="7">
        <v>3319.61</v>
      </c>
      <c r="L75" s="7">
        <v>2064.9459999999999</v>
      </c>
      <c r="M75" s="7">
        <v>0</v>
      </c>
      <c r="N75" s="7">
        <v>5609.5280000000002</v>
      </c>
      <c r="O75" s="7">
        <v>28773.094000000001</v>
      </c>
      <c r="P75" s="7">
        <v>5984.5640000000003</v>
      </c>
      <c r="Q75" s="7">
        <v>0</v>
      </c>
      <c r="R75" s="7">
        <v>0</v>
      </c>
      <c r="S75" s="7">
        <v>9.4830000000000005</v>
      </c>
      <c r="T75" s="7">
        <v>0</v>
      </c>
      <c r="U75" s="7">
        <v>404.29</v>
      </c>
      <c r="V75" s="7">
        <v>436.04300000000001</v>
      </c>
      <c r="W75" s="7">
        <v>0</v>
      </c>
      <c r="X75" s="7">
        <v>0</v>
      </c>
      <c r="Y75" s="7">
        <v>0</v>
      </c>
      <c r="Z75" s="7">
        <v>191.89599999999999</v>
      </c>
      <c r="AA75" s="7">
        <v>487.73099999999999</v>
      </c>
      <c r="AB75" s="7">
        <v>0</v>
      </c>
      <c r="AC75" s="7">
        <v>1798.308</v>
      </c>
      <c r="AD75" s="7">
        <v>0</v>
      </c>
      <c r="AE75" s="7">
        <v>1458.902</v>
      </c>
      <c r="AF75" s="7">
        <v>0</v>
      </c>
      <c r="AG75" s="7">
        <v>202.126</v>
      </c>
      <c r="AH75" s="7">
        <v>0</v>
      </c>
      <c r="AI75" s="7">
        <v>6447.26</v>
      </c>
      <c r="AJ75" s="7">
        <v>0</v>
      </c>
      <c r="AK75" s="7">
        <v>0</v>
      </c>
      <c r="AL75" s="7">
        <v>25499.171999999999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6.4539999999999997</v>
      </c>
      <c r="AV75" s="7">
        <v>0</v>
      </c>
      <c r="AW75" s="7">
        <v>0</v>
      </c>
      <c r="AX75" s="7">
        <v>0</v>
      </c>
      <c r="AY75" s="7">
        <v>0</v>
      </c>
      <c r="AZ75" s="7">
        <v>3.9940000000000002</v>
      </c>
      <c r="BA75" s="7">
        <v>0</v>
      </c>
      <c r="BB75" s="7">
        <v>119.94499999999999</v>
      </c>
      <c r="BC75" s="7">
        <v>0</v>
      </c>
      <c r="BD75" s="7">
        <v>0</v>
      </c>
      <c r="BE75" s="7">
        <v>0</v>
      </c>
      <c r="BF75" s="21"/>
    </row>
    <row r="76" spans="1:58" ht="15.75" x14ac:dyDescent="0.25">
      <c r="A76" s="5" t="s">
        <v>140</v>
      </c>
      <c r="B76" s="5" t="s">
        <v>141</v>
      </c>
      <c r="C76" s="7">
        <v>6</v>
      </c>
      <c r="D76" s="7">
        <v>6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21"/>
    </row>
    <row r="77" spans="1:58" ht="15.75" x14ac:dyDescent="0.25">
      <c r="A77" s="5" t="s">
        <v>142</v>
      </c>
      <c r="B77" s="5" t="s">
        <v>143</v>
      </c>
      <c r="C77" s="7">
        <v>6</v>
      </c>
      <c r="D77" s="7">
        <v>6</v>
      </c>
      <c r="E77" s="7">
        <v>3050.2460000000001</v>
      </c>
      <c r="F77" s="7">
        <v>1105.0650000000001</v>
      </c>
      <c r="G77" s="7">
        <v>625.89400000000001</v>
      </c>
      <c r="H77" s="7">
        <v>0</v>
      </c>
      <c r="I77" s="7">
        <v>103.774</v>
      </c>
      <c r="J77" s="7">
        <v>355.08800000000002</v>
      </c>
      <c r="K77" s="7">
        <v>2917.953</v>
      </c>
      <c r="L77" s="7">
        <v>260.47800000000001</v>
      </c>
      <c r="M77" s="7">
        <v>0</v>
      </c>
      <c r="N77" s="7">
        <v>1350.749</v>
      </c>
      <c r="O77" s="7">
        <v>6921.5569999999998</v>
      </c>
      <c r="P77" s="7">
        <v>1408.0540000000001</v>
      </c>
      <c r="Q77" s="7">
        <v>0</v>
      </c>
      <c r="R77" s="7">
        <v>0</v>
      </c>
      <c r="S77" s="7">
        <v>20.279</v>
      </c>
      <c r="T77" s="7">
        <v>0</v>
      </c>
      <c r="U77" s="7">
        <v>111.301</v>
      </c>
      <c r="V77" s="7">
        <v>0</v>
      </c>
      <c r="W77" s="7">
        <v>0</v>
      </c>
      <c r="X77" s="7">
        <v>0</v>
      </c>
      <c r="Y77" s="7">
        <v>0</v>
      </c>
      <c r="Z77" s="7">
        <v>42.765000000000001</v>
      </c>
      <c r="AA77" s="7">
        <v>142.953</v>
      </c>
      <c r="AB77" s="7">
        <v>0</v>
      </c>
      <c r="AC77" s="7">
        <v>1152.845</v>
      </c>
      <c r="AD77" s="7">
        <v>0</v>
      </c>
      <c r="AE77" s="7">
        <v>397.56</v>
      </c>
      <c r="AF77" s="7">
        <v>0</v>
      </c>
      <c r="AG77" s="7">
        <v>67.471999999999994</v>
      </c>
      <c r="AH77" s="7">
        <v>0</v>
      </c>
      <c r="AI77" s="7">
        <v>4984.098</v>
      </c>
      <c r="AJ77" s="7">
        <v>0</v>
      </c>
      <c r="AK77" s="7">
        <v>0</v>
      </c>
      <c r="AL77" s="7">
        <v>7526.6350000000002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103.036</v>
      </c>
      <c r="BC77" s="7">
        <v>0</v>
      </c>
      <c r="BD77" s="7">
        <v>0</v>
      </c>
      <c r="BE77" s="7">
        <v>0</v>
      </c>
      <c r="BF77" s="21"/>
    </row>
    <row r="78" spans="1:58" ht="15.75" x14ac:dyDescent="0.25">
      <c r="A78" s="5" t="s">
        <v>144</v>
      </c>
      <c r="B78" s="5" t="s">
        <v>145</v>
      </c>
      <c r="C78" s="7">
        <v>6</v>
      </c>
      <c r="D78" s="7">
        <v>6</v>
      </c>
      <c r="E78" s="7">
        <v>3750.1210000000001</v>
      </c>
      <c r="F78" s="7">
        <v>550.10299999999995</v>
      </c>
      <c r="G78" s="7">
        <v>811.24599999999998</v>
      </c>
      <c r="H78" s="7">
        <v>0</v>
      </c>
      <c r="I78" s="7">
        <v>141.084</v>
      </c>
      <c r="J78" s="7">
        <v>476.142</v>
      </c>
      <c r="K78" s="7">
        <v>3967.06</v>
      </c>
      <c r="L78" s="7">
        <v>354.12900000000002</v>
      </c>
      <c r="M78" s="7">
        <v>0</v>
      </c>
      <c r="N78" s="7">
        <v>1836.3910000000001</v>
      </c>
      <c r="O78" s="7">
        <v>4239.3370000000004</v>
      </c>
      <c r="P78" s="7">
        <v>1834.94</v>
      </c>
      <c r="Q78" s="7">
        <v>0</v>
      </c>
      <c r="R78" s="7">
        <v>0</v>
      </c>
      <c r="S78" s="7">
        <v>27.57</v>
      </c>
      <c r="T78" s="7">
        <v>0</v>
      </c>
      <c r="U78" s="7">
        <v>0.77200000000000002</v>
      </c>
      <c r="V78" s="7">
        <v>0</v>
      </c>
      <c r="W78" s="7">
        <v>0</v>
      </c>
      <c r="X78" s="7">
        <v>0</v>
      </c>
      <c r="Y78" s="7">
        <v>0</v>
      </c>
      <c r="Z78" s="7">
        <v>58.140999999999998</v>
      </c>
      <c r="AA78" s="7">
        <v>194.34899999999999</v>
      </c>
      <c r="AB78" s="7">
        <v>0</v>
      </c>
      <c r="AC78" s="7">
        <v>1567.3330000000001</v>
      </c>
      <c r="AD78" s="7">
        <v>0</v>
      </c>
      <c r="AE78" s="7">
        <v>540.49699999999996</v>
      </c>
      <c r="AF78" s="7">
        <v>0</v>
      </c>
      <c r="AG78" s="7">
        <v>91.730999999999995</v>
      </c>
      <c r="AH78" s="7">
        <v>0</v>
      </c>
      <c r="AI78" s="7">
        <v>4791.9660000000003</v>
      </c>
      <c r="AJ78" s="7">
        <v>0</v>
      </c>
      <c r="AK78" s="7">
        <v>0</v>
      </c>
      <c r="AL78" s="7">
        <v>7821.9920000000002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21"/>
    </row>
    <row r="79" spans="1:58" ht="15.75" x14ac:dyDescent="0.25">
      <c r="A79" s="5" t="s">
        <v>146</v>
      </c>
      <c r="B79" s="5" t="s">
        <v>147</v>
      </c>
      <c r="C79" s="7">
        <v>6</v>
      </c>
      <c r="D79" s="7">
        <v>6</v>
      </c>
      <c r="E79" s="7">
        <v>14885.522000000001</v>
      </c>
      <c r="F79" s="7">
        <v>2311.4560000000001</v>
      </c>
      <c r="G79" s="7">
        <v>3226.78</v>
      </c>
      <c r="H79" s="7">
        <v>0</v>
      </c>
      <c r="I79" s="7">
        <v>250.59899999999999</v>
      </c>
      <c r="J79" s="7">
        <v>2936.991</v>
      </c>
      <c r="K79" s="7">
        <v>6157.3130000000001</v>
      </c>
      <c r="L79" s="7">
        <v>1613.5889999999999</v>
      </c>
      <c r="M79" s="7">
        <v>0</v>
      </c>
      <c r="N79" s="7">
        <v>4719.9859999999999</v>
      </c>
      <c r="O79" s="7">
        <v>25040.023000000001</v>
      </c>
      <c r="P79" s="7">
        <v>5969.7070000000003</v>
      </c>
      <c r="Q79" s="7">
        <v>0</v>
      </c>
      <c r="R79" s="7">
        <v>0</v>
      </c>
      <c r="S79" s="7">
        <v>83.021000000000001</v>
      </c>
      <c r="T79" s="7">
        <v>0</v>
      </c>
      <c r="U79" s="7">
        <v>418.28100000000001</v>
      </c>
      <c r="V79" s="7">
        <v>132.898</v>
      </c>
      <c r="W79" s="7">
        <v>0</v>
      </c>
      <c r="X79" s="7">
        <v>0</v>
      </c>
      <c r="Y79" s="7">
        <v>0</v>
      </c>
      <c r="Z79" s="7">
        <v>133.899</v>
      </c>
      <c r="AA79" s="7">
        <v>454.86099999999999</v>
      </c>
      <c r="AB79" s="7">
        <v>0</v>
      </c>
      <c r="AC79" s="7">
        <v>3172.0309999999999</v>
      </c>
      <c r="AD79" s="7">
        <v>0</v>
      </c>
      <c r="AE79" s="7">
        <v>1373.643</v>
      </c>
      <c r="AF79" s="7">
        <v>0</v>
      </c>
      <c r="AG79" s="7">
        <v>180.58600000000001</v>
      </c>
      <c r="AH79" s="7">
        <v>0</v>
      </c>
      <c r="AI79" s="7">
        <v>12846.838</v>
      </c>
      <c r="AJ79" s="7">
        <v>0</v>
      </c>
      <c r="AK79" s="7">
        <v>0</v>
      </c>
      <c r="AL79" s="7">
        <v>31928.231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1.9670000000000001</v>
      </c>
      <c r="AV79" s="7">
        <v>0</v>
      </c>
      <c r="AW79" s="7">
        <v>0</v>
      </c>
      <c r="AX79" s="7">
        <v>0</v>
      </c>
      <c r="AY79" s="7">
        <v>0</v>
      </c>
      <c r="AZ79" s="7">
        <v>1.2170000000000001</v>
      </c>
      <c r="BA79" s="7">
        <v>0</v>
      </c>
      <c r="BB79" s="7">
        <v>36.557000000000002</v>
      </c>
      <c r="BC79" s="7">
        <v>0</v>
      </c>
      <c r="BD79" s="7">
        <v>0</v>
      </c>
      <c r="BE79" s="7">
        <v>0</v>
      </c>
      <c r="BF79" s="21"/>
    </row>
    <row r="80" spans="1:58" ht="15.75" x14ac:dyDescent="0.25">
      <c r="A80" s="5" t="s">
        <v>148</v>
      </c>
      <c r="B80" s="5" t="s">
        <v>149</v>
      </c>
      <c r="C80" s="7">
        <v>6</v>
      </c>
      <c r="D80" s="7">
        <v>6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21"/>
    </row>
    <row r="81" spans="1:58" ht="15.75" x14ac:dyDescent="0.25">
      <c r="A81" s="5" t="s">
        <v>150</v>
      </c>
      <c r="B81" s="5" t="s">
        <v>151</v>
      </c>
      <c r="C81" s="7">
        <v>6</v>
      </c>
      <c r="D81" s="7">
        <v>6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21"/>
    </row>
    <row r="82" spans="1:58" ht="15.75" x14ac:dyDescent="0.25">
      <c r="A82" s="5" t="s">
        <v>152</v>
      </c>
      <c r="B82" s="5" t="s">
        <v>153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21"/>
    </row>
    <row r="83" spans="1:58" ht="15.75" x14ac:dyDescent="0.25">
      <c r="A83" s="5" t="s">
        <v>154</v>
      </c>
      <c r="B83" s="5" t="s">
        <v>155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21"/>
    </row>
    <row r="84" spans="1:58" ht="15.75" x14ac:dyDescent="0.25">
      <c r="A84" s="5" t="s">
        <v>156</v>
      </c>
      <c r="B84" s="5" t="s">
        <v>157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21"/>
    </row>
    <row r="85" spans="1:58" ht="15.75" x14ac:dyDescent="0.25">
      <c r="A85" s="5" t="s">
        <v>158</v>
      </c>
      <c r="B85" s="5" t="s">
        <v>159</v>
      </c>
      <c r="C85" s="7">
        <v>6</v>
      </c>
      <c r="D85" s="7">
        <v>6</v>
      </c>
      <c r="E85" s="7">
        <v>1549.721</v>
      </c>
      <c r="F85" s="7">
        <v>263.27300000000002</v>
      </c>
      <c r="G85" s="7">
        <v>562.31799999999998</v>
      </c>
      <c r="H85" s="7">
        <v>2375.29</v>
      </c>
      <c r="I85" s="7">
        <v>45.77</v>
      </c>
      <c r="J85" s="7">
        <v>356.46899999999999</v>
      </c>
      <c r="K85" s="7">
        <v>548.48400000000004</v>
      </c>
      <c r="L85" s="7">
        <v>450.78899999999999</v>
      </c>
      <c r="M85" s="7">
        <v>0</v>
      </c>
      <c r="N85" s="7">
        <v>1035.9190000000001</v>
      </c>
      <c r="O85" s="7">
        <v>1175.5909999999999</v>
      </c>
      <c r="P85" s="7">
        <v>1011.194</v>
      </c>
      <c r="Q85" s="7">
        <v>0</v>
      </c>
      <c r="R85" s="7">
        <v>0</v>
      </c>
      <c r="S85" s="7">
        <v>0.126</v>
      </c>
      <c r="T85" s="7">
        <v>0</v>
      </c>
      <c r="U85" s="7">
        <v>0</v>
      </c>
      <c r="V85" s="7">
        <v>113.48699999999999</v>
      </c>
      <c r="W85" s="7">
        <v>0</v>
      </c>
      <c r="X85" s="7">
        <v>0</v>
      </c>
      <c r="Y85" s="7">
        <v>0</v>
      </c>
      <c r="Z85" s="7">
        <v>44.948999999999998</v>
      </c>
      <c r="AA85" s="7">
        <v>110.252</v>
      </c>
      <c r="AB85" s="7">
        <v>0</v>
      </c>
      <c r="AC85" s="7">
        <v>333.14400000000001</v>
      </c>
      <c r="AD85" s="7">
        <v>0</v>
      </c>
      <c r="AE85" s="7">
        <v>333.28</v>
      </c>
      <c r="AF85" s="7">
        <v>0</v>
      </c>
      <c r="AG85" s="7">
        <v>44.720999999999997</v>
      </c>
      <c r="AH85" s="7">
        <v>0</v>
      </c>
      <c r="AI85" s="7">
        <v>600.62400000000002</v>
      </c>
      <c r="AJ85" s="7">
        <v>0</v>
      </c>
      <c r="AK85" s="7">
        <v>0</v>
      </c>
      <c r="AL85" s="7">
        <v>2050.2719999999999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1.68</v>
      </c>
      <c r="AV85" s="7">
        <v>0</v>
      </c>
      <c r="AW85" s="7">
        <v>0</v>
      </c>
      <c r="AX85" s="7">
        <v>0</v>
      </c>
      <c r="AY85" s="7">
        <v>0</v>
      </c>
      <c r="AZ85" s="7">
        <v>1.0389999999999999</v>
      </c>
      <c r="BA85" s="7">
        <v>0</v>
      </c>
      <c r="BB85" s="7">
        <v>31.218</v>
      </c>
      <c r="BC85" s="7">
        <v>0</v>
      </c>
      <c r="BD85" s="7">
        <v>0</v>
      </c>
      <c r="BE85" s="7">
        <v>0</v>
      </c>
      <c r="BF85" s="21"/>
    </row>
    <row r="86" spans="1:58" ht="15.75" x14ac:dyDescent="0.25">
      <c r="A86" s="5" t="s">
        <v>160</v>
      </c>
      <c r="B86" s="5" t="s">
        <v>161</v>
      </c>
      <c r="C86" s="7">
        <v>6</v>
      </c>
      <c r="D86" s="7">
        <v>6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21"/>
    </row>
    <row r="87" spans="1:58" ht="15.75" x14ac:dyDescent="0.25">
      <c r="A87" s="5" t="s">
        <v>162</v>
      </c>
      <c r="B87" s="5" t="s">
        <v>163</v>
      </c>
      <c r="C87" s="7">
        <v>6</v>
      </c>
      <c r="D87" s="7">
        <v>6</v>
      </c>
      <c r="E87" s="7">
        <v>4672.7250000000004</v>
      </c>
      <c r="F87" s="7">
        <v>1331.8969999999999</v>
      </c>
      <c r="G87" s="7">
        <v>1175.6569999999999</v>
      </c>
      <c r="H87" s="7">
        <v>0</v>
      </c>
      <c r="I87" s="7">
        <v>295.06400000000002</v>
      </c>
      <c r="J87" s="7">
        <v>951.07399999999996</v>
      </c>
      <c r="K87" s="7">
        <v>5889.9009999999998</v>
      </c>
      <c r="L87" s="7">
        <v>952.24699999999996</v>
      </c>
      <c r="M87" s="7">
        <v>0</v>
      </c>
      <c r="N87" s="7">
        <v>2957.9780000000001</v>
      </c>
      <c r="O87" s="7">
        <v>13617.95</v>
      </c>
      <c r="P87" s="7">
        <v>2159.7840000000001</v>
      </c>
      <c r="Q87" s="7">
        <v>0</v>
      </c>
      <c r="R87" s="7">
        <v>0</v>
      </c>
      <c r="S87" s="7">
        <v>71.197999999999993</v>
      </c>
      <c r="T87" s="7">
        <v>0</v>
      </c>
      <c r="U87" s="7">
        <v>111.023</v>
      </c>
      <c r="V87" s="7">
        <v>147.42500000000001</v>
      </c>
      <c r="W87" s="7">
        <v>0</v>
      </c>
      <c r="X87" s="7">
        <v>0</v>
      </c>
      <c r="Y87" s="7">
        <v>0</v>
      </c>
      <c r="Z87" s="7">
        <v>64.284000000000006</v>
      </c>
      <c r="AA87" s="7">
        <v>162.91200000000001</v>
      </c>
      <c r="AB87" s="7">
        <v>0</v>
      </c>
      <c r="AC87" s="7">
        <v>675.92399999999998</v>
      </c>
      <c r="AD87" s="7">
        <v>0</v>
      </c>
      <c r="AE87" s="7">
        <v>487.72</v>
      </c>
      <c r="AF87" s="7">
        <v>0</v>
      </c>
      <c r="AG87" s="7">
        <v>67.400000000000006</v>
      </c>
      <c r="AH87" s="7">
        <v>0</v>
      </c>
      <c r="AI87" s="7">
        <v>2344.223</v>
      </c>
      <c r="AJ87" s="7">
        <v>0</v>
      </c>
      <c r="AK87" s="7">
        <v>0</v>
      </c>
      <c r="AL87" s="7">
        <v>10325.963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2.1819999999999999</v>
      </c>
      <c r="AV87" s="7">
        <v>0</v>
      </c>
      <c r="AW87" s="7">
        <v>0</v>
      </c>
      <c r="AX87" s="7">
        <v>0</v>
      </c>
      <c r="AY87" s="7">
        <v>0</v>
      </c>
      <c r="AZ87" s="7">
        <v>1.35</v>
      </c>
      <c r="BA87" s="7">
        <v>0</v>
      </c>
      <c r="BB87" s="7">
        <v>40.552999999999997</v>
      </c>
      <c r="BC87" s="7">
        <v>0</v>
      </c>
      <c r="BD87" s="7">
        <v>0</v>
      </c>
      <c r="BE87" s="7">
        <v>0</v>
      </c>
      <c r="BF87" s="21"/>
    </row>
    <row r="88" spans="1:58" ht="15.75" x14ac:dyDescent="0.25">
      <c r="A88" s="5" t="s">
        <v>164</v>
      </c>
      <c r="B88" s="5" t="s">
        <v>165</v>
      </c>
      <c r="C88" s="7">
        <v>6</v>
      </c>
      <c r="D88" s="7">
        <v>6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21"/>
    </row>
    <row r="89" spans="1:58" ht="15.75" x14ac:dyDescent="0.25">
      <c r="A89" s="5" t="s">
        <v>166</v>
      </c>
      <c r="B89" s="5" t="s">
        <v>167</v>
      </c>
      <c r="C89" s="7">
        <v>3</v>
      </c>
      <c r="D89" s="7">
        <v>3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21"/>
    </row>
    <row r="90" spans="1:58" ht="15.75" x14ac:dyDescent="0.25">
      <c r="A90" s="5" t="s">
        <v>168</v>
      </c>
      <c r="B90" s="5" t="s">
        <v>169</v>
      </c>
      <c r="C90" s="7">
        <v>3</v>
      </c>
      <c r="D90" s="7">
        <v>3</v>
      </c>
      <c r="E90" s="7">
        <v>35913.391000000003</v>
      </c>
      <c r="F90" s="7">
        <v>5929.402</v>
      </c>
      <c r="G90" s="7">
        <v>13670.973</v>
      </c>
      <c r="H90" s="7">
        <v>9626.7610000000004</v>
      </c>
      <c r="I90" s="7">
        <v>990.57100000000003</v>
      </c>
      <c r="J90" s="7">
        <v>9279.4240000000009</v>
      </c>
      <c r="K90" s="7">
        <v>11349.16</v>
      </c>
      <c r="L90" s="7">
        <v>9761.6550000000007</v>
      </c>
      <c r="M90" s="7">
        <v>0</v>
      </c>
      <c r="N90" s="7">
        <v>22466.316999999999</v>
      </c>
      <c r="O90" s="7">
        <v>26098.938999999998</v>
      </c>
      <c r="P90" s="7">
        <v>23733.444</v>
      </c>
      <c r="Q90" s="7">
        <v>0</v>
      </c>
      <c r="R90" s="7">
        <v>0</v>
      </c>
      <c r="S90" s="7">
        <v>2.0059999999999998</v>
      </c>
      <c r="T90" s="7">
        <v>0</v>
      </c>
      <c r="U90" s="7">
        <v>134.74299999999999</v>
      </c>
      <c r="V90" s="7">
        <v>2466.79</v>
      </c>
      <c r="W90" s="7">
        <v>0</v>
      </c>
      <c r="X90" s="7">
        <v>0</v>
      </c>
      <c r="Y90" s="7">
        <v>0</v>
      </c>
      <c r="Z90" s="7">
        <v>976.69299999999998</v>
      </c>
      <c r="AA90" s="7">
        <v>2395.17</v>
      </c>
      <c r="AB90" s="7">
        <v>0</v>
      </c>
      <c r="AC90" s="7">
        <v>7237.69</v>
      </c>
      <c r="AD90" s="7">
        <v>0</v>
      </c>
      <c r="AE90" s="7">
        <v>7240.9350000000004</v>
      </c>
      <c r="AF90" s="7">
        <v>0</v>
      </c>
      <c r="AG90" s="7">
        <v>971.65200000000004</v>
      </c>
      <c r="AH90" s="7">
        <v>0</v>
      </c>
      <c r="AI90" s="7">
        <v>17246.101999999999</v>
      </c>
      <c r="AJ90" s="7">
        <v>0</v>
      </c>
      <c r="AK90" s="7">
        <v>0</v>
      </c>
      <c r="AL90" s="7">
        <v>49025.133999999998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36.51</v>
      </c>
      <c r="AV90" s="7">
        <v>0</v>
      </c>
      <c r="AW90" s="7">
        <v>0</v>
      </c>
      <c r="AX90" s="7">
        <v>0</v>
      </c>
      <c r="AY90" s="7">
        <v>0</v>
      </c>
      <c r="AZ90" s="7">
        <v>22.591999999999999</v>
      </c>
      <c r="BA90" s="7">
        <v>0</v>
      </c>
      <c r="BB90" s="7">
        <v>678.55399999999997</v>
      </c>
      <c r="BC90" s="7">
        <v>0</v>
      </c>
      <c r="BD90" s="7">
        <v>0</v>
      </c>
      <c r="BE90" s="7">
        <v>0</v>
      </c>
      <c r="BF90" s="21"/>
    </row>
    <row r="91" spans="1:58" ht="15.75" x14ac:dyDescent="0.25">
      <c r="A91" s="5" t="s">
        <v>170</v>
      </c>
      <c r="B91" s="5" t="s">
        <v>171</v>
      </c>
      <c r="C91" s="7">
        <v>3</v>
      </c>
      <c r="D91" s="7">
        <v>3</v>
      </c>
      <c r="E91" s="7">
        <v>62175.722999999998</v>
      </c>
      <c r="F91" s="7">
        <v>10532.847</v>
      </c>
      <c r="G91" s="7">
        <v>22539.72</v>
      </c>
      <c r="H91" s="7">
        <v>0</v>
      </c>
      <c r="I91" s="7">
        <v>1831.778</v>
      </c>
      <c r="J91" s="7">
        <v>14294.218000000001</v>
      </c>
      <c r="K91" s="7">
        <v>20987.037</v>
      </c>
      <c r="L91" s="7">
        <v>18051.399000000001</v>
      </c>
      <c r="M91" s="7">
        <v>0</v>
      </c>
      <c r="N91" s="7">
        <v>41545.050000000003</v>
      </c>
      <c r="O91" s="7">
        <v>46493.453999999998</v>
      </c>
      <c r="P91" s="7">
        <v>40524.470999999998</v>
      </c>
      <c r="Q91" s="7">
        <v>0</v>
      </c>
      <c r="R91" s="7">
        <v>0</v>
      </c>
      <c r="S91" s="7">
        <v>3.71</v>
      </c>
      <c r="T91" s="7">
        <v>0</v>
      </c>
      <c r="U91" s="7">
        <v>0</v>
      </c>
      <c r="V91" s="7">
        <v>4561.625</v>
      </c>
      <c r="W91" s="7">
        <v>0</v>
      </c>
      <c r="X91" s="7">
        <v>0</v>
      </c>
      <c r="Y91" s="7">
        <v>0</v>
      </c>
      <c r="Z91" s="7">
        <v>1806.115</v>
      </c>
      <c r="AA91" s="7">
        <v>4429.1840000000002</v>
      </c>
      <c r="AB91" s="7">
        <v>0</v>
      </c>
      <c r="AC91" s="7">
        <v>13384.044</v>
      </c>
      <c r="AD91" s="7">
        <v>0</v>
      </c>
      <c r="AE91" s="7">
        <v>13390.046</v>
      </c>
      <c r="AF91" s="7">
        <v>0</v>
      </c>
      <c r="AG91" s="7">
        <v>1796.7929999999999</v>
      </c>
      <c r="AH91" s="7">
        <v>0</v>
      </c>
      <c r="AI91" s="7">
        <v>24126.012999999999</v>
      </c>
      <c r="AJ91" s="7">
        <v>0</v>
      </c>
      <c r="AK91" s="7">
        <v>0</v>
      </c>
      <c r="AL91" s="7">
        <v>82352.409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67.515000000000001</v>
      </c>
      <c r="AV91" s="7">
        <v>0</v>
      </c>
      <c r="AW91" s="7">
        <v>0</v>
      </c>
      <c r="AX91" s="7">
        <v>0</v>
      </c>
      <c r="AY91" s="7">
        <v>0</v>
      </c>
      <c r="AZ91" s="7">
        <v>41.777999999999999</v>
      </c>
      <c r="BA91" s="7">
        <v>0</v>
      </c>
      <c r="BB91" s="7">
        <v>1254.7919999999999</v>
      </c>
      <c r="BC91" s="7">
        <v>0</v>
      </c>
      <c r="BD91" s="7">
        <v>0</v>
      </c>
      <c r="BE91" s="7">
        <v>0</v>
      </c>
      <c r="BF91" s="21"/>
    </row>
    <row r="92" spans="1:58" ht="15.75" x14ac:dyDescent="0.25">
      <c r="A92" s="5" t="s">
        <v>172</v>
      </c>
      <c r="B92" s="5" t="s">
        <v>173</v>
      </c>
      <c r="C92" s="7">
        <v>3</v>
      </c>
      <c r="D92" s="7">
        <v>3</v>
      </c>
      <c r="E92" s="7">
        <v>19373.115000000002</v>
      </c>
      <c r="F92" s="7">
        <v>3023.0990000000002</v>
      </c>
      <c r="G92" s="7">
        <v>5851.759</v>
      </c>
      <c r="H92" s="7">
        <v>0</v>
      </c>
      <c r="I92" s="7">
        <v>550.98</v>
      </c>
      <c r="J92" s="7">
        <v>2259.009</v>
      </c>
      <c r="K92" s="7">
        <v>8667.3189999999995</v>
      </c>
      <c r="L92" s="7">
        <v>2277.6619999999998</v>
      </c>
      <c r="M92" s="7">
        <v>0</v>
      </c>
      <c r="N92" s="7">
        <v>5012.4679999999998</v>
      </c>
      <c r="O92" s="7">
        <v>34996.474999999999</v>
      </c>
      <c r="P92" s="7">
        <v>5836.0969999999998</v>
      </c>
      <c r="Q92" s="7">
        <v>0</v>
      </c>
      <c r="R92" s="7">
        <v>0</v>
      </c>
      <c r="S92" s="7">
        <v>1.8029999999999999</v>
      </c>
      <c r="T92" s="7">
        <v>0</v>
      </c>
      <c r="U92" s="7">
        <v>0</v>
      </c>
      <c r="V92" s="7">
        <v>1021.52</v>
      </c>
      <c r="W92" s="7">
        <v>0</v>
      </c>
      <c r="X92" s="7">
        <v>0</v>
      </c>
      <c r="Y92" s="7">
        <v>0</v>
      </c>
      <c r="Z92" s="7">
        <v>238.232</v>
      </c>
      <c r="AA92" s="7">
        <v>447.03500000000003</v>
      </c>
      <c r="AB92" s="7">
        <v>0</v>
      </c>
      <c r="AC92" s="7">
        <v>4654.53</v>
      </c>
      <c r="AD92" s="7">
        <v>0</v>
      </c>
      <c r="AE92" s="7">
        <v>2778.7849999999999</v>
      </c>
      <c r="AF92" s="7">
        <v>0</v>
      </c>
      <c r="AG92" s="7">
        <v>617.928</v>
      </c>
      <c r="AH92" s="7">
        <v>0</v>
      </c>
      <c r="AI92" s="7">
        <v>16878.64</v>
      </c>
      <c r="AJ92" s="7">
        <v>3851.0920000000001</v>
      </c>
      <c r="AK92" s="7">
        <v>0</v>
      </c>
      <c r="AL92" s="7">
        <v>57949.432000000001</v>
      </c>
      <c r="AM92" s="7">
        <v>7723.2190000000001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44.295000000000002</v>
      </c>
      <c r="AV92" s="7">
        <v>0</v>
      </c>
      <c r="AW92" s="7">
        <v>0</v>
      </c>
      <c r="AX92" s="7">
        <v>1013.277</v>
      </c>
      <c r="AY92" s="7">
        <v>0</v>
      </c>
      <c r="AZ92" s="7">
        <v>6.7670000000000003</v>
      </c>
      <c r="BA92" s="7">
        <v>0</v>
      </c>
      <c r="BB92" s="7">
        <v>343.12900000000002</v>
      </c>
      <c r="BC92" s="7">
        <v>0</v>
      </c>
      <c r="BD92" s="7">
        <v>0</v>
      </c>
      <c r="BE92" s="7">
        <v>14873.004999999999</v>
      </c>
      <c r="BF92" s="21"/>
    </row>
    <row r="93" spans="1:58" ht="15.75" x14ac:dyDescent="0.25">
      <c r="A93" s="5" t="s">
        <v>174</v>
      </c>
      <c r="B93" s="5" t="s">
        <v>175</v>
      </c>
      <c r="C93" s="7">
        <v>3</v>
      </c>
      <c r="D93" s="7">
        <v>3</v>
      </c>
      <c r="E93" s="7">
        <v>74947.883000000002</v>
      </c>
      <c r="F93" s="7">
        <v>10397.011</v>
      </c>
      <c r="G93" s="7">
        <v>21402.736000000001</v>
      </c>
      <c r="H93" s="7">
        <v>2564.828</v>
      </c>
      <c r="I93" s="7">
        <v>2637.5390000000002</v>
      </c>
      <c r="J93" s="7">
        <v>9720.6550000000007</v>
      </c>
      <c r="K93" s="7">
        <v>19350.628000000001</v>
      </c>
      <c r="L93" s="7">
        <v>8915.43</v>
      </c>
      <c r="M93" s="7">
        <v>0</v>
      </c>
      <c r="N93" s="7">
        <v>25599.743999999999</v>
      </c>
      <c r="O93" s="7">
        <v>104856.44</v>
      </c>
      <c r="P93" s="7">
        <v>29381.006000000001</v>
      </c>
      <c r="Q93" s="7">
        <v>0</v>
      </c>
      <c r="R93" s="7">
        <v>0</v>
      </c>
      <c r="S93" s="7">
        <v>0.63</v>
      </c>
      <c r="T93" s="7">
        <v>0</v>
      </c>
      <c r="U93" s="7">
        <v>0</v>
      </c>
      <c r="V93" s="7">
        <v>3905.6990000000001</v>
      </c>
      <c r="W93" s="7">
        <v>0</v>
      </c>
      <c r="X93" s="7">
        <v>0</v>
      </c>
      <c r="Y93" s="7">
        <v>0</v>
      </c>
      <c r="Z93" s="7">
        <v>931.93100000000004</v>
      </c>
      <c r="AA93" s="7">
        <v>1505.6859999999999</v>
      </c>
      <c r="AB93" s="7">
        <v>0</v>
      </c>
      <c r="AC93" s="7">
        <v>12135.339</v>
      </c>
      <c r="AD93" s="7">
        <v>0</v>
      </c>
      <c r="AE93" s="7">
        <v>14218.895</v>
      </c>
      <c r="AF93" s="7">
        <v>0</v>
      </c>
      <c r="AG93" s="7">
        <v>2374.3069999999998</v>
      </c>
      <c r="AH93" s="7">
        <v>0</v>
      </c>
      <c r="AI93" s="7">
        <v>39390.345000000001</v>
      </c>
      <c r="AJ93" s="7">
        <v>2837.9450000000002</v>
      </c>
      <c r="AK93" s="7">
        <v>0</v>
      </c>
      <c r="AL93" s="7">
        <v>202881.649</v>
      </c>
      <c r="AM93" s="7">
        <v>5665.1220000000003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218.25899999999999</v>
      </c>
      <c r="AV93" s="7">
        <v>0</v>
      </c>
      <c r="AW93" s="7">
        <v>0</v>
      </c>
      <c r="AX93" s="7">
        <v>735.83399999999995</v>
      </c>
      <c r="AY93" s="7">
        <v>0</v>
      </c>
      <c r="AZ93" s="7">
        <v>17.5</v>
      </c>
      <c r="BA93" s="7">
        <v>0</v>
      </c>
      <c r="BB93" s="7">
        <v>27.222000000000001</v>
      </c>
      <c r="BC93" s="7">
        <v>0</v>
      </c>
      <c r="BD93" s="7">
        <v>0</v>
      </c>
      <c r="BE93" s="7">
        <v>70756.683000000005</v>
      </c>
      <c r="BF93" s="21"/>
    </row>
    <row r="94" spans="1:58" ht="15.75" x14ac:dyDescent="0.25">
      <c r="A94" s="5" t="s">
        <v>176</v>
      </c>
      <c r="B94" s="5" t="s">
        <v>177</v>
      </c>
      <c r="C94" s="7">
        <v>3</v>
      </c>
      <c r="D94" s="7">
        <v>3</v>
      </c>
      <c r="E94" s="7">
        <v>118735.777</v>
      </c>
      <c r="F94" s="7">
        <v>22415.028999999999</v>
      </c>
      <c r="G94" s="7">
        <v>10680.129000000001</v>
      </c>
      <c r="H94" s="7">
        <v>23017.951000000001</v>
      </c>
      <c r="I94" s="7">
        <v>4483.8050000000003</v>
      </c>
      <c r="J94" s="7">
        <v>17658.282999999999</v>
      </c>
      <c r="K94" s="7">
        <v>61875.317000000003</v>
      </c>
      <c r="L94" s="7">
        <v>22597.517</v>
      </c>
      <c r="M94" s="7">
        <v>0</v>
      </c>
      <c r="N94" s="7">
        <v>69307.232999999993</v>
      </c>
      <c r="O94" s="7">
        <v>173601.42800000001</v>
      </c>
      <c r="P94" s="7">
        <v>72695.691999999995</v>
      </c>
      <c r="Q94" s="7">
        <v>0</v>
      </c>
      <c r="R94" s="7">
        <v>0</v>
      </c>
      <c r="S94" s="7">
        <v>1.6439999999999999</v>
      </c>
      <c r="T94" s="7">
        <v>0</v>
      </c>
      <c r="U94" s="7">
        <v>0</v>
      </c>
      <c r="V94" s="7">
        <v>8571.6720000000005</v>
      </c>
      <c r="W94" s="7">
        <v>0</v>
      </c>
      <c r="X94" s="7">
        <v>0</v>
      </c>
      <c r="Y94" s="7">
        <v>0</v>
      </c>
      <c r="Z94" s="7">
        <v>1153.787</v>
      </c>
      <c r="AA94" s="7">
        <v>6044.0060000000003</v>
      </c>
      <c r="AB94" s="7">
        <v>0</v>
      </c>
      <c r="AC94" s="7">
        <v>24729.642</v>
      </c>
      <c r="AD94" s="7">
        <v>0</v>
      </c>
      <c r="AE94" s="7">
        <v>28253.504000000001</v>
      </c>
      <c r="AF94" s="7">
        <v>0</v>
      </c>
      <c r="AG94" s="7">
        <v>3830.125</v>
      </c>
      <c r="AH94" s="7">
        <v>0</v>
      </c>
      <c r="AI94" s="7">
        <v>14094.198</v>
      </c>
      <c r="AJ94" s="7">
        <v>5351.9449999999997</v>
      </c>
      <c r="AK94" s="7">
        <v>0</v>
      </c>
      <c r="AL94" s="7">
        <v>304057.16800000001</v>
      </c>
      <c r="AM94" s="7">
        <v>10628.837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369.15800000000002</v>
      </c>
      <c r="AV94" s="7">
        <v>0</v>
      </c>
      <c r="AW94" s="7">
        <v>0</v>
      </c>
      <c r="AX94" s="7">
        <v>1365.018</v>
      </c>
      <c r="AY94" s="7">
        <v>0</v>
      </c>
      <c r="AZ94" s="7">
        <v>37.408000000000001</v>
      </c>
      <c r="BA94" s="7">
        <v>0</v>
      </c>
      <c r="BB94" s="7">
        <v>205.352</v>
      </c>
      <c r="BC94" s="7">
        <v>0</v>
      </c>
      <c r="BD94" s="7">
        <v>0</v>
      </c>
      <c r="BE94" s="7">
        <v>24403.462</v>
      </c>
      <c r="BF94" s="21"/>
    </row>
    <row r="95" spans="1:58" ht="15.75" x14ac:dyDescent="0.25">
      <c r="A95" s="5" t="s">
        <v>178</v>
      </c>
      <c r="B95" s="5" t="s">
        <v>179</v>
      </c>
      <c r="C95" s="7">
        <v>6</v>
      </c>
      <c r="D95" s="7">
        <v>6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21"/>
    </row>
    <row r="96" spans="1:58" ht="15.75" x14ac:dyDescent="0.25">
      <c r="A96" s="5" t="s">
        <v>180</v>
      </c>
      <c r="B96" s="5" t="s">
        <v>181</v>
      </c>
      <c r="C96" s="7">
        <v>6</v>
      </c>
      <c r="D96" s="7">
        <v>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21"/>
    </row>
    <row r="97" spans="1:58" ht="15.75" x14ac:dyDescent="0.25">
      <c r="A97" s="5" t="s">
        <v>182</v>
      </c>
      <c r="B97" s="5" t="s">
        <v>183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21"/>
    </row>
    <row r="98" spans="1:58" ht="15.75" x14ac:dyDescent="0.25">
      <c r="A98" s="5" t="s">
        <v>184</v>
      </c>
      <c r="B98" s="5" t="s">
        <v>185</v>
      </c>
      <c r="C98" s="7">
        <v>6</v>
      </c>
      <c r="D98" s="7">
        <v>6</v>
      </c>
      <c r="E98" s="7">
        <v>29.792999999999999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59.585000000000001</v>
      </c>
      <c r="L98" s="7">
        <v>0</v>
      </c>
      <c r="M98" s="7">
        <v>0</v>
      </c>
      <c r="N98" s="7">
        <v>29.792999999999999</v>
      </c>
      <c r="O98" s="7">
        <v>387.303</v>
      </c>
      <c r="P98" s="7">
        <v>89.378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59.585000000000001</v>
      </c>
      <c r="AJ98" s="7">
        <v>0</v>
      </c>
      <c r="AK98" s="7">
        <v>0</v>
      </c>
      <c r="AL98" s="7">
        <v>59.585000000000001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21"/>
    </row>
    <row r="99" spans="1:58" ht="15.75" x14ac:dyDescent="0.25">
      <c r="A99" s="5" t="s">
        <v>186</v>
      </c>
      <c r="B99" s="5" t="s">
        <v>187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21"/>
    </row>
    <row r="100" spans="1:58" ht="15.75" x14ac:dyDescent="0.25">
      <c r="A100" s="5" t="s">
        <v>188</v>
      </c>
      <c r="B100" s="5" t="s">
        <v>189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21"/>
    </row>
    <row r="101" spans="1:58" ht="15.75" x14ac:dyDescent="0.25">
      <c r="A101" s="5" t="s">
        <v>190</v>
      </c>
      <c r="B101" s="5" t="s">
        <v>191</v>
      </c>
      <c r="C101" s="7">
        <v>6</v>
      </c>
      <c r="D101" s="7">
        <v>6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21"/>
    </row>
    <row r="102" spans="1:58" ht="15.75" x14ac:dyDescent="0.25">
      <c r="A102" s="5" t="s">
        <v>192</v>
      </c>
      <c r="B102" s="5" t="s">
        <v>193</v>
      </c>
      <c r="C102" s="7">
        <v>6</v>
      </c>
      <c r="D102" s="7">
        <v>6</v>
      </c>
      <c r="E102" s="7">
        <v>0</v>
      </c>
      <c r="F102" s="7">
        <v>0</v>
      </c>
      <c r="G102" s="7">
        <v>0</v>
      </c>
      <c r="H102" s="7">
        <v>1876.7829999999999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21"/>
    </row>
    <row r="103" spans="1:58" ht="15.75" x14ac:dyDescent="0.25">
      <c r="A103" s="5" t="s">
        <v>194</v>
      </c>
      <c r="B103" s="5" t="s">
        <v>195</v>
      </c>
      <c r="C103" s="7">
        <v>4</v>
      </c>
      <c r="D103" s="7">
        <v>4</v>
      </c>
      <c r="E103" s="7">
        <v>179582.95699999999</v>
      </c>
      <c r="F103" s="7">
        <v>52891.788999999997</v>
      </c>
      <c r="G103" s="7">
        <v>61.688000000000002</v>
      </c>
      <c r="H103" s="7">
        <v>0</v>
      </c>
      <c r="I103" s="7">
        <v>3236.4650000000001</v>
      </c>
      <c r="J103" s="7">
        <v>39.390999999999998</v>
      </c>
      <c r="K103" s="7">
        <v>251963.05600000001</v>
      </c>
      <c r="L103" s="7">
        <v>16528.292000000001</v>
      </c>
      <c r="M103" s="7">
        <v>0</v>
      </c>
      <c r="N103" s="7">
        <v>27463.514999999999</v>
      </c>
      <c r="O103" s="7">
        <v>651605.61600000004</v>
      </c>
      <c r="P103" s="7">
        <v>34161.237999999998</v>
      </c>
      <c r="Q103" s="7">
        <v>0</v>
      </c>
      <c r="R103" s="7">
        <v>47.741</v>
      </c>
      <c r="S103" s="7">
        <v>25.882999999999999</v>
      </c>
      <c r="T103" s="7">
        <v>57.094000000000001</v>
      </c>
      <c r="U103" s="7">
        <v>0</v>
      </c>
      <c r="V103" s="7">
        <v>15093.545</v>
      </c>
      <c r="W103" s="7">
        <v>0</v>
      </c>
      <c r="X103" s="7">
        <v>986.43</v>
      </c>
      <c r="Y103" s="7">
        <v>0</v>
      </c>
      <c r="Z103" s="7">
        <v>0</v>
      </c>
      <c r="AA103" s="7">
        <v>4743.4139999999998</v>
      </c>
      <c r="AB103" s="7">
        <v>2386.7649999999999</v>
      </c>
      <c r="AC103" s="7">
        <v>91459.891000000003</v>
      </c>
      <c r="AD103" s="7">
        <v>0</v>
      </c>
      <c r="AE103" s="7">
        <v>0</v>
      </c>
      <c r="AF103" s="7">
        <v>1952.5650000000001</v>
      </c>
      <c r="AG103" s="7">
        <v>7613.26</v>
      </c>
      <c r="AH103" s="7">
        <v>0</v>
      </c>
      <c r="AI103" s="7">
        <v>244645.802</v>
      </c>
      <c r="AJ103" s="7">
        <v>116575.355</v>
      </c>
      <c r="AK103" s="7">
        <v>0</v>
      </c>
      <c r="AL103" s="7">
        <v>792313.6</v>
      </c>
      <c r="AM103" s="7">
        <v>233787.43100000001</v>
      </c>
      <c r="AN103" s="7">
        <v>0</v>
      </c>
      <c r="AO103" s="7">
        <v>0</v>
      </c>
      <c r="AP103" s="7">
        <v>2245.7559999999999</v>
      </c>
      <c r="AQ103" s="7">
        <v>901.58600000000001</v>
      </c>
      <c r="AR103" s="7">
        <v>0</v>
      </c>
      <c r="AS103" s="7">
        <v>0</v>
      </c>
      <c r="AT103" s="7">
        <v>0</v>
      </c>
      <c r="AU103" s="7">
        <v>312.947</v>
      </c>
      <c r="AV103" s="7">
        <v>48.561999999999998</v>
      </c>
      <c r="AW103" s="7">
        <v>0</v>
      </c>
      <c r="AX103" s="7">
        <v>30672.625</v>
      </c>
      <c r="AY103" s="7">
        <v>0</v>
      </c>
      <c r="AZ103" s="7">
        <v>135.91900000000001</v>
      </c>
      <c r="BA103" s="7">
        <v>0</v>
      </c>
      <c r="BB103" s="7">
        <v>1114.2439999999999</v>
      </c>
      <c r="BC103" s="7">
        <v>0</v>
      </c>
      <c r="BD103" s="7">
        <v>0</v>
      </c>
      <c r="BE103" s="7">
        <v>0</v>
      </c>
      <c r="BF103" s="21"/>
    </row>
    <row r="104" spans="1:58" ht="15.75" x14ac:dyDescent="0.25">
      <c r="A104" s="5" t="s">
        <v>196</v>
      </c>
      <c r="B104" s="5" t="s">
        <v>197</v>
      </c>
      <c r="C104" s="7">
        <v>4</v>
      </c>
      <c r="D104" s="7">
        <v>4</v>
      </c>
      <c r="E104" s="7">
        <v>99579.07</v>
      </c>
      <c r="F104" s="7">
        <v>28157.439999999999</v>
      </c>
      <c r="G104" s="7">
        <v>34.506</v>
      </c>
      <c r="H104" s="7">
        <v>442.22300000000001</v>
      </c>
      <c r="I104" s="7">
        <v>1810.327</v>
      </c>
      <c r="J104" s="7">
        <v>22.033999999999999</v>
      </c>
      <c r="K104" s="7">
        <v>137022.58100000001</v>
      </c>
      <c r="L104" s="7">
        <v>9245.1550000000007</v>
      </c>
      <c r="M104" s="7">
        <v>0</v>
      </c>
      <c r="N104" s="7">
        <v>15361.808000000001</v>
      </c>
      <c r="O104" s="7">
        <v>376773.13699999999</v>
      </c>
      <c r="P104" s="7">
        <v>19108.201000000001</v>
      </c>
      <c r="Q104" s="7">
        <v>0</v>
      </c>
      <c r="R104" s="7">
        <v>16.943999999999999</v>
      </c>
      <c r="S104" s="7">
        <v>14.478</v>
      </c>
      <c r="T104" s="7">
        <v>20.263999999999999</v>
      </c>
      <c r="U104" s="7">
        <v>0</v>
      </c>
      <c r="V104" s="7">
        <v>8442.625</v>
      </c>
      <c r="W104" s="7">
        <v>0</v>
      </c>
      <c r="X104" s="7">
        <v>350.10399999999998</v>
      </c>
      <c r="Y104" s="7">
        <v>0</v>
      </c>
      <c r="Z104" s="7">
        <v>0</v>
      </c>
      <c r="AA104" s="7">
        <v>2653.2449999999999</v>
      </c>
      <c r="AB104" s="7">
        <v>847.11199999999997</v>
      </c>
      <c r="AC104" s="7">
        <v>51158.392999999996</v>
      </c>
      <c r="AD104" s="7">
        <v>0</v>
      </c>
      <c r="AE104" s="7">
        <v>0</v>
      </c>
      <c r="AF104" s="7">
        <v>693.00599999999997</v>
      </c>
      <c r="AG104" s="7">
        <v>4258.5020000000004</v>
      </c>
      <c r="AH104" s="7">
        <v>0</v>
      </c>
      <c r="AI104" s="7">
        <v>136843.44</v>
      </c>
      <c r="AJ104" s="7">
        <v>65206.811000000002</v>
      </c>
      <c r="AK104" s="7">
        <v>0</v>
      </c>
      <c r="AL104" s="7">
        <v>443092.00599999999</v>
      </c>
      <c r="AM104" s="7">
        <v>130769.774</v>
      </c>
      <c r="AN104" s="7">
        <v>0</v>
      </c>
      <c r="AO104" s="7">
        <v>0</v>
      </c>
      <c r="AP104" s="7">
        <v>797.06500000000005</v>
      </c>
      <c r="AQ104" s="7">
        <v>319.99099999999999</v>
      </c>
      <c r="AR104" s="7">
        <v>0</v>
      </c>
      <c r="AS104" s="7">
        <v>0</v>
      </c>
      <c r="AT104" s="7">
        <v>0</v>
      </c>
      <c r="AU104" s="7">
        <v>175.048</v>
      </c>
      <c r="AV104" s="7">
        <v>17.236000000000001</v>
      </c>
      <c r="AW104" s="7">
        <v>0</v>
      </c>
      <c r="AX104" s="7">
        <v>17156.833999999999</v>
      </c>
      <c r="AY104" s="7">
        <v>0</v>
      </c>
      <c r="AZ104" s="7">
        <v>76.027000000000001</v>
      </c>
      <c r="BA104" s="7">
        <v>0</v>
      </c>
      <c r="BB104" s="7">
        <v>623.25599999999997</v>
      </c>
      <c r="BC104" s="7">
        <v>0</v>
      </c>
      <c r="BD104" s="7">
        <v>0</v>
      </c>
      <c r="BE104" s="7">
        <v>0</v>
      </c>
      <c r="BF104" s="21"/>
    </row>
    <row r="105" spans="1:58" ht="15.75" x14ac:dyDescent="0.25">
      <c r="A105" s="5" t="s">
        <v>198</v>
      </c>
      <c r="B105" s="5" t="s">
        <v>199</v>
      </c>
      <c r="C105" s="7">
        <v>4</v>
      </c>
      <c r="D105" s="7">
        <v>4</v>
      </c>
      <c r="E105" s="7">
        <v>44379.044000000002</v>
      </c>
      <c r="F105" s="7">
        <v>13345.328</v>
      </c>
      <c r="G105" s="7">
        <v>118.032</v>
      </c>
      <c r="H105" s="7">
        <v>9.7949999999999999</v>
      </c>
      <c r="I105" s="7">
        <v>857.75400000000002</v>
      </c>
      <c r="J105" s="7">
        <v>74.917000000000002</v>
      </c>
      <c r="K105" s="7">
        <v>70812.847999999998</v>
      </c>
      <c r="L105" s="7">
        <v>4635.3249999999998</v>
      </c>
      <c r="M105" s="7">
        <v>0</v>
      </c>
      <c r="N105" s="7">
        <v>9228.2559999999994</v>
      </c>
      <c r="O105" s="7">
        <v>161973.97099999999</v>
      </c>
      <c r="P105" s="7">
        <v>11830.09</v>
      </c>
      <c r="Q105" s="7">
        <v>0</v>
      </c>
      <c r="R105" s="7">
        <v>59.476999999999997</v>
      </c>
      <c r="S105" s="7">
        <v>6.1180000000000003</v>
      </c>
      <c r="T105" s="7">
        <v>71.129000000000005</v>
      </c>
      <c r="U105" s="7">
        <v>0</v>
      </c>
      <c r="V105" s="7">
        <v>3578.5949999999998</v>
      </c>
      <c r="W105" s="7">
        <v>0</v>
      </c>
      <c r="X105" s="7">
        <v>1228.9169999999999</v>
      </c>
      <c r="Y105" s="7">
        <v>0</v>
      </c>
      <c r="Z105" s="7">
        <v>8.2929999999999993</v>
      </c>
      <c r="AA105" s="7">
        <v>1138.3910000000001</v>
      </c>
      <c r="AB105" s="7">
        <v>2973.4870000000001</v>
      </c>
      <c r="AC105" s="7">
        <v>21619.163</v>
      </c>
      <c r="AD105" s="7">
        <v>0</v>
      </c>
      <c r="AE105" s="7">
        <v>61.481000000000002</v>
      </c>
      <c r="AF105" s="7">
        <v>2432.5509999999999</v>
      </c>
      <c r="AG105" s="7">
        <v>1802.7460000000001</v>
      </c>
      <c r="AH105" s="7">
        <v>0</v>
      </c>
      <c r="AI105" s="7">
        <v>57775.432999999997</v>
      </c>
      <c r="AJ105" s="7">
        <v>27481.828000000001</v>
      </c>
      <c r="AK105" s="7">
        <v>0</v>
      </c>
      <c r="AL105" s="7">
        <v>187093.31299999999</v>
      </c>
      <c r="AM105" s="7">
        <v>55119.963000000003</v>
      </c>
      <c r="AN105" s="7">
        <v>0</v>
      </c>
      <c r="AO105" s="7">
        <v>0</v>
      </c>
      <c r="AP105" s="7">
        <v>2797.8150000000001</v>
      </c>
      <c r="AQ105" s="7">
        <v>1123.2170000000001</v>
      </c>
      <c r="AR105" s="7">
        <v>0</v>
      </c>
      <c r="AS105" s="7">
        <v>0</v>
      </c>
      <c r="AT105" s="7">
        <v>0</v>
      </c>
      <c r="AU105" s="7">
        <v>74.073999999999998</v>
      </c>
      <c r="AV105" s="7">
        <v>60.5</v>
      </c>
      <c r="AW105" s="7">
        <v>0</v>
      </c>
      <c r="AX105" s="7">
        <v>7229.7439999999997</v>
      </c>
      <c r="AY105" s="7">
        <v>0</v>
      </c>
      <c r="AZ105" s="7">
        <v>32.228999999999999</v>
      </c>
      <c r="BA105" s="7">
        <v>0</v>
      </c>
      <c r="BB105" s="7">
        <v>268.39600000000002</v>
      </c>
      <c r="BC105" s="7">
        <v>0</v>
      </c>
      <c r="BD105" s="7">
        <v>0</v>
      </c>
      <c r="BE105" s="7">
        <v>0</v>
      </c>
      <c r="BF105" s="21"/>
    </row>
    <row r="106" spans="1:58" ht="15.75" x14ac:dyDescent="0.25">
      <c r="A106" s="5" t="s">
        <v>200</v>
      </c>
      <c r="B106" s="5" t="s">
        <v>201</v>
      </c>
      <c r="C106" s="7">
        <v>4</v>
      </c>
      <c r="D106" s="7">
        <v>4</v>
      </c>
      <c r="E106" s="7">
        <v>2088.982</v>
      </c>
      <c r="F106" s="7">
        <v>589.92100000000005</v>
      </c>
      <c r="G106" s="7">
        <v>3.181</v>
      </c>
      <c r="H106" s="7">
        <v>0</v>
      </c>
      <c r="I106" s="7">
        <v>38.054000000000002</v>
      </c>
      <c r="J106" s="7">
        <v>2.02</v>
      </c>
      <c r="K106" s="7">
        <v>2867.433</v>
      </c>
      <c r="L106" s="7">
        <v>195.286</v>
      </c>
      <c r="M106" s="7">
        <v>0</v>
      </c>
      <c r="N106" s="7">
        <v>325.74799999999999</v>
      </c>
      <c r="O106" s="7">
        <v>7547.902</v>
      </c>
      <c r="P106" s="7">
        <v>403.97399999999999</v>
      </c>
      <c r="Q106" s="7">
        <v>0</v>
      </c>
      <c r="R106" s="7">
        <v>5.38</v>
      </c>
      <c r="S106" s="7">
        <v>0.30299999999999999</v>
      </c>
      <c r="T106" s="7">
        <v>6.4340000000000002</v>
      </c>
      <c r="U106" s="7">
        <v>0</v>
      </c>
      <c r="V106" s="7">
        <v>177.03299999999999</v>
      </c>
      <c r="W106" s="7">
        <v>0</v>
      </c>
      <c r="X106" s="7">
        <v>111.164</v>
      </c>
      <c r="Y106" s="7">
        <v>0</v>
      </c>
      <c r="Z106" s="7">
        <v>0.19700000000000001</v>
      </c>
      <c r="AA106" s="7">
        <v>55.963000000000001</v>
      </c>
      <c r="AB106" s="7">
        <v>268.97199999999998</v>
      </c>
      <c r="AC106" s="7">
        <v>1071.183</v>
      </c>
      <c r="AD106" s="7">
        <v>0</v>
      </c>
      <c r="AE106" s="7">
        <v>1.4610000000000001</v>
      </c>
      <c r="AF106" s="7">
        <v>220.041</v>
      </c>
      <c r="AG106" s="7">
        <v>89.241</v>
      </c>
      <c r="AH106" s="7">
        <v>0</v>
      </c>
      <c r="AI106" s="7">
        <v>2864.03</v>
      </c>
      <c r="AJ106" s="7">
        <v>1363.4749999999999</v>
      </c>
      <c r="AK106" s="7">
        <v>0</v>
      </c>
      <c r="AL106" s="7">
        <v>9274.0419999999995</v>
      </c>
      <c r="AM106" s="7">
        <v>2734.3969999999999</v>
      </c>
      <c r="AN106" s="7">
        <v>0</v>
      </c>
      <c r="AO106" s="7">
        <v>0</v>
      </c>
      <c r="AP106" s="7">
        <v>253.08099999999999</v>
      </c>
      <c r="AQ106" s="7">
        <v>101.60299999999999</v>
      </c>
      <c r="AR106" s="7">
        <v>0</v>
      </c>
      <c r="AS106" s="7">
        <v>0</v>
      </c>
      <c r="AT106" s="7">
        <v>0</v>
      </c>
      <c r="AU106" s="7">
        <v>3.6680000000000001</v>
      </c>
      <c r="AV106" s="7">
        <v>5.4729999999999999</v>
      </c>
      <c r="AW106" s="7">
        <v>680.49699999999996</v>
      </c>
      <c r="AX106" s="7">
        <v>358.75</v>
      </c>
      <c r="AY106" s="7">
        <v>307.435</v>
      </c>
      <c r="AZ106" s="7">
        <v>1.5940000000000001</v>
      </c>
      <c r="BA106" s="7">
        <v>0</v>
      </c>
      <c r="BB106" s="7">
        <v>13.169</v>
      </c>
      <c r="BC106" s="7">
        <v>1416.299</v>
      </c>
      <c r="BD106" s="7">
        <v>1180.2929999999999</v>
      </c>
      <c r="BE106" s="7">
        <v>0</v>
      </c>
      <c r="BF106" s="21"/>
    </row>
    <row r="107" spans="1:58" ht="15.75" x14ac:dyDescent="0.25">
      <c r="A107" s="5" t="s">
        <v>202</v>
      </c>
      <c r="B107" s="5" t="s">
        <v>203</v>
      </c>
      <c r="C107" s="7">
        <v>4</v>
      </c>
      <c r="D107" s="7">
        <v>4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21"/>
    </row>
    <row r="108" spans="1:58" ht="15.75" x14ac:dyDescent="0.25">
      <c r="A108" s="5" t="s">
        <v>204</v>
      </c>
      <c r="B108" s="5" t="s">
        <v>205</v>
      </c>
      <c r="C108" s="7">
        <v>4</v>
      </c>
      <c r="D108" s="7">
        <v>4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21"/>
    </row>
    <row r="109" spans="1:58" ht="15.75" x14ac:dyDescent="0.25">
      <c r="A109" s="5" t="s">
        <v>206</v>
      </c>
      <c r="B109" s="5" t="s">
        <v>207</v>
      </c>
      <c r="C109" s="7">
        <v>6</v>
      </c>
      <c r="D109" s="7">
        <v>6</v>
      </c>
      <c r="E109" s="7">
        <v>46103.025999999998</v>
      </c>
      <c r="F109" s="7">
        <v>692.46699999999998</v>
      </c>
      <c r="G109" s="7">
        <v>1.69</v>
      </c>
      <c r="H109" s="7">
        <v>9.1530000000000005</v>
      </c>
      <c r="I109" s="7">
        <v>1.4610000000000001</v>
      </c>
      <c r="J109" s="7">
        <v>2.036</v>
      </c>
      <c r="K109" s="7">
        <v>62043.235999999997</v>
      </c>
      <c r="L109" s="7">
        <v>683.96</v>
      </c>
      <c r="M109" s="7">
        <v>0</v>
      </c>
      <c r="N109" s="7">
        <v>18913.044000000002</v>
      </c>
      <c r="O109" s="7">
        <v>103025.594</v>
      </c>
      <c r="P109" s="7">
        <v>15885.68</v>
      </c>
      <c r="Q109" s="7">
        <v>0</v>
      </c>
      <c r="R109" s="7">
        <v>0</v>
      </c>
      <c r="S109" s="7">
        <v>0.32</v>
      </c>
      <c r="T109" s="7">
        <v>0</v>
      </c>
      <c r="U109" s="7">
        <v>2E-3</v>
      </c>
      <c r="V109" s="7">
        <v>2.0129999999999999</v>
      </c>
      <c r="W109" s="7">
        <v>0</v>
      </c>
      <c r="X109" s="7">
        <v>0</v>
      </c>
      <c r="Y109" s="7">
        <v>0</v>
      </c>
      <c r="Z109" s="7">
        <v>0</v>
      </c>
      <c r="AA109" s="7">
        <v>0.63300000000000001</v>
      </c>
      <c r="AB109" s="7">
        <v>0</v>
      </c>
      <c r="AC109" s="7">
        <v>23106.081999999999</v>
      </c>
      <c r="AD109" s="7">
        <v>0</v>
      </c>
      <c r="AE109" s="7">
        <v>0</v>
      </c>
      <c r="AF109" s="7">
        <v>0</v>
      </c>
      <c r="AG109" s="7">
        <v>1.0149999999999999</v>
      </c>
      <c r="AH109" s="7">
        <v>0</v>
      </c>
      <c r="AI109" s="7">
        <v>79681.960999999996</v>
      </c>
      <c r="AJ109" s="7">
        <v>712.44799999999998</v>
      </c>
      <c r="AK109" s="7">
        <v>0</v>
      </c>
      <c r="AL109" s="7">
        <v>189716.62299999999</v>
      </c>
      <c r="AM109" s="7">
        <v>890.23599999999999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4.2000000000000003E-2</v>
      </c>
      <c r="AV109" s="7">
        <v>0</v>
      </c>
      <c r="AW109" s="7">
        <v>0</v>
      </c>
      <c r="AX109" s="7">
        <v>4.0910000000000002</v>
      </c>
      <c r="AY109" s="7">
        <v>0</v>
      </c>
      <c r="AZ109" s="7">
        <v>2.4E-2</v>
      </c>
      <c r="BA109" s="7">
        <v>0</v>
      </c>
      <c r="BB109" s="7">
        <v>0.14799999999999999</v>
      </c>
      <c r="BC109" s="7">
        <v>0</v>
      </c>
      <c r="BD109" s="7">
        <v>0</v>
      </c>
      <c r="BE109" s="7">
        <v>0</v>
      </c>
      <c r="BF109" s="21"/>
    </row>
    <row r="110" spans="1:58" ht="15.75" x14ac:dyDescent="0.25">
      <c r="A110" s="5" t="s">
        <v>208</v>
      </c>
      <c r="B110" s="5" t="s">
        <v>209</v>
      </c>
      <c r="C110" s="7">
        <v>4</v>
      </c>
      <c r="D110" s="7">
        <v>4</v>
      </c>
      <c r="E110" s="7">
        <v>64091.233999999997</v>
      </c>
      <c r="F110" s="7">
        <v>18110.388999999999</v>
      </c>
      <c r="G110" s="7">
        <v>22.055</v>
      </c>
      <c r="H110" s="7">
        <v>0</v>
      </c>
      <c r="I110" s="7">
        <v>1159.6110000000001</v>
      </c>
      <c r="J110" s="7">
        <v>14.081</v>
      </c>
      <c r="K110" s="7">
        <v>88397.837</v>
      </c>
      <c r="L110" s="7">
        <v>5929.9290000000001</v>
      </c>
      <c r="M110" s="7">
        <v>0</v>
      </c>
      <c r="N110" s="7">
        <v>10098.614</v>
      </c>
      <c r="O110" s="7">
        <v>233376.35399999999</v>
      </c>
      <c r="P110" s="7">
        <v>12499.726000000001</v>
      </c>
      <c r="Q110" s="7">
        <v>0</v>
      </c>
      <c r="R110" s="7">
        <v>0</v>
      </c>
      <c r="S110" s="7">
        <v>9.2539999999999996</v>
      </c>
      <c r="T110" s="7">
        <v>0</v>
      </c>
      <c r="U110" s="7">
        <v>0</v>
      </c>
      <c r="V110" s="7">
        <v>5409.0320000000002</v>
      </c>
      <c r="W110" s="7">
        <v>0</v>
      </c>
      <c r="X110" s="7">
        <v>0</v>
      </c>
      <c r="Y110" s="7">
        <v>0</v>
      </c>
      <c r="Z110" s="7">
        <v>0</v>
      </c>
      <c r="AA110" s="7">
        <v>1700.2629999999999</v>
      </c>
      <c r="AB110" s="7">
        <v>0</v>
      </c>
      <c r="AC110" s="7">
        <v>32862.591</v>
      </c>
      <c r="AD110" s="7">
        <v>0</v>
      </c>
      <c r="AE110" s="7">
        <v>0</v>
      </c>
      <c r="AF110" s="7">
        <v>46.488999999999997</v>
      </c>
      <c r="AG110" s="7">
        <v>2728.7710000000002</v>
      </c>
      <c r="AH110" s="7">
        <v>0</v>
      </c>
      <c r="AI110" s="7">
        <v>88033.377999999997</v>
      </c>
      <c r="AJ110" s="7">
        <v>41908.656999999999</v>
      </c>
      <c r="AK110" s="7">
        <v>0</v>
      </c>
      <c r="AL110" s="7">
        <v>285890.21399999998</v>
      </c>
      <c r="AM110" s="7">
        <v>83921.823000000004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112.405</v>
      </c>
      <c r="AV110" s="7">
        <v>0</v>
      </c>
      <c r="AW110" s="7">
        <v>111.509</v>
      </c>
      <c r="AX110" s="7">
        <v>11044.91</v>
      </c>
      <c r="AY110" s="7">
        <v>50.408000000000001</v>
      </c>
      <c r="AZ110" s="7">
        <v>48.726999999999997</v>
      </c>
      <c r="BA110" s="7">
        <v>0</v>
      </c>
      <c r="BB110" s="7">
        <v>468.53899999999999</v>
      </c>
      <c r="BC110" s="7">
        <v>230.273</v>
      </c>
      <c r="BD110" s="7">
        <v>193.99700000000001</v>
      </c>
      <c r="BE110" s="7">
        <v>26.047999999999998</v>
      </c>
      <c r="BF110" s="21"/>
    </row>
    <row r="111" spans="1:58" ht="15.75" x14ac:dyDescent="0.25">
      <c r="A111" s="5" t="s">
        <v>210</v>
      </c>
      <c r="B111" s="5" t="s">
        <v>211</v>
      </c>
      <c r="C111" s="7">
        <v>4</v>
      </c>
      <c r="D111" s="7">
        <v>4</v>
      </c>
      <c r="E111" s="7">
        <v>163893.02299999999</v>
      </c>
      <c r="F111" s="7">
        <v>43137.72</v>
      </c>
      <c r="G111" s="7">
        <v>111.42400000000001</v>
      </c>
      <c r="H111" s="7">
        <v>147.26300000000001</v>
      </c>
      <c r="I111" s="7">
        <v>2580.6219999999998</v>
      </c>
      <c r="J111" s="7">
        <v>229.72399999999999</v>
      </c>
      <c r="K111" s="7">
        <v>240821.296</v>
      </c>
      <c r="L111" s="7">
        <v>20475.530999999999</v>
      </c>
      <c r="M111" s="7">
        <v>0</v>
      </c>
      <c r="N111" s="7">
        <v>25918.530999999999</v>
      </c>
      <c r="O111" s="7">
        <v>551863.73400000005</v>
      </c>
      <c r="P111" s="7">
        <v>34328.641000000003</v>
      </c>
      <c r="Q111" s="7">
        <v>0</v>
      </c>
      <c r="R111" s="7">
        <v>0</v>
      </c>
      <c r="S111" s="7">
        <v>0.73799999999999999</v>
      </c>
      <c r="T111" s="7">
        <v>0</v>
      </c>
      <c r="U111" s="7">
        <v>0</v>
      </c>
      <c r="V111" s="7">
        <v>12737.273999999999</v>
      </c>
      <c r="W111" s="7">
        <v>0</v>
      </c>
      <c r="X111" s="7">
        <v>0</v>
      </c>
      <c r="Y111" s="7">
        <v>0</v>
      </c>
      <c r="Z111" s="7">
        <v>13.311999999999999</v>
      </c>
      <c r="AA111" s="7">
        <v>4409.8580000000002</v>
      </c>
      <c r="AB111" s="7">
        <v>0</v>
      </c>
      <c r="AC111" s="7">
        <v>86704.341</v>
      </c>
      <c r="AD111" s="7">
        <v>0</v>
      </c>
      <c r="AE111" s="7">
        <v>383.01600000000002</v>
      </c>
      <c r="AF111" s="7">
        <v>27.16</v>
      </c>
      <c r="AG111" s="7">
        <v>6782.1329999999998</v>
      </c>
      <c r="AH111" s="7">
        <v>0</v>
      </c>
      <c r="AI111" s="7">
        <v>222919.057</v>
      </c>
      <c r="AJ111" s="7">
        <v>110950.815</v>
      </c>
      <c r="AK111" s="7">
        <v>0</v>
      </c>
      <c r="AL111" s="7">
        <v>730129.99899999995</v>
      </c>
      <c r="AM111" s="7">
        <v>214080.799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476.63</v>
      </c>
      <c r="AV111" s="7">
        <v>0</v>
      </c>
      <c r="AW111" s="7">
        <v>22143.504000000001</v>
      </c>
      <c r="AX111" s="7">
        <v>30386.966</v>
      </c>
      <c r="AY111" s="7">
        <v>9979.14</v>
      </c>
      <c r="AZ111" s="7">
        <v>119.265</v>
      </c>
      <c r="BA111" s="7">
        <v>0</v>
      </c>
      <c r="BB111" s="7">
        <v>948.505</v>
      </c>
      <c r="BC111" s="7">
        <v>46106.671999999999</v>
      </c>
      <c r="BD111" s="7">
        <v>38457.379999999997</v>
      </c>
      <c r="BE111" s="7">
        <v>23232.824000000001</v>
      </c>
      <c r="BF111" s="21"/>
    </row>
    <row r="112" spans="1:58" ht="15.75" x14ac:dyDescent="0.25">
      <c r="A112" s="5" t="s">
        <v>212</v>
      </c>
      <c r="B112" s="5" t="s">
        <v>213</v>
      </c>
      <c r="C112" s="7">
        <v>4</v>
      </c>
      <c r="D112" s="7">
        <v>4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21"/>
    </row>
    <row r="113" spans="1:58" ht="15.75" x14ac:dyDescent="0.25">
      <c r="A113" s="5" t="s">
        <v>214</v>
      </c>
      <c r="B113" s="5" t="s">
        <v>215</v>
      </c>
      <c r="C113" s="7">
        <v>6</v>
      </c>
      <c r="D113" s="7">
        <v>6</v>
      </c>
      <c r="E113" s="7">
        <v>0</v>
      </c>
      <c r="F113" s="7">
        <v>43.082000000000001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0.74299999999999999</v>
      </c>
      <c r="O113" s="7">
        <v>-0.23599999999999999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361.00099999999998</v>
      </c>
      <c r="AJ113" s="7">
        <v>24.140999999999998</v>
      </c>
      <c r="AK113" s="7">
        <v>0</v>
      </c>
      <c r="AL113" s="7">
        <v>301.452</v>
      </c>
      <c r="AM113" s="7">
        <v>12.628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21"/>
    </row>
    <row r="114" spans="1:58" ht="15.75" x14ac:dyDescent="0.25">
      <c r="A114" s="5" t="s">
        <v>216</v>
      </c>
      <c r="B114" s="5" t="s">
        <v>217</v>
      </c>
      <c r="C114" s="7">
        <v>6</v>
      </c>
      <c r="D114" s="7">
        <v>6</v>
      </c>
      <c r="E114" s="7">
        <v>50271.639000000003</v>
      </c>
      <c r="F114" s="7">
        <v>2717.248</v>
      </c>
      <c r="G114" s="7">
        <v>0</v>
      </c>
      <c r="H114" s="7">
        <v>0</v>
      </c>
      <c r="I114" s="7">
        <v>64.402000000000001</v>
      </c>
      <c r="J114" s="7">
        <v>0</v>
      </c>
      <c r="K114" s="7">
        <v>52023.042000000001</v>
      </c>
      <c r="L114" s="7">
        <v>4875.567</v>
      </c>
      <c r="M114" s="7">
        <v>0</v>
      </c>
      <c r="N114" s="7">
        <v>33951.531999999999</v>
      </c>
      <c r="O114" s="7">
        <v>193703.81099999999</v>
      </c>
      <c r="P114" s="7">
        <v>34163.383999999998</v>
      </c>
      <c r="Q114" s="7">
        <v>0</v>
      </c>
      <c r="R114" s="7">
        <v>0</v>
      </c>
      <c r="S114" s="7">
        <v>21.466999999999999</v>
      </c>
      <c r="T114" s="7">
        <v>0</v>
      </c>
      <c r="U114" s="7">
        <v>21.466999999999999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214.672</v>
      </c>
      <c r="AB114" s="7">
        <v>0</v>
      </c>
      <c r="AC114" s="7">
        <v>14775.24</v>
      </c>
      <c r="AD114" s="7">
        <v>0</v>
      </c>
      <c r="AE114" s="7">
        <v>2017.9179999999999</v>
      </c>
      <c r="AF114" s="7">
        <v>0</v>
      </c>
      <c r="AG114" s="7">
        <v>171.738</v>
      </c>
      <c r="AH114" s="7">
        <v>0</v>
      </c>
      <c r="AI114" s="7">
        <v>46096.053999999996</v>
      </c>
      <c r="AJ114" s="7">
        <v>667.20100000000002</v>
      </c>
      <c r="AK114" s="7">
        <v>0</v>
      </c>
      <c r="AL114" s="7">
        <v>201655.11600000001</v>
      </c>
      <c r="AM114" s="7">
        <v>452.26100000000002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21"/>
    </row>
    <row r="115" spans="1:58" ht="15.75" x14ac:dyDescent="0.25">
      <c r="A115" s="5" t="s">
        <v>218</v>
      </c>
      <c r="B115" s="5" t="s">
        <v>219</v>
      </c>
      <c r="C115" s="7">
        <v>4</v>
      </c>
      <c r="D115" s="7">
        <v>4</v>
      </c>
      <c r="E115" s="7">
        <v>17510.735000000001</v>
      </c>
      <c r="F115" s="7">
        <v>4951.4170000000004</v>
      </c>
      <c r="G115" s="7">
        <v>6.0679999999999996</v>
      </c>
      <c r="H115" s="7">
        <v>10452.448</v>
      </c>
      <c r="I115" s="7">
        <v>318.34199999999998</v>
      </c>
      <c r="J115" s="7">
        <v>3.875</v>
      </c>
      <c r="K115" s="7">
        <v>24095.084999999999</v>
      </c>
      <c r="L115" s="7">
        <v>1625.7380000000001</v>
      </c>
      <c r="M115" s="7">
        <v>0</v>
      </c>
      <c r="N115" s="7">
        <v>2701.3359999999998</v>
      </c>
      <c r="O115" s="7">
        <v>63433.165999999997</v>
      </c>
      <c r="P115" s="7">
        <v>3360.13</v>
      </c>
      <c r="Q115" s="7">
        <v>0</v>
      </c>
      <c r="R115" s="7">
        <v>0</v>
      </c>
      <c r="S115" s="7">
        <v>2.5459999999999998</v>
      </c>
      <c r="T115" s="7">
        <v>0</v>
      </c>
      <c r="U115" s="7">
        <v>0</v>
      </c>
      <c r="V115" s="7">
        <v>1484.615</v>
      </c>
      <c r="W115" s="7">
        <v>0</v>
      </c>
      <c r="X115" s="7">
        <v>0</v>
      </c>
      <c r="Y115" s="7">
        <v>0</v>
      </c>
      <c r="Z115" s="7">
        <v>0</v>
      </c>
      <c r="AA115" s="7">
        <v>466.56700000000001</v>
      </c>
      <c r="AB115" s="7">
        <v>0</v>
      </c>
      <c r="AC115" s="7">
        <v>8996.0779999999995</v>
      </c>
      <c r="AD115" s="7">
        <v>0</v>
      </c>
      <c r="AE115" s="7">
        <v>0</v>
      </c>
      <c r="AF115" s="7">
        <v>0</v>
      </c>
      <c r="AG115" s="7">
        <v>748.84699999999998</v>
      </c>
      <c r="AH115" s="7">
        <v>6444.86</v>
      </c>
      <c r="AI115" s="7">
        <v>24063.582999999999</v>
      </c>
      <c r="AJ115" s="7">
        <v>11466.458000000001</v>
      </c>
      <c r="AK115" s="7">
        <v>30940.628000000001</v>
      </c>
      <c r="AL115" s="7">
        <v>77916.642000000007</v>
      </c>
      <c r="AM115" s="7">
        <v>22995.544000000002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30.782</v>
      </c>
      <c r="AV115" s="7">
        <v>0</v>
      </c>
      <c r="AW115" s="7">
        <v>0</v>
      </c>
      <c r="AX115" s="7">
        <v>3016.9870000000001</v>
      </c>
      <c r="AY115" s="7">
        <v>0</v>
      </c>
      <c r="AZ115" s="7">
        <v>13.369</v>
      </c>
      <c r="BA115" s="7">
        <v>0</v>
      </c>
      <c r="BB115" s="7">
        <v>1969.3389999999999</v>
      </c>
      <c r="BC115" s="7">
        <v>0</v>
      </c>
      <c r="BD115" s="7">
        <v>0</v>
      </c>
      <c r="BE115" s="7">
        <v>0</v>
      </c>
      <c r="BF115" s="21"/>
    </row>
    <row r="116" spans="1:58" ht="15.75" x14ac:dyDescent="0.25">
      <c r="A116" s="5" t="s">
        <v>220</v>
      </c>
      <c r="B116" s="5" t="s">
        <v>221</v>
      </c>
      <c r="C116" s="7">
        <v>4</v>
      </c>
      <c r="D116" s="7">
        <v>4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169454.94</v>
      </c>
      <c r="AP116" s="7">
        <v>0</v>
      </c>
      <c r="AQ116" s="7">
        <v>0</v>
      </c>
      <c r="AR116" s="7">
        <v>108806.20600000001</v>
      </c>
      <c r="AS116" s="7">
        <v>0</v>
      </c>
      <c r="AT116" s="7">
        <v>50252.794999999998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1385.6179999999999</v>
      </c>
      <c r="BC116" s="7">
        <v>0</v>
      </c>
      <c r="BD116" s="7">
        <v>0</v>
      </c>
      <c r="BE116" s="7">
        <v>0</v>
      </c>
      <c r="BF116" s="21"/>
    </row>
    <row r="117" spans="1:58" ht="15.75" x14ac:dyDescent="0.25">
      <c r="A117" s="5" t="s">
        <v>222</v>
      </c>
      <c r="B117" s="5" t="s">
        <v>223</v>
      </c>
      <c r="C117" s="7">
        <v>4</v>
      </c>
      <c r="D117" s="7">
        <v>3</v>
      </c>
      <c r="E117" s="7">
        <v>1109.136</v>
      </c>
      <c r="F117" s="7">
        <v>117.529</v>
      </c>
      <c r="G117" s="7">
        <v>786.43600000000004</v>
      </c>
      <c r="H117" s="7">
        <v>0</v>
      </c>
      <c r="I117" s="7">
        <v>32.314</v>
      </c>
      <c r="J117" s="7">
        <v>397.68099999999998</v>
      </c>
      <c r="K117" s="7">
        <v>96.733999999999995</v>
      </c>
      <c r="L117" s="7">
        <v>3936.3049999999998</v>
      </c>
      <c r="M117" s="7">
        <v>0</v>
      </c>
      <c r="N117" s="7">
        <v>697.64</v>
      </c>
      <c r="O117" s="7">
        <v>410.72399999999999</v>
      </c>
      <c r="P117" s="7">
        <v>682.19600000000003</v>
      </c>
      <c r="Q117" s="7">
        <v>2387.8679999999999</v>
      </c>
      <c r="R117" s="7">
        <v>0</v>
      </c>
      <c r="S117" s="7">
        <v>0.32800000000000001</v>
      </c>
      <c r="T117" s="7">
        <v>206.77199999999999</v>
      </c>
      <c r="U117" s="7">
        <v>644.71299999999997</v>
      </c>
      <c r="V117" s="7">
        <v>45.951999999999998</v>
      </c>
      <c r="W117" s="7">
        <v>0</v>
      </c>
      <c r="X117" s="7">
        <v>637.50599999999997</v>
      </c>
      <c r="Y117" s="7">
        <v>0</v>
      </c>
      <c r="Z117" s="7">
        <v>26.905999999999999</v>
      </c>
      <c r="AA117" s="7">
        <v>2446.3249999999998</v>
      </c>
      <c r="AB117" s="7">
        <v>0</v>
      </c>
      <c r="AC117" s="7">
        <v>154.815</v>
      </c>
      <c r="AD117" s="7">
        <v>0</v>
      </c>
      <c r="AE117" s="7">
        <v>362.834</v>
      </c>
      <c r="AF117" s="7">
        <v>0</v>
      </c>
      <c r="AG117" s="7">
        <v>17.844000000000001</v>
      </c>
      <c r="AH117" s="7">
        <v>9686.509</v>
      </c>
      <c r="AI117" s="7">
        <v>378.73899999999998</v>
      </c>
      <c r="AJ117" s="7">
        <v>0</v>
      </c>
      <c r="AK117" s="7">
        <v>42939.035000000003</v>
      </c>
      <c r="AL117" s="7">
        <v>1540.723</v>
      </c>
      <c r="AM117" s="7">
        <v>0</v>
      </c>
      <c r="AN117" s="7">
        <v>0</v>
      </c>
      <c r="AO117" s="7">
        <v>0</v>
      </c>
      <c r="AP117" s="7">
        <v>4902.3890000000001</v>
      </c>
      <c r="AQ117" s="7">
        <v>4999.5159999999996</v>
      </c>
      <c r="AR117" s="7">
        <v>0</v>
      </c>
      <c r="AS117" s="7">
        <v>0</v>
      </c>
      <c r="AT117" s="7">
        <v>0</v>
      </c>
      <c r="AU117" s="7">
        <v>1.9239999999999999</v>
      </c>
      <c r="AV117" s="7">
        <v>175.62200000000001</v>
      </c>
      <c r="AW117" s="7">
        <v>0</v>
      </c>
      <c r="AX117" s="7">
        <v>0</v>
      </c>
      <c r="AY117" s="7">
        <v>0</v>
      </c>
      <c r="AZ117" s="7">
        <v>39.168999999999997</v>
      </c>
      <c r="BA117" s="7">
        <v>0</v>
      </c>
      <c r="BB117" s="7">
        <v>696.35199999999998</v>
      </c>
      <c r="BC117" s="7">
        <v>0</v>
      </c>
      <c r="BD117" s="7">
        <v>0</v>
      </c>
      <c r="BE117" s="7">
        <v>0</v>
      </c>
      <c r="BF117" s="21"/>
    </row>
    <row r="118" spans="1:58" ht="15.75" x14ac:dyDescent="0.25">
      <c r="A118" s="5" t="s">
        <v>224</v>
      </c>
      <c r="B118" s="5" t="s">
        <v>225</v>
      </c>
      <c r="C118" s="7">
        <v>4</v>
      </c>
      <c r="D118" s="7">
        <v>3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21"/>
    </row>
    <row r="119" spans="1:58" ht="15.75" x14ac:dyDescent="0.25">
      <c r="A119" s="5" t="s">
        <v>226</v>
      </c>
      <c r="B119" s="5" t="s">
        <v>227</v>
      </c>
      <c r="C119" s="7">
        <v>4</v>
      </c>
      <c r="D119" s="7">
        <v>4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21"/>
    </row>
    <row r="120" spans="1:58" ht="15.75" x14ac:dyDescent="0.25">
      <c r="A120" s="5" t="s">
        <v>228</v>
      </c>
      <c r="B120" s="5" t="s">
        <v>229</v>
      </c>
      <c r="C120" s="7">
        <v>4</v>
      </c>
      <c r="D120" s="7">
        <v>6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21"/>
    </row>
    <row r="121" spans="1:58" ht="15.75" x14ac:dyDescent="0.25">
      <c r="A121" s="5" t="s">
        <v>230</v>
      </c>
      <c r="B121" s="5" t="s">
        <v>231</v>
      </c>
      <c r="C121" s="7">
        <v>4</v>
      </c>
      <c r="D121" s="7">
        <v>4</v>
      </c>
      <c r="E121" s="7">
        <v>159440.951</v>
      </c>
      <c r="F121" s="7">
        <v>42002.159</v>
      </c>
      <c r="G121" s="7">
        <v>0</v>
      </c>
      <c r="H121" s="7">
        <v>0</v>
      </c>
      <c r="I121" s="7">
        <v>2435.5479999999998</v>
      </c>
      <c r="J121" s="7">
        <v>0</v>
      </c>
      <c r="K121" s="7">
        <v>234023.943</v>
      </c>
      <c r="L121" s="7">
        <v>19976.181</v>
      </c>
      <c r="M121" s="7">
        <v>0</v>
      </c>
      <c r="N121" s="7">
        <v>23611.538</v>
      </c>
      <c r="O121" s="7">
        <v>538764.43799999997</v>
      </c>
      <c r="P121" s="7">
        <v>32301.617999999999</v>
      </c>
      <c r="Q121" s="7">
        <v>0</v>
      </c>
      <c r="R121" s="7">
        <v>1056.51</v>
      </c>
      <c r="S121" s="7">
        <v>0</v>
      </c>
      <c r="T121" s="7">
        <v>675.61599999999999</v>
      </c>
      <c r="U121" s="7">
        <v>0</v>
      </c>
      <c r="V121" s="7">
        <v>12381.074000000001</v>
      </c>
      <c r="W121" s="7">
        <v>0</v>
      </c>
      <c r="X121" s="7">
        <v>10347.428</v>
      </c>
      <c r="Y121" s="7">
        <v>0</v>
      </c>
      <c r="Z121" s="7">
        <v>0</v>
      </c>
      <c r="AA121" s="7">
        <v>4250.7280000000001</v>
      </c>
      <c r="AB121" s="7">
        <v>33448.864000000001</v>
      </c>
      <c r="AC121" s="7">
        <v>90890.31</v>
      </c>
      <c r="AD121" s="7">
        <v>17731.076000000001</v>
      </c>
      <c r="AE121" s="7">
        <v>0</v>
      </c>
      <c r="AF121" s="7">
        <v>27138.391</v>
      </c>
      <c r="AG121" s="7">
        <v>6656.13</v>
      </c>
      <c r="AH121" s="7">
        <v>7295.259</v>
      </c>
      <c r="AI121" s="7">
        <v>234156.37100000001</v>
      </c>
      <c r="AJ121" s="7">
        <v>110629.59</v>
      </c>
      <c r="AK121" s="7">
        <v>30156.77</v>
      </c>
      <c r="AL121" s="7">
        <v>683957.13399999996</v>
      </c>
      <c r="AM121" s="7">
        <v>214584.90400000001</v>
      </c>
      <c r="AN121" s="7">
        <v>134009.32399999999</v>
      </c>
      <c r="AO121" s="7">
        <v>1176491.953</v>
      </c>
      <c r="AP121" s="7">
        <v>24711.577000000001</v>
      </c>
      <c r="AQ121" s="7">
        <v>8285.18</v>
      </c>
      <c r="AR121" s="7">
        <v>755419.85900000005</v>
      </c>
      <c r="AS121" s="7">
        <v>0</v>
      </c>
      <c r="AT121" s="7">
        <v>348895.16499999998</v>
      </c>
      <c r="AU121" s="7">
        <v>501.76299999999998</v>
      </c>
      <c r="AV121" s="7">
        <v>543.34400000000005</v>
      </c>
      <c r="AW121" s="7">
        <v>0</v>
      </c>
      <c r="AX121" s="7">
        <v>31248.717000000001</v>
      </c>
      <c r="AY121" s="7">
        <v>0</v>
      </c>
      <c r="AZ121" s="7">
        <v>124.717</v>
      </c>
      <c r="BA121" s="7">
        <v>0</v>
      </c>
      <c r="BB121" s="7">
        <v>994.06500000000005</v>
      </c>
      <c r="BC121" s="7">
        <v>0</v>
      </c>
      <c r="BD121" s="7">
        <v>0</v>
      </c>
      <c r="BE121" s="7">
        <v>36762.771000000001</v>
      </c>
      <c r="BF121" s="21"/>
    </row>
    <row r="122" spans="1:58" ht="15.75" x14ac:dyDescent="0.25">
      <c r="A122" s="5" t="s">
        <v>232</v>
      </c>
      <c r="B122" s="5" t="s">
        <v>233</v>
      </c>
      <c r="C122" s="7">
        <v>4</v>
      </c>
      <c r="D122" s="7">
        <v>3</v>
      </c>
      <c r="E122" s="7">
        <v>5752.3149999999996</v>
      </c>
      <c r="F122" s="7">
        <v>900.26300000000003</v>
      </c>
      <c r="G122" s="7">
        <v>1095.3</v>
      </c>
      <c r="H122" s="7">
        <v>385.86</v>
      </c>
      <c r="I122" s="7">
        <v>218.566</v>
      </c>
      <c r="J122" s="7">
        <v>836.86400000000003</v>
      </c>
      <c r="K122" s="7">
        <v>1901.326</v>
      </c>
      <c r="L122" s="7">
        <v>891.86800000000005</v>
      </c>
      <c r="M122" s="7">
        <v>0</v>
      </c>
      <c r="N122" s="7">
        <v>2760.5619999999999</v>
      </c>
      <c r="O122" s="7">
        <v>7539.8230000000003</v>
      </c>
      <c r="P122" s="7">
        <v>2998.0010000000002</v>
      </c>
      <c r="Q122" s="7">
        <v>0</v>
      </c>
      <c r="R122" s="7">
        <v>0</v>
      </c>
      <c r="S122" s="7">
        <v>1E-3</v>
      </c>
      <c r="T122" s="7">
        <v>584.58199999999999</v>
      </c>
      <c r="U122" s="7">
        <v>633.86199999999997</v>
      </c>
      <c r="V122" s="7">
        <v>348.52300000000002</v>
      </c>
      <c r="W122" s="7">
        <v>0</v>
      </c>
      <c r="X122" s="7">
        <v>4361.1779999999999</v>
      </c>
      <c r="Y122" s="7">
        <v>0</v>
      </c>
      <c r="Z122" s="7">
        <v>63.902000000000001</v>
      </c>
      <c r="AA122" s="7">
        <v>203.17599999999999</v>
      </c>
      <c r="AB122" s="7">
        <v>0</v>
      </c>
      <c r="AC122" s="7">
        <v>937.26099999999997</v>
      </c>
      <c r="AD122" s="7">
        <v>12342.089</v>
      </c>
      <c r="AE122" s="7">
        <v>1316.46</v>
      </c>
      <c r="AF122" s="7">
        <v>0</v>
      </c>
      <c r="AG122" s="7">
        <v>180.464</v>
      </c>
      <c r="AH122" s="7">
        <v>2080.0360000000001</v>
      </c>
      <c r="AI122" s="7">
        <v>1395.317</v>
      </c>
      <c r="AJ122" s="7">
        <v>13.188000000000001</v>
      </c>
      <c r="AK122" s="7">
        <v>5669.7830000000004</v>
      </c>
      <c r="AL122" s="7">
        <v>14716.174999999999</v>
      </c>
      <c r="AM122" s="7">
        <v>22.498000000000001</v>
      </c>
      <c r="AN122" s="7">
        <v>79451.866999999998</v>
      </c>
      <c r="AO122" s="7">
        <v>0</v>
      </c>
      <c r="AP122" s="7">
        <v>13575.589</v>
      </c>
      <c r="AQ122" s="7">
        <v>12385.66</v>
      </c>
      <c r="AR122" s="7">
        <v>0</v>
      </c>
      <c r="AS122" s="7">
        <v>0</v>
      </c>
      <c r="AT122" s="7">
        <v>0</v>
      </c>
      <c r="AU122" s="7">
        <v>18.221</v>
      </c>
      <c r="AV122" s="7">
        <v>427.58199999999999</v>
      </c>
      <c r="AW122" s="7">
        <v>0</v>
      </c>
      <c r="AX122" s="7">
        <v>1.8360000000000001</v>
      </c>
      <c r="AY122" s="7">
        <v>0</v>
      </c>
      <c r="AZ122" s="7">
        <v>1.3140000000000001</v>
      </c>
      <c r="BA122" s="7">
        <v>0</v>
      </c>
      <c r="BB122" s="7">
        <v>48.442999999999998</v>
      </c>
      <c r="BC122" s="7">
        <v>0</v>
      </c>
      <c r="BD122" s="7">
        <v>0</v>
      </c>
      <c r="BE122" s="7">
        <v>3572.6579999999999</v>
      </c>
      <c r="BF122" s="21"/>
    </row>
    <row r="123" spans="1:58" ht="15.75" x14ac:dyDescent="0.25">
      <c r="A123" s="5" t="s">
        <v>234</v>
      </c>
      <c r="B123" s="5" t="s">
        <v>235</v>
      </c>
      <c r="C123" s="7">
        <v>4</v>
      </c>
      <c r="D123" s="7">
        <v>4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21"/>
    </row>
    <row r="124" spans="1:58" ht="15.75" x14ac:dyDescent="0.25">
      <c r="A124" s="5" t="s">
        <v>228</v>
      </c>
      <c r="B124" s="5" t="s">
        <v>236</v>
      </c>
      <c r="C124" s="7">
        <v>4</v>
      </c>
      <c r="D124" s="7">
        <v>6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21"/>
    </row>
    <row r="125" spans="1:58" ht="15.75" x14ac:dyDescent="0.25">
      <c r="A125" s="5" t="s">
        <v>237</v>
      </c>
      <c r="B125" s="5" t="s">
        <v>238</v>
      </c>
      <c r="C125" s="7">
        <v>4</v>
      </c>
      <c r="D125" s="7">
        <v>4</v>
      </c>
      <c r="E125" s="7">
        <v>12.802</v>
      </c>
      <c r="F125" s="7">
        <v>1.357</v>
      </c>
      <c r="G125" s="7">
        <v>5.5190000000000001</v>
      </c>
      <c r="H125" s="7">
        <v>0</v>
      </c>
      <c r="I125" s="7">
        <v>0.373</v>
      </c>
      <c r="J125" s="7">
        <v>3.7639999999999998</v>
      </c>
      <c r="K125" s="7">
        <v>1.117</v>
      </c>
      <c r="L125" s="7">
        <v>3.6339999999999999</v>
      </c>
      <c r="M125" s="7">
        <v>0</v>
      </c>
      <c r="N125" s="7">
        <v>8.0519999999999996</v>
      </c>
      <c r="O125" s="7">
        <v>4.7409999999999997</v>
      </c>
      <c r="P125" s="7">
        <v>7.8739999999999997</v>
      </c>
      <c r="Q125" s="7">
        <v>0</v>
      </c>
      <c r="R125" s="7">
        <v>0</v>
      </c>
      <c r="S125" s="7">
        <v>4.0000000000000001E-3</v>
      </c>
      <c r="T125" s="7">
        <v>0</v>
      </c>
      <c r="U125" s="7">
        <v>96.846000000000004</v>
      </c>
      <c r="V125" s="7">
        <v>0.53</v>
      </c>
      <c r="W125" s="7">
        <v>0</v>
      </c>
      <c r="X125" s="7">
        <v>0</v>
      </c>
      <c r="Y125" s="7">
        <v>0</v>
      </c>
      <c r="Z125" s="7">
        <v>0.311</v>
      </c>
      <c r="AA125" s="7">
        <v>1.105</v>
      </c>
      <c r="AB125" s="7">
        <v>0</v>
      </c>
      <c r="AC125" s="7">
        <v>1.7869999999999999</v>
      </c>
      <c r="AD125" s="7">
        <v>0</v>
      </c>
      <c r="AE125" s="7">
        <v>4.1879999999999997</v>
      </c>
      <c r="AF125" s="7">
        <v>0</v>
      </c>
      <c r="AG125" s="7">
        <v>0.20599999999999999</v>
      </c>
      <c r="AH125" s="7">
        <v>0</v>
      </c>
      <c r="AI125" s="7">
        <v>4.3710000000000004</v>
      </c>
      <c r="AJ125" s="7">
        <v>0</v>
      </c>
      <c r="AK125" s="7">
        <v>0</v>
      </c>
      <c r="AL125" s="7">
        <v>17.783000000000001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2.1999999999999999E-2</v>
      </c>
      <c r="AV125" s="7">
        <v>0</v>
      </c>
      <c r="AW125" s="7">
        <v>0</v>
      </c>
      <c r="AX125" s="7">
        <v>0</v>
      </c>
      <c r="AY125" s="7">
        <v>0</v>
      </c>
      <c r="AZ125" s="7">
        <v>2E-3</v>
      </c>
      <c r="BA125" s="7">
        <v>0</v>
      </c>
      <c r="BB125" s="7">
        <v>0.17100000000000001</v>
      </c>
      <c r="BC125" s="7">
        <v>0</v>
      </c>
      <c r="BD125" s="7">
        <v>0</v>
      </c>
      <c r="BE125" s="7">
        <v>0</v>
      </c>
      <c r="BF125" s="21"/>
    </row>
    <row r="126" spans="1:58" ht="15.75" x14ac:dyDescent="0.25">
      <c r="A126" s="5" t="s">
        <v>239</v>
      </c>
      <c r="B126" s="5" t="s">
        <v>240</v>
      </c>
      <c r="C126" s="7">
        <v>4</v>
      </c>
      <c r="D126" s="7">
        <v>3</v>
      </c>
      <c r="E126" s="7">
        <v>23611.809000000001</v>
      </c>
      <c r="F126" s="7">
        <v>4341.5929999999998</v>
      </c>
      <c r="G126" s="7">
        <v>1745.66</v>
      </c>
      <c r="H126" s="7">
        <v>2340.3159999999998</v>
      </c>
      <c r="I126" s="7">
        <v>941.02</v>
      </c>
      <c r="J126" s="7">
        <v>3635.9180000000001</v>
      </c>
      <c r="K126" s="7">
        <v>11208.108</v>
      </c>
      <c r="L126" s="7">
        <v>4508.0559999999996</v>
      </c>
      <c r="M126" s="7">
        <v>0</v>
      </c>
      <c r="N126" s="7">
        <v>14452.195</v>
      </c>
      <c r="O126" s="7">
        <v>32016.013999999999</v>
      </c>
      <c r="P126" s="7">
        <v>15186.547</v>
      </c>
      <c r="Q126" s="7">
        <v>0</v>
      </c>
      <c r="R126" s="7">
        <v>0</v>
      </c>
      <c r="S126" s="7">
        <v>1.6E-2</v>
      </c>
      <c r="T126" s="7">
        <v>0</v>
      </c>
      <c r="U126" s="7">
        <v>0.251</v>
      </c>
      <c r="V126" s="7">
        <v>1685.998</v>
      </c>
      <c r="W126" s="7">
        <v>0</v>
      </c>
      <c r="X126" s="7">
        <v>0</v>
      </c>
      <c r="Y126" s="7">
        <v>0</v>
      </c>
      <c r="Z126" s="7">
        <v>211.55799999999999</v>
      </c>
      <c r="AA126" s="7">
        <v>1217.306</v>
      </c>
      <c r="AB126" s="7">
        <v>0</v>
      </c>
      <c r="AC126" s="7">
        <v>4384.1490000000003</v>
      </c>
      <c r="AD126" s="7">
        <v>0</v>
      </c>
      <c r="AE126" s="7">
        <v>6086.9</v>
      </c>
      <c r="AF126" s="7">
        <v>0</v>
      </c>
      <c r="AG126" s="7">
        <v>749.197</v>
      </c>
      <c r="AH126" s="7">
        <v>0</v>
      </c>
      <c r="AI126" s="7">
        <v>24.794</v>
      </c>
      <c r="AJ126" s="7">
        <v>79.997</v>
      </c>
      <c r="AK126" s="7">
        <v>0</v>
      </c>
      <c r="AL126" s="7">
        <v>59292.347000000002</v>
      </c>
      <c r="AM126" s="7">
        <v>136.46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79.372</v>
      </c>
      <c r="AV126" s="7">
        <v>0</v>
      </c>
      <c r="AW126" s="7">
        <v>0</v>
      </c>
      <c r="AX126" s="7">
        <v>11.132</v>
      </c>
      <c r="AY126" s="7">
        <v>0</v>
      </c>
      <c r="AZ126" s="7">
        <v>6.05</v>
      </c>
      <c r="BA126" s="7">
        <v>0</v>
      </c>
      <c r="BB126" s="7">
        <v>0.82299999999999995</v>
      </c>
      <c r="BC126" s="7">
        <v>0</v>
      </c>
      <c r="BD126" s="7">
        <v>0</v>
      </c>
      <c r="BE126" s="7">
        <v>5355.1809999999996</v>
      </c>
      <c r="BF126" s="21"/>
    </row>
    <row r="127" spans="1:58" ht="15.75" x14ac:dyDescent="0.25">
      <c r="A127" s="5" t="s">
        <v>241</v>
      </c>
      <c r="B127" s="5" t="s">
        <v>242</v>
      </c>
      <c r="C127" s="7">
        <v>2</v>
      </c>
      <c r="D127" s="7">
        <v>2</v>
      </c>
      <c r="E127" s="7">
        <v>35235.963000000003</v>
      </c>
      <c r="F127" s="7">
        <v>11203.758</v>
      </c>
      <c r="G127" s="7">
        <v>11406.037</v>
      </c>
      <c r="H127" s="7">
        <v>303.58</v>
      </c>
      <c r="I127" s="7">
        <v>2226.4879999999998</v>
      </c>
      <c r="J127" s="7">
        <v>9027.8590000000004</v>
      </c>
      <c r="K127" s="7">
        <v>60602.258999999998</v>
      </c>
      <c r="L127" s="7">
        <v>11563.976000000001</v>
      </c>
      <c r="M127" s="7">
        <v>0</v>
      </c>
      <c r="N127" s="7">
        <v>21611.991999999998</v>
      </c>
      <c r="O127" s="7">
        <v>49608.864000000001</v>
      </c>
      <c r="P127" s="7">
        <v>31057.143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3512.1179999999999</v>
      </c>
      <c r="W127" s="7">
        <v>0</v>
      </c>
      <c r="X127" s="7">
        <v>0</v>
      </c>
      <c r="Y127" s="7">
        <v>0</v>
      </c>
      <c r="Z127" s="7">
        <v>1057.5219999999999</v>
      </c>
      <c r="AA127" s="7">
        <v>3160.0259999999998</v>
      </c>
      <c r="AB127" s="7">
        <v>0</v>
      </c>
      <c r="AC127" s="7">
        <v>10477.531999999999</v>
      </c>
      <c r="AD127" s="7">
        <v>0</v>
      </c>
      <c r="AE127" s="7">
        <v>10411.937</v>
      </c>
      <c r="AF127" s="7">
        <v>0</v>
      </c>
      <c r="AG127" s="7">
        <v>1556.778</v>
      </c>
      <c r="AH127" s="7">
        <v>0</v>
      </c>
      <c r="AI127" s="7">
        <v>25647.129000000001</v>
      </c>
      <c r="AJ127" s="7">
        <v>10.404</v>
      </c>
      <c r="AK127" s="7">
        <v>0</v>
      </c>
      <c r="AL127" s="7">
        <v>100208.20299999999</v>
      </c>
      <c r="AM127" s="7">
        <v>17.722000000000001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86.578000000000003</v>
      </c>
      <c r="AV127" s="7">
        <v>0</v>
      </c>
      <c r="AW127" s="7">
        <v>0</v>
      </c>
      <c r="AX127" s="7">
        <v>1.452</v>
      </c>
      <c r="AY127" s="7">
        <v>0</v>
      </c>
      <c r="AZ127" s="7">
        <v>4.742</v>
      </c>
      <c r="BA127" s="7">
        <v>0</v>
      </c>
      <c r="BB127" s="7">
        <v>0.06</v>
      </c>
      <c r="BC127" s="7">
        <v>0</v>
      </c>
      <c r="BD127" s="7">
        <v>0</v>
      </c>
      <c r="BE127" s="7">
        <v>715.72299999999996</v>
      </c>
      <c r="BF127" s="21"/>
    </row>
    <row r="128" spans="1:58" ht="15.75" x14ac:dyDescent="0.25">
      <c r="A128" s="5" t="s">
        <v>243</v>
      </c>
      <c r="B128" s="5" t="s">
        <v>244</v>
      </c>
      <c r="C128" s="7">
        <v>4</v>
      </c>
      <c r="D128" s="7">
        <v>4</v>
      </c>
      <c r="E128" s="7">
        <v>40562.974999999999</v>
      </c>
      <c r="F128" s="7">
        <v>10685.621999999999</v>
      </c>
      <c r="G128" s="7">
        <v>0</v>
      </c>
      <c r="H128" s="7">
        <v>0</v>
      </c>
      <c r="I128" s="7">
        <v>619.61900000000003</v>
      </c>
      <c r="J128" s="7">
        <v>0</v>
      </c>
      <c r="K128" s="7">
        <v>59535.455000000002</v>
      </c>
      <c r="L128" s="7">
        <v>5082.1099999999997</v>
      </c>
      <c r="M128" s="7">
        <v>0</v>
      </c>
      <c r="N128" s="7">
        <v>6006.1760000000004</v>
      </c>
      <c r="O128" s="7">
        <v>137065.734</v>
      </c>
      <c r="P128" s="7">
        <v>8217.2819999999992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3149.8180000000002</v>
      </c>
      <c r="W128" s="7">
        <v>0</v>
      </c>
      <c r="X128" s="7">
        <v>0</v>
      </c>
      <c r="Y128" s="7">
        <v>0</v>
      </c>
      <c r="Z128" s="7">
        <v>0</v>
      </c>
      <c r="AA128" s="7">
        <v>1081.357</v>
      </c>
      <c r="AB128" s="7">
        <v>0</v>
      </c>
      <c r="AC128" s="7">
        <v>23128.253000000001</v>
      </c>
      <c r="AD128" s="7">
        <v>0</v>
      </c>
      <c r="AE128" s="7">
        <v>0</v>
      </c>
      <c r="AF128" s="7">
        <v>7.484</v>
      </c>
      <c r="AG128" s="7">
        <v>1693.432</v>
      </c>
      <c r="AH128" s="7">
        <v>0</v>
      </c>
      <c r="AI128" s="7">
        <v>59584.017999999996</v>
      </c>
      <c r="AJ128" s="7">
        <v>28146.274000000001</v>
      </c>
      <c r="AK128" s="7">
        <v>0</v>
      </c>
      <c r="AL128" s="7">
        <v>173978.859</v>
      </c>
      <c r="AM128" s="7">
        <v>54595.684000000001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127.623</v>
      </c>
      <c r="AV128" s="7">
        <v>0</v>
      </c>
      <c r="AW128" s="7">
        <v>0</v>
      </c>
      <c r="AX128" s="7">
        <v>7951.0540000000001</v>
      </c>
      <c r="AY128" s="7">
        <v>0</v>
      </c>
      <c r="AZ128" s="7">
        <v>31.797999999999998</v>
      </c>
      <c r="BA128" s="7">
        <v>0</v>
      </c>
      <c r="BB128" s="7">
        <v>252.41399999999999</v>
      </c>
      <c r="BC128" s="7">
        <v>0</v>
      </c>
      <c r="BD128" s="7">
        <v>0</v>
      </c>
      <c r="BE128" s="7">
        <v>6317.7259999999997</v>
      </c>
      <c r="BF128" s="21"/>
    </row>
    <row r="129" spans="1:58" ht="15.75" x14ac:dyDescent="0.25">
      <c r="A129" s="5" t="s">
        <v>245</v>
      </c>
      <c r="B129" s="5" t="s">
        <v>246</v>
      </c>
      <c r="C129" s="7">
        <v>4</v>
      </c>
      <c r="D129" s="7">
        <v>6</v>
      </c>
      <c r="E129" s="7">
        <v>3294.3270000000002</v>
      </c>
      <c r="F129" s="7">
        <v>798.81899999999996</v>
      </c>
      <c r="G129" s="7">
        <v>64.063000000000002</v>
      </c>
      <c r="H129" s="7">
        <v>86.025000000000006</v>
      </c>
      <c r="I129" s="7">
        <v>71.656000000000006</v>
      </c>
      <c r="J129" s="7">
        <v>133.53899999999999</v>
      </c>
      <c r="K129" s="7">
        <v>3973.6030000000001</v>
      </c>
      <c r="L129" s="7">
        <v>469.733</v>
      </c>
      <c r="M129" s="7">
        <v>0</v>
      </c>
      <c r="N129" s="7">
        <v>890.53899999999999</v>
      </c>
      <c r="O129" s="7">
        <v>9376.52</v>
      </c>
      <c r="P129" s="7">
        <v>1049.6679999999999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250.40799999999999</v>
      </c>
      <c r="W129" s="7">
        <v>0</v>
      </c>
      <c r="X129" s="7">
        <v>0</v>
      </c>
      <c r="Y129" s="7">
        <v>0</v>
      </c>
      <c r="Z129" s="7">
        <v>7.7759999999999998</v>
      </c>
      <c r="AA129" s="7">
        <v>109.43899999999999</v>
      </c>
      <c r="AB129" s="7">
        <v>0</v>
      </c>
      <c r="AC129" s="7">
        <v>1544.76</v>
      </c>
      <c r="AD129" s="7">
        <v>0</v>
      </c>
      <c r="AE129" s="7">
        <v>223.74100000000001</v>
      </c>
      <c r="AF129" s="7">
        <v>0.44800000000000001</v>
      </c>
      <c r="AG129" s="7">
        <v>128.84399999999999</v>
      </c>
      <c r="AH129" s="7">
        <v>0</v>
      </c>
      <c r="AI129" s="7">
        <v>3565.0650000000001</v>
      </c>
      <c r="AJ129" s="7">
        <v>1686.749</v>
      </c>
      <c r="AK129" s="7">
        <v>0</v>
      </c>
      <c r="AL129" s="7">
        <v>12587.087</v>
      </c>
      <c r="AM129" s="7">
        <v>3271.1170000000002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10.555999999999999</v>
      </c>
      <c r="AV129" s="7">
        <v>0</v>
      </c>
      <c r="AW129" s="7">
        <v>0</v>
      </c>
      <c r="AX129" s="7">
        <v>476.06700000000001</v>
      </c>
      <c r="AY129" s="7">
        <v>0</v>
      </c>
      <c r="AZ129" s="7">
        <v>2.121</v>
      </c>
      <c r="BA129" s="7">
        <v>0</v>
      </c>
      <c r="BB129" s="7">
        <v>15.164</v>
      </c>
      <c r="BC129" s="7">
        <v>0</v>
      </c>
      <c r="BD129" s="7">
        <v>0</v>
      </c>
      <c r="BE129" s="7">
        <v>574.79</v>
      </c>
      <c r="BF129" s="21"/>
    </row>
    <row r="130" spans="1:58" ht="15.75" x14ac:dyDescent="0.25">
      <c r="A130" s="5" t="s">
        <v>247</v>
      </c>
      <c r="B130" s="5" t="s">
        <v>248</v>
      </c>
      <c r="C130" s="7">
        <v>6</v>
      </c>
      <c r="D130" s="7">
        <v>6</v>
      </c>
      <c r="E130" s="7">
        <v>25651.370999999999</v>
      </c>
      <c r="F130" s="7">
        <v>485.95800000000003</v>
      </c>
      <c r="G130" s="7">
        <v>0</v>
      </c>
      <c r="H130" s="7">
        <v>0</v>
      </c>
      <c r="I130" s="7">
        <v>0</v>
      </c>
      <c r="J130" s="7">
        <v>0</v>
      </c>
      <c r="K130" s="7">
        <v>17326.427</v>
      </c>
      <c r="L130" s="7">
        <v>1788.423</v>
      </c>
      <c r="M130" s="7">
        <v>0</v>
      </c>
      <c r="N130" s="7">
        <v>11129.687</v>
      </c>
      <c r="O130" s="7">
        <v>72016.047999999995</v>
      </c>
      <c r="P130" s="7">
        <v>8301.5519999999997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3056.98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19189.337</v>
      </c>
      <c r="AJ130" s="7">
        <v>115.99</v>
      </c>
      <c r="AK130" s="7">
        <v>0</v>
      </c>
      <c r="AL130" s="7">
        <v>80110.827000000005</v>
      </c>
      <c r="AM130" s="7">
        <v>74.016999999999996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21"/>
    </row>
    <row r="131" spans="1:58" ht="15.75" x14ac:dyDescent="0.25">
      <c r="A131" s="5" t="s">
        <v>249</v>
      </c>
      <c r="B131" s="5" t="s">
        <v>250</v>
      </c>
      <c r="C131" s="7">
        <v>6</v>
      </c>
      <c r="D131" s="7">
        <v>6</v>
      </c>
      <c r="E131" s="7">
        <v>17136.27</v>
      </c>
      <c r="F131" s="7">
        <v>1989.4010000000001</v>
      </c>
      <c r="G131" s="7">
        <v>2933.8009999999999</v>
      </c>
      <c r="H131" s="7">
        <v>0</v>
      </c>
      <c r="I131" s="7">
        <v>510.21800000000002</v>
      </c>
      <c r="J131" s="7">
        <v>1721.9280000000001</v>
      </c>
      <c r="K131" s="7">
        <v>14346.536</v>
      </c>
      <c r="L131" s="7">
        <v>2161.9369999999999</v>
      </c>
      <c r="M131" s="7">
        <v>0</v>
      </c>
      <c r="N131" s="7">
        <v>12101.849</v>
      </c>
      <c r="O131" s="7">
        <v>39084.978000000003</v>
      </c>
      <c r="P131" s="7">
        <v>6635.9040000000005</v>
      </c>
      <c r="Q131" s="7">
        <v>0</v>
      </c>
      <c r="R131" s="7">
        <v>0</v>
      </c>
      <c r="S131" s="7">
        <v>99.703000000000003</v>
      </c>
      <c r="T131" s="7">
        <v>0</v>
      </c>
      <c r="U131" s="7">
        <v>2.794</v>
      </c>
      <c r="V131" s="7">
        <v>0</v>
      </c>
      <c r="W131" s="7">
        <v>0</v>
      </c>
      <c r="X131" s="7">
        <v>0</v>
      </c>
      <c r="Y131" s="7">
        <v>0</v>
      </c>
      <c r="Z131" s="7">
        <v>210.261</v>
      </c>
      <c r="AA131" s="7">
        <v>702.84699999999998</v>
      </c>
      <c r="AB131" s="7">
        <v>0</v>
      </c>
      <c r="AC131" s="7">
        <v>5668.1270000000004</v>
      </c>
      <c r="AD131" s="7">
        <v>0</v>
      </c>
      <c r="AE131" s="7">
        <v>1954.6610000000001</v>
      </c>
      <c r="AF131" s="7">
        <v>0</v>
      </c>
      <c r="AG131" s="7">
        <v>331.73700000000002</v>
      </c>
      <c r="AH131" s="7">
        <v>0</v>
      </c>
      <c r="AI131" s="7">
        <v>18603.614000000001</v>
      </c>
      <c r="AJ131" s="7">
        <v>0</v>
      </c>
      <c r="AK131" s="7">
        <v>0</v>
      </c>
      <c r="AL131" s="7">
        <v>39359.722000000002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21"/>
    </row>
    <row r="132" spans="1:58" ht="15.75" x14ac:dyDescent="0.25">
      <c r="A132" s="5" t="s">
        <v>251</v>
      </c>
      <c r="B132" s="5" t="s">
        <v>252</v>
      </c>
      <c r="C132" s="7">
        <v>6</v>
      </c>
      <c r="D132" s="7">
        <v>6</v>
      </c>
      <c r="E132" s="7">
        <v>8083.7669999999998</v>
      </c>
      <c r="F132" s="7">
        <v>1415.7940000000001</v>
      </c>
      <c r="G132" s="7">
        <v>694.14200000000005</v>
      </c>
      <c r="H132" s="7">
        <v>0</v>
      </c>
      <c r="I132" s="7">
        <v>126.514</v>
      </c>
      <c r="J132" s="7">
        <v>440.21600000000001</v>
      </c>
      <c r="K132" s="7">
        <v>5959.3029999999999</v>
      </c>
      <c r="L132" s="7">
        <v>1996.9190000000001</v>
      </c>
      <c r="M132" s="7">
        <v>0</v>
      </c>
      <c r="N132" s="7">
        <v>4496.5240000000003</v>
      </c>
      <c r="O132" s="7">
        <v>27723.159</v>
      </c>
      <c r="P132" s="7">
        <v>2638.9569999999999</v>
      </c>
      <c r="Q132" s="7">
        <v>0</v>
      </c>
      <c r="R132" s="7">
        <v>0</v>
      </c>
      <c r="S132" s="7">
        <v>0.67600000000000005</v>
      </c>
      <c r="T132" s="7">
        <v>0</v>
      </c>
      <c r="U132" s="7">
        <v>0</v>
      </c>
      <c r="V132" s="7">
        <v>467.64600000000002</v>
      </c>
      <c r="W132" s="7">
        <v>0</v>
      </c>
      <c r="X132" s="7">
        <v>0</v>
      </c>
      <c r="Y132" s="7">
        <v>0</v>
      </c>
      <c r="Z132" s="7">
        <v>55.515000000000001</v>
      </c>
      <c r="AA132" s="7">
        <v>239.042</v>
      </c>
      <c r="AB132" s="7">
        <v>0</v>
      </c>
      <c r="AC132" s="7">
        <v>2395.491</v>
      </c>
      <c r="AD132" s="7">
        <v>0</v>
      </c>
      <c r="AE132" s="7">
        <v>612.803</v>
      </c>
      <c r="AF132" s="7">
        <v>0</v>
      </c>
      <c r="AG132" s="7">
        <v>220.38800000000001</v>
      </c>
      <c r="AH132" s="7">
        <v>0</v>
      </c>
      <c r="AI132" s="7">
        <v>7065.4679999999998</v>
      </c>
      <c r="AJ132" s="7">
        <v>2528.953</v>
      </c>
      <c r="AK132" s="7">
        <v>0</v>
      </c>
      <c r="AL132" s="7">
        <v>25317.833999999999</v>
      </c>
      <c r="AM132" s="7">
        <v>5071.7179999999998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8.8640000000000008</v>
      </c>
      <c r="AV132" s="7">
        <v>0</v>
      </c>
      <c r="AW132" s="7">
        <v>0</v>
      </c>
      <c r="AX132" s="7">
        <v>665.40300000000002</v>
      </c>
      <c r="AY132" s="7">
        <v>0</v>
      </c>
      <c r="AZ132" s="7">
        <v>4.2329999999999997</v>
      </c>
      <c r="BA132" s="7">
        <v>0</v>
      </c>
      <c r="BB132" s="7">
        <v>62.741</v>
      </c>
      <c r="BC132" s="7">
        <v>0</v>
      </c>
      <c r="BD132" s="7">
        <v>0</v>
      </c>
      <c r="BE132" s="7">
        <v>0</v>
      </c>
      <c r="BF132" s="21"/>
    </row>
    <row r="133" spans="1:58" ht="15.75" x14ac:dyDescent="0.25">
      <c r="A133" s="5" t="s">
        <v>253</v>
      </c>
      <c r="B133" s="5" t="s">
        <v>254</v>
      </c>
      <c r="C133" s="7">
        <v>6</v>
      </c>
      <c r="D133" s="7">
        <v>6</v>
      </c>
      <c r="E133" s="7">
        <v>88252.191999999995</v>
      </c>
      <c r="F133" s="7">
        <v>13506.909</v>
      </c>
      <c r="G133" s="7">
        <v>3792.0419999999999</v>
      </c>
      <c r="H133" s="7">
        <v>6272.1559999999999</v>
      </c>
      <c r="I133" s="7">
        <v>573.42200000000003</v>
      </c>
      <c r="J133" s="7">
        <v>2779.2040000000002</v>
      </c>
      <c r="K133" s="7">
        <v>115150.609</v>
      </c>
      <c r="L133" s="7">
        <v>7755.1580000000004</v>
      </c>
      <c r="M133" s="7">
        <v>0</v>
      </c>
      <c r="N133" s="7">
        <v>52635.42</v>
      </c>
      <c r="O133" s="7">
        <v>285800.16600000003</v>
      </c>
      <c r="P133" s="7">
        <v>49260.938999999998</v>
      </c>
      <c r="Q133" s="7">
        <v>0</v>
      </c>
      <c r="R133" s="7">
        <v>0</v>
      </c>
      <c r="S133" s="7">
        <v>89.887</v>
      </c>
      <c r="T133" s="7">
        <v>0</v>
      </c>
      <c r="U133" s="7">
        <v>104.107</v>
      </c>
      <c r="V133" s="7">
        <v>0</v>
      </c>
      <c r="W133" s="7">
        <v>0</v>
      </c>
      <c r="X133" s="7">
        <v>0</v>
      </c>
      <c r="Y133" s="7">
        <v>0</v>
      </c>
      <c r="Z133" s="7">
        <v>189.56100000000001</v>
      </c>
      <c r="AA133" s="7">
        <v>633.65200000000004</v>
      </c>
      <c r="AB133" s="7">
        <v>0</v>
      </c>
      <c r="AC133" s="7">
        <v>9400.7960000000003</v>
      </c>
      <c r="AD133" s="7">
        <v>0</v>
      </c>
      <c r="AE133" s="7">
        <v>1762.2249999999999</v>
      </c>
      <c r="AF133" s="7">
        <v>0</v>
      </c>
      <c r="AG133" s="7">
        <v>299.077</v>
      </c>
      <c r="AH133" s="7">
        <v>0</v>
      </c>
      <c r="AI133" s="7">
        <v>49947.792000000001</v>
      </c>
      <c r="AJ133" s="7">
        <v>109.167</v>
      </c>
      <c r="AK133" s="7">
        <v>0</v>
      </c>
      <c r="AL133" s="7">
        <v>228799.981</v>
      </c>
      <c r="AM133" s="7">
        <v>63.963999999999999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143.99299999999999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21"/>
    </row>
    <row r="134" spans="1:58" ht="15.75" x14ac:dyDescent="0.25">
      <c r="A134" s="5" t="s">
        <v>255</v>
      </c>
      <c r="B134" s="5" t="s">
        <v>256</v>
      </c>
      <c r="C134" s="7">
        <v>6</v>
      </c>
      <c r="D134" s="7">
        <v>6</v>
      </c>
      <c r="E134" s="7">
        <v>2169.922</v>
      </c>
      <c r="F134" s="7">
        <v>32.494</v>
      </c>
      <c r="G134" s="7">
        <v>0</v>
      </c>
      <c r="H134" s="7">
        <v>0</v>
      </c>
      <c r="I134" s="7">
        <v>0</v>
      </c>
      <c r="J134" s="7">
        <v>0</v>
      </c>
      <c r="K134" s="7">
        <v>1112.6890000000001</v>
      </c>
      <c r="L134" s="7">
        <v>0</v>
      </c>
      <c r="M134" s="7">
        <v>0</v>
      </c>
      <c r="N134" s="7">
        <v>374.97300000000001</v>
      </c>
      <c r="O134" s="7">
        <v>7758.4870000000001</v>
      </c>
      <c r="P134" s="7">
        <v>270.96800000000002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106.584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852.41099999999994</v>
      </c>
      <c r="AJ134" s="7">
        <v>59.19</v>
      </c>
      <c r="AK134" s="7">
        <v>0</v>
      </c>
      <c r="AL134" s="7">
        <v>5338.39</v>
      </c>
      <c r="AM134" s="7">
        <v>195.404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21"/>
    </row>
    <row r="135" spans="1:58" ht="15.75" x14ac:dyDescent="0.25">
      <c r="A135" s="5" t="s">
        <v>257</v>
      </c>
      <c r="B135" s="5" t="s">
        <v>258</v>
      </c>
      <c r="C135" s="7">
        <v>6</v>
      </c>
      <c r="D135" s="7">
        <v>6</v>
      </c>
      <c r="E135" s="7">
        <v>46362.474000000002</v>
      </c>
      <c r="F135" s="7">
        <v>4892.93</v>
      </c>
      <c r="G135" s="7">
        <v>4435.9399999999996</v>
      </c>
      <c r="H135" s="7">
        <v>0</v>
      </c>
      <c r="I135" s="7">
        <v>772.58199999999999</v>
      </c>
      <c r="J135" s="7">
        <v>2603.5740000000001</v>
      </c>
      <c r="K135" s="7">
        <v>73132.125</v>
      </c>
      <c r="L135" s="7">
        <v>3084.9580000000001</v>
      </c>
      <c r="M135" s="7">
        <v>0</v>
      </c>
      <c r="N135" s="7">
        <v>21168.871999999999</v>
      </c>
      <c r="O135" s="7">
        <v>109225.766</v>
      </c>
      <c r="P135" s="7">
        <v>31703.615000000002</v>
      </c>
      <c r="Q135" s="7">
        <v>0</v>
      </c>
      <c r="R135" s="7">
        <v>0</v>
      </c>
      <c r="S135" s="7">
        <v>150.75200000000001</v>
      </c>
      <c r="T135" s="7">
        <v>0</v>
      </c>
      <c r="U135" s="7">
        <v>4.2240000000000002</v>
      </c>
      <c r="V135" s="7">
        <v>0</v>
      </c>
      <c r="W135" s="7">
        <v>0</v>
      </c>
      <c r="X135" s="7">
        <v>0</v>
      </c>
      <c r="Y135" s="7">
        <v>0</v>
      </c>
      <c r="Z135" s="7">
        <v>317.91800000000001</v>
      </c>
      <c r="AA135" s="7">
        <v>1062.712</v>
      </c>
      <c r="AB135" s="7">
        <v>0</v>
      </c>
      <c r="AC135" s="7">
        <v>9895.5589999999993</v>
      </c>
      <c r="AD135" s="7">
        <v>0</v>
      </c>
      <c r="AE135" s="7">
        <v>2955.4690000000001</v>
      </c>
      <c r="AF135" s="7">
        <v>0</v>
      </c>
      <c r="AG135" s="7">
        <v>501.589</v>
      </c>
      <c r="AH135" s="7">
        <v>0</v>
      </c>
      <c r="AI135" s="7">
        <v>43132.366000000002</v>
      </c>
      <c r="AJ135" s="7">
        <v>1491.923</v>
      </c>
      <c r="AK135" s="7">
        <v>0</v>
      </c>
      <c r="AL135" s="7">
        <v>115595.431</v>
      </c>
      <c r="AM135" s="7">
        <v>1968.3520000000001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21"/>
    </row>
    <row r="136" spans="1:58" ht="15.75" x14ac:dyDescent="0.25">
      <c r="A136" s="5" t="s">
        <v>259</v>
      </c>
      <c r="B136" s="5" t="s">
        <v>260</v>
      </c>
      <c r="C136" s="7">
        <v>6</v>
      </c>
      <c r="D136" s="7">
        <v>6</v>
      </c>
      <c r="E136" s="7">
        <v>18347.782999999999</v>
      </c>
      <c r="F136" s="7">
        <v>439.62599999999998</v>
      </c>
      <c r="G136" s="7">
        <v>0.53900000000000003</v>
      </c>
      <c r="H136" s="7">
        <v>0</v>
      </c>
      <c r="I136" s="7">
        <v>28.265000000000001</v>
      </c>
      <c r="J136" s="7">
        <v>0.34399999999999997</v>
      </c>
      <c r="K136" s="7">
        <v>18232.686000000002</v>
      </c>
      <c r="L136" s="7">
        <v>144.346</v>
      </c>
      <c r="M136" s="7">
        <v>0</v>
      </c>
      <c r="N136" s="7">
        <v>2688.8319999999999</v>
      </c>
      <c r="O136" s="7">
        <v>25923.698</v>
      </c>
      <c r="P136" s="7">
        <v>3447.047</v>
      </c>
      <c r="Q136" s="7">
        <v>0</v>
      </c>
      <c r="R136" s="7">
        <v>0</v>
      </c>
      <c r="S136" s="7">
        <v>0.22600000000000001</v>
      </c>
      <c r="T136" s="7">
        <v>0</v>
      </c>
      <c r="U136" s="7">
        <v>0</v>
      </c>
      <c r="V136" s="7">
        <v>131.816</v>
      </c>
      <c r="W136" s="7">
        <v>0</v>
      </c>
      <c r="X136" s="7">
        <v>0</v>
      </c>
      <c r="Y136" s="7">
        <v>0</v>
      </c>
      <c r="Z136" s="7">
        <v>0</v>
      </c>
      <c r="AA136" s="7">
        <v>41.426000000000002</v>
      </c>
      <c r="AB136" s="7">
        <v>0</v>
      </c>
      <c r="AC136" s="7">
        <v>798.74300000000005</v>
      </c>
      <c r="AD136" s="7">
        <v>0</v>
      </c>
      <c r="AE136" s="7">
        <v>0</v>
      </c>
      <c r="AF136" s="7">
        <v>0</v>
      </c>
      <c r="AG136" s="7">
        <v>66.489000000000004</v>
      </c>
      <c r="AH136" s="7">
        <v>0</v>
      </c>
      <c r="AI136" s="7">
        <v>6334.82</v>
      </c>
      <c r="AJ136" s="7">
        <v>1018.083</v>
      </c>
      <c r="AK136" s="7">
        <v>0</v>
      </c>
      <c r="AL136" s="7">
        <v>32807.337</v>
      </c>
      <c r="AM136" s="7">
        <v>2041.7280000000001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2.7330000000000001</v>
      </c>
      <c r="AV136" s="7">
        <v>0</v>
      </c>
      <c r="AW136" s="7">
        <v>0</v>
      </c>
      <c r="AX136" s="7">
        <v>267.87200000000001</v>
      </c>
      <c r="AY136" s="7">
        <v>0</v>
      </c>
      <c r="AZ136" s="7">
        <v>1.1870000000000001</v>
      </c>
      <c r="BA136" s="7">
        <v>0</v>
      </c>
      <c r="BB136" s="7">
        <v>9.7309999999999999</v>
      </c>
      <c r="BC136" s="7">
        <v>0</v>
      </c>
      <c r="BD136" s="7">
        <v>0</v>
      </c>
      <c r="BE136" s="7">
        <v>0</v>
      </c>
      <c r="BF136" s="21"/>
    </row>
    <row r="137" spans="1:58" ht="15.75" x14ac:dyDescent="0.25">
      <c r="A137" s="5" t="s">
        <v>261</v>
      </c>
      <c r="B137" s="5" t="s">
        <v>262</v>
      </c>
      <c r="C137" s="7">
        <v>6</v>
      </c>
      <c r="D137" s="7">
        <v>6</v>
      </c>
      <c r="E137" s="7">
        <v>623177.995</v>
      </c>
      <c r="F137" s="7">
        <v>20265.566999999999</v>
      </c>
      <c r="G137" s="7">
        <v>25757.882000000001</v>
      </c>
      <c r="H137" s="7">
        <v>1826.3209999999999</v>
      </c>
      <c r="I137" s="7">
        <v>4915.1769999999997</v>
      </c>
      <c r="J137" s="7">
        <v>15105.409</v>
      </c>
      <c r="K137" s="7">
        <v>585917.60900000005</v>
      </c>
      <c r="L137" s="7">
        <v>45899.097000000002</v>
      </c>
      <c r="M137" s="7">
        <v>0</v>
      </c>
      <c r="N137" s="7">
        <v>259963.902</v>
      </c>
      <c r="O137" s="7">
        <v>915857.375</v>
      </c>
      <c r="P137" s="7">
        <v>258966.829</v>
      </c>
      <c r="Q137" s="7">
        <v>0</v>
      </c>
      <c r="R137" s="7">
        <v>0</v>
      </c>
      <c r="S137" s="7">
        <v>858.95699999999999</v>
      </c>
      <c r="T137" s="7">
        <v>0</v>
      </c>
      <c r="U137" s="7">
        <v>24.731000000000002</v>
      </c>
      <c r="V137" s="7">
        <v>0</v>
      </c>
      <c r="W137" s="7">
        <v>0</v>
      </c>
      <c r="X137" s="7">
        <v>0</v>
      </c>
      <c r="Y137" s="7">
        <v>0</v>
      </c>
      <c r="Z137" s="7">
        <v>1489.722</v>
      </c>
      <c r="AA137" s="7">
        <v>5016.5659999999998</v>
      </c>
      <c r="AB137" s="7">
        <v>0</v>
      </c>
      <c r="AC137" s="7">
        <v>99282.911999999997</v>
      </c>
      <c r="AD137" s="7">
        <v>0</v>
      </c>
      <c r="AE137" s="7">
        <v>16596.32</v>
      </c>
      <c r="AF137" s="7">
        <v>0</v>
      </c>
      <c r="AG137" s="7">
        <v>2382.2510000000002</v>
      </c>
      <c r="AH137" s="7">
        <v>0</v>
      </c>
      <c r="AI137" s="7">
        <v>428370.37199999997</v>
      </c>
      <c r="AJ137" s="7">
        <v>397.51900000000001</v>
      </c>
      <c r="AK137" s="7">
        <v>0</v>
      </c>
      <c r="AL137" s="7">
        <v>1239622.567</v>
      </c>
      <c r="AM137" s="7">
        <v>1252.8579999999999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189.786</v>
      </c>
      <c r="BC137" s="7">
        <v>0</v>
      </c>
      <c r="BD137" s="7">
        <v>0</v>
      </c>
      <c r="BE137" s="7">
        <v>0</v>
      </c>
      <c r="BF137" s="21"/>
    </row>
    <row r="138" spans="1:58" ht="15.75" x14ac:dyDescent="0.25">
      <c r="A138" s="5" t="s">
        <v>263</v>
      </c>
      <c r="B138" s="5" t="s">
        <v>264</v>
      </c>
      <c r="C138" s="7">
        <v>4</v>
      </c>
      <c r="D138" s="7">
        <v>4</v>
      </c>
      <c r="E138" s="7">
        <v>119.98699999999999</v>
      </c>
      <c r="F138" s="7">
        <v>29.728999999999999</v>
      </c>
      <c r="G138" s="7">
        <v>13.456</v>
      </c>
      <c r="H138" s="7">
        <v>0</v>
      </c>
      <c r="I138" s="7">
        <v>2.5990000000000002</v>
      </c>
      <c r="J138" s="7">
        <v>8.5340000000000007</v>
      </c>
      <c r="K138" s="7">
        <v>126.64</v>
      </c>
      <c r="L138" s="7">
        <v>18.454999999999998</v>
      </c>
      <c r="M138" s="7">
        <v>0</v>
      </c>
      <c r="N138" s="7">
        <v>37.545999999999999</v>
      </c>
      <c r="O138" s="7">
        <v>328.17700000000002</v>
      </c>
      <c r="P138" s="7">
        <v>40.058</v>
      </c>
      <c r="Q138" s="7">
        <v>0</v>
      </c>
      <c r="R138" s="7">
        <v>0</v>
      </c>
      <c r="S138" s="7">
        <v>1.4E-2</v>
      </c>
      <c r="T138" s="7">
        <v>0</v>
      </c>
      <c r="U138" s="7">
        <v>0</v>
      </c>
      <c r="V138" s="7">
        <v>9.75</v>
      </c>
      <c r="W138" s="7">
        <v>0</v>
      </c>
      <c r="X138" s="7">
        <v>0</v>
      </c>
      <c r="Y138" s="7">
        <v>0</v>
      </c>
      <c r="Z138" s="7">
        <v>1.0760000000000001</v>
      </c>
      <c r="AA138" s="7">
        <v>4.8490000000000002</v>
      </c>
      <c r="AB138" s="7">
        <v>0</v>
      </c>
      <c r="AC138" s="7">
        <v>50.587000000000003</v>
      </c>
      <c r="AD138" s="7">
        <v>0</v>
      </c>
      <c r="AE138" s="7">
        <v>7.9770000000000003</v>
      </c>
      <c r="AF138" s="7">
        <v>0</v>
      </c>
      <c r="AG138" s="7">
        <v>4.6180000000000003</v>
      </c>
      <c r="AH138" s="7">
        <v>0</v>
      </c>
      <c r="AI138" s="7">
        <v>128.36099999999999</v>
      </c>
      <c r="AJ138" s="7">
        <v>54.865000000000002</v>
      </c>
      <c r="AK138" s="7">
        <v>0</v>
      </c>
      <c r="AL138" s="7">
        <v>418.14699999999999</v>
      </c>
      <c r="AM138" s="7">
        <v>110.83499999999999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0.186</v>
      </c>
      <c r="AV138" s="7">
        <v>0</v>
      </c>
      <c r="AW138" s="7">
        <v>0</v>
      </c>
      <c r="AX138" s="7">
        <v>14.291</v>
      </c>
      <c r="AY138" s="7">
        <v>0</v>
      </c>
      <c r="AZ138" s="7">
        <v>8.7999999999999995E-2</v>
      </c>
      <c r="BA138" s="7">
        <v>0</v>
      </c>
      <c r="BB138" s="7">
        <v>1.2669999999999999</v>
      </c>
      <c r="BC138" s="7">
        <v>0</v>
      </c>
      <c r="BD138" s="7">
        <v>0</v>
      </c>
      <c r="BE138" s="7">
        <v>0</v>
      </c>
      <c r="BF138" s="21"/>
    </row>
    <row r="139" spans="1:58" ht="15.75" x14ac:dyDescent="0.25">
      <c r="A139" s="5" t="s">
        <v>265</v>
      </c>
      <c r="B139" s="5" t="s">
        <v>266</v>
      </c>
      <c r="C139" s="7">
        <v>6</v>
      </c>
      <c r="D139" s="7">
        <v>6</v>
      </c>
      <c r="E139" s="7">
        <v>210.94800000000001</v>
      </c>
      <c r="F139" s="7">
        <v>1E-3</v>
      </c>
      <c r="G139" s="7">
        <v>0</v>
      </c>
      <c r="H139" s="7">
        <v>0</v>
      </c>
      <c r="I139" s="7">
        <v>0</v>
      </c>
      <c r="J139" s="7">
        <v>0</v>
      </c>
      <c r="K139" s="7">
        <v>2466.384</v>
      </c>
      <c r="L139" s="7">
        <v>0</v>
      </c>
      <c r="M139" s="7">
        <v>0</v>
      </c>
      <c r="N139" s="7">
        <v>152.577</v>
      </c>
      <c r="O139" s="7">
        <v>2290.7310000000002</v>
      </c>
      <c r="P139" s="7">
        <v>131.547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221.38900000000001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478.62400000000002</v>
      </c>
      <c r="AJ139" s="7">
        <v>3.0000000000000001E-3</v>
      </c>
      <c r="AK139" s="7">
        <v>0</v>
      </c>
      <c r="AL139" s="7">
        <v>1732.683</v>
      </c>
      <c r="AM139" s="7">
        <v>6.0000000000000001E-3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21"/>
    </row>
    <row r="140" spans="1:58" ht="15.75" x14ac:dyDescent="0.25">
      <c r="A140" s="5" t="s">
        <v>267</v>
      </c>
      <c r="B140" s="5" t="s">
        <v>268</v>
      </c>
      <c r="C140" s="7">
        <v>4</v>
      </c>
      <c r="D140" s="7">
        <v>4</v>
      </c>
      <c r="E140" s="7">
        <v>162.553</v>
      </c>
      <c r="F140" s="7">
        <v>32.529000000000003</v>
      </c>
      <c r="G140" s="7">
        <v>21.175000000000001</v>
      </c>
      <c r="H140" s="7">
        <v>0</v>
      </c>
      <c r="I140" s="7">
        <v>4.8369999999999997</v>
      </c>
      <c r="J140" s="7">
        <v>12.429</v>
      </c>
      <c r="K140" s="7">
        <v>193.16900000000001</v>
      </c>
      <c r="L140" s="7">
        <v>15.462</v>
      </c>
      <c r="M140" s="7">
        <v>0</v>
      </c>
      <c r="N140" s="7">
        <v>57.837000000000003</v>
      </c>
      <c r="O140" s="7">
        <v>343.53300000000002</v>
      </c>
      <c r="P140" s="7">
        <v>60.347999999999999</v>
      </c>
      <c r="Q140" s="7">
        <v>0</v>
      </c>
      <c r="R140" s="7">
        <v>0</v>
      </c>
      <c r="S140" s="7">
        <v>0.72699999999999998</v>
      </c>
      <c r="T140" s="7">
        <v>0</v>
      </c>
      <c r="U140" s="7">
        <v>0.02</v>
      </c>
      <c r="V140" s="7">
        <v>5.4429999999999996</v>
      </c>
      <c r="W140" s="7">
        <v>0</v>
      </c>
      <c r="X140" s="7">
        <v>0</v>
      </c>
      <c r="Y140" s="7">
        <v>0</v>
      </c>
      <c r="Z140" s="7">
        <v>1.516</v>
      </c>
      <c r="AA140" s="7">
        <v>6.7939999999999996</v>
      </c>
      <c r="AB140" s="7">
        <v>0</v>
      </c>
      <c r="AC140" s="7">
        <v>74.516000000000005</v>
      </c>
      <c r="AD140" s="7">
        <v>0</v>
      </c>
      <c r="AE140" s="7">
        <v>14.095000000000001</v>
      </c>
      <c r="AF140" s="7">
        <v>1E-3</v>
      </c>
      <c r="AG140" s="7">
        <v>5.1550000000000002</v>
      </c>
      <c r="AH140" s="7">
        <v>0</v>
      </c>
      <c r="AI140" s="7">
        <v>214.584</v>
      </c>
      <c r="AJ140" s="7">
        <v>42.665999999999997</v>
      </c>
      <c r="AK140" s="7">
        <v>0</v>
      </c>
      <c r="AL140" s="7">
        <v>491.07299999999998</v>
      </c>
      <c r="AM140" s="7">
        <v>85.262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0.123</v>
      </c>
      <c r="AV140" s="7">
        <v>0</v>
      </c>
      <c r="AW140" s="7">
        <v>0</v>
      </c>
      <c r="AX140" s="7">
        <v>11.315</v>
      </c>
      <c r="AY140" s="7">
        <v>0</v>
      </c>
      <c r="AZ140" s="7">
        <v>0.05</v>
      </c>
      <c r="BA140" s="7">
        <v>0</v>
      </c>
      <c r="BB140" s="7">
        <v>0.40400000000000003</v>
      </c>
      <c r="BC140" s="7">
        <v>0</v>
      </c>
      <c r="BD140" s="7">
        <v>0</v>
      </c>
      <c r="BE140" s="7">
        <v>1.032</v>
      </c>
      <c r="BF140" s="21"/>
    </row>
    <row r="141" spans="1:58" ht="15.75" x14ac:dyDescent="0.25">
      <c r="A141" s="5" t="s">
        <v>269</v>
      </c>
      <c r="B141" s="5" t="s">
        <v>270</v>
      </c>
      <c r="C141" s="7">
        <v>6</v>
      </c>
      <c r="D141" s="7">
        <v>6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21"/>
    </row>
    <row r="142" spans="1:58" ht="15.75" x14ac:dyDescent="0.25">
      <c r="A142" s="5" t="s">
        <v>271</v>
      </c>
      <c r="B142" s="5" t="s">
        <v>272</v>
      </c>
      <c r="C142" s="7">
        <v>4</v>
      </c>
      <c r="D142" s="7">
        <v>4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21"/>
    </row>
    <row r="143" spans="1:58" ht="15.75" x14ac:dyDescent="0.25">
      <c r="A143" s="5" t="s">
        <v>273</v>
      </c>
      <c r="B143" s="5" t="s">
        <v>274</v>
      </c>
      <c r="C143" s="7">
        <v>6</v>
      </c>
      <c r="D143" s="7">
        <v>6</v>
      </c>
      <c r="E143" s="7">
        <v>-1258.68</v>
      </c>
      <c r="F143" s="7">
        <v>-355.91</v>
      </c>
      <c r="G143" s="7">
        <v>-0.436</v>
      </c>
      <c r="H143" s="7">
        <v>0</v>
      </c>
      <c r="I143" s="7">
        <v>-22.882999999999999</v>
      </c>
      <c r="J143" s="7">
        <v>-0.27900000000000003</v>
      </c>
      <c r="K143" s="7">
        <v>-1731.9659999999999</v>
      </c>
      <c r="L143" s="7">
        <v>-116.85899999999999</v>
      </c>
      <c r="M143" s="7">
        <v>0</v>
      </c>
      <c r="N143" s="7">
        <v>-194.173</v>
      </c>
      <c r="O143" s="7">
        <v>-4559.6059999999998</v>
      </c>
      <c r="P143" s="7">
        <v>-241.52799999999999</v>
      </c>
      <c r="Q143" s="7">
        <v>0</v>
      </c>
      <c r="R143" s="7">
        <v>362.32499999999999</v>
      </c>
      <c r="S143" s="7">
        <v>-0.183</v>
      </c>
      <c r="T143" s="7">
        <v>433.30900000000003</v>
      </c>
      <c r="U143" s="7">
        <v>0</v>
      </c>
      <c r="V143" s="7">
        <v>-106.715</v>
      </c>
      <c r="W143" s="7">
        <v>0</v>
      </c>
      <c r="X143" s="7">
        <v>7486.4390000000003</v>
      </c>
      <c r="Y143" s="7">
        <v>0</v>
      </c>
      <c r="Z143" s="7">
        <v>0</v>
      </c>
      <c r="AA143" s="7">
        <v>-33.536999999999999</v>
      </c>
      <c r="AB143" s="7">
        <v>18114.186000000002</v>
      </c>
      <c r="AC143" s="7">
        <v>-646.64200000000005</v>
      </c>
      <c r="AD143" s="7">
        <v>0</v>
      </c>
      <c r="AE143" s="7">
        <v>0</v>
      </c>
      <c r="AF143" s="7">
        <v>14818.858</v>
      </c>
      <c r="AG143" s="7">
        <v>-53.826999999999998</v>
      </c>
      <c r="AH143" s="7">
        <v>0</v>
      </c>
      <c r="AI143" s="7">
        <v>-1729.702</v>
      </c>
      <c r="AJ143" s="7">
        <v>-824.21400000000006</v>
      </c>
      <c r="AK143" s="7">
        <v>0</v>
      </c>
      <c r="AL143" s="7">
        <v>-5600.6859999999997</v>
      </c>
      <c r="AM143" s="7">
        <v>-1652.931</v>
      </c>
      <c r="AN143" s="7">
        <v>0</v>
      </c>
      <c r="AO143" s="7">
        <v>0</v>
      </c>
      <c r="AP143" s="7">
        <v>17044.009999999998</v>
      </c>
      <c r="AQ143" s="7">
        <v>6842.5240000000003</v>
      </c>
      <c r="AR143" s="7">
        <v>0</v>
      </c>
      <c r="AS143" s="7">
        <v>0</v>
      </c>
      <c r="AT143" s="7">
        <v>0</v>
      </c>
      <c r="AU143" s="7">
        <v>-2.2130000000000001</v>
      </c>
      <c r="AV143" s="7">
        <v>368.55799999999999</v>
      </c>
      <c r="AW143" s="7">
        <v>0</v>
      </c>
      <c r="AX143" s="7">
        <v>-216.86199999999999</v>
      </c>
      <c r="AY143" s="7">
        <v>0</v>
      </c>
      <c r="AZ143" s="7">
        <v>-0.96099999999999997</v>
      </c>
      <c r="BA143" s="7">
        <v>0</v>
      </c>
      <c r="BB143" s="7">
        <v>-7.8780000000000001</v>
      </c>
      <c r="BC143" s="7">
        <v>0</v>
      </c>
      <c r="BD143" s="7">
        <v>0</v>
      </c>
      <c r="BE143" s="7">
        <v>0</v>
      </c>
      <c r="BF143" s="21"/>
    </row>
    <row r="144" spans="1:58" ht="15.75" x14ac:dyDescent="0.25">
      <c r="A144" s="5" t="s">
        <v>275</v>
      </c>
      <c r="B144" s="5" t="s">
        <v>276</v>
      </c>
      <c r="C144" s="7">
        <v>6</v>
      </c>
      <c r="D144" s="7">
        <v>6</v>
      </c>
      <c r="E144" s="7">
        <v>23690.76</v>
      </c>
      <c r="F144" s="7">
        <v>3384.26</v>
      </c>
      <c r="G144" s="7">
        <v>4997.7730000000001</v>
      </c>
      <c r="H144" s="7">
        <v>292.233</v>
      </c>
      <c r="I144" s="7">
        <v>668.05899999999997</v>
      </c>
      <c r="J144" s="7">
        <v>3357.9560000000001</v>
      </c>
      <c r="K144" s="7">
        <v>15547.698</v>
      </c>
      <c r="L144" s="7">
        <v>3024.846</v>
      </c>
      <c r="M144" s="7">
        <v>0</v>
      </c>
      <c r="N144" s="7">
        <v>9766.9570000000003</v>
      </c>
      <c r="O144" s="7">
        <v>24178.018</v>
      </c>
      <c r="P144" s="7">
        <v>10046.808999999999</v>
      </c>
      <c r="Q144" s="7">
        <v>0</v>
      </c>
      <c r="R144" s="7">
        <v>-24.847999999999999</v>
      </c>
      <c r="S144" s="7">
        <v>81.131</v>
      </c>
      <c r="T144" s="7">
        <v>-34.286999999999999</v>
      </c>
      <c r="U144" s="7">
        <v>-45.704000000000001</v>
      </c>
      <c r="V144" s="7">
        <v>635.07000000000005</v>
      </c>
      <c r="W144" s="7">
        <v>0</v>
      </c>
      <c r="X144" s="7">
        <v>-372.41500000000002</v>
      </c>
      <c r="Y144" s="7">
        <v>0</v>
      </c>
      <c r="Z144" s="7">
        <v>369.45699999999999</v>
      </c>
      <c r="AA144" s="7">
        <v>1075.633</v>
      </c>
      <c r="AB144" s="7">
        <v>-770.48699999999997</v>
      </c>
      <c r="AC144" s="7">
        <v>8350.8619999999992</v>
      </c>
      <c r="AD144" s="7">
        <v>-1161.5909999999999</v>
      </c>
      <c r="AE144" s="7">
        <v>3967.7240000000002</v>
      </c>
      <c r="AF144" s="7">
        <v>-678.21299999999997</v>
      </c>
      <c r="AG144" s="7">
        <v>637.62800000000004</v>
      </c>
      <c r="AH144" s="7">
        <v>-90.316000000000003</v>
      </c>
      <c r="AI144" s="7">
        <v>21048.167000000001</v>
      </c>
      <c r="AJ144" s="7">
        <v>1208.585</v>
      </c>
      <c r="AK144" s="7">
        <v>-293.49900000000002</v>
      </c>
      <c r="AL144" s="7">
        <v>56438.006999999998</v>
      </c>
      <c r="AM144" s="7">
        <v>2310.5129999999999</v>
      </c>
      <c r="AN144" s="7">
        <v>-7701.2910000000002</v>
      </c>
      <c r="AO144" s="7">
        <v>-147555.231</v>
      </c>
      <c r="AP144" s="7">
        <v>-1028.6079999999999</v>
      </c>
      <c r="AQ144" s="7">
        <v>-561.87199999999996</v>
      </c>
      <c r="AR144" s="7">
        <v>-94744.508000000002</v>
      </c>
      <c r="AS144" s="7">
        <v>0</v>
      </c>
      <c r="AT144" s="7">
        <v>-43758.315000000002</v>
      </c>
      <c r="AU144" s="7">
        <v>23.526</v>
      </c>
      <c r="AV144" s="7">
        <v>-26.382000000000001</v>
      </c>
      <c r="AW144" s="7">
        <v>0</v>
      </c>
      <c r="AX144" s="7">
        <v>320.32299999999998</v>
      </c>
      <c r="AY144" s="7">
        <v>0</v>
      </c>
      <c r="AZ144" s="7">
        <v>6.391</v>
      </c>
      <c r="BA144" s="7">
        <v>0</v>
      </c>
      <c r="BB144" s="7">
        <v>91.174000000000007</v>
      </c>
      <c r="BC144" s="7">
        <v>0</v>
      </c>
      <c r="BD144" s="7">
        <v>0</v>
      </c>
      <c r="BE144" s="7">
        <v>3596.6129999999998</v>
      </c>
      <c r="BF144" s="21"/>
    </row>
    <row r="145" spans="1:58" ht="15.75" x14ac:dyDescent="0.25">
      <c r="A145" s="5" t="s">
        <v>277</v>
      </c>
      <c r="B145" s="5" t="s">
        <v>278</v>
      </c>
      <c r="C145" s="7">
        <v>6</v>
      </c>
      <c r="D145" s="7">
        <v>6</v>
      </c>
      <c r="E145" s="7">
        <v>-7986.07</v>
      </c>
      <c r="F145" s="7">
        <v>-1113.2919999999999</v>
      </c>
      <c r="G145" s="7">
        <v>-893.92</v>
      </c>
      <c r="H145" s="7">
        <v>-190.67400000000001</v>
      </c>
      <c r="I145" s="7">
        <v>-264.541</v>
      </c>
      <c r="J145" s="7">
        <v>-794.48299999999995</v>
      </c>
      <c r="K145" s="7">
        <v>-6133.2920000000004</v>
      </c>
      <c r="L145" s="7">
        <v>-992.79700000000003</v>
      </c>
      <c r="M145" s="7">
        <v>0</v>
      </c>
      <c r="N145" s="7">
        <v>-3864.306</v>
      </c>
      <c r="O145" s="7">
        <v>-12582.796</v>
      </c>
      <c r="P145" s="7">
        <v>-3707.1439999999998</v>
      </c>
      <c r="Q145" s="7">
        <v>0</v>
      </c>
      <c r="R145" s="7">
        <v>0</v>
      </c>
      <c r="S145" s="7">
        <v>-19.75</v>
      </c>
      <c r="T145" s="7">
        <v>0</v>
      </c>
      <c r="U145" s="7">
        <v>-1.6779999999999999</v>
      </c>
      <c r="V145" s="7">
        <v>-310.322</v>
      </c>
      <c r="W145" s="7">
        <v>0</v>
      </c>
      <c r="X145" s="7">
        <v>0</v>
      </c>
      <c r="Y145" s="7">
        <v>0</v>
      </c>
      <c r="Z145" s="7">
        <v>-96.364000000000004</v>
      </c>
      <c r="AA145" s="7">
        <v>-361.61900000000003</v>
      </c>
      <c r="AB145" s="7">
        <v>0</v>
      </c>
      <c r="AC145" s="7">
        <v>-2666.1709999999998</v>
      </c>
      <c r="AD145" s="7">
        <v>0</v>
      </c>
      <c r="AE145" s="7">
        <v>-1198.42</v>
      </c>
      <c r="AF145" s="7">
        <v>-0.254</v>
      </c>
      <c r="AG145" s="7">
        <v>-217.32900000000001</v>
      </c>
      <c r="AH145" s="7">
        <v>0</v>
      </c>
      <c r="AI145" s="7">
        <v>-6688.7129999999997</v>
      </c>
      <c r="AJ145" s="7">
        <v>-518.57799999999997</v>
      </c>
      <c r="AK145" s="7">
        <v>0</v>
      </c>
      <c r="AL145" s="7">
        <v>-20155.239000000001</v>
      </c>
      <c r="AM145" s="7">
        <v>-976.08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-10.693</v>
      </c>
      <c r="AV145" s="7">
        <v>0</v>
      </c>
      <c r="AW145" s="7">
        <v>0</v>
      </c>
      <c r="AX145" s="7">
        <v>-125.074</v>
      </c>
      <c r="AY145" s="7">
        <v>0</v>
      </c>
      <c r="AZ145" s="7">
        <v>-1.472</v>
      </c>
      <c r="BA145" s="7">
        <v>0</v>
      </c>
      <c r="BB145" s="7">
        <v>-15.1</v>
      </c>
      <c r="BC145" s="7">
        <v>0</v>
      </c>
      <c r="BD145" s="7">
        <v>0</v>
      </c>
      <c r="BE145" s="7">
        <v>-731.42700000000002</v>
      </c>
      <c r="BF145" s="21"/>
    </row>
    <row r="146" spans="1:58" ht="15.75" x14ac:dyDescent="0.25">
      <c r="A146" s="5" t="s">
        <v>279</v>
      </c>
      <c r="B146" s="5" t="s">
        <v>280</v>
      </c>
      <c r="C146" s="7">
        <v>6</v>
      </c>
      <c r="D146" s="7">
        <v>6</v>
      </c>
      <c r="E146" s="7">
        <v>-30664.594000000001</v>
      </c>
      <c r="F146" s="7">
        <v>-7684.7389999999996</v>
      </c>
      <c r="G146" s="7">
        <v>-509.685</v>
      </c>
      <c r="H146" s="7">
        <v>-401.46600000000001</v>
      </c>
      <c r="I146" s="7">
        <v>-582.18299999999999</v>
      </c>
      <c r="J146" s="7">
        <v>-757.68100000000004</v>
      </c>
      <c r="K146" s="7">
        <v>-39856.720000000001</v>
      </c>
      <c r="L146" s="7">
        <v>-4060.2829999999999</v>
      </c>
      <c r="M146" s="7">
        <v>0</v>
      </c>
      <c r="N146" s="7">
        <v>-6702.7439999999997</v>
      </c>
      <c r="O146" s="7">
        <v>-93920.929000000004</v>
      </c>
      <c r="P146" s="7">
        <v>-8151.7449999999999</v>
      </c>
      <c r="Q146" s="7">
        <v>0</v>
      </c>
      <c r="R146" s="7">
        <v>-975.20899999999995</v>
      </c>
      <c r="S146" s="7">
        <v>-0.35399999999999998</v>
      </c>
      <c r="T146" s="7">
        <v>-1166.2629999999999</v>
      </c>
      <c r="U146" s="7">
        <v>0</v>
      </c>
      <c r="V146" s="7">
        <v>-2348.0360000000001</v>
      </c>
      <c r="W146" s="7">
        <v>0</v>
      </c>
      <c r="X146" s="7">
        <v>-20149.955999999998</v>
      </c>
      <c r="Y146" s="7">
        <v>0</v>
      </c>
      <c r="Z146" s="7">
        <v>-49.777000000000001</v>
      </c>
      <c r="AA146" s="7">
        <v>-926.58900000000006</v>
      </c>
      <c r="AB146" s="7">
        <v>-48754.826999999997</v>
      </c>
      <c r="AC146" s="7">
        <v>-15526.272000000001</v>
      </c>
      <c r="AD146" s="7">
        <v>0</v>
      </c>
      <c r="AE146" s="7">
        <v>-1165.9449999999999</v>
      </c>
      <c r="AF146" s="7">
        <v>-39889.741000000002</v>
      </c>
      <c r="AG146" s="7">
        <v>-1224.1790000000001</v>
      </c>
      <c r="AH146" s="7">
        <v>-1.75</v>
      </c>
      <c r="AI146" s="7">
        <v>-38116.542999999998</v>
      </c>
      <c r="AJ146" s="7">
        <v>-17921.462</v>
      </c>
      <c r="AK146" s="7">
        <v>-4.7409999999999997</v>
      </c>
      <c r="AL146" s="7">
        <v>-122360.007</v>
      </c>
      <c r="AM146" s="7">
        <v>-34855.773000000001</v>
      </c>
      <c r="AN146" s="7">
        <v>0</v>
      </c>
      <c r="AO146" s="7">
        <v>0</v>
      </c>
      <c r="AP146" s="7">
        <v>-45874.421000000002</v>
      </c>
      <c r="AQ146" s="7">
        <v>-18416.841</v>
      </c>
      <c r="AR146" s="7">
        <v>0</v>
      </c>
      <c r="AS146" s="7">
        <v>0</v>
      </c>
      <c r="AT146" s="7">
        <v>0</v>
      </c>
      <c r="AU146" s="7">
        <v>-92.625</v>
      </c>
      <c r="AV146" s="7">
        <v>-991.98400000000004</v>
      </c>
      <c r="AW146" s="7">
        <v>0</v>
      </c>
      <c r="AX146" s="7">
        <v>-5032.2160000000003</v>
      </c>
      <c r="AY146" s="7">
        <v>0</v>
      </c>
      <c r="AZ146" s="7">
        <v>-21.844999999999999</v>
      </c>
      <c r="BA146" s="7">
        <v>0</v>
      </c>
      <c r="BB146" s="7">
        <v>-177.06100000000001</v>
      </c>
      <c r="BC146" s="7">
        <v>0</v>
      </c>
      <c r="BD146" s="7">
        <v>0</v>
      </c>
      <c r="BE146" s="7">
        <v>-4608.5950000000003</v>
      </c>
      <c r="BF146" s="21"/>
    </row>
    <row r="147" spans="1:58" ht="15.75" x14ac:dyDescent="0.25">
      <c r="A147" s="5" t="s">
        <v>281</v>
      </c>
      <c r="B147" s="5" t="s">
        <v>282</v>
      </c>
      <c r="C147" s="7">
        <v>6</v>
      </c>
      <c r="D147" s="7">
        <v>6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21"/>
    </row>
    <row r="148" spans="1:58" ht="15.75" x14ac:dyDescent="0.25">
      <c r="A148" s="5" t="s">
        <v>283</v>
      </c>
      <c r="B148" s="5" t="s">
        <v>284</v>
      </c>
      <c r="C148" s="7">
        <v>4</v>
      </c>
      <c r="D148" s="7">
        <v>4</v>
      </c>
      <c r="E148" s="7">
        <v>5468.5940000000001</v>
      </c>
      <c r="F148" s="7">
        <v>1440.604</v>
      </c>
      <c r="G148" s="7">
        <v>0</v>
      </c>
      <c r="H148" s="7">
        <v>0</v>
      </c>
      <c r="I148" s="7">
        <v>83.548000000000002</v>
      </c>
      <c r="J148" s="7">
        <v>0</v>
      </c>
      <c r="K148" s="7">
        <v>8027.7359999999999</v>
      </c>
      <c r="L148" s="7">
        <v>940.93</v>
      </c>
      <c r="M148" s="7">
        <v>0</v>
      </c>
      <c r="N148" s="7">
        <v>1943.6220000000001</v>
      </c>
      <c r="O148" s="7">
        <v>19647.994999999999</v>
      </c>
      <c r="P148" s="7">
        <v>1108.1500000000001</v>
      </c>
      <c r="Q148" s="7">
        <v>0</v>
      </c>
      <c r="R148" s="7">
        <v>22.466999999999999</v>
      </c>
      <c r="S148" s="7">
        <v>0</v>
      </c>
      <c r="T148" s="7">
        <v>15.013999999999999</v>
      </c>
      <c r="U148" s="7">
        <v>0</v>
      </c>
      <c r="V148" s="7">
        <v>424.64499999999998</v>
      </c>
      <c r="W148" s="7">
        <v>0</v>
      </c>
      <c r="X148" s="7">
        <v>225.40899999999999</v>
      </c>
      <c r="Y148" s="7">
        <v>0</v>
      </c>
      <c r="Z148" s="7">
        <v>0</v>
      </c>
      <c r="AA148" s="7">
        <v>145.79499999999999</v>
      </c>
      <c r="AB148" s="7">
        <v>712.29200000000003</v>
      </c>
      <c r="AC148" s="7">
        <v>3114.5940000000001</v>
      </c>
      <c r="AD148" s="7">
        <v>151.27799999999999</v>
      </c>
      <c r="AE148" s="7">
        <v>0</v>
      </c>
      <c r="AF148" s="7">
        <v>574.23099999999999</v>
      </c>
      <c r="AG148" s="7">
        <v>228.27099999999999</v>
      </c>
      <c r="AH148" s="7">
        <v>37.865000000000002</v>
      </c>
      <c r="AI148" s="7">
        <v>8023.9780000000001</v>
      </c>
      <c r="AJ148" s="7">
        <v>3793.694</v>
      </c>
      <c r="AK148" s="7">
        <v>174.68100000000001</v>
      </c>
      <c r="AL148" s="7">
        <v>23472.589</v>
      </c>
      <c r="AM148" s="7">
        <v>7357.8689999999997</v>
      </c>
      <c r="AN148" s="7">
        <v>1031.2080000000001</v>
      </c>
      <c r="AO148" s="7">
        <v>81483.288</v>
      </c>
      <c r="AP148" s="7">
        <v>538.88800000000003</v>
      </c>
      <c r="AQ148" s="7">
        <v>191.63399999999999</v>
      </c>
      <c r="AR148" s="7">
        <v>52320.029000000002</v>
      </c>
      <c r="AS148" s="7">
        <v>0</v>
      </c>
      <c r="AT148" s="7">
        <v>24164.316999999999</v>
      </c>
      <c r="AU148" s="7">
        <v>17.193999999999999</v>
      </c>
      <c r="AV148" s="7">
        <v>12.013</v>
      </c>
      <c r="AW148" s="7">
        <v>0</v>
      </c>
      <c r="AX148" s="7">
        <v>1071.1510000000001</v>
      </c>
      <c r="AY148" s="7">
        <v>0</v>
      </c>
      <c r="AZ148" s="7">
        <v>4.274</v>
      </c>
      <c r="BA148" s="7">
        <v>0</v>
      </c>
      <c r="BB148" s="7">
        <v>34.064999999999998</v>
      </c>
      <c r="BC148" s="7">
        <v>0</v>
      </c>
      <c r="BD148" s="7">
        <v>0</v>
      </c>
      <c r="BE148" s="7">
        <v>850.779</v>
      </c>
      <c r="BF148" s="21"/>
    </row>
    <row r="149" spans="1:58" ht="15.75" x14ac:dyDescent="0.25">
      <c r="A149" s="5" t="s">
        <v>285</v>
      </c>
      <c r="B149" s="5" t="s">
        <v>286</v>
      </c>
      <c r="C149" s="7">
        <v>6</v>
      </c>
      <c r="D149" s="7">
        <v>6</v>
      </c>
      <c r="E149" s="7">
        <v>172689.45800000001</v>
      </c>
      <c r="F149" s="7">
        <v>45290.35</v>
      </c>
      <c r="G149" s="7">
        <v>230.99299999999999</v>
      </c>
      <c r="H149" s="7">
        <v>309.07299999999998</v>
      </c>
      <c r="I149" s="7">
        <v>2721.3989999999999</v>
      </c>
      <c r="J149" s="7">
        <v>480.33199999999999</v>
      </c>
      <c r="K149" s="7">
        <v>250147.99</v>
      </c>
      <c r="L149" s="7">
        <v>21763.592000000001</v>
      </c>
      <c r="M149" s="7">
        <v>0</v>
      </c>
      <c r="N149" s="7">
        <v>27031.868999999999</v>
      </c>
      <c r="O149" s="7">
        <v>577805.696</v>
      </c>
      <c r="P149" s="7">
        <v>36331.838000000003</v>
      </c>
      <c r="Q149" s="7">
        <v>0</v>
      </c>
      <c r="R149" s="7">
        <v>1638.8910000000001</v>
      </c>
      <c r="S149" s="7">
        <v>0.34799999999999998</v>
      </c>
      <c r="T149" s="7">
        <v>2130.0700000000002</v>
      </c>
      <c r="U149" s="7">
        <v>678.43299999999999</v>
      </c>
      <c r="V149" s="7">
        <v>13407.459000000001</v>
      </c>
      <c r="W149" s="7">
        <v>0</v>
      </c>
      <c r="X149" s="7">
        <v>28903.51</v>
      </c>
      <c r="Y149" s="7">
        <v>0</v>
      </c>
      <c r="Z149" s="7">
        <v>27.939</v>
      </c>
      <c r="AA149" s="7">
        <v>4681.5360000000001</v>
      </c>
      <c r="AB149" s="7">
        <v>64887.580999999998</v>
      </c>
      <c r="AC149" s="7">
        <v>97131.292000000001</v>
      </c>
      <c r="AD149" s="7">
        <v>17797.112000000001</v>
      </c>
      <c r="AE149" s="7">
        <v>803.86300000000006</v>
      </c>
      <c r="AF149" s="7">
        <v>52480.72</v>
      </c>
      <c r="AG149" s="7">
        <v>7180.607</v>
      </c>
      <c r="AH149" s="7">
        <v>4500.7250000000004</v>
      </c>
      <c r="AI149" s="7">
        <v>248865.633</v>
      </c>
      <c r="AJ149" s="7">
        <v>117582.196</v>
      </c>
      <c r="AK149" s="7">
        <v>16171.826999999999</v>
      </c>
      <c r="AL149" s="7">
        <v>735523.43500000006</v>
      </c>
      <c r="AM149" s="7">
        <v>228175.473</v>
      </c>
      <c r="AN149" s="7">
        <v>116307.753</v>
      </c>
      <c r="AO149" s="7">
        <v>763838.37199999997</v>
      </c>
      <c r="AP149" s="7">
        <v>70845.206999999995</v>
      </c>
      <c r="AQ149" s="7">
        <v>35424.771999999997</v>
      </c>
      <c r="AR149" s="7">
        <v>490456.96500000003</v>
      </c>
      <c r="AS149" s="7">
        <v>0</v>
      </c>
      <c r="AT149" s="7">
        <v>226520.47099999999</v>
      </c>
      <c r="AU149" s="7">
        <v>540.93700000000001</v>
      </c>
      <c r="AV149" s="7">
        <v>1700.556</v>
      </c>
      <c r="AW149" s="7">
        <v>0</v>
      </c>
      <c r="AX149" s="7">
        <v>33184.046000000002</v>
      </c>
      <c r="AY149" s="7">
        <v>0</v>
      </c>
      <c r="AZ149" s="7">
        <v>133.42500000000001</v>
      </c>
      <c r="BA149" s="7">
        <v>0</v>
      </c>
      <c r="BB149" s="7">
        <v>1057.625</v>
      </c>
      <c r="BC149" s="7">
        <v>0</v>
      </c>
      <c r="BD149" s="7">
        <v>0</v>
      </c>
      <c r="BE149" s="7">
        <v>26747.437000000002</v>
      </c>
      <c r="BF149" s="21"/>
    </row>
    <row r="150" spans="1:58" ht="15.75" x14ac:dyDescent="0.25">
      <c r="A150" s="5" t="s">
        <v>287</v>
      </c>
      <c r="B150" s="5" t="s">
        <v>288</v>
      </c>
      <c r="C150" s="7">
        <v>6</v>
      </c>
      <c r="D150" s="7">
        <v>6</v>
      </c>
      <c r="E150" s="7">
        <v>19102.853999999999</v>
      </c>
      <c r="F150" s="7">
        <v>3005.22</v>
      </c>
      <c r="G150" s="7">
        <v>5439.1239999999998</v>
      </c>
      <c r="H150" s="7">
        <v>0</v>
      </c>
      <c r="I150" s="7">
        <v>645.73599999999999</v>
      </c>
      <c r="J150" s="7">
        <v>3345.4780000000001</v>
      </c>
      <c r="K150" s="7">
        <v>13769.655000000001</v>
      </c>
      <c r="L150" s="7">
        <v>3554.89</v>
      </c>
      <c r="M150" s="7">
        <v>0</v>
      </c>
      <c r="N150" s="7">
        <v>10949.921</v>
      </c>
      <c r="O150" s="7">
        <v>18174.406999999999</v>
      </c>
      <c r="P150" s="7">
        <v>10799.27</v>
      </c>
      <c r="Q150" s="7">
        <v>0</v>
      </c>
      <c r="R150" s="7">
        <v>0</v>
      </c>
      <c r="S150" s="7">
        <v>75.260000000000005</v>
      </c>
      <c r="T150" s="7">
        <v>0</v>
      </c>
      <c r="U150" s="7">
        <v>2.0939999999999999</v>
      </c>
      <c r="V150" s="7">
        <v>655.77</v>
      </c>
      <c r="W150" s="7">
        <v>0</v>
      </c>
      <c r="X150" s="7">
        <v>0</v>
      </c>
      <c r="Y150" s="7">
        <v>0</v>
      </c>
      <c r="Z150" s="7">
        <v>417.233</v>
      </c>
      <c r="AA150" s="7">
        <v>1163.508</v>
      </c>
      <c r="AB150" s="7">
        <v>0</v>
      </c>
      <c r="AC150" s="7">
        <v>6172.2740000000003</v>
      </c>
      <c r="AD150" s="7">
        <v>0</v>
      </c>
      <c r="AE150" s="7">
        <v>3389.9279999999999</v>
      </c>
      <c r="AF150" s="7">
        <v>0</v>
      </c>
      <c r="AG150" s="7">
        <v>506.93700000000001</v>
      </c>
      <c r="AH150" s="7">
        <v>0</v>
      </c>
      <c r="AI150" s="7">
        <v>16456.792000000001</v>
      </c>
      <c r="AJ150" s="7">
        <v>0</v>
      </c>
      <c r="AK150" s="7">
        <v>0</v>
      </c>
      <c r="AL150" s="7">
        <v>33040.105000000003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9.7059999999999995</v>
      </c>
      <c r="AV150" s="7">
        <v>0</v>
      </c>
      <c r="AW150" s="7">
        <v>0</v>
      </c>
      <c r="AX150" s="7">
        <v>0</v>
      </c>
      <c r="AY150" s="7">
        <v>0</v>
      </c>
      <c r="AZ150" s="7">
        <v>6.0060000000000002</v>
      </c>
      <c r="BA150" s="7">
        <v>0</v>
      </c>
      <c r="BB150" s="7">
        <v>180.386</v>
      </c>
      <c r="BC150" s="7">
        <v>0</v>
      </c>
      <c r="BD150" s="7">
        <v>0</v>
      </c>
      <c r="BE150" s="7">
        <v>0</v>
      </c>
      <c r="BF150" s="21"/>
    </row>
    <row r="151" spans="1:58" ht="15.75" x14ac:dyDescent="0.25">
      <c r="A151" s="5" t="s">
        <v>289</v>
      </c>
      <c r="B151" s="5" t="s">
        <v>290</v>
      </c>
      <c r="C151" s="7">
        <v>6</v>
      </c>
      <c r="D151" s="7">
        <v>6</v>
      </c>
      <c r="E151" s="7">
        <v>-160740.796</v>
      </c>
      <c r="F151" s="7">
        <v>-40409.730000000003</v>
      </c>
      <c r="G151" s="7">
        <v>-5349.7359999999999</v>
      </c>
      <c r="H151" s="7">
        <v>88.572000000000003</v>
      </c>
      <c r="I151" s="7">
        <v>-2788.4079999999999</v>
      </c>
      <c r="J151" s="7">
        <v>-3193.2429999999999</v>
      </c>
      <c r="K151" s="7">
        <v>-222546.06899999999</v>
      </c>
      <c r="L151" s="7">
        <v>-21207.981</v>
      </c>
      <c r="M151" s="7">
        <v>0</v>
      </c>
      <c r="N151" s="7">
        <v>-31477.933000000001</v>
      </c>
      <c r="O151" s="7">
        <v>-498948.93</v>
      </c>
      <c r="P151" s="7">
        <v>-39061.417999999998</v>
      </c>
      <c r="Q151" s="7">
        <v>0</v>
      </c>
      <c r="R151" s="7">
        <v>-888.48299999999995</v>
      </c>
      <c r="S151" s="7">
        <v>-75.296999999999997</v>
      </c>
      <c r="T151" s="7">
        <v>-1268.615</v>
      </c>
      <c r="U151" s="7">
        <v>-660.52200000000005</v>
      </c>
      <c r="V151" s="7">
        <v>-11666.3</v>
      </c>
      <c r="W151" s="7">
        <v>0</v>
      </c>
      <c r="X151" s="7">
        <v>-14414.303</v>
      </c>
      <c r="Y151" s="7">
        <v>0</v>
      </c>
      <c r="Z151" s="7">
        <v>-407.34500000000003</v>
      </c>
      <c r="AA151" s="7">
        <v>-4914.4309999999996</v>
      </c>
      <c r="AB151" s="7">
        <v>-29417.736000000001</v>
      </c>
      <c r="AC151" s="7">
        <v>-87255.385999999999</v>
      </c>
      <c r="AD151" s="7">
        <v>-16869.633000000002</v>
      </c>
      <c r="AE151" s="7">
        <v>-3145.3490000000002</v>
      </c>
      <c r="AF151" s="7">
        <v>-23536.679</v>
      </c>
      <c r="AG151" s="7">
        <v>-6430.6319999999996</v>
      </c>
      <c r="AH151" s="7">
        <v>-4219.7349999999997</v>
      </c>
      <c r="AI151" s="7">
        <v>-225820.28400000001</v>
      </c>
      <c r="AJ151" s="7">
        <v>-98917.010999999999</v>
      </c>
      <c r="AK151" s="7">
        <v>-15019.437</v>
      </c>
      <c r="AL151" s="7">
        <v>-642446.66500000004</v>
      </c>
      <c r="AM151" s="7">
        <v>-191903.329</v>
      </c>
      <c r="AN151" s="7">
        <v>-110133.141</v>
      </c>
      <c r="AO151" s="7">
        <v>-692172.45400000003</v>
      </c>
      <c r="AP151" s="7">
        <v>-37606.012999999999</v>
      </c>
      <c r="AQ151" s="7">
        <v>-21910.078000000001</v>
      </c>
      <c r="AR151" s="7">
        <v>-444440.62199999997</v>
      </c>
      <c r="AS151" s="7">
        <v>0</v>
      </c>
      <c r="AT151" s="7">
        <v>-205267.549</v>
      </c>
      <c r="AU151" s="7">
        <v>-454.46100000000001</v>
      </c>
      <c r="AV151" s="7">
        <v>-974.47</v>
      </c>
      <c r="AW151" s="7">
        <v>0</v>
      </c>
      <c r="AX151" s="7">
        <v>-27933.976999999999</v>
      </c>
      <c r="AY151" s="7">
        <v>0</v>
      </c>
      <c r="AZ151" s="7">
        <v>-117.291</v>
      </c>
      <c r="BA151" s="7">
        <v>0</v>
      </c>
      <c r="BB151" s="7">
        <v>-1068.4259999999999</v>
      </c>
      <c r="BC151" s="7">
        <v>0</v>
      </c>
      <c r="BD151" s="7">
        <v>0</v>
      </c>
      <c r="BE151" s="7">
        <v>-21890.870999999999</v>
      </c>
      <c r="BF151" s="21"/>
    </row>
    <row r="152" spans="1:58" ht="15.75" x14ac:dyDescent="0.25">
      <c r="A152" s="5" t="s">
        <v>291</v>
      </c>
      <c r="B152" s="5" t="s">
        <v>292</v>
      </c>
      <c r="C152" s="7">
        <v>6</v>
      </c>
      <c r="D152" s="7">
        <v>6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21"/>
    </row>
    <row r="153" spans="1:58" ht="15.75" x14ac:dyDescent="0.25">
      <c r="A153" s="5" t="s">
        <v>293</v>
      </c>
      <c r="B153" s="5" t="s">
        <v>294</v>
      </c>
      <c r="C153" s="7">
        <v>4</v>
      </c>
      <c r="D153" s="7">
        <v>4</v>
      </c>
      <c r="E153" s="7">
        <v>14774.968000000001</v>
      </c>
      <c r="F153" s="7">
        <v>4177.84</v>
      </c>
      <c r="G153" s="7">
        <v>5.1189999999999998</v>
      </c>
      <c r="H153" s="7">
        <v>0</v>
      </c>
      <c r="I153" s="7">
        <v>268.60599999999999</v>
      </c>
      <c r="J153" s="7">
        <v>3.2690000000000001</v>
      </c>
      <c r="K153" s="7">
        <v>20330.623</v>
      </c>
      <c r="L153" s="7">
        <v>1371.741</v>
      </c>
      <c r="M153" s="7">
        <v>0</v>
      </c>
      <c r="N153" s="7">
        <v>2279.2950000000001</v>
      </c>
      <c r="O153" s="7">
        <v>53522.773000000001</v>
      </c>
      <c r="P153" s="7">
        <v>2835.163</v>
      </c>
      <c r="Q153" s="7">
        <v>0</v>
      </c>
      <c r="R153" s="7">
        <v>0</v>
      </c>
      <c r="S153" s="7">
        <v>2.1469999999999998</v>
      </c>
      <c r="T153" s="7">
        <v>0</v>
      </c>
      <c r="U153" s="7">
        <v>0</v>
      </c>
      <c r="V153" s="7">
        <v>1252.67</v>
      </c>
      <c r="W153" s="7">
        <v>0</v>
      </c>
      <c r="X153" s="7">
        <v>0</v>
      </c>
      <c r="Y153" s="7">
        <v>0</v>
      </c>
      <c r="Z153" s="7">
        <v>0</v>
      </c>
      <c r="AA153" s="7">
        <v>393.673</v>
      </c>
      <c r="AB153" s="7">
        <v>0</v>
      </c>
      <c r="AC153" s="7">
        <v>7590.5889999999999</v>
      </c>
      <c r="AD153" s="7">
        <v>0</v>
      </c>
      <c r="AE153" s="7">
        <v>0</v>
      </c>
      <c r="AF153" s="7">
        <v>0</v>
      </c>
      <c r="AG153" s="7">
        <v>631.85199999999998</v>
      </c>
      <c r="AH153" s="7">
        <v>0</v>
      </c>
      <c r="AI153" s="7">
        <v>20304.044000000002</v>
      </c>
      <c r="AJ153" s="7">
        <v>9675.01</v>
      </c>
      <c r="AK153" s="7">
        <v>0</v>
      </c>
      <c r="AL153" s="7">
        <v>65743.441999999995</v>
      </c>
      <c r="AM153" s="7">
        <v>19402.868999999999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25.972000000000001</v>
      </c>
      <c r="AV153" s="7">
        <v>0</v>
      </c>
      <c r="AW153" s="7">
        <v>0</v>
      </c>
      <c r="AX153" s="7">
        <v>2545.634</v>
      </c>
      <c r="AY153" s="7">
        <v>0</v>
      </c>
      <c r="AZ153" s="7">
        <v>11.28</v>
      </c>
      <c r="BA153" s="7">
        <v>0</v>
      </c>
      <c r="BB153" s="7">
        <v>92.471000000000004</v>
      </c>
      <c r="BC153" s="7">
        <v>0</v>
      </c>
      <c r="BD153" s="7">
        <v>0</v>
      </c>
      <c r="BE153" s="7">
        <v>0</v>
      </c>
      <c r="BF153" s="21"/>
    </row>
    <row r="154" spans="1:58" ht="15.75" x14ac:dyDescent="0.25">
      <c r="A154" s="5" t="s">
        <v>295</v>
      </c>
      <c r="B154" s="5" t="s">
        <v>296</v>
      </c>
      <c r="C154" s="7">
        <v>4</v>
      </c>
      <c r="D154" s="7">
        <v>4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21"/>
    </row>
    <row r="155" spans="1:58" ht="15.75" x14ac:dyDescent="0.25">
      <c r="A155" s="5" t="s">
        <v>297</v>
      </c>
      <c r="B155" s="5" t="s">
        <v>298</v>
      </c>
      <c r="C155" s="7">
        <v>4</v>
      </c>
      <c r="D155" s="7">
        <v>4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21"/>
    </row>
    <row r="156" spans="1:58" ht="15.75" x14ac:dyDescent="0.25">
      <c r="A156" s="5" t="s">
        <v>299</v>
      </c>
      <c r="B156" s="5" t="s">
        <v>300</v>
      </c>
      <c r="C156" s="7">
        <v>4</v>
      </c>
      <c r="D156" s="7">
        <v>4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21"/>
    </row>
    <row r="157" spans="1:58" ht="15.75" x14ac:dyDescent="0.25">
      <c r="A157" s="5" t="s">
        <v>301</v>
      </c>
      <c r="B157" s="5" t="s">
        <v>302</v>
      </c>
      <c r="C157" s="7">
        <v>4</v>
      </c>
      <c r="D157" s="7">
        <v>4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21"/>
    </row>
    <row r="158" spans="1:58" ht="15.75" x14ac:dyDescent="0.25">
      <c r="A158" s="5" t="s">
        <v>303</v>
      </c>
      <c r="B158" s="5" t="s">
        <v>304</v>
      </c>
      <c r="C158" s="7">
        <v>4</v>
      </c>
      <c r="D158" s="7">
        <v>4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21"/>
    </row>
    <row r="159" spans="1:58" ht="15.75" x14ac:dyDescent="0.25">
      <c r="A159" s="5" t="s">
        <v>305</v>
      </c>
      <c r="B159" s="5" t="s">
        <v>306</v>
      </c>
      <c r="C159" s="7">
        <v>4</v>
      </c>
      <c r="D159" s="7">
        <v>4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21"/>
    </row>
    <row r="160" spans="1:58" ht="15.75" x14ac:dyDescent="0.25">
      <c r="A160" s="5" t="s">
        <v>307</v>
      </c>
      <c r="B160" s="5" t="s">
        <v>308</v>
      </c>
      <c r="C160" s="7">
        <v>4</v>
      </c>
      <c r="D160" s="7">
        <v>4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21"/>
    </row>
    <row r="161" spans="1:58" ht="15.75" x14ac:dyDescent="0.25">
      <c r="A161" s="5" t="s">
        <v>293</v>
      </c>
      <c r="B161" s="5" t="s">
        <v>309</v>
      </c>
      <c r="C161" s="7">
        <v>6</v>
      </c>
      <c r="D161" s="7">
        <v>6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21"/>
    </row>
    <row r="162" spans="1:58" ht="15.75" x14ac:dyDescent="0.25">
      <c r="A162" s="5" t="s">
        <v>310</v>
      </c>
      <c r="B162" s="5" t="s">
        <v>311</v>
      </c>
      <c r="C162" s="7">
        <v>6</v>
      </c>
      <c r="D162" s="7">
        <v>6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21"/>
    </row>
    <row r="163" spans="1:58" ht="15.75" x14ac:dyDescent="0.25">
      <c r="A163" s="5" t="s">
        <v>312</v>
      </c>
      <c r="B163" s="5" t="s">
        <v>313</v>
      </c>
      <c r="C163" s="7">
        <v>6</v>
      </c>
      <c r="D163" s="7">
        <v>6</v>
      </c>
      <c r="E163" s="7">
        <v>242.46299999999999</v>
      </c>
      <c r="F163" s="7">
        <v>70.275000000000006</v>
      </c>
      <c r="G163" s="7">
        <v>33.058999999999997</v>
      </c>
      <c r="H163" s="7">
        <v>0</v>
      </c>
      <c r="I163" s="7">
        <v>8.4730000000000008</v>
      </c>
      <c r="J163" s="7">
        <v>25.300999999999998</v>
      </c>
      <c r="K163" s="7">
        <v>391.13400000000001</v>
      </c>
      <c r="L163" s="7">
        <v>50.923000000000002</v>
      </c>
      <c r="M163" s="7">
        <v>0</v>
      </c>
      <c r="N163" s="7">
        <v>80.177000000000007</v>
      </c>
      <c r="O163" s="7">
        <v>632.24099999999999</v>
      </c>
      <c r="P163" s="7">
        <v>115.857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21.178999999999998</v>
      </c>
      <c r="W163" s="7">
        <v>0</v>
      </c>
      <c r="X163" s="7">
        <v>0</v>
      </c>
      <c r="Y163" s="7">
        <v>0</v>
      </c>
      <c r="Z163" s="7">
        <v>3.0459999999999998</v>
      </c>
      <c r="AA163" s="7">
        <v>12.805</v>
      </c>
      <c r="AB163" s="7">
        <v>0</v>
      </c>
      <c r="AC163" s="7">
        <v>113.303</v>
      </c>
      <c r="AD163" s="7">
        <v>0</v>
      </c>
      <c r="AE163" s="7">
        <v>28.452999999999999</v>
      </c>
      <c r="AF163" s="7">
        <v>2.7E-2</v>
      </c>
      <c r="AG163" s="7">
        <v>10.465999999999999</v>
      </c>
      <c r="AH163" s="7">
        <v>0</v>
      </c>
      <c r="AI163" s="7">
        <v>292.24299999999999</v>
      </c>
      <c r="AJ163" s="7">
        <v>102.229</v>
      </c>
      <c r="AK163" s="7">
        <v>0</v>
      </c>
      <c r="AL163" s="7">
        <v>905.47299999999996</v>
      </c>
      <c r="AM163" s="7">
        <v>198.29400000000001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0.68899999999999995</v>
      </c>
      <c r="AV163" s="7">
        <v>0</v>
      </c>
      <c r="AW163" s="7">
        <v>0</v>
      </c>
      <c r="AX163" s="7">
        <v>28.879000000000001</v>
      </c>
      <c r="AY163" s="7">
        <v>0</v>
      </c>
      <c r="AZ163" s="7">
        <v>0.127</v>
      </c>
      <c r="BA163" s="7">
        <v>0</v>
      </c>
      <c r="BB163" s="7">
        <v>0.91800000000000004</v>
      </c>
      <c r="BC163" s="7">
        <v>0</v>
      </c>
      <c r="BD163" s="7">
        <v>0</v>
      </c>
      <c r="BE163" s="7">
        <v>23.007999999999999</v>
      </c>
      <c r="BF163" s="21"/>
    </row>
    <row r="164" spans="1:58" ht="15.75" x14ac:dyDescent="0.25">
      <c r="A164" s="5" t="s">
        <v>297</v>
      </c>
      <c r="B164" s="5" t="s">
        <v>314</v>
      </c>
      <c r="C164" s="7">
        <v>6</v>
      </c>
      <c r="D164" s="7">
        <v>6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21"/>
    </row>
    <row r="165" spans="1:58" ht="15.75" x14ac:dyDescent="0.25">
      <c r="A165" s="5" t="s">
        <v>299</v>
      </c>
      <c r="B165" s="5" t="s">
        <v>315</v>
      </c>
      <c r="C165" s="7">
        <v>6</v>
      </c>
      <c r="D165" s="7">
        <v>6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21"/>
    </row>
    <row r="166" spans="1:58" ht="15.75" x14ac:dyDescent="0.25">
      <c r="A166" s="5" t="s">
        <v>301</v>
      </c>
      <c r="B166" s="5" t="s">
        <v>316</v>
      </c>
      <c r="C166" s="7">
        <v>6</v>
      </c>
      <c r="D166" s="7">
        <v>6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21"/>
    </row>
    <row r="167" spans="1:58" ht="15.75" x14ac:dyDescent="0.25">
      <c r="A167" s="5" t="s">
        <v>317</v>
      </c>
      <c r="B167" s="5" t="s">
        <v>318</v>
      </c>
      <c r="C167" s="7">
        <v>6</v>
      </c>
      <c r="D167" s="7">
        <v>6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21"/>
    </row>
    <row r="168" spans="1:58" ht="15.75" x14ac:dyDescent="0.25">
      <c r="A168" s="5" t="s">
        <v>319</v>
      </c>
      <c r="B168" s="5" t="s">
        <v>320</v>
      </c>
      <c r="C168" s="7">
        <v>6</v>
      </c>
      <c r="D168" s="7">
        <v>6</v>
      </c>
      <c r="E168" s="7">
        <v>-211.80099999999999</v>
      </c>
      <c r="F168" s="7">
        <v>-60.027000000000001</v>
      </c>
      <c r="G168" s="7">
        <v>-21.85</v>
      </c>
      <c r="H168" s="7">
        <v>0</v>
      </c>
      <c r="I168" s="7">
        <v>-6.3879999999999999</v>
      </c>
      <c r="J168" s="7">
        <v>-16.722999999999999</v>
      </c>
      <c r="K168" s="7">
        <v>-334.17399999999998</v>
      </c>
      <c r="L168" s="7">
        <v>-40.116</v>
      </c>
      <c r="M168" s="7">
        <v>0</v>
      </c>
      <c r="N168" s="7">
        <v>-60.625</v>
      </c>
      <c r="O168" s="7">
        <v>-592.05399999999997</v>
      </c>
      <c r="P168" s="7">
        <v>-87.016999999999996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-18.001000000000001</v>
      </c>
      <c r="W168" s="7">
        <v>0</v>
      </c>
      <c r="X168" s="7">
        <v>0</v>
      </c>
      <c r="Y168" s="7">
        <v>0</v>
      </c>
      <c r="Z168" s="7">
        <v>-2.0129999999999999</v>
      </c>
      <c r="AA168" s="7">
        <v>-9.8379999999999992</v>
      </c>
      <c r="AB168" s="7">
        <v>0</v>
      </c>
      <c r="AC168" s="7">
        <v>-104.277</v>
      </c>
      <c r="AD168" s="7">
        <v>0</v>
      </c>
      <c r="AE168" s="7">
        <v>-18.806000000000001</v>
      </c>
      <c r="AF168" s="7">
        <v>-2.8000000000000001E-2</v>
      </c>
      <c r="AG168" s="7">
        <v>-9.07</v>
      </c>
      <c r="AH168" s="7">
        <v>0</v>
      </c>
      <c r="AI168" s="7">
        <v>-268.87400000000002</v>
      </c>
      <c r="AJ168" s="7">
        <v>-103.33499999999999</v>
      </c>
      <c r="AK168" s="7">
        <v>0</v>
      </c>
      <c r="AL168" s="7">
        <v>-819.553</v>
      </c>
      <c r="AM168" s="7">
        <v>-200.43899999999999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-0.61799999999999999</v>
      </c>
      <c r="AV168" s="7">
        <v>0</v>
      </c>
      <c r="AW168" s="7">
        <v>0</v>
      </c>
      <c r="AX168" s="7">
        <v>-29.190999999999999</v>
      </c>
      <c r="AY168" s="7">
        <v>0</v>
      </c>
      <c r="AZ168" s="7">
        <v>-0.124</v>
      </c>
      <c r="BA168" s="7">
        <v>0</v>
      </c>
      <c r="BB168" s="7">
        <v>-0.92900000000000005</v>
      </c>
      <c r="BC168" s="7">
        <v>0</v>
      </c>
      <c r="BD168" s="7">
        <v>0</v>
      </c>
      <c r="BE168" s="7">
        <v>-23.236000000000001</v>
      </c>
      <c r="BF168" s="21"/>
    </row>
    <row r="169" spans="1:58" ht="15.75" x14ac:dyDescent="0.25">
      <c r="A169" s="5" t="s">
        <v>305</v>
      </c>
      <c r="B169" s="5" t="s">
        <v>321</v>
      </c>
      <c r="C169" s="7">
        <v>6</v>
      </c>
      <c r="D169" s="7">
        <v>6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21"/>
    </row>
    <row r="170" spans="1:58" ht="15.75" x14ac:dyDescent="0.25">
      <c r="A170" s="5" t="s">
        <v>307</v>
      </c>
      <c r="B170" s="5" t="s">
        <v>322</v>
      </c>
      <c r="C170" s="7">
        <v>6</v>
      </c>
      <c r="D170" s="7">
        <v>6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21"/>
    </row>
    <row r="171" spans="1:58" ht="15.75" x14ac:dyDescent="0.25">
      <c r="A171" s="5" t="s">
        <v>323</v>
      </c>
      <c r="B171" s="5" t="s">
        <v>324</v>
      </c>
      <c r="C171" s="7">
        <v>4</v>
      </c>
      <c r="D171" s="7">
        <v>4</v>
      </c>
      <c r="E171" s="7">
        <v>4961.1220000000003</v>
      </c>
      <c r="F171" s="7">
        <v>1345.7739999999999</v>
      </c>
      <c r="G171" s="7">
        <v>0.69699999999999995</v>
      </c>
      <c r="H171" s="7">
        <v>0</v>
      </c>
      <c r="I171" s="7">
        <v>81.709999999999994</v>
      </c>
      <c r="J171" s="7">
        <v>0.44500000000000001</v>
      </c>
      <c r="K171" s="7">
        <v>7104.1040000000003</v>
      </c>
      <c r="L171" s="7">
        <v>556.30600000000004</v>
      </c>
      <c r="M171" s="7">
        <v>0</v>
      </c>
      <c r="N171" s="7">
        <v>750.03800000000001</v>
      </c>
      <c r="O171" s="7">
        <v>17253.402999999998</v>
      </c>
      <c r="P171" s="7">
        <v>985.202</v>
      </c>
      <c r="Q171" s="7">
        <v>0</v>
      </c>
      <c r="R171" s="7">
        <v>0</v>
      </c>
      <c r="S171" s="7">
        <v>0.29299999999999998</v>
      </c>
      <c r="T171" s="7">
        <v>0</v>
      </c>
      <c r="U171" s="7">
        <v>0</v>
      </c>
      <c r="V171" s="7">
        <v>399.54300000000001</v>
      </c>
      <c r="W171" s="7">
        <v>0</v>
      </c>
      <c r="X171" s="7">
        <v>0</v>
      </c>
      <c r="Y171" s="7">
        <v>0</v>
      </c>
      <c r="Z171" s="7">
        <v>0</v>
      </c>
      <c r="AA171" s="7">
        <v>132.244</v>
      </c>
      <c r="AB171" s="7">
        <v>0</v>
      </c>
      <c r="AC171" s="7">
        <v>2696.3389999999999</v>
      </c>
      <c r="AD171" s="7">
        <v>0</v>
      </c>
      <c r="AE171" s="7">
        <v>0</v>
      </c>
      <c r="AF171" s="7">
        <v>0.53800000000000003</v>
      </c>
      <c r="AG171" s="7">
        <v>209.00200000000001</v>
      </c>
      <c r="AH171" s="7">
        <v>0</v>
      </c>
      <c r="AI171" s="7">
        <v>7048.4309999999996</v>
      </c>
      <c r="AJ171" s="7">
        <v>3358.9110000000001</v>
      </c>
      <c r="AK171" s="7">
        <v>0</v>
      </c>
      <c r="AL171" s="7">
        <v>21694.626</v>
      </c>
      <c r="AM171" s="7">
        <v>6597.64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12.715</v>
      </c>
      <c r="AV171" s="7">
        <v>0</v>
      </c>
      <c r="AW171" s="7">
        <v>0</v>
      </c>
      <c r="AX171" s="7">
        <v>920.47799999999995</v>
      </c>
      <c r="AY171" s="7">
        <v>0</v>
      </c>
      <c r="AZ171" s="7">
        <v>3.819</v>
      </c>
      <c r="BA171" s="7">
        <v>0</v>
      </c>
      <c r="BB171" s="7">
        <v>30.771999999999998</v>
      </c>
      <c r="BC171" s="7">
        <v>0</v>
      </c>
      <c r="BD171" s="7">
        <v>0</v>
      </c>
      <c r="BE171" s="7">
        <v>454.12299999999999</v>
      </c>
      <c r="BF171" s="21"/>
    </row>
    <row r="172" spans="1:58" ht="15.75" x14ac:dyDescent="0.25">
      <c r="A172" s="5" t="s">
        <v>325</v>
      </c>
      <c r="B172" s="5" t="s">
        <v>326</v>
      </c>
      <c r="C172" s="7">
        <v>4</v>
      </c>
      <c r="D172" s="7">
        <v>4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21"/>
    </row>
    <row r="173" spans="1:58" ht="15.75" x14ac:dyDescent="0.25">
      <c r="A173" s="5" t="s">
        <v>327</v>
      </c>
      <c r="B173" s="5" t="s">
        <v>328</v>
      </c>
      <c r="C173" s="7">
        <v>4</v>
      </c>
      <c r="D173" s="7">
        <v>4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21"/>
    </row>
    <row r="174" spans="1:58" ht="15.75" x14ac:dyDescent="0.25">
      <c r="A174" s="5" t="s">
        <v>329</v>
      </c>
      <c r="B174" s="5" t="s">
        <v>330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21"/>
    </row>
    <row r="175" spans="1:58" ht="15.75" x14ac:dyDescent="0.25">
      <c r="A175" s="5" t="s">
        <v>331</v>
      </c>
      <c r="B175" s="5" t="s">
        <v>332</v>
      </c>
      <c r="C175" s="7">
        <v>4</v>
      </c>
      <c r="D175" s="7">
        <v>4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21"/>
    </row>
    <row r="176" spans="1:58" ht="15.75" x14ac:dyDescent="0.25">
      <c r="A176" s="5" t="s">
        <v>333</v>
      </c>
      <c r="B176" s="5" t="s">
        <v>334</v>
      </c>
      <c r="C176" s="7">
        <v>4</v>
      </c>
      <c r="D176" s="7">
        <v>4</v>
      </c>
      <c r="E176" s="7">
        <v>-4065.9470000000001</v>
      </c>
      <c r="F176" s="7">
        <v>-1105.0429999999999</v>
      </c>
      <c r="G176" s="7">
        <v>-0.60899999999999999</v>
      </c>
      <c r="H176" s="7">
        <v>0</v>
      </c>
      <c r="I176" s="7">
        <v>-67.221000000000004</v>
      </c>
      <c r="J176" s="7">
        <v>-0.38700000000000001</v>
      </c>
      <c r="K176" s="7">
        <v>-5807.8609999999999</v>
      </c>
      <c r="L176" s="7">
        <v>-452.44799999999998</v>
      </c>
      <c r="M176" s="7">
        <v>0</v>
      </c>
      <c r="N176" s="7">
        <v>-613.423</v>
      </c>
      <c r="O176" s="7">
        <v>-14166.563</v>
      </c>
      <c r="P176" s="7">
        <v>-805.197</v>
      </c>
      <c r="Q176" s="7">
        <v>0</v>
      </c>
      <c r="R176" s="7">
        <v>0</v>
      </c>
      <c r="S176" s="7">
        <v>-0.255</v>
      </c>
      <c r="T176" s="7">
        <v>0</v>
      </c>
      <c r="U176" s="7">
        <v>0</v>
      </c>
      <c r="V176" s="7">
        <v>-328.245</v>
      </c>
      <c r="W176" s="7">
        <v>0</v>
      </c>
      <c r="X176" s="7">
        <v>0</v>
      </c>
      <c r="Y176" s="7">
        <v>0</v>
      </c>
      <c r="Z176" s="7">
        <v>0</v>
      </c>
      <c r="AA176" s="7">
        <v>-108.374</v>
      </c>
      <c r="AB176" s="7">
        <v>0</v>
      </c>
      <c r="AC176" s="7">
        <v>-2216.0790000000002</v>
      </c>
      <c r="AD176" s="7">
        <v>0</v>
      </c>
      <c r="AE176" s="7">
        <v>0</v>
      </c>
      <c r="AF176" s="7">
        <v>-0.42699999999999999</v>
      </c>
      <c r="AG176" s="7">
        <v>-171.505</v>
      </c>
      <c r="AH176" s="7">
        <v>0</v>
      </c>
      <c r="AI176" s="7">
        <v>-5798.1679999999997</v>
      </c>
      <c r="AJ176" s="7">
        <v>-2751.9</v>
      </c>
      <c r="AK176" s="7">
        <v>0</v>
      </c>
      <c r="AL176" s="7">
        <v>-17736.707999999999</v>
      </c>
      <c r="AM176" s="7">
        <v>-5412.77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-10.34</v>
      </c>
      <c r="AV176" s="7">
        <v>0</v>
      </c>
      <c r="AW176" s="7">
        <v>0</v>
      </c>
      <c r="AX176" s="7">
        <v>-754.63099999999997</v>
      </c>
      <c r="AY176" s="7">
        <v>0</v>
      </c>
      <c r="AZ176" s="7">
        <v>-3.1459999999999999</v>
      </c>
      <c r="BA176" s="7">
        <v>0</v>
      </c>
      <c r="BB176" s="7">
        <v>-25.355</v>
      </c>
      <c r="BC176" s="7">
        <v>0</v>
      </c>
      <c r="BD176" s="7">
        <v>0</v>
      </c>
      <c r="BE176" s="7">
        <v>-358.928</v>
      </c>
      <c r="BF176" s="21"/>
    </row>
    <row r="177" spans="1:58" ht="15.75" x14ac:dyDescent="0.25">
      <c r="A177" s="5" t="s">
        <v>335</v>
      </c>
      <c r="B177" s="5" t="s">
        <v>336</v>
      </c>
      <c r="C177" s="7">
        <v>4</v>
      </c>
      <c r="D177" s="7">
        <v>4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21"/>
    </row>
    <row r="178" spans="1:58" ht="15.75" x14ac:dyDescent="0.25">
      <c r="A178" s="5" t="s">
        <v>337</v>
      </c>
      <c r="B178" s="5" t="s">
        <v>338</v>
      </c>
      <c r="C178" s="7">
        <v>4</v>
      </c>
      <c r="D178" s="7">
        <v>4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21"/>
    </row>
    <row r="179" spans="1:58" ht="15.75" x14ac:dyDescent="0.25">
      <c r="A179" s="5" t="s">
        <v>339</v>
      </c>
      <c r="B179" s="5" t="s">
        <v>340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21"/>
    </row>
    <row r="180" spans="1:58" ht="15.75" x14ac:dyDescent="0.25">
      <c r="A180" s="5" t="s">
        <v>341</v>
      </c>
      <c r="B180" s="5" t="s">
        <v>342</v>
      </c>
      <c r="C180" s="7">
        <v>4</v>
      </c>
      <c r="D180" s="7">
        <v>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21"/>
    </row>
    <row r="181" spans="1:58" ht="15.75" x14ac:dyDescent="0.25">
      <c r="A181" s="5" t="s">
        <v>323</v>
      </c>
      <c r="B181" s="5" t="s">
        <v>343</v>
      </c>
      <c r="C181" s="7">
        <v>6</v>
      </c>
      <c r="D181" s="7">
        <v>6</v>
      </c>
      <c r="E181" s="7">
        <v>38.850999999999999</v>
      </c>
      <c r="F181" s="7">
        <v>10.986000000000001</v>
      </c>
      <c r="G181" s="7">
        <v>1.2999999999999999E-2</v>
      </c>
      <c r="H181" s="7">
        <v>0</v>
      </c>
      <c r="I181" s="7">
        <v>0.70599999999999996</v>
      </c>
      <c r="J181" s="7">
        <v>8.9999999999999993E-3</v>
      </c>
      <c r="K181" s="7">
        <v>53.46</v>
      </c>
      <c r="L181" s="7">
        <v>3.6070000000000002</v>
      </c>
      <c r="M181" s="7">
        <v>0</v>
      </c>
      <c r="N181" s="7">
        <v>5.9930000000000003</v>
      </c>
      <c r="O181" s="7">
        <v>140.739</v>
      </c>
      <c r="P181" s="7">
        <v>7.4550000000000001</v>
      </c>
      <c r="Q181" s="7">
        <v>0</v>
      </c>
      <c r="R181" s="7">
        <v>0</v>
      </c>
      <c r="S181" s="7">
        <v>6.0000000000000001E-3</v>
      </c>
      <c r="T181" s="7">
        <v>0</v>
      </c>
      <c r="U181" s="7">
        <v>0</v>
      </c>
      <c r="V181" s="7">
        <v>3.294</v>
      </c>
      <c r="W181" s="7">
        <v>0</v>
      </c>
      <c r="X181" s="7">
        <v>0</v>
      </c>
      <c r="Y181" s="7">
        <v>0</v>
      </c>
      <c r="Z181" s="7">
        <v>0</v>
      </c>
      <c r="AA181" s="7">
        <v>1.0349999999999999</v>
      </c>
      <c r="AB181" s="7">
        <v>0</v>
      </c>
      <c r="AC181" s="7">
        <v>19.96</v>
      </c>
      <c r="AD181" s="7">
        <v>0</v>
      </c>
      <c r="AE181" s="7">
        <v>0</v>
      </c>
      <c r="AF181" s="7">
        <v>0</v>
      </c>
      <c r="AG181" s="7">
        <v>1.661</v>
      </c>
      <c r="AH181" s="7">
        <v>0</v>
      </c>
      <c r="AI181" s="7">
        <v>53.39</v>
      </c>
      <c r="AJ181" s="7">
        <v>25.440999999999999</v>
      </c>
      <c r="AK181" s="7">
        <v>0</v>
      </c>
      <c r="AL181" s="7">
        <v>172.87299999999999</v>
      </c>
      <c r="AM181" s="7">
        <v>51.02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6.8000000000000005E-2</v>
      </c>
      <c r="AV181" s="7">
        <v>0</v>
      </c>
      <c r="AW181" s="7">
        <v>0</v>
      </c>
      <c r="AX181" s="7">
        <v>6.694</v>
      </c>
      <c r="AY181" s="7">
        <v>0</v>
      </c>
      <c r="AZ181" s="7">
        <v>0.03</v>
      </c>
      <c r="BA181" s="7">
        <v>0</v>
      </c>
      <c r="BB181" s="7">
        <v>0.24299999999999999</v>
      </c>
      <c r="BC181" s="7">
        <v>0</v>
      </c>
      <c r="BD181" s="7">
        <v>0</v>
      </c>
      <c r="BE181" s="7">
        <v>0</v>
      </c>
      <c r="BF181" s="21"/>
    </row>
    <row r="182" spans="1:58" ht="15.75" x14ac:dyDescent="0.25">
      <c r="A182" s="5" t="s">
        <v>325</v>
      </c>
      <c r="B182" s="5" t="s">
        <v>344</v>
      </c>
      <c r="C182" s="7">
        <v>6</v>
      </c>
      <c r="D182" s="7">
        <v>6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21"/>
    </row>
    <row r="183" spans="1:58" ht="15.75" x14ac:dyDescent="0.25">
      <c r="A183" s="5" t="s">
        <v>327</v>
      </c>
      <c r="B183" s="5" t="s">
        <v>345</v>
      </c>
      <c r="C183" s="7">
        <v>6</v>
      </c>
      <c r="D183" s="7">
        <v>6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21"/>
    </row>
    <row r="184" spans="1:58" ht="15.75" x14ac:dyDescent="0.25">
      <c r="A184" s="5" t="s">
        <v>329</v>
      </c>
      <c r="B184" s="5" t="s">
        <v>346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21"/>
    </row>
    <row r="185" spans="1:58" ht="15.75" x14ac:dyDescent="0.25">
      <c r="A185" s="5" t="s">
        <v>331</v>
      </c>
      <c r="B185" s="5" t="s">
        <v>347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21"/>
    </row>
    <row r="186" spans="1:58" ht="15.75" x14ac:dyDescent="0.25">
      <c r="A186" s="5" t="s">
        <v>333</v>
      </c>
      <c r="B186" s="5" t="s">
        <v>348</v>
      </c>
      <c r="C186" s="7">
        <v>6</v>
      </c>
      <c r="D186" s="7">
        <v>6</v>
      </c>
      <c r="E186" s="7">
        <v>-42.712000000000003</v>
      </c>
      <c r="F186" s="7">
        <v>-12.077</v>
      </c>
      <c r="G186" s="7">
        <v>-1.4999999999999999E-2</v>
      </c>
      <c r="H186" s="7">
        <v>0</v>
      </c>
      <c r="I186" s="7">
        <v>-0.77600000000000002</v>
      </c>
      <c r="J186" s="7">
        <v>-8.9999999999999993E-3</v>
      </c>
      <c r="K186" s="7">
        <v>-58.771999999999998</v>
      </c>
      <c r="L186" s="7">
        <v>-3.9649999999999999</v>
      </c>
      <c r="M186" s="7">
        <v>0</v>
      </c>
      <c r="N186" s="7">
        <v>-6.5890000000000004</v>
      </c>
      <c r="O186" s="7">
        <v>-154.72499999999999</v>
      </c>
      <c r="P186" s="7">
        <v>-8.1959999999999997</v>
      </c>
      <c r="Q186" s="7">
        <v>0</v>
      </c>
      <c r="R186" s="7">
        <v>0</v>
      </c>
      <c r="S186" s="7">
        <v>-6.0000000000000001E-3</v>
      </c>
      <c r="T186" s="7">
        <v>0</v>
      </c>
      <c r="U186" s="7">
        <v>0</v>
      </c>
      <c r="V186" s="7">
        <v>-3.621</v>
      </c>
      <c r="W186" s="7">
        <v>0</v>
      </c>
      <c r="X186" s="7">
        <v>0</v>
      </c>
      <c r="Y186" s="7">
        <v>0</v>
      </c>
      <c r="Z186" s="7">
        <v>0</v>
      </c>
      <c r="AA186" s="7">
        <v>-1.1379999999999999</v>
      </c>
      <c r="AB186" s="7">
        <v>0</v>
      </c>
      <c r="AC186" s="7">
        <v>-21.943000000000001</v>
      </c>
      <c r="AD186" s="7">
        <v>0</v>
      </c>
      <c r="AE186" s="7">
        <v>0</v>
      </c>
      <c r="AF186" s="7">
        <v>0</v>
      </c>
      <c r="AG186" s="7">
        <v>-1.827</v>
      </c>
      <c r="AH186" s="7">
        <v>0</v>
      </c>
      <c r="AI186" s="7">
        <v>-58.695999999999998</v>
      </c>
      <c r="AJ186" s="7">
        <v>-27.969000000000001</v>
      </c>
      <c r="AK186" s="7">
        <v>0</v>
      </c>
      <c r="AL186" s="7">
        <v>-190.053</v>
      </c>
      <c r="AM186" s="7">
        <v>-56.09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-7.4999999999999997E-2</v>
      </c>
      <c r="AV186" s="7">
        <v>0</v>
      </c>
      <c r="AW186" s="7">
        <v>0</v>
      </c>
      <c r="AX186" s="7">
        <v>-7.359</v>
      </c>
      <c r="AY186" s="7">
        <v>0</v>
      </c>
      <c r="AZ186" s="7">
        <v>-3.3000000000000002E-2</v>
      </c>
      <c r="BA186" s="7">
        <v>0</v>
      </c>
      <c r="BB186" s="7">
        <v>-0.26700000000000002</v>
      </c>
      <c r="BC186" s="7">
        <v>0</v>
      </c>
      <c r="BD186" s="7">
        <v>0</v>
      </c>
      <c r="BE186" s="7">
        <v>0</v>
      </c>
      <c r="BF186" s="21"/>
    </row>
    <row r="187" spans="1:58" ht="15.75" x14ac:dyDescent="0.25">
      <c r="A187" s="5" t="s">
        <v>335</v>
      </c>
      <c r="B187" s="5" t="s">
        <v>349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21"/>
    </row>
    <row r="188" spans="1:58" ht="15.75" x14ac:dyDescent="0.25">
      <c r="A188" s="5" t="s">
        <v>337</v>
      </c>
      <c r="B188" s="5" t="s">
        <v>350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21"/>
    </row>
    <row r="189" spans="1:58" ht="15.75" x14ac:dyDescent="0.25">
      <c r="A189" s="5" t="s">
        <v>339</v>
      </c>
      <c r="B189" s="5" t="s">
        <v>351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21"/>
    </row>
    <row r="190" spans="1:58" ht="15.75" x14ac:dyDescent="0.25">
      <c r="A190" s="5" t="s">
        <v>341</v>
      </c>
      <c r="B190" s="5" t="s">
        <v>352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21"/>
    </row>
    <row r="191" spans="1:58" ht="15.75" x14ac:dyDescent="0.25">
      <c r="A191" s="5" t="s">
        <v>353</v>
      </c>
      <c r="B191" s="5" t="s">
        <v>354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21"/>
    </row>
    <row r="192" spans="1:58" ht="15.75" x14ac:dyDescent="0.25">
      <c r="A192" s="5" t="s">
        <v>355</v>
      </c>
      <c r="B192" s="5" t="s">
        <v>356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21"/>
    </row>
    <row r="193" spans="1:58" ht="15.75" x14ac:dyDescent="0.25">
      <c r="A193" s="5" t="s">
        <v>357</v>
      </c>
      <c r="B193" s="5" t="s">
        <v>358</v>
      </c>
      <c r="C193" s="7">
        <v>6</v>
      </c>
      <c r="D193" s="7">
        <v>6</v>
      </c>
      <c r="E193" s="7">
        <v>31.905000000000001</v>
      </c>
      <c r="F193" s="7">
        <v>3.3809999999999998</v>
      </c>
      <c r="G193" s="7">
        <v>13.755000000000001</v>
      </c>
      <c r="H193" s="7">
        <v>0</v>
      </c>
      <c r="I193" s="7">
        <v>0.93</v>
      </c>
      <c r="J193" s="7">
        <v>9.3800000000000008</v>
      </c>
      <c r="K193" s="7">
        <v>2.7829999999999999</v>
      </c>
      <c r="L193" s="7">
        <v>9.0559999999999992</v>
      </c>
      <c r="M193" s="7">
        <v>0</v>
      </c>
      <c r="N193" s="7">
        <v>20.068000000000001</v>
      </c>
      <c r="O193" s="7">
        <v>11.815</v>
      </c>
      <c r="P193" s="7">
        <v>19.623999999999999</v>
      </c>
      <c r="Q193" s="7">
        <v>0</v>
      </c>
      <c r="R193" s="7">
        <v>0</v>
      </c>
      <c r="S193" s="7">
        <v>8.9999999999999993E-3</v>
      </c>
      <c r="T193" s="7">
        <v>0</v>
      </c>
      <c r="U193" s="7">
        <v>0</v>
      </c>
      <c r="V193" s="7">
        <v>1.3220000000000001</v>
      </c>
      <c r="W193" s="7">
        <v>0</v>
      </c>
      <c r="X193" s="7">
        <v>0</v>
      </c>
      <c r="Y193" s="7">
        <v>0</v>
      </c>
      <c r="Z193" s="7">
        <v>0.77400000000000002</v>
      </c>
      <c r="AA193" s="7">
        <v>2.7530000000000001</v>
      </c>
      <c r="AB193" s="7">
        <v>0</v>
      </c>
      <c r="AC193" s="7">
        <v>4.4530000000000003</v>
      </c>
      <c r="AD193" s="7">
        <v>0</v>
      </c>
      <c r="AE193" s="7">
        <v>10.436999999999999</v>
      </c>
      <c r="AF193" s="7">
        <v>0</v>
      </c>
      <c r="AG193" s="7">
        <v>0.51300000000000001</v>
      </c>
      <c r="AH193" s="7">
        <v>0</v>
      </c>
      <c r="AI193" s="7">
        <v>10.895</v>
      </c>
      <c r="AJ193" s="7">
        <v>0</v>
      </c>
      <c r="AK193" s="7">
        <v>0</v>
      </c>
      <c r="AL193" s="7">
        <v>44.319000000000003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5.5E-2</v>
      </c>
      <c r="AV193" s="7">
        <v>0</v>
      </c>
      <c r="AW193" s="7">
        <v>0</v>
      </c>
      <c r="AX193" s="7">
        <v>0</v>
      </c>
      <c r="AY193" s="7">
        <v>0</v>
      </c>
      <c r="AZ193" s="7">
        <v>5.0000000000000001E-3</v>
      </c>
      <c r="BA193" s="7">
        <v>0</v>
      </c>
      <c r="BB193" s="7">
        <v>0.42499999999999999</v>
      </c>
      <c r="BC193" s="7">
        <v>0</v>
      </c>
      <c r="BD193" s="7">
        <v>0</v>
      </c>
      <c r="BE193" s="7">
        <v>0</v>
      </c>
      <c r="BF193" s="21"/>
    </row>
    <row r="194" spans="1:58" ht="15.75" x14ac:dyDescent="0.25">
      <c r="A194" s="5" t="s">
        <v>359</v>
      </c>
      <c r="B194" s="5" t="s">
        <v>360</v>
      </c>
      <c r="C194" s="7">
        <v>6</v>
      </c>
      <c r="D194" s="7">
        <v>6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21"/>
    </row>
    <row r="195" spans="1:58" ht="15.75" x14ac:dyDescent="0.25">
      <c r="A195" s="5" t="s">
        <v>361</v>
      </c>
      <c r="B195" s="5" t="s">
        <v>362</v>
      </c>
      <c r="C195" s="7">
        <v>6</v>
      </c>
      <c r="D195" s="7">
        <v>6</v>
      </c>
      <c r="E195" s="7">
        <v>184.482</v>
      </c>
      <c r="F195" s="7">
        <v>0</v>
      </c>
      <c r="G195" s="7">
        <v>44.920999999999999</v>
      </c>
      <c r="H195" s="7">
        <v>0</v>
      </c>
      <c r="I195" s="7">
        <v>0</v>
      </c>
      <c r="J195" s="7">
        <v>78.137</v>
      </c>
      <c r="K195" s="7">
        <v>0</v>
      </c>
      <c r="L195" s="7">
        <v>0</v>
      </c>
      <c r="M195" s="7">
        <v>0</v>
      </c>
      <c r="N195" s="7">
        <v>0</v>
      </c>
      <c r="O195" s="7">
        <v>663.54300000000001</v>
      </c>
      <c r="P195" s="7">
        <v>96.215000000000003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568.81299999999999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21"/>
    </row>
    <row r="196" spans="1:58" ht="15.75" x14ac:dyDescent="0.25">
      <c r="A196" s="5" t="s">
        <v>363</v>
      </c>
      <c r="B196" s="5" t="s">
        <v>364</v>
      </c>
      <c r="C196" s="7">
        <v>6</v>
      </c>
      <c r="D196" s="7">
        <v>6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21"/>
    </row>
    <row r="197" spans="1:58" ht="15.75" x14ac:dyDescent="0.25">
      <c r="A197" s="5" t="s">
        <v>365</v>
      </c>
      <c r="B197" s="5" t="s">
        <v>366</v>
      </c>
      <c r="C197" s="7">
        <v>6</v>
      </c>
      <c r="D197" s="7">
        <v>6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21"/>
    </row>
    <row r="198" spans="1:58" ht="15.75" x14ac:dyDescent="0.25">
      <c r="A198" s="5" t="s">
        <v>367</v>
      </c>
      <c r="B198" s="5" t="s">
        <v>368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21"/>
    </row>
    <row r="199" spans="1:58" ht="15.75" x14ac:dyDescent="0.25">
      <c r="A199" s="5" t="s">
        <v>369</v>
      </c>
      <c r="B199" s="5" t="s">
        <v>370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21"/>
    </row>
    <row r="200" spans="1:58" ht="15.75" x14ac:dyDescent="0.25">
      <c r="A200" s="5" t="s">
        <v>371</v>
      </c>
      <c r="B200" s="5" t="s">
        <v>372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21"/>
    </row>
    <row r="201" spans="1:58" ht="15.75" x14ac:dyDescent="0.25">
      <c r="A201" s="5" t="s">
        <v>373</v>
      </c>
      <c r="B201" s="5" t="s">
        <v>374</v>
      </c>
      <c r="C201" s="7">
        <v>3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21"/>
    </row>
    <row r="202" spans="1:58" ht="15.75" x14ac:dyDescent="0.25">
      <c r="A202" s="5" t="s">
        <v>375</v>
      </c>
      <c r="B202" s="5" t="s">
        <v>376</v>
      </c>
      <c r="C202" s="7">
        <v>6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21"/>
    </row>
    <row r="203" spans="1:58" ht="15.75" x14ac:dyDescent="0.25">
      <c r="A203" s="5" t="s">
        <v>377</v>
      </c>
      <c r="B203" s="5" t="s">
        <v>378</v>
      </c>
      <c r="C203" s="7">
        <v>6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21"/>
    </row>
    <row r="204" spans="1:58" ht="15.75" x14ac:dyDescent="0.25">
      <c r="A204" s="5" t="s">
        <v>379</v>
      </c>
      <c r="B204" s="5" t="s">
        <v>380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21"/>
    </row>
    <row r="205" spans="1:58" ht="15.75" x14ac:dyDescent="0.25">
      <c r="A205" s="5" t="s">
        <v>381</v>
      </c>
      <c r="B205" s="5" t="s">
        <v>382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21"/>
    </row>
    <row r="206" spans="1:58" ht="15.75" x14ac:dyDescent="0.25">
      <c r="A206" s="5" t="s">
        <v>383</v>
      </c>
      <c r="B206" s="5" t="s">
        <v>384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21"/>
    </row>
    <row r="207" spans="1:58" ht="15.75" x14ac:dyDescent="0.25">
      <c r="A207" s="5" t="s">
        <v>385</v>
      </c>
      <c r="B207" s="5" t="s">
        <v>386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21"/>
    </row>
    <row r="208" spans="1:58" ht="15.75" x14ac:dyDescent="0.25">
      <c r="A208" s="5" t="s">
        <v>387</v>
      </c>
      <c r="B208" s="5" t="s">
        <v>388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21"/>
    </row>
    <row r="209" spans="1:58" ht="15.75" x14ac:dyDescent="0.25">
      <c r="A209" s="5" t="s">
        <v>389</v>
      </c>
      <c r="B209" s="5" t="s">
        <v>390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21"/>
    </row>
    <row r="210" spans="1:58" ht="15.75" x14ac:dyDescent="0.25">
      <c r="A210" s="5" t="s">
        <v>391</v>
      </c>
      <c r="B210" s="5" t="s">
        <v>392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21"/>
    </row>
    <row r="211" spans="1:58" ht="15.75" x14ac:dyDescent="0.25">
      <c r="A211" s="5" t="s">
        <v>393</v>
      </c>
      <c r="B211" s="5" t="s">
        <v>394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21"/>
    </row>
    <row r="212" spans="1:58" ht="15.75" x14ac:dyDescent="0.25">
      <c r="A212" s="5" t="s">
        <v>395</v>
      </c>
      <c r="B212" s="5" t="s">
        <v>396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21"/>
    </row>
    <row r="213" spans="1:58" ht="15.75" x14ac:dyDescent="0.25">
      <c r="A213" s="5" t="s">
        <v>353</v>
      </c>
      <c r="B213" s="5" t="s">
        <v>397</v>
      </c>
      <c r="C213" s="7">
        <v>6</v>
      </c>
      <c r="D213" s="7">
        <v>6</v>
      </c>
      <c r="E213" s="7">
        <v>1072.076</v>
      </c>
      <c r="F213" s="7">
        <v>150.82300000000001</v>
      </c>
      <c r="G213" s="7">
        <v>283.38400000000001</v>
      </c>
      <c r="H213" s="7">
        <v>1.468</v>
      </c>
      <c r="I213" s="7">
        <v>38.680999999999997</v>
      </c>
      <c r="J213" s="7">
        <v>148.59</v>
      </c>
      <c r="K213" s="7">
        <v>1257.3779999999999</v>
      </c>
      <c r="L213" s="7">
        <v>110.152</v>
      </c>
      <c r="M213" s="7">
        <v>0</v>
      </c>
      <c r="N213" s="7">
        <v>577.62199999999996</v>
      </c>
      <c r="O213" s="7">
        <v>1299.2439999999999</v>
      </c>
      <c r="P213" s="7">
        <v>595.01599999999996</v>
      </c>
      <c r="Q213" s="7">
        <v>0</v>
      </c>
      <c r="R213" s="7">
        <v>0</v>
      </c>
      <c r="S213" s="7">
        <v>7.5590000000000002</v>
      </c>
      <c r="T213" s="7">
        <v>0</v>
      </c>
      <c r="U213" s="7">
        <v>0.21199999999999999</v>
      </c>
      <c r="V213" s="7">
        <v>0</v>
      </c>
      <c r="W213" s="7">
        <v>0</v>
      </c>
      <c r="X213" s="7">
        <v>0</v>
      </c>
      <c r="Y213" s="7">
        <v>0</v>
      </c>
      <c r="Z213" s="7">
        <v>15.941000000000001</v>
      </c>
      <c r="AA213" s="7">
        <v>53.284999999999997</v>
      </c>
      <c r="AB213" s="7">
        <v>0</v>
      </c>
      <c r="AC213" s="7">
        <v>429.71899999999999</v>
      </c>
      <c r="AD213" s="7">
        <v>0</v>
      </c>
      <c r="AE213" s="7">
        <v>148.18899999999999</v>
      </c>
      <c r="AF213" s="7">
        <v>0</v>
      </c>
      <c r="AG213" s="7">
        <v>25.15</v>
      </c>
      <c r="AH213" s="7">
        <v>0</v>
      </c>
      <c r="AI213" s="7">
        <v>1313.825</v>
      </c>
      <c r="AJ213" s="7">
        <v>0</v>
      </c>
      <c r="AK213" s="7">
        <v>0</v>
      </c>
      <c r="AL213" s="7">
        <v>2144.5749999999998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21"/>
    </row>
    <row r="214" spans="1:58" ht="15.75" x14ac:dyDescent="0.25">
      <c r="A214" s="5" t="s">
        <v>355</v>
      </c>
      <c r="B214" s="5" t="s">
        <v>398</v>
      </c>
      <c r="C214" s="7">
        <v>6</v>
      </c>
      <c r="D214" s="7">
        <v>6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21"/>
    </row>
    <row r="215" spans="1:58" ht="15.75" x14ac:dyDescent="0.25">
      <c r="A215" s="5" t="s">
        <v>357</v>
      </c>
      <c r="B215" s="5" t="s">
        <v>399</v>
      </c>
      <c r="C215" s="7">
        <v>6</v>
      </c>
      <c r="D215" s="7">
        <v>6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21"/>
    </row>
    <row r="216" spans="1:58" ht="15.75" x14ac:dyDescent="0.25">
      <c r="A216" s="5" t="s">
        <v>359</v>
      </c>
      <c r="B216" s="5" t="s">
        <v>400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21"/>
    </row>
    <row r="217" spans="1:58" ht="15.75" x14ac:dyDescent="0.25">
      <c r="A217" s="5" t="s">
        <v>361</v>
      </c>
      <c r="B217" s="5" t="s">
        <v>401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21"/>
    </row>
    <row r="218" spans="1:58" ht="15.75" x14ac:dyDescent="0.25">
      <c r="A218" s="5" t="s">
        <v>363</v>
      </c>
      <c r="B218" s="5" t="s">
        <v>402</v>
      </c>
      <c r="C218" s="7">
        <v>6</v>
      </c>
      <c r="D218" s="7">
        <v>6</v>
      </c>
      <c r="E218" s="7">
        <v>8.0000000000000002E-3</v>
      </c>
      <c r="F218" s="7">
        <v>0</v>
      </c>
      <c r="G218" s="7">
        <v>0</v>
      </c>
      <c r="H218" s="7">
        <v>0</v>
      </c>
      <c r="I218" s="7">
        <v>1.0999999999999999E-2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5.7000000000000002E-2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0.14599999999999999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21"/>
    </row>
    <row r="219" spans="1:58" ht="15.75" x14ac:dyDescent="0.25">
      <c r="A219" s="5" t="s">
        <v>365</v>
      </c>
      <c r="B219" s="5" t="s">
        <v>403</v>
      </c>
      <c r="C219" s="7">
        <v>6</v>
      </c>
      <c r="D219" s="7">
        <v>6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21"/>
    </row>
    <row r="220" spans="1:58" ht="15.75" x14ac:dyDescent="0.25">
      <c r="A220" s="5" t="s">
        <v>367</v>
      </c>
      <c r="B220" s="5" t="s">
        <v>404</v>
      </c>
      <c r="C220" s="7">
        <v>6</v>
      </c>
      <c r="D220" s="7">
        <v>6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21"/>
    </row>
    <row r="221" spans="1:58" ht="15.75" x14ac:dyDescent="0.25">
      <c r="A221" s="5" t="s">
        <v>369</v>
      </c>
      <c r="B221" s="5" t="s">
        <v>405</v>
      </c>
      <c r="C221" s="7">
        <v>6</v>
      </c>
      <c r="D221" s="7">
        <v>6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21"/>
    </row>
    <row r="222" spans="1:58" ht="15.75" x14ac:dyDescent="0.25">
      <c r="A222" s="5" t="s">
        <v>371</v>
      </c>
      <c r="B222" s="5" t="s">
        <v>406</v>
      </c>
      <c r="C222" s="7">
        <v>6</v>
      </c>
      <c r="D222" s="7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21"/>
    </row>
    <row r="223" spans="1:58" ht="15.75" x14ac:dyDescent="0.25">
      <c r="A223" s="5" t="s">
        <v>373</v>
      </c>
      <c r="B223" s="5" t="s">
        <v>407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21"/>
    </row>
    <row r="224" spans="1:58" ht="15.75" x14ac:dyDescent="0.25">
      <c r="A224" s="5" t="s">
        <v>375</v>
      </c>
      <c r="B224" s="5" t="s">
        <v>408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21"/>
    </row>
    <row r="225" spans="1:58" ht="15.75" x14ac:dyDescent="0.25">
      <c r="A225" s="5" t="s">
        <v>377</v>
      </c>
      <c r="B225" s="5" t="s">
        <v>409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21"/>
    </row>
    <row r="226" spans="1:58" ht="15.75" x14ac:dyDescent="0.25">
      <c r="A226" s="5" t="s">
        <v>379</v>
      </c>
      <c r="B226" s="5" t="s">
        <v>410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21"/>
    </row>
    <row r="227" spans="1:58" ht="15.75" x14ac:dyDescent="0.25">
      <c r="A227" s="5" t="s">
        <v>381</v>
      </c>
      <c r="B227" s="5" t="s">
        <v>411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21"/>
    </row>
    <row r="228" spans="1:58" ht="15.75" x14ac:dyDescent="0.25">
      <c r="A228" s="5" t="s">
        <v>383</v>
      </c>
      <c r="B228" s="5" t="s">
        <v>412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21"/>
    </row>
    <row r="229" spans="1:58" ht="15.75" x14ac:dyDescent="0.25">
      <c r="A229" s="5" t="s">
        <v>385</v>
      </c>
      <c r="B229" s="5" t="s">
        <v>413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21"/>
    </row>
    <row r="230" spans="1:58" ht="15.75" x14ac:dyDescent="0.25">
      <c r="A230" s="5" t="s">
        <v>387</v>
      </c>
      <c r="B230" s="5" t="s">
        <v>414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21"/>
    </row>
    <row r="231" spans="1:58" ht="15.75" x14ac:dyDescent="0.25">
      <c r="A231" s="5" t="s">
        <v>389</v>
      </c>
      <c r="B231" s="5" t="s">
        <v>415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21"/>
    </row>
    <row r="232" spans="1:58" ht="15.75" x14ac:dyDescent="0.25">
      <c r="A232" s="5" t="s">
        <v>391</v>
      </c>
      <c r="B232" s="5" t="s">
        <v>416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21"/>
    </row>
    <row r="233" spans="1:58" ht="15.75" x14ac:dyDescent="0.25">
      <c r="A233" s="5" t="s">
        <v>393</v>
      </c>
      <c r="B233" s="5" t="s">
        <v>417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21"/>
    </row>
    <row r="234" spans="1:58" ht="15.75" x14ac:dyDescent="0.25">
      <c r="A234" s="5" t="s">
        <v>395</v>
      </c>
      <c r="B234" s="5" t="s">
        <v>418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21"/>
    </row>
    <row r="235" spans="1:58" ht="15.75" x14ac:dyDescent="0.25">
      <c r="A235" s="5" t="s">
        <v>419</v>
      </c>
      <c r="B235" s="5" t="s">
        <v>420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21"/>
    </row>
    <row r="236" spans="1:58" ht="15.75" x14ac:dyDescent="0.25">
      <c r="A236" s="5" t="s">
        <v>421</v>
      </c>
      <c r="B236" s="5" t="s">
        <v>422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21"/>
    </row>
    <row r="237" spans="1:58" ht="15.75" x14ac:dyDescent="0.25">
      <c r="A237" s="5" t="s">
        <v>423</v>
      </c>
      <c r="B237" s="5" t="s">
        <v>424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21"/>
    </row>
    <row r="238" spans="1:58" ht="15.75" x14ac:dyDescent="0.25">
      <c r="A238" s="5" t="s">
        <v>425</v>
      </c>
      <c r="B238" s="5" t="s">
        <v>426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21"/>
    </row>
    <row r="239" spans="1:58" ht="15.75" x14ac:dyDescent="0.25">
      <c r="A239" s="5" t="s">
        <v>427</v>
      </c>
      <c r="B239" s="5" t="s">
        <v>428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21"/>
    </row>
    <row r="240" spans="1:58" ht="15.75" x14ac:dyDescent="0.25">
      <c r="A240" s="5" t="s">
        <v>429</v>
      </c>
      <c r="B240" s="5" t="s">
        <v>430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21"/>
    </row>
    <row r="241" spans="1:58" ht="15.75" x14ac:dyDescent="0.25">
      <c r="A241" s="5" t="s">
        <v>431</v>
      </c>
      <c r="B241" s="5" t="s">
        <v>432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21"/>
    </row>
    <row r="242" spans="1:58" ht="15.75" x14ac:dyDescent="0.25">
      <c r="A242" s="5" t="s">
        <v>433</v>
      </c>
      <c r="B242" s="5" t="s">
        <v>434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21"/>
    </row>
    <row r="243" spans="1:58" ht="15.75" x14ac:dyDescent="0.25">
      <c r="A243" s="5" t="s">
        <v>435</v>
      </c>
      <c r="B243" s="5" t="s">
        <v>436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21"/>
    </row>
    <row r="244" spans="1:58" ht="15.75" x14ac:dyDescent="0.25">
      <c r="A244" s="5" t="s">
        <v>437</v>
      </c>
      <c r="B244" s="5" t="s">
        <v>438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21"/>
    </row>
    <row r="245" spans="1:58" ht="15.75" x14ac:dyDescent="0.25">
      <c r="A245" s="5" t="s">
        <v>439</v>
      </c>
      <c r="B245" s="5" t="s">
        <v>440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21"/>
    </row>
    <row r="246" spans="1:58" ht="15.75" x14ac:dyDescent="0.25">
      <c r="A246" s="5" t="s">
        <v>441</v>
      </c>
      <c r="B246" s="5" t="s">
        <v>442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21"/>
    </row>
    <row r="247" spans="1:58" ht="15.75" x14ac:dyDescent="0.25">
      <c r="A247" s="5" t="s">
        <v>443</v>
      </c>
      <c r="B247" s="5" t="s">
        <v>444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21"/>
    </row>
    <row r="248" spans="1:58" ht="15.75" x14ac:dyDescent="0.25">
      <c r="A248" s="5" t="s">
        <v>445</v>
      </c>
      <c r="B248" s="5" t="s">
        <v>446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21"/>
    </row>
    <row r="249" spans="1:58" ht="15.75" x14ac:dyDescent="0.25">
      <c r="A249" s="5" t="s">
        <v>447</v>
      </c>
      <c r="B249" s="5" t="s">
        <v>448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21"/>
    </row>
    <row r="250" spans="1:58" ht="15.75" x14ac:dyDescent="0.25">
      <c r="A250" s="5" t="s">
        <v>449</v>
      </c>
      <c r="B250" s="5" t="s">
        <v>450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21"/>
    </row>
    <row r="251" spans="1:58" ht="15.75" x14ac:dyDescent="0.25">
      <c r="A251" s="5" t="s">
        <v>451</v>
      </c>
      <c r="B251" s="5" t="s">
        <v>452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21"/>
    </row>
    <row r="252" spans="1:58" ht="15.75" x14ac:dyDescent="0.25">
      <c r="A252" s="5" t="s">
        <v>453</v>
      </c>
      <c r="B252" s="5" t="s">
        <v>454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21"/>
    </row>
    <row r="253" spans="1:58" ht="15.75" x14ac:dyDescent="0.25">
      <c r="A253" s="5" t="s">
        <v>455</v>
      </c>
      <c r="B253" s="5" t="s">
        <v>456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21"/>
    </row>
    <row r="254" spans="1:58" ht="15.75" x14ac:dyDescent="0.25">
      <c r="A254" s="5" t="s">
        <v>457</v>
      </c>
      <c r="B254" s="5" t="s">
        <v>458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21"/>
    </row>
    <row r="255" spans="1:58" ht="15.75" x14ac:dyDescent="0.25">
      <c r="A255" s="5" t="s">
        <v>459</v>
      </c>
      <c r="B255" s="5" t="s">
        <v>460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21"/>
    </row>
    <row r="256" spans="1:58" ht="15.75" x14ac:dyDescent="0.25">
      <c r="A256" s="5" t="s">
        <v>461</v>
      </c>
      <c r="B256" s="5" t="s">
        <v>462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526.58799999999997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413.16899999999998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21"/>
    </row>
    <row r="257" spans="1:58" ht="15.75" x14ac:dyDescent="0.25">
      <c r="A257" s="5" t="s">
        <v>419</v>
      </c>
      <c r="B257" s="5" t="s">
        <v>463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7.0000000000000001E-3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0.04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4.5999999999999999E-2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21"/>
    </row>
    <row r="258" spans="1:58" ht="15.75" x14ac:dyDescent="0.25">
      <c r="A258" s="5" t="s">
        <v>421</v>
      </c>
      <c r="B258" s="5" t="s">
        <v>464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21"/>
    </row>
    <row r="259" spans="1:58" ht="15.75" x14ac:dyDescent="0.25">
      <c r="A259" s="5" t="s">
        <v>423</v>
      </c>
      <c r="B259" s="5" t="s">
        <v>465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21"/>
    </row>
    <row r="260" spans="1:58" ht="15.75" x14ac:dyDescent="0.25">
      <c r="A260" s="5" t="s">
        <v>425</v>
      </c>
      <c r="B260" s="5" t="s">
        <v>466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21"/>
    </row>
    <row r="261" spans="1:58" ht="15.75" x14ac:dyDescent="0.25">
      <c r="A261" s="5" t="s">
        <v>427</v>
      </c>
      <c r="B261" s="5" t="s">
        <v>467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21"/>
    </row>
    <row r="262" spans="1:58" ht="15.75" x14ac:dyDescent="0.25">
      <c r="A262" s="5" t="s">
        <v>429</v>
      </c>
      <c r="B262" s="5" t="s">
        <v>468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21"/>
    </row>
    <row r="263" spans="1:58" ht="15.75" x14ac:dyDescent="0.25">
      <c r="A263" s="5" t="s">
        <v>431</v>
      </c>
      <c r="B263" s="5" t="s">
        <v>469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21"/>
    </row>
    <row r="264" spans="1:58" ht="15.75" x14ac:dyDescent="0.25">
      <c r="A264" s="5" t="s">
        <v>433</v>
      </c>
      <c r="B264" s="5" t="s">
        <v>470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21"/>
    </row>
    <row r="265" spans="1:58" ht="15.75" x14ac:dyDescent="0.25">
      <c r="A265" s="5" t="s">
        <v>435</v>
      </c>
      <c r="B265" s="5" t="s">
        <v>471</v>
      </c>
      <c r="C265" s="7">
        <v>6</v>
      </c>
      <c r="D265" s="7">
        <v>6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21"/>
    </row>
    <row r="266" spans="1:58" ht="15.75" x14ac:dyDescent="0.25">
      <c r="A266" s="5" t="s">
        <v>437</v>
      </c>
      <c r="B266" s="5" t="s">
        <v>472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21"/>
    </row>
    <row r="267" spans="1:58" ht="15.75" x14ac:dyDescent="0.25">
      <c r="A267" s="5" t="s">
        <v>439</v>
      </c>
      <c r="B267" s="5" t="s">
        <v>473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21"/>
    </row>
    <row r="268" spans="1:58" ht="15.75" x14ac:dyDescent="0.25">
      <c r="A268" s="5" t="s">
        <v>441</v>
      </c>
      <c r="B268" s="5" t="s">
        <v>474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21"/>
    </row>
    <row r="269" spans="1:58" ht="15.75" x14ac:dyDescent="0.25">
      <c r="A269" s="5" t="s">
        <v>443</v>
      </c>
      <c r="B269" s="5" t="s">
        <v>475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21"/>
    </row>
    <row r="270" spans="1:58" ht="15.75" x14ac:dyDescent="0.25">
      <c r="A270" s="5" t="s">
        <v>445</v>
      </c>
      <c r="B270" s="5" t="s">
        <v>476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21"/>
    </row>
    <row r="271" spans="1:58" ht="15.75" x14ac:dyDescent="0.25">
      <c r="A271" s="5" t="s">
        <v>447</v>
      </c>
      <c r="B271" s="5" t="s">
        <v>477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21"/>
    </row>
    <row r="272" spans="1:58" ht="15.75" x14ac:dyDescent="0.25">
      <c r="A272" s="5" t="s">
        <v>449</v>
      </c>
      <c r="B272" s="5" t="s">
        <v>478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21"/>
    </row>
    <row r="273" spans="1:58" ht="15.75" x14ac:dyDescent="0.25">
      <c r="A273" s="5" t="s">
        <v>451</v>
      </c>
      <c r="B273" s="5" t="s">
        <v>479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21"/>
    </row>
    <row r="274" spans="1:58" ht="15.75" x14ac:dyDescent="0.25">
      <c r="A274" s="5" t="s">
        <v>453</v>
      </c>
      <c r="B274" s="5" t="s">
        <v>480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21"/>
    </row>
    <row r="275" spans="1:58" ht="15.75" x14ac:dyDescent="0.25">
      <c r="A275" s="5" t="s">
        <v>455</v>
      </c>
      <c r="B275" s="5" t="s">
        <v>481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21"/>
    </row>
    <row r="276" spans="1:58" ht="15.75" x14ac:dyDescent="0.25">
      <c r="A276" s="5" t="s">
        <v>457</v>
      </c>
      <c r="B276" s="5" t="s">
        <v>482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21"/>
    </row>
    <row r="277" spans="1:58" ht="15.75" x14ac:dyDescent="0.25">
      <c r="A277" s="5" t="s">
        <v>459</v>
      </c>
      <c r="B277" s="5" t="s">
        <v>483</v>
      </c>
      <c r="C277" s="7">
        <v>6</v>
      </c>
      <c r="D277" s="7">
        <v>6</v>
      </c>
      <c r="E277" s="7">
        <v>7923.88</v>
      </c>
      <c r="F277" s="7">
        <v>1457.136</v>
      </c>
      <c r="G277" s="7">
        <v>585.01900000000001</v>
      </c>
      <c r="H277" s="7">
        <v>785.572</v>
      </c>
      <c r="I277" s="7">
        <v>315.87099999999998</v>
      </c>
      <c r="J277" s="7">
        <v>1219.47</v>
      </c>
      <c r="K277" s="7">
        <v>3762.2130000000002</v>
      </c>
      <c r="L277" s="7">
        <v>1513.2139999999999</v>
      </c>
      <c r="M277" s="7">
        <v>0</v>
      </c>
      <c r="N277" s="7">
        <v>4851.1530000000002</v>
      </c>
      <c r="O277" s="7">
        <v>10746.226000000001</v>
      </c>
      <c r="P277" s="7">
        <v>5096.3370000000004</v>
      </c>
      <c r="Q277" s="7">
        <v>0</v>
      </c>
      <c r="R277" s="7">
        <v>0</v>
      </c>
      <c r="S277" s="7">
        <v>6.0000000000000001E-3</v>
      </c>
      <c r="T277" s="7">
        <v>0</v>
      </c>
      <c r="U277" s="7">
        <v>0</v>
      </c>
      <c r="V277" s="7">
        <v>565.93700000000001</v>
      </c>
      <c r="W277" s="7">
        <v>0</v>
      </c>
      <c r="X277" s="7">
        <v>0</v>
      </c>
      <c r="Y277" s="7">
        <v>0</v>
      </c>
      <c r="Z277" s="7">
        <v>71.013999999999996</v>
      </c>
      <c r="AA277" s="7">
        <v>408.61200000000002</v>
      </c>
      <c r="AB277" s="7">
        <v>0</v>
      </c>
      <c r="AC277" s="7">
        <v>1471.623</v>
      </c>
      <c r="AD277" s="7">
        <v>0</v>
      </c>
      <c r="AE277" s="7">
        <v>2043.183</v>
      </c>
      <c r="AF277" s="7">
        <v>0</v>
      </c>
      <c r="AG277" s="7">
        <v>251.483</v>
      </c>
      <c r="AH277" s="7">
        <v>0</v>
      </c>
      <c r="AI277" s="7">
        <v>4.9489999999999998</v>
      </c>
      <c r="AJ277" s="7">
        <v>26.853000000000002</v>
      </c>
      <c r="AK277" s="7">
        <v>0</v>
      </c>
      <c r="AL277" s="7">
        <v>19899.124</v>
      </c>
      <c r="AM277" s="7">
        <v>45.805999999999997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26.643000000000001</v>
      </c>
      <c r="AV277" s="7">
        <v>0</v>
      </c>
      <c r="AW277" s="7">
        <v>0</v>
      </c>
      <c r="AX277" s="7">
        <v>3.7360000000000002</v>
      </c>
      <c r="AY277" s="7">
        <v>0</v>
      </c>
      <c r="AZ277" s="7">
        <v>2.0310000000000001</v>
      </c>
      <c r="BA277" s="7">
        <v>0</v>
      </c>
      <c r="BB277" s="7">
        <v>0.28599999999999998</v>
      </c>
      <c r="BC277" s="7">
        <v>0</v>
      </c>
      <c r="BD277" s="7">
        <v>0</v>
      </c>
      <c r="BE277" s="7">
        <v>1797.569</v>
      </c>
      <c r="BF277" s="21"/>
    </row>
    <row r="278" spans="1:58" ht="15.75" x14ac:dyDescent="0.25">
      <c r="A278" s="5" t="s">
        <v>461</v>
      </c>
      <c r="B278" s="5" t="s">
        <v>484</v>
      </c>
      <c r="C278" s="7">
        <v>6</v>
      </c>
      <c r="D278" s="7">
        <v>6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21"/>
    </row>
    <row r="279" spans="1:58" ht="15.75" x14ac:dyDescent="0.25">
      <c r="A279" s="5" t="s">
        <v>485</v>
      </c>
      <c r="B279" s="5" t="s">
        <v>486</v>
      </c>
      <c r="C279" s="7">
        <v>5</v>
      </c>
      <c r="D279" s="7">
        <v>5</v>
      </c>
      <c r="E279" s="7">
        <v>93401.498000000007</v>
      </c>
      <c r="F279" s="7">
        <v>0</v>
      </c>
      <c r="G279" s="7">
        <v>17561.047999999999</v>
      </c>
      <c r="H279" s="7">
        <v>576.64599999999996</v>
      </c>
      <c r="I279" s="7">
        <v>0</v>
      </c>
      <c r="J279" s="7">
        <v>25941.866000000002</v>
      </c>
      <c r="K279" s="7">
        <v>155425.753</v>
      </c>
      <c r="L279" s="7">
        <v>32863.599000000002</v>
      </c>
      <c r="M279" s="7">
        <v>6991.6840000000002</v>
      </c>
      <c r="N279" s="7">
        <v>29822.449000000001</v>
      </c>
      <c r="O279" s="7">
        <v>250553.516</v>
      </c>
      <c r="P279" s="7">
        <v>81271.027000000002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11.53</v>
      </c>
      <c r="Y279" s="7">
        <v>2288.0450000000001</v>
      </c>
      <c r="Z279" s="7">
        <v>183.339</v>
      </c>
      <c r="AA279" s="7">
        <v>1977.4380000000001</v>
      </c>
      <c r="AB279" s="7">
        <v>0</v>
      </c>
      <c r="AC279" s="7">
        <v>48495.427000000003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102099.342</v>
      </c>
      <c r="AJ279" s="7">
        <v>13569.411</v>
      </c>
      <c r="AK279" s="7">
        <v>771.82600000000002</v>
      </c>
      <c r="AL279" s="7">
        <v>645613.92200000002</v>
      </c>
      <c r="AM279" s="7">
        <v>53809.065000000002</v>
      </c>
      <c r="AN279" s="7">
        <v>148.571</v>
      </c>
      <c r="AO279" s="7">
        <v>98.105000000000004</v>
      </c>
      <c r="AP279" s="7">
        <v>387.21699999999998</v>
      </c>
      <c r="AQ279" s="7">
        <v>0</v>
      </c>
      <c r="AR279" s="7">
        <v>711.63599999999997</v>
      </c>
      <c r="AS279" s="7">
        <v>551.61800000000005</v>
      </c>
      <c r="AT279" s="7">
        <v>790.57100000000003</v>
      </c>
      <c r="AU279" s="7">
        <v>0</v>
      </c>
      <c r="AV279" s="7">
        <v>0</v>
      </c>
      <c r="AW279" s="7">
        <v>0</v>
      </c>
      <c r="AX279" s="7">
        <v>967.32799999999997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21"/>
    </row>
    <row r="280" spans="1:58" ht="15.75" x14ac:dyDescent="0.25">
      <c r="A280" s="5" t="s">
        <v>487</v>
      </c>
      <c r="B280" s="5" t="s">
        <v>488</v>
      </c>
      <c r="C280" s="7">
        <v>5</v>
      </c>
      <c r="D280" s="7">
        <v>5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21"/>
    </row>
    <row r="281" spans="1:58" ht="15.75" x14ac:dyDescent="0.25">
      <c r="A281" s="5" t="s">
        <v>489</v>
      </c>
      <c r="B281" s="5" t="s">
        <v>490</v>
      </c>
      <c r="C281" s="7">
        <v>5</v>
      </c>
      <c r="D281" s="7">
        <v>5</v>
      </c>
      <c r="E281" s="7">
        <v>13359.018</v>
      </c>
      <c r="F281" s="7">
        <v>1959.627</v>
      </c>
      <c r="G281" s="7">
        <v>2889.8919999999998</v>
      </c>
      <c r="H281" s="7">
        <v>0</v>
      </c>
      <c r="I281" s="7">
        <v>502.58100000000002</v>
      </c>
      <c r="J281" s="7">
        <v>1696.1559999999999</v>
      </c>
      <c r="K281" s="7">
        <v>14131.817999999999</v>
      </c>
      <c r="L281" s="7">
        <v>1261.51</v>
      </c>
      <c r="M281" s="7">
        <v>0</v>
      </c>
      <c r="N281" s="7">
        <v>6541.7579999999998</v>
      </c>
      <c r="O281" s="7">
        <v>15101.746999999999</v>
      </c>
      <c r="P281" s="7">
        <v>6536.5870000000004</v>
      </c>
      <c r="Q281" s="7">
        <v>0</v>
      </c>
      <c r="R281" s="7">
        <v>0</v>
      </c>
      <c r="S281" s="7">
        <v>98.210999999999999</v>
      </c>
      <c r="T281" s="7">
        <v>0</v>
      </c>
      <c r="U281" s="7">
        <v>2.7519999999999998</v>
      </c>
      <c r="V281" s="7">
        <v>0</v>
      </c>
      <c r="W281" s="7">
        <v>0</v>
      </c>
      <c r="X281" s="7">
        <v>0</v>
      </c>
      <c r="Y281" s="7">
        <v>0</v>
      </c>
      <c r="Z281" s="7">
        <v>207.11500000000001</v>
      </c>
      <c r="AA281" s="7">
        <v>692.32799999999997</v>
      </c>
      <c r="AB281" s="7">
        <v>0</v>
      </c>
      <c r="AC281" s="7">
        <v>5583.2950000000001</v>
      </c>
      <c r="AD281" s="7">
        <v>0</v>
      </c>
      <c r="AE281" s="7">
        <v>1925.4059999999999</v>
      </c>
      <c r="AF281" s="7">
        <v>0</v>
      </c>
      <c r="AG281" s="7">
        <v>326.77199999999999</v>
      </c>
      <c r="AH281" s="7">
        <v>0</v>
      </c>
      <c r="AI281" s="7">
        <v>17070.373</v>
      </c>
      <c r="AJ281" s="7">
        <v>0</v>
      </c>
      <c r="AK281" s="7">
        <v>0</v>
      </c>
      <c r="AL281" s="7">
        <v>27864.206999999999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21"/>
    </row>
    <row r="282" spans="1:58" ht="15.75" x14ac:dyDescent="0.25">
      <c r="A282" s="5" t="s">
        <v>491</v>
      </c>
      <c r="B282" s="5" t="s">
        <v>492</v>
      </c>
      <c r="C282" s="7">
        <v>5</v>
      </c>
      <c r="D282" s="7">
        <v>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21"/>
    </row>
    <row r="283" spans="1:58" ht="15.75" x14ac:dyDescent="0.25">
      <c r="A283" s="5" t="s">
        <v>493</v>
      </c>
      <c r="B283" s="5" t="s">
        <v>494</v>
      </c>
      <c r="C283" s="7">
        <v>5</v>
      </c>
      <c r="D283" s="7">
        <v>5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21"/>
    </row>
    <row r="284" spans="1:58" ht="15.75" x14ac:dyDescent="0.25">
      <c r="A284" s="5" t="s">
        <v>495</v>
      </c>
      <c r="B284" s="5" t="s">
        <v>496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21"/>
    </row>
    <row r="285" spans="1:58" ht="15.75" x14ac:dyDescent="0.25">
      <c r="A285" s="5" t="s">
        <v>497</v>
      </c>
      <c r="B285" s="5" t="s">
        <v>498</v>
      </c>
      <c r="C285" s="7">
        <v>5</v>
      </c>
      <c r="D285" s="7">
        <v>5</v>
      </c>
      <c r="E285" s="7">
        <v>28430.607</v>
      </c>
      <c r="F285" s="7">
        <v>5075.2169999999996</v>
      </c>
      <c r="G285" s="7">
        <v>8576.3780000000006</v>
      </c>
      <c r="H285" s="7">
        <v>0</v>
      </c>
      <c r="I285" s="7">
        <v>1358.4649999999999</v>
      </c>
      <c r="J285" s="7">
        <v>4648.6440000000002</v>
      </c>
      <c r="K285" s="7">
        <v>47117.824999999997</v>
      </c>
      <c r="L285" s="7">
        <v>3131.46</v>
      </c>
      <c r="M285" s="7">
        <v>0</v>
      </c>
      <c r="N285" s="7">
        <v>17669.057000000001</v>
      </c>
      <c r="O285" s="7">
        <v>44654.94</v>
      </c>
      <c r="P285" s="7">
        <v>19106.366000000002</v>
      </c>
      <c r="Q285" s="7">
        <v>0</v>
      </c>
      <c r="R285" s="7">
        <v>0</v>
      </c>
      <c r="S285" s="7">
        <v>289.21300000000002</v>
      </c>
      <c r="T285" s="7">
        <v>0</v>
      </c>
      <c r="U285" s="7">
        <v>5.39</v>
      </c>
      <c r="V285" s="7">
        <v>0</v>
      </c>
      <c r="W285" s="7">
        <v>0</v>
      </c>
      <c r="X285" s="7">
        <v>0</v>
      </c>
      <c r="Y285" s="7">
        <v>0</v>
      </c>
      <c r="Z285" s="7">
        <v>405.68</v>
      </c>
      <c r="AA285" s="7">
        <v>1356.08</v>
      </c>
      <c r="AB285" s="7">
        <v>0</v>
      </c>
      <c r="AC285" s="7">
        <v>10936.138999999999</v>
      </c>
      <c r="AD285" s="7">
        <v>0</v>
      </c>
      <c r="AE285" s="7">
        <v>3771.3409999999999</v>
      </c>
      <c r="AF285" s="7">
        <v>0</v>
      </c>
      <c r="AG285" s="7">
        <v>640.05600000000004</v>
      </c>
      <c r="AH285" s="7">
        <v>0</v>
      </c>
      <c r="AI285" s="7">
        <v>33443.881000000001</v>
      </c>
      <c r="AJ285" s="7">
        <v>0</v>
      </c>
      <c r="AK285" s="7">
        <v>0</v>
      </c>
      <c r="AL285" s="7">
        <v>62255.228000000003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21"/>
    </row>
    <row r="286" spans="1:58" ht="15.75" x14ac:dyDescent="0.25">
      <c r="A286" s="5" t="s">
        <v>499</v>
      </c>
      <c r="B286" s="5" t="s">
        <v>500</v>
      </c>
      <c r="C286" s="7">
        <v>5</v>
      </c>
      <c r="D286" s="7">
        <v>5</v>
      </c>
      <c r="E286" s="7">
        <v>115321.63400000001</v>
      </c>
      <c r="F286" s="7">
        <v>17918.884999999998</v>
      </c>
      <c r="G286" s="7">
        <v>28163.716</v>
      </c>
      <c r="H286" s="7">
        <v>14870.95</v>
      </c>
      <c r="I286" s="7">
        <v>4913.7520000000004</v>
      </c>
      <c r="J286" s="7">
        <v>16094.788</v>
      </c>
      <c r="K286" s="7">
        <v>136090.47399999999</v>
      </c>
      <c r="L286" s="7">
        <v>11500.156000000001</v>
      </c>
      <c r="M286" s="7">
        <v>0</v>
      </c>
      <c r="N286" s="7">
        <v>62502.163999999997</v>
      </c>
      <c r="O286" s="7">
        <v>144559.747</v>
      </c>
      <c r="P286" s="7">
        <v>65067.362999999998</v>
      </c>
      <c r="Q286" s="7">
        <v>0</v>
      </c>
      <c r="R286" s="7">
        <v>0</v>
      </c>
      <c r="S286" s="7">
        <v>947.88699999999994</v>
      </c>
      <c r="T286" s="7">
        <v>0</v>
      </c>
      <c r="U286" s="7">
        <v>21.725000000000001</v>
      </c>
      <c r="V286" s="7">
        <v>0</v>
      </c>
      <c r="W286" s="7">
        <v>0</v>
      </c>
      <c r="X286" s="7">
        <v>0</v>
      </c>
      <c r="Y286" s="7">
        <v>0</v>
      </c>
      <c r="Z286" s="7">
        <v>1635.0650000000001</v>
      </c>
      <c r="AA286" s="7">
        <v>5551.8609999999999</v>
      </c>
      <c r="AB286" s="7">
        <v>0</v>
      </c>
      <c r="AC286" s="7">
        <v>45882.095999999998</v>
      </c>
      <c r="AD286" s="7">
        <v>0</v>
      </c>
      <c r="AE286" s="7">
        <v>15473.833000000001</v>
      </c>
      <c r="AF286" s="7">
        <v>0</v>
      </c>
      <c r="AG286" s="7">
        <v>2579.6970000000001</v>
      </c>
      <c r="AH286" s="7">
        <v>0</v>
      </c>
      <c r="AI286" s="7">
        <v>141575.791</v>
      </c>
      <c r="AJ286" s="7">
        <v>0</v>
      </c>
      <c r="AK286" s="7">
        <v>0</v>
      </c>
      <c r="AL286" s="7">
        <v>240243.55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21"/>
    </row>
    <row r="287" spans="1:58" ht="15.75" x14ac:dyDescent="0.25">
      <c r="A287" s="5" t="s">
        <v>501</v>
      </c>
      <c r="B287" s="5" t="s">
        <v>502</v>
      </c>
      <c r="C287" s="7">
        <v>5</v>
      </c>
      <c r="D287" s="7">
        <v>5</v>
      </c>
      <c r="E287" s="7">
        <v>186.56700000000001</v>
      </c>
      <c r="F287" s="7">
        <v>0</v>
      </c>
      <c r="G287" s="7">
        <v>83.094999999999999</v>
      </c>
      <c r="H287" s="7">
        <v>0</v>
      </c>
      <c r="I287" s="7">
        <v>0</v>
      </c>
      <c r="J287" s="7">
        <v>46.789000000000001</v>
      </c>
      <c r="K287" s="7">
        <v>896.04100000000005</v>
      </c>
      <c r="L287" s="7">
        <v>115.574</v>
      </c>
      <c r="M287" s="7">
        <v>0</v>
      </c>
      <c r="N287" s="7">
        <v>265.85300000000001</v>
      </c>
      <c r="O287" s="7">
        <v>1485.8520000000001</v>
      </c>
      <c r="P287" s="7">
        <v>51.584000000000003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34.073</v>
      </c>
      <c r="AF287" s="7">
        <v>0</v>
      </c>
      <c r="AG287" s="7">
        <v>0</v>
      </c>
      <c r="AH287" s="7">
        <v>0</v>
      </c>
      <c r="AI287" s="7">
        <v>82.147000000000006</v>
      </c>
      <c r="AJ287" s="7">
        <v>0</v>
      </c>
      <c r="AK287" s="7">
        <v>0</v>
      </c>
      <c r="AL287" s="7">
        <v>888.78300000000002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21"/>
    </row>
    <row r="288" spans="1:58" ht="15.75" x14ac:dyDescent="0.25">
      <c r="A288" s="5" t="s">
        <v>503</v>
      </c>
      <c r="B288" s="5" t="s">
        <v>504</v>
      </c>
      <c r="C288" s="7">
        <v>5</v>
      </c>
      <c r="D288" s="7">
        <v>5</v>
      </c>
      <c r="E288" s="7">
        <v>38998.690999999999</v>
      </c>
      <c r="F288" s="7">
        <v>5237.3220000000001</v>
      </c>
      <c r="G288" s="7">
        <v>7723.56</v>
      </c>
      <c r="H288" s="7">
        <v>3270.6</v>
      </c>
      <c r="I288" s="7">
        <v>1343.2049999999999</v>
      </c>
      <c r="J288" s="7">
        <v>4533.1670000000004</v>
      </c>
      <c r="K288" s="7">
        <v>42225.531999999999</v>
      </c>
      <c r="L288" s="7">
        <v>3371.5259999999998</v>
      </c>
      <c r="M288" s="7">
        <v>0</v>
      </c>
      <c r="N288" s="7">
        <v>19529.968000000001</v>
      </c>
      <c r="O288" s="7">
        <v>50500.004000000001</v>
      </c>
      <c r="P288" s="7">
        <v>19153.36</v>
      </c>
      <c r="Q288" s="7">
        <v>0</v>
      </c>
      <c r="R288" s="7">
        <v>0</v>
      </c>
      <c r="S288" s="7">
        <v>262.47899999999998</v>
      </c>
      <c r="T288" s="7">
        <v>0</v>
      </c>
      <c r="U288" s="7">
        <v>7.3550000000000004</v>
      </c>
      <c r="V288" s="7">
        <v>0</v>
      </c>
      <c r="W288" s="7">
        <v>0</v>
      </c>
      <c r="X288" s="7">
        <v>0</v>
      </c>
      <c r="Y288" s="7">
        <v>0</v>
      </c>
      <c r="Z288" s="7">
        <v>553.53700000000003</v>
      </c>
      <c r="AA288" s="7">
        <v>1850.3230000000001</v>
      </c>
      <c r="AB288" s="7">
        <v>0</v>
      </c>
      <c r="AC288" s="7">
        <v>17983.128000000001</v>
      </c>
      <c r="AD288" s="7">
        <v>0</v>
      </c>
      <c r="AE288" s="7">
        <v>5145.8630000000003</v>
      </c>
      <c r="AF288" s="7">
        <v>0</v>
      </c>
      <c r="AG288" s="7">
        <v>873.33399999999995</v>
      </c>
      <c r="AH288" s="7">
        <v>0</v>
      </c>
      <c r="AI288" s="7">
        <v>53345.828000000001</v>
      </c>
      <c r="AJ288" s="7">
        <v>0</v>
      </c>
      <c r="AK288" s="7">
        <v>0</v>
      </c>
      <c r="AL288" s="7">
        <v>88922.676000000007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21"/>
    </row>
    <row r="289" spans="1:58" ht="15.75" x14ac:dyDescent="0.25">
      <c r="A289" s="5" t="s">
        <v>505</v>
      </c>
      <c r="B289" s="5" t="s">
        <v>506</v>
      </c>
      <c r="C289" s="7">
        <v>5</v>
      </c>
      <c r="D289" s="7">
        <v>5</v>
      </c>
      <c r="E289" s="7">
        <v>17553.688999999998</v>
      </c>
      <c r="F289" s="7">
        <v>668.84100000000001</v>
      </c>
      <c r="G289" s="7">
        <v>986.35</v>
      </c>
      <c r="H289" s="7">
        <v>322.65899999999999</v>
      </c>
      <c r="I289" s="7">
        <v>171.536</v>
      </c>
      <c r="J289" s="7">
        <v>578.91600000000005</v>
      </c>
      <c r="K289" s="7">
        <v>21878.942999999999</v>
      </c>
      <c r="L289" s="7">
        <v>430.56599999999997</v>
      </c>
      <c r="M289" s="7">
        <v>0</v>
      </c>
      <c r="N289" s="7">
        <v>9145.9609999999993</v>
      </c>
      <c r="O289" s="7">
        <v>41581.506999999998</v>
      </c>
      <c r="P289" s="7">
        <v>8700.6219999999994</v>
      </c>
      <c r="Q289" s="7">
        <v>0</v>
      </c>
      <c r="R289" s="7">
        <v>0</v>
      </c>
      <c r="S289" s="7">
        <v>33.520000000000003</v>
      </c>
      <c r="T289" s="7">
        <v>0</v>
      </c>
      <c r="U289" s="7">
        <v>0.93899999999999995</v>
      </c>
      <c r="V289" s="7">
        <v>0</v>
      </c>
      <c r="W289" s="7">
        <v>0</v>
      </c>
      <c r="X289" s="7">
        <v>0</v>
      </c>
      <c r="Y289" s="7">
        <v>0</v>
      </c>
      <c r="Z289" s="7">
        <v>70.69</v>
      </c>
      <c r="AA289" s="7">
        <v>236.29900000000001</v>
      </c>
      <c r="AB289" s="7">
        <v>0</v>
      </c>
      <c r="AC289" s="7">
        <v>10340.951999999999</v>
      </c>
      <c r="AD289" s="7">
        <v>0</v>
      </c>
      <c r="AE289" s="7">
        <v>657.16099999999994</v>
      </c>
      <c r="AF289" s="7">
        <v>0</v>
      </c>
      <c r="AG289" s="7">
        <v>111.53100000000001</v>
      </c>
      <c r="AH289" s="7">
        <v>0</v>
      </c>
      <c r="AI289" s="7">
        <v>33678.328999999998</v>
      </c>
      <c r="AJ289" s="7">
        <v>0</v>
      </c>
      <c r="AK289" s="7">
        <v>0</v>
      </c>
      <c r="AL289" s="7">
        <v>60370.561999999998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21"/>
    </row>
    <row r="290" spans="1:58" ht="15.75" x14ac:dyDescent="0.25">
      <c r="A290" s="5" t="s">
        <v>507</v>
      </c>
      <c r="B290" s="5" t="s">
        <v>508</v>
      </c>
      <c r="C290" s="7">
        <v>5</v>
      </c>
      <c r="D290" s="7">
        <v>5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21"/>
    </row>
    <row r="291" spans="1:58" ht="15.75" x14ac:dyDescent="0.25">
      <c r="A291" s="5" t="s">
        <v>509</v>
      </c>
      <c r="B291" s="5" t="s">
        <v>510</v>
      </c>
      <c r="C291" s="7">
        <v>5</v>
      </c>
      <c r="D291" s="7">
        <v>5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21"/>
    </row>
    <row r="292" spans="1:58" ht="15.75" x14ac:dyDescent="0.25">
      <c r="A292" s="5" t="s">
        <v>511</v>
      </c>
      <c r="B292" s="5" t="s">
        <v>512</v>
      </c>
      <c r="C292" s="7">
        <v>5</v>
      </c>
      <c r="D292" s="7">
        <v>5</v>
      </c>
      <c r="E292" s="7">
        <v>149778.97099999999</v>
      </c>
      <c r="F292" s="7">
        <v>19000.607</v>
      </c>
      <c r="G292" s="7">
        <v>28252.887999999999</v>
      </c>
      <c r="H292" s="7">
        <v>0</v>
      </c>
      <c r="I292" s="7">
        <v>4484.808</v>
      </c>
      <c r="J292" s="7">
        <v>17265.456999999999</v>
      </c>
      <c r="K292" s="7">
        <v>130466.697</v>
      </c>
      <c r="L292" s="7">
        <v>12853.465</v>
      </c>
      <c r="M292" s="7">
        <v>0</v>
      </c>
      <c r="N292" s="7">
        <v>63747.290999999997</v>
      </c>
      <c r="O292" s="7">
        <v>145838.402</v>
      </c>
      <c r="P292" s="7">
        <v>61301.256000000001</v>
      </c>
      <c r="Q292" s="7">
        <v>0</v>
      </c>
      <c r="R292" s="7">
        <v>0</v>
      </c>
      <c r="S292" s="7">
        <v>885.07399999999996</v>
      </c>
      <c r="T292" s="7">
        <v>0</v>
      </c>
      <c r="U292" s="7">
        <v>55.619</v>
      </c>
      <c r="V292" s="7">
        <v>0</v>
      </c>
      <c r="W292" s="7">
        <v>0</v>
      </c>
      <c r="X292" s="7">
        <v>0</v>
      </c>
      <c r="Y292" s="7">
        <v>0</v>
      </c>
      <c r="Z292" s="7">
        <v>2551.942</v>
      </c>
      <c r="AA292" s="7">
        <v>8193.5540000000001</v>
      </c>
      <c r="AB292" s="7">
        <v>0</v>
      </c>
      <c r="AC292" s="7">
        <v>66432.600000000006</v>
      </c>
      <c r="AD292" s="7">
        <v>0</v>
      </c>
      <c r="AE292" s="7">
        <v>24327.891</v>
      </c>
      <c r="AF292" s="7">
        <v>0</v>
      </c>
      <c r="AG292" s="7">
        <v>4166.3999999999996</v>
      </c>
      <c r="AH292" s="7">
        <v>0</v>
      </c>
      <c r="AI292" s="7">
        <v>197366.035</v>
      </c>
      <c r="AJ292" s="7">
        <v>0</v>
      </c>
      <c r="AK292" s="7">
        <v>0</v>
      </c>
      <c r="AL292" s="7">
        <v>316371.95199999999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21"/>
    </row>
    <row r="293" spans="1:58" ht="15.75" x14ac:dyDescent="0.25">
      <c r="A293" s="5" t="s">
        <v>513</v>
      </c>
      <c r="B293" s="5" t="s">
        <v>514</v>
      </c>
      <c r="C293" s="7">
        <v>5</v>
      </c>
      <c r="D293" s="7">
        <v>5</v>
      </c>
      <c r="E293" s="7">
        <v>11093.858</v>
      </c>
      <c r="F293" s="7">
        <v>395.10599999999999</v>
      </c>
      <c r="G293" s="7">
        <v>615.87099999999998</v>
      </c>
      <c r="H293" s="7">
        <v>0</v>
      </c>
      <c r="I293" s="7">
        <v>45.863</v>
      </c>
      <c r="J293" s="7">
        <v>459.06400000000002</v>
      </c>
      <c r="K293" s="7">
        <v>1912.6369999999999</v>
      </c>
      <c r="L293" s="7">
        <v>2347.0740000000001</v>
      </c>
      <c r="M293" s="7">
        <v>0</v>
      </c>
      <c r="N293" s="7">
        <v>6649.857</v>
      </c>
      <c r="O293" s="7">
        <v>22758.506000000001</v>
      </c>
      <c r="P293" s="7">
        <v>2632.2460000000001</v>
      </c>
      <c r="Q293" s="7">
        <v>0</v>
      </c>
      <c r="R293" s="7">
        <v>0</v>
      </c>
      <c r="S293" s="7">
        <v>10.202999999999999</v>
      </c>
      <c r="T293" s="7">
        <v>0</v>
      </c>
      <c r="U293" s="7">
        <v>4.6890000000000001</v>
      </c>
      <c r="V293" s="7">
        <v>0</v>
      </c>
      <c r="W293" s="7">
        <v>0</v>
      </c>
      <c r="X293" s="7">
        <v>0</v>
      </c>
      <c r="Y293" s="7">
        <v>0</v>
      </c>
      <c r="Z293" s="7">
        <v>119.447</v>
      </c>
      <c r="AA293" s="7">
        <v>351.14400000000001</v>
      </c>
      <c r="AB293" s="7">
        <v>0</v>
      </c>
      <c r="AC293" s="7">
        <v>2882.5990000000002</v>
      </c>
      <c r="AD293" s="7">
        <v>0</v>
      </c>
      <c r="AE293" s="7">
        <v>1196.7370000000001</v>
      </c>
      <c r="AF293" s="7">
        <v>0</v>
      </c>
      <c r="AG293" s="7">
        <v>208.47399999999999</v>
      </c>
      <c r="AH293" s="7">
        <v>0</v>
      </c>
      <c r="AI293" s="7">
        <v>10490.39</v>
      </c>
      <c r="AJ293" s="7">
        <v>0</v>
      </c>
      <c r="AK293" s="7">
        <v>0</v>
      </c>
      <c r="AL293" s="7">
        <v>25436.361000000001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21"/>
    </row>
    <row r="294" spans="1:58" ht="15.75" x14ac:dyDescent="0.25">
      <c r="A294" s="5" t="s">
        <v>515</v>
      </c>
      <c r="B294" s="5" t="s">
        <v>516</v>
      </c>
      <c r="C294" s="7">
        <v>5</v>
      </c>
      <c r="D294" s="7">
        <v>5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21"/>
    </row>
    <row r="295" spans="1:58" ht="15.75" x14ac:dyDescent="0.25">
      <c r="A295" s="5" t="s">
        <v>517</v>
      </c>
      <c r="B295" s="5" t="s">
        <v>518</v>
      </c>
      <c r="C295" s="7">
        <v>5</v>
      </c>
      <c r="D295" s="7">
        <v>5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21"/>
    </row>
    <row r="296" spans="1:58" ht="15.75" x14ac:dyDescent="0.25">
      <c r="A296" s="5" t="s">
        <v>519</v>
      </c>
      <c r="B296" s="5" t="s">
        <v>520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21"/>
    </row>
    <row r="297" spans="1:58" ht="15.75" x14ac:dyDescent="0.25">
      <c r="A297" s="5" t="s">
        <v>521</v>
      </c>
      <c r="B297" s="5" t="s">
        <v>522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21"/>
    </row>
    <row r="298" spans="1:58" ht="15.75" x14ac:dyDescent="0.25">
      <c r="A298" s="5" t="s">
        <v>523</v>
      </c>
      <c r="B298" s="5" t="s">
        <v>524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21"/>
    </row>
    <row r="299" spans="1:58" ht="15.75" x14ac:dyDescent="0.25">
      <c r="A299" s="5" t="s">
        <v>525</v>
      </c>
      <c r="B299" s="5" t="s">
        <v>526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21"/>
    </row>
    <row r="300" spans="1:58" ht="15.75" x14ac:dyDescent="0.25">
      <c r="A300" s="5" t="s">
        <v>527</v>
      </c>
      <c r="B300" s="5" t="s">
        <v>528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21"/>
    </row>
    <row r="301" spans="1:58" ht="15.75" x14ac:dyDescent="0.25">
      <c r="A301" s="5" t="s">
        <v>529</v>
      </c>
      <c r="B301" s="5" t="s">
        <v>530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21"/>
    </row>
    <row r="302" spans="1:58" ht="15.75" x14ac:dyDescent="0.25">
      <c r="A302" s="5" t="s">
        <v>531</v>
      </c>
      <c r="B302" s="5" t="s">
        <v>532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21"/>
    </row>
    <row r="303" spans="1:58" ht="15.75" x14ac:dyDescent="0.25">
      <c r="A303" s="5" t="s">
        <v>533</v>
      </c>
      <c r="B303" s="5" t="s">
        <v>534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21"/>
    </row>
    <row r="304" spans="1:58" ht="15.75" x14ac:dyDescent="0.25">
      <c r="A304" s="5" t="s">
        <v>535</v>
      </c>
      <c r="B304" s="5" t="s">
        <v>536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21"/>
    </row>
    <row r="305" spans="1:58" ht="15.75" x14ac:dyDescent="0.25">
      <c r="A305" s="5" t="s">
        <v>537</v>
      </c>
      <c r="B305" s="5" t="s">
        <v>538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21"/>
    </row>
    <row r="306" spans="1:58" ht="15.75" x14ac:dyDescent="0.25">
      <c r="A306" s="5" t="s">
        <v>539</v>
      </c>
      <c r="B306" s="5" t="s">
        <v>540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21"/>
    </row>
    <row r="307" spans="1:58" ht="15.75" x14ac:dyDescent="0.25">
      <c r="A307" s="5" t="s">
        <v>541</v>
      </c>
      <c r="B307" s="5" t="s">
        <v>542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21"/>
    </row>
    <row r="308" spans="1:58" ht="15.75" x14ac:dyDescent="0.25">
      <c r="A308" s="5" t="s">
        <v>543</v>
      </c>
      <c r="B308" s="5" t="s">
        <v>544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21"/>
    </row>
    <row r="309" spans="1:58" ht="15.75" x14ac:dyDescent="0.25">
      <c r="A309" s="5" t="s">
        <v>545</v>
      </c>
      <c r="B309" s="5" t="s">
        <v>546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21"/>
    </row>
    <row r="310" spans="1:58" ht="15.75" x14ac:dyDescent="0.25">
      <c r="A310" s="5" t="s">
        <v>547</v>
      </c>
      <c r="B310" s="5" t="s">
        <v>548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21"/>
    </row>
    <row r="311" spans="1:58" ht="15.75" x14ac:dyDescent="0.25">
      <c r="A311" s="5" t="s">
        <v>549</v>
      </c>
      <c r="B311" s="5" t="s">
        <v>550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21"/>
    </row>
    <row r="312" spans="1:58" ht="15.75" x14ac:dyDescent="0.25">
      <c r="A312" s="5" t="s">
        <v>551</v>
      </c>
      <c r="B312" s="5" t="s">
        <v>552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21"/>
    </row>
    <row r="313" spans="1:58" ht="15.75" x14ac:dyDescent="0.25">
      <c r="A313" s="5" t="s">
        <v>553</v>
      </c>
      <c r="B313" s="5" t="s">
        <v>554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21"/>
    </row>
    <row r="314" spans="1:58" ht="15.75" x14ac:dyDescent="0.25">
      <c r="A314" s="5" t="s">
        <v>555</v>
      </c>
      <c r="B314" s="5" t="s">
        <v>556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21"/>
    </row>
    <row r="315" spans="1:58" ht="15.75" x14ac:dyDescent="0.25">
      <c r="A315" s="5" t="s">
        <v>557</v>
      </c>
      <c r="B315" s="5" t="s">
        <v>558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21"/>
    </row>
    <row r="316" spans="1:58" ht="15.75" x14ac:dyDescent="0.25">
      <c r="A316" s="5" t="s">
        <v>559</v>
      </c>
      <c r="B316" s="5" t="s">
        <v>560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21"/>
    </row>
    <row r="317" spans="1:58" ht="15.75" x14ac:dyDescent="0.25">
      <c r="A317" s="5" t="s">
        <v>561</v>
      </c>
      <c r="B317" s="5" t="s">
        <v>562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21"/>
    </row>
    <row r="318" spans="1:58" ht="15.75" x14ac:dyDescent="0.25">
      <c r="A318" s="5" t="s">
        <v>563</v>
      </c>
      <c r="B318" s="5" t="s">
        <v>564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21"/>
    </row>
    <row r="319" spans="1:58" ht="15.75" x14ac:dyDescent="0.25">
      <c r="A319" s="5" t="s">
        <v>565</v>
      </c>
      <c r="B319" s="5" t="s">
        <v>566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21"/>
    </row>
    <row r="320" spans="1:58" ht="15.75" x14ac:dyDescent="0.25">
      <c r="A320" s="5" t="s">
        <v>567</v>
      </c>
      <c r="B320" s="5" t="s">
        <v>568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21"/>
    </row>
    <row r="321" spans="1:58" ht="15.75" x14ac:dyDescent="0.25">
      <c r="A321" s="5" t="s">
        <v>569</v>
      </c>
      <c r="B321" s="5" t="s">
        <v>570</v>
      </c>
      <c r="C321" s="7">
        <v>5</v>
      </c>
      <c r="D321" s="7">
        <v>5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21"/>
    </row>
    <row r="322" spans="1:58" ht="15.75" x14ac:dyDescent="0.25">
      <c r="A322" s="5" t="s">
        <v>571</v>
      </c>
      <c r="B322" s="5" t="s">
        <v>572</v>
      </c>
      <c r="C322" s="7">
        <v>5</v>
      </c>
      <c r="D322" s="7">
        <v>5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21"/>
    </row>
    <row r="323" spans="1:58" ht="15.75" x14ac:dyDescent="0.25">
      <c r="A323" s="5" t="s">
        <v>573</v>
      </c>
      <c r="B323" s="5" t="s">
        <v>574</v>
      </c>
      <c r="C323" s="7">
        <v>5</v>
      </c>
      <c r="D323" s="7">
        <v>5</v>
      </c>
      <c r="E323" s="7">
        <v>-50070.184999999998</v>
      </c>
      <c r="F323" s="7">
        <v>-13190.205</v>
      </c>
      <c r="G323" s="7">
        <v>0</v>
      </c>
      <c r="H323" s="7">
        <v>0</v>
      </c>
      <c r="I323" s="7">
        <v>-764.822</v>
      </c>
      <c r="J323" s="7">
        <v>0</v>
      </c>
      <c r="K323" s="7">
        <v>-73489.588000000003</v>
      </c>
      <c r="L323" s="7">
        <v>-6273.2290000000003</v>
      </c>
      <c r="M323" s="7">
        <v>0</v>
      </c>
      <c r="N323" s="7">
        <v>-7413.8879999999999</v>
      </c>
      <c r="O323" s="7">
        <v>-169191.568</v>
      </c>
      <c r="P323" s="7">
        <v>-10143.312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-3888.1190000000001</v>
      </c>
      <c r="W323" s="7">
        <v>0</v>
      </c>
      <c r="X323" s="7">
        <v>0</v>
      </c>
      <c r="Y323" s="7">
        <v>0</v>
      </c>
      <c r="Z323" s="7">
        <v>0</v>
      </c>
      <c r="AA323" s="7">
        <v>-1334.8779999999999</v>
      </c>
      <c r="AB323" s="7">
        <v>0</v>
      </c>
      <c r="AC323" s="7">
        <v>-28549.041000000001</v>
      </c>
      <c r="AD323" s="7">
        <v>0</v>
      </c>
      <c r="AE323" s="7">
        <v>0</v>
      </c>
      <c r="AF323" s="7">
        <v>-9.2509999999999994</v>
      </c>
      <c r="AG323" s="7">
        <v>-2090.317</v>
      </c>
      <c r="AH323" s="7">
        <v>0</v>
      </c>
      <c r="AI323" s="7">
        <v>-73549.534</v>
      </c>
      <c r="AJ323" s="7">
        <v>-34743.302000000003</v>
      </c>
      <c r="AK323" s="7">
        <v>0</v>
      </c>
      <c r="AL323" s="7">
        <v>-214756.465</v>
      </c>
      <c r="AM323" s="7">
        <v>-67391.967000000004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-157.60599999999999</v>
      </c>
      <c r="AV323" s="7">
        <v>0</v>
      </c>
      <c r="AW323" s="7">
        <v>0</v>
      </c>
      <c r="AX323" s="7">
        <v>-9814.6229999999996</v>
      </c>
      <c r="AY323" s="7">
        <v>0</v>
      </c>
      <c r="AZ323" s="7">
        <v>-39.173999999999999</v>
      </c>
      <c r="BA323" s="7">
        <v>0</v>
      </c>
      <c r="BB323" s="7">
        <v>-312.24</v>
      </c>
      <c r="BC323" s="7">
        <v>0</v>
      </c>
      <c r="BD323" s="7">
        <v>0</v>
      </c>
      <c r="BE323" s="7">
        <v>-7798.433</v>
      </c>
      <c r="BF323" s="21"/>
    </row>
    <row r="324" spans="1:58" ht="15.75" x14ac:dyDescent="0.25">
      <c r="A324" s="5" t="s">
        <v>575</v>
      </c>
      <c r="B324" s="5" t="s">
        <v>576</v>
      </c>
      <c r="C324" s="7">
        <v>6</v>
      </c>
      <c r="D324" s="7">
        <v>6</v>
      </c>
      <c r="E324" s="7">
        <v>1426.6659999999999</v>
      </c>
      <c r="F324" s="7">
        <v>0</v>
      </c>
      <c r="G324" s="7">
        <v>0</v>
      </c>
      <c r="H324" s="7">
        <v>0</v>
      </c>
      <c r="I324" s="7">
        <v>113.017</v>
      </c>
      <c r="J324" s="7">
        <v>0</v>
      </c>
      <c r="K324" s="7">
        <v>0</v>
      </c>
      <c r="L324" s="7">
        <v>0</v>
      </c>
      <c r="M324" s="7">
        <v>0</v>
      </c>
      <c r="N324" s="7">
        <v>25.346</v>
      </c>
      <c r="O324" s="7">
        <v>9538.7909999999993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472.077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3038.4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21"/>
    </row>
    <row r="325" spans="1:58" ht="15.75" x14ac:dyDescent="0.25">
      <c r="A325" s="5" t="s">
        <v>577</v>
      </c>
      <c r="B325" s="5" t="s">
        <v>578</v>
      </c>
      <c r="C325" s="7">
        <v>6</v>
      </c>
      <c r="D325" s="7">
        <v>6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21"/>
    </row>
    <row r="326" spans="1:58" ht="15.75" x14ac:dyDescent="0.25">
      <c r="A326" s="5" t="s">
        <v>579</v>
      </c>
      <c r="B326" s="5" t="s">
        <v>580</v>
      </c>
      <c r="C326" s="7">
        <v>6</v>
      </c>
      <c r="D326" s="7">
        <v>6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21"/>
    </row>
    <row r="327" spans="1:58" ht="15.75" x14ac:dyDescent="0.25">
      <c r="A327" s="5" t="s">
        <v>581</v>
      </c>
      <c r="B327" s="5" t="s">
        <v>582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21"/>
    </row>
    <row r="328" spans="1:58" ht="15.75" x14ac:dyDescent="0.25">
      <c r="A328" s="5" t="s">
        <v>583</v>
      </c>
      <c r="B328" s="5" t="s">
        <v>584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21"/>
    </row>
    <row r="329" spans="1:58" ht="15.75" x14ac:dyDescent="0.25">
      <c r="A329" s="5" t="s">
        <v>585</v>
      </c>
      <c r="B329" s="5" t="s">
        <v>586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21"/>
    </row>
    <row r="330" spans="1:58" ht="15.75" x14ac:dyDescent="0.25">
      <c r="A330" s="5" t="s">
        <v>587</v>
      </c>
      <c r="B330" s="5" t="s">
        <v>588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21"/>
    </row>
    <row r="331" spans="1:58" ht="15.75" x14ac:dyDescent="0.25">
      <c r="A331" s="5" t="s">
        <v>589</v>
      </c>
      <c r="B331" s="5" t="s">
        <v>590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21"/>
    </row>
    <row r="332" spans="1:58" ht="15.75" x14ac:dyDescent="0.25">
      <c r="A332" s="5" t="s">
        <v>591</v>
      </c>
      <c r="B332" s="5" t="s">
        <v>592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21"/>
    </row>
    <row r="333" spans="1:58" ht="15.75" x14ac:dyDescent="0.25">
      <c r="A333" s="5" t="s">
        <v>593</v>
      </c>
      <c r="B333" s="5" t="s">
        <v>594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21"/>
    </row>
    <row r="334" spans="1:58" ht="15.75" x14ac:dyDescent="0.25">
      <c r="A334" s="5" t="s">
        <v>595</v>
      </c>
      <c r="B334" s="5" t="s">
        <v>596</v>
      </c>
      <c r="C334" s="7">
        <v>6</v>
      </c>
      <c r="D334" s="7">
        <v>6</v>
      </c>
      <c r="E334" s="7">
        <v>11057.473</v>
      </c>
      <c r="F334" s="7">
        <v>2017.7919999999999</v>
      </c>
      <c r="G334" s="7">
        <v>3265.9690000000001</v>
      </c>
      <c r="H334" s="7">
        <v>4345.9620000000004</v>
      </c>
      <c r="I334" s="7">
        <v>324.34199999999998</v>
      </c>
      <c r="J334" s="7">
        <v>2192.13</v>
      </c>
      <c r="K334" s="7">
        <v>5821.3159999999998</v>
      </c>
      <c r="L334" s="7">
        <v>2424.404</v>
      </c>
      <c r="M334" s="7">
        <v>4024.14</v>
      </c>
      <c r="N334" s="7">
        <v>5972.7129999999997</v>
      </c>
      <c r="O334" s="7">
        <v>12079.152</v>
      </c>
      <c r="P334" s="7">
        <v>5888.3630000000003</v>
      </c>
      <c r="Q334" s="7">
        <v>0</v>
      </c>
      <c r="R334" s="7">
        <v>0.39100000000000001</v>
      </c>
      <c r="S334" s="7">
        <v>15.276999999999999</v>
      </c>
      <c r="T334" s="7">
        <v>20.306999999999999</v>
      </c>
      <c r="U334" s="7">
        <v>94.144000000000005</v>
      </c>
      <c r="V334" s="7">
        <v>529.34900000000005</v>
      </c>
      <c r="W334" s="7">
        <v>0</v>
      </c>
      <c r="X334" s="7">
        <v>147.643</v>
      </c>
      <c r="Y334" s="7">
        <v>3080.777</v>
      </c>
      <c r="Z334" s="7">
        <v>227.50800000000001</v>
      </c>
      <c r="AA334" s="7">
        <v>726.83299999999997</v>
      </c>
      <c r="AB334" s="7">
        <v>19.541</v>
      </c>
      <c r="AC334" s="7">
        <v>3075.116</v>
      </c>
      <c r="AD334" s="7">
        <v>0</v>
      </c>
      <c r="AE334" s="7">
        <v>2336.913</v>
      </c>
      <c r="AF334" s="7">
        <v>16.113</v>
      </c>
      <c r="AG334" s="7">
        <v>285.83600000000001</v>
      </c>
      <c r="AH334" s="7">
        <v>38.651000000000003</v>
      </c>
      <c r="AI334" s="7">
        <v>7541.0510000000004</v>
      </c>
      <c r="AJ334" s="7">
        <v>1021.992</v>
      </c>
      <c r="AK334" s="7">
        <v>3.681</v>
      </c>
      <c r="AL334" s="7">
        <v>21692.878000000001</v>
      </c>
      <c r="AM334" s="7">
        <v>1824.9649999999999</v>
      </c>
      <c r="AN334" s="7">
        <v>0</v>
      </c>
      <c r="AO334" s="7">
        <v>0</v>
      </c>
      <c r="AP334" s="7">
        <v>516.26900000000001</v>
      </c>
      <c r="AQ334" s="7">
        <v>387.04199999999997</v>
      </c>
      <c r="AR334" s="7">
        <v>0</v>
      </c>
      <c r="AS334" s="7">
        <v>548.82299999999998</v>
      </c>
      <c r="AT334" s="7">
        <v>0</v>
      </c>
      <c r="AU334" s="7">
        <v>14</v>
      </c>
      <c r="AV334" s="7">
        <v>10.978999999999999</v>
      </c>
      <c r="AW334" s="7">
        <v>11.013</v>
      </c>
      <c r="AX334" s="7">
        <v>250.24700000000001</v>
      </c>
      <c r="AY334" s="7">
        <v>5.4669999999999996</v>
      </c>
      <c r="AZ334" s="7">
        <v>4.1189999999999998</v>
      </c>
      <c r="BA334" s="7">
        <v>0</v>
      </c>
      <c r="BB334" s="7">
        <v>152.148</v>
      </c>
      <c r="BC334" s="7">
        <v>26.265000000000001</v>
      </c>
      <c r="BD334" s="7">
        <v>20.466000000000001</v>
      </c>
      <c r="BE334" s="7">
        <v>157.24199999999999</v>
      </c>
      <c r="BF334" s="21"/>
    </row>
    <row r="335" spans="1:58" ht="15.75" x14ac:dyDescent="0.25">
      <c r="A335" s="5" t="s">
        <v>597</v>
      </c>
      <c r="B335" s="5" t="s">
        <v>598</v>
      </c>
      <c r="C335" s="7">
        <v>6</v>
      </c>
      <c r="D335" s="7">
        <v>6</v>
      </c>
      <c r="E335" s="7">
        <v>-6605.3980000000001</v>
      </c>
      <c r="F335" s="7">
        <v>-3173.4209999999998</v>
      </c>
      <c r="G335" s="7">
        <v>-1471.73</v>
      </c>
      <c r="H335" s="7">
        <v>-10015.221</v>
      </c>
      <c r="I335" s="7">
        <v>-303.20299999999997</v>
      </c>
      <c r="J335" s="7">
        <v>-872.09500000000003</v>
      </c>
      <c r="K335" s="7">
        <v>-8530.0939999999991</v>
      </c>
      <c r="L335" s="7">
        <v>-1034.902</v>
      </c>
      <c r="M335" s="7">
        <v>-161.261</v>
      </c>
      <c r="N335" s="7">
        <v>-3800.2979999999998</v>
      </c>
      <c r="O335" s="7">
        <v>-20240.382000000001</v>
      </c>
      <c r="P335" s="7">
        <v>-2719.567</v>
      </c>
      <c r="Q335" s="7">
        <v>-6.8849999999999998</v>
      </c>
      <c r="R335" s="7">
        <v>-3.4169999999999998</v>
      </c>
      <c r="S335" s="7">
        <v>-71.858000000000004</v>
      </c>
      <c r="T335" s="7">
        <v>-4.9530000000000003</v>
      </c>
      <c r="U335" s="7">
        <v>-142.696</v>
      </c>
      <c r="V335" s="7">
        <v>-23.417999999999999</v>
      </c>
      <c r="W335" s="7">
        <v>-1.589</v>
      </c>
      <c r="X335" s="7">
        <v>-55.554000000000002</v>
      </c>
      <c r="Y335" s="7">
        <v>-118.752</v>
      </c>
      <c r="Z335" s="7">
        <v>-45.731000000000002</v>
      </c>
      <c r="AA335" s="7">
        <v>-133.654</v>
      </c>
      <c r="AB335" s="7">
        <v>-101.745</v>
      </c>
      <c r="AC335" s="7">
        <v>-1277.896</v>
      </c>
      <c r="AD335" s="7">
        <v>-35.244999999999997</v>
      </c>
      <c r="AE335" s="7">
        <v>-37.668999999999997</v>
      </c>
      <c r="AF335" s="7">
        <v>-1.5880000000000001</v>
      </c>
      <c r="AG335" s="7">
        <v>-7.15</v>
      </c>
      <c r="AH335" s="7">
        <v>-0.28100000000000003</v>
      </c>
      <c r="AI335" s="7">
        <v>-4153.3180000000002</v>
      </c>
      <c r="AJ335" s="7">
        <v>-440.137</v>
      </c>
      <c r="AK335" s="7">
        <v>-103.1</v>
      </c>
      <c r="AL335" s="7">
        <v>-19202.996999999999</v>
      </c>
      <c r="AM335" s="7">
        <v>-924.26400000000001</v>
      </c>
      <c r="AN335" s="7">
        <v>-252.108</v>
      </c>
      <c r="AO335" s="7">
        <v>-2665.2040000000002</v>
      </c>
      <c r="AP335" s="7">
        <v>-159.042</v>
      </c>
      <c r="AQ335" s="7">
        <v>-92.188000000000002</v>
      </c>
      <c r="AR335" s="7">
        <v>-1669.8610000000001</v>
      </c>
      <c r="AS335" s="7">
        <v>-26.754000000000001</v>
      </c>
      <c r="AT335" s="7">
        <v>-808.84100000000001</v>
      </c>
      <c r="AU335" s="7">
        <v>-4.5629999999999997</v>
      </c>
      <c r="AV335" s="7">
        <v>-3.55</v>
      </c>
      <c r="AW335" s="7">
        <v>-12.33</v>
      </c>
      <c r="AX335" s="7">
        <v>-131.18199999999999</v>
      </c>
      <c r="AY335" s="7">
        <v>-5.9359999999999999</v>
      </c>
      <c r="AZ335" s="7">
        <v>-3.5739999999999998</v>
      </c>
      <c r="BA335" s="7">
        <v>0</v>
      </c>
      <c r="BB335" s="7">
        <v>-28.419</v>
      </c>
      <c r="BC335" s="7">
        <v>-0.17499999999999999</v>
      </c>
      <c r="BD335" s="7">
        <v>-27.213000000000001</v>
      </c>
      <c r="BE335" s="7">
        <v>-157.86099999999999</v>
      </c>
      <c r="BF335" s="21"/>
    </row>
    <row r="336" spans="1:58" ht="15.75" x14ac:dyDescent="0.25">
      <c r="A336" s="5" t="s">
        <v>599</v>
      </c>
      <c r="B336" s="5" t="s">
        <v>600</v>
      </c>
      <c r="C336" s="7">
        <v>6</v>
      </c>
      <c r="D336" s="7">
        <v>6</v>
      </c>
      <c r="E336" s="7">
        <v>-408.57900000000001</v>
      </c>
      <c r="F336" s="7">
        <v>-531.947</v>
      </c>
      <c r="G336" s="7">
        <v>-65.418000000000006</v>
      </c>
      <c r="H336" s="7">
        <v>-71.869</v>
      </c>
      <c r="I336" s="7">
        <v>0</v>
      </c>
      <c r="J336" s="7">
        <v>-27.454999999999998</v>
      </c>
      <c r="K336" s="7">
        <v>-189.53200000000001</v>
      </c>
      <c r="L336" s="7">
        <v>-65.156000000000006</v>
      </c>
      <c r="M336" s="7">
        <v>-9.3089999999999993</v>
      </c>
      <c r="N336" s="7">
        <v>-1009.773</v>
      </c>
      <c r="O336" s="7">
        <v>-1011.105</v>
      </c>
      <c r="P336" s="7">
        <v>-83.227000000000004</v>
      </c>
      <c r="Q336" s="7">
        <v>0</v>
      </c>
      <c r="R336" s="7">
        <v>0</v>
      </c>
      <c r="S336" s="7">
        <v>0</v>
      </c>
      <c r="T336" s="7">
        <v>0</v>
      </c>
      <c r="U336" s="7">
        <v>-6.673</v>
      </c>
      <c r="V336" s="7">
        <v>0</v>
      </c>
      <c r="W336" s="7">
        <v>0</v>
      </c>
      <c r="X336" s="7">
        <v>-2.52</v>
      </c>
      <c r="Y336" s="7">
        <v>0</v>
      </c>
      <c r="Z336" s="7">
        <v>-0.161</v>
      </c>
      <c r="AA336" s="7">
        <v>-1.147</v>
      </c>
      <c r="AB336" s="7">
        <v>-13.307</v>
      </c>
      <c r="AC336" s="7">
        <v>-14.193</v>
      </c>
      <c r="AD336" s="7">
        <v>-1.349</v>
      </c>
      <c r="AE336" s="7">
        <v>-5.0000000000000001E-3</v>
      </c>
      <c r="AF336" s="7">
        <v>-11.068</v>
      </c>
      <c r="AG336" s="7">
        <v>-3.032</v>
      </c>
      <c r="AH336" s="7">
        <v>-0.61</v>
      </c>
      <c r="AI336" s="7">
        <v>-653.46600000000001</v>
      </c>
      <c r="AJ336" s="7">
        <v>-160.45500000000001</v>
      </c>
      <c r="AK336" s="7">
        <v>-31.463000000000001</v>
      </c>
      <c r="AL336" s="7">
        <v>-1040.643</v>
      </c>
      <c r="AM336" s="7">
        <v>-61.902000000000001</v>
      </c>
      <c r="AN336" s="7">
        <v>-19.968</v>
      </c>
      <c r="AO336" s="7">
        <v>-206.27199999999999</v>
      </c>
      <c r="AP336" s="7">
        <v>-26.859000000000002</v>
      </c>
      <c r="AQ336" s="7">
        <v>-9.548</v>
      </c>
      <c r="AR336" s="7">
        <v>-403.78800000000001</v>
      </c>
      <c r="AS336" s="7">
        <v>-2.6880000000000002</v>
      </c>
      <c r="AT336" s="7">
        <v>-301.16899999999998</v>
      </c>
      <c r="AU336" s="7">
        <v>0</v>
      </c>
      <c r="AV336" s="7">
        <v>0</v>
      </c>
      <c r="AW336" s="7">
        <v>0</v>
      </c>
      <c r="AX336" s="7">
        <v>-2.238</v>
      </c>
      <c r="AY336" s="7">
        <v>-8.9999999999999993E-3</v>
      </c>
      <c r="AZ336" s="7">
        <v>0</v>
      </c>
      <c r="BA336" s="7">
        <v>0</v>
      </c>
      <c r="BB336" s="7">
        <v>0</v>
      </c>
      <c r="BC336" s="7">
        <v>-1.0940000000000001</v>
      </c>
      <c r="BD336" s="7">
        <v>-4.7080000000000002</v>
      </c>
      <c r="BE336" s="7">
        <v>-6.444</v>
      </c>
      <c r="BF336" s="21"/>
    </row>
    <row r="337" spans="1:58" ht="15.75" x14ac:dyDescent="0.25">
      <c r="A337" s="5" t="s">
        <v>601</v>
      </c>
      <c r="B337" s="5" t="s">
        <v>602</v>
      </c>
      <c r="C337" s="7">
        <v>6</v>
      </c>
      <c r="D337" s="7">
        <v>6</v>
      </c>
      <c r="E337" s="7">
        <v>0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2E-3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4.6520000000000001</v>
      </c>
      <c r="BB337" s="7">
        <v>20.545999999999999</v>
      </c>
      <c r="BC337" s="7">
        <v>0</v>
      </c>
      <c r="BD337" s="7">
        <v>0</v>
      </c>
      <c r="BE337" s="7">
        <v>0</v>
      </c>
      <c r="BF337" s="21"/>
    </row>
    <row r="338" spans="1:58" ht="15.75" x14ac:dyDescent="0.25">
      <c r="A338" s="5" t="s">
        <v>603</v>
      </c>
      <c r="B338" s="5" t="s">
        <v>604</v>
      </c>
      <c r="C338" s="7">
        <v>6</v>
      </c>
      <c r="D338" s="7">
        <v>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 s="21"/>
    </row>
    <row r="339" spans="1:58" ht="15.75" x14ac:dyDescent="0.25">
      <c r="A339" s="5" t="s">
        <v>605</v>
      </c>
      <c r="B339" s="5" t="s">
        <v>606</v>
      </c>
      <c r="C339" s="5"/>
      <c r="D339" s="5"/>
      <c r="E339">
        <v>5839093.4589999998</v>
      </c>
      <c r="F339">
        <v>856433.70400000003</v>
      </c>
      <c r="G339">
        <v>1102809.8400000001</v>
      </c>
      <c r="H339">
        <v>1065155.298</v>
      </c>
      <c r="I339">
        <v>148904.60999999999</v>
      </c>
      <c r="J339">
        <v>758163.92599999998</v>
      </c>
      <c r="K339">
        <v>4597590.4400000004</v>
      </c>
      <c r="L339">
        <v>888237.74</v>
      </c>
      <c r="M339">
        <v>321686.01</v>
      </c>
      <c r="N339">
        <v>2543275.3489999999</v>
      </c>
      <c r="O339">
        <v>8891666.3379999995</v>
      </c>
      <c r="P339">
        <v>2610418.2289999998</v>
      </c>
      <c r="Q339">
        <v>16744.583999999999</v>
      </c>
      <c r="R339">
        <v>5645.8239999999996</v>
      </c>
      <c r="S339">
        <v>23409.852999999999</v>
      </c>
      <c r="T339">
        <v>10680.305</v>
      </c>
      <c r="U339">
        <v>22389.39</v>
      </c>
      <c r="V339">
        <v>251917.791</v>
      </c>
      <c r="W339">
        <v>2904.835</v>
      </c>
      <c r="X339">
        <v>108751.54300000001</v>
      </c>
      <c r="Y339">
        <v>248445.22899999999</v>
      </c>
      <c r="Z339">
        <v>70734.751000000004</v>
      </c>
      <c r="AA339">
        <v>233742.72</v>
      </c>
      <c r="AB339">
        <v>204665.489</v>
      </c>
      <c r="AC339">
        <v>1650963.121</v>
      </c>
      <c r="AD339">
        <v>72240.788</v>
      </c>
      <c r="AE339">
        <v>786432.25399999996</v>
      </c>
      <c r="AF339">
        <v>169210.326</v>
      </c>
      <c r="AG339">
        <v>130923.01300000001</v>
      </c>
      <c r="AH339">
        <v>44944.220999999998</v>
      </c>
      <c r="AI339">
        <v>4430781.0130000003</v>
      </c>
      <c r="AJ339">
        <v>900078.62699999998</v>
      </c>
      <c r="AK339">
        <v>184072.66500000001</v>
      </c>
      <c r="AL339">
        <v>13570517.357000001</v>
      </c>
      <c r="AM339">
        <v>1786660.2009999999</v>
      </c>
      <c r="AN339">
        <v>507372.495</v>
      </c>
      <c r="AO339">
        <v>5854299.9239999996</v>
      </c>
      <c r="AP339">
        <v>319550.96600000001</v>
      </c>
      <c r="AQ339">
        <v>194278.908</v>
      </c>
      <c r="AR339">
        <v>3763766.8629999999</v>
      </c>
      <c r="AS339">
        <v>43051.688000000002</v>
      </c>
      <c r="AT339">
        <v>1734919.85</v>
      </c>
      <c r="AU339">
        <v>7520.8209999999999</v>
      </c>
      <c r="AV339">
        <v>7826.2629999999999</v>
      </c>
      <c r="AW339">
        <v>25994.922999999999</v>
      </c>
      <c r="AX339">
        <v>243915.068</v>
      </c>
      <c r="AY339">
        <v>11545.545</v>
      </c>
      <c r="AZ339">
        <v>3086.6060000000002</v>
      </c>
      <c r="BA339">
        <v>4.6520000000000001</v>
      </c>
      <c r="BB339">
        <v>80869.834000000003</v>
      </c>
      <c r="BC339">
        <v>53002.811000000002</v>
      </c>
      <c r="BD339">
        <v>44478.137999999999</v>
      </c>
      <c r="BE339">
        <v>325598.37</v>
      </c>
      <c r="BF339" s="21"/>
    </row>
    <row r="340" spans="1:58" x14ac:dyDescent="0.2">
      <c r="BF340" s="21"/>
    </row>
    <row r="341" spans="1:58" ht="15.75" x14ac:dyDescent="0.25">
      <c r="A341" s="5" t="s">
        <v>607</v>
      </c>
      <c r="E341">
        <f t="shared" ref="E341:BD341" si="0">SUM(E6:E338)-E339</f>
        <v>0</v>
      </c>
      <c r="F341">
        <f t="shared" si="0"/>
        <v>0</v>
      </c>
      <c r="G341">
        <f t="shared" si="0"/>
        <v>0</v>
      </c>
      <c r="H341">
        <f t="shared" si="0"/>
        <v>0</v>
      </c>
      <c r="I341">
        <f t="shared" si="0"/>
        <v>0</v>
      </c>
      <c r="J341">
        <f t="shared" si="0"/>
        <v>0</v>
      </c>
      <c r="K341">
        <f t="shared" si="0"/>
        <v>0</v>
      </c>
      <c r="L341">
        <f t="shared" si="0"/>
        <v>0</v>
      </c>
      <c r="M341">
        <f t="shared" si="0"/>
        <v>0</v>
      </c>
      <c r="N341">
        <f t="shared" si="0"/>
        <v>0</v>
      </c>
      <c r="O341">
        <f t="shared" si="0"/>
        <v>0</v>
      </c>
      <c r="P341">
        <f t="shared" si="0"/>
        <v>0</v>
      </c>
      <c r="Q341">
        <f t="shared" si="0"/>
        <v>0</v>
      </c>
      <c r="R341">
        <f t="shared" si="0"/>
        <v>0</v>
      </c>
      <c r="S341">
        <f t="shared" si="0"/>
        <v>0</v>
      </c>
      <c r="T341">
        <f t="shared" si="0"/>
        <v>0</v>
      </c>
      <c r="U341">
        <f t="shared" si="0"/>
        <v>0</v>
      </c>
      <c r="V341">
        <f t="shared" si="0"/>
        <v>0</v>
      </c>
      <c r="W341">
        <f t="shared" si="0"/>
        <v>0</v>
      </c>
      <c r="X341">
        <f t="shared" si="0"/>
        <v>0</v>
      </c>
      <c r="Y341">
        <f t="shared" si="0"/>
        <v>0</v>
      </c>
      <c r="Z341">
        <f t="shared" si="0"/>
        <v>0</v>
      </c>
      <c r="AA341">
        <f t="shared" si="0"/>
        <v>0</v>
      </c>
      <c r="AB341">
        <f t="shared" si="0"/>
        <v>0</v>
      </c>
      <c r="AC341">
        <f t="shared" si="0"/>
        <v>0</v>
      </c>
      <c r="AD341">
        <f t="shared" si="0"/>
        <v>0</v>
      </c>
      <c r="AE341">
        <f t="shared" si="0"/>
        <v>0</v>
      </c>
      <c r="AF341">
        <f t="shared" si="0"/>
        <v>0</v>
      </c>
      <c r="AG341">
        <f t="shared" si="0"/>
        <v>0</v>
      </c>
      <c r="AH341">
        <f t="shared" si="0"/>
        <v>0</v>
      </c>
      <c r="AI341">
        <f t="shared" si="0"/>
        <v>0</v>
      </c>
      <c r="AJ341">
        <f t="shared" si="0"/>
        <v>0</v>
      </c>
      <c r="AK341">
        <f t="shared" si="0"/>
        <v>0</v>
      </c>
      <c r="AL341">
        <f t="shared" si="0"/>
        <v>0</v>
      </c>
      <c r="AM341">
        <f t="shared" si="0"/>
        <v>0</v>
      </c>
      <c r="AN341">
        <f t="shared" si="0"/>
        <v>0</v>
      </c>
      <c r="AO341">
        <f t="shared" si="0"/>
        <v>0</v>
      </c>
      <c r="AP341">
        <f t="shared" si="0"/>
        <v>0</v>
      </c>
      <c r="AQ341">
        <f t="shared" si="0"/>
        <v>0</v>
      </c>
      <c r="AR341">
        <f t="shared" si="0"/>
        <v>0</v>
      </c>
      <c r="AS341">
        <f>SUM(AS6:AS338)-AS339</f>
        <v>0</v>
      </c>
      <c r="AT341">
        <f>SUM(AT6:AT338)-AT339</f>
        <v>0</v>
      </c>
      <c r="AU341">
        <f>SUM(AU6:AU338)-AU339</f>
        <v>0</v>
      </c>
      <c r="AV341">
        <f>SUM(AV6:AV338)-AV339</f>
        <v>0</v>
      </c>
      <c r="AW341">
        <f t="shared" si="0"/>
        <v>0</v>
      </c>
      <c r="AX341">
        <f t="shared" si="0"/>
        <v>0</v>
      </c>
      <c r="AY341">
        <f t="shared" si="0"/>
        <v>0</v>
      </c>
      <c r="AZ341">
        <f t="shared" si="0"/>
        <v>0</v>
      </c>
      <c r="BA341">
        <f t="shared" si="0"/>
        <v>0</v>
      </c>
      <c r="BB341">
        <f t="shared" si="0"/>
        <v>0</v>
      </c>
      <c r="BC341">
        <f t="shared" si="0"/>
        <v>0</v>
      </c>
      <c r="BD341">
        <f t="shared" si="0"/>
        <v>0</v>
      </c>
      <c r="BE341">
        <f>SUM(BE6:BE338)-BE339</f>
        <v>0</v>
      </c>
      <c r="BF341" s="21"/>
    </row>
    <row r="342" spans="1:58" x14ac:dyDescent="0.2">
      <c r="BF342" s="21"/>
    </row>
    <row r="343" spans="1:58" x14ac:dyDescent="0.2">
      <c r="A343" t="s">
        <v>608</v>
      </c>
      <c r="D343">
        <v>1</v>
      </c>
      <c r="E343" s="16">
        <f t="shared" ref="E343:BD343" si="1">SUMIF($D$5:$D$337,$D$343,E5:E337)</f>
        <v>661023.3110000001</v>
      </c>
      <c r="F343" s="16">
        <f t="shared" si="1"/>
        <v>150850.31700000001</v>
      </c>
      <c r="G343" s="16">
        <f t="shared" si="1"/>
        <v>47603.735000000001</v>
      </c>
      <c r="H343" s="16">
        <f t="shared" si="1"/>
        <v>6008.7420000000002</v>
      </c>
      <c r="I343" s="16">
        <f t="shared" si="1"/>
        <v>15387.043</v>
      </c>
      <c r="J343" s="16">
        <f t="shared" si="1"/>
        <v>34618.602000000006</v>
      </c>
      <c r="K343" s="16">
        <f t="shared" si="1"/>
        <v>786973.85699999996</v>
      </c>
      <c r="L343" s="16">
        <f t="shared" si="1"/>
        <v>88864.235000000001</v>
      </c>
      <c r="M343" s="16">
        <f t="shared" si="1"/>
        <v>13620.431</v>
      </c>
      <c r="N343" s="16">
        <f t="shared" si="1"/>
        <v>193527.27599999998</v>
      </c>
      <c r="O343" s="16">
        <f t="shared" si="1"/>
        <v>1790951.6409999998</v>
      </c>
      <c r="P343" s="16">
        <f t="shared" si="1"/>
        <v>199937.79499999998</v>
      </c>
      <c r="Q343" s="16">
        <f>SUMIF($D$5:$D$337,$D$343,Q5:Q337)</f>
        <v>416.94399999999996</v>
      </c>
      <c r="R343" s="16">
        <f t="shared" si="1"/>
        <v>4327.6549999999997</v>
      </c>
      <c r="S343" s="16">
        <f t="shared" si="1"/>
        <v>990.74700000000007</v>
      </c>
      <c r="T343" s="16">
        <f t="shared" si="1"/>
        <v>4423.9639999999999</v>
      </c>
      <c r="U343" s="16">
        <f t="shared" si="1"/>
        <v>2259.0839999999998</v>
      </c>
      <c r="V343" s="16">
        <f t="shared" si="1"/>
        <v>45082.792999999998</v>
      </c>
      <c r="W343" s="16">
        <f t="shared" si="1"/>
        <v>92.283000000000001</v>
      </c>
      <c r="X343" s="16">
        <f t="shared" si="1"/>
        <v>63075.883999999998</v>
      </c>
      <c r="Y343" s="16">
        <f t="shared" si="1"/>
        <v>15650.953000000001</v>
      </c>
      <c r="Z343" s="16">
        <f t="shared" si="1"/>
        <v>4154.0540000000001</v>
      </c>
      <c r="AA343" s="16">
        <f t="shared" si="1"/>
        <v>21035.649999999998</v>
      </c>
      <c r="AB343" s="16">
        <f t="shared" si="1"/>
        <v>160064.79100000003</v>
      </c>
      <c r="AC343" s="16">
        <f t="shared" si="1"/>
        <v>306414.326</v>
      </c>
      <c r="AD343" s="16">
        <f t="shared" si="1"/>
        <v>42287.050999999999</v>
      </c>
      <c r="AE343" s="16">
        <f t="shared" si="1"/>
        <v>67993.991999999998</v>
      </c>
      <c r="AF343" s="16">
        <f t="shared" si="1"/>
        <v>132918.48699999999</v>
      </c>
      <c r="AG343" s="16">
        <f t="shared" si="1"/>
        <v>25916.691999999999</v>
      </c>
      <c r="AH343" s="16">
        <f t="shared" si="1"/>
        <v>12279.396999999999</v>
      </c>
      <c r="AI343" s="16">
        <f t="shared" si="1"/>
        <v>773741.43400000001</v>
      </c>
      <c r="AJ343" s="16">
        <f t="shared" si="1"/>
        <v>329689.52</v>
      </c>
      <c r="AK343" s="16">
        <f t="shared" si="1"/>
        <v>56003.358</v>
      </c>
      <c r="AL343" s="16">
        <f t="shared" si="1"/>
        <v>2309534.92</v>
      </c>
      <c r="AM343" s="16">
        <f t="shared" si="1"/>
        <v>637093.93900000013</v>
      </c>
      <c r="AN343" s="16">
        <f t="shared" si="1"/>
        <v>294530.28000000003</v>
      </c>
      <c r="AO343" s="16">
        <f t="shared" si="1"/>
        <v>4505532.4270000001</v>
      </c>
      <c r="AP343" s="16">
        <f t="shared" si="1"/>
        <v>154506.041</v>
      </c>
      <c r="AQ343" s="16">
        <f t="shared" si="1"/>
        <v>70533.712</v>
      </c>
      <c r="AR343" s="16">
        <f t="shared" si="1"/>
        <v>2897310.9470000002</v>
      </c>
      <c r="AS343" s="16">
        <f>SUMIF($D$5:$D$337,$D$343,AS5:AS337)</f>
        <v>1444.944</v>
      </c>
      <c r="AT343" s="16">
        <f>SUMIF($D$5:$D$337,$D$343,AT5:AT337)</f>
        <v>1334432.405</v>
      </c>
      <c r="AU343" s="16">
        <f>SUMIF($D$5:$D$337,$D$343,AU5:AU337)</f>
        <v>1860.0680000000002</v>
      </c>
      <c r="AV343" s="16">
        <f>SUMIF($D$5:$D$337,$D$343,AV5:AV337)</f>
        <v>3578.7419999999997</v>
      </c>
      <c r="AW343" s="16">
        <f t="shared" si="1"/>
        <v>3060.73</v>
      </c>
      <c r="AX343" s="16">
        <f t="shared" si="1"/>
        <v>93311.131999999998</v>
      </c>
      <c r="AY343" s="16">
        <f t="shared" si="1"/>
        <v>1209.04</v>
      </c>
      <c r="AZ343" s="16">
        <f t="shared" si="1"/>
        <v>576.26400000000001</v>
      </c>
      <c r="BA343" s="16">
        <f t="shared" si="1"/>
        <v>0</v>
      </c>
      <c r="BB343" s="16">
        <f t="shared" si="1"/>
        <v>18314.547999999999</v>
      </c>
      <c r="BC343" s="16">
        <f t="shared" si="1"/>
        <v>5224.5709999999999</v>
      </c>
      <c r="BD343" s="16">
        <f t="shared" si="1"/>
        <v>4657.9229999999998</v>
      </c>
      <c r="BE343" s="16">
        <f>SUMIF($D$5:$D$337,$D$343,BE5:BE337)</f>
        <v>97615.23</v>
      </c>
      <c r="BF343" s="21"/>
    </row>
    <row r="344" spans="1:58" x14ac:dyDescent="0.2">
      <c r="A344" t="s">
        <v>609</v>
      </c>
      <c r="D344">
        <v>2</v>
      </c>
      <c r="E344" s="16">
        <f t="shared" ref="E344:BD344" si="2">SUMIF($D$5:$D$337,$D$344,E5:E337)</f>
        <v>1444468.0830000001</v>
      </c>
      <c r="F344" s="16">
        <f t="shared" si="2"/>
        <v>157937.701</v>
      </c>
      <c r="G344" s="16">
        <f t="shared" si="2"/>
        <v>371630.989</v>
      </c>
      <c r="H344" s="16">
        <f t="shared" si="2"/>
        <v>303.58</v>
      </c>
      <c r="I344" s="16">
        <f t="shared" si="2"/>
        <v>52730.274999999994</v>
      </c>
      <c r="J344" s="16">
        <f t="shared" si="2"/>
        <v>259732.818</v>
      </c>
      <c r="K344" s="16">
        <f t="shared" si="2"/>
        <v>769714.06599999988</v>
      </c>
      <c r="L344" s="16">
        <f t="shared" si="2"/>
        <v>164389.038</v>
      </c>
      <c r="M344" s="16">
        <f t="shared" si="2"/>
        <v>239007.75399999999</v>
      </c>
      <c r="N344" s="16">
        <f t="shared" si="2"/>
        <v>616658.92899999989</v>
      </c>
      <c r="O344" s="16">
        <f t="shared" si="2"/>
        <v>697173.32400000002</v>
      </c>
      <c r="P344" s="16">
        <f t="shared" si="2"/>
        <v>607537.17799999996</v>
      </c>
      <c r="Q344" s="16">
        <f>SUMIF($D$5:$D$337,$D$344,Q5:Q337)</f>
        <v>12993.997000000001</v>
      </c>
      <c r="R344" s="16">
        <f t="shared" si="2"/>
        <v>0</v>
      </c>
      <c r="S344" s="16">
        <f t="shared" si="2"/>
        <v>18108.866999999998</v>
      </c>
      <c r="T344" s="16">
        <f t="shared" si="2"/>
        <v>1523.7159999999999</v>
      </c>
      <c r="U344" s="16">
        <f t="shared" si="2"/>
        <v>4750.9279999999999</v>
      </c>
      <c r="V344" s="16">
        <f t="shared" si="2"/>
        <v>49028.714000000007</v>
      </c>
      <c r="W344" s="16">
        <f t="shared" si="2"/>
        <v>2814.1410000000001</v>
      </c>
      <c r="X344" s="16">
        <f t="shared" si="2"/>
        <v>4697.8220000000001</v>
      </c>
      <c r="Y344" s="16">
        <f t="shared" si="2"/>
        <v>182978.163</v>
      </c>
      <c r="Z344" s="16">
        <f t="shared" si="2"/>
        <v>20113.568000000003</v>
      </c>
      <c r="AA344" s="16">
        <f t="shared" si="2"/>
        <v>52843.093999999997</v>
      </c>
      <c r="AB344" s="16">
        <f t="shared" si="2"/>
        <v>0</v>
      </c>
      <c r="AC344" s="16">
        <f t="shared" si="2"/>
        <v>265013.163</v>
      </c>
      <c r="AD344" s="16">
        <f t="shared" si="2"/>
        <v>0</v>
      </c>
      <c r="AE344" s="16">
        <f t="shared" si="2"/>
        <v>254168.25</v>
      </c>
      <c r="AF344" s="16">
        <f t="shared" si="2"/>
        <v>10.465</v>
      </c>
      <c r="AG344" s="16">
        <f t="shared" si="2"/>
        <v>20139.772000000001</v>
      </c>
      <c r="AH344" s="16">
        <f t="shared" si="2"/>
        <v>5922.8590000000013</v>
      </c>
      <c r="AI344" s="16">
        <f t="shared" si="2"/>
        <v>715421.31299999997</v>
      </c>
      <c r="AJ344" s="16">
        <f t="shared" si="2"/>
        <v>41654.283000000003</v>
      </c>
      <c r="AK344" s="16">
        <f t="shared" si="2"/>
        <v>16041.662999999999</v>
      </c>
      <c r="AL344" s="16">
        <f t="shared" si="2"/>
        <v>1835854.048</v>
      </c>
      <c r="AM344" s="16">
        <f t="shared" si="2"/>
        <v>80948.764999999999</v>
      </c>
      <c r="AN344" s="16">
        <f t="shared" si="2"/>
        <v>0</v>
      </c>
      <c r="AO344" s="16">
        <f t="shared" si="2"/>
        <v>0</v>
      </c>
      <c r="AP344" s="16">
        <f t="shared" si="2"/>
        <v>36125.999000000003</v>
      </c>
      <c r="AQ344" s="16">
        <f t="shared" si="2"/>
        <v>36841.733</v>
      </c>
      <c r="AR344" s="16">
        <f t="shared" si="2"/>
        <v>0</v>
      </c>
      <c r="AS344" s="16">
        <f>SUMIF($D$5:$D$337,$D$344,AS5:AS337)</f>
        <v>32596.55</v>
      </c>
      <c r="AT344" s="16">
        <f>SUMIF($D$5:$D$337,$D$344,AT5:AT337)</f>
        <v>0</v>
      </c>
      <c r="AU344" s="16">
        <f>SUMIF($D$5:$D$337,$D$344,AU5:AU337)</f>
        <v>1500.211</v>
      </c>
      <c r="AV344" s="16">
        <f>SUMIF($D$5:$D$337,$D$344,AV5:AV337)</f>
        <v>1294.171</v>
      </c>
      <c r="AW344" s="16">
        <f t="shared" si="2"/>
        <v>0</v>
      </c>
      <c r="AX344" s="16">
        <f t="shared" si="2"/>
        <v>11720.05</v>
      </c>
      <c r="AY344" s="16">
        <f t="shared" si="2"/>
        <v>0</v>
      </c>
      <c r="AZ344" s="16">
        <f t="shared" si="2"/>
        <v>1044.6790000000001</v>
      </c>
      <c r="BA344" s="16">
        <f t="shared" si="2"/>
        <v>0</v>
      </c>
      <c r="BB344" s="16">
        <f t="shared" si="2"/>
        <v>29034.462</v>
      </c>
      <c r="BC344" s="16">
        <f t="shared" si="2"/>
        <v>0</v>
      </c>
      <c r="BD344" s="16">
        <f t="shared" si="2"/>
        <v>0</v>
      </c>
      <c r="BE344" s="16">
        <f>SUMIF($D$5:$D$337,$D$344,BE5:BE337)</f>
        <v>44055.983999999997</v>
      </c>
      <c r="BF344" s="21"/>
    </row>
    <row r="345" spans="1:58" x14ac:dyDescent="0.2">
      <c r="A345" t="s">
        <v>610</v>
      </c>
      <c r="D345">
        <v>3</v>
      </c>
      <c r="E345" s="16">
        <f t="shared" ref="E345:BD345" si="3">SUMIF($D$5:$D$337,$D$345,E5:E337)</f>
        <v>1479354.8369999998</v>
      </c>
      <c r="F345" s="16">
        <f t="shared" si="3"/>
        <v>225122.43000000002</v>
      </c>
      <c r="G345" s="16">
        <f t="shared" si="3"/>
        <v>517615.315</v>
      </c>
      <c r="H345" s="16">
        <f t="shared" si="3"/>
        <v>102507.69600000001</v>
      </c>
      <c r="I345" s="16">
        <f t="shared" si="3"/>
        <v>45024.602999999996</v>
      </c>
      <c r="J345" s="16">
        <f t="shared" si="3"/>
        <v>345365.27700000006</v>
      </c>
      <c r="K345" s="16">
        <f t="shared" si="3"/>
        <v>419209.78000000009</v>
      </c>
      <c r="L345" s="16">
        <f t="shared" si="3"/>
        <v>398771.52999999997</v>
      </c>
      <c r="M345" s="16">
        <f t="shared" si="3"/>
        <v>53643.86</v>
      </c>
      <c r="N345" s="16">
        <f t="shared" si="3"/>
        <v>925302.42900000012</v>
      </c>
      <c r="O345" s="16">
        <f t="shared" si="3"/>
        <v>1129385.7400000002</v>
      </c>
      <c r="P345" s="16">
        <f t="shared" si="3"/>
        <v>917459.18900000025</v>
      </c>
      <c r="Q345" s="16">
        <f>SUMIF($D$5:$D$337,$D$345,Q5:Q337)</f>
        <v>3340.5279999999998</v>
      </c>
      <c r="R345" s="16">
        <f t="shared" si="3"/>
        <v>0</v>
      </c>
      <c r="S345" s="16">
        <f t="shared" si="3"/>
        <v>171.952</v>
      </c>
      <c r="T345" s="16">
        <f t="shared" si="3"/>
        <v>3777.5059999999999</v>
      </c>
      <c r="U345" s="16">
        <f t="shared" si="3"/>
        <v>13923.996000000001</v>
      </c>
      <c r="V345" s="16">
        <f t="shared" si="3"/>
        <v>93236.386000000013</v>
      </c>
      <c r="W345" s="16">
        <f t="shared" si="3"/>
        <v>0</v>
      </c>
      <c r="X345" s="16">
        <f t="shared" si="3"/>
        <v>26174.011000000002</v>
      </c>
      <c r="Y345" s="16">
        <f t="shared" si="3"/>
        <v>41068.353999999999</v>
      </c>
      <c r="Z345" s="16">
        <f t="shared" si="3"/>
        <v>36501.337</v>
      </c>
      <c r="AA345" s="16">
        <f t="shared" si="3"/>
        <v>105611.80199999998</v>
      </c>
      <c r="AB345" s="16">
        <f t="shared" si="3"/>
        <v>0</v>
      </c>
      <c r="AC345" s="16">
        <f t="shared" si="3"/>
        <v>282187.98899999994</v>
      </c>
      <c r="AD345" s="16">
        <f t="shared" si="3"/>
        <v>12342.089</v>
      </c>
      <c r="AE345" s="16">
        <f t="shared" si="3"/>
        <v>362913.29</v>
      </c>
      <c r="AF345" s="16">
        <f t="shared" si="3"/>
        <v>0</v>
      </c>
      <c r="AG345" s="16">
        <f t="shared" si="3"/>
        <v>38266.239999999998</v>
      </c>
      <c r="AH345" s="16">
        <f t="shared" si="3"/>
        <v>12737.297</v>
      </c>
      <c r="AI345" s="16">
        <f t="shared" si="3"/>
        <v>536826.87600000005</v>
      </c>
      <c r="AJ345" s="16">
        <f t="shared" si="3"/>
        <v>12140.704</v>
      </c>
      <c r="AK345" s="16">
        <f t="shared" si="3"/>
        <v>49260.471000000005</v>
      </c>
      <c r="AL345" s="16">
        <f t="shared" si="3"/>
        <v>2305735.2120000003</v>
      </c>
      <c r="AM345" s="16">
        <f t="shared" si="3"/>
        <v>24198.822999999997</v>
      </c>
      <c r="AN345" s="16">
        <f t="shared" si="3"/>
        <v>79451.866999999998</v>
      </c>
      <c r="AO345" s="16">
        <f t="shared" si="3"/>
        <v>0</v>
      </c>
      <c r="AP345" s="16">
        <f t="shared" si="3"/>
        <v>93476.983999999997</v>
      </c>
      <c r="AQ345" s="16">
        <f t="shared" si="3"/>
        <v>74316.441000000006</v>
      </c>
      <c r="AR345" s="16">
        <f t="shared" si="3"/>
        <v>0</v>
      </c>
      <c r="AS345" s="16">
        <f>SUMIF($D$5:$D$337,$D$345,AS5:AS337)</f>
        <v>7316.1010000000006</v>
      </c>
      <c r="AT345" s="16">
        <f>SUMIF($D$5:$D$337,$D$345,AT5:AT337)</f>
        <v>0</v>
      </c>
      <c r="AU345" s="16">
        <f>SUMIF($D$5:$D$337,$D$345,AU5:AU337)</f>
        <v>2327.1019999999999</v>
      </c>
      <c r="AV345" s="16">
        <f>SUMIF($D$5:$D$337,$D$345,AV5:AV337)</f>
        <v>2182.5149999999999</v>
      </c>
      <c r="AW345" s="16">
        <f t="shared" si="3"/>
        <v>0</v>
      </c>
      <c r="AX345" s="16">
        <f t="shared" si="3"/>
        <v>3127.0969999999998</v>
      </c>
      <c r="AY345" s="16">
        <f t="shared" si="3"/>
        <v>0</v>
      </c>
      <c r="AZ345" s="16">
        <f t="shared" si="3"/>
        <v>733.00399999999991</v>
      </c>
      <c r="BA345" s="16">
        <f t="shared" si="3"/>
        <v>0</v>
      </c>
      <c r="BB345" s="16">
        <f t="shared" si="3"/>
        <v>24465.636000000002</v>
      </c>
      <c r="BC345" s="16">
        <f t="shared" si="3"/>
        <v>0</v>
      </c>
      <c r="BD345" s="16">
        <f t="shared" si="3"/>
        <v>0</v>
      </c>
      <c r="BE345" s="16">
        <f>SUMIF($D$5:$D$337,$D$345,BE5:BE337)</f>
        <v>118960.989</v>
      </c>
      <c r="BF345" s="21"/>
    </row>
    <row r="346" spans="1:58" x14ac:dyDescent="0.2">
      <c r="A346" t="s">
        <v>611</v>
      </c>
      <c r="B346">
        <v>7</v>
      </c>
      <c r="D346">
        <v>4</v>
      </c>
      <c r="E346" s="16">
        <f t="shared" ref="E346:BD346" si="4">SUMIF($D$5:$D$337,$D$346,E5:E337)</f>
        <v>792563.04999999993</v>
      </c>
      <c r="F346" s="16">
        <f t="shared" si="4"/>
        <v>219794.57499999998</v>
      </c>
      <c r="G346" s="16">
        <f t="shared" si="4"/>
        <v>402.31100000000009</v>
      </c>
      <c r="H346" s="16">
        <f t="shared" si="4"/>
        <v>11051.729000000001</v>
      </c>
      <c r="I346" s="16">
        <f t="shared" si="4"/>
        <v>13430.794000000002</v>
      </c>
      <c r="J346" s="16">
        <f t="shared" si="4"/>
        <v>414.09599999999995</v>
      </c>
      <c r="K346" s="16">
        <f t="shared" si="4"/>
        <v>1139515.0619999999</v>
      </c>
      <c r="L346" s="16">
        <f t="shared" si="4"/>
        <v>86147.626999999979</v>
      </c>
      <c r="M346" s="16">
        <f t="shared" si="4"/>
        <v>0</v>
      </c>
      <c r="N346" s="16">
        <f t="shared" si="4"/>
        <v>125178.48900000002</v>
      </c>
      <c r="O346" s="16">
        <f t="shared" si="4"/>
        <v>2799338.111</v>
      </c>
      <c r="P346" s="16">
        <f t="shared" si="4"/>
        <v>160442.49799999999</v>
      </c>
      <c r="Q346" s="16">
        <f>SUMIF($D$5:$D$337,$D$346,Q5:Q337)</f>
        <v>0</v>
      </c>
      <c r="R346" s="16">
        <f t="shared" si="4"/>
        <v>1208.519</v>
      </c>
      <c r="S346" s="16">
        <f t="shared" si="4"/>
        <v>62.249999999999986</v>
      </c>
      <c r="T346" s="16">
        <f t="shared" si="4"/>
        <v>845.55100000000004</v>
      </c>
      <c r="U346" s="16">
        <f t="shared" si="4"/>
        <v>96.866</v>
      </c>
      <c r="V346" s="16">
        <f t="shared" si="4"/>
        <v>64217.946999999986</v>
      </c>
      <c r="W346" s="16">
        <f t="shared" si="4"/>
        <v>0</v>
      </c>
      <c r="X346" s="16">
        <f t="shared" si="4"/>
        <v>13249.451999999999</v>
      </c>
      <c r="Y346" s="16">
        <f t="shared" si="4"/>
        <v>0</v>
      </c>
      <c r="Z346" s="16">
        <f t="shared" si="4"/>
        <v>24.704999999999998</v>
      </c>
      <c r="AA346" s="16">
        <f t="shared" si="4"/>
        <v>21075.871999999992</v>
      </c>
      <c r="AB346" s="16">
        <f t="shared" si="4"/>
        <v>40637.491999999998</v>
      </c>
      <c r="AC346" s="16">
        <f t="shared" si="4"/>
        <v>419202.53599999991</v>
      </c>
      <c r="AD346" s="16">
        <f t="shared" si="4"/>
        <v>17882.353999999999</v>
      </c>
      <c r="AE346" s="16">
        <f t="shared" si="4"/>
        <v>472.21800000000002</v>
      </c>
      <c r="AF346" s="16">
        <f t="shared" si="4"/>
        <v>33092.03</v>
      </c>
      <c r="AG346" s="16">
        <f t="shared" si="4"/>
        <v>33280.661</v>
      </c>
      <c r="AH346" s="16">
        <f t="shared" si="4"/>
        <v>13777.983999999999</v>
      </c>
      <c r="AI346" s="16">
        <f t="shared" si="4"/>
        <v>1100810.713</v>
      </c>
      <c r="AJ346" s="16">
        <f t="shared" si="4"/>
        <v>527902.50899999985</v>
      </c>
      <c r="AK346" s="16">
        <f t="shared" si="4"/>
        <v>61272.078999999998</v>
      </c>
      <c r="AL346" s="16">
        <f t="shared" si="4"/>
        <v>3477746.7609999995</v>
      </c>
      <c r="AM346" s="16">
        <f t="shared" si="4"/>
        <v>1040732.0239999999</v>
      </c>
      <c r="AN346" s="16">
        <f t="shared" si="4"/>
        <v>135040.53200000001</v>
      </c>
      <c r="AO346" s="16">
        <f t="shared" si="4"/>
        <v>1427430.1809999999</v>
      </c>
      <c r="AP346" s="16">
        <f t="shared" si="4"/>
        <v>31344.182000000001</v>
      </c>
      <c r="AQ346" s="16">
        <f t="shared" si="4"/>
        <v>10923.211000000001</v>
      </c>
      <c r="AR346" s="16">
        <f t="shared" si="4"/>
        <v>916546.09400000004</v>
      </c>
      <c r="AS346" s="16">
        <f>SUMIF($D$5:$D$337,$D$346,AS5:AS337)</f>
        <v>0</v>
      </c>
      <c r="AT346" s="16">
        <f>SUMIF($D$5:$D$337,$D$346,AT5:AT337)</f>
        <v>423312.27699999994</v>
      </c>
      <c r="AU346" s="16">
        <f>SUMIF($D$5:$D$337,$D$346,AU5:AU337)</f>
        <v>1860.8119999999997</v>
      </c>
      <c r="AV346" s="16">
        <f>SUMIF($D$5:$D$337,$D$346,AV5:AV337)</f>
        <v>687.12800000000004</v>
      </c>
      <c r="AW346" s="16">
        <f t="shared" si="4"/>
        <v>22935.510000000002</v>
      </c>
      <c r="AX346" s="16">
        <f t="shared" si="4"/>
        <v>142874.82500000001</v>
      </c>
      <c r="AY346" s="16">
        <f t="shared" si="4"/>
        <v>10336.983</v>
      </c>
      <c r="AZ346" s="16">
        <f t="shared" si="4"/>
        <v>600.01199999999983</v>
      </c>
      <c r="BA346" s="16">
        <f t="shared" si="4"/>
        <v>0</v>
      </c>
      <c r="BB346" s="16">
        <f t="shared" si="4"/>
        <v>8171.340000000002</v>
      </c>
      <c r="BC346" s="16">
        <f t="shared" si="4"/>
        <v>47753.243999999999</v>
      </c>
      <c r="BD346" s="16">
        <f t="shared" si="4"/>
        <v>39831.67</v>
      </c>
      <c r="BE346" s="16">
        <f>SUMIF($D$5:$D$337,$D$346,BE5:BE337)</f>
        <v>67286.375</v>
      </c>
      <c r="BF346" s="21"/>
    </row>
    <row r="347" spans="1:58" x14ac:dyDescent="0.2">
      <c r="A347" t="s">
        <v>612</v>
      </c>
      <c r="D347">
        <v>5</v>
      </c>
      <c r="E347" s="16">
        <f t="shared" ref="E347:BD347" si="5">SUMIF($D$5:$D$337,$D$347,E5:E337)</f>
        <v>418054.34800000006</v>
      </c>
      <c r="F347" s="16">
        <f t="shared" si="5"/>
        <v>37065.399999999994</v>
      </c>
      <c r="G347" s="16">
        <f t="shared" si="5"/>
        <v>94852.797999999995</v>
      </c>
      <c r="H347" s="16">
        <f t="shared" si="5"/>
        <v>935565.92299999984</v>
      </c>
      <c r="I347" s="16">
        <f t="shared" si="5"/>
        <v>12055.388000000001</v>
      </c>
      <c r="J347" s="16">
        <f t="shared" si="5"/>
        <v>71264.846999999994</v>
      </c>
      <c r="K347" s="16">
        <f t="shared" si="5"/>
        <v>476656.1320000001</v>
      </c>
      <c r="L347" s="16">
        <f t="shared" si="5"/>
        <v>61601.700999999994</v>
      </c>
      <c r="M347" s="16">
        <f t="shared" si="5"/>
        <v>6991.6840000000002</v>
      </c>
      <c r="N347" s="16">
        <f t="shared" si="5"/>
        <v>208460.47</v>
      </c>
      <c r="O347" s="16">
        <f t="shared" si="5"/>
        <v>547842.65300000005</v>
      </c>
      <c r="P347" s="16">
        <f t="shared" si="5"/>
        <v>253677.09900000002</v>
      </c>
      <c r="Q347" s="16">
        <f>SUMIF($D$5:$D$337,$D$347,Q5:Q337)</f>
        <v>0</v>
      </c>
      <c r="R347" s="16">
        <f t="shared" si="5"/>
        <v>0</v>
      </c>
      <c r="S347" s="16">
        <f t="shared" si="5"/>
        <v>2526.587</v>
      </c>
      <c r="T347" s="16">
        <f t="shared" si="5"/>
        <v>0</v>
      </c>
      <c r="U347" s="16">
        <f t="shared" si="5"/>
        <v>98.468999999999994</v>
      </c>
      <c r="V347" s="16">
        <f t="shared" si="5"/>
        <v>-3888.1190000000001</v>
      </c>
      <c r="W347" s="16">
        <f t="shared" si="5"/>
        <v>0</v>
      </c>
      <c r="X347" s="16">
        <f t="shared" si="5"/>
        <v>11.53</v>
      </c>
      <c r="Y347" s="16">
        <f t="shared" si="5"/>
        <v>2288.0450000000001</v>
      </c>
      <c r="Z347" s="16">
        <f t="shared" si="5"/>
        <v>5726.8150000000005</v>
      </c>
      <c r="AA347" s="16">
        <f t="shared" si="5"/>
        <v>18874.149000000001</v>
      </c>
      <c r="AB347" s="16">
        <f t="shared" si="5"/>
        <v>0</v>
      </c>
      <c r="AC347" s="16">
        <f t="shared" si="5"/>
        <v>179987.19499999998</v>
      </c>
      <c r="AD347" s="16">
        <f t="shared" si="5"/>
        <v>0</v>
      </c>
      <c r="AE347" s="16">
        <f t="shared" si="5"/>
        <v>52532.305</v>
      </c>
      <c r="AF347" s="16">
        <f t="shared" si="5"/>
        <v>-9.2509999999999994</v>
      </c>
      <c r="AG347" s="16">
        <f t="shared" si="5"/>
        <v>6815.947000000001</v>
      </c>
      <c r="AH347" s="16">
        <f t="shared" si="5"/>
        <v>0</v>
      </c>
      <c r="AI347" s="16">
        <f t="shared" si="5"/>
        <v>515602.58200000005</v>
      </c>
      <c r="AJ347" s="16">
        <f t="shared" si="5"/>
        <v>-21173.891000000003</v>
      </c>
      <c r="AK347" s="16">
        <f t="shared" si="5"/>
        <v>771.82600000000002</v>
      </c>
      <c r="AL347" s="16">
        <f t="shared" si="5"/>
        <v>1253210.7760000001</v>
      </c>
      <c r="AM347" s="16">
        <f t="shared" si="5"/>
        <v>-13582.902000000002</v>
      </c>
      <c r="AN347" s="16">
        <f t="shared" si="5"/>
        <v>148.571</v>
      </c>
      <c r="AO347" s="16">
        <f t="shared" si="5"/>
        <v>98.105000000000004</v>
      </c>
      <c r="AP347" s="16">
        <f t="shared" si="5"/>
        <v>387.21699999999998</v>
      </c>
      <c r="AQ347" s="16">
        <f t="shared" si="5"/>
        <v>0</v>
      </c>
      <c r="AR347" s="16">
        <f t="shared" si="5"/>
        <v>711.63599999999997</v>
      </c>
      <c r="AS347" s="16">
        <f>SUMIF($D$5:$D$337,$D$347,AS5:AS337)</f>
        <v>551.61800000000005</v>
      </c>
      <c r="AT347" s="16">
        <f>SUMIF($D$5:$D$337,$D$347,AT5:AT337)</f>
        <v>790.57100000000003</v>
      </c>
      <c r="AU347" s="16">
        <f>SUMIF($D$5:$D$337,$D$347,AU5:AU337)</f>
        <v>-157.60599999999999</v>
      </c>
      <c r="AV347" s="16">
        <f>SUMIF($D$5:$D$337,$D$347,AV5:AV337)</f>
        <v>0</v>
      </c>
      <c r="AW347" s="16">
        <f t="shared" si="5"/>
        <v>0</v>
      </c>
      <c r="AX347" s="16">
        <f t="shared" si="5"/>
        <v>-8847.2950000000001</v>
      </c>
      <c r="AY347" s="16">
        <f t="shared" si="5"/>
        <v>0</v>
      </c>
      <c r="AZ347" s="16">
        <f t="shared" si="5"/>
        <v>-39.173999999999999</v>
      </c>
      <c r="BA347" s="16">
        <f t="shared" si="5"/>
        <v>0</v>
      </c>
      <c r="BB347" s="16">
        <f t="shared" si="5"/>
        <v>-312.24</v>
      </c>
      <c r="BC347" s="16">
        <f t="shared" si="5"/>
        <v>0</v>
      </c>
      <c r="BD347" s="16">
        <f t="shared" si="5"/>
        <v>0</v>
      </c>
      <c r="BE347" s="16">
        <f>SUMIF($D$5:$D$337,$D$347,BE5:BE337)</f>
        <v>-7798.433</v>
      </c>
      <c r="BF347" s="21"/>
    </row>
    <row r="348" spans="1:58" x14ac:dyDescent="0.2">
      <c r="A348" t="s">
        <v>613</v>
      </c>
      <c r="B348">
        <v>7</v>
      </c>
      <c r="D348">
        <v>6</v>
      </c>
      <c r="E348" s="16">
        <f t="shared" ref="E348:BD348" si="6">SUMIF($D$5:$D$337,$D$348,E5:E337)+SUMIF($D$5:$D$337,$B$348,E5:E337)</f>
        <v>1043629.83</v>
      </c>
      <c r="F348" s="16">
        <f t="shared" si="6"/>
        <v>65663.280999999974</v>
      </c>
      <c r="G348" s="16">
        <f t="shared" si="6"/>
        <v>70704.691999999995</v>
      </c>
      <c r="H348" s="16">
        <f t="shared" si="6"/>
        <v>9717.6280000000006</v>
      </c>
      <c r="I348" s="16">
        <f t="shared" si="6"/>
        <v>10276.507000000001</v>
      </c>
      <c r="J348" s="16">
        <f t="shared" si="6"/>
        <v>46768.286</v>
      </c>
      <c r="K348" s="16">
        <f t="shared" si="6"/>
        <v>1005521.5430000001</v>
      </c>
      <c r="L348" s="16">
        <f t="shared" si="6"/>
        <v>88463.608999999997</v>
      </c>
      <c r="M348" s="16">
        <f t="shared" si="6"/>
        <v>8422.2810000000009</v>
      </c>
      <c r="N348" s="16">
        <f t="shared" si="6"/>
        <v>474147.75599999999</v>
      </c>
      <c r="O348" s="16">
        <f t="shared" si="6"/>
        <v>1926974.8690000002</v>
      </c>
      <c r="P348" s="16">
        <f t="shared" si="6"/>
        <v>471364.47000000015</v>
      </c>
      <c r="Q348" s="16">
        <f>SUMIF($D$5:$D$337,$D$348,Q5:Q337)+SUMIF($D$5:$D$337,$B$348,Q5:Q337)</f>
        <v>-6.8849999999999998</v>
      </c>
      <c r="R348" s="16">
        <f t="shared" si="6"/>
        <v>109.65000000000016</v>
      </c>
      <c r="S348" s="16">
        <f t="shared" si="6"/>
        <v>1549.45</v>
      </c>
      <c r="T348" s="16">
        <f t="shared" si="6"/>
        <v>109.56800000000017</v>
      </c>
      <c r="U348" s="16">
        <f t="shared" si="6"/>
        <v>1260.047</v>
      </c>
      <c r="V348" s="16">
        <f t="shared" si="6"/>
        <v>4240.0700000000024</v>
      </c>
      <c r="W348" s="16">
        <f t="shared" si="6"/>
        <v>-1.589</v>
      </c>
      <c r="X348" s="16">
        <f t="shared" si="6"/>
        <v>1542.8440000000014</v>
      </c>
      <c r="Y348" s="16">
        <f t="shared" si="6"/>
        <v>6459.7139999999999</v>
      </c>
      <c r="Z348" s="16">
        <f t="shared" si="6"/>
        <v>4214.271999999999</v>
      </c>
      <c r="AA348" s="16">
        <f t="shared" si="6"/>
        <v>14302.152999999998</v>
      </c>
      <c r="AB348" s="16">
        <f t="shared" si="6"/>
        <v>3963.206000000001</v>
      </c>
      <c r="AC348" s="16">
        <f t="shared" si="6"/>
        <v>198157.91199999998</v>
      </c>
      <c r="AD348" s="16">
        <f t="shared" si="6"/>
        <v>-270.70600000000098</v>
      </c>
      <c r="AE348" s="16">
        <f t="shared" si="6"/>
        <v>48352.199000000001</v>
      </c>
      <c r="AF348" s="16">
        <f t="shared" si="6"/>
        <v>3198.5949999999989</v>
      </c>
      <c r="AG348" s="16">
        <f t="shared" si="6"/>
        <v>6503.7010000000009</v>
      </c>
      <c r="AH348" s="16">
        <f t="shared" si="6"/>
        <v>226.68400000000088</v>
      </c>
      <c r="AI348" s="16">
        <f t="shared" si="6"/>
        <v>788378.09500000009</v>
      </c>
      <c r="AJ348" s="16">
        <f t="shared" si="6"/>
        <v>9865.5020000000022</v>
      </c>
      <c r="AK348" s="16">
        <f t="shared" si="6"/>
        <v>723.26799999999969</v>
      </c>
      <c r="AL348" s="16">
        <f t="shared" si="6"/>
        <v>2388435.6400000015</v>
      </c>
      <c r="AM348" s="16">
        <f t="shared" si="6"/>
        <v>17269.551999999989</v>
      </c>
      <c r="AN348" s="16">
        <f t="shared" si="6"/>
        <v>-1798.7550000000037</v>
      </c>
      <c r="AO348" s="16">
        <f t="shared" si="6"/>
        <v>-78760.789000000077</v>
      </c>
      <c r="AP348" s="16">
        <f t="shared" si="6"/>
        <v>3710.542999999996</v>
      </c>
      <c r="AQ348" s="16">
        <f t="shared" si="6"/>
        <v>1663.8109999999972</v>
      </c>
      <c r="AR348" s="16">
        <f t="shared" si="6"/>
        <v>-50801.813999999918</v>
      </c>
      <c r="AS348" s="16">
        <f>SUMIF($D$5:$D$337,$D$348,AS5:AS337)+SUMIF($D$5:$D$337,$B$348,AS5:AS337)</f>
        <v>1142.4749999999999</v>
      </c>
      <c r="AT348" s="16">
        <f>SUMIF($D$5:$D$337,$D$348,AT5:AT337)+SUMIF($D$5:$D$337,$B$348,AT5:AT337)</f>
        <v>-23615.403000000013</v>
      </c>
      <c r="AU348" s="16">
        <f>SUMIF($D$5:$D$337,$D$348,AU5:AU337)+SUMIF($D$5:$D$337,$B$348,AU5:AU337)</f>
        <v>130.23400000000009</v>
      </c>
      <c r="AV348" s="16">
        <f>SUMIF($D$5:$D$337,$D$348,AV5:AV337)+SUMIF($D$5:$D$337,$B$348,AV5:AV337)</f>
        <v>83.707000000000022</v>
      </c>
      <c r="AW348" s="16">
        <f t="shared" si="6"/>
        <v>-1.3170000000000002</v>
      </c>
      <c r="AX348" s="16">
        <f t="shared" si="6"/>
        <v>1729.2590000000025</v>
      </c>
      <c r="AY348" s="16">
        <f t="shared" si="6"/>
        <v>-0.47800000000000031</v>
      </c>
      <c r="AZ348" s="16">
        <f t="shared" si="6"/>
        <v>171.82099999999997</v>
      </c>
      <c r="BA348" s="16">
        <f t="shared" si="6"/>
        <v>4.6520000000000001</v>
      </c>
      <c r="BB348" s="16">
        <f t="shared" si="6"/>
        <v>1196.0879999999997</v>
      </c>
      <c r="BC348" s="16">
        <f t="shared" si="6"/>
        <v>24.995999999999999</v>
      </c>
      <c r="BD348" s="16">
        <f t="shared" si="6"/>
        <v>-11.455</v>
      </c>
      <c r="BE348" s="16">
        <f>SUMIF($D$5:$D$337,$D$348,BE5:BE337)+SUMIF($D$5:$D$337,$B$348,BE5:BE337)</f>
        <v>5478.225000000004</v>
      </c>
      <c r="BF348" s="21"/>
    </row>
    <row r="349" spans="1:58" x14ac:dyDescent="0.2"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21"/>
    </row>
    <row r="350" spans="1:58" x14ac:dyDescent="0.2">
      <c r="E350">
        <f t="shared" ref="E350:P350" si="7">SUM(E343:E349)</f>
        <v>5839093.4590000007</v>
      </c>
      <c r="F350">
        <f t="shared" si="7"/>
        <v>856433.70400000003</v>
      </c>
      <c r="G350">
        <f t="shared" si="7"/>
        <v>1102809.8399999999</v>
      </c>
      <c r="H350">
        <f t="shared" si="7"/>
        <v>1065155.298</v>
      </c>
      <c r="I350">
        <f t="shared" si="7"/>
        <v>148904.61000000002</v>
      </c>
      <c r="J350">
        <f t="shared" si="7"/>
        <v>758163.92599999998</v>
      </c>
      <c r="K350">
        <f t="shared" si="7"/>
        <v>4597590.4399999995</v>
      </c>
      <c r="L350">
        <f t="shared" si="7"/>
        <v>888237.74</v>
      </c>
      <c r="M350">
        <f t="shared" si="7"/>
        <v>321686.01</v>
      </c>
      <c r="N350">
        <f t="shared" si="7"/>
        <v>2543275.3489999999</v>
      </c>
      <c r="O350" s="17">
        <f t="shared" si="7"/>
        <v>8891666.3379999995</v>
      </c>
      <c r="P350">
        <f t="shared" si="7"/>
        <v>2610418.2290000003</v>
      </c>
      <c r="Q350">
        <f>SUM(Q343:Q349)</f>
        <v>16744.584000000003</v>
      </c>
      <c r="R350">
        <f t="shared" ref="R350:AR350" si="8">SUM(R343:R349)</f>
        <v>5645.8240000000005</v>
      </c>
      <c r="S350">
        <f t="shared" si="8"/>
        <v>23409.852999999999</v>
      </c>
      <c r="T350">
        <f t="shared" si="8"/>
        <v>10680.304999999998</v>
      </c>
      <c r="U350">
        <f t="shared" si="8"/>
        <v>22389.390000000003</v>
      </c>
      <c r="V350">
        <f t="shared" si="8"/>
        <v>251917.79100000003</v>
      </c>
      <c r="W350">
        <f t="shared" si="8"/>
        <v>2904.835</v>
      </c>
      <c r="X350">
        <f t="shared" si="8"/>
        <v>108751.54300000001</v>
      </c>
      <c r="Y350">
        <f t="shared" si="8"/>
        <v>248445.22900000002</v>
      </c>
      <c r="Z350">
        <f t="shared" si="8"/>
        <v>70734.751000000004</v>
      </c>
      <c r="AA350">
        <f t="shared" si="8"/>
        <v>233742.71999999997</v>
      </c>
      <c r="AB350">
        <f t="shared" si="8"/>
        <v>204665.48900000003</v>
      </c>
      <c r="AC350">
        <f t="shared" si="8"/>
        <v>1650963.121</v>
      </c>
      <c r="AD350">
        <f t="shared" si="8"/>
        <v>72240.788</v>
      </c>
      <c r="AE350">
        <f t="shared" si="8"/>
        <v>786432.25399999996</v>
      </c>
      <c r="AF350">
        <f t="shared" si="8"/>
        <v>169210.326</v>
      </c>
      <c r="AG350">
        <f t="shared" si="8"/>
        <v>130923.01299999999</v>
      </c>
      <c r="AH350">
        <f t="shared" si="8"/>
        <v>44944.220999999998</v>
      </c>
      <c r="AI350">
        <f t="shared" si="8"/>
        <v>4430781.0130000003</v>
      </c>
      <c r="AJ350">
        <f t="shared" si="8"/>
        <v>900078.62699999975</v>
      </c>
      <c r="AK350">
        <f t="shared" si="8"/>
        <v>184072.66500000001</v>
      </c>
      <c r="AL350">
        <f t="shared" si="8"/>
        <v>13570517.357000001</v>
      </c>
      <c r="AM350">
        <f t="shared" si="8"/>
        <v>1786660.2009999999</v>
      </c>
      <c r="AN350">
        <f t="shared" si="8"/>
        <v>507372.495</v>
      </c>
      <c r="AO350">
        <f t="shared" si="8"/>
        <v>5854299.9240000006</v>
      </c>
      <c r="AP350">
        <f t="shared" si="8"/>
        <v>319550.96600000001</v>
      </c>
      <c r="AQ350">
        <f t="shared" si="8"/>
        <v>194278.908</v>
      </c>
      <c r="AR350">
        <f t="shared" si="8"/>
        <v>3763766.8630000004</v>
      </c>
      <c r="AS350">
        <f>SUM(AS343:AS349)</f>
        <v>43051.688000000002</v>
      </c>
      <c r="AT350">
        <f>SUM(AT343:AT349)</f>
        <v>1734919.85</v>
      </c>
      <c r="AU350">
        <f>SUM(AU343:AU349)</f>
        <v>7520.8210000000008</v>
      </c>
      <c r="AV350">
        <f>SUM(AV343:AV349)</f>
        <v>7826.2629999999999</v>
      </c>
      <c r="AW350">
        <f>SUM(AW343:AW349)</f>
        <v>25994.923000000003</v>
      </c>
      <c r="AX350">
        <f t="shared" ref="AX350:BD350" si="9">SUM(AX343:AX349)</f>
        <v>243915.06799999997</v>
      </c>
      <c r="AY350">
        <f t="shared" si="9"/>
        <v>11545.545000000002</v>
      </c>
      <c r="AZ350">
        <f t="shared" si="9"/>
        <v>3086.6059999999998</v>
      </c>
      <c r="BA350">
        <f t="shared" si="9"/>
        <v>4.6520000000000001</v>
      </c>
      <c r="BB350">
        <f t="shared" si="9"/>
        <v>80869.833999999988</v>
      </c>
      <c r="BC350">
        <f t="shared" si="9"/>
        <v>53002.811000000002</v>
      </c>
      <c r="BD350">
        <f t="shared" si="9"/>
        <v>44478.137999999999</v>
      </c>
      <c r="BE350">
        <f>SUM(BE343:BE349)</f>
        <v>325598.36999999994</v>
      </c>
      <c r="BF350" s="21"/>
    </row>
    <row r="351" spans="1:58" x14ac:dyDescent="0.2"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21"/>
    </row>
    <row r="352" spans="1:58" x14ac:dyDescent="0.2">
      <c r="A352" s="8"/>
      <c r="B352" s="8"/>
      <c r="C352" s="8"/>
      <c r="D352" s="8"/>
      <c r="E352" s="8">
        <f t="shared" ref="E352:AT352" si="10">E350-E338</f>
        <v>5839093.4590000007</v>
      </c>
      <c r="F352" s="8">
        <f t="shared" si="10"/>
        <v>856433.70400000003</v>
      </c>
      <c r="G352" s="8">
        <f t="shared" si="10"/>
        <v>1102809.8399999999</v>
      </c>
      <c r="H352" s="8">
        <f t="shared" si="10"/>
        <v>1065155.298</v>
      </c>
      <c r="I352" s="8">
        <f t="shared" si="10"/>
        <v>148904.61000000002</v>
      </c>
      <c r="J352" s="8">
        <f t="shared" si="10"/>
        <v>758163.92599999998</v>
      </c>
      <c r="K352" s="8">
        <f t="shared" si="10"/>
        <v>4597590.4399999995</v>
      </c>
      <c r="L352" s="8">
        <f t="shared" si="10"/>
        <v>888237.74</v>
      </c>
      <c r="M352" s="8">
        <f t="shared" si="10"/>
        <v>321686.01</v>
      </c>
      <c r="N352" s="8">
        <f t="shared" si="10"/>
        <v>2543275.3489999999</v>
      </c>
      <c r="O352" s="18">
        <f t="shared" si="10"/>
        <v>8891666.3379999995</v>
      </c>
      <c r="P352" s="8">
        <f t="shared" si="10"/>
        <v>2610418.2290000003</v>
      </c>
      <c r="Q352" s="8">
        <f>Q350-Q338</f>
        <v>16744.584000000003</v>
      </c>
      <c r="R352" s="8">
        <f t="shared" si="10"/>
        <v>5645.8240000000005</v>
      </c>
      <c r="S352" s="8">
        <f t="shared" si="10"/>
        <v>23409.852999999999</v>
      </c>
      <c r="T352" s="8">
        <f t="shared" si="10"/>
        <v>10680.304999999998</v>
      </c>
      <c r="U352" s="8">
        <f t="shared" si="10"/>
        <v>22389.390000000003</v>
      </c>
      <c r="V352" s="8">
        <f t="shared" si="10"/>
        <v>251917.79100000003</v>
      </c>
      <c r="W352" s="8">
        <f t="shared" si="10"/>
        <v>2904.835</v>
      </c>
      <c r="X352" s="8">
        <f t="shared" si="10"/>
        <v>108751.54300000001</v>
      </c>
      <c r="Y352" s="8">
        <f t="shared" si="10"/>
        <v>248445.22900000002</v>
      </c>
      <c r="Z352" s="8">
        <f t="shared" si="10"/>
        <v>70734.751000000004</v>
      </c>
      <c r="AA352" s="8">
        <f t="shared" si="10"/>
        <v>233742.71999999997</v>
      </c>
      <c r="AB352" s="8">
        <f t="shared" si="10"/>
        <v>204665.48900000003</v>
      </c>
      <c r="AC352" s="8">
        <f t="shared" si="10"/>
        <v>1650963.121</v>
      </c>
      <c r="AD352" s="8">
        <f t="shared" si="10"/>
        <v>72240.788</v>
      </c>
      <c r="AE352" s="8">
        <f t="shared" si="10"/>
        <v>786432.25399999996</v>
      </c>
      <c r="AF352" s="8">
        <f t="shared" si="10"/>
        <v>169210.326</v>
      </c>
      <c r="AG352" s="8">
        <f t="shared" si="10"/>
        <v>130923.01299999999</v>
      </c>
      <c r="AH352" s="8">
        <f t="shared" si="10"/>
        <v>44944.220999999998</v>
      </c>
      <c r="AI352" s="8">
        <f t="shared" si="10"/>
        <v>4430781.0130000003</v>
      </c>
      <c r="AJ352" s="8">
        <f t="shared" si="10"/>
        <v>900078.62699999975</v>
      </c>
      <c r="AK352" s="8">
        <f t="shared" si="10"/>
        <v>184072.66500000001</v>
      </c>
      <c r="AL352" s="8">
        <f t="shared" si="10"/>
        <v>13570517.357000001</v>
      </c>
      <c r="AM352" s="8">
        <f t="shared" si="10"/>
        <v>1786660.2009999999</v>
      </c>
      <c r="AN352" s="8">
        <f t="shared" si="10"/>
        <v>507372.495</v>
      </c>
      <c r="AO352" s="8">
        <f t="shared" si="10"/>
        <v>5854299.9240000006</v>
      </c>
      <c r="AP352" s="8">
        <f t="shared" si="10"/>
        <v>319550.96600000001</v>
      </c>
      <c r="AQ352" s="8">
        <f t="shared" si="10"/>
        <v>194278.908</v>
      </c>
      <c r="AR352" s="8">
        <f t="shared" si="10"/>
        <v>3763766.8630000004</v>
      </c>
      <c r="AS352" s="8">
        <f t="shared" si="10"/>
        <v>43051.688000000002</v>
      </c>
      <c r="AT352" s="8">
        <f t="shared" si="10"/>
        <v>1734919.85</v>
      </c>
      <c r="AU352" s="8">
        <f>AU350-AU338</f>
        <v>7520.8210000000008</v>
      </c>
      <c r="AV352" s="8">
        <f>AV350-AV338</f>
        <v>7826.2629999999999</v>
      </c>
      <c r="AW352" s="8">
        <f t="shared" ref="AW352:BD352" si="11">AW350-AW338</f>
        <v>25994.923000000003</v>
      </c>
      <c r="AX352" s="8">
        <f t="shared" si="11"/>
        <v>243915.06799999997</v>
      </c>
      <c r="AY352" s="8">
        <f t="shared" si="11"/>
        <v>11545.545000000002</v>
      </c>
      <c r="AZ352" s="8">
        <f t="shared" si="11"/>
        <v>3086.6059999999998</v>
      </c>
      <c r="BA352" s="8">
        <f t="shared" si="11"/>
        <v>4.6520000000000001</v>
      </c>
      <c r="BB352" s="8">
        <f t="shared" si="11"/>
        <v>80869.833999999988</v>
      </c>
      <c r="BC352" s="8">
        <f t="shared" si="11"/>
        <v>53002.811000000002</v>
      </c>
      <c r="BD352" s="8">
        <f t="shared" si="11"/>
        <v>44478.137999999999</v>
      </c>
      <c r="BE352" s="8">
        <f>BE350-BE338</f>
        <v>325598.36999999994</v>
      </c>
      <c r="BF352" s="21"/>
    </row>
    <row r="353" spans="1:58" x14ac:dyDescent="0.2">
      <c r="E353" s="19">
        <f t="shared" ref="E353:P353" si="12">E3</f>
        <v>401</v>
      </c>
      <c r="F353" s="19">
        <f t="shared" si="12"/>
        <v>242</v>
      </c>
      <c r="G353" s="19">
        <f t="shared" si="12"/>
        <v>385</v>
      </c>
      <c r="H353" s="19">
        <f t="shared" si="12"/>
        <v>528</v>
      </c>
      <c r="I353" s="19">
        <f t="shared" si="12"/>
        <v>384</v>
      </c>
      <c r="J353" s="19">
        <f t="shared" si="12"/>
        <v>716</v>
      </c>
      <c r="K353" s="19">
        <f t="shared" si="12"/>
        <v>686</v>
      </c>
      <c r="L353" s="19">
        <f t="shared" si="12"/>
        <v>1190</v>
      </c>
      <c r="M353" s="19">
        <f t="shared" si="12"/>
        <v>715</v>
      </c>
      <c r="N353" s="19">
        <f t="shared" si="12"/>
        <v>211</v>
      </c>
      <c r="O353" s="19">
        <f t="shared" si="12"/>
        <v>9916</v>
      </c>
      <c r="P353" s="19">
        <f t="shared" si="12"/>
        <v>1100</v>
      </c>
      <c r="Q353" s="19">
        <f>Q3</f>
        <v>801</v>
      </c>
      <c r="R353" s="19">
        <f t="shared" ref="R353:W353" si="13">R3</f>
        <v>804</v>
      </c>
      <c r="S353" s="19">
        <f t="shared" si="13"/>
        <v>806</v>
      </c>
      <c r="T353" s="19">
        <f t="shared" si="13"/>
        <v>8765</v>
      </c>
      <c r="U353" s="19">
        <f t="shared" si="13"/>
        <v>8766</v>
      </c>
      <c r="V353" s="19">
        <f t="shared" si="13"/>
        <v>9418</v>
      </c>
      <c r="W353" s="19">
        <f t="shared" si="13"/>
        <v>9475</v>
      </c>
      <c r="X353" s="19">
        <f>X3</f>
        <v>9905</v>
      </c>
      <c r="Y353" s="19">
        <f>Y3</f>
        <v>9906</v>
      </c>
      <c r="Z353" s="19">
        <f>Z3</f>
        <v>7905</v>
      </c>
      <c r="AA353" s="19">
        <f t="shared" ref="AA353:AT353" si="14">AA3</f>
        <v>7906</v>
      </c>
      <c r="AB353" s="19">
        <f t="shared" si="14"/>
        <v>7907</v>
      </c>
      <c r="AC353" s="19">
        <f t="shared" si="14"/>
        <v>7908</v>
      </c>
      <c r="AD353" s="19">
        <f t="shared" si="14"/>
        <v>7909</v>
      </c>
      <c r="AE353" s="19">
        <f t="shared" si="14"/>
        <v>11310</v>
      </c>
      <c r="AF353" s="19">
        <f t="shared" si="14"/>
        <v>11311</v>
      </c>
      <c r="AG353" s="19">
        <f t="shared" si="14"/>
        <v>11312</v>
      </c>
      <c r="AH353" s="19">
        <f t="shared" si="14"/>
        <v>11335</v>
      </c>
      <c r="AI353" s="19">
        <f t="shared" si="14"/>
        <v>9529</v>
      </c>
      <c r="AJ353" s="19">
        <f t="shared" si="14"/>
        <v>961</v>
      </c>
      <c r="AK353" s="19">
        <f t="shared" si="14"/>
        <v>9528</v>
      </c>
      <c r="AL353" s="19">
        <f t="shared" si="14"/>
        <v>964</v>
      </c>
      <c r="AM353" s="19">
        <f t="shared" si="14"/>
        <v>968</v>
      </c>
      <c r="AN353" s="19">
        <f t="shared" si="14"/>
        <v>8629</v>
      </c>
      <c r="AO353" s="19">
        <f t="shared" si="14"/>
        <v>13264</v>
      </c>
      <c r="AP353" s="19">
        <f t="shared" si="14"/>
        <v>9917</v>
      </c>
      <c r="AQ353" s="19">
        <f t="shared" si="14"/>
        <v>8624</v>
      </c>
      <c r="AR353" s="19">
        <f t="shared" si="14"/>
        <v>13263</v>
      </c>
      <c r="AS353" s="19">
        <f t="shared" si="14"/>
        <v>13209</v>
      </c>
      <c r="AT353" s="19">
        <f t="shared" si="14"/>
        <v>13250</v>
      </c>
      <c r="AU353" s="19">
        <f>AU3</f>
        <v>14281</v>
      </c>
      <c r="AV353" s="19">
        <f>AV3</f>
        <v>14282</v>
      </c>
      <c r="AW353" s="19">
        <f t="shared" ref="AW353:BD353" si="15">AW3</f>
        <v>2049</v>
      </c>
      <c r="AX353" s="19">
        <f t="shared" si="15"/>
        <v>7975</v>
      </c>
      <c r="AY353" s="19">
        <f t="shared" si="15"/>
        <v>8004</v>
      </c>
      <c r="AZ353" s="19">
        <f t="shared" si="15"/>
        <v>1008</v>
      </c>
      <c r="BA353" s="19">
        <f t="shared" si="15"/>
        <v>9484</v>
      </c>
      <c r="BB353" s="19">
        <f t="shared" si="15"/>
        <v>682</v>
      </c>
      <c r="BC353" s="19">
        <f t="shared" si="15"/>
        <v>11352</v>
      </c>
      <c r="BD353" s="19">
        <f t="shared" si="15"/>
        <v>2058</v>
      </c>
      <c r="BE353" s="19">
        <f>BE3</f>
        <v>12088</v>
      </c>
      <c r="BF353" s="21"/>
    </row>
    <row r="354" spans="1:58" x14ac:dyDescent="0.2">
      <c r="A354" t="s">
        <v>608</v>
      </c>
      <c r="E354" s="20">
        <f t="shared" ref="E354:AR354" si="16">E343/E350</f>
        <v>0.11320649611818451</v>
      </c>
      <c r="F354" s="20">
        <f t="shared" si="16"/>
        <v>0.176137763256454</v>
      </c>
      <c r="G354" s="20">
        <f t="shared" si="16"/>
        <v>4.3165859854859483E-2</v>
      </c>
      <c r="H354" s="20">
        <f t="shared" si="16"/>
        <v>5.6411886710626873E-3</v>
      </c>
      <c r="I354" s="20">
        <f t="shared" si="16"/>
        <v>0.10333490010819678</v>
      </c>
      <c r="J354" s="20">
        <f t="shared" si="16"/>
        <v>4.5661104166013836E-2</v>
      </c>
      <c r="K354" s="20">
        <f t="shared" si="16"/>
        <v>0.17117093557380897</v>
      </c>
      <c r="L354" s="20">
        <f t="shared" si="16"/>
        <v>0.10004555199377139</v>
      </c>
      <c r="M354" s="20">
        <f t="shared" si="16"/>
        <v>4.2340762658593704E-2</v>
      </c>
      <c r="N354" s="20">
        <f t="shared" si="16"/>
        <v>7.6093717526925939E-2</v>
      </c>
      <c r="O354" s="20">
        <f t="shared" si="16"/>
        <v>0.20141912358385214</v>
      </c>
      <c r="P354" s="20">
        <f t="shared" si="16"/>
        <v>7.6592245939300002E-2</v>
      </c>
      <c r="Q354" s="20">
        <f>Q343/Q350</f>
        <v>2.4900230426745742E-2</v>
      </c>
      <c r="R354" s="20">
        <f t="shared" si="16"/>
        <v>0.76652318598666902</v>
      </c>
      <c r="S354" s="20">
        <f t="shared" si="16"/>
        <v>4.2321795015116077E-2</v>
      </c>
      <c r="T354" s="20">
        <f t="shared" si="16"/>
        <v>0.41421700972022807</v>
      </c>
      <c r="U354" s="20">
        <f t="shared" si="16"/>
        <v>0.10089975653646659</v>
      </c>
      <c r="V354" s="20">
        <f t="shared" si="16"/>
        <v>0.17895835312401573</v>
      </c>
      <c r="W354" s="20">
        <f t="shared" si="16"/>
        <v>3.1768757950107321E-2</v>
      </c>
      <c r="X354" s="20">
        <f t="shared" si="16"/>
        <v>0.57999989940372609</v>
      </c>
      <c r="Y354" s="20">
        <f t="shared" si="16"/>
        <v>6.299558684622597E-2</v>
      </c>
      <c r="Z354" s="20">
        <f t="shared" si="16"/>
        <v>5.8727201853018468E-2</v>
      </c>
      <c r="AA354" s="20">
        <f t="shared" si="16"/>
        <v>8.9994888396951994E-2</v>
      </c>
      <c r="AB354" s="20">
        <f t="shared" si="16"/>
        <v>0.78208002620314754</v>
      </c>
      <c r="AC354" s="20">
        <f t="shared" si="16"/>
        <v>0.18559731716744993</v>
      </c>
      <c r="AD354" s="20">
        <f t="shared" si="16"/>
        <v>0.58536253785050074</v>
      </c>
      <c r="AE354" s="20">
        <f t="shared" si="16"/>
        <v>8.6458803862843603E-2</v>
      </c>
      <c r="AF354" s="20">
        <f t="shared" si="16"/>
        <v>0.78552231499158032</v>
      </c>
      <c r="AG354" s="20">
        <f t="shared" si="16"/>
        <v>0.19795367831933414</v>
      </c>
      <c r="AH354" s="20">
        <f t="shared" si="16"/>
        <v>0.27321414693114826</v>
      </c>
      <c r="AI354" s="20">
        <f t="shared" si="16"/>
        <v>0.17462867872048451</v>
      </c>
      <c r="AJ354" s="20">
        <f t="shared" si="16"/>
        <v>0.36628968860072725</v>
      </c>
      <c r="AK354" s="20">
        <f t="shared" si="16"/>
        <v>0.30424592374973219</v>
      </c>
      <c r="AL354" s="20">
        <f t="shared" si="16"/>
        <v>0.17018768402434459</v>
      </c>
      <c r="AM354" s="20">
        <f t="shared" si="16"/>
        <v>0.35658371896537261</v>
      </c>
      <c r="AN354" s="20">
        <f t="shared" si="16"/>
        <v>0.58050107741847545</v>
      </c>
      <c r="AO354" s="20">
        <f t="shared" si="16"/>
        <v>0.76961079642150565</v>
      </c>
      <c r="AP354" s="20">
        <f t="shared" si="16"/>
        <v>0.48350985426218362</v>
      </c>
      <c r="AQ354" s="20">
        <f t="shared" si="16"/>
        <v>0.36305388333766009</v>
      </c>
      <c r="AR354" s="20">
        <f t="shared" si="16"/>
        <v>0.76979022677579689</v>
      </c>
      <c r="AS354" s="20">
        <f>AS343/AS350</f>
        <v>3.3563004544676617E-2</v>
      </c>
      <c r="AT354" s="20">
        <f>AT343/AT350</f>
        <v>0.76916083760295895</v>
      </c>
      <c r="AU354" s="20">
        <f>AU343/AU350</f>
        <v>0.2473224665232692</v>
      </c>
      <c r="AV354" s="20">
        <f>AV343/AV350</f>
        <v>0.45727341388859533</v>
      </c>
      <c r="AW354" s="20">
        <f>AW343/AW350</f>
        <v>0.11774337627389778</v>
      </c>
      <c r="AX354" s="20">
        <f t="shared" ref="AX354:BD354" si="17">AX343/AX350</f>
        <v>0.38255583291803852</v>
      </c>
      <c r="AY354" s="20">
        <f t="shared" si="17"/>
        <v>0.10471917956233333</v>
      </c>
      <c r="AZ354" s="20">
        <f t="shared" si="17"/>
        <v>0.18669826987960239</v>
      </c>
      <c r="BA354" s="20">
        <f t="shared" si="17"/>
        <v>0</v>
      </c>
      <c r="BB354" s="20">
        <f t="shared" si="17"/>
        <v>0.22646946449772609</v>
      </c>
      <c r="BC354" s="20">
        <f t="shared" si="17"/>
        <v>9.857158330715704E-2</v>
      </c>
      <c r="BD354" s="20">
        <f t="shared" si="17"/>
        <v>0.10472387580613199</v>
      </c>
      <c r="BE354" s="20">
        <f>BE343/BE350</f>
        <v>0.29980257579299313</v>
      </c>
      <c r="BF354" s="21"/>
    </row>
    <row r="355" spans="1:58" x14ac:dyDescent="0.2">
      <c r="A355" t="s">
        <v>609</v>
      </c>
      <c r="E355" s="20">
        <f t="shared" ref="E355:AR355" si="18">E344/E350</f>
        <v>0.24737882569315456</v>
      </c>
      <c r="F355" s="20">
        <f t="shared" si="18"/>
        <v>0.18441322458743403</v>
      </c>
      <c r="G355" s="20">
        <f t="shared" si="18"/>
        <v>0.33698555772770405</v>
      </c>
      <c r="H355" s="20">
        <f t="shared" si="18"/>
        <v>2.8501008310245481E-4</v>
      </c>
      <c r="I355" s="20">
        <f t="shared" si="18"/>
        <v>0.35412117193685266</v>
      </c>
      <c r="J355" s="20">
        <f t="shared" si="18"/>
        <v>0.3425813456600677</v>
      </c>
      <c r="K355" s="20">
        <f t="shared" si="18"/>
        <v>0.16741684063533072</v>
      </c>
      <c r="L355" s="20">
        <f t="shared" si="18"/>
        <v>0.18507324176520579</v>
      </c>
      <c r="M355" s="20">
        <f t="shared" si="18"/>
        <v>0.74298460787896858</v>
      </c>
      <c r="N355" s="20">
        <f t="shared" si="18"/>
        <v>0.24246644361274777</v>
      </c>
      <c r="O355" s="20">
        <f t="shared" si="18"/>
        <v>7.8407499505521824E-2</v>
      </c>
      <c r="P355" s="20">
        <f t="shared" si="18"/>
        <v>0.2327355713543019</v>
      </c>
      <c r="Q355" s="20">
        <f>Q344/Q350</f>
        <v>0.77601193317194384</v>
      </c>
      <c r="R355" s="20">
        <f t="shared" si="18"/>
        <v>0</v>
      </c>
      <c r="S355" s="20">
        <f t="shared" si="18"/>
        <v>0.77355748453439666</v>
      </c>
      <c r="T355" s="20">
        <f t="shared" si="18"/>
        <v>0.14266596319112609</v>
      </c>
      <c r="U355" s="20">
        <f t="shared" si="18"/>
        <v>0.21219550867620776</v>
      </c>
      <c r="V355" s="20">
        <f t="shared" si="18"/>
        <v>0.19462187964326824</v>
      </c>
      <c r="W355" s="20">
        <f t="shared" si="18"/>
        <v>0.96877826107162712</v>
      </c>
      <c r="X355" s="20">
        <f t="shared" si="18"/>
        <v>4.3197750306862313E-2</v>
      </c>
      <c r="Y355" s="20">
        <f t="shared" si="18"/>
        <v>0.73649296360607508</v>
      </c>
      <c r="Z355" s="20">
        <f t="shared" si="18"/>
        <v>0.28435200118255877</v>
      </c>
      <c r="AA355" s="20">
        <f t="shared" si="18"/>
        <v>0.22607375322748022</v>
      </c>
      <c r="AB355" s="20">
        <f t="shared" si="18"/>
        <v>0</v>
      </c>
      <c r="AC355" s="20">
        <f t="shared" si="18"/>
        <v>0.16052034090227263</v>
      </c>
      <c r="AD355" s="20">
        <f t="shared" si="18"/>
        <v>0</v>
      </c>
      <c r="AE355" s="20">
        <f t="shared" si="18"/>
        <v>0.3231915383775702</v>
      </c>
      <c r="AF355" s="20">
        <f t="shared" si="18"/>
        <v>6.1846107429637591E-5</v>
      </c>
      <c r="AG355" s="20">
        <f t="shared" si="18"/>
        <v>0.15382912093536988</v>
      </c>
      <c r="AH355" s="20">
        <f t="shared" si="18"/>
        <v>0.13178243761305822</v>
      </c>
      <c r="AI355" s="20">
        <f t="shared" si="18"/>
        <v>0.16146618641294605</v>
      </c>
      <c r="AJ355" s="20">
        <f t="shared" si="18"/>
        <v>4.6278493623202112E-2</v>
      </c>
      <c r="AK355" s="20">
        <f t="shared" si="18"/>
        <v>8.7148534520321078E-2</v>
      </c>
      <c r="AL355" s="20">
        <f t="shared" si="18"/>
        <v>0.13528253932434064</v>
      </c>
      <c r="AM355" s="20">
        <f t="shared" si="18"/>
        <v>4.530730854960148E-2</v>
      </c>
      <c r="AN355" s="20">
        <f t="shared" si="18"/>
        <v>0</v>
      </c>
      <c r="AO355" s="20">
        <f t="shared" si="18"/>
        <v>0</v>
      </c>
      <c r="AP355" s="20">
        <f t="shared" si="18"/>
        <v>0.11305238551524203</v>
      </c>
      <c r="AQ355" s="20">
        <f t="shared" si="18"/>
        <v>0.18963321020931412</v>
      </c>
      <c r="AR355" s="20">
        <f t="shared" si="18"/>
        <v>0</v>
      </c>
      <c r="AS355" s="20">
        <f>AS344/AS350</f>
        <v>0.75714917380243019</v>
      </c>
      <c r="AT355" s="20">
        <f>AT344/AT350</f>
        <v>0</v>
      </c>
      <c r="AU355" s="20">
        <f>AU344/AU350</f>
        <v>0.19947436589702106</v>
      </c>
      <c r="AV355" s="20">
        <f>AV344/AV350</f>
        <v>0.16536257470519455</v>
      </c>
      <c r="AW355" s="20">
        <f>AW344/AW350</f>
        <v>0</v>
      </c>
      <c r="AX355" s="20">
        <f t="shared" ref="AX355:BD355" si="19">AX344/AX350</f>
        <v>4.8049717043311159E-2</v>
      </c>
      <c r="AY355" s="20">
        <f t="shared" si="19"/>
        <v>0</v>
      </c>
      <c r="AZ355" s="20">
        <f t="shared" si="19"/>
        <v>0.338455572236949</v>
      </c>
      <c r="BA355" s="20">
        <f t="shared" si="19"/>
        <v>0</v>
      </c>
      <c r="BB355" s="20">
        <f t="shared" si="19"/>
        <v>0.35902710026584206</v>
      </c>
      <c r="BC355" s="20">
        <f t="shared" si="19"/>
        <v>0</v>
      </c>
      <c r="BD355" s="20">
        <f t="shared" si="19"/>
        <v>0</v>
      </c>
      <c r="BE355" s="20">
        <f>BE344/BE350</f>
        <v>0.13530775353697258</v>
      </c>
      <c r="BF355" s="21"/>
    </row>
    <row r="356" spans="1:58" x14ac:dyDescent="0.2">
      <c r="A356" t="s">
        <v>610</v>
      </c>
      <c r="E356" s="20">
        <f t="shared" ref="E356:AR356" si="20">E345/E350</f>
        <v>0.25335351238809478</v>
      </c>
      <c r="F356" s="20">
        <f t="shared" si="20"/>
        <v>0.26286031125183279</v>
      </c>
      <c r="G356" s="20">
        <f t="shared" si="20"/>
        <v>0.46936044295723739</v>
      </c>
      <c r="H356" s="20">
        <f t="shared" si="20"/>
        <v>9.6237324446937139E-2</v>
      </c>
      <c r="I356" s="20">
        <f t="shared" si="20"/>
        <v>0.30237212266295849</v>
      </c>
      <c r="J356" s="20">
        <f t="shared" si="20"/>
        <v>0.455528501365284</v>
      </c>
      <c r="K356" s="20">
        <f t="shared" si="20"/>
        <v>9.1180322708344613E-2</v>
      </c>
      <c r="L356" s="20">
        <f t="shared" si="20"/>
        <v>0.44894684389339273</v>
      </c>
      <c r="M356" s="20">
        <f t="shared" si="20"/>
        <v>0.16675844871214635</v>
      </c>
      <c r="N356" s="20">
        <f t="shared" si="20"/>
        <v>0.36382314221848738</v>
      </c>
      <c r="O356" s="20">
        <f t="shared" si="20"/>
        <v>0.12701620788146137</v>
      </c>
      <c r="P356" s="20">
        <f t="shared" si="20"/>
        <v>0.35146061225271968</v>
      </c>
      <c r="Q356" s="20">
        <f>Q345/Q350</f>
        <v>0.19949901412898638</v>
      </c>
      <c r="R356" s="20">
        <f t="shared" si="20"/>
        <v>0</v>
      </c>
      <c r="S356" s="20">
        <f t="shared" si="20"/>
        <v>7.3452832019064796E-3</v>
      </c>
      <c r="T356" s="20">
        <f t="shared" si="20"/>
        <v>0.35368896300246111</v>
      </c>
      <c r="U356" s="20">
        <f t="shared" si="20"/>
        <v>0.62190153461081343</v>
      </c>
      <c r="V356" s="20">
        <f t="shared" si="20"/>
        <v>0.37010639713016541</v>
      </c>
      <c r="W356" s="20">
        <f t="shared" si="20"/>
        <v>0</v>
      </c>
      <c r="X356" s="20">
        <f t="shared" si="20"/>
        <v>0.24067714607047003</v>
      </c>
      <c r="Y356" s="20">
        <f t="shared" si="20"/>
        <v>0.16530143953780652</v>
      </c>
      <c r="Z356" s="20">
        <f t="shared" si="20"/>
        <v>0.5160311796389867</v>
      </c>
      <c r="AA356" s="20">
        <f t="shared" si="20"/>
        <v>0.45182926766660364</v>
      </c>
      <c r="AB356" s="20">
        <f t="shared" si="20"/>
        <v>0</v>
      </c>
      <c r="AC356" s="20">
        <f t="shared" si="20"/>
        <v>0.17092325407552211</v>
      </c>
      <c r="AD356" s="20">
        <f t="shared" si="20"/>
        <v>0.17084654447567765</v>
      </c>
      <c r="AE356" s="20">
        <f t="shared" si="20"/>
        <v>0.46146796263012885</v>
      </c>
      <c r="AF356" s="20">
        <f t="shared" si="20"/>
        <v>0</v>
      </c>
      <c r="AG356" s="20">
        <f t="shared" si="20"/>
        <v>0.29228047173035959</v>
      </c>
      <c r="AH356" s="20">
        <f t="shared" si="20"/>
        <v>0.28340233108056317</v>
      </c>
      <c r="AI356" s="20">
        <f t="shared" si="20"/>
        <v>0.12115852135886185</v>
      </c>
      <c r="AJ356" s="20">
        <f t="shared" si="20"/>
        <v>1.3488492711426202E-2</v>
      </c>
      <c r="AK356" s="20">
        <f t="shared" si="20"/>
        <v>0.26761426526855575</v>
      </c>
      <c r="AL356" s="20">
        <f t="shared" si="20"/>
        <v>0.16990768674052403</v>
      </c>
      <c r="AM356" s="20">
        <f t="shared" si="20"/>
        <v>1.354416636496175E-2</v>
      </c>
      <c r="AN356" s="20">
        <f t="shared" si="20"/>
        <v>0.15659474603565177</v>
      </c>
      <c r="AO356" s="20">
        <f t="shared" si="20"/>
        <v>0</v>
      </c>
      <c r="AP356" s="20">
        <f t="shared" si="20"/>
        <v>0.29252605670420662</v>
      </c>
      <c r="AQ356" s="20">
        <f t="shared" si="20"/>
        <v>0.38252449411543948</v>
      </c>
      <c r="AR356" s="20">
        <f t="shared" si="20"/>
        <v>0</v>
      </c>
      <c r="AS356" s="20">
        <f>AS345/AS350</f>
        <v>0.16993761080866329</v>
      </c>
      <c r="AT356" s="20">
        <f>AT345/AT350</f>
        <v>0</v>
      </c>
      <c r="AU356" s="20">
        <f>AU345/AU350</f>
        <v>0.30942127195953734</v>
      </c>
      <c r="AV356" s="20">
        <f>AV345/AV350</f>
        <v>0.27887064362646641</v>
      </c>
      <c r="AW356" s="20">
        <f>AW345/AW350</f>
        <v>0</v>
      </c>
      <c r="AX356" s="20">
        <f t="shared" ref="AX356:BD356" si="21">AX345/AX350</f>
        <v>1.2820433873318561E-2</v>
      </c>
      <c r="AY356" s="20">
        <f t="shared" si="21"/>
        <v>0</v>
      </c>
      <c r="AZ356" s="20">
        <f t="shared" si="21"/>
        <v>0.23747896556930168</v>
      </c>
      <c r="BA356" s="20">
        <f t="shared" si="21"/>
        <v>0</v>
      </c>
      <c r="BB356" s="20">
        <f t="shared" si="21"/>
        <v>0.3025310525553942</v>
      </c>
      <c r="BC356" s="20">
        <f t="shared" si="21"/>
        <v>0</v>
      </c>
      <c r="BD356" s="20">
        <f t="shared" si="21"/>
        <v>0</v>
      </c>
      <c r="BE356" s="20">
        <f>BE345/BE350</f>
        <v>0.36536113187544528</v>
      </c>
      <c r="BF356" s="21"/>
    </row>
    <row r="357" spans="1:58" x14ac:dyDescent="0.2">
      <c r="A357" t="s">
        <v>611</v>
      </c>
      <c r="E357" s="20">
        <f t="shared" ref="E357:AR357" si="22">E346/E350</f>
        <v>0.13573392095281409</v>
      </c>
      <c r="F357" s="20">
        <f t="shared" si="22"/>
        <v>0.25663933352160551</v>
      </c>
      <c r="G357" s="20">
        <f t="shared" si="22"/>
        <v>3.6480541377831755E-4</v>
      </c>
      <c r="H357" s="20">
        <f t="shared" si="22"/>
        <v>1.0375697347374037E-2</v>
      </c>
      <c r="I357" s="20">
        <f t="shared" si="22"/>
        <v>9.0197301480457862E-2</v>
      </c>
      <c r="J357" s="20">
        <f t="shared" si="22"/>
        <v>5.4618267342885943E-4</v>
      </c>
      <c r="K357" s="20">
        <f t="shared" si="22"/>
        <v>0.24785049405140142</v>
      </c>
      <c r="L357" s="20">
        <f t="shared" si="22"/>
        <v>9.6987127567896389E-2</v>
      </c>
      <c r="M357" s="20">
        <f t="shared" si="22"/>
        <v>0</v>
      </c>
      <c r="N357" s="20">
        <f t="shared" si="22"/>
        <v>4.9219400899402979E-2</v>
      </c>
      <c r="O357" s="20">
        <f t="shared" si="22"/>
        <v>0.31482716563897228</v>
      </c>
      <c r="P357" s="20">
        <f t="shared" si="22"/>
        <v>6.1462372664116104E-2</v>
      </c>
      <c r="Q357" s="20">
        <f>Q346/Q350</f>
        <v>0</v>
      </c>
      <c r="R357" s="20">
        <f t="shared" si="22"/>
        <v>0.21405537969302618</v>
      </c>
      <c r="S357" s="20">
        <f t="shared" si="22"/>
        <v>2.6591367318709769E-3</v>
      </c>
      <c r="T357" s="20">
        <f t="shared" si="22"/>
        <v>7.9169181029942512E-2</v>
      </c>
      <c r="U357" s="20">
        <f t="shared" si="22"/>
        <v>4.3264242572039696E-3</v>
      </c>
      <c r="V357" s="20">
        <f t="shared" si="22"/>
        <v>0.25491628338389161</v>
      </c>
      <c r="W357" s="20">
        <f t="shared" si="22"/>
        <v>0</v>
      </c>
      <c r="X357" s="20">
        <f t="shared" si="22"/>
        <v>0.12183231276084054</v>
      </c>
      <c r="Y357" s="20">
        <f t="shared" si="22"/>
        <v>0</v>
      </c>
      <c r="Z357" s="20">
        <f t="shared" si="22"/>
        <v>3.4926255695732919E-4</v>
      </c>
      <c r="AA357" s="20">
        <f t="shared" si="22"/>
        <v>9.0166966483490887E-2</v>
      </c>
      <c r="AB357" s="20">
        <f t="shared" si="22"/>
        <v>0.19855566367615593</v>
      </c>
      <c r="AC357" s="20">
        <f t="shared" si="22"/>
        <v>0.25391393100657872</v>
      </c>
      <c r="AD357" s="20">
        <f t="shared" si="22"/>
        <v>0.24753819130544366</v>
      </c>
      <c r="AE357" s="20">
        <f t="shared" si="22"/>
        <v>6.0045604385905568E-4</v>
      </c>
      <c r="AF357" s="20">
        <f t="shared" si="22"/>
        <v>0.19556743836070617</v>
      </c>
      <c r="AG357" s="20">
        <f t="shared" si="22"/>
        <v>0.25420023750904663</v>
      </c>
      <c r="AH357" s="20">
        <f t="shared" si="22"/>
        <v>0.30655741035093254</v>
      </c>
      <c r="AI357" s="20">
        <f t="shared" si="22"/>
        <v>0.24844620164485659</v>
      </c>
      <c r="AJ357" s="20">
        <f t="shared" si="22"/>
        <v>0.58650710411769391</v>
      </c>
      <c r="AK357" s="20">
        <f t="shared" si="22"/>
        <v>0.33286897323945408</v>
      </c>
      <c r="AL357" s="20">
        <f t="shared" si="22"/>
        <v>0.25627223115455461</v>
      </c>
      <c r="AM357" s="20">
        <f t="shared" si="22"/>
        <v>0.58250137514536815</v>
      </c>
      <c r="AN357" s="20">
        <f t="shared" si="22"/>
        <v>0.26615658777482609</v>
      </c>
      <c r="AO357" s="20">
        <f t="shared" si="22"/>
        <v>0.24382593982726733</v>
      </c>
      <c r="AP357" s="20">
        <f t="shared" si="22"/>
        <v>9.8088209190392489E-2</v>
      </c>
      <c r="AQ357" s="20">
        <f t="shared" si="22"/>
        <v>5.6224379231120662E-2</v>
      </c>
      <c r="AR357" s="20">
        <f t="shared" si="22"/>
        <v>0.24351829626063637</v>
      </c>
      <c r="AS357" s="20">
        <f>AS346/AS350</f>
        <v>0</v>
      </c>
      <c r="AT357" s="20">
        <f>AT346/AT350</f>
        <v>0.2439952929237624</v>
      </c>
      <c r="AU357" s="20">
        <f>AU346/AU350</f>
        <v>0.24742139189325202</v>
      </c>
      <c r="AV357" s="20">
        <f>AV346/AV350</f>
        <v>8.779771392809059E-2</v>
      </c>
      <c r="AW357" s="20">
        <f>AW346/AW350</f>
        <v>0.88230728746532538</v>
      </c>
      <c r="AX357" s="20">
        <f t="shared" ref="AX357:BD357" si="23">AX346/AX350</f>
        <v>0.58575645273378529</v>
      </c>
      <c r="AY357" s="20">
        <f t="shared" si="23"/>
        <v>0.89532222168810549</v>
      </c>
      <c r="AZ357" s="20">
        <f t="shared" si="23"/>
        <v>0.19439215759964176</v>
      </c>
      <c r="BA357" s="20">
        <f t="shared" si="23"/>
        <v>0</v>
      </c>
      <c r="BB357" s="20">
        <f t="shared" si="23"/>
        <v>0.10104311578035394</v>
      </c>
      <c r="BC357" s="20">
        <f t="shared" si="23"/>
        <v>0.90095681906380398</v>
      </c>
      <c r="BD357" s="20">
        <f t="shared" si="23"/>
        <v>0.89553366644979604</v>
      </c>
      <c r="BE357" s="20">
        <f>BE346/BE350</f>
        <v>0.20665452041421464</v>
      </c>
      <c r="BF357" s="21"/>
    </row>
    <row r="358" spans="1:58" x14ac:dyDescent="0.2">
      <c r="A358" t="s">
        <v>612</v>
      </c>
      <c r="E358" s="20">
        <f t="shared" ref="E358:AR358" si="24">E347/E350</f>
        <v>7.1595762413365405E-2</v>
      </c>
      <c r="F358" s="20">
        <f t="shared" si="24"/>
        <v>4.3278773157671049E-2</v>
      </c>
      <c r="G358" s="20">
        <f t="shared" si="24"/>
        <v>8.6010112133203323E-2</v>
      </c>
      <c r="H358" s="20">
        <f t="shared" si="24"/>
        <v>0.87833757646108035</v>
      </c>
      <c r="I358" s="20">
        <f t="shared" si="24"/>
        <v>8.0960475300261014E-2</v>
      </c>
      <c r="J358" s="20">
        <f t="shared" si="24"/>
        <v>9.3996620725528945E-2</v>
      </c>
      <c r="K358" s="20">
        <f t="shared" si="24"/>
        <v>0.10367520513636708</v>
      </c>
      <c r="L358" s="20">
        <f t="shared" si="24"/>
        <v>6.9352717438013828E-2</v>
      </c>
      <c r="M358" s="20">
        <f t="shared" si="24"/>
        <v>2.1734498183492656E-2</v>
      </c>
      <c r="N358" s="20">
        <f t="shared" si="24"/>
        <v>8.196535624110278E-2</v>
      </c>
      <c r="O358" s="20">
        <f t="shared" si="24"/>
        <v>6.1613046663560045E-2</v>
      </c>
      <c r="P358" s="20">
        <f t="shared" si="24"/>
        <v>9.7178718789892413E-2</v>
      </c>
      <c r="Q358" s="20">
        <f>Q347/Q350</f>
        <v>0</v>
      </c>
      <c r="R358" s="20">
        <f t="shared" si="24"/>
        <v>0</v>
      </c>
      <c r="S358" s="20">
        <f t="shared" si="24"/>
        <v>0.10792835820028431</v>
      </c>
      <c r="T358" s="20">
        <f t="shared" si="24"/>
        <v>0</v>
      </c>
      <c r="U358" s="20">
        <f t="shared" si="24"/>
        <v>4.3980206696118112E-3</v>
      </c>
      <c r="V358" s="20">
        <f t="shared" si="24"/>
        <v>-1.5434078651475631E-2</v>
      </c>
      <c r="W358" s="20">
        <f t="shared" si="24"/>
        <v>0</v>
      </c>
      <c r="X358" s="20">
        <f t="shared" si="24"/>
        <v>1.0602148421930896E-4</v>
      </c>
      <c r="Y358" s="20">
        <f t="shared" si="24"/>
        <v>9.2094543703232067E-3</v>
      </c>
      <c r="Z358" s="20">
        <f t="shared" si="24"/>
        <v>8.0961831617955365E-2</v>
      </c>
      <c r="AA358" s="20">
        <f t="shared" si="24"/>
        <v>8.0747537292284455E-2</v>
      </c>
      <c r="AB358" s="20">
        <f t="shared" si="24"/>
        <v>0</v>
      </c>
      <c r="AC358" s="20">
        <f t="shared" si="24"/>
        <v>0.10901951273810433</v>
      </c>
      <c r="AD358" s="20">
        <f t="shared" si="24"/>
        <v>0</v>
      </c>
      <c r="AE358" s="20">
        <f t="shared" si="24"/>
        <v>6.6798258505811489E-2</v>
      </c>
      <c r="AF358" s="20">
        <f t="shared" si="24"/>
        <v>-5.4671604379510501E-5</v>
      </c>
      <c r="AG358" s="20">
        <f t="shared" si="24"/>
        <v>5.2060725183585572E-2</v>
      </c>
      <c r="AH358" s="20">
        <f t="shared" si="24"/>
        <v>0</v>
      </c>
      <c r="AI358" s="20">
        <f t="shared" si="24"/>
        <v>0.11636832885380968</v>
      </c>
      <c r="AJ358" s="20">
        <f t="shared" si="24"/>
        <v>-2.3524490377661206E-2</v>
      </c>
      <c r="AK358" s="20">
        <f t="shared" si="24"/>
        <v>4.1930506085735217E-3</v>
      </c>
      <c r="AL358" s="20">
        <f t="shared" si="24"/>
        <v>9.2348047095902622E-2</v>
      </c>
      <c r="AM358" s="20">
        <f t="shared" si="24"/>
        <v>-7.6023980342751268E-3</v>
      </c>
      <c r="AN358" s="20">
        <f t="shared" si="24"/>
        <v>2.9282430849941917E-4</v>
      </c>
      <c r="AO358" s="20">
        <f t="shared" si="24"/>
        <v>1.6757768012160354E-5</v>
      </c>
      <c r="AP358" s="20">
        <f t="shared" si="24"/>
        <v>1.2117534953720026E-3</v>
      </c>
      <c r="AQ358" s="20">
        <f t="shared" si="24"/>
        <v>0</v>
      </c>
      <c r="AR358" s="20">
        <f t="shared" si="24"/>
        <v>1.8907547303096596E-4</v>
      </c>
      <c r="AS358" s="20">
        <f>AS347/AS350</f>
        <v>1.2812923850976529E-2</v>
      </c>
      <c r="AT358" s="20">
        <f>AT347/AT350</f>
        <v>4.556815693820092E-4</v>
      </c>
      <c r="AU358" s="20">
        <f>AU347/AU350</f>
        <v>-2.0955956803120294E-2</v>
      </c>
      <c r="AV358" s="20">
        <f>AV347/AV350</f>
        <v>0</v>
      </c>
      <c r="AW358" s="20">
        <f>AW347/AW350</f>
        <v>0</v>
      </c>
      <c r="AX358" s="20">
        <f t="shared" ref="AX358:BD358" si="25">AX347/AX350</f>
        <v>-3.6272031377741702E-2</v>
      </c>
      <c r="AY358" s="20">
        <f t="shared" si="25"/>
        <v>0</v>
      </c>
      <c r="AZ358" s="20">
        <f t="shared" si="25"/>
        <v>-1.2691610137477865E-2</v>
      </c>
      <c r="BA358" s="20">
        <f t="shared" si="25"/>
        <v>0</v>
      </c>
      <c r="BB358" s="20">
        <f t="shared" si="25"/>
        <v>-3.8610194253644696E-3</v>
      </c>
      <c r="BC358" s="20">
        <f t="shared" si="25"/>
        <v>0</v>
      </c>
      <c r="BD358" s="20">
        <f t="shared" si="25"/>
        <v>0</v>
      </c>
      <c r="BE358" s="20">
        <f>BE347/BE350</f>
        <v>-2.3951081204736994E-2</v>
      </c>
      <c r="BF358" s="21"/>
    </row>
    <row r="359" spans="1:58" x14ac:dyDescent="0.2">
      <c r="A359" t="s">
        <v>613</v>
      </c>
      <c r="E359" s="20">
        <f t="shared" ref="E359:P359" si="26">E348/E350</f>
        <v>0.17873148243438652</v>
      </c>
      <c r="F359" s="20">
        <f t="shared" si="26"/>
        <v>7.6670594225002581E-2</v>
      </c>
      <c r="G359" s="20">
        <f t="shared" si="26"/>
        <v>6.4113221913217611E-2</v>
      </c>
      <c r="H359" s="20">
        <f t="shared" si="26"/>
        <v>9.1232029904431845E-3</v>
      </c>
      <c r="I359" s="20">
        <f t="shared" si="26"/>
        <v>6.9014028511273098E-2</v>
      </c>
      <c r="J359" s="20">
        <f t="shared" si="26"/>
        <v>6.1686245409676745E-2</v>
      </c>
      <c r="K359" s="20">
        <f t="shared" si="26"/>
        <v>0.21870620189474732</v>
      </c>
      <c r="L359" s="20">
        <f t="shared" si="26"/>
        <v>9.9594517341719799E-2</v>
      </c>
      <c r="M359" s="20">
        <f t="shared" si="26"/>
        <v>2.6181682566798602E-2</v>
      </c>
      <c r="N359" s="20">
        <f t="shared" si="26"/>
        <v>0.18643193950133316</v>
      </c>
      <c r="O359" s="20">
        <f t="shared" si="26"/>
        <v>0.21671695672663244</v>
      </c>
      <c r="P359" s="20">
        <f t="shared" si="26"/>
        <v>0.18057047899966994</v>
      </c>
      <c r="Q359" s="20">
        <f>Q348/Q350</f>
        <v>-4.1117772767600548E-4</v>
      </c>
      <c r="R359" s="20">
        <f t="shared" ref="R359:AR359" si="27">R348/R350</f>
        <v>1.9421434320304732E-2</v>
      </c>
      <c r="S359" s="20">
        <f t="shared" si="27"/>
        <v>6.6187942316425483E-2</v>
      </c>
      <c r="T359" s="20">
        <f t="shared" si="27"/>
        <v>1.0258883056242325E-2</v>
      </c>
      <c r="U359" s="20">
        <f t="shared" si="27"/>
        <v>5.6278755249696388E-2</v>
      </c>
      <c r="V359" s="20">
        <f t="shared" si="27"/>
        <v>1.6831165370134585E-2</v>
      </c>
      <c r="W359" s="20">
        <f t="shared" si="27"/>
        <v>-5.4701902173445304E-4</v>
      </c>
      <c r="X359" s="20">
        <f t="shared" si="27"/>
        <v>1.4186869973881671E-2</v>
      </c>
      <c r="Y359" s="20">
        <f t="shared" si="27"/>
        <v>2.6000555639569153E-2</v>
      </c>
      <c r="Z359" s="20">
        <f t="shared" si="27"/>
        <v>5.9578523150523269E-2</v>
      </c>
      <c r="AA359" s="20">
        <f t="shared" si="27"/>
        <v>6.1187586933188765E-2</v>
      </c>
      <c r="AB359" s="20">
        <f t="shared" si="27"/>
        <v>1.9364310120696511E-2</v>
      </c>
      <c r="AC359" s="20">
        <f t="shared" si="27"/>
        <v>0.12002564411007215</v>
      </c>
      <c r="AD359" s="20">
        <f t="shared" si="27"/>
        <v>-3.7472736316220829E-3</v>
      </c>
      <c r="AE359" s="20">
        <f t="shared" si="27"/>
        <v>6.1482980579786857E-2</v>
      </c>
      <c r="AF359" s="20">
        <f t="shared" si="27"/>
        <v>1.8903072144663316E-2</v>
      </c>
      <c r="AG359" s="20">
        <f t="shared" si="27"/>
        <v>4.9675766322304249E-2</v>
      </c>
      <c r="AH359" s="20">
        <f t="shared" si="27"/>
        <v>5.0436740242978265E-3</v>
      </c>
      <c r="AI359" s="20">
        <f t="shared" si="27"/>
        <v>0.17793208300904129</v>
      </c>
      <c r="AJ359" s="20">
        <f t="shared" si="27"/>
        <v>1.0960711324611872E-2</v>
      </c>
      <c r="AK359" s="20">
        <f t="shared" si="27"/>
        <v>3.9292526133633135E-3</v>
      </c>
      <c r="AL359" s="20">
        <f t="shared" si="27"/>
        <v>0.17600181166033355</v>
      </c>
      <c r="AM359" s="20">
        <f t="shared" si="27"/>
        <v>9.6658290089711302E-3</v>
      </c>
      <c r="AN359" s="20">
        <f t="shared" si="27"/>
        <v>-3.545235537452624E-3</v>
      </c>
      <c r="AO359" s="20">
        <f t="shared" si="27"/>
        <v>-1.3453494016785203E-2</v>
      </c>
      <c r="AP359" s="20">
        <f t="shared" si="27"/>
        <v>1.1611740832603197E-2</v>
      </c>
      <c r="AQ359" s="20">
        <f t="shared" si="27"/>
        <v>8.5640331064656648E-3</v>
      </c>
      <c r="AR359" s="20">
        <f t="shared" si="27"/>
        <v>-1.3497598509464297E-2</v>
      </c>
      <c r="AS359" s="20">
        <f>AS348/AS350</f>
        <v>2.6537286993253317E-2</v>
      </c>
      <c r="AT359" s="20">
        <f>AT348/AT350</f>
        <v>-1.3611812096103466E-2</v>
      </c>
      <c r="AU359" s="20">
        <f>AU348/AU350</f>
        <v>1.7316460530040548E-2</v>
      </c>
      <c r="AV359" s="20">
        <f>AV348/AV350</f>
        <v>1.0695653851653084E-2</v>
      </c>
      <c r="AW359" s="20">
        <f>AW348/AW350</f>
        <v>-5.0663739223232166E-5</v>
      </c>
      <c r="AX359" s="20">
        <f t="shared" ref="AX359:BD359" si="28">AX348/AX350</f>
        <v>7.0895948092882998E-3</v>
      </c>
      <c r="AY359" s="20">
        <f t="shared" si="28"/>
        <v>-4.1401250439022173E-5</v>
      </c>
      <c r="AZ359" s="20">
        <f t="shared" si="28"/>
        <v>5.5666644851983048E-2</v>
      </c>
      <c r="BA359" s="20">
        <f t="shared" si="28"/>
        <v>1</v>
      </c>
      <c r="BB359" s="20">
        <f t="shared" si="28"/>
        <v>1.4790286326048349E-2</v>
      </c>
      <c r="BC359" s="20">
        <f t="shared" si="28"/>
        <v>4.7159762903895789E-4</v>
      </c>
      <c r="BD359" s="20">
        <f t="shared" si="28"/>
        <v>-2.5754225592806968E-4</v>
      </c>
      <c r="BE359" s="20">
        <f>BE348/BE350</f>
        <v>1.6825099585111573E-2</v>
      </c>
      <c r="BF359" s="21"/>
    </row>
    <row r="360" spans="1:58" x14ac:dyDescent="0.2">
      <c r="A360" s="21" t="s">
        <v>709</v>
      </c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</row>
  </sheetData>
  <mergeCells count="3">
    <mergeCell ref="A1:BE1"/>
    <mergeCell ref="BF2:BF359"/>
    <mergeCell ref="A360:BE360"/>
  </mergeCells>
  <conditionalFormatting sqref="A17:A33">
    <cfRule type="cellIs" dxfId="3" priority="7" stopIfTrue="1" operator="lessThan">
      <formula>0</formula>
    </cfRule>
  </conditionalFormatting>
  <conditionalFormatting sqref="B23:B33">
    <cfRule type="cellIs" dxfId="2" priority="16" stopIfTrue="1" operator="lessThan">
      <formula>0</formula>
    </cfRule>
  </conditionalFormatting>
  <conditionalFormatting sqref="C16:D24">
    <cfRule type="cellIs" dxfId="1" priority="8" stopIfTrue="1" operator="lessThan">
      <formula>0</formula>
    </cfRule>
  </conditionalFormatting>
  <conditionalFormatting sqref="E15:BE23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Hishtalmut xmlns="e7c93c0b-31f4-4d6d-a404-57fd37393f5c">
      <Value>6</Value>
      <Value>7</Value>
      <Value>13</Value>
      <Value>9</Value>
      <Value>1</Value>
      <Value>2</Value>
      <Value>3</Value>
      <Value>11</Value>
      <Value>12</Value>
      <Value>4</Value>
      <Value>5</Value>
    </Kupa_Hishtalmut>
    <Category xmlns="e7c93c0b-31f4-4d6d-a404-57fd37393f5c">1</Category>
    <KupotIsHidden xmlns="7c67d0cd-db71-4ceb-ba14-b5862b768686">false</KupotIsHidden>
    <Kupa_kgl xmlns="e7c93c0b-31f4-4d6d-a404-57fd37393f5c">
      <Value>8</Value>
      <Value>9</Value>
      <Value>1</Value>
      <Value>2</Value>
      <Value>3</Value>
      <Value>4</Value>
      <Value>5</Value>
      <Value>6</Value>
      <Value>7</Value>
    </Kupa_kgl>
    <kupa_tagmulim xmlns="e7c93c0b-31f4-4d6d-a404-57fd37393f5c"/>
    <Kupa_hly xmlns="e7c93c0b-31f4-4d6d-a404-57fd37393f5c">
      <Value>1</Value>
      <Value>2</Value>
      <Value>3</Value>
      <Value>4</Value>
      <Value>5</Value>
    </Kupa_hly>
    <kupa_ktp xmlns="e7c93c0b-31f4-4d6d-a404-57fd37393f5c">
      <Value>17</Value>
      <Value>14</Value>
      <Value>15</Value>
      <Value>16</Value>
      <Value>6</Value>
      <Value>1</Value>
      <Value>2</Value>
      <Value>3</Value>
      <Value>4</Value>
      <Value>8</Value>
      <Value>9</Value>
      <Value>5</Value>
      <Value>10</Value>
      <Value>11</Value>
      <Value>12</Value>
      <Value>13</Value>
    </kupa_ktp>
  </documentManagement>
</p:properties>
</file>

<file path=customXml/itemProps1.xml><?xml version="1.0" encoding="utf-8"?>
<ds:datastoreItem xmlns:ds="http://schemas.openxmlformats.org/officeDocument/2006/customXml" ds:itemID="{83E75BBC-4B41-4CFF-8187-0C5FB3D29B68}"/>
</file>

<file path=customXml/itemProps2.xml><?xml version="1.0" encoding="utf-8"?>
<ds:datastoreItem xmlns:ds="http://schemas.openxmlformats.org/officeDocument/2006/customXml" ds:itemID="{E34D466E-A3C3-41D0-BEA3-BEABD2D81858}"/>
</file>

<file path=customXml/itemProps3.xml><?xml version="1.0" encoding="utf-8"?>
<ds:datastoreItem xmlns:ds="http://schemas.openxmlformats.org/officeDocument/2006/customXml" ds:itemID="{8BC6D6CC-D2DA-4DB1-A215-7C006415D1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11/2023</dc:title>
  <dc:creator>פרידמן אמיר</dc:creator>
  <cp:lastModifiedBy>ארנה מור</cp:lastModifiedBy>
  <dcterms:created xsi:type="dcterms:W3CDTF">2023-12-20T11:50:58Z</dcterms:created>
  <dcterms:modified xsi:type="dcterms:W3CDTF">2023-12-26T06:47:37Z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