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O:\Maz-life\תחום חסכון ארוך טווח\מחלקת ידע ויישומים\רגולציה\מידעים כולל אינטרנט\מידע אישי גמל\2024\1.2024\"/>
    </mc:Choice>
  </mc:AlternateContent>
  <xr:revisionPtr revIDLastSave="0" documentId="8_{A0ED357A-672B-4684-B2EC-FFC8BE7E77DC}" xr6:coauthVersionLast="36" xr6:coauthVersionMax="36" xr10:uidLastSave="{00000000-0000-0000-0000-000000000000}"/>
  <bookViews>
    <workbookView xWindow="0" yWindow="765" windowWidth="30240" windowHeight="16305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353" i="1" l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BC350" i="1" l="1"/>
  <c r="BC352" i="1" s="1"/>
  <c r="G350" i="1"/>
  <c r="G352" i="1" s="1"/>
  <c r="S350" i="1"/>
  <c r="S352" i="1" s="1"/>
  <c r="AQ350" i="1"/>
  <c r="AQ352" i="1" s="1"/>
  <c r="K350" i="1"/>
  <c r="K354" i="1" s="1"/>
  <c r="W350" i="1"/>
  <c r="W352" i="1" s="1"/>
  <c r="AI350" i="1"/>
  <c r="AI352" i="1" s="1"/>
  <c r="AA350" i="1"/>
  <c r="AA359" i="1" s="1"/>
  <c r="AM350" i="1"/>
  <c r="AM352" i="1" s="1"/>
  <c r="AY350" i="1"/>
  <c r="AY352" i="1" s="1"/>
  <c r="K352" i="1"/>
  <c r="K359" i="1"/>
  <c r="Q350" i="1"/>
  <c r="Q352" i="1" s="1"/>
  <c r="AG350" i="1"/>
  <c r="AG352" i="1" s="1"/>
  <c r="AS350" i="1"/>
  <c r="AS354" i="1" s="1"/>
  <c r="H350" i="1"/>
  <c r="H354" i="1" s="1"/>
  <c r="L350" i="1"/>
  <c r="L352" i="1" s="1"/>
  <c r="P350" i="1"/>
  <c r="P352" i="1" s="1"/>
  <c r="T350" i="1"/>
  <c r="T354" i="1" s="1"/>
  <c r="X350" i="1"/>
  <c r="X352" i="1" s="1"/>
  <c r="AB350" i="1"/>
  <c r="AB352" i="1" s="1"/>
  <c r="AF350" i="1"/>
  <c r="AF352" i="1" s="1"/>
  <c r="AJ350" i="1"/>
  <c r="AJ359" i="1" s="1"/>
  <c r="AN350" i="1"/>
  <c r="AN352" i="1" s="1"/>
  <c r="AR350" i="1"/>
  <c r="AR352" i="1" s="1"/>
  <c r="AV350" i="1"/>
  <c r="AV352" i="1" s="1"/>
  <c r="AZ350" i="1"/>
  <c r="AZ356" i="1" s="1"/>
  <c r="BD350" i="1"/>
  <c r="BD352" i="1" s="1"/>
  <c r="G355" i="1"/>
  <c r="K355" i="1"/>
  <c r="S355" i="1"/>
  <c r="W355" i="1"/>
  <c r="AA355" i="1"/>
  <c r="AQ355" i="1"/>
  <c r="BC355" i="1"/>
  <c r="G359" i="1"/>
  <c r="S359" i="1"/>
  <c r="W359" i="1"/>
  <c r="BC359" i="1"/>
  <c r="I350" i="1"/>
  <c r="I352" i="1" s="1"/>
  <c r="U350" i="1"/>
  <c r="U352" i="1" s="1"/>
  <c r="H355" i="1"/>
  <c r="BD355" i="1"/>
  <c r="AV359" i="1"/>
  <c r="AZ359" i="1"/>
  <c r="M350" i="1"/>
  <c r="M352" i="1" s="1"/>
  <c r="AC350" i="1"/>
  <c r="AC352" i="1" s="1"/>
  <c r="AO350" i="1"/>
  <c r="AO352" i="1" s="1"/>
  <c r="AW350" i="1"/>
  <c r="AW352" i="1" s="1"/>
  <c r="BE350" i="1"/>
  <c r="BE352" i="1" s="1"/>
  <c r="S356" i="1"/>
  <c r="AQ356" i="1"/>
  <c r="BC356" i="1"/>
  <c r="F350" i="1"/>
  <c r="F352" i="1" s="1"/>
  <c r="J350" i="1"/>
  <c r="J352" i="1" s="1"/>
  <c r="N350" i="1"/>
  <c r="N352" i="1" s="1"/>
  <c r="N354" i="1"/>
  <c r="R350" i="1"/>
  <c r="R352" i="1" s="1"/>
  <c r="V350" i="1"/>
  <c r="V352" i="1" s="1"/>
  <c r="Z350" i="1"/>
  <c r="Z352" i="1" s="1"/>
  <c r="AD350" i="1"/>
  <c r="AD352" i="1" s="1"/>
  <c r="AH350" i="1"/>
  <c r="AH352" i="1" s="1"/>
  <c r="AL350" i="1"/>
  <c r="AL352" i="1" s="1"/>
  <c r="AP350" i="1"/>
  <c r="AP352" i="1" s="1"/>
  <c r="AT350" i="1"/>
  <c r="AT352" i="1" s="1"/>
  <c r="AX350" i="1"/>
  <c r="AX352" i="1" s="1"/>
  <c r="BB350" i="1"/>
  <c r="BB352" i="1" s="1"/>
  <c r="BF350" i="1"/>
  <c r="BF352" i="1" s="1"/>
  <c r="AV356" i="1"/>
  <c r="G357" i="1"/>
  <c r="K357" i="1"/>
  <c r="S357" i="1"/>
  <c r="W357" i="1"/>
  <c r="Y350" i="1"/>
  <c r="Y352" i="1" s="1"/>
  <c r="AK350" i="1"/>
  <c r="AK352" i="1" s="1"/>
  <c r="BA350" i="1"/>
  <c r="BA352" i="1" s="1"/>
  <c r="G356" i="1"/>
  <c r="G354" i="1"/>
  <c r="S354" i="1"/>
  <c r="AI354" i="1"/>
  <c r="BC354" i="1"/>
  <c r="F355" i="1"/>
  <c r="Q356" i="1"/>
  <c r="AK356" i="1"/>
  <c r="AS356" i="1"/>
  <c r="T357" i="1"/>
  <c r="O350" i="1"/>
  <c r="O352" i="1" s="1"/>
  <c r="AE350" i="1"/>
  <c r="AE352" i="1" s="1"/>
  <c r="AU350" i="1"/>
  <c r="AU352" i="1" s="1"/>
  <c r="AQ357" i="1"/>
  <c r="BC357" i="1"/>
  <c r="J358" i="1"/>
  <c r="N358" i="1"/>
  <c r="AV357" i="1"/>
  <c r="G358" i="1"/>
  <c r="K358" i="1"/>
  <c r="O358" i="1"/>
  <c r="S358" i="1"/>
  <c r="W358" i="1"/>
  <c r="AA358" i="1"/>
  <c r="AI358" i="1"/>
  <c r="BC358" i="1"/>
  <c r="AN357" i="1" l="1"/>
  <c r="BE356" i="1"/>
  <c r="AV355" i="1"/>
  <c r="AJ357" i="1"/>
  <c r="AK359" i="1"/>
  <c r="AW356" i="1"/>
  <c r="AJ355" i="1"/>
  <c r="R357" i="1"/>
  <c r="R358" i="1"/>
  <c r="AE358" i="1"/>
  <c r="AP359" i="1"/>
  <c r="AF355" i="1"/>
  <c r="AD359" i="1"/>
  <c r="AM356" i="1"/>
  <c r="Z355" i="1"/>
  <c r="AF356" i="1"/>
  <c r="V359" i="1"/>
  <c r="R359" i="1"/>
  <c r="AF359" i="1"/>
  <c r="AV358" i="1"/>
  <c r="AH359" i="1"/>
  <c r="Z359" i="1"/>
  <c r="R355" i="1"/>
  <c r="AQ358" i="1"/>
  <c r="BE359" i="1"/>
  <c r="AY354" i="1"/>
  <c r="W356" i="1"/>
  <c r="AF358" i="1"/>
  <c r="AQ359" i="1"/>
  <c r="AL359" i="1"/>
  <c r="AY356" i="1"/>
  <c r="AY357" i="1"/>
  <c r="AA356" i="1"/>
  <c r="I355" i="1"/>
  <c r="AM358" i="1"/>
  <c r="AS359" i="1"/>
  <c r="AF357" i="1"/>
  <c r="AQ354" i="1"/>
  <c r="K356" i="1"/>
  <c r="AA352" i="1"/>
  <c r="AO356" i="1"/>
  <c r="AO359" i="1"/>
  <c r="AM357" i="1"/>
  <c r="U356" i="1"/>
  <c r="I357" i="1"/>
  <c r="X354" i="1"/>
  <c r="BF359" i="1"/>
  <c r="BF355" i="1"/>
  <c r="H356" i="1"/>
  <c r="H359" i="1"/>
  <c r="AY355" i="1"/>
  <c r="BB359" i="1"/>
  <c r="AX358" i="1"/>
  <c r="AX355" i="1"/>
  <c r="AS355" i="1"/>
  <c r="P355" i="1"/>
  <c r="AS358" i="1"/>
  <c r="AY359" i="1"/>
  <c r="J357" i="1"/>
  <c r="AM354" i="1"/>
  <c r="L354" i="1"/>
  <c r="M359" i="1"/>
  <c r="AA354" i="1"/>
  <c r="L356" i="1"/>
  <c r="AX359" i="1"/>
  <c r="BD357" i="1"/>
  <c r="AH358" i="1"/>
  <c r="AH355" i="1"/>
  <c r="AI357" i="1"/>
  <c r="AO355" i="1"/>
  <c r="I358" i="1"/>
  <c r="AM359" i="1"/>
  <c r="AM355" i="1"/>
  <c r="X358" i="1"/>
  <c r="AC359" i="1"/>
  <c r="P356" i="1"/>
  <c r="P359" i="1"/>
  <c r="N359" i="1"/>
  <c r="L359" i="1"/>
  <c r="J359" i="1"/>
  <c r="I359" i="1"/>
  <c r="W354" i="1"/>
  <c r="AZ355" i="1"/>
  <c r="AY358" i="1"/>
  <c r="AT359" i="1"/>
  <c r="AU358" i="1"/>
  <c r="AZ357" i="1"/>
  <c r="AA357" i="1"/>
  <c r="U355" i="1"/>
  <c r="AI356" i="1"/>
  <c r="AI359" i="1"/>
  <c r="AI355" i="1"/>
  <c r="BA355" i="1"/>
  <c r="Y359" i="1"/>
  <c r="AT358" i="1"/>
  <c r="P357" i="1"/>
  <c r="Y354" i="1"/>
  <c r="AB356" i="1"/>
  <c r="P358" i="1"/>
  <c r="F359" i="1"/>
  <c r="U359" i="1"/>
  <c r="Y355" i="1"/>
  <c r="AD358" i="1"/>
  <c r="BA356" i="1"/>
  <c r="BA354" i="1"/>
  <c r="AR356" i="1"/>
  <c r="AB359" i="1"/>
  <c r="AG358" i="1"/>
  <c r="AR355" i="1"/>
  <c r="AR358" i="1"/>
  <c r="F356" i="1"/>
  <c r="BA359" i="1"/>
  <c r="BF358" i="1"/>
  <c r="AP358" i="1"/>
  <c r="Z358" i="1"/>
  <c r="AB357" i="1"/>
  <c r="L357" i="1"/>
  <c r="AG356" i="1"/>
  <c r="M356" i="1"/>
  <c r="AP355" i="1"/>
  <c r="N355" i="1"/>
  <c r="X355" i="1"/>
  <c r="BD354" i="1"/>
  <c r="BD356" i="1"/>
  <c r="AN356" i="1"/>
  <c r="X356" i="1"/>
  <c r="Q355" i="1"/>
  <c r="AN355" i="1"/>
  <c r="AN354" i="1"/>
  <c r="AR359" i="1"/>
  <c r="X359" i="1"/>
  <c r="U358" i="1"/>
  <c r="AN358" i="1"/>
  <c r="L358" i="1"/>
  <c r="AR357" i="1"/>
  <c r="AW359" i="1"/>
  <c r="AG359" i="1"/>
  <c r="Q359" i="1"/>
  <c r="BB358" i="1"/>
  <c r="AL358" i="1"/>
  <c r="V358" i="1"/>
  <c r="F358" i="1"/>
  <c r="X357" i="1"/>
  <c r="H357" i="1"/>
  <c r="Y356" i="1"/>
  <c r="I356" i="1"/>
  <c r="J355" i="1"/>
  <c r="L355" i="1"/>
  <c r="AK354" i="1"/>
  <c r="AJ356" i="1"/>
  <c r="T356" i="1"/>
  <c r="BE355" i="1"/>
  <c r="AG355" i="1"/>
  <c r="M355" i="1"/>
  <c r="F354" i="1"/>
  <c r="AB355" i="1"/>
  <c r="BD359" i="1"/>
  <c r="AN359" i="1"/>
  <c r="T359" i="1"/>
  <c r="BA358" i="1"/>
  <c r="Q358" i="1"/>
  <c r="T355" i="1"/>
  <c r="I354" i="1"/>
  <c r="AG357" i="1"/>
  <c r="AV354" i="1"/>
  <c r="AT355" i="1"/>
  <c r="AD355" i="1"/>
  <c r="O356" i="1"/>
  <c r="AK355" i="1"/>
  <c r="BB354" i="1"/>
  <c r="AT354" i="1"/>
  <c r="AL354" i="1"/>
  <c r="AD354" i="1"/>
  <c r="V354" i="1"/>
  <c r="AP357" i="1"/>
  <c r="AW354" i="1"/>
  <c r="AC354" i="1"/>
  <c r="AW358" i="1"/>
  <c r="BF357" i="1"/>
  <c r="Z357" i="1"/>
  <c r="BD358" i="1"/>
  <c r="AW357" i="1"/>
  <c r="Y357" i="1"/>
  <c r="AP356" i="1"/>
  <c r="R356" i="1"/>
  <c r="AZ352" i="1"/>
  <c r="AZ358" i="1"/>
  <c r="AJ354" i="1"/>
  <c r="AB354" i="1"/>
  <c r="Q354" i="1"/>
  <c r="AL356" i="1"/>
  <c r="BB356" i="1"/>
  <c r="AE357" i="1"/>
  <c r="O357" i="1"/>
  <c r="AW355" i="1"/>
  <c r="AH357" i="1"/>
  <c r="AC358" i="1"/>
  <c r="M358" i="1"/>
  <c r="AX357" i="1"/>
  <c r="N357" i="1"/>
  <c r="U354" i="1"/>
  <c r="O359" i="1"/>
  <c r="AB358" i="1"/>
  <c r="AO357" i="1"/>
  <c r="U357" i="1"/>
  <c r="BF356" i="1"/>
  <c r="AH356" i="1"/>
  <c r="N356" i="1"/>
  <c r="AZ354" i="1"/>
  <c r="AR354" i="1"/>
  <c r="P354" i="1"/>
  <c r="H352" i="1"/>
  <c r="H358" i="1"/>
  <c r="AU355" i="1"/>
  <c r="V356" i="1"/>
  <c r="AC356" i="1"/>
  <c r="BB355" i="1"/>
  <c r="AL355" i="1"/>
  <c r="V355" i="1"/>
  <c r="AU354" i="1"/>
  <c r="AE354" i="1"/>
  <c r="O354" i="1"/>
  <c r="AD357" i="1"/>
  <c r="AC355" i="1"/>
  <c r="BF354" i="1"/>
  <c r="AX354" i="1"/>
  <c r="AP354" i="1"/>
  <c r="AH354" i="1"/>
  <c r="Z354" i="1"/>
  <c r="R354" i="1"/>
  <c r="J354" i="1"/>
  <c r="V357" i="1"/>
  <c r="AE356" i="1"/>
  <c r="BE354" i="1"/>
  <c r="AO354" i="1"/>
  <c r="M354" i="1"/>
  <c r="BE358" i="1"/>
  <c r="AO358" i="1"/>
  <c r="Y358" i="1"/>
  <c r="AT357" i="1"/>
  <c r="F357" i="1"/>
  <c r="AE359" i="1"/>
  <c r="BE357" i="1"/>
  <c r="AK357" i="1"/>
  <c r="Q357" i="1"/>
  <c r="AX356" i="1"/>
  <c r="AD356" i="1"/>
  <c r="J356" i="1"/>
  <c r="AF354" i="1"/>
  <c r="T352" i="1"/>
  <c r="T358" i="1"/>
  <c r="AG354" i="1"/>
  <c r="O355" i="1"/>
  <c r="AU357" i="1"/>
  <c r="BB357" i="1"/>
  <c r="AK358" i="1"/>
  <c r="AL357" i="1"/>
  <c r="AU356" i="1"/>
  <c r="AU359" i="1"/>
  <c r="BA357" i="1"/>
  <c r="AT356" i="1"/>
  <c r="Z356" i="1"/>
  <c r="AJ352" i="1"/>
  <c r="AJ358" i="1"/>
  <c r="AS352" i="1"/>
  <c r="AS357" i="1"/>
  <c r="AC357" i="1"/>
  <c r="M357" i="1"/>
  <c r="AE355" i="1"/>
</calcChain>
</file>

<file path=xl/sharedStrings.xml><?xml version="1.0" encoding="utf-8"?>
<sst xmlns="http://schemas.openxmlformats.org/spreadsheetml/2006/main" count="780" uniqueCount="712">
  <si>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</si>
  <si>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</si>
  <si>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</si>
  <si>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</si>
  <si>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</si>
  <si>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</si>
  <si>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</si>
  <si>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</si>
  <si>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</si>
  <si>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</si>
  <si>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</si>
  <si>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</si>
  <si>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</si>
  <si>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</si>
  <si>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</si>
  <si>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</si>
  <si>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</si>
  <si>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</si>
  <si>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</si>
  <si>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</si>
  <si>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</si>
  <si>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</si>
  <si>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</si>
  <si>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</si>
  <si>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</si>
  <si>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</si>
  <si>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</si>
  <si>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</si>
  <si>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</si>
  <si>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</si>
  <si>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</si>
  <si>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</si>
  <si>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</si>
  <si>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</si>
  <si>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</si>
  <si>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</si>
  <si>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</si>
  <si>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</si>
  <si>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</si>
  <si>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</si>
  <si>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</si>
  <si>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</si>
  <si>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</si>
  <si>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</si>
  <si>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</si>
  <si>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</si>
  <si>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</si>
  <si>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</si>
  <si>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</si>
  <si>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</si>
  <si>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</si>
  <si>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</si>
  <si>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</si>
  <si>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</si>
  <si>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</si>
  <si>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</si>
  <si>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</si>
  <si>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</si>
  <si>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</si>
  <si>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</si>
  <si>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</si>
  <si>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</si>
  <si>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</si>
  <si>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</si>
  <si>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</si>
  <si>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</si>
  <si>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</si>
  <si>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</si>
  <si>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</si>
  <si>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</si>
  <si>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</si>
  <si>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</si>
  <si>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</si>
  <si>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</si>
  <si>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</si>
  <si>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</si>
  <si>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</si>
  <si>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</si>
  <si>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</si>
  <si>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</si>
  <si>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</si>
  <si>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</si>
  <si>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</si>
  <si>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</si>
  <si>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</si>
  <si>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</si>
  <si>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</si>
  <si>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</si>
  <si>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</si>
  <si>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</si>
  <si>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</si>
  <si>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</si>
  <si>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</si>
  <si>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</si>
  <si>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</si>
  <si>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</si>
  <si>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</si>
  <si>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</si>
  <si>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</si>
  <si>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</si>
  <si>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</si>
  <si>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</si>
  <si>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</si>
  <si>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</si>
  <si>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</si>
  <si>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</si>
  <si>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</si>
  <si>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</si>
  <si>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</si>
  <si>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</si>
  <si>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</si>
  <si>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</si>
  <si>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</si>
  <si>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</si>
  <si>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</si>
  <si>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</si>
  <si>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</si>
  <si>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</si>
  <si>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</si>
  <si>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</si>
  <si>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</si>
  <si>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</si>
  <si>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</si>
  <si>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</si>
  <si>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</si>
  <si>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</si>
  <si>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</si>
  <si>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</si>
  <si>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</si>
  <si>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</si>
  <si>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</si>
  <si>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</si>
  <si>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</si>
  <si>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</si>
  <si>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</si>
  <si>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</si>
  <si>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</si>
  <si>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</si>
  <si>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</si>
  <si>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</si>
  <si>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</si>
  <si>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</si>
  <si>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</si>
  <si>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</si>
  <si>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</si>
  <si>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</si>
  <si>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</si>
  <si>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</si>
  <si>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</si>
  <si>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</si>
  <si>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</si>
  <si>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</si>
  <si>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</si>
  <si>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</si>
  <si>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</si>
  <si>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</si>
  <si>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</si>
  <si>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</si>
  <si>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</si>
  <si>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</si>
  <si>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</si>
  <si>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</si>
  <si>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</si>
  <si>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</si>
  <si>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</si>
  <si>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</si>
  <si>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</si>
  <si>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</si>
  <si>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</si>
  <si>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</si>
  <si>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</si>
  <si>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</si>
  <si>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</si>
  <si>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</si>
  <si>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</si>
  <si>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</si>
  <si>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</si>
  <si>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</si>
  <si>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</si>
  <si>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</si>
  <si>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</si>
  <si>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</si>
  <si>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</si>
  <si>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</si>
  <si>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</si>
  <si>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</si>
  <si>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</si>
  <si>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</si>
  <si>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</si>
  <si>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</si>
  <si>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</si>
  <si>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</si>
  <si>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</si>
  <si>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</si>
  <si>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</si>
  <si>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</si>
  <si>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</si>
  <si>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</si>
  <si>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</si>
  <si>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</si>
  <si>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</si>
  <si>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</si>
  <si>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</si>
  <si>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</si>
  <si>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</si>
  <si>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</si>
  <si>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</si>
  <si>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</si>
  <si>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</si>
  <si>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</si>
  <si>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</si>
  <si>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</si>
  <si>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</si>
  <si>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</si>
  <si>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</si>
  <si>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</si>
  <si>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</si>
  <si>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</si>
  <si>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</si>
  <si>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</si>
  <si>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</si>
  <si>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</si>
  <si>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</si>
  <si>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</si>
  <si>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</si>
  <si>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</si>
  <si>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</si>
  <si>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</si>
  <si>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</si>
  <si>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</si>
  <si>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</si>
  <si>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</si>
  <si>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</si>
  <si>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</si>
  <si>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</si>
  <si>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</si>
  <si>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</si>
  <si>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</si>
  <si>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</si>
  <si>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</si>
  <si>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</si>
  <si>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</si>
  <si>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</si>
  <si>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</si>
  <si>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</si>
  <si>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</si>
  <si>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</si>
  <si>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</si>
  <si>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</si>
  <si>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</si>
  <si>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</si>
  <si>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</si>
  <si>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</si>
  <si>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</si>
  <si>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</si>
  <si>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</si>
  <si>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</si>
  <si>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</si>
  <si>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</si>
  <si>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</si>
  <si>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</si>
  <si>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</si>
  <si>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</si>
  <si>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</si>
  <si>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</si>
  <si>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</si>
  <si>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</si>
  <si>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</si>
  <si>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</si>
  <si>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</si>
  <si>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</si>
  <si>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</si>
  <si>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</si>
  <si>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</si>
  <si>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</si>
  <si>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</si>
  <si>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</si>
  <si>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</si>
  <si>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</si>
  <si>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</si>
  <si>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</si>
  <si>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</si>
  <si>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</si>
  <si>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</si>
  <si>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</si>
  <si>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</si>
  <si>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</si>
  <si>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</si>
  <si>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</si>
  <si>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</si>
  <si>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</si>
  <si>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</si>
  <si>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</si>
  <si>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</si>
  <si>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</si>
  <si>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</si>
  <si>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</si>
  <si>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</si>
  <si>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</si>
  <si>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</si>
  <si>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</si>
  <si>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</si>
  <si>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</si>
  <si>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</si>
  <si>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</si>
  <si>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</si>
  <si>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</si>
  <si>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</si>
  <si>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</si>
  <si>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</si>
  <si>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</si>
  <si>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</si>
  <si>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</si>
  <si>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</si>
  <si>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</si>
  <si>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</si>
  <si>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</si>
  <si>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</si>
  <si>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</si>
  <si>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</si>
  <si>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</si>
  <si>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</si>
  <si>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</si>
  <si>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</si>
  <si>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</si>
  <si>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</si>
  <si>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</si>
  <si>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</si>
  <si>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</si>
  <si>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</si>
  <si>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</si>
  <si>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</si>
  <si>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</si>
  <si>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</si>
  <si>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</si>
  <si>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</si>
  <si>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</si>
  <si>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</si>
  <si>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</si>
  <si>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</si>
  <si>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</si>
  <si>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</si>
  <si>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</si>
  <si>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</si>
  <si>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</si>
  <si>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</si>
  <si>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</si>
  <si>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</si>
  <si>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</si>
  <si>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</si>
  <si>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</si>
  <si>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</si>
  <si>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</si>
  <si>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</si>
  <si>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</si>
  <si>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</si>
  <si>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</si>
  <si>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</si>
  <si>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</si>
  <si>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</si>
  <si>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</si>
  <si>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</si>
  <si>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</si>
  <si>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</si>
  <si>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</si>
  <si>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</si>
  <si>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</si>
  <si>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</si>
  <si>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</si>
  <si>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</si>
  <si>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</si>
  <si>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</si>
  <si>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</si>
  <si>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</si>
  <si>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</si>
  <si>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</si>
  <si>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</si>
  <si>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</si>
  <si>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</si>
  <si>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</si>
  <si>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</si>
  <si>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</si>
  <si>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</si>
  <si>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</si>
  <si>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</si>
  <si>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</si>
  <si>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</si>
  <si>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</si>
  <si>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</si>
  <si>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</si>
  <si>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</si>
  <si>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</si>
  <si>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</si>
  <si>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</si>
  <si>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</si>
  <si>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</si>
  <si>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</si>
  <si>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</si>
  <si>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</si>
  <si>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</si>
  <si>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</si>
  <si>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</si>
  <si>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</si>
  <si>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</si>
  <si>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</si>
  <si>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</si>
  <si>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</si>
  <si>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</si>
  <si>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</si>
  <si>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</si>
  <si>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</si>
  <si>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</si>
  <si>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</si>
  <si>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</si>
  <si>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</si>
  <si>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</si>
  <si>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</si>
  <si>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</si>
  <si>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</si>
  <si>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</si>
  <si>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</si>
  <si>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</si>
  <si>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</si>
  <si>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</si>
  <si>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</si>
  <si>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</si>
  <si>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</si>
  <si>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</si>
  <si>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</si>
  <si>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</si>
  <si>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</si>
  <si>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</si>
  <si>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</si>
  <si>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</si>
  <si>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</si>
  <si>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</si>
  <si>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</si>
  <si>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</si>
  <si>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</si>
  <si>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</si>
  <si>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</si>
  <si>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</si>
  <si>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</si>
  <si>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</si>
  <si>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</si>
  <si>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</si>
  <si>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</si>
  <si>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</si>
  <si>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</si>
  <si>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</si>
  <si>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</si>
  <si>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</si>
  <si>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</si>
  <si>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</si>
  <si>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</si>
  <si>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</si>
  <si>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</si>
  <si>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</si>
  <si>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</si>
  <si>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</si>
  <si>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</si>
  <si>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</si>
  <si>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</si>
  <si>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</si>
  <si>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</si>
  <si>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</si>
  <si>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</si>
  <si>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</si>
  <si>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</si>
  <si>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</si>
  <si>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</si>
  <si>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</si>
  <si>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</si>
  <si>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</si>
  <si>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</si>
  <si>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</si>
  <si>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</si>
  <si>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</si>
  <si>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</si>
  <si>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</si>
  <si>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</si>
  <si>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</si>
  <si>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</si>
  <si>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</si>
  <si>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</si>
  <si>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</si>
  <si>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</si>
  <si>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</si>
  <si>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</si>
  <si>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</si>
  <si>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</si>
  <si>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</si>
  <si>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</si>
  <si>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</si>
  <si>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</si>
  <si>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</si>
  <si>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</si>
  <si>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</si>
  <si>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</si>
  <si>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</si>
  <si>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</si>
  <si>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</si>
  <si>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</si>
  <si>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</si>
  <si>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</si>
  <si>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</si>
  <si>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</si>
  <si>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</si>
  <si>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</si>
  <si>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</si>
  <si>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</si>
  <si>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</si>
  <si>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</si>
  <si>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</si>
  <si>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</si>
  <si>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</si>
  <si>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</si>
  <si>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</si>
  <si>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</si>
  <si>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</si>
  <si>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</si>
  <si>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</si>
  <si>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</si>
  <si>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</si>
  <si>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</si>
  <si>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</si>
  <si>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</si>
  <si>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</si>
  <si>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</si>
  <si>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</si>
  <si>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</si>
  <si>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</si>
  <si>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</si>
  <si>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</si>
  <si>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</si>
  <si>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</si>
  <si>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</si>
  <si>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</si>
  <si>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</si>
  <si>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</si>
  <si>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</si>
  <si>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</si>
  <si>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</si>
  <si>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</si>
  <si>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</si>
  <si>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</si>
  <si>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</si>
  <si>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</si>
  <si>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</si>
  <si>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</si>
  <si>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</si>
  <si>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</si>
  <si>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</si>
  <si>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</si>
  <si>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</si>
  <si>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</si>
  <si>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</si>
  <si>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</si>
  <si>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</si>
  <si>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</si>
  <si>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</si>
  <si>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</si>
  <si>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</si>
  <si>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</si>
  <si>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</si>
  <si>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</si>
  <si>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</si>
  <si>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</si>
  <si>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</si>
  <si>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</si>
  <si>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</si>
  <si>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</si>
  <si>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</si>
  <si>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</si>
  <si>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</si>
  <si>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</si>
  <si>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</si>
  <si>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</si>
  <si>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</si>
  <si>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</si>
  <si>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</si>
  <si>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</si>
  <si>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</si>
  <si>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</si>
  <si>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</si>
  <si>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</si>
  <si>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</si>
  <si>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</si>
  <si>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</si>
  <si>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</si>
  <si>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</si>
  <si>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</si>
  <si>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</si>
  <si>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</si>
  <si>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</si>
  <si>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</si>
  <si>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</si>
  <si>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</si>
  <si>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</si>
  <si>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</si>
  <si>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</si>
  <si>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</si>
  <si>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</si>
  <si>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</si>
  <si>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</si>
  <si>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</si>
  <si>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</si>
  <si>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</si>
  <si>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</si>
  <si>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</si>
  <si>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</si>
  <si>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</si>
  <si>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</si>
  <si>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</si>
  <si>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</si>
  <si>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</si>
  <si>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</si>
  <si>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</si>
  <si>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</si>
  <si>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</si>
  <si>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</si>
  <si>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עד 25% מניות</t>
  </si>
  <si>
    <t>הפניקס השתלמות שקלי טווח קצר</t>
  </si>
  <si>
    <t>הפניקס גמל עד 15% מניות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</si>
  <si>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</si>
  <si>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</si>
  <si>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</si>
  <si>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</si>
  <si>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</si>
  <si>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</si>
  <si>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</si>
  <si>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</si>
  <si>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</si>
  <si>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פאסיבי לבמי 50 ומטה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</si>
  <si>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</si>
  <si>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</si>
  <si>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</si>
  <si>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</si>
  <si>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</si>
  <si>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</si>
  <si>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</si>
  <si>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</si>
  <si>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</si>
  <si>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</si>
  <si>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</si>
  <si>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</si>
  <si>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</si>
  <si>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</si>
  <si>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</si>
  <si>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</si>
  <si>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</si>
  <si>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</si>
  <si>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פאסיבי לבני 60 ומעלה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</si>
  <si>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</si>
  <si>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</si>
  <si>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</si>
  <si>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</si>
  <si>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גמל מסלול עוקב מדדים גמיש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</si>
  <si>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</si>
  <si>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</si>
  <si>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</si>
  <si>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</si>
  <si>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</si>
  <si>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</si>
  <si>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</si>
  <si>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</si>
  <si>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גמל חו"ל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</si>
  <si>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</si>
  <si>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</si>
  <si>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</si>
  <si>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</si>
  <si>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</si>
  <si>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</si>
  <si>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</si>
  <si>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513026484-00000000000399-1190-000</t>
  </si>
  <si>
    <t>513026484-00000000000399-0715-000</t>
  </si>
  <si>
    <t>513026484-00000000000102-0211-000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</si>
  <si>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</si>
  <si>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</si>
  <si>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</si>
  <si>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</si>
  <si>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</si>
  <si>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</si>
  <si>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</si>
  <si>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</si>
  <si>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</si>
  <si>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</si>
  <si>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</si>
  <si>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</si>
  <si>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</si>
  <si>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</si>
  <si>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</si>
  <si>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</si>
  <si>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</si>
  <si>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</si>
  <si>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</si>
  <si>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</si>
  <si>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</si>
  <si>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</si>
  <si>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</si>
  <si>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</si>
  <si>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</si>
  <si>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</si>
  <si>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</si>
  <si>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</si>
  <si>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513026484-00000000000102-8624-000</t>
  </si>
  <si>
    <t>513026484-00000000000102-8626-000</t>
  </si>
  <si>
    <t>תחילת מידע טבלה</t>
  </si>
  <si>
    <t>תחילת מידע טבלה צד ימין</t>
  </si>
  <si>
    <t>סוף מידע טבלה צד שמאל</t>
  </si>
  <si>
    <t>סוף מידע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</si>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</sst>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2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  <font>
      <sz val="13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2" borderId="0" xfId="0" applyFont="1" applyFill="1" applyAlignment="1">
      <alignment horizontal="right"/>
    </xf>
    <xf numFmtId="0" fontId="11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</xdr:row>
      <xdr:rowOff>0</xdr:rowOff>
    </xdr:from>
    <xdr:to>
      <xdr:col>4</xdr:col>
      <xdr:colOff>257175</xdr:colOff>
      <xdr:row>4</xdr:row>
      <xdr:rowOff>31623</xdr:rowOff>
    </xdr:to>
    <xdr:sp macro="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517940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60</xdr:col>
      <xdr:colOff>0</xdr:colOff>
      <xdr:row>0</xdr:row>
      <xdr:rowOff>0</xdr:rowOff>
    </xdr:from>
    <xdr:to>
      <xdr:col>60</xdr:col>
      <xdr:colOff>419100</xdr:colOff>
      <xdr:row>2</xdr:row>
      <xdr:rowOff>4089</xdr:rowOff>
    </xdr:to>
    <xdr:pic>
      <xdr:nvPicPr>
        <xdr:cNvPr id="3" name="Picture 2" descr="קוֹבֶץ זֶה הוּנְגַּש עַל יְדֵי חברת אֵיְי טוּ זִי - סֶמֶל  הַנגישוּת&#10;">
          <a:extLst>
            <a:ext uri="{FF2B5EF4-FFF2-40B4-BE49-F238E27FC236}">
              <a16:creationId xmlns:a16="http://schemas.microsoft.com/office/drawing/2014/main" id="{9BFC8DDC-260D-30F4-44EB-CCD4E6999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7265300" y="0"/>
          <a:ext cx="419100" cy="423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61"/>
  <sheetViews>
    <sheetView rightToLeft="1" tabSelected="1" topLeftCell="AY1" workbookViewId="0">
      <selection activeCell="BI1" sqref="BI1"/>
    </sheetView>
  </sheetViews>
  <sheetFormatPr defaultColWidth="8.875" defaultRowHeight="14.25"/>
  <sheetData>
    <row r="1" spans="1:61" ht="16.5">
      <c r="B1" s="22" t="s">
        <v>707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I1" s="21"/>
    </row>
    <row r="2" spans="1:61" ht="15.75">
      <c r="A2" s="23" t="s">
        <v>708</v>
      </c>
      <c r="B2" s="20"/>
      <c r="C2" s="1"/>
      <c r="D2" s="1"/>
      <c r="E2" s="1"/>
      <c r="F2">
        <v>6</v>
      </c>
      <c r="G2">
        <v>10</v>
      </c>
      <c r="H2">
        <v>30</v>
      </c>
      <c r="I2">
        <v>50</v>
      </c>
      <c r="J2">
        <v>93</v>
      </c>
      <c r="K2">
        <v>99</v>
      </c>
      <c r="L2">
        <v>100</v>
      </c>
      <c r="M2">
        <v>101</v>
      </c>
      <c r="N2">
        <v>102</v>
      </c>
      <c r="O2">
        <v>121</v>
      </c>
      <c r="P2">
        <v>122</v>
      </c>
      <c r="Q2">
        <v>142</v>
      </c>
      <c r="R2">
        <v>164</v>
      </c>
      <c r="S2">
        <v>167</v>
      </c>
      <c r="T2">
        <v>169</v>
      </c>
      <c r="U2">
        <v>425</v>
      </c>
      <c r="V2">
        <v>426</v>
      </c>
      <c r="W2">
        <v>499</v>
      </c>
      <c r="X2">
        <v>519</v>
      </c>
      <c r="Y2">
        <v>525</v>
      </c>
      <c r="Z2">
        <v>526</v>
      </c>
      <c r="AA2">
        <v>570</v>
      </c>
      <c r="AB2">
        <v>571</v>
      </c>
      <c r="AC2">
        <v>572</v>
      </c>
      <c r="AD2">
        <v>573</v>
      </c>
      <c r="AE2">
        <v>574</v>
      </c>
      <c r="AF2">
        <v>628</v>
      </c>
      <c r="AG2">
        <v>629</v>
      </c>
      <c r="AH2">
        <v>631</v>
      </c>
      <c r="AI2">
        <v>632</v>
      </c>
      <c r="AJ2">
        <v>658</v>
      </c>
      <c r="AK2">
        <v>660</v>
      </c>
      <c r="AL2">
        <v>662</v>
      </c>
      <c r="AM2">
        <v>664</v>
      </c>
      <c r="AN2">
        <v>666</v>
      </c>
      <c r="AO2">
        <v>726</v>
      </c>
      <c r="AP2">
        <v>737</v>
      </c>
      <c r="AQ2">
        <v>805</v>
      </c>
      <c r="AR2">
        <v>807</v>
      </c>
      <c r="AS2">
        <v>827</v>
      </c>
      <c r="AT2">
        <v>575</v>
      </c>
      <c r="AU2">
        <v>576</v>
      </c>
      <c r="AV2">
        <v>359</v>
      </c>
      <c r="AW2">
        <v>360</v>
      </c>
      <c r="AX2" s="8">
        <v>828</v>
      </c>
      <c r="AY2" s="8">
        <v>844</v>
      </c>
      <c r="AZ2" s="8">
        <v>839</v>
      </c>
      <c r="BA2" s="8">
        <v>857</v>
      </c>
      <c r="BB2" s="8">
        <v>851</v>
      </c>
      <c r="BC2" s="8">
        <v>849</v>
      </c>
      <c r="BD2" s="8">
        <v>846</v>
      </c>
      <c r="BE2" s="8">
        <v>834</v>
      </c>
      <c r="BF2" s="8">
        <v>488</v>
      </c>
      <c r="BG2" s="22" t="s">
        <v>709</v>
      </c>
    </row>
    <row r="3" spans="1:61">
      <c r="A3" s="23"/>
      <c r="F3" s="9">
        <v>401</v>
      </c>
      <c r="G3" s="9">
        <v>242</v>
      </c>
      <c r="H3" s="9">
        <v>385</v>
      </c>
      <c r="I3" s="9">
        <v>528</v>
      </c>
      <c r="J3" s="9">
        <v>384</v>
      </c>
      <c r="K3" s="9">
        <v>716</v>
      </c>
      <c r="L3" s="9">
        <v>686</v>
      </c>
      <c r="M3" s="9">
        <v>1190</v>
      </c>
      <c r="N3" s="9">
        <v>715</v>
      </c>
      <c r="O3" s="9">
        <v>211</v>
      </c>
      <c r="P3" s="9">
        <v>9916</v>
      </c>
      <c r="Q3" s="9">
        <v>1100</v>
      </c>
      <c r="R3" s="9">
        <v>801</v>
      </c>
      <c r="S3" s="9">
        <v>804</v>
      </c>
      <c r="T3" s="9">
        <v>806</v>
      </c>
      <c r="U3" s="9">
        <v>8765</v>
      </c>
      <c r="V3" s="9">
        <v>8766</v>
      </c>
      <c r="W3" s="9">
        <v>9418</v>
      </c>
      <c r="X3" s="9">
        <v>9475</v>
      </c>
      <c r="Y3" s="9">
        <v>9905</v>
      </c>
      <c r="Z3" s="9">
        <v>9906</v>
      </c>
      <c r="AA3" s="9">
        <v>7905</v>
      </c>
      <c r="AB3" s="9">
        <v>7906</v>
      </c>
      <c r="AC3" s="9">
        <v>7907</v>
      </c>
      <c r="AD3" s="9">
        <v>7908</v>
      </c>
      <c r="AE3" s="9">
        <v>7909</v>
      </c>
      <c r="AF3" s="9">
        <v>11310</v>
      </c>
      <c r="AG3" s="9">
        <v>11311</v>
      </c>
      <c r="AH3" s="9">
        <v>11312</v>
      </c>
      <c r="AI3" s="9">
        <v>11335</v>
      </c>
      <c r="AJ3" s="9">
        <v>9529</v>
      </c>
      <c r="AK3" s="9">
        <v>961</v>
      </c>
      <c r="AL3" s="9">
        <v>9528</v>
      </c>
      <c r="AM3" s="9">
        <v>964</v>
      </c>
      <c r="AN3" s="9">
        <v>968</v>
      </c>
      <c r="AO3" s="9">
        <v>8629</v>
      </c>
      <c r="AP3" s="9">
        <v>13264</v>
      </c>
      <c r="AQ3" s="9">
        <v>9917</v>
      </c>
      <c r="AR3" s="9">
        <v>8624</v>
      </c>
      <c r="AS3" s="9">
        <v>13263</v>
      </c>
      <c r="AT3" s="9">
        <v>13209</v>
      </c>
      <c r="AU3" s="9">
        <v>13250</v>
      </c>
      <c r="AV3" s="9">
        <v>14281</v>
      </c>
      <c r="AW3" s="9">
        <v>14282</v>
      </c>
      <c r="AX3" s="10">
        <v>2049</v>
      </c>
      <c r="AY3" s="11">
        <v>7975</v>
      </c>
      <c r="AZ3" s="11">
        <v>8004</v>
      </c>
      <c r="BA3" s="10">
        <v>1008</v>
      </c>
      <c r="BB3" s="10">
        <v>9484</v>
      </c>
      <c r="BC3" s="10">
        <v>682</v>
      </c>
      <c r="BD3" s="10">
        <v>11352</v>
      </c>
      <c r="BE3" s="10">
        <v>2058</v>
      </c>
      <c r="BF3" s="10">
        <v>12088</v>
      </c>
      <c r="BG3" s="22"/>
    </row>
    <row r="4" spans="1:61" ht="15.75">
      <c r="A4" s="23"/>
      <c r="B4" s="2">
        <v>45292</v>
      </c>
      <c r="C4" s="1"/>
      <c r="D4" s="1"/>
      <c r="E4" s="1"/>
      <c r="F4" t="s">
        <v>614</v>
      </c>
      <c r="G4" t="s">
        <v>615</v>
      </c>
      <c r="H4" t="s">
        <v>616</v>
      </c>
      <c r="I4" t="s">
        <v>617</v>
      </c>
      <c r="J4" t="s">
        <v>618</v>
      </c>
      <c r="K4" t="s">
        <v>619</v>
      </c>
      <c r="L4" t="s">
        <v>620</v>
      </c>
      <c r="M4" t="s">
        <v>621</v>
      </c>
      <c r="N4" t="s">
        <v>622</v>
      </c>
      <c r="O4" t="s">
        <v>623</v>
      </c>
      <c r="P4" t="s">
        <v>624</v>
      </c>
      <c r="Q4" t="s">
        <v>625</v>
      </c>
      <c r="R4" t="s">
        <v>626</v>
      </c>
      <c r="S4" t="s">
        <v>627</v>
      </c>
      <c r="T4" t="s">
        <v>628</v>
      </c>
      <c r="U4" t="s">
        <v>629</v>
      </c>
      <c r="V4" t="s">
        <v>630</v>
      </c>
      <c r="W4" t="s">
        <v>631</v>
      </c>
      <c r="X4" t="s">
        <v>632</v>
      </c>
      <c r="Y4" t="s">
        <v>633</v>
      </c>
      <c r="Z4" t="s">
        <v>634</v>
      </c>
      <c r="AA4" t="s">
        <v>635</v>
      </c>
      <c r="AB4" t="s">
        <v>636</v>
      </c>
      <c r="AC4" t="s">
        <v>637</v>
      </c>
      <c r="AD4" t="s">
        <v>638</v>
      </c>
      <c r="AE4" t="s">
        <v>639</v>
      </c>
      <c r="AF4" t="s">
        <v>640</v>
      </c>
      <c r="AG4" t="s">
        <v>641</v>
      </c>
      <c r="AH4" t="s">
        <v>642</v>
      </c>
      <c r="AI4" t="s">
        <v>643</v>
      </c>
      <c r="AJ4" t="s">
        <v>644</v>
      </c>
      <c r="AK4" t="s">
        <v>645</v>
      </c>
      <c r="AL4" t="s">
        <v>646</v>
      </c>
      <c r="AM4" t="s">
        <v>647</v>
      </c>
      <c r="AN4" t="s">
        <v>648</v>
      </c>
      <c r="AO4" t="s">
        <v>649</v>
      </c>
      <c r="AP4" t="s">
        <v>650</v>
      </c>
      <c r="AQ4" t="s">
        <v>651</v>
      </c>
      <c r="AR4" t="s">
        <v>652</v>
      </c>
      <c r="AS4" t="s">
        <v>653</v>
      </c>
      <c r="AT4" t="s">
        <v>654</v>
      </c>
      <c r="AU4" t="s">
        <v>655</v>
      </c>
      <c r="AV4" t="s">
        <v>656</v>
      </c>
      <c r="AW4" t="s">
        <v>657</v>
      </c>
      <c r="AX4" s="12" t="s">
        <v>658</v>
      </c>
      <c r="AY4" s="13" t="s">
        <v>659</v>
      </c>
      <c r="AZ4" s="12" t="s">
        <v>660</v>
      </c>
      <c r="BA4" s="12" t="s">
        <v>661</v>
      </c>
      <c r="BB4" s="12" t="s">
        <v>662</v>
      </c>
      <c r="BC4" s="12" t="s">
        <v>663</v>
      </c>
      <c r="BD4" s="12" t="s">
        <v>664</v>
      </c>
      <c r="BE4" s="12" t="s">
        <v>665</v>
      </c>
      <c r="BF4" s="12" t="s">
        <v>666</v>
      </c>
      <c r="BG4" s="22"/>
    </row>
    <row r="5" spans="1:61" ht="15.75">
      <c r="A5" s="23"/>
      <c r="B5" s="3"/>
      <c r="C5" s="4"/>
      <c r="D5" s="4"/>
      <c r="E5" s="5" t="s">
        <v>0</v>
      </c>
      <c r="F5" s="14" t="s">
        <v>667</v>
      </c>
      <c r="G5" s="14" t="s">
        <v>668</v>
      </c>
      <c r="H5" s="14" t="s">
        <v>669</v>
      </c>
      <c r="I5" s="14" t="s">
        <v>670</v>
      </c>
      <c r="J5" s="14" t="s">
        <v>671</v>
      </c>
      <c r="K5" s="14" t="s">
        <v>672</v>
      </c>
      <c r="L5" s="14" t="s">
        <v>673</v>
      </c>
      <c r="M5" s="14" t="s">
        <v>674</v>
      </c>
      <c r="N5" s="14" t="s">
        <v>675</v>
      </c>
      <c r="O5" s="14" t="s">
        <v>676</v>
      </c>
      <c r="P5" s="14" t="s">
        <v>677</v>
      </c>
      <c r="Q5" s="14" t="s">
        <v>678</v>
      </c>
      <c r="R5" s="14" t="s">
        <v>679</v>
      </c>
      <c r="S5" s="14" t="s">
        <v>680</v>
      </c>
      <c r="T5" s="14" t="s">
        <v>681</v>
      </c>
      <c r="U5" s="14" t="s">
        <v>682</v>
      </c>
      <c r="V5" s="14" t="s">
        <v>683</v>
      </c>
      <c r="W5" s="14" t="s">
        <v>684</v>
      </c>
      <c r="X5" s="14" t="s">
        <v>685</v>
      </c>
      <c r="Y5" s="14" t="s">
        <v>686</v>
      </c>
      <c r="Z5" s="14" t="s">
        <v>687</v>
      </c>
      <c r="AA5" s="14" t="s">
        <v>688</v>
      </c>
      <c r="AB5" s="14" t="s">
        <v>689</v>
      </c>
      <c r="AC5" s="14" t="s">
        <v>690</v>
      </c>
      <c r="AD5" s="14" t="s">
        <v>691</v>
      </c>
      <c r="AE5" s="14" t="s">
        <v>692</v>
      </c>
      <c r="AF5" s="14" t="s">
        <v>693</v>
      </c>
      <c r="AG5" s="14" t="s">
        <v>694</v>
      </c>
      <c r="AH5" s="14" t="s">
        <v>695</v>
      </c>
      <c r="AI5" s="14" t="s">
        <v>696</v>
      </c>
      <c r="AJ5" s="14" t="s">
        <v>697</v>
      </c>
      <c r="AK5" s="14" t="s">
        <v>698</v>
      </c>
      <c r="AL5" s="14" t="s">
        <v>699</v>
      </c>
      <c r="AM5" s="14" t="s">
        <v>700</v>
      </c>
      <c r="AN5" s="14" t="s">
        <v>701</v>
      </c>
      <c r="AO5" s="14" t="s">
        <v>702</v>
      </c>
      <c r="AP5" s="14" t="s">
        <v>703</v>
      </c>
      <c r="AQ5" s="14" t="s">
        <v>704</v>
      </c>
      <c r="AR5" s="14" t="s">
        <v>705</v>
      </c>
      <c r="AS5" s="14" t="s">
        <v>706</v>
      </c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22"/>
    </row>
    <row r="6" spans="1:61" ht="15.75">
      <c r="A6" s="23"/>
      <c r="B6" s="4" t="s">
        <v>1</v>
      </c>
      <c r="C6" s="4" t="s">
        <v>2</v>
      </c>
      <c r="D6" s="6">
        <v>1</v>
      </c>
      <c r="E6" s="6">
        <v>1</v>
      </c>
      <c r="F6" s="6">
        <v>126222.96</v>
      </c>
      <c r="G6" s="6">
        <v>25752.807000000001</v>
      </c>
      <c r="H6" s="6">
        <v>21407.236000000001</v>
      </c>
      <c r="I6" s="6">
        <v>95.152000000000001</v>
      </c>
      <c r="J6" s="6">
        <v>3216.8290000000002</v>
      </c>
      <c r="K6" s="6">
        <v>14220.332</v>
      </c>
      <c r="L6" s="6">
        <v>119031.049</v>
      </c>
      <c r="M6" s="6">
        <v>19899.793000000001</v>
      </c>
      <c r="N6" s="6">
        <v>3286.502</v>
      </c>
      <c r="O6" s="6">
        <v>46731.512999999999</v>
      </c>
      <c r="P6" s="6">
        <v>249239.24100000001</v>
      </c>
      <c r="Q6" s="6">
        <v>48788.04</v>
      </c>
      <c r="R6" s="6">
        <v>3.024</v>
      </c>
      <c r="S6" s="6">
        <v>507.08100000000002</v>
      </c>
      <c r="T6" s="6">
        <v>103.85299999999999</v>
      </c>
      <c r="U6" s="6">
        <v>594.851</v>
      </c>
      <c r="V6" s="6">
        <v>253.99700000000001</v>
      </c>
      <c r="W6" s="6">
        <v>6841.9059999999999</v>
      </c>
      <c r="X6" s="6">
        <v>3.0150000000000001</v>
      </c>
      <c r="Y6" s="6">
        <v>8507.5110000000004</v>
      </c>
      <c r="Z6" s="6">
        <v>2510.3490000000002</v>
      </c>
      <c r="AA6" s="6">
        <v>1611.9459999999999</v>
      </c>
      <c r="AB6" s="6">
        <v>5516.3519999999999</v>
      </c>
      <c r="AC6" s="6">
        <v>35589.343000000001</v>
      </c>
      <c r="AD6" s="6">
        <v>46968.322</v>
      </c>
      <c r="AE6" s="6">
        <v>2251.2849999999999</v>
      </c>
      <c r="AF6" s="6">
        <v>16337.647000000001</v>
      </c>
      <c r="AG6" s="6">
        <v>17766.031999999999</v>
      </c>
      <c r="AH6" s="6">
        <v>4284.84</v>
      </c>
      <c r="AI6" s="6">
        <v>838.62300000000005</v>
      </c>
      <c r="AJ6" s="6">
        <v>127440.178</v>
      </c>
      <c r="AK6" s="6">
        <v>39054.048999999999</v>
      </c>
      <c r="AL6" s="6">
        <v>3359.8609999999999</v>
      </c>
      <c r="AM6" s="6">
        <v>369382.58100000001</v>
      </c>
      <c r="AN6" s="6">
        <v>75358.259000000005</v>
      </c>
      <c r="AO6" s="6">
        <v>13226.521000000001</v>
      </c>
      <c r="AP6" s="6">
        <v>153408.20000000001</v>
      </c>
      <c r="AQ6" s="6">
        <v>19891.032999999999</v>
      </c>
      <c r="AR6" s="6">
        <v>9355.6299999999992</v>
      </c>
      <c r="AS6" s="6">
        <v>95884.445000000007</v>
      </c>
      <c r="AT6" s="6">
        <v>511.28699999999998</v>
      </c>
      <c r="AU6" s="6">
        <v>48357.491999999998</v>
      </c>
      <c r="AV6" s="6">
        <v>287.90199999999999</v>
      </c>
      <c r="AW6" s="6">
        <v>834.79200000000003</v>
      </c>
      <c r="AX6" s="6">
        <v>1911.4929999999999</v>
      </c>
      <c r="AY6" s="6">
        <v>11844.169</v>
      </c>
      <c r="AZ6" s="6">
        <v>125.54900000000001</v>
      </c>
      <c r="BA6" s="6">
        <v>118.849</v>
      </c>
      <c r="BB6" s="6">
        <v>0</v>
      </c>
      <c r="BC6" s="6">
        <v>12859.592000000001</v>
      </c>
      <c r="BD6" s="6">
        <v>735.39499999999998</v>
      </c>
      <c r="BE6" s="6">
        <v>3364.0160000000001</v>
      </c>
      <c r="BF6" s="6">
        <v>12475.444</v>
      </c>
      <c r="BG6" s="22"/>
    </row>
    <row r="7" spans="1:61" ht="15.75">
      <c r="A7" s="23"/>
      <c r="B7" s="4" t="s">
        <v>3</v>
      </c>
      <c r="C7" s="4" t="s">
        <v>4</v>
      </c>
      <c r="D7" s="6">
        <v>1</v>
      </c>
      <c r="E7" s="6">
        <v>1</v>
      </c>
      <c r="F7" s="6">
        <v>68538.654999999999</v>
      </c>
      <c r="G7" s="6">
        <v>15136.300999999999</v>
      </c>
      <c r="H7" s="6">
        <v>14555.251</v>
      </c>
      <c r="I7" s="6">
        <v>3400.2710000000002</v>
      </c>
      <c r="J7" s="6">
        <v>4204.5519999999997</v>
      </c>
      <c r="K7" s="6">
        <v>9028.7729999999992</v>
      </c>
      <c r="L7" s="6">
        <v>51365.557999999997</v>
      </c>
      <c r="M7" s="6">
        <v>12936.601000000001</v>
      </c>
      <c r="N7" s="6">
        <v>0</v>
      </c>
      <c r="O7" s="6">
        <v>30918.731</v>
      </c>
      <c r="P7" s="6">
        <v>110046.704</v>
      </c>
      <c r="Q7" s="6">
        <v>26322.771000000001</v>
      </c>
      <c r="R7" s="6">
        <v>0</v>
      </c>
      <c r="S7" s="6">
        <v>221.303</v>
      </c>
      <c r="T7" s="6">
        <v>604.375</v>
      </c>
      <c r="U7" s="6">
        <v>230.41900000000001</v>
      </c>
      <c r="V7" s="6">
        <v>255.68</v>
      </c>
      <c r="W7" s="6">
        <v>3327.9839999999999</v>
      </c>
      <c r="X7" s="6">
        <v>0</v>
      </c>
      <c r="Y7" s="6">
        <v>2649.578</v>
      </c>
      <c r="Z7" s="6">
        <v>0</v>
      </c>
      <c r="AA7" s="6">
        <v>1072.4739999999999</v>
      </c>
      <c r="AB7" s="6">
        <v>3103.5810000000001</v>
      </c>
      <c r="AC7" s="6">
        <v>201.19499999999999</v>
      </c>
      <c r="AD7" s="6">
        <v>21261.357</v>
      </c>
      <c r="AE7" s="6">
        <v>4416.5290000000005</v>
      </c>
      <c r="AF7" s="6">
        <v>10886.958000000001</v>
      </c>
      <c r="AG7" s="6">
        <v>6041.7920000000004</v>
      </c>
      <c r="AH7" s="6">
        <v>2156.9589999999998</v>
      </c>
      <c r="AI7" s="6">
        <v>935.548</v>
      </c>
      <c r="AJ7" s="6">
        <v>52112.870999999999</v>
      </c>
      <c r="AK7" s="6">
        <v>12715.045</v>
      </c>
      <c r="AL7" s="6">
        <v>3857.7579999999998</v>
      </c>
      <c r="AM7" s="6">
        <v>147533.644</v>
      </c>
      <c r="AN7" s="6">
        <v>25213.755000000001</v>
      </c>
      <c r="AO7" s="6">
        <v>40622.230000000003</v>
      </c>
      <c r="AP7" s="6">
        <v>218104.29399999999</v>
      </c>
      <c r="AQ7" s="6">
        <v>6759.69</v>
      </c>
      <c r="AR7" s="6">
        <v>3203.5149999999999</v>
      </c>
      <c r="AS7" s="6">
        <v>134369.60999999999</v>
      </c>
      <c r="AT7" s="6">
        <v>0</v>
      </c>
      <c r="AU7" s="6">
        <v>67586.680999999997</v>
      </c>
      <c r="AV7" s="6">
        <v>110.422</v>
      </c>
      <c r="AW7" s="6">
        <v>306.26900000000001</v>
      </c>
      <c r="AX7" s="6">
        <v>1024.912</v>
      </c>
      <c r="AY7" s="6">
        <v>3495.7669999999998</v>
      </c>
      <c r="AZ7" s="6">
        <v>1247.07</v>
      </c>
      <c r="BA7" s="6">
        <v>67.096999999999994</v>
      </c>
      <c r="BB7" s="6">
        <v>0</v>
      </c>
      <c r="BC7" s="6">
        <v>3104.241</v>
      </c>
      <c r="BD7" s="6">
        <v>4822.7790000000005</v>
      </c>
      <c r="BE7" s="6">
        <v>2188.3429999999998</v>
      </c>
      <c r="BF7" s="6">
        <v>6321.9660000000003</v>
      </c>
      <c r="BG7" s="22"/>
    </row>
    <row r="8" spans="1:61" ht="15.75">
      <c r="A8" s="23"/>
      <c r="B8" s="4" t="s">
        <v>5</v>
      </c>
      <c r="C8" s="4" t="s">
        <v>6</v>
      </c>
      <c r="D8" s="6">
        <v>1</v>
      </c>
      <c r="E8" s="6">
        <v>1</v>
      </c>
      <c r="F8" s="6">
        <v>65585.941000000006</v>
      </c>
      <c r="G8" s="6">
        <v>18655.107</v>
      </c>
      <c r="H8" s="6">
        <v>9412.9040000000005</v>
      </c>
      <c r="I8" s="6">
        <v>25934.643</v>
      </c>
      <c r="J8" s="6">
        <v>2556.056</v>
      </c>
      <c r="K8" s="6">
        <v>6526.8649999999998</v>
      </c>
      <c r="L8" s="6">
        <v>87895.786999999997</v>
      </c>
      <c r="M8" s="6">
        <v>11346.861999999999</v>
      </c>
      <c r="N8" s="6">
        <v>820.98400000000004</v>
      </c>
      <c r="O8" s="6">
        <v>19254.271000000001</v>
      </c>
      <c r="P8" s="6">
        <v>172864.21900000001</v>
      </c>
      <c r="Q8" s="6">
        <v>22910.228999999999</v>
      </c>
      <c r="R8" s="6">
        <v>358.53100000000001</v>
      </c>
      <c r="S8" s="6">
        <v>89.626000000000005</v>
      </c>
      <c r="T8" s="6">
        <v>343.673</v>
      </c>
      <c r="U8" s="6">
        <v>166.85400000000001</v>
      </c>
      <c r="V8" s="6">
        <v>318.029</v>
      </c>
      <c r="W8" s="6">
        <v>4577.26</v>
      </c>
      <c r="X8" s="6">
        <v>43.668999999999997</v>
      </c>
      <c r="Y8" s="6">
        <v>3527.4050000000002</v>
      </c>
      <c r="Z8" s="6">
        <v>2969.8560000000002</v>
      </c>
      <c r="AA8" s="6">
        <v>2640.3270000000002</v>
      </c>
      <c r="AB8" s="6">
        <v>3843.2350000000001</v>
      </c>
      <c r="AC8" s="6">
        <v>1471.1420000000001</v>
      </c>
      <c r="AD8" s="6">
        <v>61281.563999999998</v>
      </c>
      <c r="AE8" s="6">
        <v>4705.8900000000003</v>
      </c>
      <c r="AF8" s="6">
        <v>19116.311000000002</v>
      </c>
      <c r="AG8" s="6">
        <v>3061.7089999999998</v>
      </c>
      <c r="AH8" s="6">
        <v>4557.7749999999996</v>
      </c>
      <c r="AI8" s="6">
        <v>3814.3789999999999</v>
      </c>
      <c r="AJ8" s="6">
        <v>85625.099000000002</v>
      </c>
      <c r="AK8" s="6">
        <v>29912.617999999999</v>
      </c>
      <c r="AL8" s="6">
        <v>16571.917000000001</v>
      </c>
      <c r="AM8" s="6">
        <v>257569.99600000001</v>
      </c>
      <c r="AN8" s="6">
        <v>59578.557000000001</v>
      </c>
      <c r="AO8" s="6">
        <v>15982.388999999999</v>
      </c>
      <c r="AP8" s="6">
        <v>156745.43700000001</v>
      </c>
      <c r="AQ8" s="6">
        <v>2443.11</v>
      </c>
      <c r="AR8" s="6">
        <v>4241.0219999999999</v>
      </c>
      <c r="AS8" s="6">
        <v>102888.71</v>
      </c>
      <c r="AT8" s="6">
        <v>201.232</v>
      </c>
      <c r="AU8" s="6">
        <v>54998.235000000001</v>
      </c>
      <c r="AV8" s="6">
        <v>208.79300000000001</v>
      </c>
      <c r="AW8" s="6">
        <v>795.95500000000004</v>
      </c>
      <c r="AX8" s="6">
        <v>0</v>
      </c>
      <c r="AY8" s="6">
        <v>8606.4580000000005</v>
      </c>
      <c r="AZ8" s="6">
        <v>0</v>
      </c>
      <c r="BA8" s="6">
        <v>50.457999999999998</v>
      </c>
      <c r="BB8" s="6">
        <v>0</v>
      </c>
      <c r="BC8" s="6">
        <v>653.95699999999999</v>
      </c>
      <c r="BD8" s="6">
        <v>0</v>
      </c>
      <c r="BE8" s="6">
        <v>0</v>
      </c>
      <c r="BF8" s="6">
        <v>14758.733</v>
      </c>
      <c r="BG8" s="22"/>
    </row>
    <row r="9" spans="1:61" ht="15.75">
      <c r="A9" s="23"/>
      <c r="B9" s="4" t="s">
        <v>7</v>
      </c>
      <c r="C9" s="4" t="s">
        <v>8</v>
      </c>
      <c r="D9" s="6">
        <v>1</v>
      </c>
      <c r="E9" s="6">
        <v>1</v>
      </c>
      <c r="F9" s="6">
        <v>335957.21500000003</v>
      </c>
      <c r="G9" s="6">
        <v>92463.8</v>
      </c>
      <c r="H9" s="6">
        <v>0</v>
      </c>
      <c r="I9" s="6">
        <v>0</v>
      </c>
      <c r="J9" s="6">
        <v>4565.9660000000003</v>
      </c>
      <c r="K9" s="6">
        <v>2.1000000000000001E-2</v>
      </c>
      <c r="L9" s="6">
        <v>497782.91499999998</v>
      </c>
      <c r="M9" s="6">
        <v>40794.322</v>
      </c>
      <c r="N9" s="6">
        <v>0</v>
      </c>
      <c r="O9" s="6">
        <v>51348.953000000001</v>
      </c>
      <c r="P9" s="6">
        <v>1157126.19</v>
      </c>
      <c r="Q9" s="6">
        <v>67448.664999999994</v>
      </c>
      <c r="R9" s="6">
        <v>0</v>
      </c>
      <c r="S9" s="6">
        <v>3654.5859999999998</v>
      </c>
      <c r="T9" s="6">
        <v>0</v>
      </c>
      <c r="U9" s="6">
        <v>3503.0479999999998</v>
      </c>
      <c r="V9" s="6">
        <v>675.74099999999999</v>
      </c>
      <c r="W9" s="6">
        <v>27362.304</v>
      </c>
      <c r="X9" s="6">
        <v>0</v>
      </c>
      <c r="Y9" s="6">
        <v>49049.66</v>
      </c>
      <c r="Z9" s="6">
        <v>0</v>
      </c>
      <c r="AA9" s="6">
        <v>0</v>
      </c>
      <c r="AB9" s="6">
        <v>7915.723</v>
      </c>
      <c r="AC9" s="6">
        <v>129934.137</v>
      </c>
      <c r="AD9" s="6">
        <v>194975.49900000001</v>
      </c>
      <c r="AE9" s="6">
        <v>41306.803999999996</v>
      </c>
      <c r="AF9" s="6">
        <v>0</v>
      </c>
      <c r="AG9" s="6">
        <v>113785.47900000001</v>
      </c>
      <c r="AH9" s="6">
        <v>15097.24</v>
      </c>
      <c r="AI9" s="6">
        <v>7331.9390000000003</v>
      </c>
      <c r="AJ9" s="6">
        <v>489740.652</v>
      </c>
      <c r="AK9" s="6">
        <v>222368.56700000001</v>
      </c>
      <c r="AL9" s="6">
        <v>30590.112000000001</v>
      </c>
      <c r="AM9" s="6">
        <v>1482584.172</v>
      </c>
      <c r="AN9" s="6">
        <v>428908.158</v>
      </c>
      <c r="AO9" s="6">
        <v>250339.92800000001</v>
      </c>
      <c r="AP9" s="6">
        <v>4484425.2479999997</v>
      </c>
      <c r="AQ9" s="6">
        <v>115748.67600000001</v>
      </c>
      <c r="AR9" s="6">
        <v>49590.33</v>
      </c>
      <c r="AS9" s="6">
        <v>2802858.0410000002</v>
      </c>
      <c r="AT9" s="6">
        <v>0</v>
      </c>
      <c r="AU9" s="6">
        <v>1413612.273</v>
      </c>
      <c r="AV9" s="6">
        <v>1235.067</v>
      </c>
      <c r="AW9" s="6">
        <v>4923.7049999999999</v>
      </c>
      <c r="AX9" s="6">
        <v>0</v>
      </c>
      <c r="AY9" s="6">
        <v>64754.248</v>
      </c>
      <c r="AZ9" s="6">
        <v>0</v>
      </c>
      <c r="BA9" s="6">
        <v>275.685</v>
      </c>
      <c r="BB9" s="6">
        <v>0</v>
      </c>
      <c r="BC9" s="6">
        <v>2155.328</v>
      </c>
      <c r="BD9" s="6">
        <v>0</v>
      </c>
      <c r="BE9" s="6">
        <v>0</v>
      </c>
      <c r="BF9" s="6">
        <v>57928.858999999997</v>
      </c>
      <c r="BG9" s="22"/>
    </row>
    <row r="10" spans="1:61" ht="15.75">
      <c r="A10" s="23"/>
      <c r="B10" s="4" t="s">
        <v>9</v>
      </c>
      <c r="C10" s="4" t="s">
        <v>10</v>
      </c>
      <c r="D10" s="6">
        <v>1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22"/>
    </row>
    <row r="11" spans="1:61" ht="15.75">
      <c r="A11" s="23"/>
      <c r="B11" s="4" t="s">
        <v>11</v>
      </c>
      <c r="C11" s="4" t="s">
        <v>12</v>
      </c>
      <c r="D11" s="6">
        <v>1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22"/>
    </row>
    <row r="12" spans="1:61" ht="15.75">
      <c r="A12" s="23"/>
      <c r="B12" s="4" t="s">
        <v>13</v>
      </c>
      <c r="C12" s="4" t="s">
        <v>14</v>
      </c>
      <c r="D12" s="6">
        <v>1</v>
      </c>
      <c r="E12" s="6">
        <v>1</v>
      </c>
      <c r="F12" s="6">
        <v>20134.649000000001</v>
      </c>
      <c r="G12" s="6">
        <v>4943.17</v>
      </c>
      <c r="H12" s="6">
        <v>1761.3230000000001</v>
      </c>
      <c r="I12" s="6">
        <v>349.24200000000002</v>
      </c>
      <c r="J12" s="6">
        <v>503.16699999999997</v>
      </c>
      <c r="K12" s="6">
        <v>1615.653</v>
      </c>
      <c r="L12" s="6">
        <v>23030.231</v>
      </c>
      <c r="M12" s="6">
        <v>5986.0020000000004</v>
      </c>
      <c r="N12" s="6">
        <v>0</v>
      </c>
      <c r="O12" s="6">
        <v>13814.653</v>
      </c>
      <c r="P12" s="6">
        <v>59125.978000000003</v>
      </c>
      <c r="Q12" s="6">
        <v>8583.8780000000006</v>
      </c>
      <c r="R12" s="6">
        <v>0</v>
      </c>
      <c r="S12" s="6">
        <v>3.399</v>
      </c>
      <c r="T12" s="6">
        <v>15.74</v>
      </c>
      <c r="U12" s="6">
        <v>2.3330000000000002</v>
      </c>
      <c r="V12" s="6">
        <v>0.45</v>
      </c>
      <c r="W12" s="6">
        <v>1499.9369999999999</v>
      </c>
      <c r="X12" s="6">
        <v>0</v>
      </c>
      <c r="Y12" s="6">
        <v>41.829000000000001</v>
      </c>
      <c r="Z12" s="6">
        <v>0</v>
      </c>
      <c r="AA12" s="6">
        <v>176.834</v>
      </c>
      <c r="AB12" s="6">
        <v>758.93200000000002</v>
      </c>
      <c r="AC12" s="6">
        <v>174.136</v>
      </c>
      <c r="AD12" s="6">
        <v>8655.8209999999999</v>
      </c>
      <c r="AE12" s="6">
        <v>47.667000000000002</v>
      </c>
      <c r="AF12" s="6">
        <v>2284.538</v>
      </c>
      <c r="AG12" s="6">
        <v>114.998</v>
      </c>
      <c r="AH12" s="6">
        <v>811.19600000000003</v>
      </c>
      <c r="AI12" s="6">
        <v>12.488</v>
      </c>
      <c r="AJ12" s="6">
        <v>22077.22</v>
      </c>
      <c r="AK12" s="6">
        <v>8020.692</v>
      </c>
      <c r="AL12" s="6">
        <v>82.866</v>
      </c>
      <c r="AM12" s="6">
        <v>71297.672999999995</v>
      </c>
      <c r="AN12" s="6">
        <v>15476.627</v>
      </c>
      <c r="AO12" s="6">
        <v>303.80099999999999</v>
      </c>
      <c r="AP12" s="6">
        <v>10703.566000000001</v>
      </c>
      <c r="AQ12" s="6">
        <v>94.429000000000002</v>
      </c>
      <c r="AR12" s="6">
        <v>27.707999999999998</v>
      </c>
      <c r="AS12" s="6">
        <v>6689.9340000000002</v>
      </c>
      <c r="AT12" s="6">
        <v>0</v>
      </c>
      <c r="AU12" s="6">
        <v>3374.0540000000001</v>
      </c>
      <c r="AV12" s="6">
        <v>61.302999999999997</v>
      </c>
      <c r="AW12" s="6">
        <v>3.5139999999999998</v>
      </c>
      <c r="AX12" s="6">
        <v>0</v>
      </c>
      <c r="AY12" s="6">
        <v>2196.1990000000001</v>
      </c>
      <c r="AZ12" s="6">
        <v>0</v>
      </c>
      <c r="BA12" s="6">
        <v>12.590999999999999</v>
      </c>
      <c r="BB12" s="6">
        <v>0</v>
      </c>
      <c r="BC12" s="6">
        <v>131.95400000000001</v>
      </c>
      <c r="BD12" s="6">
        <v>0</v>
      </c>
      <c r="BE12" s="6">
        <v>0</v>
      </c>
      <c r="BF12" s="6">
        <v>2781.8670000000002</v>
      </c>
      <c r="BG12" s="22"/>
    </row>
    <row r="13" spans="1:61" ht="15.75">
      <c r="A13" s="23"/>
      <c r="B13" s="4" t="s">
        <v>3</v>
      </c>
      <c r="C13" s="4" t="s">
        <v>15</v>
      </c>
      <c r="D13" s="6">
        <v>1</v>
      </c>
      <c r="E13" s="6">
        <v>1</v>
      </c>
      <c r="F13" s="6">
        <v>18.587</v>
      </c>
      <c r="G13" s="6">
        <v>4.5919999999999996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5.1920000000000002</v>
      </c>
      <c r="N13" s="6">
        <v>0</v>
      </c>
      <c r="O13" s="6">
        <v>14.602</v>
      </c>
      <c r="P13" s="6">
        <v>147.953</v>
      </c>
      <c r="Q13" s="6">
        <v>5.79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10.135999999999999</v>
      </c>
      <c r="AK13" s="6">
        <v>1.5089999999999999</v>
      </c>
      <c r="AL13" s="6">
        <v>0</v>
      </c>
      <c r="AM13" s="6">
        <v>95.001999999999995</v>
      </c>
      <c r="AN13" s="6">
        <v>1.0229999999999999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22"/>
    </row>
    <row r="14" spans="1:61" ht="15.75">
      <c r="A14" s="23"/>
      <c r="B14" s="4" t="s">
        <v>16</v>
      </c>
      <c r="C14" s="4" t="s">
        <v>17</v>
      </c>
      <c r="D14" s="6">
        <v>1</v>
      </c>
      <c r="E14" s="6">
        <v>1</v>
      </c>
      <c r="F14" s="6">
        <v>-3.9590000000000001</v>
      </c>
      <c r="G14" s="6">
        <v>-1.0900000000000001</v>
      </c>
      <c r="H14" s="6">
        <v>0</v>
      </c>
      <c r="I14" s="6">
        <v>0</v>
      </c>
      <c r="J14" s="6">
        <v>-5.3999999999999999E-2</v>
      </c>
      <c r="K14" s="6">
        <v>0</v>
      </c>
      <c r="L14" s="6">
        <v>-5.8659999999999997</v>
      </c>
      <c r="M14" s="6">
        <v>-0.48099999999999998</v>
      </c>
      <c r="N14" s="6">
        <v>0</v>
      </c>
      <c r="O14" s="6">
        <v>-0.60499999999999998</v>
      </c>
      <c r="P14" s="6">
        <v>-13.635</v>
      </c>
      <c r="Q14" s="6">
        <v>-0.79500000000000004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-0.32200000000000001</v>
      </c>
      <c r="X14" s="6">
        <v>0</v>
      </c>
      <c r="Y14" s="6">
        <v>0</v>
      </c>
      <c r="Z14" s="6">
        <v>0</v>
      </c>
      <c r="AA14" s="6">
        <v>0</v>
      </c>
      <c r="AB14" s="6">
        <v>-9.2999999999999999E-2</v>
      </c>
      <c r="AC14" s="6">
        <v>0</v>
      </c>
      <c r="AD14" s="6">
        <v>-2.298</v>
      </c>
      <c r="AE14" s="6">
        <v>0</v>
      </c>
      <c r="AF14" s="6">
        <v>0</v>
      </c>
      <c r="AG14" s="6">
        <v>0</v>
      </c>
      <c r="AH14" s="6">
        <v>-0.17799999999999999</v>
      </c>
      <c r="AI14" s="6">
        <v>0</v>
      </c>
      <c r="AJ14" s="6">
        <v>-5.7709999999999999</v>
      </c>
      <c r="AK14" s="6">
        <v>-2.62</v>
      </c>
      <c r="AL14" s="6">
        <v>0</v>
      </c>
      <c r="AM14" s="6">
        <v>-17.47</v>
      </c>
      <c r="AN14" s="6">
        <v>-5.0540000000000003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-1.4999999999999999E-2</v>
      </c>
      <c r="AW14" s="6">
        <v>0</v>
      </c>
      <c r="AX14" s="6">
        <v>0</v>
      </c>
      <c r="AY14" s="6">
        <v>-0.76300000000000001</v>
      </c>
      <c r="AZ14" s="6">
        <v>0</v>
      </c>
      <c r="BA14" s="6">
        <v>-3.0000000000000001E-3</v>
      </c>
      <c r="BB14" s="6">
        <v>0</v>
      </c>
      <c r="BC14" s="6">
        <v>-2.5000000000000001E-2</v>
      </c>
      <c r="BD14" s="6">
        <v>0</v>
      </c>
      <c r="BE14" s="6">
        <v>0</v>
      </c>
      <c r="BF14" s="6">
        <v>-0.68300000000000005</v>
      </c>
      <c r="BG14" s="22"/>
    </row>
    <row r="15" spans="1:61" ht="15.75">
      <c r="A15" s="23"/>
      <c r="B15" s="4" t="s">
        <v>18</v>
      </c>
      <c r="C15" s="4" t="s">
        <v>19</v>
      </c>
      <c r="D15" s="6">
        <v>2</v>
      </c>
      <c r="E15" s="6">
        <v>2</v>
      </c>
      <c r="F15" s="6">
        <v>687277.11</v>
      </c>
      <c r="G15" s="6">
        <v>65855.275999999998</v>
      </c>
      <c r="H15" s="6">
        <v>177596.772</v>
      </c>
      <c r="I15" s="6">
        <v>0</v>
      </c>
      <c r="J15" s="6">
        <v>25639.613000000001</v>
      </c>
      <c r="K15" s="6">
        <v>125744.481</v>
      </c>
      <c r="L15" s="6">
        <v>312520.30800000002</v>
      </c>
      <c r="M15" s="6">
        <v>72632.577999999994</v>
      </c>
      <c r="N15" s="6">
        <v>0</v>
      </c>
      <c r="O15" s="6">
        <v>294807.24699999997</v>
      </c>
      <c r="P15" s="6">
        <v>217041.103</v>
      </c>
      <c r="Q15" s="6">
        <v>288641.875</v>
      </c>
      <c r="R15" s="6">
        <v>0</v>
      </c>
      <c r="S15" s="6">
        <v>0</v>
      </c>
      <c r="T15" s="6">
        <v>18258.851999999999</v>
      </c>
      <c r="U15" s="6">
        <v>577.20000000000005</v>
      </c>
      <c r="V15" s="6">
        <v>1814.4960000000001</v>
      </c>
      <c r="W15" s="6">
        <v>20534.725999999999</v>
      </c>
      <c r="X15" s="6">
        <v>0</v>
      </c>
      <c r="Y15" s="6">
        <v>2106.2600000000002</v>
      </c>
      <c r="Z15" s="6">
        <v>0</v>
      </c>
      <c r="AA15" s="6">
        <v>11069.950999999999</v>
      </c>
      <c r="AB15" s="6">
        <v>22808.847000000002</v>
      </c>
      <c r="AC15" s="6">
        <v>0</v>
      </c>
      <c r="AD15" s="6">
        <v>116500.982</v>
      </c>
      <c r="AE15" s="6">
        <v>0</v>
      </c>
      <c r="AF15" s="6">
        <v>132066.573</v>
      </c>
      <c r="AG15" s="6">
        <v>0</v>
      </c>
      <c r="AH15" s="6">
        <v>7989.2349999999997</v>
      </c>
      <c r="AI15" s="6">
        <v>3590.1529999999998</v>
      </c>
      <c r="AJ15" s="6">
        <v>290345.57199999999</v>
      </c>
      <c r="AK15" s="6">
        <v>0</v>
      </c>
      <c r="AL15" s="6">
        <v>10355.633</v>
      </c>
      <c r="AM15" s="6">
        <v>717327.59900000005</v>
      </c>
      <c r="AN15" s="6">
        <v>0</v>
      </c>
      <c r="AO15" s="6">
        <v>0</v>
      </c>
      <c r="AP15" s="6">
        <v>0</v>
      </c>
      <c r="AQ15" s="6">
        <v>15936.64</v>
      </c>
      <c r="AR15" s="6">
        <v>13956.048000000001</v>
      </c>
      <c r="AS15" s="6">
        <v>0</v>
      </c>
      <c r="AT15" s="6">
        <v>0</v>
      </c>
      <c r="AU15" s="6">
        <v>0</v>
      </c>
      <c r="AV15" s="6">
        <v>699.86599999999999</v>
      </c>
      <c r="AW15" s="6">
        <v>926.40499999999997</v>
      </c>
      <c r="AX15" s="6">
        <v>0</v>
      </c>
      <c r="AY15" s="6">
        <v>0</v>
      </c>
      <c r="AZ15" s="6">
        <v>0</v>
      </c>
      <c r="BA15" s="6">
        <v>551.91399999999999</v>
      </c>
      <c r="BB15" s="6">
        <v>0</v>
      </c>
      <c r="BC15" s="6">
        <v>14820.973</v>
      </c>
      <c r="BD15" s="6">
        <v>0</v>
      </c>
      <c r="BE15" s="6">
        <v>0</v>
      </c>
      <c r="BF15" s="6">
        <v>0</v>
      </c>
      <c r="BG15" s="22"/>
    </row>
    <row r="16" spans="1:61" ht="15.75">
      <c r="A16" s="23"/>
      <c r="B16" s="4" t="s">
        <v>20</v>
      </c>
      <c r="C16" s="4" t="s">
        <v>21</v>
      </c>
      <c r="D16" s="6">
        <v>2</v>
      </c>
      <c r="E16" s="6">
        <v>2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22"/>
    </row>
    <row r="17" spans="1:59" ht="15.75">
      <c r="A17" s="23"/>
      <c r="B17" s="4" t="s">
        <v>22</v>
      </c>
      <c r="C17" s="4" t="s">
        <v>23</v>
      </c>
      <c r="D17" s="6">
        <v>2</v>
      </c>
      <c r="E17" s="6">
        <v>2</v>
      </c>
      <c r="F17" s="6">
        <v>621282.022</v>
      </c>
      <c r="G17" s="6">
        <v>59531.59</v>
      </c>
      <c r="H17" s="6">
        <v>161222.46</v>
      </c>
      <c r="I17" s="6">
        <v>0</v>
      </c>
      <c r="J17" s="6">
        <v>23177.595000000001</v>
      </c>
      <c r="K17" s="6">
        <v>113827.79</v>
      </c>
      <c r="L17" s="6">
        <v>282510.86200000002</v>
      </c>
      <c r="M17" s="6">
        <v>73638.394</v>
      </c>
      <c r="N17" s="6">
        <v>28660.741999999998</v>
      </c>
      <c r="O17" s="6">
        <v>266498.68</v>
      </c>
      <c r="P17" s="6">
        <v>196199.95199999999</v>
      </c>
      <c r="Q17" s="6">
        <v>260925.33199999999</v>
      </c>
      <c r="R17" s="6">
        <v>12259.177</v>
      </c>
      <c r="S17" s="6">
        <v>0</v>
      </c>
      <c r="T17" s="6">
        <v>0</v>
      </c>
      <c r="U17" s="6">
        <v>977.41800000000001</v>
      </c>
      <c r="V17" s="6">
        <v>3072.627</v>
      </c>
      <c r="W17" s="6">
        <v>18562.900000000001</v>
      </c>
      <c r="X17" s="6">
        <v>0</v>
      </c>
      <c r="Y17" s="6">
        <v>3566.6930000000002</v>
      </c>
      <c r="Z17" s="6">
        <v>21891.89</v>
      </c>
      <c r="AA17" s="6">
        <v>10006.969999999999</v>
      </c>
      <c r="AB17" s="6">
        <v>25798.442999999999</v>
      </c>
      <c r="AC17" s="6">
        <v>0</v>
      </c>
      <c r="AD17" s="6">
        <v>105314.094</v>
      </c>
      <c r="AE17" s="6">
        <v>0</v>
      </c>
      <c r="AF17" s="6">
        <v>119385.014</v>
      </c>
      <c r="AG17" s="6">
        <v>0</v>
      </c>
      <c r="AH17" s="6">
        <v>7222.0770000000002</v>
      </c>
      <c r="AI17" s="6">
        <v>3245.4119999999998</v>
      </c>
      <c r="AJ17" s="6">
        <v>262465.43300000002</v>
      </c>
      <c r="AK17" s="6">
        <v>0</v>
      </c>
      <c r="AL17" s="6">
        <v>9361.2440000000006</v>
      </c>
      <c r="AM17" s="6">
        <v>648371.58400000003</v>
      </c>
      <c r="AN17" s="6">
        <v>0</v>
      </c>
      <c r="AO17" s="6">
        <v>0</v>
      </c>
      <c r="AP17" s="6">
        <v>0</v>
      </c>
      <c r="AQ17" s="6">
        <v>26986.751</v>
      </c>
      <c r="AR17" s="6">
        <v>23632.861000000001</v>
      </c>
      <c r="AS17" s="6">
        <v>0</v>
      </c>
      <c r="AT17" s="6">
        <v>4458.2740000000003</v>
      </c>
      <c r="AU17" s="6">
        <v>0</v>
      </c>
      <c r="AV17" s="6">
        <v>632.66200000000003</v>
      </c>
      <c r="AW17" s="6">
        <v>1568.7529999999999</v>
      </c>
      <c r="AX17" s="6">
        <v>0</v>
      </c>
      <c r="AY17" s="6">
        <v>0</v>
      </c>
      <c r="AZ17" s="6">
        <v>0</v>
      </c>
      <c r="BA17" s="6">
        <v>498.91699999999997</v>
      </c>
      <c r="BB17" s="6">
        <v>0</v>
      </c>
      <c r="BC17" s="6">
        <v>11126.77</v>
      </c>
      <c r="BD17" s="6">
        <v>0</v>
      </c>
      <c r="BE17" s="6">
        <v>0</v>
      </c>
      <c r="BF17" s="6">
        <v>0</v>
      </c>
      <c r="BG17" s="22"/>
    </row>
    <row r="18" spans="1:59" ht="15.75">
      <c r="A18" s="23"/>
      <c r="B18" s="4" t="s">
        <v>24</v>
      </c>
      <c r="C18" s="4" t="s">
        <v>25</v>
      </c>
      <c r="D18" s="6">
        <v>2</v>
      </c>
      <c r="E18" s="6">
        <v>2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13599.37</v>
      </c>
      <c r="O18" s="6">
        <v>0</v>
      </c>
      <c r="P18" s="6">
        <v>0</v>
      </c>
      <c r="Q18" s="6">
        <v>0</v>
      </c>
      <c r="R18" s="6">
        <v>276.07600000000002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10387.585999999999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2115.4279999999999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6.98</v>
      </c>
      <c r="BD18" s="6">
        <v>0</v>
      </c>
      <c r="BE18" s="6">
        <v>0</v>
      </c>
      <c r="BF18" s="6">
        <v>0</v>
      </c>
      <c r="BG18" s="22"/>
    </row>
    <row r="19" spans="1:59" ht="15.75">
      <c r="A19" s="23"/>
      <c r="B19" s="4" t="s">
        <v>26</v>
      </c>
      <c r="C19" s="4" t="s">
        <v>27</v>
      </c>
      <c r="D19" s="6">
        <v>2</v>
      </c>
      <c r="E19" s="6">
        <v>2</v>
      </c>
      <c r="F19" s="6">
        <v>64341.686999999998</v>
      </c>
      <c r="G19" s="6">
        <v>16600.933000000001</v>
      </c>
      <c r="H19" s="6">
        <v>1728.325</v>
      </c>
      <c r="I19" s="6">
        <v>0</v>
      </c>
      <c r="J19" s="6">
        <v>1039.6980000000001</v>
      </c>
      <c r="K19" s="6">
        <v>1227.7149999999999</v>
      </c>
      <c r="L19" s="6">
        <v>88181.244000000006</v>
      </c>
      <c r="M19" s="6">
        <v>7487.8829999999998</v>
      </c>
      <c r="N19" s="6">
        <v>186217.73199999999</v>
      </c>
      <c r="O19" s="6">
        <v>11724.106</v>
      </c>
      <c r="P19" s="6">
        <v>201707.71100000001</v>
      </c>
      <c r="Q19" s="6">
        <v>14367.700999999999</v>
      </c>
      <c r="R19" s="6">
        <v>558.25300000000004</v>
      </c>
      <c r="S19" s="6">
        <v>0</v>
      </c>
      <c r="T19" s="6">
        <v>3.0369999999999999</v>
      </c>
      <c r="U19" s="6">
        <v>0</v>
      </c>
      <c r="V19" s="6">
        <v>0</v>
      </c>
      <c r="W19" s="6">
        <v>4928.9719999999998</v>
      </c>
      <c r="X19" s="6">
        <v>2820.8229999999999</v>
      </c>
      <c r="Y19" s="6">
        <v>0</v>
      </c>
      <c r="Z19" s="6">
        <v>142238.405</v>
      </c>
      <c r="AA19" s="6">
        <v>108.254</v>
      </c>
      <c r="AB19" s="6">
        <v>1507.902</v>
      </c>
      <c r="AC19" s="6">
        <v>0</v>
      </c>
      <c r="AD19" s="6">
        <v>34491.589999999997</v>
      </c>
      <c r="AE19" s="6">
        <v>0</v>
      </c>
      <c r="AF19" s="6">
        <v>1291.4939999999999</v>
      </c>
      <c r="AG19" s="6">
        <v>10.529</v>
      </c>
      <c r="AH19" s="6">
        <v>2679.34</v>
      </c>
      <c r="AI19" s="6">
        <v>35.109000000000002</v>
      </c>
      <c r="AJ19" s="6">
        <v>86518.245999999999</v>
      </c>
      <c r="AK19" s="6">
        <v>38443.93</v>
      </c>
      <c r="AL19" s="6">
        <v>101.26900000000001</v>
      </c>
      <c r="AM19" s="6">
        <v>262317.27399999998</v>
      </c>
      <c r="AN19" s="6">
        <v>74169.919999999998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28966.791000000001</v>
      </c>
      <c r="AU19" s="6">
        <v>0</v>
      </c>
      <c r="AV19" s="6">
        <v>213.56700000000001</v>
      </c>
      <c r="AW19" s="6">
        <v>0</v>
      </c>
      <c r="AX19" s="6">
        <v>0</v>
      </c>
      <c r="AY19" s="6">
        <v>11189.411</v>
      </c>
      <c r="AZ19" s="6">
        <v>0</v>
      </c>
      <c r="BA19" s="6">
        <v>52.701999999999998</v>
      </c>
      <c r="BB19" s="6">
        <v>0</v>
      </c>
      <c r="BC19" s="6">
        <v>1373.665</v>
      </c>
      <c r="BD19" s="6">
        <v>0</v>
      </c>
      <c r="BE19" s="6">
        <v>0</v>
      </c>
      <c r="BF19" s="6">
        <v>9369.1589999999997</v>
      </c>
      <c r="BG19" s="22"/>
    </row>
    <row r="20" spans="1:59" ht="15.75">
      <c r="A20" s="23"/>
      <c r="B20" s="4" t="s">
        <v>28</v>
      </c>
      <c r="C20" s="4" t="s">
        <v>29</v>
      </c>
      <c r="D20" s="6">
        <v>6</v>
      </c>
      <c r="E20" s="6">
        <v>6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22"/>
    </row>
    <row r="21" spans="1:59" ht="15.75">
      <c r="A21" s="23"/>
      <c r="B21" s="4" t="s">
        <v>30</v>
      </c>
      <c r="C21" s="4" t="s">
        <v>31</v>
      </c>
      <c r="D21" s="6">
        <v>5</v>
      </c>
      <c r="E21" s="6">
        <v>5</v>
      </c>
      <c r="F21" s="6">
        <v>0</v>
      </c>
      <c r="G21" s="6">
        <v>0</v>
      </c>
      <c r="H21" s="6">
        <v>0</v>
      </c>
      <c r="I21" s="6">
        <v>919417.34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22"/>
    </row>
    <row r="22" spans="1:59" ht="15.75">
      <c r="A22" s="23"/>
      <c r="B22" s="4" t="s">
        <v>32</v>
      </c>
      <c r="C22" s="4" t="s">
        <v>33</v>
      </c>
      <c r="D22" s="6">
        <v>2</v>
      </c>
      <c r="E22" s="6">
        <v>2</v>
      </c>
      <c r="F22" s="6">
        <v>3046.5430000000001</v>
      </c>
      <c r="G22" s="6">
        <v>0</v>
      </c>
      <c r="H22" s="6">
        <v>1734.5740000000001</v>
      </c>
      <c r="I22" s="6">
        <v>0</v>
      </c>
      <c r="J22" s="6">
        <v>0</v>
      </c>
      <c r="K22" s="6">
        <v>1330.8920000000001</v>
      </c>
      <c r="L22" s="6">
        <v>0</v>
      </c>
      <c r="M22" s="6">
        <v>1190.3810000000001</v>
      </c>
      <c r="N22" s="6">
        <v>0</v>
      </c>
      <c r="O22" s="6">
        <v>4212.5290000000005</v>
      </c>
      <c r="P22" s="6">
        <v>4232.3609999999999</v>
      </c>
      <c r="Q22" s="6">
        <v>1267.816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788.44299999999998</v>
      </c>
      <c r="AK22" s="6">
        <v>0</v>
      </c>
      <c r="AL22" s="6">
        <v>0</v>
      </c>
      <c r="AM22" s="6">
        <v>3980.06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22"/>
    </row>
    <row r="23" spans="1:59" ht="15.75">
      <c r="A23" s="23"/>
      <c r="B23" s="4" t="s">
        <v>34</v>
      </c>
      <c r="C23" s="4" t="s">
        <v>35</v>
      </c>
      <c r="D23" s="6">
        <v>2</v>
      </c>
      <c r="E23" s="6">
        <v>2</v>
      </c>
      <c r="F23" s="6">
        <v>37827.402999999998</v>
      </c>
      <c r="G23" s="6">
        <v>7531.4620000000004</v>
      </c>
      <c r="H23" s="6">
        <v>11384.544</v>
      </c>
      <c r="I23" s="6">
        <v>0</v>
      </c>
      <c r="J23" s="6">
        <v>1876.4059999999999</v>
      </c>
      <c r="K23" s="6">
        <v>8206.0409999999993</v>
      </c>
      <c r="L23" s="6">
        <v>39447.980000000003</v>
      </c>
      <c r="M23" s="6">
        <v>7460.5640000000003</v>
      </c>
      <c r="N23" s="6">
        <v>0</v>
      </c>
      <c r="O23" s="6">
        <v>18801.274000000001</v>
      </c>
      <c r="P23" s="6">
        <v>30627.041000000001</v>
      </c>
      <c r="Q23" s="6">
        <v>23534.688999999998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2353.174</v>
      </c>
      <c r="X23" s="6">
        <v>0</v>
      </c>
      <c r="Y23" s="6">
        <v>0</v>
      </c>
      <c r="Z23" s="6">
        <v>0</v>
      </c>
      <c r="AA23" s="6">
        <v>929.86400000000003</v>
      </c>
      <c r="AB23" s="6">
        <v>2005.1030000000001</v>
      </c>
      <c r="AC23" s="6">
        <v>0</v>
      </c>
      <c r="AD23" s="6">
        <v>8683.982</v>
      </c>
      <c r="AE23" s="6">
        <v>0</v>
      </c>
      <c r="AF23" s="6">
        <v>9466.3970000000008</v>
      </c>
      <c r="AG23" s="6">
        <v>0</v>
      </c>
      <c r="AH23" s="6">
        <v>1030.5550000000001</v>
      </c>
      <c r="AI23" s="6">
        <v>109.84699999999999</v>
      </c>
      <c r="AJ23" s="6">
        <v>21781.665000000001</v>
      </c>
      <c r="AK23" s="6">
        <v>0</v>
      </c>
      <c r="AL23" s="6">
        <v>316.84800000000001</v>
      </c>
      <c r="AM23" s="6">
        <v>71851.005999999994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68.847999999999999</v>
      </c>
      <c r="AW23" s="6">
        <v>0</v>
      </c>
      <c r="AX23" s="6">
        <v>0</v>
      </c>
      <c r="AY23" s="6">
        <v>0</v>
      </c>
      <c r="AZ23" s="6">
        <v>0</v>
      </c>
      <c r="BA23" s="6">
        <v>19.155000000000001</v>
      </c>
      <c r="BB23" s="6">
        <v>0</v>
      </c>
      <c r="BC23" s="6">
        <v>1476.117</v>
      </c>
      <c r="BD23" s="6">
        <v>0</v>
      </c>
      <c r="BE23" s="6">
        <v>0</v>
      </c>
      <c r="BF23" s="6">
        <v>29089.432000000001</v>
      </c>
      <c r="BG23" s="22"/>
    </row>
    <row r="24" spans="1:59" ht="15.75">
      <c r="A24" s="23"/>
      <c r="B24" s="4" t="s">
        <v>36</v>
      </c>
      <c r="C24" s="4" t="s">
        <v>37</v>
      </c>
      <c r="D24" s="6">
        <v>6</v>
      </c>
      <c r="E24" s="6">
        <v>6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22"/>
    </row>
    <row r="25" spans="1:59" ht="15.75">
      <c r="A25" s="23"/>
      <c r="B25" s="4" t="s">
        <v>38</v>
      </c>
      <c r="C25" s="4" t="s">
        <v>39</v>
      </c>
      <c r="D25" s="6">
        <v>6</v>
      </c>
      <c r="E25" s="6">
        <v>6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22"/>
    </row>
    <row r="26" spans="1:59" ht="15.75">
      <c r="A26" s="23"/>
      <c r="B26" s="4" t="s">
        <v>40</v>
      </c>
      <c r="C26" s="4" t="s">
        <v>41</v>
      </c>
      <c r="D26" s="6">
        <v>6</v>
      </c>
      <c r="E26" s="6">
        <v>6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22"/>
    </row>
    <row r="27" spans="1:59" ht="15.75">
      <c r="A27" s="23"/>
      <c r="B27" s="4" t="s">
        <v>42</v>
      </c>
      <c r="C27" s="4" t="s">
        <v>43</v>
      </c>
      <c r="D27" s="6">
        <v>6</v>
      </c>
      <c r="E27" s="6">
        <v>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22"/>
    </row>
    <row r="28" spans="1:59" ht="15.75">
      <c r="A28" s="23"/>
      <c r="B28" s="4" t="s">
        <v>44</v>
      </c>
      <c r="C28" s="4" t="s">
        <v>45</v>
      </c>
      <c r="D28" s="6">
        <v>6</v>
      </c>
      <c r="E28" s="6">
        <v>6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22"/>
    </row>
    <row r="29" spans="1:59" ht="15.75">
      <c r="A29" s="23"/>
      <c r="B29" s="4" t="s">
        <v>46</v>
      </c>
      <c r="C29" s="4" t="s">
        <v>47</v>
      </c>
      <c r="D29" s="6">
        <v>6</v>
      </c>
      <c r="E29" s="6">
        <v>6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22"/>
    </row>
    <row r="30" spans="1:59" ht="15.75">
      <c r="A30" s="23"/>
      <c r="B30" s="4" t="s">
        <v>48</v>
      </c>
      <c r="C30" s="4" t="s">
        <v>49</v>
      </c>
      <c r="D30" s="6">
        <v>6</v>
      </c>
      <c r="E30" s="6">
        <v>6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22"/>
    </row>
    <row r="31" spans="1:59" ht="15.75">
      <c r="A31" s="23"/>
      <c r="B31" s="4" t="s">
        <v>50</v>
      </c>
      <c r="C31" s="4" t="s">
        <v>51</v>
      </c>
      <c r="D31" s="6">
        <v>6</v>
      </c>
      <c r="E31" s="6">
        <v>6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22"/>
    </row>
    <row r="32" spans="1:59" ht="15.75">
      <c r="A32" s="23"/>
      <c r="B32" s="4" t="s">
        <v>52</v>
      </c>
      <c r="C32" s="4" t="s">
        <v>53</v>
      </c>
      <c r="D32" s="6">
        <v>6</v>
      </c>
      <c r="E32" s="6">
        <v>6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22"/>
    </row>
    <row r="33" spans="1:59" ht="15.75">
      <c r="A33" s="23"/>
      <c r="B33" s="4" t="s">
        <v>54</v>
      </c>
      <c r="C33" s="4" t="s">
        <v>55</v>
      </c>
      <c r="D33" s="6">
        <v>6</v>
      </c>
      <c r="E33" s="6">
        <v>6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22"/>
    </row>
    <row r="34" spans="1:59" ht="15.75">
      <c r="A34" s="23"/>
      <c r="B34" s="4" t="s">
        <v>56</v>
      </c>
      <c r="C34" s="4" t="s">
        <v>57</v>
      </c>
      <c r="D34" s="6">
        <v>6</v>
      </c>
      <c r="E34" s="6">
        <v>6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4796.0190000000002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3663.3359999999998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746.03700000000003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22"/>
    </row>
    <row r="35" spans="1:59" ht="15.75">
      <c r="A35" s="23"/>
      <c r="B35" s="4" t="s">
        <v>58</v>
      </c>
      <c r="C35" s="4" t="s">
        <v>59</v>
      </c>
      <c r="D35" s="6">
        <v>6</v>
      </c>
      <c r="E35" s="6">
        <v>6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22"/>
    </row>
    <row r="36" spans="1:59" ht="15.75">
      <c r="A36" s="23"/>
      <c r="B36" s="4" t="s">
        <v>60</v>
      </c>
      <c r="C36" s="4" t="s">
        <v>61</v>
      </c>
      <c r="D36" s="6">
        <v>6</v>
      </c>
      <c r="E36" s="6">
        <v>6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22"/>
    </row>
    <row r="37" spans="1:59" ht="15.75">
      <c r="A37" s="23"/>
      <c r="B37" s="4" t="s">
        <v>62</v>
      </c>
      <c r="C37" s="4" t="s">
        <v>63</v>
      </c>
      <c r="D37" s="6">
        <v>6</v>
      </c>
      <c r="E37" s="6">
        <v>6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22"/>
    </row>
    <row r="38" spans="1:59" ht="15.75">
      <c r="A38" s="23"/>
      <c r="B38" s="4" t="s">
        <v>64</v>
      </c>
      <c r="C38" s="4" t="s">
        <v>65</v>
      </c>
      <c r="D38" s="6">
        <v>6</v>
      </c>
      <c r="E38" s="6">
        <v>6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22"/>
    </row>
    <row r="39" spans="1:59" ht="15.75">
      <c r="A39" s="23"/>
      <c r="B39" s="4" t="s">
        <v>66</v>
      </c>
      <c r="C39" s="4" t="s">
        <v>67</v>
      </c>
      <c r="D39" s="6">
        <v>6</v>
      </c>
      <c r="E39" s="6">
        <v>6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22"/>
    </row>
    <row r="40" spans="1:59" ht="15.75">
      <c r="A40" s="23"/>
      <c r="B40" s="4" t="s">
        <v>68</v>
      </c>
      <c r="C40" s="4" t="s">
        <v>69</v>
      </c>
      <c r="D40" s="6">
        <v>6</v>
      </c>
      <c r="E40" s="6">
        <v>6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22"/>
    </row>
    <row r="41" spans="1:59" ht="15.75">
      <c r="A41" s="23"/>
      <c r="B41" s="4" t="s">
        <v>70</v>
      </c>
      <c r="C41" s="4" t="s">
        <v>71</v>
      </c>
      <c r="D41" s="6">
        <v>6</v>
      </c>
      <c r="E41" s="6">
        <v>6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22"/>
    </row>
    <row r="42" spans="1:59" ht="15.75">
      <c r="A42" s="23"/>
      <c r="B42" s="4" t="s">
        <v>72</v>
      </c>
      <c r="C42" s="4" t="s">
        <v>73</v>
      </c>
      <c r="D42" s="6">
        <v>6</v>
      </c>
      <c r="E42" s="6">
        <v>6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22"/>
    </row>
    <row r="43" spans="1:59" ht="15.75">
      <c r="A43" s="23"/>
      <c r="B43" s="4" t="s">
        <v>74</v>
      </c>
      <c r="C43" s="4" t="s">
        <v>75</v>
      </c>
      <c r="D43" s="6">
        <v>6</v>
      </c>
      <c r="E43" s="6">
        <v>6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22"/>
    </row>
    <row r="44" spans="1:59" ht="15.75">
      <c r="A44" s="23"/>
      <c r="B44" s="4" t="s">
        <v>76</v>
      </c>
      <c r="C44" s="4" t="s">
        <v>77</v>
      </c>
      <c r="D44" s="6">
        <v>6</v>
      </c>
      <c r="E44" s="6">
        <v>6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22"/>
    </row>
    <row r="45" spans="1:59" ht="15.75">
      <c r="A45" s="23"/>
      <c r="B45" s="4" t="s">
        <v>78</v>
      </c>
      <c r="C45" s="4" t="s">
        <v>79</v>
      </c>
      <c r="D45" s="6">
        <v>6</v>
      </c>
      <c r="E45" s="6">
        <v>6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22"/>
    </row>
    <row r="46" spans="1:59" ht="15.75">
      <c r="A46" s="23"/>
      <c r="B46" s="4" t="s">
        <v>80</v>
      </c>
      <c r="C46" s="4" t="s">
        <v>81</v>
      </c>
      <c r="D46" s="6">
        <v>6</v>
      </c>
      <c r="E46" s="6">
        <v>6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22"/>
    </row>
    <row r="47" spans="1:59" ht="15.75">
      <c r="A47" s="23"/>
      <c r="B47" s="4" t="s">
        <v>82</v>
      </c>
      <c r="C47" s="4" t="s">
        <v>83</v>
      </c>
      <c r="D47" s="6">
        <v>6</v>
      </c>
      <c r="E47" s="6">
        <v>6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22"/>
    </row>
    <row r="48" spans="1:59" ht="15.75">
      <c r="A48" s="23"/>
      <c r="B48" s="4" t="s">
        <v>84</v>
      </c>
      <c r="C48" s="4" t="s">
        <v>85</v>
      </c>
      <c r="D48" s="6">
        <v>6</v>
      </c>
      <c r="E48" s="6">
        <v>6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22"/>
    </row>
    <row r="49" spans="1:59" ht="15.75">
      <c r="A49" s="23"/>
      <c r="B49" s="4" t="s">
        <v>86</v>
      </c>
      <c r="C49" s="4" t="s">
        <v>87</v>
      </c>
      <c r="D49" s="6">
        <v>6</v>
      </c>
      <c r="E49" s="6">
        <v>6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22"/>
    </row>
    <row r="50" spans="1:59" ht="15.75">
      <c r="A50" s="23"/>
      <c r="B50" s="4" t="s">
        <v>88</v>
      </c>
      <c r="C50" s="4" t="s">
        <v>89</v>
      </c>
      <c r="D50" s="6">
        <v>6</v>
      </c>
      <c r="E50" s="6">
        <v>6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22"/>
    </row>
    <row r="51" spans="1:59" ht="15.75">
      <c r="A51" s="23"/>
      <c r="B51" s="4" t="s">
        <v>90</v>
      </c>
      <c r="C51" s="4" t="s">
        <v>91</v>
      </c>
      <c r="D51" s="6">
        <v>6</v>
      </c>
      <c r="E51" s="6">
        <v>6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22"/>
    </row>
    <row r="52" spans="1:59" ht="15.75">
      <c r="A52" s="23"/>
      <c r="B52" s="4" t="s">
        <v>92</v>
      </c>
      <c r="C52" s="4" t="s">
        <v>93</v>
      </c>
      <c r="D52" s="6">
        <v>6</v>
      </c>
      <c r="E52" s="6">
        <v>6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22"/>
    </row>
    <row r="53" spans="1:59" ht="15.75">
      <c r="A53" s="23"/>
      <c r="B53" s="4" t="s">
        <v>94</v>
      </c>
      <c r="C53" s="4" t="s">
        <v>95</v>
      </c>
      <c r="D53" s="6">
        <v>6</v>
      </c>
      <c r="E53" s="6">
        <v>6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22"/>
    </row>
    <row r="54" spans="1:59" ht="15.75">
      <c r="A54" s="23"/>
      <c r="B54" s="4" t="s">
        <v>96</v>
      </c>
      <c r="C54" s="4" t="s">
        <v>97</v>
      </c>
      <c r="D54" s="6">
        <v>6</v>
      </c>
      <c r="E54" s="6">
        <v>6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22"/>
    </row>
    <row r="55" spans="1:59" ht="15.75">
      <c r="A55" s="23"/>
      <c r="B55" s="4" t="s">
        <v>98</v>
      </c>
      <c r="C55" s="4" t="s">
        <v>99</v>
      </c>
      <c r="D55" s="6">
        <v>6</v>
      </c>
      <c r="E55" s="6">
        <v>6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22"/>
    </row>
    <row r="56" spans="1:59" ht="15.75">
      <c r="A56" s="23"/>
      <c r="B56" s="4" t="s">
        <v>100</v>
      </c>
      <c r="C56" s="4" t="s">
        <v>101</v>
      </c>
      <c r="D56" s="6">
        <v>6</v>
      </c>
      <c r="E56" s="6">
        <v>6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22"/>
    </row>
    <row r="57" spans="1:59" ht="15.75">
      <c r="A57" s="23"/>
      <c r="B57" s="4" t="s">
        <v>102</v>
      </c>
      <c r="C57" s="4" t="s">
        <v>103</v>
      </c>
      <c r="D57" s="6">
        <v>6</v>
      </c>
      <c r="E57" s="6">
        <v>6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22"/>
    </row>
    <row r="58" spans="1:59" ht="15.75">
      <c r="A58" s="23"/>
      <c r="B58" s="4" t="s">
        <v>104</v>
      </c>
      <c r="C58" s="4" t="s">
        <v>105</v>
      </c>
      <c r="D58" s="6">
        <v>6</v>
      </c>
      <c r="E58" s="6">
        <v>6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22"/>
    </row>
    <row r="59" spans="1:59" ht="15.75">
      <c r="A59" s="23"/>
      <c r="B59" s="4" t="s">
        <v>106</v>
      </c>
      <c r="C59" s="4" t="s">
        <v>107</v>
      </c>
      <c r="D59" s="6">
        <v>6</v>
      </c>
      <c r="E59" s="6">
        <v>6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22"/>
    </row>
    <row r="60" spans="1:59" ht="15.75">
      <c r="A60" s="23"/>
      <c r="B60" s="4" t="s">
        <v>108</v>
      </c>
      <c r="C60" s="4" t="s">
        <v>109</v>
      </c>
      <c r="D60" s="6">
        <v>6</v>
      </c>
      <c r="E60" s="6">
        <v>6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22"/>
    </row>
    <row r="61" spans="1:59" ht="15.75">
      <c r="A61" s="23"/>
      <c r="B61" s="4" t="s">
        <v>110</v>
      </c>
      <c r="C61" s="4" t="s">
        <v>111</v>
      </c>
      <c r="D61" s="6">
        <v>3</v>
      </c>
      <c r="E61" s="6">
        <v>3</v>
      </c>
      <c r="F61" s="6">
        <v>640734.99399999995</v>
      </c>
      <c r="G61" s="6">
        <v>87693.383000000002</v>
      </c>
      <c r="H61" s="6">
        <v>257820.81599999999</v>
      </c>
      <c r="I61" s="6">
        <v>5087.241</v>
      </c>
      <c r="J61" s="6">
        <v>20782.823</v>
      </c>
      <c r="K61" s="6">
        <v>172423.43299999999</v>
      </c>
      <c r="L61" s="6">
        <v>131703.81700000001</v>
      </c>
      <c r="M61" s="6">
        <v>185386.01</v>
      </c>
      <c r="N61" s="6">
        <v>0</v>
      </c>
      <c r="O61" s="6">
        <v>417042.522</v>
      </c>
      <c r="P61" s="6">
        <v>358009.45699999999</v>
      </c>
      <c r="Q61" s="6">
        <v>403775.402</v>
      </c>
      <c r="R61" s="6">
        <v>0</v>
      </c>
      <c r="S61" s="6">
        <v>0</v>
      </c>
      <c r="T61" s="6">
        <v>127.19199999999999</v>
      </c>
      <c r="U61" s="6">
        <v>1264.0070000000001</v>
      </c>
      <c r="V61" s="6">
        <v>5338.009</v>
      </c>
      <c r="W61" s="6">
        <v>36302.661999999997</v>
      </c>
      <c r="X61" s="6">
        <v>0</v>
      </c>
      <c r="Y61" s="6">
        <v>8963.2980000000007</v>
      </c>
      <c r="Z61" s="6">
        <v>0</v>
      </c>
      <c r="AA61" s="6">
        <v>18190.338</v>
      </c>
      <c r="AB61" s="6">
        <v>53142.125</v>
      </c>
      <c r="AC61" s="6">
        <v>0</v>
      </c>
      <c r="AD61" s="6">
        <v>103547.44500000001</v>
      </c>
      <c r="AE61" s="6">
        <v>0</v>
      </c>
      <c r="AF61" s="6">
        <v>189539.30600000001</v>
      </c>
      <c r="AG61" s="6">
        <v>0</v>
      </c>
      <c r="AH61" s="6">
        <v>14212.388000000001</v>
      </c>
      <c r="AI61" s="6">
        <v>249.64</v>
      </c>
      <c r="AJ61" s="6">
        <v>218178.448</v>
      </c>
      <c r="AK61" s="6">
        <v>0</v>
      </c>
      <c r="AL61" s="6">
        <v>433.72899999999998</v>
      </c>
      <c r="AM61" s="6">
        <v>875752.90399999998</v>
      </c>
      <c r="AN61" s="6">
        <v>0</v>
      </c>
      <c r="AO61" s="6">
        <v>0</v>
      </c>
      <c r="AP61" s="6">
        <v>0</v>
      </c>
      <c r="AQ61" s="6">
        <v>32940.976000000002</v>
      </c>
      <c r="AR61" s="6">
        <v>26885.981</v>
      </c>
      <c r="AS61" s="6">
        <v>0</v>
      </c>
      <c r="AT61" s="6">
        <v>0</v>
      </c>
      <c r="AU61" s="6">
        <v>0</v>
      </c>
      <c r="AV61" s="6">
        <v>1043.1179999999999</v>
      </c>
      <c r="AW61" s="6">
        <v>1235.8040000000001</v>
      </c>
      <c r="AX61" s="6">
        <v>0</v>
      </c>
      <c r="AY61" s="6">
        <v>0</v>
      </c>
      <c r="AZ61" s="6">
        <v>0</v>
      </c>
      <c r="BA61" s="6">
        <v>251.08799999999999</v>
      </c>
      <c r="BB61" s="6">
        <v>0</v>
      </c>
      <c r="BC61" s="6">
        <v>10982.528</v>
      </c>
      <c r="BD61" s="6">
        <v>0</v>
      </c>
      <c r="BE61" s="6">
        <v>0</v>
      </c>
      <c r="BF61" s="6">
        <v>0</v>
      </c>
      <c r="BG61" s="22"/>
    </row>
    <row r="62" spans="1:59" ht="15.75">
      <c r="A62" s="23"/>
      <c r="B62" s="4" t="s">
        <v>112</v>
      </c>
      <c r="C62" s="4" t="s">
        <v>113</v>
      </c>
      <c r="D62" s="6">
        <v>3</v>
      </c>
      <c r="E62" s="6">
        <v>3</v>
      </c>
      <c r="F62" s="6">
        <v>4763.5200000000004</v>
      </c>
      <c r="G62" s="6">
        <v>807.80700000000002</v>
      </c>
      <c r="H62" s="6">
        <v>1755.1569999999999</v>
      </c>
      <c r="I62" s="6">
        <v>0</v>
      </c>
      <c r="J62" s="6">
        <v>163.36500000000001</v>
      </c>
      <c r="K62" s="6">
        <v>1129.3389999999999</v>
      </c>
      <c r="L62" s="6">
        <v>1564.5229999999999</v>
      </c>
      <c r="M62" s="6">
        <v>1382.5530000000001</v>
      </c>
      <c r="N62" s="6">
        <v>0</v>
      </c>
      <c r="O62" s="6">
        <v>3193.1439999999998</v>
      </c>
      <c r="P62" s="6">
        <v>3538.0770000000002</v>
      </c>
      <c r="Q62" s="6">
        <v>3112.1419999999998</v>
      </c>
      <c r="R62" s="6">
        <v>0</v>
      </c>
      <c r="S62" s="6">
        <v>0</v>
      </c>
      <c r="T62" s="6">
        <v>0.379</v>
      </c>
      <c r="U62" s="6">
        <v>133.25399999999999</v>
      </c>
      <c r="V62" s="6">
        <v>562.74099999999999</v>
      </c>
      <c r="W62" s="6">
        <v>348.221</v>
      </c>
      <c r="X62" s="6">
        <v>0</v>
      </c>
      <c r="Y62" s="6">
        <v>944.92499999999995</v>
      </c>
      <c r="Z62" s="6">
        <v>0</v>
      </c>
      <c r="AA62" s="6">
        <v>146.92400000000001</v>
      </c>
      <c r="AB62" s="6">
        <v>366.89499999999998</v>
      </c>
      <c r="AC62" s="6">
        <v>0</v>
      </c>
      <c r="AD62" s="6">
        <v>983.80899999999997</v>
      </c>
      <c r="AE62" s="6">
        <v>0</v>
      </c>
      <c r="AF62" s="6">
        <v>1137.2860000000001</v>
      </c>
      <c r="AG62" s="6">
        <v>0</v>
      </c>
      <c r="AH62" s="6">
        <v>137.077</v>
      </c>
      <c r="AI62" s="6">
        <v>0</v>
      </c>
      <c r="AJ62" s="6">
        <v>1656.422</v>
      </c>
      <c r="AK62" s="6">
        <v>0</v>
      </c>
      <c r="AL62" s="6">
        <v>0</v>
      </c>
      <c r="AM62" s="6">
        <v>6403.9070000000002</v>
      </c>
      <c r="AN62" s="6">
        <v>0</v>
      </c>
      <c r="AO62" s="6">
        <v>0</v>
      </c>
      <c r="AP62" s="6">
        <v>0</v>
      </c>
      <c r="AQ62" s="6">
        <v>3472.6889999999999</v>
      </c>
      <c r="AR62" s="6">
        <v>2834.3620000000001</v>
      </c>
      <c r="AS62" s="6">
        <v>0</v>
      </c>
      <c r="AT62" s="6">
        <v>0</v>
      </c>
      <c r="AU62" s="6">
        <v>0</v>
      </c>
      <c r="AV62" s="6">
        <v>6.1820000000000004</v>
      </c>
      <c r="AW62" s="6">
        <v>130.28</v>
      </c>
      <c r="AX62" s="6">
        <v>0</v>
      </c>
      <c r="AY62" s="6">
        <v>0</v>
      </c>
      <c r="AZ62" s="6">
        <v>0</v>
      </c>
      <c r="BA62" s="6">
        <v>3.121</v>
      </c>
      <c r="BB62" s="6">
        <v>0</v>
      </c>
      <c r="BC62" s="6">
        <v>95.703999999999994</v>
      </c>
      <c r="BD62" s="6">
        <v>0</v>
      </c>
      <c r="BE62" s="6">
        <v>0</v>
      </c>
      <c r="BF62" s="6">
        <v>0</v>
      </c>
      <c r="BG62" s="22"/>
    </row>
    <row r="63" spans="1:59" ht="15.75">
      <c r="A63" s="23"/>
      <c r="B63" s="4" t="s">
        <v>114</v>
      </c>
      <c r="C63" s="4" t="s">
        <v>115</v>
      </c>
      <c r="D63" s="6">
        <v>3</v>
      </c>
      <c r="E63" s="6">
        <v>3</v>
      </c>
      <c r="F63" s="6">
        <v>115232.849</v>
      </c>
      <c r="G63" s="6">
        <v>17862.541000000001</v>
      </c>
      <c r="H63" s="6">
        <v>44199.249000000003</v>
      </c>
      <c r="I63" s="6">
        <v>207.739</v>
      </c>
      <c r="J63" s="6">
        <v>3856.5140000000001</v>
      </c>
      <c r="K63" s="6">
        <v>28962.624</v>
      </c>
      <c r="L63" s="6">
        <v>31541.197</v>
      </c>
      <c r="M63" s="6">
        <v>33398.506999999998</v>
      </c>
      <c r="N63" s="6">
        <v>56040.072</v>
      </c>
      <c r="O63" s="6">
        <v>76246.255999999994</v>
      </c>
      <c r="P63" s="6">
        <v>76147.165999999997</v>
      </c>
      <c r="Q63" s="6">
        <v>74096.835000000006</v>
      </c>
      <c r="R63" s="6">
        <v>958.69100000000003</v>
      </c>
      <c r="S63" s="6">
        <v>0</v>
      </c>
      <c r="T63" s="6">
        <v>15.273</v>
      </c>
      <c r="U63" s="6">
        <v>513.03700000000003</v>
      </c>
      <c r="V63" s="6">
        <v>2166.5990000000002</v>
      </c>
      <c r="W63" s="6">
        <v>7579.9269999999997</v>
      </c>
      <c r="X63" s="6">
        <v>0</v>
      </c>
      <c r="Y63" s="6">
        <v>3638.0360000000001</v>
      </c>
      <c r="Z63" s="6">
        <v>42805.002</v>
      </c>
      <c r="AA63" s="6">
        <v>3428.2829999999999</v>
      </c>
      <c r="AB63" s="6">
        <v>9179.0840000000007</v>
      </c>
      <c r="AC63" s="6">
        <v>0</v>
      </c>
      <c r="AD63" s="6">
        <v>21493.914000000001</v>
      </c>
      <c r="AE63" s="6">
        <v>0</v>
      </c>
      <c r="AF63" s="6">
        <v>30439.977999999999</v>
      </c>
      <c r="AG63" s="6">
        <v>0</v>
      </c>
      <c r="AH63" s="6">
        <v>2977.5819999999999</v>
      </c>
      <c r="AI63" s="6">
        <v>0</v>
      </c>
      <c r="AJ63" s="6">
        <v>39699.622000000003</v>
      </c>
      <c r="AK63" s="6">
        <v>0</v>
      </c>
      <c r="AL63" s="6">
        <v>209.06100000000001</v>
      </c>
      <c r="AM63" s="6">
        <v>156065.88399999999</v>
      </c>
      <c r="AN63" s="6">
        <v>0</v>
      </c>
      <c r="AO63" s="6">
        <v>0</v>
      </c>
      <c r="AP63" s="6">
        <v>0</v>
      </c>
      <c r="AQ63" s="6">
        <v>13370.130999999999</v>
      </c>
      <c r="AR63" s="6">
        <v>10912.521000000001</v>
      </c>
      <c r="AS63" s="6">
        <v>0</v>
      </c>
      <c r="AT63" s="6">
        <v>8717.2209999999995</v>
      </c>
      <c r="AU63" s="6">
        <v>0</v>
      </c>
      <c r="AV63" s="6">
        <v>166.48599999999999</v>
      </c>
      <c r="AW63" s="6">
        <v>501.59</v>
      </c>
      <c r="AX63" s="6">
        <v>0</v>
      </c>
      <c r="AY63" s="6">
        <v>0</v>
      </c>
      <c r="AZ63" s="6">
        <v>0</v>
      </c>
      <c r="BA63" s="6">
        <v>61.982999999999997</v>
      </c>
      <c r="BB63" s="6">
        <v>0</v>
      </c>
      <c r="BC63" s="6">
        <v>2371.6979999999999</v>
      </c>
      <c r="BD63" s="6">
        <v>0</v>
      </c>
      <c r="BE63" s="6">
        <v>0</v>
      </c>
      <c r="BF63" s="6">
        <v>0</v>
      </c>
      <c r="BG63" s="22"/>
    </row>
    <row r="64" spans="1:59" ht="15.75">
      <c r="A64" s="23"/>
      <c r="B64" s="4" t="s">
        <v>116</v>
      </c>
      <c r="C64" s="4" t="s">
        <v>117</v>
      </c>
      <c r="D64" s="6">
        <v>3</v>
      </c>
      <c r="E64" s="6">
        <v>3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22"/>
    </row>
    <row r="65" spans="1:59" ht="15.75">
      <c r="A65" s="23"/>
      <c r="B65" s="4" t="s">
        <v>118</v>
      </c>
      <c r="C65" s="4" t="s">
        <v>119</v>
      </c>
      <c r="D65" s="6">
        <v>3</v>
      </c>
      <c r="E65" s="6">
        <v>3</v>
      </c>
      <c r="F65" s="6">
        <v>142686.565</v>
      </c>
      <c r="G65" s="6">
        <v>24878.844000000001</v>
      </c>
      <c r="H65" s="6">
        <v>51915.222999999998</v>
      </c>
      <c r="I65" s="6">
        <v>28123.142</v>
      </c>
      <c r="J65" s="6">
        <v>4871.4750000000004</v>
      </c>
      <c r="K65" s="6">
        <v>33342.188000000002</v>
      </c>
      <c r="L65" s="6">
        <v>48879.669000000002</v>
      </c>
      <c r="M65" s="6">
        <v>41530.292000000001</v>
      </c>
      <c r="N65" s="6">
        <v>0</v>
      </c>
      <c r="O65" s="6">
        <v>94860.55</v>
      </c>
      <c r="P65" s="6">
        <v>112899.31299999999</v>
      </c>
      <c r="Q65" s="6">
        <v>93181.38</v>
      </c>
      <c r="R65" s="6">
        <v>0</v>
      </c>
      <c r="S65" s="6">
        <v>0</v>
      </c>
      <c r="T65" s="6">
        <v>8.6929999999999996</v>
      </c>
      <c r="U65" s="6">
        <v>453.08800000000002</v>
      </c>
      <c r="V65" s="6">
        <v>1913.431</v>
      </c>
      <c r="W65" s="6">
        <v>10648.218000000001</v>
      </c>
      <c r="X65" s="6">
        <v>0</v>
      </c>
      <c r="Y65" s="6">
        <v>3212.93</v>
      </c>
      <c r="Z65" s="6">
        <v>0</v>
      </c>
      <c r="AA65" s="6">
        <v>4397.7790000000005</v>
      </c>
      <c r="AB65" s="6">
        <v>10726.835999999999</v>
      </c>
      <c r="AC65" s="6">
        <v>0</v>
      </c>
      <c r="AD65" s="6">
        <v>30224.034</v>
      </c>
      <c r="AE65" s="6">
        <v>0</v>
      </c>
      <c r="AF65" s="6">
        <v>32542.51</v>
      </c>
      <c r="AG65" s="6">
        <v>0</v>
      </c>
      <c r="AH65" s="6">
        <v>4194.2619999999997</v>
      </c>
      <c r="AI65" s="6">
        <v>0</v>
      </c>
      <c r="AJ65" s="6">
        <v>50210.989000000001</v>
      </c>
      <c r="AK65" s="6">
        <v>0</v>
      </c>
      <c r="AL65" s="6">
        <v>0</v>
      </c>
      <c r="AM65" s="6">
        <v>192607.98300000001</v>
      </c>
      <c r="AN65" s="6">
        <v>0</v>
      </c>
      <c r="AO65" s="6">
        <v>0</v>
      </c>
      <c r="AP65" s="6">
        <v>0</v>
      </c>
      <c r="AQ65" s="6">
        <v>11807.824000000001</v>
      </c>
      <c r="AR65" s="6">
        <v>9637.3870000000006</v>
      </c>
      <c r="AS65" s="6">
        <v>0</v>
      </c>
      <c r="AT65" s="6">
        <v>0</v>
      </c>
      <c r="AU65" s="6">
        <v>0</v>
      </c>
      <c r="AV65" s="6">
        <v>175.84399999999999</v>
      </c>
      <c r="AW65" s="6">
        <v>442.97899999999998</v>
      </c>
      <c r="AX65" s="6">
        <v>0</v>
      </c>
      <c r="AY65" s="6">
        <v>0</v>
      </c>
      <c r="AZ65" s="6">
        <v>0</v>
      </c>
      <c r="BA65" s="6">
        <v>97.88</v>
      </c>
      <c r="BB65" s="6">
        <v>0</v>
      </c>
      <c r="BC65" s="6">
        <v>3059.4119999999998</v>
      </c>
      <c r="BD65" s="6">
        <v>0</v>
      </c>
      <c r="BE65" s="6">
        <v>0</v>
      </c>
      <c r="BF65" s="6">
        <v>0</v>
      </c>
      <c r="BG65" s="22"/>
    </row>
    <row r="66" spans="1:59" ht="15.75">
      <c r="A66" s="23"/>
      <c r="B66" s="4" t="s">
        <v>120</v>
      </c>
      <c r="C66" s="4" t="s">
        <v>121</v>
      </c>
      <c r="D66" s="6">
        <v>3</v>
      </c>
      <c r="E66" s="6">
        <v>3</v>
      </c>
      <c r="F66" s="6">
        <v>24387.809000000001</v>
      </c>
      <c r="G66" s="6">
        <v>4255.7049999999999</v>
      </c>
      <c r="H66" s="6">
        <v>8861.4830000000002</v>
      </c>
      <c r="I66" s="6">
        <v>10173.196</v>
      </c>
      <c r="J66" s="6">
        <v>843.197</v>
      </c>
      <c r="K66" s="6">
        <v>5664.46</v>
      </c>
      <c r="L66" s="6">
        <v>8460.5120000000006</v>
      </c>
      <c r="M66" s="6">
        <v>7081.5749999999998</v>
      </c>
      <c r="N66" s="6">
        <v>0</v>
      </c>
      <c r="O66" s="6">
        <v>16419.276000000002</v>
      </c>
      <c r="P66" s="6">
        <v>18788.605</v>
      </c>
      <c r="Q66" s="6">
        <v>16018.145</v>
      </c>
      <c r="R66" s="6">
        <v>0</v>
      </c>
      <c r="S66" s="6">
        <v>0</v>
      </c>
      <c r="T66" s="6">
        <v>1.5049999999999999</v>
      </c>
      <c r="U66" s="6">
        <v>91.153999999999996</v>
      </c>
      <c r="V66" s="6">
        <v>384.952</v>
      </c>
      <c r="W66" s="6">
        <v>1843.085</v>
      </c>
      <c r="X66" s="6">
        <v>0</v>
      </c>
      <c r="Y66" s="6">
        <v>646.39099999999996</v>
      </c>
      <c r="Z66" s="6">
        <v>0</v>
      </c>
      <c r="AA66" s="6">
        <v>761.20500000000004</v>
      </c>
      <c r="AB66" s="6">
        <v>1856.693</v>
      </c>
      <c r="AC66" s="6">
        <v>0</v>
      </c>
      <c r="AD66" s="6">
        <v>5201.5370000000003</v>
      </c>
      <c r="AE66" s="6">
        <v>0</v>
      </c>
      <c r="AF66" s="6">
        <v>5613.31</v>
      </c>
      <c r="AG66" s="6">
        <v>0</v>
      </c>
      <c r="AH66" s="6">
        <v>725.97900000000004</v>
      </c>
      <c r="AI66" s="6">
        <v>0</v>
      </c>
      <c r="AJ66" s="6">
        <v>8506.8559999999998</v>
      </c>
      <c r="AK66" s="6">
        <v>0</v>
      </c>
      <c r="AL66" s="6">
        <v>0</v>
      </c>
      <c r="AM66" s="6">
        <v>32703.856</v>
      </c>
      <c r="AN66" s="6">
        <v>0</v>
      </c>
      <c r="AO66" s="6">
        <v>0</v>
      </c>
      <c r="AP66" s="6">
        <v>0</v>
      </c>
      <c r="AQ66" s="6">
        <v>2375.5479999999998</v>
      </c>
      <c r="AR66" s="6">
        <v>1938.89</v>
      </c>
      <c r="AS66" s="6">
        <v>0</v>
      </c>
      <c r="AT66" s="6">
        <v>0</v>
      </c>
      <c r="AU66" s="6">
        <v>0</v>
      </c>
      <c r="AV66" s="6">
        <v>30.437000000000001</v>
      </c>
      <c r="AW66" s="6">
        <v>89.12</v>
      </c>
      <c r="AX66" s="6">
        <v>0</v>
      </c>
      <c r="AY66" s="6">
        <v>0</v>
      </c>
      <c r="AZ66" s="6">
        <v>0</v>
      </c>
      <c r="BA66" s="6">
        <v>16.942</v>
      </c>
      <c r="BB66" s="6">
        <v>0</v>
      </c>
      <c r="BC66" s="6">
        <v>530.35199999999998</v>
      </c>
      <c r="BD66" s="6">
        <v>0</v>
      </c>
      <c r="BE66" s="6">
        <v>0</v>
      </c>
      <c r="BF66" s="6">
        <v>0</v>
      </c>
      <c r="BG66" s="22"/>
    </row>
    <row r="67" spans="1:59" ht="15.75">
      <c r="A67" s="23"/>
      <c r="B67" s="4" t="s">
        <v>122</v>
      </c>
      <c r="C67" s="4" t="s">
        <v>123</v>
      </c>
      <c r="D67" s="6">
        <v>3</v>
      </c>
      <c r="E67" s="6">
        <v>3</v>
      </c>
      <c r="F67" s="6">
        <v>123795.19100000001</v>
      </c>
      <c r="G67" s="6">
        <v>21602.425999999999</v>
      </c>
      <c r="H67" s="6">
        <v>44981.858</v>
      </c>
      <c r="I67" s="6">
        <v>0</v>
      </c>
      <c r="J67" s="6">
        <v>4280.1589999999997</v>
      </c>
      <c r="K67" s="6">
        <v>28753.418000000001</v>
      </c>
      <c r="L67" s="6">
        <v>42946.483</v>
      </c>
      <c r="M67" s="6">
        <v>35946.851000000002</v>
      </c>
      <c r="N67" s="6">
        <v>11435.031000000001</v>
      </c>
      <c r="O67" s="6">
        <v>83346.043999999994</v>
      </c>
      <c r="P67" s="6">
        <v>95373.017000000007</v>
      </c>
      <c r="Q67" s="6">
        <v>81309.858999999997</v>
      </c>
      <c r="R67" s="6">
        <v>0</v>
      </c>
      <c r="S67" s="6">
        <v>0</v>
      </c>
      <c r="T67" s="6">
        <v>7.6379999999999999</v>
      </c>
      <c r="U67" s="6">
        <v>671.37099999999998</v>
      </c>
      <c r="V67" s="6">
        <v>2835.2570000000001</v>
      </c>
      <c r="W67" s="6">
        <v>9355.7000000000007</v>
      </c>
      <c r="X67" s="6">
        <v>0</v>
      </c>
      <c r="Y67" s="6">
        <v>4760.8100000000004</v>
      </c>
      <c r="Z67" s="6">
        <v>8734.402</v>
      </c>
      <c r="AA67" s="6">
        <v>3863.9609999999998</v>
      </c>
      <c r="AB67" s="6">
        <v>9424.7749999999996</v>
      </c>
      <c r="AC67" s="6">
        <v>0</v>
      </c>
      <c r="AD67" s="6">
        <v>26403.57</v>
      </c>
      <c r="AE67" s="6">
        <v>0</v>
      </c>
      <c r="AF67" s="6">
        <v>28493.776999999998</v>
      </c>
      <c r="AG67" s="6">
        <v>0</v>
      </c>
      <c r="AH67" s="6">
        <v>3685.1480000000001</v>
      </c>
      <c r="AI67" s="6">
        <v>101.3</v>
      </c>
      <c r="AJ67" s="6">
        <v>43181.73</v>
      </c>
      <c r="AK67" s="6">
        <v>0</v>
      </c>
      <c r="AL67" s="6">
        <v>0</v>
      </c>
      <c r="AM67" s="6">
        <v>166008.356</v>
      </c>
      <c r="AN67" s="6">
        <v>0</v>
      </c>
      <c r="AO67" s="6">
        <v>0</v>
      </c>
      <c r="AP67" s="6">
        <v>0</v>
      </c>
      <c r="AQ67" s="6">
        <v>17496.433000000001</v>
      </c>
      <c r="AR67" s="6">
        <v>14280.352999999999</v>
      </c>
      <c r="AS67" s="6">
        <v>0</v>
      </c>
      <c r="AT67" s="6">
        <v>1778.7570000000001</v>
      </c>
      <c r="AU67" s="6">
        <v>0</v>
      </c>
      <c r="AV67" s="6">
        <v>154.499</v>
      </c>
      <c r="AW67" s="6">
        <v>656.39099999999996</v>
      </c>
      <c r="AX67" s="6">
        <v>0</v>
      </c>
      <c r="AY67" s="6">
        <v>0</v>
      </c>
      <c r="AZ67" s="6">
        <v>0</v>
      </c>
      <c r="BA67" s="6">
        <v>85.998999999999995</v>
      </c>
      <c r="BB67" s="6">
        <v>0</v>
      </c>
      <c r="BC67" s="6">
        <v>2681.8229999999999</v>
      </c>
      <c r="BD67" s="6">
        <v>0</v>
      </c>
      <c r="BE67" s="6">
        <v>0</v>
      </c>
      <c r="BF67" s="6">
        <v>0</v>
      </c>
      <c r="BG67" s="22"/>
    </row>
    <row r="68" spans="1:59" ht="15.75">
      <c r="A68" s="23"/>
      <c r="B68" s="4" t="s">
        <v>124</v>
      </c>
      <c r="C68" s="4" t="s">
        <v>125</v>
      </c>
      <c r="D68" s="6">
        <v>3</v>
      </c>
      <c r="E68" s="6">
        <v>3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22"/>
    </row>
    <row r="69" spans="1:59" ht="15.75">
      <c r="A69" s="23"/>
      <c r="B69" s="4" t="s">
        <v>126</v>
      </c>
      <c r="C69" s="4" t="s">
        <v>127</v>
      </c>
      <c r="D69" s="6">
        <v>3</v>
      </c>
      <c r="E69" s="6">
        <v>3</v>
      </c>
      <c r="F69" s="6">
        <v>37517.487000000001</v>
      </c>
      <c r="G69" s="6">
        <v>6546.8509999999997</v>
      </c>
      <c r="H69" s="6">
        <v>13632.244000000001</v>
      </c>
      <c r="I69" s="6">
        <v>10656.974</v>
      </c>
      <c r="J69" s="6">
        <v>1297.1489999999999</v>
      </c>
      <c r="K69" s="6">
        <v>8714.0380000000005</v>
      </c>
      <c r="L69" s="6">
        <v>13015.402</v>
      </c>
      <c r="M69" s="6">
        <v>10894.085999999999</v>
      </c>
      <c r="N69" s="6">
        <v>0</v>
      </c>
      <c r="O69" s="6">
        <v>25258.93</v>
      </c>
      <c r="P69" s="6">
        <v>28903.835999999999</v>
      </c>
      <c r="Q69" s="6">
        <v>24641.842000000001</v>
      </c>
      <c r="R69" s="6">
        <v>0</v>
      </c>
      <c r="S69" s="6">
        <v>0</v>
      </c>
      <c r="T69" s="6">
        <v>2.3149999999999999</v>
      </c>
      <c r="U69" s="6">
        <v>0</v>
      </c>
      <c r="V69" s="6">
        <v>0</v>
      </c>
      <c r="W69" s="6">
        <v>2835.3470000000002</v>
      </c>
      <c r="X69" s="6">
        <v>0</v>
      </c>
      <c r="Y69" s="6">
        <v>0</v>
      </c>
      <c r="Z69" s="6">
        <v>0</v>
      </c>
      <c r="AA69" s="6">
        <v>1171.0160000000001</v>
      </c>
      <c r="AB69" s="6">
        <v>2856.2809999999999</v>
      </c>
      <c r="AC69" s="6">
        <v>0</v>
      </c>
      <c r="AD69" s="6">
        <v>8001.8909999999996</v>
      </c>
      <c r="AE69" s="6">
        <v>0</v>
      </c>
      <c r="AF69" s="6">
        <v>8635.3510000000006</v>
      </c>
      <c r="AG69" s="6">
        <v>0</v>
      </c>
      <c r="AH69" s="6">
        <v>1116.8240000000001</v>
      </c>
      <c r="AI69" s="6">
        <v>0</v>
      </c>
      <c r="AJ69" s="6">
        <v>13086.696</v>
      </c>
      <c r="AK69" s="6">
        <v>0</v>
      </c>
      <c r="AL69" s="6">
        <v>0</v>
      </c>
      <c r="AM69" s="6">
        <v>50310.648000000001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46.823</v>
      </c>
      <c r="AW69" s="6">
        <v>0</v>
      </c>
      <c r="AX69" s="6">
        <v>0</v>
      </c>
      <c r="AY69" s="6">
        <v>0</v>
      </c>
      <c r="AZ69" s="6">
        <v>0</v>
      </c>
      <c r="BA69" s="6">
        <v>26.062999999999999</v>
      </c>
      <c r="BB69" s="6">
        <v>0</v>
      </c>
      <c r="BC69" s="6">
        <v>773.85599999999999</v>
      </c>
      <c r="BD69" s="6">
        <v>0</v>
      </c>
      <c r="BE69" s="6">
        <v>0</v>
      </c>
      <c r="BF69" s="6">
        <v>0</v>
      </c>
      <c r="BG69" s="22"/>
    </row>
    <row r="70" spans="1:59" ht="15.75">
      <c r="A70" s="23"/>
      <c r="B70" s="4" t="s">
        <v>128</v>
      </c>
      <c r="C70" s="4" t="s">
        <v>129</v>
      </c>
      <c r="D70" s="6">
        <v>3</v>
      </c>
      <c r="E70" s="6">
        <v>3</v>
      </c>
      <c r="F70" s="6">
        <v>8557.3439999999991</v>
      </c>
      <c r="G70" s="6">
        <v>1493.268</v>
      </c>
      <c r="H70" s="6">
        <v>3109.3719999999998</v>
      </c>
      <c r="I70" s="6">
        <v>0</v>
      </c>
      <c r="J70" s="6">
        <v>295.86599999999999</v>
      </c>
      <c r="K70" s="6">
        <v>1987.58</v>
      </c>
      <c r="L70" s="6">
        <v>2968.6759999999999</v>
      </c>
      <c r="M70" s="6">
        <v>2484.826</v>
      </c>
      <c r="N70" s="6">
        <v>0</v>
      </c>
      <c r="O70" s="6">
        <v>5761.2960000000003</v>
      </c>
      <c r="P70" s="6">
        <v>6592.6610000000001</v>
      </c>
      <c r="Q70" s="6">
        <v>5620.5450000000001</v>
      </c>
      <c r="R70" s="6">
        <v>0</v>
      </c>
      <c r="S70" s="6">
        <v>0</v>
      </c>
      <c r="T70" s="6">
        <v>0.52800000000000002</v>
      </c>
      <c r="U70" s="6">
        <v>0</v>
      </c>
      <c r="V70" s="6">
        <v>0</v>
      </c>
      <c r="W70" s="6">
        <v>646.71299999999997</v>
      </c>
      <c r="X70" s="6">
        <v>0</v>
      </c>
      <c r="Y70" s="6">
        <v>0</v>
      </c>
      <c r="Z70" s="6">
        <v>0</v>
      </c>
      <c r="AA70" s="6">
        <v>267.096</v>
      </c>
      <c r="AB70" s="6">
        <v>651.48800000000006</v>
      </c>
      <c r="AC70" s="6">
        <v>0</v>
      </c>
      <c r="AD70" s="6">
        <v>1825.1469999999999</v>
      </c>
      <c r="AE70" s="6">
        <v>0</v>
      </c>
      <c r="AF70" s="6">
        <v>1969.633</v>
      </c>
      <c r="AG70" s="6">
        <v>0</v>
      </c>
      <c r="AH70" s="6">
        <v>254.73599999999999</v>
      </c>
      <c r="AI70" s="6">
        <v>0</v>
      </c>
      <c r="AJ70" s="6">
        <v>2984.9380000000001</v>
      </c>
      <c r="AK70" s="6">
        <v>0</v>
      </c>
      <c r="AL70" s="6">
        <v>0</v>
      </c>
      <c r="AM70" s="6">
        <v>11475.33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10.68</v>
      </c>
      <c r="AW70" s="6">
        <v>0</v>
      </c>
      <c r="AX70" s="6">
        <v>0</v>
      </c>
      <c r="AY70" s="6">
        <v>0</v>
      </c>
      <c r="AZ70" s="6">
        <v>0</v>
      </c>
      <c r="BA70" s="6">
        <v>5.9450000000000003</v>
      </c>
      <c r="BB70" s="6">
        <v>0</v>
      </c>
      <c r="BC70" s="6">
        <v>176.50800000000001</v>
      </c>
      <c r="BD70" s="6">
        <v>0</v>
      </c>
      <c r="BE70" s="6">
        <v>0</v>
      </c>
      <c r="BF70" s="6">
        <v>0</v>
      </c>
      <c r="BG70" s="22"/>
    </row>
    <row r="71" spans="1:59" ht="15.75">
      <c r="A71" s="23"/>
      <c r="B71" s="4" t="s">
        <v>130</v>
      </c>
      <c r="C71" s="4" t="s">
        <v>131</v>
      </c>
      <c r="D71" s="6">
        <v>3</v>
      </c>
      <c r="E71" s="6">
        <v>3</v>
      </c>
      <c r="F71" s="6">
        <v>41512.404999999999</v>
      </c>
      <c r="G71" s="6">
        <v>7243.97</v>
      </c>
      <c r="H71" s="6">
        <v>15083.825999999999</v>
      </c>
      <c r="I71" s="6">
        <v>2434.7559999999999</v>
      </c>
      <c r="J71" s="6">
        <v>1435.271</v>
      </c>
      <c r="K71" s="6">
        <v>9641.9220000000005</v>
      </c>
      <c r="L71" s="6">
        <v>14401.300999999999</v>
      </c>
      <c r="M71" s="6">
        <v>12054.105</v>
      </c>
      <c r="N71" s="6">
        <v>0</v>
      </c>
      <c r="O71" s="6">
        <v>27948.539000000001</v>
      </c>
      <c r="P71" s="6">
        <v>31981.56</v>
      </c>
      <c r="Q71" s="6">
        <v>27265.741999999998</v>
      </c>
      <c r="R71" s="6">
        <v>0</v>
      </c>
      <c r="S71" s="6">
        <v>0</v>
      </c>
      <c r="T71" s="6">
        <v>2.5609999999999999</v>
      </c>
      <c r="U71" s="6">
        <v>0.20799999999999999</v>
      </c>
      <c r="V71" s="6">
        <v>0.877</v>
      </c>
      <c r="W71" s="6">
        <v>3137.259</v>
      </c>
      <c r="X71" s="6">
        <v>0</v>
      </c>
      <c r="Y71" s="6">
        <v>1.4730000000000001</v>
      </c>
      <c r="Z71" s="6">
        <v>0</v>
      </c>
      <c r="AA71" s="6">
        <v>1295.7070000000001</v>
      </c>
      <c r="AB71" s="6">
        <v>3160.422</v>
      </c>
      <c r="AC71" s="6">
        <v>0</v>
      </c>
      <c r="AD71" s="6">
        <v>8853.9439999999995</v>
      </c>
      <c r="AE71" s="6">
        <v>0</v>
      </c>
      <c r="AF71" s="6">
        <v>9554.8559999999998</v>
      </c>
      <c r="AG71" s="6">
        <v>0</v>
      </c>
      <c r="AH71" s="6">
        <v>1235.7449999999999</v>
      </c>
      <c r="AI71" s="6">
        <v>0</v>
      </c>
      <c r="AJ71" s="6">
        <v>14480.187</v>
      </c>
      <c r="AK71" s="6">
        <v>6.766</v>
      </c>
      <c r="AL71" s="6">
        <v>0</v>
      </c>
      <c r="AM71" s="6">
        <v>55667.800999999999</v>
      </c>
      <c r="AN71" s="6">
        <v>23.481999999999999</v>
      </c>
      <c r="AO71" s="6">
        <v>0</v>
      </c>
      <c r="AP71" s="6">
        <v>0</v>
      </c>
      <c r="AQ71" s="6">
        <v>5.4130000000000003</v>
      </c>
      <c r="AR71" s="6">
        <v>4.4180000000000001</v>
      </c>
      <c r="AS71" s="6">
        <v>0</v>
      </c>
      <c r="AT71" s="6">
        <v>0</v>
      </c>
      <c r="AU71" s="6">
        <v>0</v>
      </c>
      <c r="AV71" s="6">
        <v>51.808</v>
      </c>
      <c r="AW71" s="6">
        <v>0.20300000000000001</v>
      </c>
      <c r="AX71" s="6">
        <v>0</v>
      </c>
      <c r="AY71" s="6">
        <v>0</v>
      </c>
      <c r="AZ71" s="6">
        <v>0</v>
      </c>
      <c r="BA71" s="6">
        <v>28.838000000000001</v>
      </c>
      <c r="BB71" s="6">
        <v>0</v>
      </c>
      <c r="BC71" s="6">
        <v>856.25699999999995</v>
      </c>
      <c r="BD71" s="6">
        <v>0</v>
      </c>
      <c r="BE71" s="6">
        <v>0</v>
      </c>
      <c r="BF71" s="6">
        <v>0</v>
      </c>
      <c r="BG71" s="22"/>
    </row>
    <row r="72" spans="1:59" ht="15.75">
      <c r="A72" s="23"/>
      <c r="B72" s="4" t="s">
        <v>132</v>
      </c>
      <c r="C72" s="4" t="s">
        <v>133</v>
      </c>
      <c r="D72" s="6">
        <v>3</v>
      </c>
      <c r="E72" s="6">
        <v>3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22"/>
    </row>
    <row r="73" spans="1:59" ht="15.75">
      <c r="A73" s="23"/>
      <c r="B73" s="4" t="s">
        <v>134</v>
      </c>
      <c r="C73" s="4" t="s">
        <v>135</v>
      </c>
      <c r="D73" s="6">
        <v>6</v>
      </c>
      <c r="E73" s="6">
        <v>6</v>
      </c>
      <c r="F73" s="6">
        <v>38818.366999999998</v>
      </c>
      <c r="G73" s="6">
        <v>5506.2550000000001</v>
      </c>
      <c r="H73" s="6">
        <v>15542.673000000001</v>
      </c>
      <c r="I73" s="6">
        <v>1892.1210000000001</v>
      </c>
      <c r="J73" s="6">
        <v>1128.5340000000001</v>
      </c>
      <c r="K73" s="6">
        <v>10466.285</v>
      </c>
      <c r="L73" s="6">
        <v>12832.396000000001</v>
      </c>
      <c r="M73" s="6">
        <v>8484.0640000000003</v>
      </c>
      <c r="N73" s="6">
        <v>0</v>
      </c>
      <c r="O73" s="6">
        <v>22152.788</v>
      </c>
      <c r="P73" s="6">
        <v>24534.866999999998</v>
      </c>
      <c r="Q73" s="6">
        <v>22578.148000000001</v>
      </c>
      <c r="R73" s="6">
        <v>0</v>
      </c>
      <c r="S73" s="6">
        <v>0</v>
      </c>
      <c r="T73" s="6">
        <v>63.716000000000001</v>
      </c>
      <c r="U73" s="6">
        <v>0</v>
      </c>
      <c r="V73" s="6">
        <v>138.05199999999999</v>
      </c>
      <c r="W73" s="6">
        <v>1243.951</v>
      </c>
      <c r="X73" s="6">
        <v>0</v>
      </c>
      <c r="Y73" s="6">
        <v>0</v>
      </c>
      <c r="Z73" s="6">
        <v>0</v>
      </c>
      <c r="AA73" s="6">
        <v>842.44399999999996</v>
      </c>
      <c r="AB73" s="6">
        <v>2730.5149999999999</v>
      </c>
      <c r="AC73" s="6">
        <v>0</v>
      </c>
      <c r="AD73" s="6">
        <v>6850.7780000000002</v>
      </c>
      <c r="AE73" s="6">
        <v>0</v>
      </c>
      <c r="AF73" s="6">
        <v>10027.075999999999</v>
      </c>
      <c r="AG73" s="6">
        <v>0</v>
      </c>
      <c r="AH73" s="6">
        <v>675.30200000000002</v>
      </c>
      <c r="AI73" s="6">
        <v>0</v>
      </c>
      <c r="AJ73" s="6">
        <v>24494.351999999999</v>
      </c>
      <c r="AK73" s="6">
        <v>0</v>
      </c>
      <c r="AL73" s="6">
        <v>0</v>
      </c>
      <c r="AM73" s="6">
        <v>59815.343999999997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49.249000000000002</v>
      </c>
      <c r="AW73" s="6">
        <v>0</v>
      </c>
      <c r="AX73" s="6">
        <v>0</v>
      </c>
      <c r="AY73" s="6">
        <v>0</v>
      </c>
      <c r="AZ73" s="6">
        <v>0</v>
      </c>
      <c r="BA73" s="6">
        <v>6.0890000000000004</v>
      </c>
      <c r="BB73" s="6">
        <v>0</v>
      </c>
      <c r="BC73" s="6">
        <v>383.70100000000002</v>
      </c>
      <c r="BD73" s="6">
        <v>0</v>
      </c>
      <c r="BE73" s="6">
        <v>0</v>
      </c>
      <c r="BF73" s="6">
        <v>0</v>
      </c>
      <c r="BG73" s="22"/>
    </row>
    <row r="74" spans="1:59" ht="15.75">
      <c r="A74" s="23"/>
      <c r="B74" s="4" t="s">
        <v>136</v>
      </c>
      <c r="C74" s="4" t="s">
        <v>137</v>
      </c>
      <c r="D74" s="6">
        <v>6</v>
      </c>
      <c r="E74" s="6">
        <v>6</v>
      </c>
      <c r="F74" s="6">
        <v>905.05200000000002</v>
      </c>
      <c r="G74" s="6">
        <v>130.54</v>
      </c>
      <c r="H74" s="6">
        <v>191.19800000000001</v>
      </c>
      <c r="I74" s="6">
        <v>0</v>
      </c>
      <c r="J74" s="6">
        <v>33.258000000000003</v>
      </c>
      <c r="K74" s="6">
        <v>112.286</v>
      </c>
      <c r="L74" s="6">
        <v>938.98400000000004</v>
      </c>
      <c r="M74" s="6">
        <v>84.400999999999996</v>
      </c>
      <c r="N74" s="6">
        <v>0</v>
      </c>
      <c r="O74" s="6">
        <v>434.60199999999998</v>
      </c>
      <c r="P74" s="6">
        <v>1013.4349999999999</v>
      </c>
      <c r="Q74" s="6">
        <v>433.32600000000002</v>
      </c>
      <c r="R74" s="6">
        <v>0</v>
      </c>
      <c r="S74" s="6">
        <v>0</v>
      </c>
      <c r="T74" s="6">
        <v>6.4820000000000002</v>
      </c>
      <c r="U74" s="6">
        <v>0</v>
      </c>
      <c r="V74" s="6">
        <v>0.19</v>
      </c>
      <c r="W74" s="6">
        <v>0</v>
      </c>
      <c r="X74" s="6">
        <v>0</v>
      </c>
      <c r="Y74" s="6">
        <v>0</v>
      </c>
      <c r="Z74" s="6">
        <v>0</v>
      </c>
      <c r="AA74" s="6">
        <v>14.002000000000001</v>
      </c>
      <c r="AB74" s="6">
        <v>46.564999999999998</v>
      </c>
      <c r="AC74" s="6">
        <v>0</v>
      </c>
      <c r="AD74" s="6">
        <v>375.84899999999999</v>
      </c>
      <c r="AE74" s="6">
        <v>0</v>
      </c>
      <c r="AF74" s="6">
        <v>129.67400000000001</v>
      </c>
      <c r="AG74" s="6">
        <v>0</v>
      </c>
      <c r="AH74" s="6">
        <v>21.952000000000002</v>
      </c>
      <c r="AI74" s="6">
        <v>0</v>
      </c>
      <c r="AJ74" s="6">
        <v>1161.143</v>
      </c>
      <c r="AK74" s="6">
        <v>0</v>
      </c>
      <c r="AL74" s="6">
        <v>0</v>
      </c>
      <c r="AM74" s="6">
        <v>1887.9349999999999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22"/>
    </row>
    <row r="75" spans="1:59" ht="15.75">
      <c r="A75" s="23"/>
      <c r="B75" s="4" t="s">
        <v>138</v>
      </c>
      <c r="C75" s="4" t="s">
        <v>139</v>
      </c>
      <c r="D75" s="6">
        <v>6</v>
      </c>
      <c r="E75" s="6">
        <v>6</v>
      </c>
      <c r="F75" s="6">
        <v>7189.4840000000004</v>
      </c>
      <c r="G75" s="6">
        <v>1902.7239999999999</v>
      </c>
      <c r="H75" s="6">
        <v>693.423</v>
      </c>
      <c r="I75" s="6">
        <v>0</v>
      </c>
      <c r="J75" s="6">
        <v>86.774000000000001</v>
      </c>
      <c r="K75" s="6">
        <v>1426.258</v>
      </c>
      <c r="L75" s="6">
        <v>1706.076</v>
      </c>
      <c r="M75" s="6">
        <v>684.80899999999997</v>
      </c>
      <c r="N75" s="6">
        <v>0</v>
      </c>
      <c r="O75" s="6">
        <v>2434.8229999999999</v>
      </c>
      <c r="P75" s="6">
        <v>25428.475999999999</v>
      </c>
      <c r="Q75" s="6">
        <v>2890.7759999999998</v>
      </c>
      <c r="R75" s="6">
        <v>0</v>
      </c>
      <c r="S75" s="6">
        <v>0</v>
      </c>
      <c r="T75" s="6">
        <v>9.02</v>
      </c>
      <c r="U75" s="6">
        <v>0</v>
      </c>
      <c r="V75" s="6">
        <v>407.28800000000001</v>
      </c>
      <c r="W75" s="6">
        <v>89.337999999999994</v>
      </c>
      <c r="X75" s="6">
        <v>0</v>
      </c>
      <c r="Y75" s="6">
        <v>0</v>
      </c>
      <c r="Z75" s="6">
        <v>0</v>
      </c>
      <c r="AA75" s="6">
        <v>56.222999999999999</v>
      </c>
      <c r="AB75" s="6">
        <v>154.26599999999999</v>
      </c>
      <c r="AC75" s="6">
        <v>0</v>
      </c>
      <c r="AD75" s="6">
        <v>770.87199999999996</v>
      </c>
      <c r="AE75" s="6">
        <v>0</v>
      </c>
      <c r="AF75" s="6">
        <v>451.06400000000002</v>
      </c>
      <c r="AG75" s="6">
        <v>0</v>
      </c>
      <c r="AH75" s="6">
        <v>65.486999999999995</v>
      </c>
      <c r="AI75" s="6">
        <v>0</v>
      </c>
      <c r="AJ75" s="6">
        <v>4590.433</v>
      </c>
      <c r="AK75" s="6">
        <v>0</v>
      </c>
      <c r="AL75" s="6">
        <v>0</v>
      </c>
      <c r="AM75" s="6">
        <v>19354.789000000001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1.4750000000000001</v>
      </c>
      <c r="AW75" s="6">
        <v>0</v>
      </c>
      <c r="AX75" s="6">
        <v>0</v>
      </c>
      <c r="AY75" s="6">
        <v>0</v>
      </c>
      <c r="AZ75" s="6">
        <v>0</v>
      </c>
      <c r="BA75" s="6">
        <v>0.82099999999999995</v>
      </c>
      <c r="BB75" s="6">
        <v>0</v>
      </c>
      <c r="BC75" s="6">
        <v>24.382999999999999</v>
      </c>
      <c r="BD75" s="6">
        <v>0</v>
      </c>
      <c r="BE75" s="6">
        <v>0</v>
      </c>
      <c r="BF75" s="6">
        <v>0</v>
      </c>
      <c r="BG75" s="22"/>
    </row>
    <row r="76" spans="1:59" ht="15.75">
      <c r="A76" s="23"/>
      <c r="B76" s="4" t="s">
        <v>140</v>
      </c>
      <c r="C76" s="4" t="s">
        <v>141</v>
      </c>
      <c r="D76" s="6">
        <v>6</v>
      </c>
      <c r="E76" s="6">
        <v>6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22"/>
    </row>
    <row r="77" spans="1:59" ht="15.75">
      <c r="A77" s="23"/>
      <c r="B77" s="4" t="s">
        <v>142</v>
      </c>
      <c r="C77" s="4" t="s">
        <v>143</v>
      </c>
      <c r="D77" s="6">
        <v>6</v>
      </c>
      <c r="E77" s="6">
        <v>6</v>
      </c>
      <c r="F77" s="6">
        <v>2754.165</v>
      </c>
      <c r="G77" s="6">
        <v>887.82500000000005</v>
      </c>
      <c r="H77" s="6">
        <v>557.63699999999994</v>
      </c>
      <c r="I77" s="6">
        <v>0</v>
      </c>
      <c r="J77" s="6">
        <v>93.215999999999994</v>
      </c>
      <c r="K77" s="6">
        <v>318.339</v>
      </c>
      <c r="L77" s="6">
        <v>2631.7849999999999</v>
      </c>
      <c r="M77" s="6">
        <v>236.55799999999999</v>
      </c>
      <c r="N77" s="6">
        <v>0</v>
      </c>
      <c r="O77" s="6">
        <v>1218.1030000000001</v>
      </c>
      <c r="P77" s="6">
        <v>5674.5870000000004</v>
      </c>
      <c r="Q77" s="6">
        <v>1258.0229999999999</v>
      </c>
      <c r="R77" s="6">
        <v>0</v>
      </c>
      <c r="S77" s="6">
        <v>0</v>
      </c>
      <c r="T77" s="6">
        <v>18.169</v>
      </c>
      <c r="U77" s="6">
        <v>0</v>
      </c>
      <c r="V77" s="6">
        <v>83.046999999999997</v>
      </c>
      <c r="W77" s="6">
        <v>0</v>
      </c>
      <c r="X77" s="6">
        <v>0</v>
      </c>
      <c r="Y77" s="6">
        <v>0</v>
      </c>
      <c r="Z77" s="6">
        <v>0</v>
      </c>
      <c r="AA77" s="6">
        <v>39.246000000000002</v>
      </c>
      <c r="AB77" s="6">
        <v>130.512</v>
      </c>
      <c r="AC77" s="6">
        <v>0</v>
      </c>
      <c r="AD77" s="6">
        <v>1053.4280000000001</v>
      </c>
      <c r="AE77" s="6">
        <v>0</v>
      </c>
      <c r="AF77" s="6">
        <v>363.45100000000002</v>
      </c>
      <c r="AG77" s="6">
        <v>0</v>
      </c>
      <c r="AH77" s="6">
        <v>61.527000000000001</v>
      </c>
      <c r="AI77" s="6">
        <v>0</v>
      </c>
      <c r="AJ77" s="6">
        <v>4341.9459999999999</v>
      </c>
      <c r="AK77" s="6">
        <v>0</v>
      </c>
      <c r="AL77" s="6">
        <v>0</v>
      </c>
      <c r="AM77" s="6">
        <v>6612.8429999999998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76.778999999999996</v>
      </c>
      <c r="BD77" s="6">
        <v>0</v>
      </c>
      <c r="BE77" s="6">
        <v>0</v>
      </c>
      <c r="BF77" s="6">
        <v>0</v>
      </c>
      <c r="BG77" s="22"/>
    </row>
    <row r="78" spans="1:59" ht="15.75">
      <c r="A78" s="23"/>
      <c r="B78" s="4" t="s">
        <v>144</v>
      </c>
      <c r="C78" s="4" t="s">
        <v>145</v>
      </c>
      <c r="D78" s="6">
        <v>6</v>
      </c>
      <c r="E78" s="6">
        <v>6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22"/>
    </row>
    <row r="79" spans="1:59" ht="15.75">
      <c r="A79" s="23"/>
      <c r="B79" s="4" t="s">
        <v>146</v>
      </c>
      <c r="C79" s="4" t="s">
        <v>147</v>
      </c>
      <c r="D79" s="6">
        <v>6</v>
      </c>
      <c r="E79" s="6">
        <v>6</v>
      </c>
      <c r="F79" s="6">
        <v>9362.0609999999997</v>
      </c>
      <c r="G79" s="6">
        <v>1686.508</v>
      </c>
      <c r="H79" s="6">
        <v>2616.7179999999998</v>
      </c>
      <c r="I79" s="6">
        <v>0</v>
      </c>
      <c r="J79" s="6">
        <v>223.40700000000001</v>
      </c>
      <c r="K79" s="6">
        <v>2000.7929999999999</v>
      </c>
      <c r="L79" s="6">
        <v>5217.8140000000003</v>
      </c>
      <c r="M79" s="6">
        <v>937.61500000000001</v>
      </c>
      <c r="N79" s="6">
        <v>0</v>
      </c>
      <c r="O79" s="6">
        <v>3628.2310000000002</v>
      </c>
      <c r="P79" s="6">
        <v>16922.603999999999</v>
      </c>
      <c r="Q79" s="6">
        <v>4460.8720000000003</v>
      </c>
      <c r="R79" s="6">
        <v>0</v>
      </c>
      <c r="S79" s="6">
        <v>0</v>
      </c>
      <c r="T79" s="6">
        <v>31.981000000000002</v>
      </c>
      <c r="U79" s="6">
        <v>0</v>
      </c>
      <c r="V79" s="6">
        <v>178.768</v>
      </c>
      <c r="W79" s="6">
        <v>130.875</v>
      </c>
      <c r="X79" s="6">
        <v>0</v>
      </c>
      <c r="Y79" s="6">
        <v>0</v>
      </c>
      <c r="Z79" s="6">
        <v>0</v>
      </c>
      <c r="AA79" s="6">
        <v>122.90300000000001</v>
      </c>
      <c r="AB79" s="6">
        <v>360.803</v>
      </c>
      <c r="AC79" s="6">
        <v>0</v>
      </c>
      <c r="AD79" s="6">
        <v>2469.5309999999999</v>
      </c>
      <c r="AE79" s="6">
        <v>0</v>
      </c>
      <c r="AF79" s="6">
        <v>1154.1099999999999</v>
      </c>
      <c r="AG79" s="6">
        <v>0</v>
      </c>
      <c r="AH79" s="6">
        <v>159.489</v>
      </c>
      <c r="AI79" s="6">
        <v>0</v>
      </c>
      <c r="AJ79" s="6">
        <v>8580.3919999999998</v>
      </c>
      <c r="AK79" s="6">
        <v>0</v>
      </c>
      <c r="AL79" s="6">
        <v>0</v>
      </c>
      <c r="AM79" s="6">
        <v>20101.71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2.161</v>
      </c>
      <c r="AW79" s="6">
        <v>0</v>
      </c>
      <c r="AX79" s="6">
        <v>0</v>
      </c>
      <c r="AY79" s="6">
        <v>0</v>
      </c>
      <c r="AZ79" s="6">
        <v>0</v>
      </c>
      <c r="BA79" s="6">
        <v>1.2030000000000001</v>
      </c>
      <c r="BB79" s="6">
        <v>0</v>
      </c>
      <c r="BC79" s="6">
        <v>35.72</v>
      </c>
      <c r="BD79" s="6">
        <v>0</v>
      </c>
      <c r="BE79" s="6">
        <v>0</v>
      </c>
      <c r="BF79" s="6">
        <v>0</v>
      </c>
      <c r="BG79" s="22"/>
    </row>
    <row r="80" spans="1:59" ht="15.75">
      <c r="A80" s="23"/>
      <c r="B80" s="4" t="s">
        <v>148</v>
      </c>
      <c r="C80" s="4" t="s">
        <v>149</v>
      </c>
      <c r="D80" s="6">
        <v>6</v>
      </c>
      <c r="E80" s="6">
        <v>6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22"/>
    </row>
    <row r="81" spans="1:59" ht="15.75">
      <c r="A81" s="23"/>
      <c r="B81" s="4" t="s">
        <v>150</v>
      </c>
      <c r="C81" s="4" t="s">
        <v>151</v>
      </c>
      <c r="D81" s="6">
        <v>6</v>
      </c>
      <c r="E81" s="6">
        <v>6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22"/>
    </row>
    <row r="82" spans="1:59" ht="15.75">
      <c r="A82" s="23"/>
      <c r="B82" s="4" t="s">
        <v>152</v>
      </c>
      <c r="C82" s="4" t="s">
        <v>153</v>
      </c>
      <c r="D82" s="6">
        <v>6</v>
      </c>
      <c r="E82" s="6">
        <v>6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22"/>
    </row>
    <row r="83" spans="1:59" ht="15.75">
      <c r="A83" s="23"/>
      <c r="B83" s="4" t="s">
        <v>154</v>
      </c>
      <c r="C83" s="4" t="s">
        <v>155</v>
      </c>
      <c r="D83" s="6">
        <v>6</v>
      </c>
      <c r="E83" s="6">
        <v>6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22"/>
    </row>
    <row r="84" spans="1:59" ht="15.75">
      <c r="A84" s="23"/>
      <c r="B84" s="4" t="s">
        <v>156</v>
      </c>
      <c r="C84" s="4" t="s">
        <v>157</v>
      </c>
      <c r="D84" s="6">
        <v>6</v>
      </c>
      <c r="E84" s="6">
        <v>6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22"/>
    </row>
    <row r="85" spans="1:59" ht="15.75">
      <c r="A85" s="23"/>
      <c r="B85" s="4" t="s">
        <v>158</v>
      </c>
      <c r="C85" s="4" t="s">
        <v>159</v>
      </c>
      <c r="D85" s="6">
        <v>6</v>
      </c>
      <c r="E85" s="6">
        <v>6</v>
      </c>
      <c r="F85" s="6">
        <v>2.347</v>
      </c>
      <c r="G85" s="6">
        <v>1.1200000000000001</v>
      </c>
      <c r="H85" s="6">
        <v>1.0740000000000001</v>
      </c>
      <c r="I85" s="6">
        <v>2379.5709999999999</v>
      </c>
      <c r="J85" s="6">
        <v>0.13500000000000001</v>
      </c>
      <c r="K85" s="6">
        <v>0.58099999999999996</v>
      </c>
      <c r="L85" s="6">
        <v>25.64</v>
      </c>
      <c r="M85" s="6">
        <v>1.5649999999999999</v>
      </c>
      <c r="N85" s="6">
        <v>0</v>
      </c>
      <c r="O85" s="6">
        <v>1.8380000000000001</v>
      </c>
      <c r="P85" s="6">
        <v>18.155000000000001</v>
      </c>
      <c r="Q85" s="6">
        <v>2.3410000000000002</v>
      </c>
      <c r="R85" s="6">
        <v>0</v>
      </c>
      <c r="S85" s="6">
        <v>0</v>
      </c>
      <c r="T85" s="6">
        <v>2.3E-2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0.01</v>
      </c>
      <c r="AB85" s="6">
        <v>4.1000000000000002E-2</v>
      </c>
      <c r="AC85" s="6">
        <v>0</v>
      </c>
      <c r="AD85" s="6">
        <v>0.115</v>
      </c>
      <c r="AE85" s="6">
        <v>0</v>
      </c>
      <c r="AF85" s="6">
        <v>0.105</v>
      </c>
      <c r="AG85" s="6">
        <v>0</v>
      </c>
      <c r="AH85" s="6">
        <v>1.2999999999999999E-2</v>
      </c>
      <c r="AI85" s="6">
        <v>0</v>
      </c>
      <c r="AJ85" s="6">
        <v>0.27500000000000002</v>
      </c>
      <c r="AK85" s="6">
        <v>0</v>
      </c>
      <c r="AL85" s="6">
        <v>0</v>
      </c>
      <c r="AM85" s="6">
        <v>0.999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22"/>
    </row>
    <row r="86" spans="1:59" ht="15.75">
      <c r="A86" s="23"/>
      <c r="B86" s="4" t="s">
        <v>160</v>
      </c>
      <c r="C86" s="4" t="s">
        <v>161</v>
      </c>
      <c r="D86" s="6">
        <v>6</v>
      </c>
      <c r="E86" s="6">
        <v>6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22"/>
    </row>
    <row r="87" spans="1:59" ht="15.75">
      <c r="A87" s="23"/>
      <c r="B87" s="4" t="s">
        <v>162</v>
      </c>
      <c r="C87" s="4" t="s">
        <v>163</v>
      </c>
      <c r="D87" s="6">
        <v>6</v>
      </c>
      <c r="E87" s="6">
        <v>6</v>
      </c>
      <c r="F87" s="6">
        <v>8692.0669999999991</v>
      </c>
      <c r="G87" s="6">
        <v>2042.385</v>
      </c>
      <c r="H87" s="6">
        <v>2631.8690000000001</v>
      </c>
      <c r="I87" s="6">
        <v>0</v>
      </c>
      <c r="J87" s="6">
        <v>444.029</v>
      </c>
      <c r="K87" s="6">
        <v>1886.1369999999999</v>
      </c>
      <c r="L87" s="6">
        <v>7317.6409999999996</v>
      </c>
      <c r="M87" s="6">
        <v>2115.71</v>
      </c>
      <c r="N87" s="6">
        <v>0</v>
      </c>
      <c r="O87" s="6">
        <v>5669.3710000000001</v>
      </c>
      <c r="P87" s="6">
        <v>16804.349999999999</v>
      </c>
      <c r="Q87" s="6">
        <v>4800.3029999999999</v>
      </c>
      <c r="R87" s="6">
        <v>0</v>
      </c>
      <c r="S87" s="6">
        <v>0</v>
      </c>
      <c r="T87" s="6">
        <v>71.539000000000001</v>
      </c>
      <c r="U87" s="6">
        <v>0</v>
      </c>
      <c r="V87" s="6">
        <v>111.262</v>
      </c>
      <c r="W87" s="6">
        <v>454.52</v>
      </c>
      <c r="X87" s="6">
        <v>0</v>
      </c>
      <c r="Y87" s="6">
        <v>0</v>
      </c>
      <c r="Z87" s="6">
        <v>0</v>
      </c>
      <c r="AA87" s="6">
        <v>193.65799999999999</v>
      </c>
      <c r="AB87" s="6">
        <v>477.62299999999999</v>
      </c>
      <c r="AC87" s="6">
        <v>0</v>
      </c>
      <c r="AD87" s="6">
        <v>1540.884</v>
      </c>
      <c r="AE87" s="6">
        <v>0</v>
      </c>
      <c r="AF87" s="6">
        <v>1439.28</v>
      </c>
      <c r="AG87" s="6">
        <v>0</v>
      </c>
      <c r="AH87" s="6">
        <v>188.34200000000001</v>
      </c>
      <c r="AI87" s="6">
        <v>0</v>
      </c>
      <c r="AJ87" s="6">
        <v>3698.873</v>
      </c>
      <c r="AK87" s="6">
        <v>0</v>
      </c>
      <c r="AL87" s="6">
        <v>0</v>
      </c>
      <c r="AM87" s="6">
        <v>15795.898999999999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7.5060000000000002</v>
      </c>
      <c r="AW87" s="6">
        <v>0</v>
      </c>
      <c r="AX87" s="6">
        <v>0</v>
      </c>
      <c r="AY87" s="6">
        <v>0</v>
      </c>
      <c r="AZ87" s="6">
        <v>0</v>
      </c>
      <c r="BA87" s="6">
        <v>4.1779999999999999</v>
      </c>
      <c r="BB87" s="6">
        <v>0</v>
      </c>
      <c r="BC87" s="6">
        <v>124.053</v>
      </c>
      <c r="BD87" s="6">
        <v>0</v>
      </c>
      <c r="BE87" s="6">
        <v>0</v>
      </c>
      <c r="BF87" s="6">
        <v>0</v>
      </c>
      <c r="BG87" s="22"/>
    </row>
    <row r="88" spans="1:59" ht="15.75">
      <c r="A88" s="23"/>
      <c r="B88" s="4" t="s">
        <v>164</v>
      </c>
      <c r="C88" s="4" t="s">
        <v>165</v>
      </c>
      <c r="D88" s="6">
        <v>6</v>
      </c>
      <c r="E88" s="6">
        <v>6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22"/>
    </row>
    <row r="89" spans="1:59" ht="15.75">
      <c r="A89" s="23"/>
      <c r="B89" s="4" t="s">
        <v>166</v>
      </c>
      <c r="C89" s="4" t="s">
        <v>167</v>
      </c>
      <c r="D89" s="6">
        <v>3</v>
      </c>
      <c r="E89" s="6">
        <v>3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1213.75</v>
      </c>
      <c r="AZ89" s="6">
        <v>0</v>
      </c>
      <c r="BA89" s="6">
        <v>4.6029999999999998</v>
      </c>
      <c r="BB89" s="6">
        <v>0</v>
      </c>
      <c r="BC89" s="6">
        <v>36.640999999999998</v>
      </c>
      <c r="BD89" s="6">
        <v>0</v>
      </c>
      <c r="BE89" s="6">
        <v>0</v>
      </c>
      <c r="BF89" s="6">
        <v>0</v>
      </c>
      <c r="BG89" s="22"/>
    </row>
    <row r="90" spans="1:59" ht="15.75">
      <c r="A90" s="23"/>
      <c r="B90" s="4" t="s">
        <v>168</v>
      </c>
      <c r="C90" s="4" t="s">
        <v>169</v>
      </c>
      <c r="D90" s="6">
        <v>3</v>
      </c>
      <c r="E90" s="6">
        <v>3</v>
      </c>
      <c r="F90" s="6">
        <v>37785.517</v>
      </c>
      <c r="G90" s="6">
        <v>6430.2280000000001</v>
      </c>
      <c r="H90" s="6">
        <v>14368.664000000001</v>
      </c>
      <c r="I90" s="6">
        <v>0</v>
      </c>
      <c r="J90" s="6">
        <v>1228.538</v>
      </c>
      <c r="K90" s="6">
        <v>9776.8490000000002</v>
      </c>
      <c r="L90" s="6">
        <v>12326.968999999999</v>
      </c>
      <c r="M90" s="6">
        <v>10317.858</v>
      </c>
      <c r="N90" s="6">
        <v>0</v>
      </c>
      <c r="O90" s="6">
        <v>23922.892</v>
      </c>
      <c r="P90" s="6">
        <v>28315.741999999998</v>
      </c>
      <c r="Q90" s="6">
        <v>25127.169000000002</v>
      </c>
      <c r="R90" s="6">
        <v>0</v>
      </c>
      <c r="S90" s="6">
        <v>0</v>
      </c>
      <c r="T90" s="6">
        <v>2.1920000000000002</v>
      </c>
      <c r="U90" s="6">
        <v>0</v>
      </c>
      <c r="V90" s="6">
        <v>132.49799999999999</v>
      </c>
      <c r="W90" s="6">
        <v>2685.375</v>
      </c>
      <c r="X90" s="6">
        <v>0</v>
      </c>
      <c r="Y90" s="6">
        <v>0</v>
      </c>
      <c r="Z90" s="6">
        <v>0</v>
      </c>
      <c r="AA90" s="6">
        <v>1109.076</v>
      </c>
      <c r="AB90" s="6">
        <v>2705.2020000000002</v>
      </c>
      <c r="AC90" s="6">
        <v>0</v>
      </c>
      <c r="AD90" s="6">
        <v>7578.6409999999996</v>
      </c>
      <c r="AE90" s="6">
        <v>0</v>
      </c>
      <c r="AF90" s="6">
        <v>8178.5950000000003</v>
      </c>
      <c r="AG90" s="6">
        <v>0</v>
      </c>
      <c r="AH90" s="6">
        <v>1057.751</v>
      </c>
      <c r="AI90" s="6">
        <v>0</v>
      </c>
      <c r="AJ90" s="6">
        <v>16524.019</v>
      </c>
      <c r="AK90" s="6">
        <v>0</v>
      </c>
      <c r="AL90" s="6">
        <v>0</v>
      </c>
      <c r="AM90" s="6">
        <v>52066.137000000002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44.345999999999997</v>
      </c>
      <c r="AW90" s="6">
        <v>0</v>
      </c>
      <c r="AX90" s="6">
        <v>0</v>
      </c>
      <c r="AY90" s="6">
        <v>0</v>
      </c>
      <c r="AZ90" s="6">
        <v>0</v>
      </c>
      <c r="BA90" s="6">
        <v>24.684000000000001</v>
      </c>
      <c r="BB90" s="6">
        <v>0</v>
      </c>
      <c r="BC90" s="6">
        <v>732.92399999999998</v>
      </c>
      <c r="BD90" s="6">
        <v>0</v>
      </c>
      <c r="BE90" s="6">
        <v>0</v>
      </c>
      <c r="BF90" s="6">
        <v>0</v>
      </c>
      <c r="BG90" s="22"/>
    </row>
    <row r="91" spans="1:59" ht="15.75">
      <c r="A91" s="23"/>
      <c r="B91" s="4" t="s">
        <v>170</v>
      </c>
      <c r="C91" s="4" t="s">
        <v>171</v>
      </c>
      <c r="D91" s="6">
        <v>3</v>
      </c>
      <c r="E91" s="6">
        <v>3</v>
      </c>
      <c r="F91" s="6">
        <v>55980.881000000001</v>
      </c>
      <c r="G91" s="6">
        <v>9768.7379999999994</v>
      </c>
      <c r="H91" s="6">
        <v>20341.048999999999</v>
      </c>
      <c r="I91" s="6">
        <v>0</v>
      </c>
      <c r="J91" s="6">
        <v>1935.5119999999999</v>
      </c>
      <c r="K91" s="6">
        <v>13002.457</v>
      </c>
      <c r="L91" s="6">
        <v>19420.641</v>
      </c>
      <c r="M91" s="6">
        <v>16255.368</v>
      </c>
      <c r="N91" s="6">
        <v>0</v>
      </c>
      <c r="O91" s="6">
        <v>37689.548999999999</v>
      </c>
      <c r="P91" s="6">
        <v>43128.214</v>
      </c>
      <c r="Q91" s="6">
        <v>36768.775000000001</v>
      </c>
      <c r="R91" s="6">
        <v>0</v>
      </c>
      <c r="S91" s="6">
        <v>0</v>
      </c>
      <c r="T91" s="6">
        <v>3.4540000000000002</v>
      </c>
      <c r="U91" s="6">
        <v>0</v>
      </c>
      <c r="V91" s="6">
        <v>0</v>
      </c>
      <c r="W91" s="6">
        <v>4230.7</v>
      </c>
      <c r="X91" s="6">
        <v>0</v>
      </c>
      <c r="Y91" s="6">
        <v>0</v>
      </c>
      <c r="Z91" s="6">
        <v>0</v>
      </c>
      <c r="AA91" s="6">
        <v>1747.3050000000001</v>
      </c>
      <c r="AB91" s="6">
        <v>4261.9359999999997</v>
      </c>
      <c r="AC91" s="6">
        <v>0</v>
      </c>
      <c r="AD91" s="6">
        <v>11939.843000000001</v>
      </c>
      <c r="AE91" s="6">
        <v>0</v>
      </c>
      <c r="AF91" s="6">
        <v>12885.046</v>
      </c>
      <c r="AG91" s="6">
        <v>0</v>
      </c>
      <c r="AH91" s="6">
        <v>1666.444</v>
      </c>
      <c r="AI91" s="6">
        <v>0</v>
      </c>
      <c r="AJ91" s="6">
        <v>19527.021000000001</v>
      </c>
      <c r="AK91" s="6">
        <v>0</v>
      </c>
      <c r="AL91" s="6">
        <v>0</v>
      </c>
      <c r="AM91" s="6">
        <v>75069.911999999997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69.864999999999995</v>
      </c>
      <c r="AW91" s="6">
        <v>0</v>
      </c>
      <c r="AX91" s="6">
        <v>0</v>
      </c>
      <c r="AY91" s="6">
        <v>917.07899999999995</v>
      </c>
      <c r="AZ91" s="6">
        <v>0</v>
      </c>
      <c r="BA91" s="6">
        <v>32.064</v>
      </c>
      <c r="BB91" s="6">
        <v>0</v>
      </c>
      <c r="BC91" s="6">
        <v>876.43799999999999</v>
      </c>
      <c r="BD91" s="6">
        <v>0</v>
      </c>
      <c r="BE91" s="6">
        <v>0</v>
      </c>
      <c r="BF91" s="6">
        <v>0</v>
      </c>
      <c r="BG91" s="22"/>
    </row>
    <row r="92" spans="1:59" ht="15.75">
      <c r="A92" s="23"/>
      <c r="B92" s="4" t="s">
        <v>172</v>
      </c>
      <c r="C92" s="4" t="s">
        <v>173</v>
      </c>
      <c r="D92" s="6">
        <v>3</v>
      </c>
      <c r="E92" s="6">
        <v>3</v>
      </c>
      <c r="F92" s="6">
        <v>12272.146000000001</v>
      </c>
      <c r="G92" s="6">
        <v>3017.6170000000002</v>
      </c>
      <c r="H92" s="6">
        <v>5310.5150000000003</v>
      </c>
      <c r="I92" s="6">
        <v>0</v>
      </c>
      <c r="J92" s="6">
        <v>357.85500000000002</v>
      </c>
      <c r="K92" s="6">
        <v>2014.421</v>
      </c>
      <c r="L92" s="6">
        <v>8778.7350000000006</v>
      </c>
      <c r="M92" s="6">
        <v>1823.268</v>
      </c>
      <c r="N92" s="6">
        <v>0</v>
      </c>
      <c r="O92" s="6">
        <v>3677.701</v>
      </c>
      <c r="P92" s="6">
        <v>30324.358</v>
      </c>
      <c r="Q92" s="6">
        <v>4623.4870000000001</v>
      </c>
      <c r="R92" s="6">
        <v>0</v>
      </c>
      <c r="S92" s="6">
        <v>0</v>
      </c>
      <c r="T92" s="6">
        <v>1.8089999999999999</v>
      </c>
      <c r="U92" s="6">
        <v>0</v>
      </c>
      <c r="V92" s="6">
        <v>0</v>
      </c>
      <c r="W92" s="6">
        <v>1056.722</v>
      </c>
      <c r="X92" s="6">
        <v>0</v>
      </c>
      <c r="Y92" s="6">
        <v>0</v>
      </c>
      <c r="Z92" s="6">
        <v>0</v>
      </c>
      <c r="AA92" s="6">
        <v>261.43</v>
      </c>
      <c r="AB92" s="6">
        <v>390.46300000000002</v>
      </c>
      <c r="AC92" s="6">
        <v>0</v>
      </c>
      <c r="AD92" s="6">
        <v>4579.8969999999999</v>
      </c>
      <c r="AE92" s="6">
        <v>0</v>
      </c>
      <c r="AF92" s="6">
        <v>2853.797</v>
      </c>
      <c r="AG92" s="6">
        <v>0</v>
      </c>
      <c r="AH92" s="6">
        <v>644.54</v>
      </c>
      <c r="AI92" s="6">
        <v>0</v>
      </c>
      <c r="AJ92" s="6">
        <v>9179.9500000000007</v>
      </c>
      <c r="AK92" s="6">
        <v>4549.0420000000004</v>
      </c>
      <c r="AL92" s="6">
        <v>0</v>
      </c>
      <c r="AM92" s="6">
        <v>53699.042000000001</v>
      </c>
      <c r="AN92" s="6">
        <v>8808.4599999999991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48.646999999999998</v>
      </c>
      <c r="AW92" s="6">
        <v>0</v>
      </c>
      <c r="AX92" s="6">
        <v>0</v>
      </c>
      <c r="AY92" s="6">
        <v>100.753</v>
      </c>
      <c r="AZ92" s="6">
        <v>0</v>
      </c>
      <c r="BA92" s="6">
        <v>2.5920000000000001</v>
      </c>
      <c r="BB92" s="6">
        <v>0</v>
      </c>
      <c r="BC92" s="6">
        <v>305.63299999999998</v>
      </c>
      <c r="BD92" s="6">
        <v>0</v>
      </c>
      <c r="BE92" s="6">
        <v>0</v>
      </c>
      <c r="BF92" s="6">
        <v>15118.079</v>
      </c>
      <c r="BG92" s="22"/>
    </row>
    <row r="93" spans="1:59" ht="15.75">
      <c r="A93" s="23"/>
      <c r="B93" s="4" t="s">
        <v>174</v>
      </c>
      <c r="C93" s="4" t="s">
        <v>175</v>
      </c>
      <c r="D93" s="6">
        <v>3</v>
      </c>
      <c r="E93" s="6">
        <v>3</v>
      </c>
      <c r="F93" s="6">
        <v>40168.802000000003</v>
      </c>
      <c r="G93" s="6">
        <v>11064.587</v>
      </c>
      <c r="H93" s="6">
        <v>22222.748</v>
      </c>
      <c r="I93" s="6">
        <v>2407.37</v>
      </c>
      <c r="J93" s="6">
        <v>1841.413</v>
      </c>
      <c r="K93" s="6">
        <v>10073.303</v>
      </c>
      <c r="L93" s="6">
        <v>9568.1929999999993</v>
      </c>
      <c r="M93" s="6">
        <v>7361.6850000000004</v>
      </c>
      <c r="N93" s="6">
        <v>0</v>
      </c>
      <c r="O93" s="6">
        <v>20753.758999999998</v>
      </c>
      <c r="P93" s="6">
        <v>79256.649999999994</v>
      </c>
      <c r="Q93" s="6">
        <v>25989.987000000001</v>
      </c>
      <c r="R93" s="6">
        <v>0</v>
      </c>
      <c r="S93" s="6">
        <v>0</v>
      </c>
      <c r="T93" s="6">
        <v>0.76300000000000001</v>
      </c>
      <c r="U93" s="6">
        <v>0</v>
      </c>
      <c r="V93" s="6">
        <v>0</v>
      </c>
      <c r="W93" s="6">
        <v>4443.4629999999997</v>
      </c>
      <c r="X93" s="6">
        <v>0</v>
      </c>
      <c r="Y93" s="6">
        <v>0</v>
      </c>
      <c r="Z93" s="6">
        <v>0</v>
      </c>
      <c r="AA93" s="6">
        <v>1317.25</v>
      </c>
      <c r="AB93" s="6">
        <v>1318.876</v>
      </c>
      <c r="AC93" s="6">
        <v>0</v>
      </c>
      <c r="AD93" s="6">
        <v>8542.0049999999992</v>
      </c>
      <c r="AE93" s="6">
        <v>0</v>
      </c>
      <c r="AF93" s="6">
        <v>17815.679</v>
      </c>
      <c r="AG93" s="6">
        <v>0</v>
      </c>
      <c r="AH93" s="6">
        <v>2710.1480000000001</v>
      </c>
      <c r="AI93" s="6">
        <v>0</v>
      </c>
      <c r="AJ93" s="6">
        <v>6423.0720000000001</v>
      </c>
      <c r="AK93" s="6">
        <v>3630.1790000000001</v>
      </c>
      <c r="AL93" s="6">
        <v>0</v>
      </c>
      <c r="AM93" s="6">
        <v>194074.93599999999</v>
      </c>
      <c r="AN93" s="6">
        <v>7006.4639999999999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274.42700000000002</v>
      </c>
      <c r="AW93" s="6">
        <v>0</v>
      </c>
      <c r="AX93" s="6">
        <v>0</v>
      </c>
      <c r="AY93" s="6">
        <v>1034.2909999999999</v>
      </c>
      <c r="AZ93" s="6">
        <v>0</v>
      </c>
      <c r="BA93" s="6">
        <v>20.091000000000001</v>
      </c>
      <c r="BB93" s="6">
        <v>0</v>
      </c>
      <c r="BC93" s="6">
        <v>31.855</v>
      </c>
      <c r="BD93" s="6">
        <v>0</v>
      </c>
      <c r="BE93" s="6">
        <v>0</v>
      </c>
      <c r="BF93" s="6">
        <v>84736.709000000003</v>
      </c>
      <c r="BG93" s="22"/>
    </row>
    <row r="94" spans="1:59" ht="15.75">
      <c r="A94" s="23"/>
      <c r="B94" s="4" t="s">
        <v>176</v>
      </c>
      <c r="C94" s="4" t="s">
        <v>177</v>
      </c>
      <c r="D94" s="6">
        <v>3</v>
      </c>
      <c r="E94" s="6">
        <v>3</v>
      </c>
      <c r="F94" s="6">
        <v>82129.009999999995</v>
      </c>
      <c r="G94" s="6">
        <v>22951.502</v>
      </c>
      <c r="H94" s="6">
        <v>7961.6229999999996</v>
      </c>
      <c r="I94" s="6">
        <v>10735.960999999999</v>
      </c>
      <c r="J94" s="6">
        <v>3590.2350000000001</v>
      </c>
      <c r="K94" s="6">
        <v>16963.36</v>
      </c>
      <c r="L94" s="6">
        <v>23427.82</v>
      </c>
      <c r="M94" s="6">
        <v>19268.685000000001</v>
      </c>
      <c r="N94" s="6">
        <v>0</v>
      </c>
      <c r="O94" s="6">
        <v>63538.398999999998</v>
      </c>
      <c r="P94" s="6">
        <v>142330.217</v>
      </c>
      <c r="Q94" s="6">
        <v>66936.81</v>
      </c>
      <c r="R94" s="6">
        <v>0</v>
      </c>
      <c r="S94" s="6">
        <v>0</v>
      </c>
      <c r="T94" s="6">
        <v>1.589</v>
      </c>
      <c r="U94" s="6">
        <v>0</v>
      </c>
      <c r="V94" s="6">
        <v>0</v>
      </c>
      <c r="W94" s="6">
        <v>8970.7389999999996</v>
      </c>
      <c r="X94" s="6">
        <v>0</v>
      </c>
      <c r="Y94" s="6">
        <v>0</v>
      </c>
      <c r="Z94" s="6">
        <v>0</v>
      </c>
      <c r="AA94" s="6">
        <v>1589.807</v>
      </c>
      <c r="AB94" s="6">
        <v>4958.1540000000005</v>
      </c>
      <c r="AC94" s="6">
        <v>0</v>
      </c>
      <c r="AD94" s="6">
        <v>10785.273999999999</v>
      </c>
      <c r="AE94" s="6">
        <v>0</v>
      </c>
      <c r="AF94" s="6">
        <v>32553.792000000001</v>
      </c>
      <c r="AG94" s="6">
        <v>0</v>
      </c>
      <c r="AH94" s="6">
        <v>4052.0309999999999</v>
      </c>
      <c r="AI94" s="6">
        <v>0</v>
      </c>
      <c r="AJ94" s="6">
        <v>12035.128000000001</v>
      </c>
      <c r="AK94" s="6">
        <v>5912.3819999999996</v>
      </c>
      <c r="AL94" s="6">
        <v>0</v>
      </c>
      <c r="AM94" s="6">
        <v>282520.91399999999</v>
      </c>
      <c r="AN94" s="6">
        <v>11363.181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435.08100000000002</v>
      </c>
      <c r="AW94" s="6">
        <v>0</v>
      </c>
      <c r="AX94" s="6">
        <v>0</v>
      </c>
      <c r="AY94" s="6">
        <v>736.42399999999998</v>
      </c>
      <c r="AZ94" s="6">
        <v>0</v>
      </c>
      <c r="BA94" s="6">
        <v>45.317</v>
      </c>
      <c r="BB94" s="6">
        <v>0</v>
      </c>
      <c r="BC94" s="6">
        <v>445.39600000000002</v>
      </c>
      <c r="BD94" s="6">
        <v>0</v>
      </c>
      <c r="BE94" s="6">
        <v>0</v>
      </c>
      <c r="BF94" s="6">
        <v>29783.951000000001</v>
      </c>
      <c r="BG94" s="22"/>
    </row>
    <row r="95" spans="1:59" ht="15.75">
      <c r="A95" s="23"/>
      <c r="B95" s="4" t="s">
        <v>178</v>
      </c>
      <c r="C95" s="4" t="s">
        <v>179</v>
      </c>
      <c r="D95" s="6">
        <v>6</v>
      </c>
      <c r="E95" s="6">
        <v>6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22"/>
    </row>
    <row r="96" spans="1:59" ht="15.75">
      <c r="A96" s="23"/>
      <c r="B96" s="4" t="s">
        <v>180</v>
      </c>
      <c r="C96" s="4" t="s">
        <v>181</v>
      </c>
      <c r="D96" s="6">
        <v>6</v>
      </c>
      <c r="E96" s="6">
        <v>6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22"/>
    </row>
    <row r="97" spans="1:59" ht="15.75">
      <c r="A97" s="23"/>
      <c r="B97" s="4" t="s">
        <v>182</v>
      </c>
      <c r="C97" s="4" t="s">
        <v>183</v>
      </c>
      <c r="D97" s="6">
        <v>6</v>
      </c>
      <c r="E97" s="6">
        <v>6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22"/>
    </row>
    <row r="98" spans="1:59" ht="15.75">
      <c r="A98" s="23"/>
      <c r="B98" s="4" t="s">
        <v>184</v>
      </c>
      <c r="C98" s="4" t="s">
        <v>185</v>
      </c>
      <c r="D98" s="6">
        <v>6</v>
      </c>
      <c r="E98" s="6">
        <v>6</v>
      </c>
      <c r="F98" s="6">
        <v>29.594000000000001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59.189</v>
      </c>
      <c r="M98" s="6">
        <v>0</v>
      </c>
      <c r="N98" s="6">
        <v>0</v>
      </c>
      <c r="O98" s="6">
        <v>29.594000000000001</v>
      </c>
      <c r="P98" s="6">
        <v>384.726</v>
      </c>
      <c r="Q98" s="6">
        <v>88.783000000000001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59.189</v>
      </c>
      <c r="AK98" s="6">
        <v>0</v>
      </c>
      <c r="AL98" s="6">
        <v>0</v>
      </c>
      <c r="AM98" s="6">
        <v>59.189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22"/>
    </row>
    <row r="99" spans="1:59" ht="15.75">
      <c r="A99" s="23"/>
      <c r="B99" s="4" t="s">
        <v>186</v>
      </c>
      <c r="C99" s="4" t="s">
        <v>187</v>
      </c>
      <c r="D99" s="6">
        <v>6</v>
      </c>
      <c r="E99" s="6">
        <v>6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22"/>
    </row>
    <row r="100" spans="1:59" ht="15.75">
      <c r="A100" s="23"/>
      <c r="B100" s="4" t="s">
        <v>188</v>
      </c>
      <c r="C100" s="4" t="s">
        <v>189</v>
      </c>
      <c r="D100" s="6">
        <v>6</v>
      </c>
      <c r="E100" s="6">
        <v>6</v>
      </c>
      <c r="F100" s="6">
        <v>3841.8110000000001</v>
      </c>
      <c r="G100" s="6">
        <v>554.12400000000002</v>
      </c>
      <c r="H100" s="6">
        <v>811.60599999999999</v>
      </c>
      <c r="I100" s="6">
        <v>0</v>
      </c>
      <c r="J100" s="6">
        <v>141.17599999999999</v>
      </c>
      <c r="K100" s="6">
        <v>476.637</v>
      </c>
      <c r="L100" s="6">
        <v>3985.85</v>
      </c>
      <c r="M100" s="6">
        <v>358.26799999999997</v>
      </c>
      <c r="N100" s="6">
        <v>0</v>
      </c>
      <c r="O100" s="6">
        <v>1844.8230000000001</v>
      </c>
      <c r="P100" s="6">
        <v>4301.8819999999996</v>
      </c>
      <c r="Q100" s="6">
        <v>1839.404</v>
      </c>
      <c r="R100" s="6">
        <v>0</v>
      </c>
      <c r="S100" s="6">
        <v>0</v>
      </c>
      <c r="T100" s="6">
        <v>27.516999999999999</v>
      </c>
      <c r="U100" s="6">
        <v>0</v>
      </c>
      <c r="V100" s="6">
        <v>0.80600000000000005</v>
      </c>
      <c r="W100" s="6">
        <v>0</v>
      </c>
      <c r="X100" s="6">
        <v>0</v>
      </c>
      <c r="Y100" s="6">
        <v>0</v>
      </c>
      <c r="Z100" s="6">
        <v>0</v>
      </c>
      <c r="AA100" s="6">
        <v>59.438000000000002</v>
      </c>
      <c r="AB100" s="6">
        <v>197.66</v>
      </c>
      <c r="AC100" s="6">
        <v>0</v>
      </c>
      <c r="AD100" s="6">
        <v>1595.421</v>
      </c>
      <c r="AE100" s="6">
        <v>0</v>
      </c>
      <c r="AF100" s="6">
        <v>550.44899999999996</v>
      </c>
      <c r="AG100" s="6">
        <v>0</v>
      </c>
      <c r="AH100" s="6">
        <v>93.182000000000002</v>
      </c>
      <c r="AI100" s="6">
        <v>0</v>
      </c>
      <c r="AJ100" s="6">
        <v>4928.8819999999996</v>
      </c>
      <c r="AK100" s="6">
        <v>0</v>
      </c>
      <c r="AL100" s="6">
        <v>0</v>
      </c>
      <c r="AM100" s="6">
        <v>8014.0050000000001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22"/>
    </row>
    <row r="101" spans="1:59" ht="15.75">
      <c r="A101" s="23"/>
      <c r="B101" s="4" t="s">
        <v>190</v>
      </c>
      <c r="C101" s="4" t="s">
        <v>191</v>
      </c>
      <c r="D101" s="6">
        <v>6</v>
      </c>
      <c r="E101" s="6">
        <v>6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22"/>
    </row>
    <row r="102" spans="1:59" ht="15.75">
      <c r="A102" s="23"/>
      <c r="B102" s="4" t="s">
        <v>192</v>
      </c>
      <c r="C102" s="4" t="s">
        <v>193</v>
      </c>
      <c r="D102" s="6">
        <v>6</v>
      </c>
      <c r="E102" s="6">
        <v>6</v>
      </c>
      <c r="F102" s="6">
        <v>0</v>
      </c>
      <c r="G102" s="6">
        <v>0</v>
      </c>
      <c r="H102" s="6">
        <v>0</v>
      </c>
      <c r="I102" s="6">
        <v>1856.5509999999999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22"/>
    </row>
    <row r="103" spans="1:59" ht="15.75">
      <c r="A103" s="23"/>
      <c r="B103" s="4" t="s">
        <v>194</v>
      </c>
      <c r="C103" s="4" t="s">
        <v>195</v>
      </c>
      <c r="D103" s="6">
        <v>4</v>
      </c>
      <c r="E103" s="6">
        <v>4</v>
      </c>
      <c r="F103" s="6">
        <v>170873.58799999999</v>
      </c>
      <c r="G103" s="6">
        <v>54293.288</v>
      </c>
      <c r="H103" s="6">
        <v>0</v>
      </c>
      <c r="I103" s="6">
        <v>0</v>
      </c>
      <c r="J103" s="6">
        <v>2601.7159999999999</v>
      </c>
      <c r="K103" s="6">
        <v>0</v>
      </c>
      <c r="L103" s="6">
        <v>245119.29300000001</v>
      </c>
      <c r="M103" s="6">
        <v>14355.374</v>
      </c>
      <c r="N103" s="6">
        <v>0</v>
      </c>
      <c r="O103" s="6">
        <v>27631.966</v>
      </c>
      <c r="P103" s="6">
        <v>647849.76500000001</v>
      </c>
      <c r="Q103" s="6">
        <v>32784.781000000003</v>
      </c>
      <c r="R103" s="6">
        <v>0</v>
      </c>
      <c r="S103" s="6">
        <v>121.245</v>
      </c>
      <c r="T103" s="6">
        <v>26.782</v>
      </c>
      <c r="U103" s="6">
        <v>144.99799999999999</v>
      </c>
      <c r="V103" s="6">
        <v>0</v>
      </c>
      <c r="W103" s="6">
        <v>15599.141</v>
      </c>
      <c r="X103" s="6">
        <v>0</v>
      </c>
      <c r="Y103" s="6">
        <v>2505.1869999999999</v>
      </c>
      <c r="Z103" s="6">
        <v>0</v>
      </c>
      <c r="AA103" s="6">
        <v>0</v>
      </c>
      <c r="AB103" s="6">
        <v>3543.683</v>
      </c>
      <c r="AC103" s="6">
        <v>16929.545999999998</v>
      </c>
      <c r="AD103" s="6">
        <v>93678.634999999995</v>
      </c>
      <c r="AE103" s="6">
        <v>0</v>
      </c>
      <c r="AF103" s="6">
        <v>0</v>
      </c>
      <c r="AG103" s="6">
        <v>5235.7860000000001</v>
      </c>
      <c r="AH103" s="6">
        <v>8216.9879999999994</v>
      </c>
      <c r="AI103" s="6">
        <v>0</v>
      </c>
      <c r="AJ103" s="6">
        <v>230374.821</v>
      </c>
      <c r="AK103" s="6">
        <v>127751.397</v>
      </c>
      <c r="AL103" s="6">
        <v>0</v>
      </c>
      <c r="AM103" s="6">
        <v>799788.46699999995</v>
      </c>
      <c r="AN103" s="6">
        <v>247369.25</v>
      </c>
      <c r="AO103" s="6">
        <v>0</v>
      </c>
      <c r="AP103" s="6">
        <v>0</v>
      </c>
      <c r="AQ103" s="6">
        <v>5373.2809999999999</v>
      </c>
      <c r="AR103" s="6">
        <v>2289.7139999999999</v>
      </c>
      <c r="AS103" s="6">
        <v>0</v>
      </c>
      <c r="AT103" s="6">
        <v>0</v>
      </c>
      <c r="AU103" s="6">
        <v>0</v>
      </c>
      <c r="AV103" s="6">
        <v>359.09800000000001</v>
      </c>
      <c r="AW103" s="6">
        <v>218.804</v>
      </c>
      <c r="AX103" s="6">
        <v>0</v>
      </c>
      <c r="AY103" s="6">
        <v>36915.392999999996</v>
      </c>
      <c r="AZ103" s="6">
        <v>0</v>
      </c>
      <c r="BA103" s="6">
        <v>140.01</v>
      </c>
      <c r="BB103" s="6">
        <v>0</v>
      </c>
      <c r="BC103" s="6">
        <v>1114.3969999999999</v>
      </c>
      <c r="BD103" s="6">
        <v>0</v>
      </c>
      <c r="BE103" s="6">
        <v>0</v>
      </c>
      <c r="BF103" s="6">
        <v>0</v>
      </c>
      <c r="BG103" s="22"/>
    </row>
    <row r="104" spans="1:59" ht="15.75">
      <c r="A104" s="23"/>
      <c r="B104" s="4" t="s">
        <v>196</v>
      </c>
      <c r="C104" s="4" t="s">
        <v>197</v>
      </c>
      <c r="D104" s="6">
        <v>4</v>
      </c>
      <c r="E104" s="6">
        <v>4</v>
      </c>
      <c r="F104" s="6">
        <v>97814.108999999997</v>
      </c>
      <c r="G104" s="6">
        <v>29847.316999999999</v>
      </c>
      <c r="H104" s="6">
        <v>0</v>
      </c>
      <c r="I104" s="6">
        <v>443.85500000000002</v>
      </c>
      <c r="J104" s="6">
        <v>1503.5160000000001</v>
      </c>
      <c r="K104" s="6">
        <v>0</v>
      </c>
      <c r="L104" s="6">
        <v>137463.152</v>
      </c>
      <c r="M104" s="6">
        <v>8295.8829999999998</v>
      </c>
      <c r="N104" s="6">
        <v>0</v>
      </c>
      <c r="O104" s="6">
        <v>15968.343999999999</v>
      </c>
      <c r="P104" s="6">
        <v>388506.38299999997</v>
      </c>
      <c r="Q104" s="6">
        <v>18946.125</v>
      </c>
      <c r="R104" s="6">
        <v>0</v>
      </c>
      <c r="S104" s="6">
        <v>33.497</v>
      </c>
      <c r="T104" s="6">
        <v>15.477</v>
      </c>
      <c r="U104" s="6">
        <v>40.058999999999997</v>
      </c>
      <c r="V104" s="6">
        <v>0</v>
      </c>
      <c r="W104" s="6">
        <v>9014.6479999999992</v>
      </c>
      <c r="X104" s="6">
        <v>0</v>
      </c>
      <c r="Y104" s="6">
        <v>692.11</v>
      </c>
      <c r="Z104" s="6">
        <v>0</v>
      </c>
      <c r="AA104" s="6">
        <v>0</v>
      </c>
      <c r="AB104" s="6">
        <v>2047.873</v>
      </c>
      <c r="AC104" s="6">
        <v>4677.1390000000001</v>
      </c>
      <c r="AD104" s="6">
        <v>54136.31</v>
      </c>
      <c r="AE104" s="6">
        <v>0</v>
      </c>
      <c r="AF104" s="6">
        <v>0</v>
      </c>
      <c r="AG104" s="6">
        <v>1446.4949999999999</v>
      </c>
      <c r="AH104" s="6">
        <v>4748.5469999999996</v>
      </c>
      <c r="AI104" s="6">
        <v>0</v>
      </c>
      <c r="AJ104" s="6">
        <v>133132.20000000001</v>
      </c>
      <c r="AK104" s="6">
        <v>73826.751000000004</v>
      </c>
      <c r="AL104" s="6">
        <v>0</v>
      </c>
      <c r="AM104" s="6">
        <v>462095.19900000002</v>
      </c>
      <c r="AN104" s="6">
        <v>142953.17600000001</v>
      </c>
      <c r="AO104" s="6">
        <v>0</v>
      </c>
      <c r="AP104" s="6">
        <v>0</v>
      </c>
      <c r="AQ104" s="6">
        <v>1484.481</v>
      </c>
      <c r="AR104" s="6">
        <v>632.58100000000002</v>
      </c>
      <c r="AS104" s="6">
        <v>0</v>
      </c>
      <c r="AT104" s="6">
        <v>0</v>
      </c>
      <c r="AU104" s="6">
        <v>0</v>
      </c>
      <c r="AV104" s="6">
        <v>207.52099999999999</v>
      </c>
      <c r="AW104" s="6">
        <v>60.448999999999998</v>
      </c>
      <c r="AX104" s="6">
        <v>0</v>
      </c>
      <c r="AY104" s="6">
        <v>21333.18</v>
      </c>
      <c r="AZ104" s="6">
        <v>0</v>
      </c>
      <c r="BA104" s="6">
        <v>80.911000000000001</v>
      </c>
      <c r="BB104" s="6">
        <v>0</v>
      </c>
      <c r="BC104" s="6">
        <v>644.00300000000004</v>
      </c>
      <c r="BD104" s="6">
        <v>0</v>
      </c>
      <c r="BE104" s="6">
        <v>0</v>
      </c>
      <c r="BF104" s="6">
        <v>0</v>
      </c>
      <c r="BG104" s="22"/>
    </row>
    <row r="105" spans="1:59" ht="15.75">
      <c r="A105" s="23"/>
      <c r="B105" s="4" t="s">
        <v>198</v>
      </c>
      <c r="C105" s="4" t="s">
        <v>199</v>
      </c>
      <c r="D105" s="6">
        <v>4</v>
      </c>
      <c r="E105" s="6">
        <v>4</v>
      </c>
      <c r="F105" s="6">
        <v>46246.654999999999</v>
      </c>
      <c r="G105" s="6">
        <v>14729.666999999999</v>
      </c>
      <c r="H105" s="6">
        <v>105.619</v>
      </c>
      <c r="I105" s="6">
        <v>5.7690000000000001</v>
      </c>
      <c r="J105" s="6">
        <v>800.22699999999998</v>
      </c>
      <c r="K105" s="6">
        <v>67.513999999999996</v>
      </c>
      <c r="L105" s="6">
        <v>72793.375</v>
      </c>
      <c r="M105" s="6">
        <v>4359.7079999999996</v>
      </c>
      <c r="N105" s="6">
        <v>0</v>
      </c>
      <c r="O105" s="6">
        <v>9561.5730000000003</v>
      </c>
      <c r="P105" s="6">
        <v>175713.26800000001</v>
      </c>
      <c r="Q105" s="6">
        <v>11683.513000000001</v>
      </c>
      <c r="R105" s="6">
        <v>0</v>
      </c>
      <c r="S105" s="6">
        <v>65.742000000000004</v>
      </c>
      <c r="T105" s="6">
        <v>7.0220000000000002</v>
      </c>
      <c r="U105" s="6">
        <v>78.620999999999995</v>
      </c>
      <c r="V105" s="6">
        <v>0</v>
      </c>
      <c r="W105" s="6">
        <v>4101.6559999999999</v>
      </c>
      <c r="X105" s="6">
        <v>0</v>
      </c>
      <c r="Y105" s="6">
        <v>1358.366</v>
      </c>
      <c r="Z105" s="6">
        <v>0</v>
      </c>
      <c r="AA105" s="6">
        <v>9.0730000000000004</v>
      </c>
      <c r="AB105" s="6">
        <v>948.91899999999998</v>
      </c>
      <c r="AC105" s="6">
        <v>9179.56</v>
      </c>
      <c r="AD105" s="6">
        <v>24562.038</v>
      </c>
      <c r="AE105" s="6">
        <v>0</v>
      </c>
      <c r="AF105" s="6">
        <v>66.905000000000001</v>
      </c>
      <c r="AG105" s="6">
        <v>2838.9549999999999</v>
      </c>
      <c r="AH105" s="6">
        <v>2157.665</v>
      </c>
      <c r="AI105" s="6">
        <v>0</v>
      </c>
      <c r="AJ105" s="6">
        <v>60351.978000000003</v>
      </c>
      <c r="AK105" s="6">
        <v>33415.627</v>
      </c>
      <c r="AL105" s="6">
        <v>0</v>
      </c>
      <c r="AM105" s="6">
        <v>209516.55900000001</v>
      </c>
      <c r="AN105" s="6">
        <v>64710.595000000001</v>
      </c>
      <c r="AO105" s="6">
        <v>0</v>
      </c>
      <c r="AP105" s="6">
        <v>0</v>
      </c>
      <c r="AQ105" s="6">
        <v>2913.5070000000001</v>
      </c>
      <c r="AR105" s="6">
        <v>1241.5319999999999</v>
      </c>
      <c r="AS105" s="6">
        <v>0</v>
      </c>
      <c r="AT105" s="6">
        <v>0</v>
      </c>
      <c r="AU105" s="6">
        <v>0</v>
      </c>
      <c r="AV105" s="6">
        <v>94.278999999999996</v>
      </c>
      <c r="AW105" s="6">
        <v>118.64</v>
      </c>
      <c r="AX105" s="6">
        <v>0</v>
      </c>
      <c r="AY105" s="6">
        <v>9654.5879999999997</v>
      </c>
      <c r="AZ105" s="6">
        <v>0</v>
      </c>
      <c r="BA105" s="6">
        <v>36.819000000000003</v>
      </c>
      <c r="BB105" s="6">
        <v>0</v>
      </c>
      <c r="BC105" s="6">
        <v>297.447</v>
      </c>
      <c r="BD105" s="6">
        <v>0</v>
      </c>
      <c r="BE105" s="6">
        <v>0</v>
      </c>
      <c r="BF105" s="6">
        <v>0</v>
      </c>
      <c r="BG105" s="22"/>
    </row>
    <row r="106" spans="1:59" ht="15.75">
      <c r="A106" s="23"/>
      <c r="B106" s="4" t="s">
        <v>200</v>
      </c>
      <c r="C106" s="4" t="s">
        <v>201</v>
      </c>
      <c r="D106" s="6">
        <v>4</v>
      </c>
      <c r="E106" s="6">
        <v>4</v>
      </c>
      <c r="F106" s="6">
        <v>2154.107</v>
      </c>
      <c r="G106" s="6">
        <v>656.50599999999997</v>
      </c>
      <c r="H106" s="6">
        <v>2.2410000000000001</v>
      </c>
      <c r="I106" s="6">
        <v>0</v>
      </c>
      <c r="J106" s="6">
        <v>33.229999999999997</v>
      </c>
      <c r="K106" s="6">
        <v>1.4319999999999999</v>
      </c>
      <c r="L106" s="6">
        <v>3020.7489999999998</v>
      </c>
      <c r="M106" s="6">
        <v>183.96299999999999</v>
      </c>
      <c r="N106" s="6">
        <v>0</v>
      </c>
      <c r="O106" s="6">
        <v>354.80700000000002</v>
      </c>
      <c r="P106" s="6">
        <v>8137.9549999999999</v>
      </c>
      <c r="Q106" s="6">
        <v>420.096</v>
      </c>
      <c r="R106" s="6">
        <v>0</v>
      </c>
      <c r="S106" s="6">
        <v>5.7889999999999997</v>
      </c>
      <c r="T106" s="6">
        <v>0.34</v>
      </c>
      <c r="U106" s="6">
        <v>6.923</v>
      </c>
      <c r="V106" s="6">
        <v>0</v>
      </c>
      <c r="W106" s="6">
        <v>198.422</v>
      </c>
      <c r="X106" s="6">
        <v>0</v>
      </c>
      <c r="Y106" s="6">
        <v>119.608</v>
      </c>
      <c r="Z106" s="6">
        <v>0</v>
      </c>
      <c r="AA106" s="6">
        <v>0.192</v>
      </c>
      <c r="AB106" s="6">
        <v>45.44</v>
      </c>
      <c r="AC106" s="6">
        <v>808.28300000000002</v>
      </c>
      <c r="AD106" s="6">
        <v>1190.117</v>
      </c>
      <c r="AE106" s="6">
        <v>0</v>
      </c>
      <c r="AF106" s="6">
        <v>1.419</v>
      </c>
      <c r="AG106" s="6">
        <v>249.977</v>
      </c>
      <c r="AH106" s="6">
        <v>104.459</v>
      </c>
      <c r="AI106" s="6">
        <v>0</v>
      </c>
      <c r="AJ106" s="6">
        <v>2925.6559999999999</v>
      </c>
      <c r="AK106" s="6">
        <v>1621.192</v>
      </c>
      <c r="AL106" s="6">
        <v>0</v>
      </c>
      <c r="AM106" s="6">
        <v>10155.608</v>
      </c>
      <c r="AN106" s="6">
        <v>3139.1680000000001</v>
      </c>
      <c r="AO106" s="6">
        <v>0</v>
      </c>
      <c r="AP106" s="6">
        <v>0</v>
      </c>
      <c r="AQ106" s="6">
        <v>256.54199999999997</v>
      </c>
      <c r="AR106" s="6">
        <v>109.32</v>
      </c>
      <c r="AS106" s="6">
        <v>0</v>
      </c>
      <c r="AT106" s="6">
        <v>0</v>
      </c>
      <c r="AU106" s="6">
        <v>0</v>
      </c>
      <c r="AV106" s="6">
        <v>4.5650000000000004</v>
      </c>
      <c r="AW106" s="6">
        <v>10.446999999999999</v>
      </c>
      <c r="AX106" s="6">
        <v>0</v>
      </c>
      <c r="AY106" s="6">
        <v>468.464</v>
      </c>
      <c r="AZ106" s="6">
        <v>0</v>
      </c>
      <c r="BA106" s="6">
        <v>1.7809999999999999</v>
      </c>
      <c r="BB106" s="6">
        <v>0</v>
      </c>
      <c r="BC106" s="6">
        <v>14.269</v>
      </c>
      <c r="BD106" s="6">
        <v>0</v>
      </c>
      <c r="BE106" s="6">
        <v>0</v>
      </c>
      <c r="BF106" s="6">
        <v>0</v>
      </c>
      <c r="BG106" s="22"/>
    </row>
    <row r="107" spans="1:59" ht="15.75">
      <c r="A107" s="23"/>
      <c r="B107" s="4" t="s">
        <v>202</v>
      </c>
      <c r="C107" s="4" t="s">
        <v>203</v>
      </c>
      <c r="D107" s="6">
        <v>4</v>
      </c>
      <c r="E107" s="6">
        <v>4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22"/>
    </row>
    <row r="108" spans="1:59" ht="15.75">
      <c r="A108" s="23"/>
      <c r="B108" s="4" t="s">
        <v>204</v>
      </c>
      <c r="C108" s="4" t="s">
        <v>205</v>
      </c>
      <c r="D108" s="6">
        <v>4</v>
      </c>
      <c r="E108" s="6">
        <v>4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22"/>
    </row>
    <row r="109" spans="1:59" ht="15.75">
      <c r="A109" s="23"/>
      <c r="B109" s="4" t="s">
        <v>206</v>
      </c>
      <c r="C109" s="4" t="s">
        <v>207</v>
      </c>
      <c r="D109" s="6">
        <v>6</v>
      </c>
      <c r="E109" s="6">
        <v>6</v>
      </c>
      <c r="F109" s="6">
        <v>48465.972999999998</v>
      </c>
      <c r="G109" s="6">
        <v>631.53800000000001</v>
      </c>
      <c r="H109" s="6">
        <v>1.681</v>
      </c>
      <c r="I109" s="6">
        <v>9.1530000000000005</v>
      </c>
      <c r="J109" s="6">
        <v>1.3620000000000001</v>
      </c>
      <c r="K109" s="6">
        <v>2.0310000000000001</v>
      </c>
      <c r="L109" s="6">
        <v>64354.021999999997</v>
      </c>
      <c r="M109" s="6">
        <v>578.39599999999996</v>
      </c>
      <c r="N109" s="6">
        <v>0</v>
      </c>
      <c r="O109" s="6">
        <v>19804.659</v>
      </c>
      <c r="P109" s="6">
        <v>107924.35</v>
      </c>
      <c r="Q109" s="6">
        <v>16977.743999999999</v>
      </c>
      <c r="R109" s="6">
        <v>0</v>
      </c>
      <c r="S109" s="6">
        <v>0</v>
      </c>
      <c r="T109" s="6">
        <v>0.32</v>
      </c>
      <c r="U109" s="6">
        <v>0</v>
      </c>
      <c r="V109" s="6">
        <v>2E-3</v>
      </c>
      <c r="W109" s="6">
        <v>1.9950000000000001</v>
      </c>
      <c r="X109" s="6">
        <v>0</v>
      </c>
      <c r="Y109" s="6">
        <v>0</v>
      </c>
      <c r="Z109" s="6">
        <v>0</v>
      </c>
      <c r="AA109" s="6">
        <v>0</v>
      </c>
      <c r="AB109" s="6">
        <v>0.45300000000000001</v>
      </c>
      <c r="AC109" s="6">
        <v>0</v>
      </c>
      <c r="AD109" s="6">
        <v>24508.342000000001</v>
      </c>
      <c r="AE109" s="6">
        <v>0</v>
      </c>
      <c r="AF109" s="6">
        <v>0</v>
      </c>
      <c r="AG109" s="6">
        <v>0</v>
      </c>
      <c r="AH109" s="6">
        <v>1.0509999999999999</v>
      </c>
      <c r="AI109" s="6">
        <v>0</v>
      </c>
      <c r="AJ109" s="6">
        <v>83438.964999999997</v>
      </c>
      <c r="AK109" s="6">
        <v>872.601</v>
      </c>
      <c r="AL109" s="6">
        <v>0</v>
      </c>
      <c r="AM109" s="6">
        <v>199866.644</v>
      </c>
      <c r="AN109" s="6">
        <v>1116.2560000000001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4.5999999999999999E-2</v>
      </c>
      <c r="AW109" s="6">
        <v>0</v>
      </c>
      <c r="AX109" s="6">
        <v>0</v>
      </c>
      <c r="AY109" s="6">
        <v>4.72</v>
      </c>
      <c r="AZ109" s="6">
        <v>0</v>
      </c>
      <c r="BA109" s="6">
        <v>2.4E-2</v>
      </c>
      <c r="BB109" s="6">
        <v>0</v>
      </c>
      <c r="BC109" s="6">
        <v>0.14199999999999999</v>
      </c>
      <c r="BD109" s="6">
        <v>0</v>
      </c>
      <c r="BE109" s="6">
        <v>0</v>
      </c>
      <c r="BF109" s="6">
        <v>0</v>
      </c>
      <c r="BG109" s="22"/>
    </row>
    <row r="110" spans="1:59" ht="15.75">
      <c r="A110" s="23"/>
      <c r="B110" s="4" t="s">
        <v>208</v>
      </c>
      <c r="C110" s="4" t="s">
        <v>209</v>
      </c>
      <c r="D110" s="6">
        <v>4</v>
      </c>
      <c r="E110" s="6">
        <v>4</v>
      </c>
      <c r="F110" s="6">
        <v>59197.758999999998</v>
      </c>
      <c r="G110" s="6">
        <v>18046.527999999998</v>
      </c>
      <c r="H110" s="6">
        <v>0</v>
      </c>
      <c r="I110" s="6">
        <v>0</v>
      </c>
      <c r="J110" s="6">
        <v>906.21699999999998</v>
      </c>
      <c r="K110" s="6">
        <v>0</v>
      </c>
      <c r="L110" s="6">
        <v>82893.342999999993</v>
      </c>
      <c r="M110" s="6">
        <v>5007.9570000000003</v>
      </c>
      <c r="N110" s="6">
        <v>0</v>
      </c>
      <c r="O110" s="6">
        <v>9626.0429999999997</v>
      </c>
      <c r="P110" s="6">
        <v>224380.20300000001</v>
      </c>
      <c r="Q110" s="6">
        <v>11442.934999999999</v>
      </c>
      <c r="R110" s="6">
        <v>0</v>
      </c>
      <c r="S110" s="6">
        <v>0</v>
      </c>
      <c r="T110" s="6">
        <v>9.3049999999999997</v>
      </c>
      <c r="U110" s="6">
        <v>0</v>
      </c>
      <c r="V110" s="6">
        <v>0</v>
      </c>
      <c r="W110" s="6">
        <v>5433.4040000000005</v>
      </c>
      <c r="X110" s="6">
        <v>0</v>
      </c>
      <c r="Y110" s="6">
        <v>0</v>
      </c>
      <c r="Z110" s="6">
        <v>0</v>
      </c>
      <c r="AA110" s="6">
        <v>0</v>
      </c>
      <c r="AB110" s="6">
        <v>1235.163</v>
      </c>
      <c r="AC110" s="6">
        <v>0</v>
      </c>
      <c r="AD110" s="6">
        <v>32700.58</v>
      </c>
      <c r="AE110" s="6">
        <v>0</v>
      </c>
      <c r="AF110" s="6">
        <v>0</v>
      </c>
      <c r="AG110" s="6">
        <v>37.161999999999999</v>
      </c>
      <c r="AH110" s="6">
        <v>2862.4349999999999</v>
      </c>
      <c r="AI110" s="6">
        <v>0</v>
      </c>
      <c r="AJ110" s="6">
        <v>80545.373999999996</v>
      </c>
      <c r="AK110" s="6">
        <v>44589.597999999998</v>
      </c>
      <c r="AL110" s="6">
        <v>0</v>
      </c>
      <c r="AM110" s="6">
        <v>280382.07299999997</v>
      </c>
      <c r="AN110" s="6">
        <v>86252.576000000001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125.381</v>
      </c>
      <c r="AW110" s="6">
        <v>0</v>
      </c>
      <c r="AX110" s="6">
        <v>0</v>
      </c>
      <c r="AY110" s="6">
        <v>12895.290999999999</v>
      </c>
      <c r="AZ110" s="6">
        <v>0</v>
      </c>
      <c r="BA110" s="6">
        <v>48.781999999999996</v>
      </c>
      <c r="BB110" s="6">
        <v>0</v>
      </c>
      <c r="BC110" s="6">
        <v>533.29499999999996</v>
      </c>
      <c r="BD110" s="6">
        <v>0</v>
      </c>
      <c r="BE110" s="6">
        <v>0</v>
      </c>
      <c r="BF110" s="6">
        <v>28.841000000000001</v>
      </c>
      <c r="BG110" s="22"/>
    </row>
    <row r="111" spans="1:59" ht="15.75">
      <c r="A111" s="23"/>
      <c r="B111" s="4" t="s">
        <v>210</v>
      </c>
      <c r="C111" s="4" t="s">
        <v>211</v>
      </c>
      <c r="D111" s="6">
        <v>4</v>
      </c>
      <c r="E111" s="6">
        <v>4</v>
      </c>
      <c r="F111" s="6">
        <v>149676.31200000001</v>
      </c>
      <c r="G111" s="6">
        <v>41193.682999999997</v>
      </c>
      <c r="H111" s="6">
        <v>0</v>
      </c>
      <c r="I111" s="6">
        <v>0</v>
      </c>
      <c r="J111" s="6">
        <v>2087.1170000000002</v>
      </c>
      <c r="K111" s="6">
        <v>0</v>
      </c>
      <c r="L111" s="6">
        <v>223531.859</v>
      </c>
      <c r="M111" s="6">
        <v>18051.027999999998</v>
      </c>
      <c r="N111" s="6">
        <v>0</v>
      </c>
      <c r="O111" s="6">
        <v>23830.240000000002</v>
      </c>
      <c r="P111" s="6">
        <v>516275.74200000003</v>
      </c>
      <c r="Q111" s="6">
        <v>30576.096000000001</v>
      </c>
      <c r="R111" s="6">
        <v>0</v>
      </c>
      <c r="S111" s="6">
        <v>0</v>
      </c>
      <c r="T111" s="6">
        <v>0.75</v>
      </c>
      <c r="U111" s="6">
        <v>0</v>
      </c>
      <c r="V111" s="6">
        <v>0</v>
      </c>
      <c r="W111" s="6">
        <v>12184.155000000001</v>
      </c>
      <c r="X111" s="6">
        <v>0</v>
      </c>
      <c r="Y111" s="6">
        <v>0</v>
      </c>
      <c r="Z111" s="6">
        <v>0</v>
      </c>
      <c r="AA111" s="6">
        <v>0</v>
      </c>
      <c r="AB111" s="6">
        <v>3550.654</v>
      </c>
      <c r="AC111" s="6">
        <v>0</v>
      </c>
      <c r="AD111" s="6">
        <v>80588.673999999999</v>
      </c>
      <c r="AE111" s="6">
        <v>0</v>
      </c>
      <c r="AF111" s="6">
        <v>0</v>
      </c>
      <c r="AG111" s="6">
        <v>26.030999999999999</v>
      </c>
      <c r="AH111" s="6">
        <v>6657.7569999999996</v>
      </c>
      <c r="AI111" s="6">
        <v>0</v>
      </c>
      <c r="AJ111" s="6">
        <v>202285.25099999999</v>
      </c>
      <c r="AK111" s="6">
        <v>98259.084000000003</v>
      </c>
      <c r="AL111" s="6">
        <v>0</v>
      </c>
      <c r="AM111" s="6">
        <v>690447.772</v>
      </c>
      <c r="AN111" s="6">
        <v>188229.092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503.89499999999998</v>
      </c>
      <c r="AW111" s="6">
        <v>0</v>
      </c>
      <c r="AX111" s="6">
        <v>23861.25</v>
      </c>
      <c r="AY111" s="6">
        <v>27641.172999999999</v>
      </c>
      <c r="AZ111" s="6">
        <v>11751.607</v>
      </c>
      <c r="BA111" s="6">
        <v>114.152</v>
      </c>
      <c r="BB111" s="6">
        <v>0</v>
      </c>
      <c r="BC111" s="6">
        <v>893.00300000000004</v>
      </c>
      <c r="BD111" s="6">
        <v>49717.360999999997</v>
      </c>
      <c r="BE111" s="6">
        <v>42387.777000000002</v>
      </c>
      <c r="BF111" s="6">
        <v>23163.053</v>
      </c>
      <c r="BG111" s="22"/>
    </row>
    <row r="112" spans="1:59" ht="15.75">
      <c r="A112" s="23"/>
      <c r="B112" s="4" t="s">
        <v>212</v>
      </c>
      <c r="C112" s="4" t="s">
        <v>213</v>
      </c>
      <c r="D112" s="6">
        <v>4</v>
      </c>
      <c r="E112" s="6">
        <v>4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22"/>
    </row>
    <row r="113" spans="1:59" ht="15.75">
      <c r="A113" s="23"/>
      <c r="B113" s="4" t="s">
        <v>214</v>
      </c>
      <c r="C113" s="4" t="s">
        <v>215</v>
      </c>
      <c r="D113" s="6">
        <v>6</v>
      </c>
      <c r="E113" s="6">
        <v>6</v>
      </c>
      <c r="F113" s="6">
        <v>0</v>
      </c>
      <c r="G113" s="6">
        <v>42.165999999999997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0.72699999999999998</v>
      </c>
      <c r="P113" s="6">
        <v>-0.23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353.322</v>
      </c>
      <c r="AK113" s="6">
        <v>23.628</v>
      </c>
      <c r="AL113" s="6">
        <v>0</v>
      </c>
      <c r="AM113" s="6">
        <v>295.04000000000002</v>
      </c>
      <c r="AN113" s="6">
        <v>12.359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22"/>
    </row>
    <row r="114" spans="1:59" ht="15.75">
      <c r="A114" s="23"/>
      <c r="B114" s="4" t="s">
        <v>216</v>
      </c>
      <c r="C114" s="4" t="s">
        <v>217</v>
      </c>
      <c r="D114" s="6">
        <v>6</v>
      </c>
      <c r="E114" s="6">
        <v>6</v>
      </c>
      <c r="F114" s="6">
        <v>51414.908000000003</v>
      </c>
      <c r="G114" s="6">
        <v>1139.9059999999999</v>
      </c>
      <c r="H114" s="6">
        <v>0</v>
      </c>
      <c r="I114" s="6">
        <v>0</v>
      </c>
      <c r="J114" s="6">
        <v>75.213999999999999</v>
      </c>
      <c r="K114" s="6">
        <v>0</v>
      </c>
      <c r="L114" s="6">
        <v>53639.546000000002</v>
      </c>
      <c r="M114" s="6">
        <v>4358.2330000000002</v>
      </c>
      <c r="N114" s="6">
        <v>0</v>
      </c>
      <c r="O114" s="6">
        <v>33418.04</v>
      </c>
      <c r="P114" s="6">
        <v>174582.84899999999</v>
      </c>
      <c r="Q114" s="6">
        <v>33797.938999999998</v>
      </c>
      <c r="R114" s="6">
        <v>0</v>
      </c>
      <c r="S114" s="6">
        <v>0</v>
      </c>
      <c r="T114" s="6">
        <v>25.071000000000002</v>
      </c>
      <c r="U114" s="6">
        <v>0</v>
      </c>
      <c r="V114" s="6">
        <v>25.071000000000002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250.715</v>
      </c>
      <c r="AC114" s="6">
        <v>0</v>
      </c>
      <c r="AD114" s="6">
        <v>16979.701000000001</v>
      </c>
      <c r="AE114" s="6">
        <v>0</v>
      </c>
      <c r="AF114" s="6">
        <v>2356.7220000000002</v>
      </c>
      <c r="AG114" s="6">
        <v>0</v>
      </c>
      <c r="AH114" s="6">
        <v>200.572</v>
      </c>
      <c r="AI114" s="6">
        <v>0</v>
      </c>
      <c r="AJ114" s="6">
        <v>50491.866000000002</v>
      </c>
      <c r="AK114" s="6">
        <v>110.949</v>
      </c>
      <c r="AL114" s="6">
        <v>0</v>
      </c>
      <c r="AM114" s="6">
        <v>204641.894</v>
      </c>
      <c r="AN114" s="6">
        <v>75.206999999999994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22"/>
    </row>
    <row r="115" spans="1:59" ht="15.75">
      <c r="A115" s="23"/>
      <c r="B115" s="4" t="s">
        <v>218</v>
      </c>
      <c r="C115" s="4" t="s">
        <v>219</v>
      </c>
      <c r="D115" s="6">
        <v>4</v>
      </c>
      <c r="E115" s="6">
        <v>4</v>
      </c>
      <c r="F115" s="6">
        <v>16111.912</v>
      </c>
      <c r="G115" s="6">
        <v>4916.4409999999998</v>
      </c>
      <c r="H115" s="6">
        <v>0</v>
      </c>
      <c r="I115" s="6">
        <v>10921.145</v>
      </c>
      <c r="J115" s="6">
        <v>247.65899999999999</v>
      </c>
      <c r="K115" s="6">
        <v>0</v>
      </c>
      <c r="L115" s="6">
        <v>22642.891</v>
      </c>
      <c r="M115" s="6">
        <v>1366.4949999999999</v>
      </c>
      <c r="N115" s="6">
        <v>0</v>
      </c>
      <c r="O115" s="6">
        <v>2630.3009999999999</v>
      </c>
      <c r="P115" s="6">
        <v>61007.968999999997</v>
      </c>
      <c r="Q115" s="6">
        <v>3120.8</v>
      </c>
      <c r="R115" s="6">
        <v>0</v>
      </c>
      <c r="S115" s="6">
        <v>0</v>
      </c>
      <c r="T115" s="6">
        <v>2.5489999999999999</v>
      </c>
      <c r="U115" s="6">
        <v>0</v>
      </c>
      <c r="V115" s="6">
        <v>0</v>
      </c>
      <c r="W115" s="6">
        <v>1484.89</v>
      </c>
      <c r="X115" s="6">
        <v>0</v>
      </c>
      <c r="Y115" s="6">
        <v>0</v>
      </c>
      <c r="Z115" s="6">
        <v>0</v>
      </c>
      <c r="AA115" s="6">
        <v>0</v>
      </c>
      <c r="AB115" s="6">
        <v>337.32499999999999</v>
      </c>
      <c r="AC115" s="6">
        <v>0</v>
      </c>
      <c r="AD115" s="6">
        <v>8917.3169999999991</v>
      </c>
      <c r="AE115" s="6">
        <v>0</v>
      </c>
      <c r="AF115" s="6">
        <v>0</v>
      </c>
      <c r="AG115" s="6">
        <v>0</v>
      </c>
      <c r="AH115" s="6">
        <v>782.17899999999997</v>
      </c>
      <c r="AI115" s="6">
        <v>6737.2120000000004</v>
      </c>
      <c r="AJ115" s="6">
        <v>21929.498</v>
      </c>
      <c r="AK115" s="6">
        <v>12160.721</v>
      </c>
      <c r="AL115" s="6">
        <v>32333.344000000001</v>
      </c>
      <c r="AM115" s="6">
        <v>76116.188999999998</v>
      </c>
      <c r="AN115" s="6">
        <v>23547.205999999998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34.183</v>
      </c>
      <c r="AW115" s="6">
        <v>0</v>
      </c>
      <c r="AX115" s="6">
        <v>0</v>
      </c>
      <c r="AY115" s="6">
        <v>3513.9949999999999</v>
      </c>
      <c r="AZ115" s="6">
        <v>0</v>
      </c>
      <c r="BA115" s="6">
        <v>13.327999999999999</v>
      </c>
      <c r="BB115" s="6">
        <v>0</v>
      </c>
      <c r="BC115" s="6">
        <v>2045.6489999999999</v>
      </c>
      <c r="BD115" s="6">
        <v>0</v>
      </c>
      <c r="BE115" s="6">
        <v>0</v>
      </c>
      <c r="BF115" s="6">
        <v>0</v>
      </c>
      <c r="BG115" s="22"/>
    </row>
    <row r="116" spans="1:59" ht="15.75">
      <c r="A116" s="23"/>
      <c r="B116" s="4" t="s">
        <v>220</v>
      </c>
      <c r="C116" s="4" t="s">
        <v>221</v>
      </c>
      <c r="D116" s="6">
        <v>4</v>
      </c>
      <c r="E116" s="6">
        <v>4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175148.41800000001</v>
      </c>
      <c r="AQ116" s="6">
        <v>0</v>
      </c>
      <c r="AR116" s="6">
        <v>0</v>
      </c>
      <c r="AS116" s="6">
        <v>109471.36500000001</v>
      </c>
      <c r="AT116" s="6">
        <v>0</v>
      </c>
      <c r="AU116" s="6">
        <v>55211.523999999998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1466.26</v>
      </c>
      <c r="BD116" s="6">
        <v>0</v>
      </c>
      <c r="BE116" s="6">
        <v>0</v>
      </c>
      <c r="BF116" s="6">
        <v>0</v>
      </c>
      <c r="BG116" s="22"/>
    </row>
    <row r="117" spans="1:59" ht="15.75">
      <c r="A117" s="23"/>
      <c r="B117" s="4" t="s">
        <v>222</v>
      </c>
      <c r="C117" s="4" t="s">
        <v>223</v>
      </c>
      <c r="D117" s="6">
        <v>4</v>
      </c>
      <c r="E117" s="6">
        <v>3</v>
      </c>
      <c r="F117" s="6">
        <v>0</v>
      </c>
      <c r="G117" s="6">
        <v>0</v>
      </c>
      <c r="H117" s="6">
        <v>283.67899999999997</v>
      </c>
      <c r="I117" s="6">
        <v>0</v>
      </c>
      <c r="J117" s="6">
        <v>0</v>
      </c>
      <c r="K117" s="6">
        <v>65.902000000000001</v>
      </c>
      <c r="L117" s="6">
        <v>0</v>
      </c>
      <c r="M117" s="6">
        <v>3332.9090000000001</v>
      </c>
      <c r="N117" s="6">
        <v>0</v>
      </c>
      <c r="O117" s="6">
        <v>0</v>
      </c>
      <c r="P117" s="6">
        <v>0</v>
      </c>
      <c r="Q117" s="6">
        <v>0</v>
      </c>
      <c r="R117" s="6">
        <v>2432.9270000000001</v>
      </c>
      <c r="S117" s="6">
        <v>0</v>
      </c>
      <c r="T117" s="6">
        <v>0</v>
      </c>
      <c r="U117" s="6">
        <v>190.29599999999999</v>
      </c>
      <c r="V117" s="6">
        <v>598.21699999999998</v>
      </c>
      <c r="W117" s="6">
        <v>0</v>
      </c>
      <c r="X117" s="6">
        <v>0</v>
      </c>
      <c r="Y117" s="6">
        <v>694.40800000000002</v>
      </c>
      <c r="Z117" s="6">
        <v>0</v>
      </c>
      <c r="AA117" s="6">
        <v>0</v>
      </c>
      <c r="AB117" s="6">
        <v>2163.3029999999999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10511.011</v>
      </c>
      <c r="AJ117" s="6">
        <v>0</v>
      </c>
      <c r="AK117" s="6">
        <v>0</v>
      </c>
      <c r="AL117" s="6">
        <v>43659.123</v>
      </c>
      <c r="AM117" s="6">
        <v>0</v>
      </c>
      <c r="AN117" s="6">
        <v>0</v>
      </c>
      <c r="AO117" s="6">
        <v>0</v>
      </c>
      <c r="AP117" s="6">
        <v>0</v>
      </c>
      <c r="AQ117" s="6">
        <v>5254.1180000000004</v>
      </c>
      <c r="AR117" s="6">
        <v>4601.1409999999996</v>
      </c>
      <c r="AS117" s="6">
        <v>0</v>
      </c>
      <c r="AT117" s="6">
        <v>0</v>
      </c>
      <c r="AU117" s="6">
        <v>0</v>
      </c>
      <c r="AV117" s="6">
        <v>0</v>
      </c>
      <c r="AW117" s="6">
        <v>305.42399999999998</v>
      </c>
      <c r="AX117" s="6">
        <v>0</v>
      </c>
      <c r="AY117" s="6">
        <v>0</v>
      </c>
      <c r="AZ117" s="6">
        <v>0</v>
      </c>
      <c r="BA117" s="6">
        <v>40.356000000000002</v>
      </c>
      <c r="BB117" s="6">
        <v>0</v>
      </c>
      <c r="BC117" s="6">
        <v>693.81500000000005</v>
      </c>
      <c r="BD117" s="6">
        <v>0</v>
      </c>
      <c r="BE117" s="6">
        <v>0</v>
      </c>
      <c r="BF117" s="6">
        <v>0</v>
      </c>
      <c r="BG117" s="22"/>
    </row>
    <row r="118" spans="1:59" ht="15.75">
      <c r="A118" s="23"/>
      <c r="B118" s="4" t="s">
        <v>224</v>
      </c>
      <c r="C118" s="4" t="s">
        <v>225</v>
      </c>
      <c r="D118" s="6">
        <v>4</v>
      </c>
      <c r="E118" s="6">
        <v>3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22"/>
    </row>
    <row r="119" spans="1:59" ht="15.75">
      <c r="A119" s="23"/>
      <c r="B119" s="4" t="s">
        <v>226</v>
      </c>
      <c r="C119" s="4" t="s">
        <v>227</v>
      </c>
      <c r="D119" s="6">
        <v>4</v>
      </c>
      <c r="E119" s="6">
        <v>4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22"/>
    </row>
    <row r="120" spans="1:59" ht="15.75">
      <c r="A120" s="23"/>
      <c r="B120" s="4" t="s">
        <v>228</v>
      </c>
      <c r="C120" s="4" t="s">
        <v>229</v>
      </c>
      <c r="D120" s="6">
        <v>4</v>
      </c>
      <c r="E120" s="6">
        <v>6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22"/>
    </row>
    <row r="121" spans="1:59" ht="15.75">
      <c r="A121" s="23"/>
      <c r="B121" s="4" t="s">
        <v>230</v>
      </c>
      <c r="C121" s="4" t="s">
        <v>231</v>
      </c>
      <c r="D121" s="6">
        <v>4</v>
      </c>
      <c r="E121" s="6">
        <v>4</v>
      </c>
      <c r="F121" s="6">
        <v>175167.337</v>
      </c>
      <c r="G121" s="6">
        <v>48210.017</v>
      </c>
      <c r="H121" s="6">
        <v>0</v>
      </c>
      <c r="I121" s="6">
        <v>0</v>
      </c>
      <c r="J121" s="6">
        <v>2380.8090000000002</v>
      </c>
      <c r="K121" s="6">
        <v>0</v>
      </c>
      <c r="L121" s="6">
        <v>259548.853</v>
      </c>
      <c r="M121" s="6">
        <v>21270.206999999999</v>
      </c>
      <c r="N121" s="6">
        <v>0</v>
      </c>
      <c r="O121" s="6">
        <v>26775.769</v>
      </c>
      <c r="P121" s="6">
        <v>603320.55000000005</v>
      </c>
      <c r="Q121" s="6">
        <v>35169.156000000003</v>
      </c>
      <c r="R121" s="6">
        <v>0</v>
      </c>
      <c r="S121" s="6">
        <v>1108.376</v>
      </c>
      <c r="T121" s="6">
        <v>0</v>
      </c>
      <c r="U121" s="6">
        <v>713.14</v>
      </c>
      <c r="V121" s="6">
        <v>0</v>
      </c>
      <c r="W121" s="6">
        <v>14266.483</v>
      </c>
      <c r="X121" s="6">
        <v>0</v>
      </c>
      <c r="Y121" s="6">
        <v>10382.26</v>
      </c>
      <c r="Z121" s="6">
        <v>0</v>
      </c>
      <c r="AA121" s="6">
        <v>0</v>
      </c>
      <c r="AB121" s="6">
        <v>4127.3429999999998</v>
      </c>
      <c r="AC121" s="6">
        <v>0</v>
      </c>
      <c r="AD121" s="6">
        <v>101642.503</v>
      </c>
      <c r="AE121" s="6">
        <v>19350.771000000001</v>
      </c>
      <c r="AF121" s="6">
        <v>0</v>
      </c>
      <c r="AG121" s="6">
        <v>29972.168000000001</v>
      </c>
      <c r="AH121" s="6">
        <v>7871.4269999999997</v>
      </c>
      <c r="AI121" s="6">
        <v>7607.9480000000003</v>
      </c>
      <c r="AJ121" s="6">
        <v>255306.26</v>
      </c>
      <c r="AK121" s="6">
        <v>115938.95600000001</v>
      </c>
      <c r="AL121" s="6">
        <v>31978.174999999999</v>
      </c>
      <c r="AM121" s="6">
        <v>773096.02099999995</v>
      </c>
      <c r="AN121" s="6">
        <v>223621.25399999999</v>
      </c>
      <c r="AO121" s="6">
        <v>140602.40700000001</v>
      </c>
      <c r="AP121" s="6">
        <v>1484198.4779999999</v>
      </c>
      <c r="AQ121" s="6">
        <v>26008.702000000001</v>
      </c>
      <c r="AR121" s="6">
        <v>8796.8389999999999</v>
      </c>
      <c r="AS121" s="6">
        <v>927654.58200000005</v>
      </c>
      <c r="AT121" s="6">
        <v>0</v>
      </c>
      <c r="AU121" s="6">
        <v>467859.549</v>
      </c>
      <c r="AV121" s="6">
        <v>643.851</v>
      </c>
      <c r="AW121" s="6">
        <v>970.01900000000001</v>
      </c>
      <c r="AX121" s="6">
        <v>0</v>
      </c>
      <c r="AY121" s="6">
        <v>33758.985999999997</v>
      </c>
      <c r="AZ121" s="6">
        <v>0</v>
      </c>
      <c r="BA121" s="6">
        <v>143.71700000000001</v>
      </c>
      <c r="BB121" s="6">
        <v>0</v>
      </c>
      <c r="BC121" s="6">
        <v>1123.5920000000001</v>
      </c>
      <c r="BD121" s="6">
        <v>0</v>
      </c>
      <c r="BE121" s="6">
        <v>0</v>
      </c>
      <c r="BF121" s="6">
        <v>42261.633000000002</v>
      </c>
      <c r="BG121" s="22"/>
    </row>
    <row r="122" spans="1:59" ht="15.75">
      <c r="A122" s="23"/>
      <c r="B122" s="4" t="s">
        <v>232</v>
      </c>
      <c r="C122" s="4" t="s">
        <v>233</v>
      </c>
      <c r="D122" s="6">
        <v>4</v>
      </c>
      <c r="E122" s="6">
        <v>3</v>
      </c>
      <c r="F122" s="6">
        <v>3484.6129999999998</v>
      </c>
      <c r="G122" s="6">
        <v>973.79</v>
      </c>
      <c r="H122" s="6">
        <v>1088.8810000000001</v>
      </c>
      <c r="I122" s="6">
        <v>362.24799999999999</v>
      </c>
      <c r="J122" s="6">
        <v>168.88</v>
      </c>
      <c r="K122" s="6">
        <v>872.87300000000005</v>
      </c>
      <c r="L122" s="6">
        <v>449.86399999999998</v>
      </c>
      <c r="M122" s="6">
        <v>784.53200000000004</v>
      </c>
      <c r="N122" s="6">
        <v>0</v>
      </c>
      <c r="O122" s="6">
        <v>2535.6320000000001</v>
      </c>
      <c r="P122" s="6">
        <v>5756.2709999999997</v>
      </c>
      <c r="Q122" s="6">
        <v>2840.9029999999998</v>
      </c>
      <c r="R122" s="6">
        <v>0</v>
      </c>
      <c r="S122" s="6">
        <v>0</v>
      </c>
      <c r="T122" s="6">
        <v>2E-3</v>
      </c>
      <c r="U122" s="6">
        <v>529.03800000000001</v>
      </c>
      <c r="V122" s="6">
        <v>578.65599999999995</v>
      </c>
      <c r="W122" s="6">
        <v>395.346</v>
      </c>
      <c r="X122" s="6">
        <v>0</v>
      </c>
      <c r="Y122" s="6">
        <v>3559.97</v>
      </c>
      <c r="Z122" s="6">
        <v>0</v>
      </c>
      <c r="AA122" s="6">
        <v>95.637</v>
      </c>
      <c r="AB122" s="6">
        <v>178.303</v>
      </c>
      <c r="AC122" s="6">
        <v>0</v>
      </c>
      <c r="AD122" s="6">
        <v>406.87700000000001</v>
      </c>
      <c r="AE122" s="6">
        <v>15089.763000000001</v>
      </c>
      <c r="AF122" s="6">
        <v>1647.7190000000001</v>
      </c>
      <c r="AG122" s="6">
        <v>0</v>
      </c>
      <c r="AH122" s="6">
        <v>205.428</v>
      </c>
      <c r="AI122" s="6">
        <v>1794.079</v>
      </c>
      <c r="AJ122" s="6">
        <v>5.101</v>
      </c>
      <c r="AK122" s="6">
        <v>14.866</v>
      </c>
      <c r="AL122" s="6">
        <v>4761.8900000000003</v>
      </c>
      <c r="AM122" s="6">
        <v>14107.714</v>
      </c>
      <c r="AN122" s="6">
        <v>25.363</v>
      </c>
      <c r="AO122" s="6">
        <v>85104.005999999994</v>
      </c>
      <c r="AP122" s="6">
        <v>0</v>
      </c>
      <c r="AQ122" s="6">
        <v>8713.8009999999995</v>
      </c>
      <c r="AR122" s="6">
        <v>8501.0920000000006</v>
      </c>
      <c r="AS122" s="6">
        <v>0</v>
      </c>
      <c r="AT122" s="6">
        <v>0</v>
      </c>
      <c r="AU122" s="6">
        <v>0</v>
      </c>
      <c r="AV122" s="6">
        <v>22.951000000000001</v>
      </c>
      <c r="AW122" s="6">
        <v>717.50099999999998</v>
      </c>
      <c r="AX122" s="6">
        <v>0</v>
      </c>
      <c r="AY122" s="6">
        <v>2.0870000000000002</v>
      </c>
      <c r="AZ122" s="6">
        <v>0</v>
      </c>
      <c r="BA122" s="6">
        <v>1.5029999999999999</v>
      </c>
      <c r="BB122" s="6">
        <v>0</v>
      </c>
      <c r="BC122" s="6">
        <v>48.225999999999999</v>
      </c>
      <c r="BD122" s="6">
        <v>0</v>
      </c>
      <c r="BE122" s="6">
        <v>0</v>
      </c>
      <c r="BF122" s="6">
        <v>4360.6620000000003</v>
      </c>
      <c r="BG122" s="22"/>
    </row>
    <row r="123" spans="1:59" ht="15.75">
      <c r="A123" s="23"/>
      <c r="B123" s="4" t="s">
        <v>234</v>
      </c>
      <c r="C123" s="4" t="s">
        <v>235</v>
      </c>
      <c r="D123" s="6">
        <v>4</v>
      </c>
      <c r="E123" s="6">
        <v>4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22"/>
    </row>
    <row r="124" spans="1:59" ht="15.75">
      <c r="A124" s="23"/>
      <c r="B124" s="4" t="s">
        <v>228</v>
      </c>
      <c r="C124" s="4" t="s">
        <v>236</v>
      </c>
      <c r="D124" s="6">
        <v>4</v>
      </c>
      <c r="E124" s="6">
        <v>6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22"/>
    </row>
    <row r="125" spans="1:59" ht="15.75">
      <c r="A125" s="23"/>
      <c r="B125" s="4" t="s">
        <v>237</v>
      </c>
      <c r="C125" s="4" t="s">
        <v>238</v>
      </c>
      <c r="D125" s="6">
        <v>4</v>
      </c>
      <c r="E125" s="6">
        <v>4</v>
      </c>
      <c r="F125" s="6">
        <v>7007.6260000000002</v>
      </c>
      <c r="G125" s="6">
        <v>1998.528</v>
      </c>
      <c r="H125" s="6">
        <v>516.87800000000004</v>
      </c>
      <c r="I125" s="6">
        <v>920.05</v>
      </c>
      <c r="J125" s="6">
        <v>331.97</v>
      </c>
      <c r="K125" s="6">
        <v>1577.8820000000001</v>
      </c>
      <c r="L125" s="6">
        <v>1143.365</v>
      </c>
      <c r="M125" s="6">
        <v>1732.6980000000001</v>
      </c>
      <c r="N125" s="6">
        <v>0</v>
      </c>
      <c r="O125" s="6">
        <v>5975.634</v>
      </c>
      <c r="P125" s="6">
        <v>11122.757</v>
      </c>
      <c r="Q125" s="6">
        <v>6289.71</v>
      </c>
      <c r="R125" s="6">
        <v>0</v>
      </c>
      <c r="S125" s="6">
        <v>0</v>
      </c>
      <c r="T125" s="6">
        <v>1.2E-2</v>
      </c>
      <c r="U125" s="6">
        <v>0</v>
      </c>
      <c r="V125" s="6">
        <v>97.12</v>
      </c>
      <c r="W125" s="6">
        <v>796.35199999999998</v>
      </c>
      <c r="X125" s="6">
        <v>0</v>
      </c>
      <c r="Y125" s="6">
        <v>0</v>
      </c>
      <c r="Z125" s="6">
        <v>0</v>
      </c>
      <c r="AA125" s="6">
        <v>140.703</v>
      </c>
      <c r="AB125" s="6">
        <v>448.50900000000001</v>
      </c>
      <c r="AC125" s="6">
        <v>0</v>
      </c>
      <c r="AD125" s="6">
        <v>546.34900000000005</v>
      </c>
      <c r="AE125" s="6">
        <v>0</v>
      </c>
      <c r="AF125" s="6">
        <v>3156.5120000000002</v>
      </c>
      <c r="AG125" s="6">
        <v>0</v>
      </c>
      <c r="AH125" s="6">
        <v>353.84199999999998</v>
      </c>
      <c r="AI125" s="6">
        <v>0</v>
      </c>
      <c r="AJ125" s="6">
        <v>13.827</v>
      </c>
      <c r="AK125" s="6">
        <v>37.761000000000003</v>
      </c>
      <c r="AL125" s="6">
        <v>0</v>
      </c>
      <c r="AM125" s="6">
        <v>24084.559000000001</v>
      </c>
      <c r="AN125" s="6">
        <v>64.414000000000001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41.473999999999997</v>
      </c>
      <c r="AW125" s="6">
        <v>0</v>
      </c>
      <c r="AX125" s="6">
        <v>0</v>
      </c>
      <c r="AY125" s="6">
        <v>5.2949999999999999</v>
      </c>
      <c r="AZ125" s="6">
        <v>0</v>
      </c>
      <c r="BA125" s="6">
        <v>2.88</v>
      </c>
      <c r="BB125" s="6">
        <v>0</v>
      </c>
      <c r="BC125" s="6">
        <v>0.56599999999999995</v>
      </c>
      <c r="BD125" s="6">
        <v>0</v>
      </c>
      <c r="BE125" s="6">
        <v>0</v>
      </c>
      <c r="BF125" s="6">
        <v>2689.7719999999999</v>
      </c>
      <c r="BG125" s="22"/>
    </row>
    <row r="126" spans="1:59" ht="15.75">
      <c r="A126" s="23"/>
      <c r="B126" s="4" t="s">
        <v>239</v>
      </c>
      <c r="C126" s="4" t="s">
        <v>240</v>
      </c>
      <c r="D126" s="6">
        <v>4</v>
      </c>
      <c r="E126" s="6">
        <v>3</v>
      </c>
      <c r="F126" s="6">
        <v>7225.5559999999996</v>
      </c>
      <c r="G126" s="6">
        <v>2061.8879999999999</v>
      </c>
      <c r="H126" s="6">
        <v>530.87599999999998</v>
      </c>
      <c r="I126" s="6">
        <v>949.57799999999997</v>
      </c>
      <c r="J126" s="6">
        <v>342.24</v>
      </c>
      <c r="K126" s="6">
        <v>1627.7570000000001</v>
      </c>
      <c r="L126" s="6">
        <v>1178.742</v>
      </c>
      <c r="M126" s="6">
        <v>1784.7190000000001</v>
      </c>
      <c r="N126" s="6">
        <v>0</v>
      </c>
      <c r="O126" s="6">
        <v>6159.5209999999997</v>
      </c>
      <c r="P126" s="6">
        <v>11476.263999999999</v>
      </c>
      <c r="Q126" s="6">
        <v>6487.8069999999998</v>
      </c>
      <c r="R126" s="6">
        <v>0</v>
      </c>
      <c r="S126" s="6">
        <v>0</v>
      </c>
      <c r="T126" s="6">
        <v>8.9999999999999993E-3</v>
      </c>
      <c r="U126" s="6">
        <v>0</v>
      </c>
      <c r="V126" s="6">
        <v>0.246</v>
      </c>
      <c r="W126" s="6">
        <v>821.37099999999998</v>
      </c>
      <c r="X126" s="6">
        <v>0</v>
      </c>
      <c r="Y126" s="6">
        <v>0</v>
      </c>
      <c r="Z126" s="6">
        <v>0</v>
      </c>
      <c r="AA126" s="6">
        <v>144.88999999999999</v>
      </c>
      <c r="AB126" s="6">
        <v>461.81200000000001</v>
      </c>
      <c r="AC126" s="6">
        <v>0</v>
      </c>
      <c r="AD126" s="6">
        <v>562.32600000000002</v>
      </c>
      <c r="AE126" s="6">
        <v>0</v>
      </c>
      <c r="AF126" s="6">
        <v>3253.5650000000001</v>
      </c>
      <c r="AG126" s="6">
        <v>0</v>
      </c>
      <c r="AH126" s="6">
        <v>364.98899999999998</v>
      </c>
      <c r="AI126" s="6">
        <v>0</v>
      </c>
      <c r="AJ126" s="6">
        <v>19.946000000000002</v>
      </c>
      <c r="AK126" s="6">
        <v>38.972999999999999</v>
      </c>
      <c r="AL126" s="6">
        <v>0</v>
      </c>
      <c r="AM126" s="6">
        <v>24850.449000000001</v>
      </c>
      <c r="AN126" s="6">
        <v>66.480999999999995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42.781999999999996</v>
      </c>
      <c r="AW126" s="6">
        <v>0</v>
      </c>
      <c r="AX126" s="6">
        <v>0</v>
      </c>
      <c r="AY126" s="6">
        <v>5.4649999999999999</v>
      </c>
      <c r="AZ126" s="6">
        <v>0</v>
      </c>
      <c r="BA126" s="6">
        <v>2.97</v>
      </c>
      <c r="BB126" s="6">
        <v>0</v>
      </c>
      <c r="BC126" s="6">
        <v>0.41499999999999998</v>
      </c>
      <c r="BD126" s="6">
        <v>0</v>
      </c>
      <c r="BE126" s="6">
        <v>0</v>
      </c>
      <c r="BF126" s="6">
        <v>2776.1</v>
      </c>
      <c r="BG126" s="22"/>
    </row>
    <row r="127" spans="1:59" ht="15.75">
      <c r="A127" s="23"/>
      <c r="B127" s="4" t="s">
        <v>241</v>
      </c>
      <c r="C127" s="4" t="s">
        <v>242</v>
      </c>
      <c r="D127" s="6">
        <v>2</v>
      </c>
      <c r="E127" s="6">
        <v>2</v>
      </c>
      <c r="F127" s="6">
        <v>36047.023000000001</v>
      </c>
      <c r="G127" s="6">
        <v>11823.204</v>
      </c>
      <c r="H127" s="6">
        <v>11261.040999999999</v>
      </c>
      <c r="I127" s="6">
        <v>286.06200000000001</v>
      </c>
      <c r="J127" s="6">
        <v>2318.6039999999998</v>
      </c>
      <c r="K127" s="6">
        <v>9194.5679999999993</v>
      </c>
      <c r="L127" s="6">
        <v>62579.696000000004</v>
      </c>
      <c r="M127" s="6">
        <v>11931.213</v>
      </c>
      <c r="N127" s="6">
        <v>0</v>
      </c>
      <c r="O127" s="6">
        <v>21939.42</v>
      </c>
      <c r="P127" s="6">
        <v>51311.91</v>
      </c>
      <c r="Q127" s="6">
        <v>32010.707999999999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3714.694</v>
      </c>
      <c r="X127" s="6">
        <v>0</v>
      </c>
      <c r="Y127" s="6">
        <v>0</v>
      </c>
      <c r="Z127" s="6">
        <v>0</v>
      </c>
      <c r="AA127" s="6">
        <v>1213.393</v>
      </c>
      <c r="AB127" s="6">
        <v>3275.68</v>
      </c>
      <c r="AC127" s="6">
        <v>0</v>
      </c>
      <c r="AD127" s="6">
        <v>10537.424000000001</v>
      </c>
      <c r="AE127" s="6">
        <v>0</v>
      </c>
      <c r="AF127" s="6">
        <v>11661.552</v>
      </c>
      <c r="AG127" s="6">
        <v>0</v>
      </c>
      <c r="AH127" s="6">
        <v>1646.5340000000001</v>
      </c>
      <c r="AI127" s="6">
        <v>0</v>
      </c>
      <c r="AJ127" s="6">
        <v>26855.954000000002</v>
      </c>
      <c r="AK127" s="6">
        <v>11.742000000000001</v>
      </c>
      <c r="AL127" s="6">
        <v>0</v>
      </c>
      <c r="AM127" s="6">
        <v>104383.323</v>
      </c>
      <c r="AN127" s="6">
        <v>20.015999999999998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101.626</v>
      </c>
      <c r="AW127" s="6">
        <v>0</v>
      </c>
      <c r="AX127" s="6">
        <v>0</v>
      </c>
      <c r="AY127" s="6">
        <v>1.643</v>
      </c>
      <c r="AZ127" s="6">
        <v>0</v>
      </c>
      <c r="BA127" s="6">
        <v>5.0789999999999997</v>
      </c>
      <c r="BB127" s="6">
        <v>0</v>
      </c>
      <c r="BC127" s="6">
        <v>6.0999999999999999E-2</v>
      </c>
      <c r="BD127" s="6">
        <v>0</v>
      </c>
      <c r="BE127" s="6">
        <v>0</v>
      </c>
      <c r="BF127" s="6">
        <v>858.49599999999998</v>
      </c>
      <c r="BG127" s="22"/>
    </row>
    <row r="128" spans="1:59" ht="15.75">
      <c r="A128" s="23"/>
      <c r="B128" s="4" t="s">
        <v>243</v>
      </c>
      <c r="C128" s="4" t="s">
        <v>244</v>
      </c>
      <c r="D128" s="6">
        <v>4</v>
      </c>
      <c r="E128" s="6">
        <v>4</v>
      </c>
      <c r="F128" s="6">
        <v>35467.875</v>
      </c>
      <c r="G128" s="6">
        <v>9761.5939999999991</v>
      </c>
      <c r="H128" s="6">
        <v>0</v>
      </c>
      <c r="I128" s="6">
        <v>0</v>
      </c>
      <c r="J128" s="6">
        <v>482.05200000000002</v>
      </c>
      <c r="K128" s="6">
        <v>0</v>
      </c>
      <c r="L128" s="6">
        <v>52552.144999999997</v>
      </c>
      <c r="M128" s="6">
        <v>4306.7110000000002</v>
      </c>
      <c r="N128" s="6">
        <v>0</v>
      </c>
      <c r="O128" s="6">
        <v>5421.09</v>
      </c>
      <c r="P128" s="6">
        <v>122160.67600000001</v>
      </c>
      <c r="Q128" s="6">
        <v>7120.7060000000001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2888.7130000000002</v>
      </c>
      <c r="X128" s="6">
        <v>0</v>
      </c>
      <c r="Y128" s="6">
        <v>0</v>
      </c>
      <c r="Z128" s="6">
        <v>0</v>
      </c>
      <c r="AA128" s="6">
        <v>0</v>
      </c>
      <c r="AB128" s="6">
        <v>835.726</v>
      </c>
      <c r="AC128" s="6">
        <v>0</v>
      </c>
      <c r="AD128" s="6">
        <v>20584.035</v>
      </c>
      <c r="AE128" s="6">
        <v>0</v>
      </c>
      <c r="AF128" s="6">
        <v>0</v>
      </c>
      <c r="AG128" s="6">
        <v>6.8609999999999998</v>
      </c>
      <c r="AH128" s="6">
        <v>1593.87</v>
      </c>
      <c r="AI128" s="6">
        <v>0</v>
      </c>
      <c r="AJ128" s="6">
        <v>51703.163</v>
      </c>
      <c r="AK128" s="6">
        <v>23476.008000000002</v>
      </c>
      <c r="AL128" s="6">
        <v>0</v>
      </c>
      <c r="AM128" s="6">
        <v>156520.122</v>
      </c>
      <c r="AN128" s="6">
        <v>45280.885999999999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130.41300000000001</v>
      </c>
      <c r="AW128" s="6">
        <v>0</v>
      </c>
      <c r="AX128" s="6">
        <v>0</v>
      </c>
      <c r="AY128" s="6">
        <v>6836.2460000000001</v>
      </c>
      <c r="AZ128" s="6">
        <v>0</v>
      </c>
      <c r="BA128" s="6">
        <v>29.172000000000001</v>
      </c>
      <c r="BB128" s="6">
        <v>0</v>
      </c>
      <c r="BC128" s="6">
        <v>226.995</v>
      </c>
      <c r="BD128" s="6">
        <v>0</v>
      </c>
      <c r="BE128" s="6">
        <v>0</v>
      </c>
      <c r="BF128" s="6">
        <v>6115.7150000000001</v>
      </c>
      <c r="BG128" s="22"/>
    </row>
    <row r="129" spans="1:59" ht="15.75">
      <c r="A129" s="23"/>
      <c r="B129" s="4" t="s">
        <v>245</v>
      </c>
      <c r="C129" s="4" t="s">
        <v>246</v>
      </c>
      <c r="D129" s="6">
        <v>4</v>
      </c>
      <c r="E129" s="6">
        <v>6</v>
      </c>
      <c r="F129" s="6">
        <v>2794.0329999999999</v>
      </c>
      <c r="G129" s="6">
        <v>775.11800000000005</v>
      </c>
      <c r="H129" s="6">
        <v>43.664999999999999</v>
      </c>
      <c r="I129" s="6">
        <v>78.510999999999996</v>
      </c>
      <c r="J129" s="6">
        <v>58.156999999999996</v>
      </c>
      <c r="K129" s="6">
        <v>134.34200000000001</v>
      </c>
      <c r="L129" s="6">
        <v>3352.8380000000002</v>
      </c>
      <c r="M129" s="6">
        <v>414.34500000000003</v>
      </c>
      <c r="N129" s="6">
        <v>0</v>
      </c>
      <c r="O129" s="6">
        <v>845.07600000000002</v>
      </c>
      <c r="P129" s="6">
        <v>8516.0450000000001</v>
      </c>
      <c r="Q129" s="6">
        <v>977.19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246.85300000000001</v>
      </c>
      <c r="X129" s="6">
        <v>0</v>
      </c>
      <c r="Y129" s="6">
        <v>0</v>
      </c>
      <c r="Z129" s="6">
        <v>0</v>
      </c>
      <c r="AA129" s="6">
        <v>11.978999999999999</v>
      </c>
      <c r="AB129" s="6">
        <v>89.948999999999998</v>
      </c>
      <c r="AC129" s="6">
        <v>0</v>
      </c>
      <c r="AD129" s="6">
        <v>1321.586</v>
      </c>
      <c r="AE129" s="6">
        <v>0</v>
      </c>
      <c r="AF129" s="6">
        <v>269.00299999999999</v>
      </c>
      <c r="AG129" s="6">
        <v>0.42599999999999999</v>
      </c>
      <c r="AH129" s="6">
        <v>128.90899999999999</v>
      </c>
      <c r="AI129" s="6">
        <v>0</v>
      </c>
      <c r="AJ129" s="6">
        <v>3203.6219999999998</v>
      </c>
      <c r="AK129" s="6">
        <v>1457.4590000000001</v>
      </c>
      <c r="AL129" s="6">
        <v>0</v>
      </c>
      <c r="AM129" s="6">
        <v>11749.53</v>
      </c>
      <c r="AN129" s="6">
        <v>2810.453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11.614000000000001</v>
      </c>
      <c r="AW129" s="6">
        <v>0</v>
      </c>
      <c r="AX129" s="6">
        <v>0</v>
      </c>
      <c r="AY129" s="6">
        <v>423.92899999999997</v>
      </c>
      <c r="AZ129" s="6">
        <v>0</v>
      </c>
      <c r="BA129" s="6">
        <v>2.0489999999999999</v>
      </c>
      <c r="BB129" s="6">
        <v>0</v>
      </c>
      <c r="BC129" s="6">
        <v>14.13</v>
      </c>
      <c r="BD129" s="6">
        <v>0</v>
      </c>
      <c r="BE129" s="6">
        <v>0</v>
      </c>
      <c r="BF129" s="6">
        <v>608.36699999999996</v>
      </c>
      <c r="BG129" s="22"/>
    </row>
    <row r="130" spans="1:59" ht="15.75">
      <c r="A130" s="23"/>
      <c r="B130" s="4" t="s">
        <v>247</v>
      </c>
      <c r="C130" s="4" t="s">
        <v>248</v>
      </c>
      <c r="D130" s="6">
        <v>6</v>
      </c>
      <c r="E130" s="6">
        <v>6</v>
      </c>
      <c r="F130" s="6">
        <v>27661.064999999999</v>
      </c>
      <c r="G130" s="6">
        <v>475.67500000000001</v>
      </c>
      <c r="H130" s="6">
        <v>0</v>
      </c>
      <c r="I130" s="6">
        <v>0</v>
      </c>
      <c r="J130" s="6">
        <v>0</v>
      </c>
      <c r="K130" s="6">
        <v>0</v>
      </c>
      <c r="L130" s="6">
        <v>18959.25</v>
      </c>
      <c r="M130" s="6">
        <v>1727.2560000000001</v>
      </c>
      <c r="N130" s="6">
        <v>0</v>
      </c>
      <c r="O130" s="6">
        <v>11418.296</v>
      </c>
      <c r="P130" s="6">
        <v>73129.464999999997</v>
      </c>
      <c r="Q130" s="6">
        <v>8768.9590000000007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3306.0949999999998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20112.149000000001</v>
      </c>
      <c r="AK130" s="6">
        <v>114.486</v>
      </c>
      <c r="AL130" s="6">
        <v>0</v>
      </c>
      <c r="AM130" s="6">
        <v>83797.051000000007</v>
      </c>
      <c r="AN130" s="6">
        <v>73.057000000000002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22"/>
    </row>
    <row r="131" spans="1:59" ht="15.75">
      <c r="A131" s="23"/>
      <c r="B131" s="4" t="s">
        <v>249</v>
      </c>
      <c r="C131" s="4" t="s">
        <v>250</v>
      </c>
      <c r="D131" s="6">
        <v>6</v>
      </c>
      <c r="E131" s="6">
        <v>6</v>
      </c>
      <c r="F131" s="6">
        <v>17730.253000000001</v>
      </c>
      <c r="G131" s="6">
        <v>2028.6559999999999</v>
      </c>
      <c r="H131" s="6">
        <v>2971.299</v>
      </c>
      <c r="I131" s="6">
        <v>0</v>
      </c>
      <c r="J131" s="6">
        <v>516.84900000000005</v>
      </c>
      <c r="K131" s="6">
        <v>1744.9739999999999</v>
      </c>
      <c r="L131" s="6">
        <v>14592.25</v>
      </c>
      <c r="M131" s="6">
        <v>2171.3359999999998</v>
      </c>
      <c r="N131" s="6">
        <v>0</v>
      </c>
      <c r="O131" s="6">
        <v>12229.758</v>
      </c>
      <c r="P131" s="6">
        <v>39343.483999999997</v>
      </c>
      <c r="Q131" s="6">
        <v>6734.0829999999996</v>
      </c>
      <c r="R131" s="6">
        <v>0</v>
      </c>
      <c r="S131" s="6">
        <v>0</v>
      </c>
      <c r="T131" s="6">
        <v>100.74</v>
      </c>
      <c r="U131" s="6">
        <v>0</v>
      </c>
      <c r="V131" s="6">
        <v>2.952</v>
      </c>
      <c r="W131" s="6">
        <v>0</v>
      </c>
      <c r="X131" s="6">
        <v>0</v>
      </c>
      <c r="Y131" s="6">
        <v>0</v>
      </c>
      <c r="Z131" s="6">
        <v>0</v>
      </c>
      <c r="AA131" s="6">
        <v>217.60300000000001</v>
      </c>
      <c r="AB131" s="6">
        <v>723.63699999999994</v>
      </c>
      <c r="AC131" s="6">
        <v>0</v>
      </c>
      <c r="AD131" s="6">
        <v>5840.8590000000004</v>
      </c>
      <c r="AE131" s="6">
        <v>0</v>
      </c>
      <c r="AF131" s="6">
        <v>2015.2</v>
      </c>
      <c r="AG131" s="6">
        <v>0</v>
      </c>
      <c r="AH131" s="6">
        <v>341.142</v>
      </c>
      <c r="AI131" s="6">
        <v>0</v>
      </c>
      <c r="AJ131" s="6">
        <v>19351.028999999999</v>
      </c>
      <c r="AK131" s="6">
        <v>0</v>
      </c>
      <c r="AL131" s="6">
        <v>0</v>
      </c>
      <c r="AM131" s="6">
        <v>40140.815000000002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22"/>
    </row>
    <row r="132" spans="1:59" ht="15.75">
      <c r="A132" s="23"/>
      <c r="B132" s="4" t="s">
        <v>251</v>
      </c>
      <c r="C132" s="4" t="s">
        <v>252</v>
      </c>
      <c r="D132" s="6">
        <v>6</v>
      </c>
      <c r="E132" s="6">
        <v>6</v>
      </c>
      <c r="F132" s="6">
        <v>7999.4480000000003</v>
      </c>
      <c r="G132" s="6">
        <v>1483.3620000000001</v>
      </c>
      <c r="H132" s="6">
        <v>711.404</v>
      </c>
      <c r="I132" s="6">
        <v>0</v>
      </c>
      <c r="J132" s="6">
        <v>125.20399999999999</v>
      </c>
      <c r="K132" s="6">
        <v>454.74599999999998</v>
      </c>
      <c r="L132" s="6">
        <v>5937.42</v>
      </c>
      <c r="M132" s="6">
        <v>1964.3789999999999</v>
      </c>
      <c r="N132" s="6">
        <v>0</v>
      </c>
      <c r="O132" s="6">
        <v>4540.6769999999997</v>
      </c>
      <c r="P132" s="6">
        <v>28363.080999999998</v>
      </c>
      <c r="Q132" s="6">
        <v>2659.9409999999998</v>
      </c>
      <c r="R132" s="6">
        <v>0</v>
      </c>
      <c r="S132" s="6">
        <v>0</v>
      </c>
      <c r="T132" s="6">
        <v>0.71299999999999997</v>
      </c>
      <c r="U132" s="6">
        <v>0</v>
      </c>
      <c r="V132" s="6">
        <v>0</v>
      </c>
      <c r="W132" s="6">
        <v>492.79</v>
      </c>
      <c r="X132" s="6">
        <v>0</v>
      </c>
      <c r="Y132" s="6">
        <v>0</v>
      </c>
      <c r="Z132" s="6">
        <v>0</v>
      </c>
      <c r="AA132" s="6">
        <v>61.11</v>
      </c>
      <c r="AB132" s="6">
        <v>227.39099999999999</v>
      </c>
      <c r="AC132" s="6">
        <v>0</v>
      </c>
      <c r="AD132" s="6">
        <v>2488.39</v>
      </c>
      <c r="AE132" s="6">
        <v>0</v>
      </c>
      <c r="AF132" s="6">
        <v>650.94799999999998</v>
      </c>
      <c r="AG132" s="6">
        <v>0</v>
      </c>
      <c r="AH132" s="6">
        <v>239.922</v>
      </c>
      <c r="AI132" s="6">
        <v>0</v>
      </c>
      <c r="AJ132" s="6">
        <v>6787.433</v>
      </c>
      <c r="AK132" s="6">
        <v>2824.002</v>
      </c>
      <c r="AL132" s="6">
        <v>0</v>
      </c>
      <c r="AM132" s="6">
        <v>25877.573</v>
      </c>
      <c r="AN132" s="6">
        <v>5468.2089999999998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10.381</v>
      </c>
      <c r="AW132" s="6">
        <v>0</v>
      </c>
      <c r="AX132" s="6">
        <v>0</v>
      </c>
      <c r="AY132" s="6">
        <v>816.03099999999995</v>
      </c>
      <c r="AZ132" s="6">
        <v>0</v>
      </c>
      <c r="BA132" s="6">
        <v>4.4550000000000001</v>
      </c>
      <c r="BB132" s="6">
        <v>0</v>
      </c>
      <c r="BC132" s="6">
        <v>65.018000000000001</v>
      </c>
      <c r="BD132" s="6">
        <v>0</v>
      </c>
      <c r="BE132" s="6">
        <v>0</v>
      </c>
      <c r="BF132" s="6">
        <v>0</v>
      </c>
      <c r="BG132" s="22"/>
    </row>
    <row r="133" spans="1:59" ht="15.75">
      <c r="A133" s="23"/>
      <c r="B133" s="4" t="s">
        <v>253</v>
      </c>
      <c r="C133" s="4" t="s">
        <v>254</v>
      </c>
      <c r="D133" s="6">
        <v>6</v>
      </c>
      <c r="E133" s="6">
        <v>6</v>
      </c>
      <c r="F133" s="6">
        <v>87913.274000000005</v>
      </c>
      <c r="G133" s="6">
        <v>10431.348</v>
      </c>
      <c r="H133" s="6">
        <v>3838.86</v>
      </c>
      <c r="I133" s="6">
        <v>6343.2269999999999</v>
      </c>
      <c r="J133" s="6">
        <v>585.38499999999999</v>
      </c>
      <c r="K133" s="6">
        <v>2760.598</v>
      </c>
      <c r="L133" s="6">
        <v>116179.208</v>
      </c>
      <c r="M133" s="6">
        <v>7788.85</v>
      </c>
      <c r="N133" s="6">
        <v>0</v>
      </c>
      <c r="O133" s="6">
        <v>52516.470999999998</v>
      </c>
      <c r="P133" s="6">
        <v>283179.82400000002</v>
      </c>
      <c r="Q133" s="6">
        <v>48781.135000000002</v>
      </c>
      <c r="R133" s="6">
        <v>0</v>
      </c>
      <c r="S133" s="6">
        <v>0</v>
      </c>
      <c r="T133" s="6">
        <v>95.7</v>
      </c>
      <c r="U133" s="6">
        <v>0</v>
      </c>
      <c r="V133" s="6">
        <v>94.328000000000003</v>
      </c>
      <c r="W133" s="6">
        <v>3130.8009999999999</v>
      </c>
      <c r="X133" s="6">
        <v>0</v>
      </c>
      <c r="Y133" s="6">
        <v>0</v>
      </c>
      <c r="Z133" s="6">
        <v>0</v>
      </c>
      <c r="AA133" s="6">
        <v>206.71700000000001</v>
      </c>
      <c r="AB133" s="6">
        <v>687.43499999999995</v>
      </c>
      <c r="AC133" s="6">
        <v>0</v>
      </c>
      <c r="AD133" s="6">
        <v>10050.727999999999</v>
      </c>
      <c r="AE133" s="6">
        <v>0</v>
      </c>
      <c r="AF133" s="6">
        <v>1914.3820000000001</v>
      </c>
      <c r="AG133" s="6">
        <v>0</v>
      </c>
      <c r="AH133" s="6">
        <v>324.07499999999999</v>
      </c>
      <c r="AI133" s="6">
        <v>0</v>
      </c>
      <c r="AJ133" s="6">
        <v>51079.802000000003</v>
      </c>
      <c r="AK133" s="6">
        <v>106.87</v>
      </c>
      <c r="AL133" s="6">
        <v>0</v>
      </c>
      <c r="AM133" s="6">
        <v>226846.019</v>
      </c>
      <c r="AN133" s="6">
        <v>62.603999999999999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137.303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22"/>
    </row>
    <row r="134" spans="1:59" ht="15.75">
      <c r="A134" s="23"/>
      <c r="B134" s="4" t="s">
        <v>255</v>
      </c>
      <c r="C134" s="4" t="s">
        <v>256</v>
      </c>
      <c r="D134" s="6">
        <v>6</v>
      </c>
      <c r="E134" s="6">
        <v>6</v>
      </c>
      <c r="F134" s="6">
        <v>2755.1669999999999</v>
      </c>
      <c r="G134" s="6">
        <v>31.803000000000001</v>
      </c>
      <c r="H134" s="6">
        <v>0</v>
      </c>
      <c r="I134" s="6">
        <v>0</v>
      </c>
      <c r="J134" s="6">
        <v>0</v>
      </c>
      <c r="K134" s="6">
        <v>0</v>
      </c>
      <c r="L134" s="6">
        <v>1444.223</v>
      </c>
      <c r="M134" s="6">
        <v>0</v>
      </c>
      <c r="N134" s="6">
        <v>0</v>
      </c>
      <c r="O134" s="6">
        <v>491.65600000000001</v>
      </c>
      <c r="P134" s="6">
        <v>6971.9870000000001</v>
      </c>
      <c r="Q134" s="6">
        <v>354.70600000000002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102.7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1007.39</v>
      </c>
      <c r="AK134" s="6">
        <v>57.033000000000001</v>
      </c>
      <c r="AL134" s="6">
        <v>0</v>
      </c>
      <c r="AM134" s="6">
        <v>5477.616</v>
      </c>
      <c r="AN134" s="6">
        <v>188.28399999999999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22"/>
    </row>
    <row r="135" spans="1:59" ht="15.75">
      <c r="A135" s="23"/>
      <c r="B135" s="4" t="s">
        <v>257</v>
      </c>
      <c r="C135" s="4" t="s">
        <v>258</v>
      </c>
      <c r="D135" s="6">
        <v>6</v>
      </c>
      <c r="E135" s="6">
        <v>6</v>
      </c>
      <c r="F135" s="6">
        <v>48982.110999999997</v>
      </c>
      <c r="G135" s="6">
        <v>4774.4790000000003</v>
      </c>
      <c r="H135" s="6">
        <v>4291.4520000000002</v>
      </c>
      <c r="I135" s="6">
        <v>0</v>
      </c>
      <c r="J135" s="6">
        <v>747.59199999999998</v>
      </c>
      <c r="K135" s="6">
        <v>2520.2689999999998</v>
      </c>
      <c r="L135" s="6">
        <v>72665.649000000005</v>
      </c>
      <c r="M135" s="6">
        <v>3019.4189999999999</v>
      </c>
      <c r="N135" s="6">
        <v>0</v>
      </c>
      <c r="O135" s="6">
        <v>20815.633000000002</v>
      </c>
      <c r="P135" s="6">
        <v>108899.572</v>
      </c>
      <c r="Q135" s="6">
        <v>31621.004000000001</v>
      </c>
      <c r="R135" s="6">
        <v>0</v>
      </c>
      <c r="S135" s="6">
        <v>0</v>
      </c>
      <c r="T135" s="6">
        <v>145.499</v>
      </c>
      <c r="U135" s="6">
        <v>0</v>
      </c>
      <c r="V135" s="6">
        <v>4.2629999999999999</v>
      </c>
      <c r="W135" s="6">
        <v>0</v>
      </c>
      <c r="X135" s="6">
        <v>0</v>
      </c>
      <c r="Y135" s="6">
        <v>0</v>
      </c>
      <c r="Z135" s="6">
        <v>0</v>
      </c>
      <c r="AA135" s="6">
        <v>314.28500000000003</v>
      </c>
      <c r="AB135" s="6">
        <v>1045.1510000000001</v>
      </c>
      <c r="AC135" s="6">
        <v>0</v>
      </c>
      <c r="AD135" s="6">
        <v>9869.2810000000009</v>
      </c>
      <c r="AE135" s="6">
        <v>0</v>
      </c>
      <c r="AF135" s="6">
        <v>2910.5569999999998</v>
      </c>
      <c r="AG135" s="6">
        <v>0</v>
      </c>
      <c r="AH135" s="6">
        <v>492.71199999999999</v>
      </c>
      <c r="AI135" s="6">
        <v>0</v>
      </c>
      <c r="AJ135" s="6">
        <v>45928.095999999998</v>
      </c>
      <c r="AK135" s="6">
        <v>1476.633</v>
      </c>
      <c r="AL135" s="6">
        <v>0</v>
      </c>
      <c r="AM135" s="6">
        <v>118792.318</v>
      </c>
      <c r="AN135" s="6">
        <v>1949.5060000000001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22"/>
    </row>
    <row r="136" spans="1:59" ht="15.75">
      <c r="A136" s="23"/>
      <c r="B136" s="4" t="s">
        <v>259</v>
      </c>
      <c r="C136" s="4" t="s">
        <v>260</v>
      </c>
      <c r="D136" s="6">
        <v>6</v>
      </c>
      <c r="E136" s="6">
        <v>6</v>
      </c>
      <c r="F136" s="6">
        <v>18676.618999999999</v>
      </c>
      <c r="G136" s="6">
        <v>476.64299999999997</v>
      </c>
      <c r="H136" s="6">
        <v>0</v>
      </c>
      <c r="I136" s="6">
        <v>0</v>
      </c>
      <c r="J136" s="6">
        <v>24.01</v>
      </c>
      <c r="K136" s="6">
        <v>0</v>
      </c>
      <c r="L136" s="6">
        <v>18596.683000000001</v>
      </c>
      <c r="M136" s="6">
        <v>132.47999999999999</v>
      </c>
      <c r="N136" s="6">
        <v>0</v>
      </c>
      <c r="O136" s="6">
        <v>2750.8829999999998</v>
      </c>
      <c r="P136" s="6">
        <v>26594.78</v>
      </c>
      <c r="Q136" s="6">
        <v>3511.556</v>
      </c>
      <c r="R136" s="6">
        <v>0</v>
      </c>
      <c r="S136" s="6">
        <v>0</v>
      </c>
      <c r="T136" s="6">
        <v>0.247</v>
      </c>
      <c r="U136" s="6">
        <v>0</v>
      </c>
      <c r="V136" s="6">
        <v>0</v>
      </c>
      <c r="W136" s="6">
        <v>143.958</v>
      </c>
      <c r="X136" s="6">
        <v>0</v>
      </c>
      <c r="Y136" s="6">
        <v>0</v>
      </c>
      <c r="Z136" s="6">
        <v>0</v>
      </c>
      <c r="AA136" s="6">
        <v>0</v>
      </c>
      <c r="AB136" s="6">
        <v>32.703000000000003</v>
      </c>
      <c r="AC136" s="6">
        <v>0</v>
      </c>
      <c r="AD136" s="6">
        <v>864.52300000000002</v>
      </c>
      <c r="AE136" s="6">
        <v>0</v>
      </c>
      <c r="AF136" s="6">
        <v>0</v>
      </c>
      <c r="AG136" s="6">
        <v>0</v>
      </c>
      <c r="AH136" s="6">
        <v>75.831000000000003</v>
      </c>
      <c r="AI136" s="6">
        <v>0</v>
      </c>
      <c r="AJ136" s="6">
        <v>6404.6880000000001</v>
      </c>
      <c r="AK136" s="6">
        <v>1178.9670000000001</v>
      </c>
      <c r="AL136" s="6">
        <v>0</v>
      </c>
      <c r="AM136" s="6">
        <v>33764.366000000002</v>
      </c>
      <c r="AN136" s="6">
        <v>2282.8719999999998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3.3140000000000001</v>
      </c>
      <c r="AW136" s="6">
        <v>0</v>
      </c>
      <c r="AX136" s="6">
        <v>0</v>
      </c>
      <c r="AY136" s="6">
        <v>340.67700000000002</v>
      </c>
      <c r="AZ136" s="6">
        <v>0</v>
      </c>
      <c r="BA136" s="6">
        <v>1.292</v>
      </c>
      <c r="BB136" s="6">
        <v>0</v>
      </c>
      <c r="BC136" s="6">
        <v>10.284000000000001</v>
      </c>
      <c r="BD136" s="6">
        <v>0</v>
      </c>
      <c r="BE136" s="6">
        <v>0</v>
      </c>
      <c r="BF136" s="6">
        <v>0</v>
      </c>
      <c r="BG136" s="22"/>
    </row>
    <row r="137" spans="1:59" ht="15.75">
      <c r="A137" s="23"/>
      <c r="B137" s="4" t="s">
        <v>261</v>
      </c>
      <c r="C137" s="4" t="s">
        <v>262</v>
      </c>
      <c r="D137" s="6">
        <v>6</v>
      </c>
      <c r="E137" s="6">
        <v>6</v>
      </c>
      <c r="F137" s="6">
        <v>628600.77500000002</v>
      </c>
      <c r="G137" s="6">
        <v>20231.201000000001</v>
      </c>
      <c r="H137" s="6">
        <v>25542.613000000001</v>
      </c>
      <c r="I137" s="6">
        <v>1764.441</v>
      </c>
      <c r="J137" s="6">
        <v>4867.6809999999996</v>
      </c>
      <c r="K137" s="6">
        <v>14996.984</v>
      </c>
      <c r="L137" s="6">
        <v>579687.45499999996</v>
      </c>
      <c r="M137" s="6">
        <v>44724.489000000001</v>
      </c>
      <c r="N137" s="6">
        <v>0</v>
      </c>
      <c r="O137" s="6">
        <v>257531.19</v>
      </c>
      <c r="P137" s="6">
        <v>915642.897</v>
      </c>
      <c r="Q137" s="6">
        <v>255246.72500000001</v>
      </c>
      <c r="R137" s="6">
        <v>0</v>
      </c>
      <c r="S137" s="6">
        <v>0</v>
      </c>
      <c r="T137" s="6">
        <v>850.78599999999994</v>
      </c>
      <c r="U137" s="6">
        <v>0</v>
      </c>
      <c r="V137" s="6">
        <v>25.417999999999999</v>
      </c>
      <c r="W137" s="6">
        <v>0</v>
      </c>
      <c r="X137" s="6">
        <v>0</v>
      </c>
      <c r="Y137" s="6">
        <v>0</v>
      </c>
      <c r="Z137" s="6">
        <v>0</v>
      </c>
      <c r="AA137" s="6">
        <v>1519.174</v>
      </c>
      <c r="AB137" s="6">
        <v>5141.415</v>
      </c>
      <c r="AC137" s="6">
        <v>0</v>
      </c>
      <c r="AD137" s="6">
        <v>104898.88099999999</v>
      </c>
      <c r="AE137" s="6">
        <v>0</v>
      </c>
      <c r="AF137" s="6">
        <v>16908.437000000002</v>
      </c>
      <c r="AG137" s="6">
        <v>0</v>
      </c>
      <c r="AH137" s="6">
        <v>2430.989</v>
      </c>
      <c r="AI137" s="6">
        <v>0</v>
      </c>
      <c r="AJ137" s="6">
        <v>446820.84899999999</v>
      </c>
      <c r="AK137" s="6">
        <v>1251.404</v>
      </c>
      <c r="AL137" s="6">
        <v>0</v>
      </c>
      <c r="AM137" s="6">
        <v>1269593.9790000001</v>
      </c>
      <c r="AN137" s="6">
        <v>4073.0709999999999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185.999</v>
      </c>
      <c r="BD137" s="6">
        <v>0</v>
      </c>
      <c r="BE137" s="6">
        <v>0</v>
      </c>
      <c r="BF137" s="6">
        <v>0</v>
      </c>
      <c r="BG137" s="22"/>
    </row>
    <row r="138" spans="1:59" ht="15.75">
      <c r="A138" s="23"/>
      <c r="B138" s="4" t="s">
        <v>263</v>
      </c>
      <c r="C138" s="4" t="s">
        <v>264</v>
      </c>
      <c r="D138" s="6">
        <v>4</v>
      </c>
      <c r="E138" s="6">
        <v>4</v>
      </c>
      <c r="F138" s="6">
        <v>107.717</v>
      </c>
      <c r="G138" s="6">
        <v>27.853999999999999</v>
      </c>
      <c r="H138" s="6">
        <v>13.949</v>
      </c>
      <c r="I138" s="6">
        <v>0</v>
      </c>
      <c r="J138" s="6">
        <v>2.3929999999999998</v>
      </c>
      <c r="K138" s="6">
        <v>8.9160000000000004</v>
      </c>
      <c r="L138" s="6">
        <v>110.749</v>
      </c>
      <c r="M138" s="6">
        <v>17.027000000000001</v>
      </c>
      <c r="N138" s="6">
        <v>0</v>
      </c>
      <c r="O138" s="6">
        <v>37.162999999999997</v>
      </c>
      <c r="P138" s="6">
        <v>292.08999999999997</v>
      </c>
      <c r="Q138" s="6">
        <v>38.642000000000003</v>
      </c>
      <c r="R138" s="6">
        <v>0</v>
      </c>
      <c r="S138" s="6">
        <v>0</v>
      </c>
      <c r="T138" s="6">
        <v>1.2999999999999999E-2</v>
      </c>
      <c r="U138" s="6">
        <v>0</v>
      </c>
      <c r="V138" s="6">
        <v>0</v>
      </c>
      <c r="W138" s="6">
        <v>9.2910000000000004</v>
      </c>
      <c r="X138" s="6">
        <v>0</v>
      </c>
      <c r="Y138" s="6">
        <v>0</v>
      </c>
      <c r="Z138" s="6">
        <v>0</v>
      </c>
      <c r="AA138" s="6">
        <v>1.198</v>
      </c>
      <c r="AB138" s="6">
        <v>4.3739999999999997</v>
      </c>
      <c r="AC138" s="6">
        <v>0</v>
      </c>
      <c r="AD138" s="6">
        <v>46.558999999999997</v>
      </c>
      <c r="AE138" s="6">
        <v>0</v>
      </c>
      <c r="AF138" s="6">
        <v>8.8360000000000003</v>
      </c>
      <c r="AG138" s="6">
        <v>0</v>
      </c>
      <c r="AH138" s="6">
        <v>4.508</v>
      </c>
      <c r="AI138" s="6">
        <v>0</v>
      </c>
      <c r="AJ138" s="6">
        <v>107.752</v>
      </c>
      <c r="AK138" s="6">
        <v>52.914000000000001</v>
      </c>
      <c r="AL138" s="6">
        <v>0</v>
      </c>
      <c r="AM138" s="6">
        <v>379.00400000000002</v>
      </c>
      <c r="AN138" s="6">
        <v>103.358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0.19500000000000001</v>
      </c>
      <c r="AW138" s="6">
        <v>0</v>
      </c>
      <c r="AX138" s="6">
        <v>0</v>
      </c>
      <c r="AY138" s="6">
        <v>15.121</v>
      </c>
      <c r="AZ138" s="6">
        <v>0</v>
      </c>
      <c r="BA138" s="6">
        <v>8.4000000000000005E-2</v>
      </c>
      <c r="BB138" s="6">
        <v>0</v>
      </c>
      <c r="BC138" s="6">
        <v>1.248</v>
      </c>
      <c r="BD138" s="6">
        <v>0</v>
      </c>
      <c r="BE138" s="6">
        <v>0</v>
      </c>
      <c r="BF138" s="6">
        <v>0</v>
      </c>
      <c r="BG138" s="22"/>
    </row>
    <row r="139" spans="1:59" ht="15.75">
      <c r="A139" s="23"/>
      <c r="B139" s="4" t="s">
        <v>265</v>
      </c>
      <c r="C139" s="4" t="s">
        <v>266</v>
      </c>
      <c r="D139" s="6">
        <v>6</v>
      </c>
      <c r="E139" s="6">
        <v>6</v>
      </c>
      <c r="F139" s="6">
        <v>1936</v>
      </c>
      <c r="G139" s="6">
        <v>1.794</v>
      </c>
      <c r="H139" s="6">
        <v>0</v>
      </c>
      <c r="I139" s="6">
        <v>0</v>
      </c>
      <c r="J139" s="6">
        <v>0.09</v>
      </c>
      <c r="K139" s="6">
        <v>0</v>
      </c>
      <c r="L139" s="6">
        <v>4125.4570000000003</v>
      </c>
      <c r="M139" s="6">
        <v>0.499</v>
      </c>
      <c r="N139" s="6">
        <v>0</v>
      </c>
      <c r="O139" s="6">
        <v>1015.246</v>
      </c>
      <c r="P139" s="6">
        <v>5645.0379999999996</v>
      </c>
      <c r="Q139" s="6">
        <v>929.05399999999997</v>
      </c>
      <c r="R139" s="6">
        <v>0</v>
      </c>
      <c r="S139" s="6">
        <v>0</v>
      </c>
      <c r="T139" s="6">
        <v>1E-3</v>
      </c>
      <c r="U139" s="6">
        <v>0</v>
      </c>
      <c r="V139" s="6">
        <v>0</v>
      </c>
      <c r="W139" s="6">
        <v>0.54200000000000004</v>
      </c>
      <c r="X139" s="6">
        <v>0</v>
      </c>
      <c r="Y139" s="6">
        <v>0</v>
      </c>
      <c r="Z139" s="6">
        <v>0</v>
      </c>
      <c r="AA139" s="6">
        <v>0</v>
      </c>
      <c r="AB139" s="6">
        <v>0.123</v>
      </c>
      <c r="AC139" s="6">
        <v>0</v>
      </c>
      <c r="AD139" s="6">
        <v>842.47199999999998</v>
      </c>
      <c r="AE139" s="6">
        <v>0</v>
      </c>
      <c r="AF139" s="6">
        <v>0</v>
      </c>
      <c r="AG139" s="6">
        <v>0</v>
      </c>
      <c r="AH139" s="6">
        <v>0.28499999999999998</v>
      </c>
      <c r="AI139" s="6">
        <v>0</v>
      </c>
      <c r="AJ139" s="6">
        <v>3285.2530000000002</v>
      </c>
      <c r="AK139" s="6">
        <v>4.4379999999999997</v>
      </c>
      <c r="AL139" s="6">
        <v>0</v>
      </c>
      <c r="AM139" s="6">
        <v>8814.9689999999991</v>
      </c>
      <c r="AN139" s="6">
        <v>8.5939999999999994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1.2E-2</v>
      </c>
      <c r="AW139" s="6">
        <v>0</v>
      </c>
      <c r="AX139" s="6">
        <v>0</v>
      </c>
      <c r="AY139" s="6">
        <v>1.2829999999999999</v>
      </c>
      <c r="AZ139" s="6">
        <v>0</v>
      </c>
      <c r="BA139" s="6">
        <v>5.0000000000000001E-3</v>
      </c>
      <c r="BB139" s="6">
        <v>0</v>
      </c>
      <c r="BC139" s="6">
        <v>3.9E-2</v>
      </c>
      <c r="BD139" s="6">
        <v>0</v>
      </c>
      <c r="BE139" s="6">
        <v>0</v>
      </c>
      <c r="BF139" s="6">
        <v>0</v>
      </c>
      <c r="BG139" s="22"/>
    </row>
    <row r="140" spans="1:59" ht="15.75">
      <c r="A140" s="23"/>
      <c r="B140" s="4" t="s">
        <v>267</v>
      </c>
      <c r="C140" s="4" t="s">
        <v>268</v>
      </c>
      <c r="D140" s="6">
        <v>4</v>
      </c>
      <c r="E140" s="6">
        <v>4</v>
      </c>
      <c r="F140" s="6">
        <v>101.081</v>
      </c>
      <c r="G140" s="6">
        <v>15.254</v>
      </c>
      <c r="H140" s="6">
        <v>20.265999999999998</v>
      </c>
      <c r="I140" s="6">
        <v>0</v>
      </c>
      <c r="J140" s="6">
        <v>3.5950000000000002</v>
      </c>
      <c r="K140" s="6">
        <v>11.901999999999999</v>
      </c>
      <c r="L140" s="6">
        <v>107.15900000000001</v>
      </c>
      <c r="M140" s="6">
        <v>9.5709999999999997</v>
      </c>
      <c r="N140" s="6">
        <v>0</v>
      </c>
      <c r="O140" s="6">
        <v>46.853000000000002</v>
      </c>
      <c r="P140" s="6">
        <v>125.15900000000001</v>
      </c>
      <c r="Q140" s="6">
        <v>46.963999999999999</v>
      </c>
      <c r="R140" s="6">
        <v>0</v>
      </c>
      <c r="S140" s="6">
        <v>0</v>
      </c>
      <c r="T140" s="6">
        <v>0.68700000000000006</v>
      </c>
      <c r="U140" s="6">
        <v>0</v>
      </c>
      <c r="V140" s="6">
        <v>0.02</v>
      </c>
      <c r="W140" s="6">
        <v>0.41899999999999998</v>
      </c>
      <c r="X140" s="6">
        <v>0</v>
      </c>
      <c r="Y140" s="6">
        <v>0</v>
      </c>
      <c r="Z140" s="6">
        <v>0</v>
      </c>
      <c r="AA140" s="6">
        <v>1.484</v>
      </c>
      <c r="AB140" s="6">
        <v>5.0570000000000004</v>
      </c>
      <c r="AC140" s="6">
        <v>0</v>
      </c>
      <c r="AD140" s="6">
        <v>42.826999999999998</v>
      </c>
      <c r="AE140" s="6">
        <v>0</v>
      </c>
      <c r="AF140" s="6">
        <v>13.744999999999999</v>
      </c>
      <c r="AG140" s="6">
        <v>1E-3</v>
      </c>
      <c r="AH140" s="6">
        <v>2.5579999999999998</v>
      </c>
      <c r="AI140" s="6">
        <v>0</v>
      </c>
      <c r="AJ140" s="6">
        <v>130.583</v>
      </c>
      <c r="AK140" s="6">
        <v>3.4089999999999998</v>
      </c>
      <c r="AL140" s="6">
        <v>0</v>
      </c>
      <c r="AM140" s="6">
        <v>222.84100000000001</v>
      </c>
      <c r="AN140" s="6">
        <v>6.5759999999999996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1.9E-2</v>
      </c>
      <c r="AW140" s="6">
        <v>0</v>
      </c>
      <c r="AX140" s="6">
        <v>0</v>
      </c>
      <c r="AY140" s="6">
        <v>0.99299999999999999</v>
      </c>
      <c r="AZ140" s="6">
        <v>0</v>
      </c>
      <c r="BA140" s="6">
        <v>4.0000000000000001E-3</v>
      </c>
      <c r="BB140" s="6">
        <v>0</v>
      </c>
      <c r="BC140" s="6">
        <v>3.2000000000000001E-2</v>
      </c>
      <c r="BD140" s="6">
        <v>0</v>
      </c>
      <c r="BE140" s="6">
        <v>0</v>
      </c>
      <c r="BF140" s="6">
        <v>0.88800000000000001</v>
      </c>
      <c r="BG140" s="22"/>
    </row>
    <row r="141" spans="1:59" ht="15.75">
      <c r="A141" s="23"/>
      <c r="B141" s="4" t="s">
        <v>269</v>
      </c>
      <c r="C141" s="4" t="s">
        <v>270</v>
      </c>
      <c r="D141" s="6">
        <v>6</v>
      </c>
      <c r="E141" s="6">
        <v>6</v>
      </c>
      <c r="F141" s="6">
        <v>1296.3240000000001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1627.421</v>
      </c>
      <c r="M141" s="6">
        <v>0</v>
      </c>
      <c r="N141" s="6">
        <v>0</v>
      </c>
      <c r="O141" s="6">
        <v>695.86300000000006</v>
      </c>
      <c r="P141" s="6">
        <v>3142.605</v>
      </c>
      <c r="Q141" s="6">
        <v>656.58299999999997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600.46100000000001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2385.0169999999998</v>
      </c>
      <c r="AK141" s="6">
        <v>0</v>
      </c>
      <c r="AL141" s="6">
        <v>0</v>
      </c>
      <c r="AM141" s="6">
        <v>4899.098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22"/>
    </row>
    <row r="142" spans="1:59" ht="15.75">
      <c r="A142" s="23"/>
      <c r="B142" s="4" t="s">
        <v>271</v>
      </c>
      <c r="C142" s="4" t="s">
        <v>272</v>
      </c>
      <c r="D142" s="6">
        <v>4</v>
      </c>
      <c r="E142" s="6">
        <v>4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22"/>
    </row>
    <row r="143" spans="1:59" ht="15.75">
      <c r="A143" s="23"/>
      <c r="B143" s="4" t="s">
        <v>273</v>
      </c>
      <c r="C143" s="4" t="s">
        <v>274</v>
      </c>
      <c r="D143" s="6">
        <v>6</v>
      </c>
      <c r="E143" s="6">
        <v>6</v>
      </c>
      <c r="F143" s="6">
        <v>3427.3710000000001</v>
      </c>
      <c r="G143" s="6">
        <v>1045.8389999999999</v>
      </c>
      <c r="H143" s="6">
        <v>0</v>
      </c>
      <c r="I143" s="6">
        <v>0</v>
      </c>
      <c r="J143" s="6">
        <v>52.683</v>
      </c>
      <c r="K143" s="6">
        <v>0</v>
      </c>
      <c r="L143" s="6">
        <v>4816.6589999999997</v>
      </c>
      <c r="M143" s="6">
        <v>290.685</v>
      </c>
      <c r="N143" s="6">
        <v>0</v>
      </c>
      <c r="O143" s="6">
        <v>559.52499999999998</v>
      </c>
      <c r="P143" s="6">
        <v>12977.785</v>
      </c>
      <c r="Q143" s="6">
        <v>663.86500000000001</v>
      </c>
      <c r="R143" s="6">
        <v>0</v>
      </c>
      <c r="S143" s="6">
        <v>538.94500000000005</v>
      </c>
      <c r="T143" s="6">
        <v>0.54200000000000004</v>
      </c>
      <c r="U143" s="6">
        <v>644.53099999999995</v>
      </c>
      <c r="V143" s="6">
        <v>0</v>
      </c>
      <c r="W143" s="6">
        <v>315.87</v>
      </c>
      <c r="X143" s="6">
        <v>0</v>
      </c>
      <c r="Y143" s="6">
        <v>11135.796</v>
      </c>
      <c r="Z143" s="6">
        <v>0</v>
      </c>
      <c r="AA143" s="6">
        <v>0</v>
      </c>
      <c r="AB143" s="6">
        <v>71.757000000000005</v>
      </c>
      <c r="AC143" s="6">
        <v>75253.441000000006</v>
      </c>
      <c r="AD143" s="6">
        <v>1896.9169999999999</v>
      </c>
      <c r="AE143" s="6">
        <v>0</v>
      </c>
      <c r="AF143" s="6">
        <v>0</v>
      </c>
      <c r="AG143" s="6">
        <v>23273.567999999999</v>
      </c>
      <c r="AH143" s="6">
        <v>166.387</v>
      </c>
      <c r="AI143" s="6">
        <v>0</v>
      </c>
      <c r="AJ143" s="6">
        <v>4664.9040000000005</v>
      </c>
      <c r="AK143" s="6">
        <v>2586.8629999999998</v>
      </c>
      <c r="AL143" s="6">
        <v>0</v>
      </c>
      <c r="AM143" s="6">
        <v>16191.647999999999</v>
      </c>
      <c r="AN143" s="6">
        <v>5009.027</v>
      </c>
      <c r="AO143" s="6">
        <v>0</v>
      </c>
      <c r="AP143" s="6">
        <v>0</v>
      </c>
      <c r="AQ143" s="6">
        <v>23884.744999999999</v>
      </c>
      <c r="AR143" s="6">
        <v>10177.996999999999</v>
      </c>
      <c r="AS143" s="6">
        <v>0</v>
      </c>
      <c r="AT143" s="6">
        <v>0</v>
      </c>
      <c r="AU143" s="6">
        <v>0</v>
      </c>
      <c r="AV143" s="6">
        <v>7.2709999999999999</v>
      </c>
      <c r="AW143" s="6">
        <v>972.60400000000004</v>
      </c>
      <c r="AX143" s="6">
        <v>0</v>
      </c>
      <c r="AY143" s="6">
        <v>747.50699999999995</v>
      </c>
      <c r="AZ143" s="6">
        <v>0</v>
      </c>
      <c r="BA143" s="6">
        <v>2.835</v>
      </c>
      <c r="BB143" s="6">
        <v>0</v>
      </c>
      <c r="BC143" s="6">
        <v>22.565999999999999</v>
      </c>
      <c r="BD143" s="6">
        <v>0</v>
      </c>
      <c r="BE143" s="6">
        <v>0</v>
      </c>
      <c r="BF143" s="6">
        <v>0</v>
      </c>
      <c r="BG143" s="22"/>
    </row>
    <row r="144" spans="1:59" ht="15.75">
      <c r="A144" s="23"/>
      <c r="B144" s="4" t="s">
        <v>275</v>
      </c>
      <c r="C144" s="4" t="s">
        <v>276</v>
      </c>
      <c r="D144" s="6">
        <v>6</v>
      </c>
      <c r="E144" s="6">
        <v>6</v>
      </c>
      <c r="F144" s="6">
        <v>18693.867999999999</v>
      </c>
      <c r="G144" s="6">
        <v>2440.502</v>
      </c>
      <c r="H144" s="6">
        <v>3131.4960000000001</v>
      </c>
      <c r="I144" s="6">
        <v>301.20299999999997</v>
      </c>
      <c r="J144" s="6">
        <v>311.745</v>
      </c>
      <c r="K144" s="6">
        <v>2535.145</v>
      </c>
      <c r="L144" s="6">
        <v>11836.446</v>
      </c>
      <c r="M144" s="6">
        <v>2366.1410000000001</v>
      </c>
      <c r="N144" s="6">
        <v>0</v>
      </c>
      <c r="O144" s="6">
        <v>8064.8860000000004</v>
      </c>
      <c r="P144" s="6">
        <v>26624.565999999999</v>
      </c>
      <c r="Q144" s="6">
        <v>8438.5499999999993</v>
      </c>
      <c r="R144" s="6">
        <v>0</v>
      </c>
      <c r="S144" s="6">
        <v>16.492999999999999</v>
      </c>
      <c r="T144" s="6">
        <v>44.591000000000001</v>
      </c>
      <c r="U144" s="6">
        <v>0.91300000000000003</v>
      </c>
      <c r="V144" s="6">
        <v>-14.472</v>
      </c>
      <c r="W144" s="6">
        <v>255.285</v>
      </c>
      <c r="X144" s="6">
        <v>0</v>
      </c>
      <c r="Y144" s="6">
        <v>98.183000000000007</v>
      </c>
      <c r="Z144" s="6">
        <v>0</v>
      </c>
      <c r="AA144" s="6">
        <v>208.661</v>
      </c>
      <c r="AB144" s="6">
        <v>640.49300000000005</v>
      </c>
      <c r="AC144" s="6">
        <v>11.656000000000001</v>
      </c>
      <c r="AD144" s="6">
        <v>6352.7740000000003</v>
      </c>
      <c r="AE144" s="6">
        <v>-948.62599999999998</v>
      </c>
      <c r="AF144" s="6">
        <v>2647.8490000000002</v>
      </c>
      <c r="AG144" s="6">
        <v>424.99799999999999</v>
      </c>
      <c r="AH144" s="6">
        <v>438.995</v>
      </c>
      <c r="AI144" s="6">
        <v>2.8250000000000002</v>
      </c>
      <c r="AJ144" s="6">
        <v>17854.02</v>
      </c>
      <c r="AK144" s="6">
        <v>1410.154</v>
      </c>
      <c r="AL144" s="6">
        <v>118.87</v>
      </c>
      <c r="AM144" s="6">
        <v>45759.396000000001</v>
      </c>
      <c r="AN144" s="6">
        <v>3319.431</v>
      </c>
      <c r="AO144" s="6">
        <v>-5628.7879999999996</v>
      </c>
      <c r="AP144" s="6">
        <v>-154621.32699999999</v>
      </c>
      <c r="AQ144" s="6">
        <v>273.21699999999998</v>
      </c>
      <c r="AR144" s="6">
        <v>54.125999999999998</v>
      </c>
      <c r="AS144" s="6">
        <v>-96641.510999999999</v>
      </c>
      <c r="AT144" s="6">
        <v>0</v>
      </c>
      <c r="AU144" s="6">
        <v>-48740.828999999998</v>
      </c>
      <c r="AV144" s="6">
        <v>21.370999999999999</v>
      </c>
      <c r="AW144" s="6">
        <v>-0.89300000000000002</v>
      </c>
      <c r="AX144" s="6">
        <v>0</v>
      </c>
      <c r="AY144" s="6">
        <v>399.90499999999997</v>
      </c>
      <c r="AZ144" s="6">
        <v>0</v>
      </c>
      <c r="BA144" s="6">
        <v>3.6949999999999998</v>
      </c>
      <c r="BB144" s="6">
        <v>0</v>
      </c>
      <c r="BC144" s="6">
        <v>36.026000000000003</v>
      </c>
      <c r="BD144" s="6">
        <v>0</v>
      </c>
      <c r="BE144" s="6">
        <v>0</v>
      </c>
      <c r="BF144" s="6">
        <v>1128.289</v>
      </c>
      <c r="BG144" s="22"/>
    </row>
    <row r="145" spans="1:59" ht="15.75">
      <c r="A145" s="23"/>
      <c r="B145" s="4" t="s">
        <v>277</v>
      </c>
      <c r="C145" s="4" t="s">
        <v>278</v>
      </c>
      <c r="D145" s="6">
        <v>6</v>
      </c>
      <c r="E145" s="6">
        <v>6</v>
      </c>
      <c r="F145" s="6">
        <v>-4771.3370000000004</v>
      </c>
      <c r="G145" s="6">
        <v>-746.62099999999998</v>
      </c>
      <c r="H145" s="6">
        <v>-789.36400000000003</v>
      </c>
      <c r="I145" s="6">
        <v>-92.918999999999997</v>
      </c>
      <c r="J145" s="6">
        <v>-133.98500000000001</v>
      </c>
      <c r="K145" s="6">
        <v>-686.33299999999997</v>
      </c>
      <c r="L145" s="6">
        <v>-3288.1149999999998</v>
      </c>
      <c r="M145" s="6">
        <v>-626.12</v>
      </c>
      <c r="N145" s="6">
        <v>0</v>
      </c>
      <c r="O145" s="6">
        <v>-2382.5880000000002</v>
      </c>
      <c r="P145" s="6">
        <v>-4912.7439999999997</v>
      </c>
      <c r="Q145" s="6">
        <v>-2162.047</v>
      </c>
      <c r="R145" s="6">
        <v>0</v>
      </c>
      <c r="S145" s="6">
        <v>0</v>
      </c>
      <c r="T145" s="6">
        <v>-10.032999999999999</v>
      </c>
      <c r="U145" s="6">
        <v>0</v>
      </c>
      <c r="V145" s="6">
        <v>-1.4610000000000001</v>
      </c>
      <c r="W145" s="6">
        <v>-143.34399999999999</v>
      </c>
      <c r="X145" s="6">
        <v>0</v>
      </c>
      <c r="Y145" s="6">
        <v>0</v>
      </c>
      <c r="Z145" s="6">
        <v>0</v>
      </c>
      <c r="AA145" s="6">
        <v>-74.799000000000007</v>
      </c>
      <c r="AB145" s="6">
        <v>-254.16200000000001</v>
      </c>
      <c r="AC145" s="6">
        <v>0</v>
      </c>
      <c r="AD145" s="6">
        <v>-1903.0060000000001</v>
      </c>
      <c r="AE145" s="6">
        <v>0</v>
      </c>
      <c r="AF145" s="6">
        <v>-925.45100000000002</v>
      </c>
      <c r="AG145" s="6">
        <v>-0.15</v>
      </c>
      <c r="AH145" s="6">
        <v>-167.905</v>
      </c>
      <c r="AI145" s="6">
        <v>0</v>
      </c>
      <c r="AJ145" s="6">
        <v>-5378.2650000000003</v>
      </c>
      <c r="AK145" s="6">
        <v>-357.77100000000002</v>
      </c>
      <c r="AL145" s="6">
        <v>0</v>
      </c>
      <c r="AM145" s="6">
        <v>-10989.602999999999</v>
      </c>
      <c r="AN145" s="6">
        <v>-739.32399999999996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-7.3620000000000001</v>
      </c>
      <c r="AW145" s="6">
        <v>0</v>
      </c>
      <c r="AX145" s="6">
        <v>0</v>
      </c>
      <c r="AY145" s="6">
        <v>-97.376999999999995</v>
      </c>
      <c r="AZ145" s="6">
        <v>0</v>
      </c>
      <c r="BA145" s="6">
        <v>-2.04</v>
      </c>
      <c r="BB145" s="6">
        <v>0</v>
      </c>
      <c r="BC145" s="6">
        <v>-9.0120000000000005</v>
      </c>
      <c r="BD145" s="6">
        <v>0</v>
      </c>
      <c r="BE145" s="6">
        <v>0</v>
      </c>
      <c r="BF145" s="6">
        <v>-381.11099999999999</v>
      </c>
      <c r="BG145" s="22"/>
    </row>
    <row r="146" spans="1:59" ht="15.75">
      <c r="A146" s="23"/>
      <c r="B146" s="4" t="s">
        <v>279</v>
      </c>
      <c r="C146" s="4" t="s">
        <v>280</v>
      </c>
      <c r="D146" s="6">
        <v>6</v>
      </c>
      <c r="E146" s="6">
        <v>6</v>
      </c>
      <c r="F146" s="6">
        <v>-23737.647000000001</v>
      </c>
      <c r="G146" s="6">
        <v>-6664.7449999999999</v>
      </c>
      <c r="H146" s="6">
        <v>-371.56299999999999</v>
      </c>
      <c r="I146" s="6">
        <v>-368.63</v>
      </c>
      <c r="J146" s="6">
        <v>-440.839</v>
      </c>
      <c r="K146" s="6">
        <v>-743.18399999999997</v>
      </c>
      <c r="L146" s="6">
        <v>-30413.64</v>
      </c>
      <c r="M146" s="6">
        <v>-3038.1889999999999</v>
      </c>
      <c r="N146" s="6">
        <v>0</v>
      </c>
      <c r="O146" s="6">
        <v>-5863.4809999999998</v>
      </c>
      <c r="P146" s="6">
        <v>-77037.847999999998</v>
      </c>
      <c r="Q146" s="6">
        <v>-6851.9139999999998</v>
      </c>
      <c r="R146" s="6">
        <v>0</v>
      </c>
      <c r="S146" s="6">
        <v>-1150.239</v>
      </c>
      <c r="T146" s="6">
        <v>-0.99099999999999999</v>
      </c>
      <c r="U146" s="6">
        <v>-1375.5830000000001</v>
      </c>
      <c r="V146" s="6">
        <v>0</v>
      </c>
      <c r="W146" s="6">
        <v>-2071.732</v>
      </c>
      <c r="X146" s="6">
        <v>0</v>
      </c>
      <c r="Y146" s="6">
        <v>-23766.454000000002</v>
      </c>
      <c r="Z146" s="6">
        <v>0</v>
      </c>
      <c r="AA146" s="6">
        <v>-68.606999999999999</v>
      </c>
      <c r="AB146" s="6">
        <v>-668.39599999999996</v>
      </c>
      <c r="AC146" s="6">
        <v>-160608.85500000001</v>
      </c>
      <c r="AD146" s="6">
        <v>-11985.048000000001</v>
      </c>
      <c r="AE146" s="6">
        <v>0</v>
      </c>
      <c r="AF146" s="6">
        <v>-1378.0640000000001</v>
      </c>
      <c r="AG146" s="6">
        <v>-49674.12</v>
      </c>
      <c r="AH146" s="6">
        <v>-1090.365</v>
      </c>
      <c r="AI146" s="6">
        <v>-1.7</v>
      </c>
      <c r="AJ146" s="6">
        <v>-29336.848999999998</v>
      </c>
      <c r="AK146" s="6">
        <v>-14076.954</v>
      </c>
      <c r="AL146" s="6">
        <v>-4.9029999999999996</v>
      </c>
      <c r="AM146" s="6">
        <v>-102146.73699999999</v>
      </c>
      <c r="AN146" s="6">
        <v>-27183.4</v>
      </c>
      <c r="AO146" s="6">
        <v>0</v>
      </c>
      <c r="AP146" s="6">
        <v>0</v>
      </c>
      <c r="AQ146" s="6">
        <v>-50975.762000000002</v>
      </c>
      <c r="AR146" s="6">
        <v>-21722.280999999999</v>
      </c>
      <c r="AS146" s="6">
        <v>0</v>
      </c>
      <c r="AT146" s="6">
        <v>0</v>
      </c>
      <c r="AU146" s="6">
        <v>0</v>
      </c>
      <c r="AV146" s="6">
        <v>-82.584000000000003</v>
      </c>
      <c r="AW146" s="6">
        <v>-2075.77</v>
      </c>
      <c r="AX146" s="6">
        <v>0</v>
      </c>
      <c r="AY146" s="6">
        <v>-4086.5549999999998</v>
      </c>
      <c r="AZ146" s="6">
        <v>0</v>
      </c>
      <c r="BA146" s="6">
        <v>-18.338000000000001</v>
      </c>
      <c r="BB146" s="6">
        <v>0</v>
      </c>
      <c r="BC146" s="6">
        <v>-142.27199999999999</v>
      </c>
      <c r="BD146" s="6">
        <v>0</v>
      </c>
      <c r="BE146" s="6">
        <v>0</v>
      </c>
      <c r="BF146" s="6">
        <v>-3530.922</v>
      </c>
      <c r="BG146" s="22"/>
    </row>
    <row r="147" spans="1:59" ht="15.75">
      <c r="A147" s="23"/>
      <c r="B147" s="4" t="s">
        <v>281</v>
      </c>
      <c r="C147" s="4" t="s">
        <v>282</v>
      </c>
      <c r="D147" s="6">
        <v>6</v>
      </c>
      <c r="E147" s="6">
        <v>6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22"/>
    </row>
    <row r="148" spans="1:59" ht="15.75">
      <c r="A148" s="23"/>
      <c r="B148" s="4" t="s">
        <v>283</v>
      </c>
      <c r="C148" s="4" t="s">
        <v>284</v>
      </c>
      <c r="D148" s="6">
        <v>4</v>
      </c>
      <c r="E148" s="6">
        <v>4</v>
      </c>
      <c r="F148" s="6">
        <v>8982.0360000000001</v>
      </c>
      <c r="G148" s="6">
        <v>2472.1239999999998</v>
      </c>
      <c r="H148" s="6">
        <v>0</v>
      </c>
      <c r="I148" s="6">
        <v>0</v>
      </c>
      <c r="J148" s="6">
        <v>122.06100000000001</v>
      </c>
      <c r="K148" s="6">
        <v>0</v>
      </c>
      <c r="L148" s="6">
        <v>13307.914000000001</v>
      </c>
      <c r="M148" s="6">
        <v>1643.941</v>
      </c>
      <c r="N148" s="6">
        <v>0</v>
      </c>
      <c r="O148" s="6">
        <v>3799.9459999999999</v>
      </c>
      <c r="P148" s="6">
        <v>33102.629999999997</v>
      </c>
      <c r="Q148" s="6">
        <v>2041.662</v>
      </c>
      <c r="R148" s="6">
        <v>0</v>
      </c>
      <c r="S148" s="6">
        <v>26.785</v>
      </c>
      <c r="T148" s="6">
        <v>0</v>
      </c>
      <c r="U148" s="6">
        <v>17.701000000000001</v>
      </c>
      <c r="V148" s="6">
        <v>0</v>
      </c>
      <c r="W148" s="6">
        <v>731.56500000000005</v>
      </c>
      <c r="X148" s="6">
        <v>0</v>
      </c>
      <c r="Y148" s="6">
        <v>254.45599999999999</v>
      </c>
      <c r="Z148" s="6">
        <v>0</v>
      </c>
      <c r="AA148" s="6">
        <v>0</v>
      </c>
      <c r="AB148" s="6">
        <v>211.62</v>
      </c>
      <c r="AC148" s="6">
        <v>0</v>
      </c>
      <c r="AD148" s="6">
        <v>5214.6490000000003</v>
      </c>
      <c r="AE148" s="6">
        <v>218.70599999999999</v>
      </c>
      <c r="AF148" s="6">
        <v>0</v>
      </c>
      <c r="AG148" s="6">
        <v>724.28399999999999</v>
      </c>
      <c r="AH148" s="6">
        <v>403.661</v>
      </c>
      <c r="AI148" s="6">
        <v>44.033999999999999</v>
      </c>
      <c r="AJ148" s="6">
        <v>13098.189</v>
      </c>
      <c r="AK148" s="6">
        <v>5945.5460000000003</v>
      </c>
      <c r="AL148" s="6">
        <v>214.99</v>
      </c>
      <c r="AM148" s="6">
        <v>39629.29</v>
      </c>
      <c r="AN148" s="6">
        <v>11468.264999999999</v>
      </c>
      <c r="AO148" s="6">
        <v>1393.91</v>
      </c>
      <c r="AP148" s="6">
        <v>62930.993999999999</v>
      </c>
      <c r="AQ148" s="6">
        <v>638.36099999999999</v>
      </c>
      <c r="AR148" s="6">
        <v>223.75</v>
      </c>
      <c r="AS148" s="6">
        <v>39333.165999999997</v>
      </c>
      <c r="AT148" s="6">
        <v>0</v>
      </c>
      <c r="AU148" s="6">
        <v>19837.554</v>
      </c>
      <c r="AV148" s="6">
        <v>33.031999999999996</v>
      </c>
      <c r="AW148" s="6">
        <v>23.977</v>
      </c>
      <c r="AX148" s="6">
        <v>0</v>
      </c>
      <c r="AY148" s="6">
        <v>1731.6479999999999</v>
      </c>
      <c r="AZ148" s="6">
        <v>0</v>
      </c>
      <c r="BA148" s="6">
        <v>7.3730000000000002</v>
      </c>
      <c r="BB148" s="6">
        <v>0</v>
      </c>
      <c r="BC148" s="6">
        <v>57.645000000000003</v>
      </c>
      <c r="BD148" s="6">
        <v>0</v>
      </c>
      <c r="BE148" s="6">
        <v>0</v>
      </c>
      <c r="BF148" s="6">
        <v>1549.317</v>
      </c>
      <c r="BG148" s="22"/>
    </row>
    <row r="149" spans="1:59" ht="15.75">
      <c r="A149" s="23"/>
      <c r="B149" s="4" t="s">
        <v>285</v>
      </c>
      <c r="C149" s="4" t="s">
        <v>286</v>
      </c>
      <c r="D149" s="6">
        <v>6</v>
      </c>
      <c r="E149" s="6">
        <v>6</v>
      </c>
      <c r="F149" s="6">
        <v>186069.65900000001</v>
      </c>
      <c r="G149" s="6">
        <v>51345.131000000001</v>
      </c>
      <c r="H149" s="6">
        <v>461.90699999999998</v>
      </c>
      <c r="I149" s="6">
        <v>830.524</v>
      </c>
      <c r="J149" s="6">
        <v>2746.4850000000001</v>
      </c>
      <c r="K149" s="6">
        <v>1421.162</v>
      </c>
      <c r="L149" s="6">
        <v>267194.27600000001</v>
      </c>
      <c r="M149" s="6">
        <v>23303.291000000001</v>
      </c>
      <c r="N149" s="6">
        <v>0</v>
      </c>
      <c r="O149" s="6">
        <v>32885.752</v>
      </c>
      <c r="P149" s="6">
        <v>629951.83499999996</v>
      </c>
      <c r="Q149" s="6">
        <v>41743.248</v>
      </c>
      <c r="R149" s="6">
        <v>0</v>
      </c>
      <c r="S149" s="6">
        <v>2251.71</v>
      </c>
      <c r="T149" s="6">
        <v>0.374</v>
      </c>
      <c r="U149" s="6">
        <v>2685.6590000000001</v>
      </c>
      <c r="V149" s="6">
        <v>851.14200000000005</v>
      </c>
      <c r="W149" s="6">
        <v>15383.474</v>
      </c>
      <c r="X149" s="6">
        <v>0</v>
      </c>
      <c r="Y149" s="6">
        <v>34283.701999999997</v>
      </c>
      <c r="Z149" s="6">
        <v>0</v>
      </c>
      <c r="AA149" s="6">
        <v>126.724</v>
      </c>
      <c r="AB149" s="6">
        <v>4633.1620000000003</v>
      </c>
      <c r="AC149" s="6">
        <v>88054.88</v>
      </c>
      <c r="AD149" s="6">
        <v>104751.704</v>
      </c>
      <c r="AE149" s="6">
        <v>31178.589</v>
      </c>
      <c r="AF149" s="6">
        <v>2845.643</v>
      </c>
      <c r="AG149" s="6">
        <v>70814.044999999998</v>
      </c>
      <c r="AH149" s="6">
        <v>8405.4009999999998</v>
      </c>
      <c r="AI149" s="6">
        <v>6689.5150000000003</v>
      </c>
      <c r="AJ149" s="6">
        <v>261822.03700000001</v>
      </c>
      <c r="AK149" s="6">
        <v>119228.003</v>
      </c>
      <c r="AL149" s="6">
        <v>25684.877</v>
      </c>
      <c r="AM149" s="6">
        <v>815707.04399999999</v>
      </c>
      <c r="AN149" s="6">
        <v>229974.47399999999</v>
      </c>
      <c r="AO149" s="6">
        <v>182432.685</v>
      </c>
      <c r="AP149" s="6">
        <v>1984246.031</v>
      </c>
      <c r="AQ149" s="6">
        <v>81108.179999999993</v>
      </c>
      <c r="AR149" s="6">
        <v>39906.006999999998</v>
      </c>
      <c r="AS149" s="6">
        <v>1240194.5930000001</v>
      </c>
      <c r="AT149" s="6">
        <v>0</v>
      </c>
      <c r="AU149" s="6">
        <v>625488.08100000001</v>
      </c>
      <c r="AV149" s="6">
        <v>694.64400000000001</v>
      </c>
      <c r="AW149" s="6">
        <v>3738.0830000000001</v>
      </c>
      <c r="AX149" s="6">
        <v>0</v>
      </c>
      <c r="AY149" s="6">
        <v>34710.413999999997</v>
      </c>
      <c r="AZ149" s="6">
        <v>0</v>
      </c>
      <c r="BA149" s="6">
        <v>150.12</v>
      </c>
      <c r="BB149" s="6">
        <v>0</v>
      </c>
      <c r="BC149" s="6">
        <v>1153.9670000000001</v>
      </c>
      <c r="BD149" s="6">
        <v>0</v>
      </c>
      <c r="BE149" s="6">
        <v>0</v>
      </c>
      <c r="BF149" s="6">
        <v>33023.794999999998</v>
      </c>
      <c r="BG149" s="22"/>
    </row>
    <row r="150" spans="1:59" ht="15.75">
      <c r="A150" s="23"/>
      <c r="B150" s="4" t="s">
        <v>287</v>
      </c>
      <c r="C150" s="4" t="s">
        <v>288</v>
      </c>
      <c r="D150" s="6">
        <v>6</v>
      </c>
      <c r="E150" s="6">
        <v>6</v>
      </c>
      <c r="F150" s="6">
        <v>14504.273999999999</v>
      </c>
      <c r="G150" s="6">
        <v>2355.04</v>
      </c>
      <c r="H150" s="6">
        <v>4385.8770000000004</v>
      </c>
      <c r="I150" s="6">
        <v>0</v>
      </c>
      <c r="J150" s="6">
        <v>514.11199999999997</v>
      </c>
      <c r="K150" s="6">
        <v>2739.7469999999998</v>
      </c>
      <c r="L150" s="6">
        <v>9046.9429999999993</v>
      </c>
      <c r="M150" s="6">
        <v>3065.5610000000001</v>
      </c>
      <c r="N150" s="6">
        <v>0</v>
      </c>
      <c r="O150" s="6">
        <v>8642.6049999999996</v>
      </c>
      <c r="P150" s="6">
        <v>13205.405000000001</v>
      </c>
      <c r="Q150" s="6">
        <v>8491.4699999999993</v>
      </c>
      <c r="R150" s="6">
        <v>0</v>
      </c>
      <c r="S150" s="6">
        <v>0</v>
      </c>
      <c r="T150" s="6">
        <v>42.180999999999997</v>
      </c>
      <c r="U150" s="6">
        <v>0</v>
      </c>
      <c r="V150" s="6">
        <v>1.22</v>
      </c>
      <c r="W150" s="6">
        <v>656.74</v>
      </c>
      <c r="X150" s="6">
        <v>0</v>
      </c>
      <c r="Y150" s="6">
        <v>0</v>
      </c>
      <c r="Z150" s="6">
        <v>0</v>
      </c>
      <c r="AA150" s="6">
        <v>361.19200000000001</v>
      </c>
      <c r="AB150" s="6">
        <v>960.73099999999999</v>
      </c>
      <c r="AC150" s="6">
        <v>0</v>
      </c>
      <c r="AD150" s="6">
        <v>4267.9780000000001</v>
      </c>
      <c r="AE150" s="6">
        <v>0</v>
      </c>
      <c r="AF150" s="6">
        <v>2833.2280000000001</v>
      </c>
      <c r="AG150" s="6">
        <v>0</v>
      </c>
      <c r="AH150" s="6">
        <v>399.709</v>
      </c>
      <c r="AI150" s="6">
        <v>0</v>
      </c>
      <c r="AJ150" s="6">
        <v>10490.654</v>
      </c>
      <c r="AK150" s="6">
        <v>0</v>
      </c>
      <c r="AL150" s="6">
        <v>0</v>
      </c>
      <c r="AM150" s="6">
        <v>23781.756000000001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10.845000000000001</v>
      </c>
      <c r="AW150" s="6">
        <v>0</v>
      </c>
      <c r="AX150" s="6">
        <v>0</v>
      </c>
      <c r="AY150" s="6">
        <v>0</v>
      </c>
      <c r="AZ150" s="6">
        <v>0</v>
      </c>
      <c r="BA150" s="6">
        <v>6.0369999999999999</v>
      </c>
      <c r="BB150" s="6">
        <v>0</v>
      </c>
      <c r="BC150" s="6">
        <v>179.245</v>
      </c>
      <c r="BD150" s="6">
        <v>0</v>
      </c>
      <c r="BE150" s="6">
        <v>0</v>
      </c>
      <c r="BF150" s="6">
        <v>0</v>
      </c>
      <c r="BG150" s="22"/>
    </row>
    <row r="151" spans="1:59" ht="15.75">
      <c r="A151" s="23"/>
      <c r="B151" s="4" t="s">
        <v>289</v>
      </c>
      <c r="C151" s="4" t="s">
        <v>290</v>
      </c>
      <c r="D151" s="6">
        <v>6</v>
      </c>
      <c r="E151" s="6">
        <v>6</v>
      </c>
      <c r="F151" s="6">
        <v>-179696.226</v>
      </c>
      <c r="G151" s="6">
        <v>-47915.461000000003</v>
      </c>
      <c r="H151" s="6">
        <v>-4539.2020000000002</v>
      </c>
      <c r="I151" s="6">
        <v>-483.05</v>
      </c>
      <c r="J151" s="6">
        <v>-2877.1770000000001</v>
      </c>
      <c r="K151" s="6">
        <v>-3493.4009999999998</v>
      </c>
      <c r="L151" s="6">
        <v>-249259.228</v>
      </c>
      <c r="M151" s="6">
        <v>-23516.538</v>
      </c>
      <c r="N151" s="6">
        <v>0</v>
      </c>
      <c r="O151" s="6">
        <v>-36303.321000000004</v>
      </c>
      <c r="P151" s="6">
        <v>-576496.84699999995</v>
      </c>
      <c r="Q151" s="6">
        <v>-44066.805</v>
      </c>
      <c r="R151" s="6">
        <v>0</v>
      </c>
      <c r="S151" s="6">
        <v>-1594.6859999999999</v>
      </c>
      <c r="T151" s="6">
        <v>-41.762</v>
      </c>
      <c r="U151" s="6">
        <v>-1877.673</v>
      </c>
      <c r="V151" s="6">
        <v>-803.57299999999998</v>
      </c>
      <c r="W151" s="6">
        <v>-14244.472</v>
      </c>
      <c r="X151" s="6">
        <v>0</v>
      </c>
      <c r="Y151" s="6">
        <v>-20814.105</v>
      </c>
      <c r="Z151" s="6">
        <v>0</v>
      </c>
      <c r="AA151" s="6">
        <v>-425.18299999999999</v>
      </c>
      <c r="AB151" s="6">
        <v>-4983.0200000000004</v>
      </c>
      <c r="AC151" s="6">
        <v>-965.69500000000005</v>
      </c>
      <c r="AD151" s="6">
        <v>-98387.486000000004</v>
      </c>
      <c r="AE151" s="6">
        <v>-29400.114000000001</v>
      </c>
      <c r="AF151" s="6">
        <v>-4414.576</v>
      </c>
      <c r="AG151" s="6">
        <v>-42968.466</v>
      </c>
      <c r="AH151" s="6">
        <v>-7851.8720000000003</v>
      </c>
      <c r="AI151" s="6">
        <v>-6450.76</v>
      </c>
      <c r="AJ151" s="6">
        <v>-246201.45699999999</v>
      </c>
      <c r="AK151" s="6">
        <v>-107222.489</v>
      </c>
      <c r="AL151" s="6">
        <v>-24876.596000000001</v>
      </c>
      <c r="AM151" s="6">
        <v>-750432.20200000005</v>
      </c>
      <c r="AN151" s="6">
        <v>-206811.98499999999</v>
      </c>
      <c r="AO151" s="6">
        <v>-172030.71599999999</v>
      </c>
      <c r="AP151" s="6">
        <v>-1880337.017</v>
      </c>
      <c r="AQ151" s="6">
        <v>-52032.974999999999</v>
      </c>
      <c r="AR151" s="6">
        <v>-27240.127</v>
      </c>
      <c r="AS151" s="6">
        <v>-1175249.321</v>
      </c>
      <c r="AT151" s="6">
        <v>0</v>
      </c>
      <c r="AU151" s="6">
        <v>-592733.14599999995</v>
      </c>
      <c r="AV151" s="6">
        <v>-626.25900000000001</v>
      </c>
      <c r="AW151" s="6">
        <v>-2527.377</v>
      </c>
      <c r="AX151" s="6">
        <v>0</v>
      </c>
      <c r="AY151" s="6">
        <v>-31219.284</v>
      </c>
      <c r="AZ151" s="6">
        <v>0</v>
      </c>
      <c r="BA151" s="6">
        <v>-140.18799999999999</v>
      </c>
      <c r="BB151" s="6">
        <v>0</v>
      </c>
      <c r="BC151" s="6">
        <v>-1212.3399999999999</v>
      </c>
      <c r="BD151" s="6">
        <v>0</v>
      </c>
      <c r="BE151" s="6">
        <v>0</v>
      </c>
      <c r="BF151" s="6">
        <v>-29204.154999999999</v>
      </c>
      <c r="BG151" s="22"/>
    </row>
    <row r="152" spans="1:59" ht="15.75">
      <c r="A152" s="23"/>
      <c r="B152" s="4" t="s">
        <v>291</v>
      </c>
      <c r="C152" s="4" t="s">
        <v>292</v>
      </c>
      <c r="D152" s="6">
        <v>6</v>
      </c>
      <c r="E152" s="6">
        <v>6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22"/>
    </row>
    <row r="153" spans="1:59" ht="15.75">
      <c r="A153" s="23"/>
      <c r="B153" s="4" t="s">
        <v>293</v>
      </c>
      <c r="C153" s="4" t="s">
        <v>294</v>
      </c>
      <c r="D153" s="6">
        <v>4</v>
      </c>
      <c r="E153" s="6">
        <v>4</v>
      </c>
      <c r="F153" s="6">
        <v>16594.620999999999</v>
      </c>
      <c r="G153" s="6">
        <v>5063.7359999999999</v>
      </c>
      <c r="H153" s="6">
        <v>0</v>
      </c>
      <c r="I153" s="6">
        <v>0</v>
      </c>
      <c r="J153" s="6">
        <v>255.08099999999999</v>
      </c>
      <c r="K153" s="6">
        <v>0</v>
      </c>
      <c r="L153" s="6">
        <v>23321.269</v>
      </c>
      <c r="M153" s="6">
        <v>1407.4369999999999</v>
      </c>
      <c r="N153" s="6">
        <v>0</v>
      </c>
      <c r="O153" s="6">
        <v>2709.1039999999998</v>
      </c>
      <c r="P153" s="6">
        <v>62835.758999999998</v>
      </c>
      <c r="Q153" s="6">
        <v>3214.3009999999999</v>
      </c>
      <c r="R153" s="6">
        <v>0</v>
      </c>
      <c r="S153" s="6">
        <v>0</v>
      </c>
      <c r="T153" s="6">
        <v>2.6280000000000001</v>
      </c>
      <c r="U153" s="6">
        <v>0</v>
      </c>
      <c r="V153" s="6">
        <v>0</v>
      </c>
      <c r="W153" s="6">
        <v>1529.377</v>
      </c>
      <c r="X153" s="6">
        <v>0</v>
      </c>
      <c r="Y153" s="6">
        <v>0</v>
      </c>
      <c r="Z153" s="6">
        <v>0</v>
      </c>
      <c r="AA153" s="6">
        <v>0</v>
      </c>
      <c r="AB153" s="6">
        <v>347.43099999999998</v>
      </c>
      <c r="AC153" s="6">
        <v>0</v>
      </c>
      <c r="AD153" s="6">
        <v>9184.4770000000008</v>
      </c>
      <c r="AE153" s="6">
        <v>0</v>
      </c>
      <c r="AF153" s="6">
        <v>0</v>
      </c>
      <c r="AG153" s="6">
        <v>0</v>
      </c>
      <c r="AH153" s="6">
        <v>805.61300000000006</v>
      </c>
      <c r="AI153" s="6">
        <v>0</v>
      </c>
      <c r="AJ153" s="6">
        <v>22586.5</v>
      </c>
      <c r="AK153" s="6">
        <v>12525.055</v>
      </c>
      <c r="AL153" s="6">
        <v>0</v>
      </c>
      <c r="AM153" s="6">
        <v>78396.615999999995</v>
      </c>
      <c r="AN153" s="6">
        <v>24252.677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35.204000000000001</v>
      </c>
      <c r="AW153" s="6">
        <v>0</v>
      </c>
      <c r="AX153" s="6">
        <v>0</v>
      </c>
      <c r="AY153" s="6">
        <v>3619.2730000000001</v>
      </c>
      <c r="AZ153" s="6">
        <v>0</v>
      </c>
      <c r="BA153" s="6">
        <v>13.727</v>
      </c>
      <c r="BB153" s="6">
        <v>0</v>
      </c>
      <c r="BC153" s="6">
        <v>109.255</v>
      </c>
      <c r="BD153" s="6">
        <v>0</v>
      </c>
      <c r="BE153" s="6">
        <v>0</v>
      </c>
      <c r="BF153" s="6">
        <v>0</v>
      </c>
      <c r="BG153" s="22"/>
    </row>
    <row r="154" spans="1:59" ht="15.75">
      <c r="A154" s="23"/>
      <c r="B154" s="4" t="s">
        <v>295</v>
      </c>
      <c r="C154" s="4" t="s">
        <v>296</v>
      </c>
      <c r="D154" s="6">
        <v>4</v>
      </c>
      <c r="E154" s="6">
        <v>4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22"/>
    </row>
    <row r="155" spans="1:59" ht="15.75">
      <c r="A155" s="23"/>
      <c r="B155" s="4" t="s">
        <v>297</v>
      </c>
      <c r="C155" s="4" t="s">
        <v>298</v>
      </c>
      <c r="D155" s="6">
        <v>4</v>
      </c>
      <c r="E155" s="6">
        <v>4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22"/>
    </row>
    <row r="156" spans="1:59" ht="15.75">
      <c r="A156" s="23"/>
      <c r="B156" s="4" t="s">
        <v>299</v>
      </c>
      <c r="C156" s="4" t="s">
        <v>300</v>
      </c>
      <c r="D156" s="6">
        <v>4</v>
      </c>
      <c r="E156" s="6">
        <v>4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22"/>
    </row>
    <row r="157" spans="1:59" ht="15.75">
      <c r="A157" s="23"/>
      <c r="B157" s="4" t="s">
        <v>301</v>
      </c>
      <c r="C157" s="4" t="s">
        <v>302</v>
      </c>
      <c r="D157" s="6">
        <v>4</v>
      </c>
      <c r="E157" s="6">
        <v>4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22"/>
    </row>
    <row r="158" spans="1:59" ht="15.75">
      <c r="A158" s="23"/>
      <c r="B158" s="4" t="s">
        <v>303</v>
      </c>
      <c r="C158" s="4" t="s">
        <v>304</v>
      </c>
      <c r="D158" s="6">
        <v>4</v>
      </c>
      <c r="E158" s="6">
        <v>4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22"/>
    </row>
    <row r="159" spans="1:59" ht="15.75">
      <c r="A159" s="23"/>
      <c r="B159" s="4" t="s">
        <v>305</v>
      </c>
      <c r="C159" s="4" t="s">
        <v>306</v>
      </c>
      <c r="D159" s="6">
        <v>4</v>
      </c>
      <c r="E159" s="6">
        <v>4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22"/>
    </row>
    <row r="160" spans="1:59" ht="15.75">
      <c r="A160" s="23"/>
      <c r="B160" s="4" t="s">
        <v>307</v>
      </c>
      <c r="C160" s="4" t="s">
        <v>308</v>
      </c>
      <c r="D160" s="6">
        <v>4</v>
      </c>
      <c r="E160" s="6">
        <v>4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22"/>
    </row>
    <row r="161" spans="1:59" ht="15.75">
      <c r="A161" s="23"/>
      <c r="B161" s="4" t="s">
        <v>293</v>
      </c>
      <c r="C161" s="4" t="s">
        <v>309</v>
      </c>
      <c r="D161" s="6">
        <v>6</v>
      </c>
      <c r="E161" s="6">
        <v>6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22"/>
    </row>
    <row r="162" spans="1:59" ht="15.75">
      <c r="A162" s="23"/>
      <c r="B162" s="4" t="s">
        <v>310</v>
      </c>
      <c r="C162" s="4" t="s">
        <v>311</v>
      </c>
      <c r="D162" s="6">
        <v>6</v>
      </c>
      <c r="E162" s="6">
        <v>6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22"/>
    </row>
    <row r="163" spans="1:59" ht="15.75">
      <c r="A163" s="23"/>
      <c r="B163" s="4" t="s">
        <v>312</v>
      </c>
      <c r="C163" s="4" t="s">
        <v>313</v>
      </c>
      <c r="D163" s="6">
        <v>6</v>
      </c>
      <c r="E163" s="6">
        <v>6</v>
      </c>
      <c r="F163" s="6">
        <v>352.85500000000002</v>
      </c>
      <c r="G163" s="6">
        <v>104.867</v>
      </c>
      <c r="H163" s="6">
        <v>46.277000000000001</v>
      </c>
      <c r="I163" s="6">
        <v>5.1619999999999999</v>
      </c>
      <c r="J163" s="6">
        <v>12.984999999999999</v>
      </c>
      <c r="K163" s="6">
        <v>42.866999999999997</v>
      </c>
      <c r="L163" s="6">
        <v>518.13800000000003</v>
      </c>
      <c r="M163" s="6">
        <v>76.247</v>
      </c>
      <c r="N163" s="6">
        <v>0</v>
      </c>
      <c r="O163" s="6">
        <v>139.697</v>
      </c>
      <c r="P163" s="6">
        <v>873.49900000000002</v>
      </c>
      <c r="Q163" s="6">
        <v>189.137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32.777000000000001</v>
      </c>
      <c r="X163" s="6">
        <v>0</v>
      </c>
      <c r="Y163" s="6">
        <v>0</v>
      </c>
      <c r="Z163" s="6">
        <v>0</v>
      </c>
      <c r="AA163" s="6">
        <v>5.3609999999999998</v>
      </c>
      <c r="AB163" s="6">
        <v>19.042000000000002</v>
      </c>
      <c r="AC163" s="6">
        <v>0</v>
      </c>
      <c r="AD163" s="6">
        <v>148.74100000000001</v>
      </c>
      <c r="AE163" s="6">
        <v>0</v>
      </c>
      <c r="AF163" s="6">
        <v>59.447000000000003</v>
      </c>
      <c r="AG163" s="6">
        <v>3.5000000000000003E-2</v>
      </c>
      <c r="AH163" s="6">
        <v>16.132999999999999</v>
      </c>
      <c r="AI163" s="6">
        <v>0</v>
      </c>
      <c r="AJ163" s="6">
        <v>369.154</v>
      </c>
      <c r="AK163" s="6">
        <v>120.13200000000001</v>
      </c>
      <c r="AL163" s="6">
        <v>0</v>
      </c>
      <c r="AM163" s="6">
        <v>1313.421</v>
      </c>
      <c r="AN163" s="6">
        <v>231.666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1.246</v>
      </c>
      <c r="AW163" s="6">
        <v>0</v>
      </c>
      <c r="AX163" s="6">
        <v>0</v>
      </c>
      <c r="AY163" s="6">
        <v>34.951000000000001</v>
      </c>
      <c r="AZ163" s="6">
        <v>0</v>
      </c>
      <c r="BA163" s="6">
        <v>0.18099999999999999</v>
      </c>
      <c r="BB163" s="6">
        <v>0</v>
      </c>
      <c r="BC163" s="6">
        <v>1.1639999999999999</v>
      </c>
      <c r="BD163" s="6">
        <v>0</v>
      </c>
      <c r="BE163" s="6">
        <v>0</v>
      </c>
      <c r="BF163" s="6">
        <v>46.417000000000002</v>
      </c>
      <c r="BG163" s="22"/>
    </row>
    <row r="164" spans="1:59" ht="15.75">
      <c r="A164" s="23"/>
      <c r="B164" s="4" t="s">
        <v>297</v>
      </c>
      <c r="C164" s="4" t="s">
        <v>314</v>
      </c>
      <c r="D164" s="6">
        <v>6</v>
      </c>
      <c r="E164" s="6">
        <v>6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22"/>
    </row>
    <row r="165" spans="1:59" ht="15.75">
      <c r="A165" s="23"/>
      <c r="B165" s="4" t="s">
        <v>299</v>
      </c>
      <c r="C165" s="4" t="s">
        <v>315</v>
      </c>
      <c r="D165" s="6">
        <v>6</v>
      </c>
      <c r="E165" s="6">
        <v>6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22"/>
    </row>
    <row r="166" spans="1:59" ht="15.75">
      <c r="A166" s="23"/>
      <c r="B166" s="4" t="s">
        <v>301</v>
      </c>
      <c r="C166" s="4" t="s">
        <v>316</v>
      </c>
      <c r="D166" s="6">
        <v>6</v>
      </c>
      <c r="E166" s="6">
        <v>6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22"/>
    </row>
    <row r="167" spans="1:59" ht="15.75">
      <c r="A167" s="23"/>
      <c r="B167" s="4" t="s">
        <v>317</v>
      </c>
      <c r="C167" s="4" t="s">
        <v>318</v>
      </c>
      <c r="D167" s="6">
        <v>6</v>
      </c>
      <c r="E167" s="6">
        <v>6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22"/>
    </row>
    <row r="168" spans="1:59" ht="15.75">
      <c r="A168" s="23"/>
      <c r="B168" s="4" t="s">
        <v>319</v>
      </c>
      <c r="C168" s="4" t="s">
        <v>320</v>
      </c>
      <c r="D168" s="6">
        <v>6</v>
      </c>
      <c r="E168" s="6">
        <v>6</v>
      </c>
      <c r="F168" s="6">
        <v>-325.80399999999997</v>
      </c>
      <c r="G168" s="6">
        <v>-93.807000000000002</v>
      </c>
      <c r="H168" s="6">
        <v>-24.93</v>
      </c>
      <c r="I168" s="6">
        <v>-5.1619999999999999</v>
      </c>
      <c r="J168" s="6">
        <v>-9.2420000000000009</v>
      </c>
      <c r="K168" s="6">
        <v>-26.129000000000001</v>
      </c>
      <c r="L168" s="6">
        <v>-454.91199999999998</v>
      </c>
      <c r="M168" s="6">
        <v>-58.963000000000001</v>
      </c>
      <c r="N168" s="6">
        <v>0</v>
      </c>
      <c r="O168" s="6">
        <v>-106.899</v>
      </c>
      <c r="P168" s="6">
        <v>-912.63400000000001</v>
      </c>
      <c r="Q168" s="6">
        <v>-138.98599999999999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-29.210999999999999</v>
      </c>
      <c r="X168" s="6">
        <v>0</v>
      </c>
      <c r="Y168" s="6">
        <v>0</v>
      </c>
      <c r="Z168" s="6">
        <v>0</v>
      </c>
      <c r="AA168" s="6">
        <v>-3.1120000000000001</v>
      </c>
      <c r="AB168" s="6">
        <v>-13.909000000000001</v>
      </c>
      <c r="AC168" s="6">
        <v>0</v>
      </c>
      <c r="AD168" s="6">
        <v>-150.904</v>
      </c>
      <c r="AE168" s="6">
        <v>0</v>
      </c>
      <c r="AF168" s="6">
        <v>-38.908999999999999</v>
      </c>
      <c r="AG168" s="6">
        <v>-4.2999999999999997E-2</v>
      </c>
      <c r="AH168" s="6">
        <v>-14.89</v>
      </c>
      <c r="AI168" s="6">
        <v>0</v>
      </c>
      <c r="AJ168" s="6">
        <v>-373.03</v>
      </c>
      <c r="AK168" s="6">
        <v>-145.33600000000001</v>
      </c>
      <c r="AL168" s="6">
        <v>0</v>
      </c>
      <c r="AM168" s="6">
        <v>-1295.1400000000001</v>
      </c>
      <c r="AN168" s="6">
        <v>-280.27999999999997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-1.2150000000000001</v>
      </c>
      <c r="AW168" s="6">
        <v>0</v>
      </c>
      <c r="AX168" s="6">
        <v>0</v>
      </c>
      <c r="AY168" s="6">
        <v>-42.29</v>
      </c>
      <c r="AZ168" s="6">
        <v>0</v>
      </c>
      <c r="BA168" s="6">
        <v>-0.20399999999999999</v>
      </c>
      <c r="BB168" s="6">
        <v>0</v>
      </c>
      <c r="BC168" s="6">
        <v>-1.4079999999999999</v>
      </c>
      <c r="BD168" s="6">
        <v>0</v>
      </c>
      <c r="BE168" s="6">
        <v>0</v>
      </c>
      <c r="BF168" s="6">
        <v>-52.94</v>
      </c>
      <c r="BG168" s="22"/>
    </row>
    <row r="169" spans="1:59" ht="15.75">
      <c r="A169" s="23"/>
      <c r="B169" s="4" t="s">
        <v>305</v>
      </c>
      <c r="C169" s="4" t="s">
        <v>321</v>
      </c>
      <c r="D169" s="6">
        <v>6</v>
      </c>
      <c r="E169" s="6">
        <v>6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22"/>
    </row>
    <row r="170" spans="1:59" ht="15.75">
      <c r="A170" s="23"/>
      <c r="B170" s="4" t="s">
        <v>307</v>
      </c>
      <c r="C170" s="4" t="s">
        <v>322</v>
      </c>
      <c r="D170" s="6">
        <v>6</v>
      </c>
      <c r="E170" s="6">
        <v>6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22"/>
    </row>
    <row r="171" spans="1:59" ht="15.75">
      <c r="A171" s="23"/>
      <c r="B171" s="4" t="s">
        <v>323</v>
      </c>
      <c r="C171" s="4" t="s">
        <v>324</v>
      </c>
      <c r="D171" s="6">
        <v>4</v>
      </c>
      <c r="E171" s="6">
        <v>4</v>
      </c>
      <c r="F171" s="6">
        <v>3788.1759999999999</v>
      </c>
      <c r="G171" s="6">
        <v>1104.6320000000001</v>
      </c>
      <c r="H171" s="6">
        <v>0</v>
      </c>
      <c r="I171" s="6">
        <v>0</v>
      </c>
      <c r="J171" s="6">
        <v>55.473999999999997</v>
      </c>
      <c r="K171" s="6">
        <v>0</v>
      </c>
      <c r="L171" s="6">
        <v>5464.5330000000004</v>
      </c>
      <c r="M171" s="6">
        <v>383.36700000000002</v>
      </c>
      <c r="N171" s="6">
        <v>0</v>
      </c>
      <c r="O171" s="6">
        <v>605.96299999999997</v>
      </c>
      <c r="P171" s="6">
        <v>13761.387000000001</v>
      </c>
      <c r="Q171" s="6">
        <v>748.84500000000003</v>
      </c>
      <c r="R171" s="6">
        <v>0</v>
      </c>
      <c r="S171" s="6">
        <v>0</v>
      </c>
      <c r="T171" s="6">
        <v>0.33200000000000002</v>
      </c>
      <c r="U171" s="6">
        <v>0</v>
      </c>
      <c r="V171" s="6">
        <v>0</v>
      </c>
      <c r="W171" s="6">
        <v>330.71300000000002</v>
      </c>
      <c r="X171" s="6">
        <v>0</v>
      </c>
      <c r="Y171" s="6">
        <v>0</v>
      </c>
      <c r="Z171" s="6">
        <v>0</v>
      </c>
      <c r="AA171" s="6">
        <v>0</v>
      </c>
      <c r="AB171" s="6">
        <v>83.947999999999993</v>
      </c>
      <c r="AC171" s="6">
        <v>0</v>
      </c>
      <c r="AD171" s="6">
        <v>2107.2849999999999</v>
      </c>
      <c r="AE171" s="6">
        <v>0</v>
      </c>
      <c r="AF171" s="6">
        <v>0</v>
      </c>
      <c r="AG171" s="6">
        <v>0.316</v>
      </c>
      <c r="AH171" s="6">
        <v>177.33099999999999</v>
      </c>
      <c r="AI171" s="6">
        <v>0</v>
      </c>
      <c r="AJ171" s="6">
        <v>5231.9440000000004</v>
      </c>
      <c r="AK171" s="6">
        <v>2695.3679999999999</v>
      </c>
      <c r="AL171" s="6">
        <v>0</v>
      </c>
      <c r="AM171" s="6">
        <v>17531.524000000001</v>
      </c>
      <c r="AN171" s="6">
        <v>5203.3239999999996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10.44</v>
      </c>
      <c r="AW171" s="6">
        <v>0</v>
      </c>
      <c r="AX171" s="6">
        <v>0</v>
      </c>
      <c r="AY171" s="6">
        <v>775.904</v>
      </c>
      <c r="AZ171" s="6">
        <v>0</v>
      </c>
      <c r="BA171" s="6">
        <v>3.0739999999999998</v>
      </c>
      <c r="BB171" s="6">
        <v>0</v>
      </c>
      <c r="BC171" s="6">
        <v>24.274000000000001</v>
      </c>
      <c r="BD171" s="6">
        <v>0</v>
      </c>
      <c r="BE171" s="6">
        <v>0</v>
      </c>
      <c r="BF171" s="6">
        <v>280.71699999999998</v>
      </c>
      <c r="BG171" s="22"/>
    </row>
    <row r="172" spans="1:59" ht="15.75">
      <c r="A172" s="23"/>
      <c r="B172" s="4" t="s">
        <v>325</v>
      </c>
      <c r="C172" s="4" t="s">
        <v>326</v>
      </c>
      <c r="D172" s="6">
        <v>4</v>
      </c>
      <c r="E172" s="6">
        <v>4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22"/>
    </row>
    <row r="173" spans="1:59" ht="15.75">
      <c r="A173" s="23"/>
      <c r="B173" s="4" t="s">
        <v>327</v>
      </c>
      <c r="C173" s="4" t="s">
        <v>328</v>
      </c>
      <c r="D173" s="6">
        <v>4</v>
      </c>
      <c r="E173" s="6">
        <v>4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22"/>
    </row>
    <row r="174" spans="1:59" ht="15.75">
      <c r="A174" s="23"/>
      <c r="B174" s="4" t="s">
        <v>329</v>
      </c>
      <c r="C174" s="4" t="s">
        <v>330</v>
      </c>
      <c r="D174" s="6">
        <v>4</v>
      </c>
      <c r="E174" s="6">
        <v>4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22"/>
    </row>
    <row r="175" spans="1:59" ht="15.75">
      <c r="A175" s="23"/>
      <c r="B175" s="4" t="s">
        <v>331</v>
      </c>
      <c r="C175" s="4" t="s">
        <v>332</v>
      </c>
      <c r="D175" s="6">
        <v>4</v>
      </c>
      <c r="E175" s="6">
        <v>4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22"/>
    </row>
    <row r="176" spans="1:59" ht="15.75">
      <c r="A176" s="23"/>
      <c r="B176" s="4" t="s">
        <v>333</v>
      </c>
      <c r="C176" s="4" t="s">
        <v>334</v>
      </c>
      <c r="D176" s="6">
        <v>4</v>
      </c>
      <c r="E176" s="6">
        <v>4</v>
      </c>
      <c r="F176" s="6">
        <v>-3700.0219999999999</v>
      </c>
      <c r="G176" s="6">
        <v>-1069.8689999999999</v>
      </c>
      <c r="H176" s="6">
        <v>0</v>
      </c>
      <c r="I176" s="6">
        <v>0</v>
      </c>
      <c r="J176" s="6">
        <v>-53.427</v>
      </c>
      <c r="K176" s="6">
        <v>0</v>
      </c>
      <c r="L176" s="6">
        <v>-5353.2929999999997</v>
      </c>
      <c r="M176" s="6">
        <v>-386.041</v>
      </c>
      <c r="N176" s="6">
        <v>0</v>
      </c>
      <c r="O176" s="6">
        <v>-584.80799999999999</v>
      </c>
      <c r="P176" s="6">
        <v>-13334.423000000001</v>
      </c>
      <c r="Q176" s="6">
        <v>-731.40599999999995</v>
      </c>
      <c r="R176" s="6">
        <v>0</v>
      </c>
      <c r="S176" s="6">
        <v>0</v>
      </c>
      <c r="T176" s="6">
        <v>-0.27300000000000002</v>
      </c>
      <c r="U176" s="6">
        <v>0</v>
      </c>
      <c r="V176" s="6">
        <v>0</v>
      </c>
      <c r="W176" s="6">
        <v>-319.8</v>
      </c>
      <c r="X176" s="6">
        <v>0</v>
      </c>
      <c r="Y176" s="6">
        <v>0</v>
      </c>
      <c r="Z176" s="6">
        <v>0</v>
      </c>
      <c r="AA176" s="6">
        <v>0</v>
      </c>
      <c r="AB176" s="6">
        <v>-82.69</v>
      </c>
      <c r="AC176" s="6">
        <v>0</v>
      </c>
      <c r="AD176" s="6">
        <v>-2092.0909999999999</v>
      </c>
      <c r="AE176" s="6">
        <v>0</v>
      </c>
      <c r="AF176" s="6">
        <v>0</v>
      </c>
      <c r="AG176" s="6">
        <v>-0.38</v>
      </c>
      <c r="AH176" s="6">
        <v>-172.39099999999999</v>
      </c>
      <c r="AI176" s="6">
        <v>0</v>
      </c>
      <c r="AJ176" s="6">
        <v>-5204.5810000000001</v>
      </c>
      <c r="AK176" s="6">
        <v>-2607.8380000000002</v>
      </c>
      <c r="AL176" s="6">
        <v>0</v>
      </c>
      <c r="AM176" s="6">
        <v>-16906.813999999998</v>
      </c>
      <c r="AN176" s="6">
        <v>-5037.9719999999998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-10.858000000000001</v>
      </c>
      <c r="AW176" s="6">
        <v>0</v>
      </c>
      <c r="AX176" s="6">
        <v>0</v>
      </c>
      <c r="AY176" s="6">
        <v>-755.11699999999996</v>
      </c>
      <c r="AZ176" s="6">
        <v>0</v>
      </c>
      <c r="BA176" s="6">
        <v>-3.0339999999999998</v>
      </c>
      <c r="BB176" s="6">
        <v>0</v>
      </c>
      <c r="BC176" s="6">
        <v>-23.931000000000001</v>
      </c>
      <c r="BD176" s="6">
        <v>0</v>
      </c>
      <c r="BE176" s="6">
        <v>0</v>
      </c>
      <c r="BF176" s="6">
        <v>-337.23700000000002</v>
      </c>
      <c r="BG176" s="22"/>
    </row>
    <row r="177" spans="1:59" ht="15.75">
      <c r="A177" s="23"/>
      <c r="B177" s="4" t="s">
        <v>335</v>
      </c>
      <c r="C177" s="4" t="s">
        <v>336</v>
      </c>
      <c r="D177" s="6">
        <v>4</v>
      </c>
      <c r="E177" s="6">
        <v>4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22"/>
    </row>
    <row r="178" spans="1:59" ht="15.75">
      <c r="A178" s="23"/>
      <c r="B178" s="4" t="s">
        <v>337</v>
      </c>
      <c r="C178" s="4" t="s">
        <v>338</v>
      </c>
      <c r="D178" s="6">
        <v>4</v>
      </c>
      <c r="E178" s="6">
        <v>4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22"/>
    </row>
    <row r="179" spans="1:59" ht="15.75">
      <c r="A179" s="23"/>
      <c r="B179" s="4" t="s">
        <v>339</v>
      </c>
      <c r="C179" s="4" t="s">
        <v>340</v>
      </c>
      <c r="D179" s="6">
        <v>4</v>
      </c>
      <c r="E179" s="6">
        <v>4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22"/>
    </row>
    <row r="180" spans="1:59" ht="15.75">
      <c r="A180" s="23"/>
      <c r="B180" s="4" t="s">
        <v>341</v>
      </c>
      <c r="C180" s="4" t="s">
        <v>342</v>
      </c>
      <c r="D180" s="6">
        <v>4</v>
      </c>
      <c r="E180" s="6">
        <v>4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22"/>
    </row>
    <row r="181" spans="1:59" ht="15.75">
      <c r="A181" s="23"/>
      <c r="B181" s="4" t="s">
        <v>323</v>
      </c>
      <c r="C181" s="4" t="s">
        <v>343</v>
      </c>
      <c r="D181" s="6">
        <v>6</v>
      </c>
      <c r="E181" s="6">
        <v>6</v>
      </c>
      <c r="F181" s="6">
        <v>4.3330000000000002</v>
      </c>
      <c r="G181" s="6">
        <v>1.3220000000000001</v>
      </c>
      <c r="H181" s="6">
        <v>0</v>
      </c>
      <c r="I181" s="6">
        <v>0</v>
      </c>
      <c r="J181" s="6">
        <v>6.7000000000000004E-2</v>
      </c>
      <c r="K181" s="6">
        <v>0</v>
      </c>
      <c r="L181" s="6">
        <v>6.09</v>
      </c>
      <c r="M181" s="6">
        <v>0.36799999999999999</v>
      </c>
      <c r="N181" s="6">
        <v>0</v>
      </c>
      <c r="O181" s="6">
        <v>0.70699999999999996</v>
      </c>
      <c r="P181" s="6">
        <v>16.407</v>
      </c>
      <c r="Q181" s="6">
        <v>0.83899999999999997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0.39900000000000002</v>
      </c>
      <c r="X181" s="6">
        <v>0</v>
      </c>
      <c r="Y181" s="6">
        <v>0</v>
      </c>
      <c r="Z181" s="6">
        <v>0</v>
      </c>
      <c r="AA181" s="6">
        <v>0</v>
      </c>
      <c r="AB181" s="6">
        <v>9.0999999999999998E-2</v>
      </c>
      <c r="AC181" s="6">
        <v>0</v>
      </c>
      <c r="AD181" s="6">
        <v>2.3980000000000001</v>
      </c>
      <c r="AE181" s="6">
        <v>0</v>
      </c>
      <c r="AF181" s="6">
        <v>0</v>
      </c>
      <c r="AG181" s="6">
        <v>0</v>
      </c>
      <c r="AH181" s="6">
        <v>0.21</v>
      </c>
      <c r="AI181" s="6">
        <v>0</v>
      </c>
      <c r="AJ181" s="6">
        <v>5.8979999999999997</v>
      </c>
      <c r="AK181" s="6">
        <v>3.27</v>
      </c>
      <c r="AL181" s="6">
        <v>0</v>
      </c>
      <c r="AM181" s="6">
        <v>20.47</v>
      </c>
      <c r="AN181" s="6">
        <v>6.3330000000000002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8.9999999999999993E-3</v>
      </c>
      <c r="AW181" s="6">
        <v>0</v>
      </c>
      <c r="AX181" s="6">
        <v>0</v>
      </c>
      <c r="AY181" s="6">
        <v>0.94499999999999995</v>
      </c>
      <c r="AZ181" s="6">
        <v>0</v>
      </c>
      <c r="BA181" s="6">
        <v>4.0000000000000001E-3</v>
      </c>
      <c r="BB181" s="6">
        <v>0</v>
      </c>
      <c r="BC181" s="6">
        <v>2.8000000000000001E-2</v>
      </c>
      <c r="BD181" s="6">
        <v>0</v>
      </c>
      <c r="BE181" s="6">
        <v>0</v>
      </c>
      <c r="BF181" s="6">
        <v>0</v>
      </c>
      <c r="BG181" s="22"/>
    </row>
    <row r="182" spans="1:59" ht="15.75">
      <c r="A182" s="23"/>
      <c r="B182" s="4" t="s">
        <v>325</v>
      </c>
      <c r="C182" s="4" t="s">
        <v>344</v>
      </c>
      <c r="D182" s="6">
        <v>6</v>
      </c>
      <c r="E182" s="6">
        <v>6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22"/>
    </row>
    <row r="183" spans="1:59" ht="15.75">
      <c r="A183" s="23"/>
      <c r="B183" s="4" t="s">
        <v>327</v>
      </c>
      <c r="C183" s="4" t="s">
        <v>345</v>
      </c>
      <c r="D183" s="6">
        <v>6</v>
      </c>
      <c r="E183" s="6">
        <v>6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22"/>
    </row>
    <row r="184" spans="1:59" ht="15.75">
      <c r="A184" s="23"/>
      <c r="B184" s="4" t="s">
        <v>329</v>
      </c>
      <c r="C184" s="4" t="s">
        <v>346</v>
      </c>
      <c r="D184" s="6">
        <v>6</v>
      </c>
      <c r="E184" s="6">
        <v>6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22"/>
    </row>
    <row r="185" spans="1:59" ht="15.75">
      <c r="A185" s="23"/>
      <c r="B185" s="4" t="s">
        <v>331</v>
      </c>
      <c r="C185" s="4" t="s">
        <v>347</v>
      </c>
      <c r="D185" s="6">
        <v>6</v>
      </c>
      <c r="E185" s="6">
        <v>6</v>
      </c>
      <c r="F185" s="6">
        <v>24.067</v>
      </c>
      <c r="G185" s="6">
        <v>7.3440000000000003</v>
      </c>
      <c r="H185" s="6">
        <v>0</v>
      </c>
      <c r="I185" s="6">
        <v>0</v>
      </c>
      <c r="J185" s="6">
        <v>0.37</v>
      </c>
      <c r="K185" s="6">
        <v>0</v>
      </c>
      <c r="L185" s="6">
        <v>33.823</v>
      </c>
      <c r="M185" s="6">
        <v>2.0409999999999999</v>
      </c>
      <c r="N185" s="6">
        <v>0</v>
      </c>
      <c r="O185" s="6">
        <v>3.9289999999999998</v>
      </c>
      <c r="P185" s="6">
        <v>91.13</v>
      </c>
      <c r="Q185" s="6">
        <v>4.6619999999999999</v>
      </c>
      <c r="R185" s="6">
        <v>0</v>
      </c>
      <c r="S185" s="6">
        <v>0</v>
      </c>
      <c r="T185" s="6">
        <v>4.0000000000000001E-3</v>
      </c>
      <c r="U185" s="6">
        <v>0</v>
      </c>
      <c r="V185" s="6">
        <v>0</v>
      </c>
      <c r="W185" s="6">
        <v>2.218</v>
      </c>
      <c r="X185" s="6">
        <v>0</v>
      </c>
      <c r="Y185" s="6">
        <v>0</v>
      </c>
      <c r="Z185" s="6">
        <v>0</v>
      </c>
      <c r="AA185" s="6">
        <v>0</v>
      </c>
      <c r="AB185" s="6">
        <v>0.504</v>
      </c>
      <c r="AC185" s="6">
        <v>0</v>
      </c>
      <c r="AD185" s="6">
        <v>13.32</v>
      </c>
      <c r="AE185" s="6">
        <v>0</v>
      </c>
      <c r="AF185" s="6">
        <v>0</v>
      </c>
      <c r="AG185" s="6">
        <v>0</v>
      </c>
      <c r="AH185" s="6">
        <v>1.1679999999999999</v>
      </c>
      <c r="AI185" s="6">
        <v>0</v>
      </c>
      <c r="AJ185" s="6">
        <v>32.756999999999998</v>
      </c>
      <c r="AK185" s="6">
        <v>18.164999999999999</v>
      </c>
      <c r="AL185" s="6">
        <v>0</v>
      </c>
      <c r="AM185" s="6">
        <v>113.69799999999999</v>
      </c>
      <c r="AN185" s="6">
        <v>35.173999999999999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5.0999999999999997E-2</v>
      </c>
      <c r="AW185" s="6">
        <v>0</v>
      </c>
      <c r="AX185" s="6">
        <v>0</v>
      </c>
      <c r="AY185" s="6">
        <v>5.2489999999999997</v>
      </c>
      <c r="AZ185" s="6">
        <v>0</v>
      </c>
      <c r="BA185" s="6">
        <v>0.02</v>
      </c>
      <c r="BB185" s="6">
        <v>0</v>
      </c>
      <c r="BC185" s="6">
        <v>0.158</v>
      </c>
      <c r="BD185" s="6">
        <v>0</v>
      </c>
      <c r="BE185" s="6">
        <v>0</v>
      </c>
      <c r="BF185" s="6">
        <v>0</v>
      </c>
      <c r="BG185" s="22"/>
    </row>
    <row r="186" spans="1:59" ht="15.75">
      <c r="A186" s="23"/>
      <c r="B186" s="4" t="s">
        <v>333</v>
      </c>
      <c r="C186" s="4" t="s">
        <v>348</v>
      </c>
      <c r="D186" s="6">
        <v>6</v>
      </c>
      <c r="E186" s="6">
        <v>6</v>
      </c>
      <c r="F186" s="6">
        <v>-43.015999999999998</v>
      </c>
      <c r="G186" s="6">
        <v>-13.125999999999999</v>
      </c>
      <c r="H186" s="6">
        <v>0</v>
      </c>
      <c r="I186" s="6">
        <v>0</v>
      </c>
      <c r="J186" s="6">
        <v>-0.66100000000000003</v>
      </c>
      <c r="K186" s="6">
        <v>0</v>
      </c>
      <c r="L186" s="6">
        <v>-60.453000000000003</v>
      </c>
      <c r="M186" s="6">
        <v>-3.6480000000000001</v>
      </c>
      <c r="N186" s="6">
        <v>0</v>
      </c>
      <c r="O186" s="6">
        <v>-7.0220000000000002</v>
      </c>
      <c r="P186" s="6">
        <v>-162.88200000000001</v>
      </c>
      <c r="Q186" s="6">
        <v>-8.3320000000000007</v>
      </c>
      <c r="R186" s="6">
        <v>0</v>
      </c>
      <c r="S186" s="6">
        <v>0</v>
      </c>
      <c r="T186" s="6">
        <v>-7.0000000000000001E-3</v>
      </c>
      <c r="U186" s="6">
        <v>0</v>
      </c>
      <c r="V186" s="6">
        <v>0</v>
      </c>
      <c r="W186" s="6">
        <v>-3.964</v>
      </c>
      <c r="X186" s="6">
        <v>0</v>
      </c>
      <c r="Y186" s="6">
        <v>0</v>
      </c>
      <c r="Z186" s="6">
        <v>0</v>
      </c>
      <c r="AA186" s="6">
        <v>0</v>
      </c>
      <c r="AB186" s="6">
        <v>-0.90100000000000002</v>
      </c>
      <c r="AC186" s="6">
        <v>0</v>
      </c>
      <c r="AD186" s="6">
        <v>-23.808</v>
      </c>
      <c r="AE186" s="6">
        <v>0</v>
      </c>
      <c r="AF186" s="6">
        <v>0</v>
      </c>
      <c r="AG186" s="6">
        <v>0</v>
      </c>
      <c r="AH186" s="6">
        <v>-2.0880000000000001</v>
      </c>
      <c r="AI186" s="6">
        <v>0</v>
      </c>
      <c r="AJ186" s="6">
        <v>-58.548000000000002</v>
      </c>
      <c r="AK186" s="6">
        <v>-32.466999999999999</v>
      </c>
      <c r="AL186" s="6">
        <v>0</v>
      </c>
      <c r="AM186" s="6">
        <v>-203.21899999999999</v>
      </c>
      <c r="AN186" s="6">
        <v>-62.866999999999997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-9.0999999999999998E-2</v>
      </c>
      <c r="AW186" s="6">
        <v>0</v>
      </c>
      <c r="AX186" s="6">
        <v>0</v>
      </c>
      <c r="AY186" s="6">
        <v>-9.3819999999999997</v>
      </c>
      <c r="AZ186" s="6">
        <v>0</v>
      </c>
      <c r="BA186" s="6">
        <v>-3.5999999999999997E-2</v>
      </c>
      <c r="BB186" s="6">
        <v>0</v>
      </c>
      <c r="BC186" s="6">
        <v>-0.28299999999999997</v>
      </c>
      <c r="BD186" s="6">
        <v>0</v>
      </c>
      <c r="BE186" s="6">
        <v>0</v>
      </c>
      <c r="BF186" s="6">
        <v>0</v>
      </c>
      <c r="BG186" s="22"/>
    </row>
    <row r="187" spans="1:59" ht="15.75">
      <c r="A187" s="23"/>
      <c r="B187" s="4" t="s">
        <v>335</v>
      </c>
      <c r="C187" s="4" t="s">
        <v>349</v>
      </c>
      <c r="D187" s="6">
        <v>6</v>
      </c>
      <c r="E187" s="6">
        <v>6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22"/>
    </row>
    <row r="188" spans="1:59" ht="15.75">
      <c r="A188" s="23"/>
      <c r="B188" s="4" t="s">
        <v>337</v>
      </c>
      <c r="C188" s="4" t="s">
        <v>350</v>
      </c>
      <c r="D188" s="6">
        <v>6</v>
      </c>
      <c r="E188" s="6">
        <v>6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22"/>
    </row>
    <row r="189" spans="1:59" ht="15.75">
      <c r="A189" s="23"/>
      <c r="B189" s="4" t="s">
        <v>339</v>
      </c>
      <c r="C189" s="4" t="s">
        <v>351</v>
      </c>
      <c r="D189" s="6">
        <v>6</v>
      </c>
      <c r="E189" s="6">
        <v>6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22"/>
    </row>
    <row r="190" spans="1:59" ht="15.75">
      <c r="A190" s="23"/>
      <c r="B190" s="4" t="s">
        <v>341</v>
      </c>
      <c r="C190" s="4" t="s">
        <v>352</v>
      </c>
      <c r="D190" s="6">
        <v>6</v>
      </c>
      <c r="E190" s="6">
        <v>6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22"/>
    </row>
    <row r="191" spans="1:59" ht="15.75">
      <c r="A191" s="23"/>
      <c r="B191" s="4" t="s">
        <v>353</v>
      </c>
      <c r="C191" s="4" t="s">
        <v>354</v>
      </c>
      <c r="D191" s="6">
        <v>6</v>
      </c>
      <c r="E191" s="6">
        <v>6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22"/>
    </row>
    <row r="192" spans="1:59" ht="15.75">
      <c r="A192" s="23"/>
      <c r="B192" s="4" t="s">
        <v>355</v>
      </c>
      <c r="C192" s="4" t="s">
        <v>356</v>
      </c>
      <c r="D192" s="6">
        <v>6</v>
      </c>
      <c r="E192" s="6">
        <v>6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22"/>
    </row>
    <row r="193" spans="1:59" ht="15.75">
      <c r="A193" s="23"/>
      <c r="B193" s="4" t="s">
        <v>357</v>
      </c>
      <c r="C193" s="4" t="s">
        <v>358</v>
      </c>
      <c r="D193" s="6">
        <v>6</v>
      </c>
      <c r="E193" s="6">
        <v>6</v>
      </c>
      <c r="F193" s="6">
        <v>29.86</v>
      </c>
      <c r="G193" s="6">
        <v>3.2959999999999998</v>
      </c>
      <c r="H193" s="6">
        <v>12.835000000000001</v>
      </c>
      <c r="I193" s="6">
        <v>0</v>
      </c>
      <c r="J193" s="6">
        <v>0.92400000000000004</v>
      </c>
      <c r="K193" s="6">
        <v>8.81</v>
      </c>
      <c r="L193" s="6">
        <v>3.1669999999999998</v>
      </c>
      <c r="M193" s="6">
        <v>8.6180000000000003</v>
      </c>
      <c r="N193" s="6">
        <v>0</v>
      </c>
      <c r="O193" s="6">
        <v>18.965</v>
      </c>
      <c r="P193" s="6">
        <v>12.236000000000001</v>
      </c>
      <c r="Q193" s="6">
        <v>18.257000000000001</v>
      </c>
      <c r="R193" s="6">
        <v>0</v>
      </c>
      <c r="S193" s="6">
        <v>0</v>
      </c>
      <c r="T193" s="6">
        <v>8.9999999999999993E-3</v>
      </c>
      <c r="U193" s="6">
        <v>0</v>
      </c>
      <c r="V193" s="6">
        <v>0</v>
      </c>
      <c r="W193" s="6">
        <v>1.294</v>
      </c>
      <c r="X193" s="6">
        <v>0</v>
      </c>
      <c r="Y193" s="6">
        <v>0</v>
      </c>
      <c r="Z193" s="6">
        <v>0</v>
      </c>
      <c r="AA193" s="6">
        <v>0.78800000000000003</v>
      </c>
      <c r="AB193" s="6">
        <v>2.62</v>
      </c>
      <c r="AC193" s="6">
        <v>0</v>
      </c>
      <c r="AD193" s="6">
        <v>3.7389999999999999</v>
      </c>
      <c r="AE193" s="6">
        <v>0</v>
      </c>
      <c r="AF193" s="6">
        <v>10.212999999999999</v>
      </c>
      <c r="AG193" s="6">
        <v>0</v>
      </c>
      <c r="AH193" s="6">
        <v>0.503</v>
      </c>
      <c r="AI193" s="6">
        <v>0</v>
      </c>
      <c r="AJ193" s="6">
        <v>9.9930000000000003</v>
      </c>
      <c r="AK193" s="6">
        <v>0</v>
      </c>
      <c r="AL193" s="6">
        <v>0</v>
      </c>
      <c r="AM193" s="6">
        <v>41.354999999999997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5.7000000000000002E-2</v>
      </c>
      <c r="AW193" s="6">
        <v>0</v>
      </c>
      <c r="AX193" s="6">
        <v>0</v>
      </c>
      <c r="AY193" s="6">
        <v>0</v>
      </c>
      <c r="AZ193" s="6">
        <v>0</v>
      </c>
      <c r="BA193" s="6">
        <v>5.0000000000000001E-3</v>
      </c>
      <c r="BB193" s="6">
        <v>0</v>
      </c>
      <c r="BC193" s="6">
        <v>0.40699999999999997</v>
      </c>
      <c r="BD193" s="6">
        <v>0</v>
      </c>
      <c r="BE193" s="6">
        <v>0</v>
      </c>
      <c r="BF193" s="6">
        <v>0</v>
      </c>
      <c r="BG193" s="22"/>
    </row>
    <row r="194" spans="1:59" ht="15.75">
      <c r="A194" s="23"/>
      <c r="B194" s="4" t="s">
        <v>359</v>
      </c>
      <c r="C194" s="4" t="s">
        <v>360</v>
      </c>
      <c r="D194" s="6">
        <v>6</v>
      </c>
      <c r="E194" s="6">
        <v>6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22"/>
    </row>
    <row r="195" spans="1:59" ht="15.75">
      <c r="A195" s="23"/>
      <c r="B195" s="4" t="s">
        <v>361</v>
      </c>
      <c r="C195" s="4" t="s">
        <v>362</v>
      </c>
      <c r="D195" s="6">
        <v>6</v>
      </c>
      <c r="E195" s="6">
        <v>6</v>
      </c>
      <c r="F195" s="6">
        <v>186.327</v>
      </c>
      <c r="G195" s="6">
        <v>0</v>
      </c>
      <c r="H195" s="6">
        <v>45.37</v>
      </c>
      <c r="I195" s="6">
        <v>0</v>
      </c>
      <c r="J195" s="6">
        <v>0</v>
      </c>
      <c r="K195" s="6">
        <v>78.918999999999997</v>
      </c>
      <c r="L195" s="6">
        <v>0</v>
      </c>
      <c r="M195" s="6">
        <v>0</v>
      </c>
      <c r="N195" s="6">
        <v>0</v>
      </c>
      <c r="O195" s="6">
        <v>0</v>
      </c>
      <c r="P195" s="6">
        <v>670.18</v>
      </c>
      <c r="Q195" s="6">
        <v>97.177000000000007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574.50300000000004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22"/>
    </row>
    <row r="196" spans="1:59" ht="15.75">
      <c r="A196" s="23"/>
      <c r="B196" s="4" t="s">
        <v>363</v>
      </c>
      <c r="C196" s="4" t="s">
        <v>364</v>
      </c>
      <c r="D196" s="6">
        <v>6</v>
      </c>
      <c r="E196" s="6">
        <v>6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22"/>
    </row>
    <row r="197" spans="1:59" ht="15.75">
      <c r="A197" s="23"/>
      <c r="B197" s="4" t="s">
        <v>365</v>
      </c>
      <c r="C197" s="4" t="s">
        <v>366</v>
      </c>
      <c r="D197" s="6">
        <v>6</v>
      </c>
      <c r="E197" s="6">
        <v>6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22"/>
    </row>
    <row r="198" spans="1:59" ht="15.75">
      <c r="A198" s="23"/>
      <c r="B198" s="4" t="s">
        <v>367</v>
      </c>
      <c r="C198" s="4" t="s">
        <v>368</v>
      </c>
      <c r="D198" s="6">
        <v>6</v>
      </c>
      <c r="E198" s="6">
        <v>6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22"/>
    </row>
    <row r="199" spans="1:59" ht="15.75">
      <c r="A199" s="23"/>
      <c r="B199" s="4" t="s">
        <v>369</v>
      </c>
      <c r="C199" s="4" t="s">
        <v>370</v>
      </c>
      <c r="D199" s="6">
        <v>6</v>
      </c>
      <c r="E199" s="6">
        <v>6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22"/>
    </row>
    <row r="200" spans="1:59" ht="15.75">
      <c r="A200" s="23"/>
      <c r="B200" s="4" t="s">
        <v>371</v>
      </c>
      <c r="C200" s="4" t="s">
        <v>372</v>
      </c>
      <c r="D200" s="6">
        <v>6</v>
      </c>
      <c r="E200" s="6">
        <v>6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22"/>
    </row>
    <row r="201" spans="1:59" ht="15.75">
      <c r="A201" s="23"/>
      <c r="B201" s="4" t="s">
        <v>373</v>
      </c>
      <c r="C201" s="4" t="s">
        <v>374</v>
      </c>
      <c r="D201" s="6">
        <v>3</v>
      </c>
      <c r="E201" s="6">
        <v>6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22"/>
    </row>
    <row r="202" spans="1:59" ht="15.75">
      <c r="A202" s="23"/>
      <c r="B202" s="4" t="s">
        <v>375</v>
      </c>
      <c r="C202" s="4" t="s">
        <v>376</v>
      </c>
      <c r="D202" s="6">
        <v>6</v>
      </c>
      <c r="E202" s="6">
        <v>6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22"/>
    </row>
    <row r="203" spans="1:59" ht="15.75">
      <c r="A203" s="23"/>
      <c r="B203" s="4" t="s">
        <v>377</v>
      </c>
      <c r="C203" s="4" t="s">
        <v>378</v>
      </c>
      <c r="D203" s="6">
        <v>6</v>
      </c>
      <c r="E203" s="6">
        <v>6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22"/>
    </row>
    <row r="204" spans="1:59" ht="15.75">
      <c r="A204" s="23"/>
      <c r="B204" s="4" t="s">
        <v>379</v>
      </c>
      <c r="C204" s="4" t="s">
        <v>380</v>
      </c>
      <c r="D204" s="6">
        <v>6</v>
      </c>
      <c r="E204" s="6">
        <v>6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22"/>
    </row>
    <row r="205" spans="1:59" ht="15.75">
      <c r="A205" s="23"/>
      <c r="B205" s="4" t="s">
        <v>381</v>
      </c>
      <c r="C205" s="4" t="s">
        <v>382</v>
      </c>
      <c r="D205" s="6">
        <v>6</v>
      </c>
      <c r="E205" s="6">
        <v>6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22"/>
    </row>
    <row r="206" spans="1:59" ht="15.75">
      <c r="A206" s="23"/>
      <c r="B206" s="4" t="s">
        <v>383</v>
      </c>
      <c r="C206" s="4" t="s">
        <v>384</v>
      </c>
      <c r="D206" s="6">
        <v>6</v>
      </c>
      <c r="E206" s="6">
        <v>6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22"/>
    </row>
    <row r="207" spans="1:59" ht="15.75">
      <c r="A207" s="23"/>
      <c r="B207" s="4" t="s">
        <v>385</v>
      </c>
      <c r="C207" s="4" t="s">
        <v>386</v>
      </c>
      <c r="D207" s="6">
        <v>6</v>
      </c>
      <c r="E207" s="6">
        <v>6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22"/>
    </row>
    <row r="208" spans="1:59" ht="15.75">
      <c r="A208" s="23"/>
      <c r="B208" s="4" t="s">
        <v>387</v>
      </c>
      <c r="C208" s="4" t="s">
        <v>388</v>
      </c>
      <c r="D208" s="6">
        <v>6</v>
      </c>
      <c r="E208" s="6">
        <v>6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22"/>
    </row>
    <row r="209" spans="1:59" ht="15.75">
      <c r="A209" s="23"/>
      <c r="B209" s="4" t="s">
        <v>389</v>
      </c>
      <c r="C209" s="4" t="s">
        <v>390</v>
      </c>
      <c r="D209" s="6">
        <v>6</v>
      </c>
      <c r="E209" s="6">
        <v>6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22"/>
    </row>
    <row r="210" spans="1:59" ht="15.75">
      <c r="A210" s="23"/>
      <c r="B210" s="4" t="s">
        <v>391</v>
      </c>
      <c r="C210" s="4" t="s">
        <v>392</v>
      </c>
      <c r="D210" s="6">
        <v>6</v>
      </c>
      <c r="E210" s="6">
        <v>6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22"/>
    </row>
    <row r="211" spans="1:59" ht="15.75">
      <c r="A211" s="23"/>
      <c r="B211" s="4" t="s">
        <v>393</v>
      </c>
      <c r="C211" s="4" t="s">
        <v>394</v>
      </c>
      <c r="D211" s="6">
        <v>6</v>
      </c>
      <c r="E211" s="6">
        <v>6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22"/>
    </row>
    <row r="212" spans="1:59" ht="15.75">
      <c r="A212" s="23"/>
      <c r="B212" s="4" t="s">
        <v>395</v>
      </c>
      <c r="C212" s="4" t="s">
        <v>396</v>
      </c>
      <c r="D212" s="6">
        <v>6</v>
      </c>
      <c r="E212" s="6">
        <v>6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22"/>
    </row>
    <row r="213" spans="1:59" ht="15.75">
      <c r="A213" s="23"/>
      <c r="B213" s="4" t="s">
        <v>353</v>
      </c>
      <c r="C213" s="4" t="s">
        <v>397</v>
      </c>
      <c r="D213" s="6">
        <v>6</v>
      </c>
      <c r="E213" s="6">
        <v>6</v>
      </c>
      <c r="F213" s="6">
        <v>1050.79</v>
      </c>
      <c r="G213" s="6">
        <v>145.364</v>
      </c>
      <c r="H213" s="6">
        <v>272.57600000000002</v>
      </c>
      <c r="I213" s="6">
        <v>1.4370000000000001</v>
      </c>
      <c r="J213" s="6">
        <v>37.034999999999997</v>
      </c>
      <c r="K213" s="6">
        <v>142.69800000000001</v>
      </c>
      <c r="L213" s="6">
        <v>1211.723</v>
      </c>
      <c r="M213" s="6">
        <v>106.76600000000001</v>
      </c>
      <c r="N213" s="6">
        <v>0</v>
      </c>
      <c r="O213" s="6">
        <v>556.51199999999994</v>
      </c>
      <c r="P213" s="6">
        <v>1262.54</v>
      </c>
      <c r="Q213" s="6">
        <v>572.50400000000002</v>
      </c>
      <c r="R213" s="6">
        <v>0</v>
      </c>
      <c r="S213" s="6">
        <v>0</v>
      </c>
      <c r="T213" s="6">
        <v>7.2190000000000003</v>
      </c>
      <c r="U213" s="6">
        <v>0</v>
      </c>
      <c r="V213" s="6">
        <v>0.21199999999999999</v>
      </c>
      <c r="W213" s="6">
        <v>0</v>
      </c>
      <c r="X213" s="6">
        <v>0</v>
      </c>
      <c r="Y213" s="6">
        <v>0</v>
      </c>
      <c r="Z213" s="6">
        <v>0</v>
      </c>
      <c r="AA213" s="6">
        <v>15.592000000000001</v>
      </c>
      <c r="AB213" s="6">
        <v>51.851999999999997</v>
      </c>
      <c r="AC213" s="6">
        <v>0</v>
      </c>
      <c r="AD213" s="6">
        <v>418.529</v>
      </c>
      <c r="AE213" s="6">
        <v>0</v>
      </c>
      <c r="AF213" s="6">
        <v>144.4</v>
      </c>
      <c r="AG213" s="6">
        <v>0</v>
      </c>
      <c r="AH213" s="6">
        <v>24.445</v>
      </c>
      <c r="AI213" s="6">
        <v>0</v>
      </c>
      <c r="AJ213" s="6">
        <v>1293</v>
      </c>
      <c r="AK213" s="6">
        <v>0</v>
      </c>
      <c r="AL213" s="6">
        <v>0</v>
      </c>
      <c r="AM213" s="6">
        <v>2102.3240000000001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22"/>
    </row>
    <row r="214" spans="1:59" ht="15.75">
      <c r="A214" s="23"/>
      <c r="B214" s="4" t="s">
        <v>355</v>
      </c>
      <c r="C214" s="4" t="s">
        <v>398</v>
      </c>
      <c r="D214" s="6">
        <v>6</v>
      </c>
      <c r="E214" s="6">
        <v>6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0</v>
      </c>
      <c r="BG214" s="22"/>
    </row>
    <row r="215" spans="1:59" ht="15.75">
      <c r="A215" s="23"/>
      <c r="B215" s="4" t="s">
        <v>357</v>
      </c>
      <c r="C215" s="4" t="s">
        <v>399</v>
      </c>
      <c r="D215" s="6">
        <v>6</v>
      </c>
      <c r="E215" s="6">
        <v>6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22"/>
    </row>
    <row r="216" spans="1:59" ht="15.75">
      <c r="A216" s="23"/>
      <c r="B216" s="4" t="s">
        <v>359</v>
      </c>
      <c r="C216" s="4" t="s">
        <v>400</v>
      </c>
      <c r="D216" s="6">
        <v>6</v>
      </c>
      <c r="E216" s="6">
        <v>6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22"/>
    </row>
    <row r="217" spans="1:59" ht="15.75">
      <c r="A217" s="23"/>
      <c r="B217" s="4" t="s">
        <v>361</v>
      </c>
      <c r="C217" s="4" t="s">
        <v>401</v>
      </c>
      <c r="D217" s="6">
        <v>6</v>
      </c>
      <c r="E217" s="6">
        <v>6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22"/>
    </row>
    <row r="218" spans="1:59" ht="15.75">
      <c r="A218" s="23"/>
      <c r="B218" s="4" t="s">
        <v>363</v>
      </c>
      <c r="C218" s="4" t="s">
        <v>402</v>
      </c>
      <c r="D218" s="6">
        <v>6</v>
      </c>
      <c r="E218" s="6">
        <v>6</v>
      </c>
      <c r="F218" s="6">
        <v>8.0000000000000002E-3</v>
      </c>
      <c r="G218" s="6">
        <v>0</v>
      </c>
      <c r="H218" s="6">
        <v>0</v>
      </c>
      <c r="I218" s="6">
        <v>0</v>
      </c>
      <c r="J218" s="6">
        <v>1.0999999999999999E-2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5.6000000000000001E-2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0.14299999999999999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22"/>
    </row>
    <row r="219" spans="1:59" ht="15.75">
      <c r="A219" s="23"/>
      <c r="B219" s="4" t="s">
        <v>365</v>
      </c>
      <c r="C219" s="4" t="s">
        <v>403</v>
      </c>
      <c r="D219" s="6">
        <v>6</v>
      </c>
      <c r="E219" s="6">
        <v>6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22"/>
    </row>
    <row r="220" spans="1:59" ht="15.75">
      <c r="A220" s="23"/>
      <c r="B220" s="4" t="s">
        <v>367</v>
      </c>
      <c r="C220" s="4" t="s">
        <v>404</v>
      </c>
      <c r="D220" s="6">
        <v>6</v>
      </c>
      <c r="E220" s="6">
        <v>6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22"/>
    </row>
    <row r="221" spans="1:59" ht="15.75">
      <c r="A221" s="23"/>
      <c r="B221" s="4" t="s">
        <v>369</v>
      </c>
      <c r="C221" s="4" t="s">
        <v>405</v>
      </c>
      <c r="D221" s="6">
        <v>6</v>
      </c>
      <c r="E221" s="6">
        <v>6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22"/>
    </row>
    <row r="222" spans="1:59" ht="15.75">
      <c r="A222" s="23"/>
      <c r="B222" s="4" t="s">
        <v>371</v>
      </c>
      <c r="C222" s="4" t="s">
        <v>406</v>
      </c>
      <c r="D222" s="6">
        <v>6</v>
      </c>
      <c r="E222" s="6">
        <v>6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22"/>
    </row>
    <row r="223" spans="1:59" ht="15.75">
      <c r="A223" s="23"/>
      <c r="B223" s="4" t="s">
        <v>373</v>
      </c>
      <c r="C223" s="4" t="s">
        <v>407</v>
      </c>
      <c r="D223" s="6">
        <v>6</v>
      </c>
      <c r="E223" s="6">
        <v>6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22"/>
    </row>
    <row r="224" spans="1:59" ht="15.75">
      <c r="A224" s="23"/>
      <c r="B224" s="4" t="s">
        <v>375</v>
      </c>
      <c r="C224" s="4" t="s">
        <v>408</v>
      </c>
      <c r="D224" s="6">
        <v>6</v>
      </c>
      <c r="E224" s="6">
        <v>6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22"/>
    </row>
    <row r="225" spans="1:59" ht="15.75">
      <c r="A225" s="23"/>
      <c r="B225" s="4" t="s">
        <v>377</v>
      </c>
      <c r="C225" s="4" t="s">
        <v>409</v>
      </c>
      <c r="D225" s="6">
        <v>6</v>
      </c>
      <c r="E225" s="6">
        <v>6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22"/>
    </row>
    <row r="226" spans="1:59" ht="15.75">
      <c r="A226" s="23"/>
      <c r="B226" s="4" t="s">
        <v>379</v>
      </c>
      <c r="C226" s="4" t="s">
        <v>410</v>
      </c>
      <c r="D226" s="6">
        <v>6</v>
      </c>
      <c r="E226" s="6">
        <v>6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22"/>
    </row>
    <row r="227" spans="1:59" ht="15.75">
      <c r="A227" s="23"/>
      <c r="B227" s="4" t="s">
        <v>381</v>
      </c>
      <c r="C227" s="4" t="s">
        <v>411</v>
      </c>
      <c r="D227" s="6">
        <v>6</v>
      </c>
      <c r="E227" s="6">
        <v>6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22"/>
    </row>
    <row r="228" spans="1:59" ht="15.75">
      <c r="A228" s="23"/>
      <c r="B228" s="4" t="s">
        <v>383</v>
      </c>
      <c r="C228" s="4" t="s">
        <v>412</v>
      </c>
      <c r="D228" s="6">
        <v>6</v>
      </c>
      <c r="E228" s="6">
        <v>6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22"/>
    </row>
    <row r="229" spans="1:59" ht="15.75">
      <c r="A229" s="23"/>
      <c r="B229" s="4" t="s">
        <v>385</v>
      </c>
      <c r="C229" s="4" t="s">
        <v>413</v>
      </c>
      <c r="D229" s="6">
        <v>6</v>
      </c>
      <c r="E229" s="6">
        <v>6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22"/>
    </row>
    <row r="230" spans="1:59" ht="15.75">
      <c r="A230" s="23"/>
      <c r="B230" s="4" t="s">
        <v>387</v>
      </c>
      <c r="C230" s="4" t="s">
        <v>414</v>
      </c>
      <c r="D230" s="6">
        <v>6</v>
      </c>
      <c r="E230" s="6">
        <v>6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22"/>
    </row>
    <row r="231" spans="1:59" ht="15.75">
      <c r="A231" s="23"/>
      <c r="B231" s="4" t="s">
        <v>389</v>
      </c>
      <c r="C231" s="4" t="s">
        <v>415</v>
      </c>
      <c r="D231" s="6">
        <v>6</v>
      </c>
      <c r="E231" s="6">
        <v>6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22"/>
    </row>
    <row r="232" spans="1:59" ht="15.75">
      <c r="A232" s="23"/>
      <c r="B232" s="4" t="s">
        <v>391</v>
      </c>
      <c r="C232" s="4" t="s">
        <v>416</v>
      </c>
      <c r="D232" s="6">
        <v>6</v>
      </c>
      <c r="E232" s="6">
        <v>6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22"/>
    </row>
    <row r="233" spans="1:59" ht="15.75">
      <c r="A233" s="23"/>
      <c r="B233" s="4" t="s">
        <v>393</v>
      </c>
      <c r="C233" s="4" t="s">
        <v>417</v>
      </c>
      <c r="D233" s="6">
        <v>6</v>
      </c>
      <c r="E233" s="6">
        <v>6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22"/>
    </row>
    <row r="234" spans="1:59" ht="15.75">
      <c r="A234" s="23"/>
      <c r="B234" s="4" t="s">
        <v>395</v>
      </c>
      <c r="C234" s="4" t="s">
        <v>418</v>
      </c>
      <c r="D234" s="6">
        <v>6</v>
      </c>
      <c r="E234" s="6">
        <v>6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22"/>
    </row>
    <row r="235" spans="1:59" ht="15.75">
      <c r="A235" s="23"/>
      <c r="B235" s="4" t="s">
        <v>419</v>
      </c>
      <c r="C235" s="4" t="s">
        <v>420</v>
      </c>
      <c r="D235" s="6">
        <v>6</v>
      </c>
      <c r="E235" s="6">
        <v>6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22"/>
    </row>
    <row r="236" spans="1:59" ht="15.75">
      <c r="A236" s="23"/>
      <c r="B236" s="4" t="s">
        <v>421</v>
      </c>
      <c r="C236" s="4" t="s">
        <v>422</v>
      </c>
      <c r="D236" s="6">
        <v>6</v>
      </c>
      <c r="E236" s="6">
        <v>6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22"/>
    </row>
    <row r="237" spans="1:59" ht="15.75">
      <c r="A237" s="23"/>
      <c r="B237" s="4" t="s">
        <v>423</v>
      </c>
      <c r="C237" s="4" t="s">
        <v>424</v>
      </c>
      <c r="D237" s="6">
        <v>6</v>
      </c>
      <c r="E237" s="6">
        <v>6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22"/>
    </row>
    <row r="238" spans="1:59" ht="15.75">
      <c r="A238" s="23"/>
      <c r="B238" s="4" t="s">
        <v>425</v>
      </c>
      <c r="C238" s="4" t="s">
        <v>426</v>
      </c>
      <c r="D238" s="6">
        <v>6</v>
      </c>
      <c r="E238" s="6">
        <v>6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22"/>
    </row>
    <row r="239" spans="1:59" ht="15.75">
      <c r="A239" s="23"/>
      <c r="B239" s="4" t="s">
        <v>427</v>
      </c>
      <c r="C239" s="4" t="s">
        <v>428</v>
      </c>
      <c r="D239" s="6">
        <v>6</v>
      </c>
      <c r="E239" s="6">
        <v>6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22"/>
    </row>
    <row r="240" spans="1:59" ht="15.75">
      <c r="A240" s="23"/>
      <c r="B240" s="4" t="s">
        <v>429</v>
      </c>
      <c r="C240" s="4" t="s">
        <v>430</v>
      </c>
      <c r="D240" s="6">
        <v>6</v>
      </c>
      <c r="E240" s="6">
        <v>6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22"/>
    </row>
    <row r="241" spans="1:59" ht="15.75">
      <c r="A241" s="23"/>
      <c r="B241" s="4" t="s">
        <v>431</v>
      </c>
      <c r="C241" s="4" t="s">
        <v>432</v>
      </c>
      <c r="D241" s="6">
        <v>6</v>
      </c>
      <c r="E241" s="6">
        <v>6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22"/>
    </row>
    <row r="242" spans="1:59" ht="15.75">
      <c r="A242" s="23"/>
      <c r="B242" s="4" t="s">
        <v>433</v>
      </c>
      <c r="C242" s="4" t="s">
        <v>434</v>
      </c>
      <c r="D242" s="6">
        <v>6</v>
      </c>
      <c r="E242" s="6">
        <v>6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22"/>
    </row>
    <row r="243" spans="1:59" ht="15.75">
      <c r="A243" s="23"/>
      <c r="B243" s="4" t="s">
        <v>435</v>
      </c>
      <c r="C243" s="4" t="s">
        <v>436</v>
      </c>
      <c r="D243" s="6">
        <v>6</v>
      </c>
      <c r="E243" s="6">
        <v>6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22"/>
    </row>
    <row r="244" spans="1:59" ht="15.75">
      <c r="A244" s="23"/>
      <c r="B244" s="4" t="s">
        <v>437</v>
      </c>
      <c r="C244" s="4" t="s">
        <v>438</v>
      </c>
      <c r="D244" s="6">
        <v>6</v>
      </c>
      <c r="E244" s="6">
        <v>6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22"/>
    </row>
    <row r="245" spans="1:59" ht="15.75">
      <c r="A245" s="23"/>
      <c r="B245" s="4" t="s">
        <v>439</v>
      </c>
      <c r="C245" s="4" t="s">
        <v>440</v>
      </c>
      <c r="D245" s="6">
        <v>6</v>
      </c>
      <c r="E245" s="6">
        <v>6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22"/>
    </row>
    <row r="246" spans="1:59" ht="15.75">
      <c r="A246" s="23"/>
      <c r="B246" s="4" t="s">
        <v>441</v>
      </c>
      <c r="C246" s="4" t="s">
        <v>442</v>
      </c>
      <c r="D246" s="6">
        <v>6</v>
      </c>
      <c r="E246" s="6">
        <v>6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22"/>
    </row>
    <row r="247" spans="1:59" ht="15.75">
      <c r="A247" s="23"/>
      <c r="B247" s="4" t="s">
        <v>443</v>
      </c>
      <c r="C247" s="4" t="s">
        <v>444</v>
      </c>
      <c r="D247" s="6">
        <v>6</v>
      </c>
      <c r="E247" s="6">
        <v>6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22"/>
    </row>
    <row r="248" spans="1:59" ht="15.75">
      <c r="A248" s="23"/>
      <c r="B248" s="4" t="s">
        <v>445</v>
      </c>
      <c r="C248" s="4" t="s">
        <v>446</v>
      </c>
      <c r="D248" s="6">
        <v>6</v>
      </c>
      <c r="E248" s="6">
        <v>6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22"/>
    </row>
    <row r="249" spans="1:59" ht="15.75">
      <c r="A249" s="23"/>
      <c r="B249" s="4" t="s">
        <v>447</v>
      </c>
      <c r="C249" s="4" t="s">
        <v>448</v>
      </c>
      <c r="D249" s="6">
        <v>6</v>
      </c>
      <c r="E249" s="6">
        <v>6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22"/>
    </row>
    <row r="250" spans="1:59" ht="15.75">
      <c r="A250" s="23"/>
      <c r="B250" s="4" t="s">
        <v>449</v>
      </c>
      <c r="C250" s="4" t="s">
        <v>450</v>
      </c>
      <c r="D250" s="6">
        <v>6</v>
      </c>
      <c r="E250" s="6">
        <v>6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0</v>
      </c>
      <c r="BF250" s="6">
        <v>0</v>
      </c>
      <c r="BG250" s="22"/>
    </row>
    <row r="251" spans="1:59" ht="15.75">
      <c r="A251" s="23"/>
      <c r="B251" s="4" t="s">
        <v>451</v>
      </c>
      <c r="C251" s="4" t="s">
        <v>452</v>
      </c>
      <c r="D251" s="6">
        <v>6</v>
      </c>
      <c r="E251" s="6">
        <v>6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22"/>
    </row>
    <row r="252" spans="1:59" ht="15.75">
      <c r="A252" s="23"/>
      <c r="B252" s="4" t="s">
        <v>453</v>
      </c>
      <c r="C252" s="4" t="s">
        <v>454</v>
      </c>
      <c r="D252" s="6">
        <v>6</v>
      </c>
      <c r="E252" s="6">
        <v>6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22"/>
    </row>
    <row r="253" spans="1:59" ht="15.75">
      <c r="A253" s="23"/>
      <c r="B253" s="4" t="s">
        <v>455</v>
      </c>
      <c r="C253" s="4" t="s">
        <v>456</v>
      </c>
      <c r="D253" s="6">
        <v>6</v>
      </c>
      <c r="E253" s="6">
        <v>6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22"/>
    </row>
    <row r="254" spans="1:59" ht="15.75">
      <c r="A254" s="23"/>
      <c r="B254" s="4" t="s">
        <v>457</v>
      </c>
      <c r="C254" s="4" t="s">
        <v>458</v>
      </c>
      <c r="D254" s="6">
        <v>6</v>
      </c>
      <c r="E254" s="6">
        <v>6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22"/>
    </row>
    <row r="255" spans="1:59" ht="15.75">
      <c r="A255" s="23"/>
      <c r="B255" s="4" t="s">
        <v>459</v>
      </c>
      <c r="C255" s="4" t="s">
        <v>460</v>
      </c>
      <c r="D255" s="6">
        <v>6</v>
      </c>
      <c r="E255" s="6">
        <v>6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22"/>
    </row>
    <row r="256" spans="1:59" ht="15.75">
      <c r="A256" s="23"/>
      <c r="B256" s="4" t="s">
        <v>461</v>
      </c>
      <c r="C256" s="4" t="s">
        <v>462</v>
      </c>
      <c r="D256" s="6">
        <v>6</v>
      </c>
      <c r="E256" s="6">
        <v>6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515.38699999999994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404.38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22"/>
    </row>
    <row r="257" spans="1:59" ht="15.75">
      <c r="A257" s="23"/>
      <c r="B257" s="4" t="s">
        <v>419</v>
      </c>
      <c r="C257" s="4" t="s">
        <v>463</v>
      </c>
      <c r="D257" s="6">
        <v>6</v>
      </c>
      <c r="E257" s="6">
        <v>6</v>
      </c>
      <c r="F257" s="6">
        <v>0</v>
      </c>
      <c r="G257" s="6">
        <v>0</v>
      </c>
      <c r="H257" s="6">
        <v>0</v>
      </c>
      <c r="I257" s="6">
        <v>0</v>
      </c>
      <c r="J257" s="6">
        <v>7.0000000000000001E-3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3.9E-2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4.4999999999999998E-2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22"/>
    </row>
    <row r="258" spans="1:59" ht="15.75">
      <c r="A258" s="23"/>
      <c r="B258" s="4" t="s">
        <v>421</v>
      </c>
      <c r="C258" s="4" t="s">
        <v>464</v>
      </c>
      <c r="D258" s="6">
        <v>6</v>
      </c>
      <c r="E258" s="6">
        <v>6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22"/>
    </row>
    <row r="259" spans="1:59" ht="15.75">
      <c r="A259" s="23"/>
      <c r="B259" s="4" t="s">
        <v>423</v>
      </c>
      <c r="C259" s="4" t="s">
        <v>465</v>
      </c>
      <c r="D259" s="6">
        <v>6</v>
      </c>
      <c r="E259" s="6">
        <v>6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22"/>
    </row>
    <row r="260" spans="1:59" ht="15.75">
      <c r="A260" s="23"/>
      <c r="B260" s="4" t="s">
        <v>425</v>
      </c>
      <c r="C260" s="4" t="s">
        <v>466</v>
      </c>
      <c r="D260" s="6">
        <v>6</v>
      </c>
      <c r="E260" s="6">
        <v>6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22"/>
    </row>
    <row r="261" spans="1:59" ht="15.75">
      <c r="A261" s="23"/>
      <c r="B261" s="4" t="s">
        <v>427</v>
      </c>
      <c r="C261" s="4" t="s">
        <v>467</v>
      </c>
      <c r="D261" s="6">
        <v>6</v>
      </c>
      <c r="E261" s="6">
        <v>6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22"/>
    </row>
    <row r="262" spans="1:59" ht="15.75">
      <c r="A262" s="23"/>
      <c r="B262" s="4" t="s">
        <v>429</v>
      </c>
      <c r="C262" s="4" t="s">
        <v>468</v>
      </c>
      <c r="D262" s="6">
        <v>6</v>
      </c>
      <c r="E262" s="6">
        <v>6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22"/>
    </row>
    <row r="263" spans="1:59" ht="15.75">
      <c r="A263" s="23"/>
      <c r="B263" s="4" t="s">
        <v>431</v>
      </c>
      <c r="C263" s="4" t="s">
        <v>469</v>
      </c>
      <c r="D263" s="6">
        <v>6</v>
      </c>
      <c r="E263" s="6">
        <v>6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22"/>
    </row>
    <row r="264" spans="1:59" ht="15.75">
      <c r="A264" s="23"/>
      <c r="B264" s="4" t="s">
        <v>433</v>
      </c>
      <c r="C264" s="4" t="s">
        <v>470</v>
      </c>
      <c r="D264" s="6">
        <v>6</v>
      </c>
      <c r="E264" s="6">
        <v>6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22"/>
    </row>
    <row r="265" spans="1:59" ht="15.75">
      <c r="A265" s="23"/>
      <c r="B265" s="4" t="s">
        <v>435</v>
      </c>
      <c r="C265" s="4" t="s">
        <v>471</v>
      </c>
      <c r="D265" s="6">
        <v>6</v>
      </c>
      <c r="E265" s="6">
        <v>6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22"/>
    </row>
    <row r="266" spans="1:59" ht="15.75">
      <c r="A266" s="23"/>
      <c r="B266" s="4" t="s">
        <v>437</v>
      </c>
      <c r="C266" s="4" t="s">
        <v>472</v>
      </c>
      <c r="D266" s="6">
        <v>6</v>
      </c>
      <c r="E266" s="6">
        <v>6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22"/>
    </row>
    <row r="267" spans="1:59" ht="15.75">
      <c r="A267" s="23"/>
      <c r="B267" s="4" t="s">
        <v>439</v>
      </c>
      <c r="C267" s="4" t="s">
        <v>473</v>
      </c>
      <c r="D267" s="6">
        <v>6</v>
      </c>
      <c r="E267" s="6">
        <v>6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>
        <v>0</v>
      </c>
      <c r="BF267" s="6">
        <v>0</v>
      </c>
      <c r="BG267" s="22"/>
    </row>
    <row r="268" spans="1:59" ht="15.75">
      <c r="A268" s="23"/>
      <c r="B268" s="4" t="s">
        <v>441</v>
      </c>
      <c r="C268" s="4" t="s">
        <v>474</v>
      </c>
      <c r="D268" s="6">
        <v>6</v>
      </c>
      <c r="E268" s="6">
        <v>6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22"/>
    </row>
    <row r="269" spans="1:59" ht="15.75">
      <c r="A269" s="23"/>
      <c r="B269" s="4" t="s">
        <v>443</v>
      </c>
      <c r="C269" s="4" t="s">
        <v>475</v>
      </c>
      <c r="D269" s="6">
        <v>6</v>
      </c>
      <c r="E269" s="6">
        <v>6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22"/>
    </row>
    <row r="270" spans="1:59" ht="15.75">
      <c r="A270" s="23"/>
      <c r="B270" s="4" t="s">
        <v>445</v>
      </c>
      <c r="C270" s="4" t="s">
        <v>476</v>
      </c>
      <c r="D270" s="6">
        <v>6</v>
      </c>
      <c r="E270" s="6">
        <v>6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22"/>
    </row>
    <row r="271" spans="1:59" ht="15.75">
      <c r="A271" s="23"/>
      <c r="B271" s="4" t="s">
        <v>447</v>
      </c>
      <c r="C271" s="4" t="s">
        <v>477</v>
      </c>
      <c r="D271" s="6">
        <v>6</v>
      </c>
      <c r="E271" s="6">
        <v>6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22"/>
    </row>
    <row r="272" spans="1:59" ht="15.75">
      <c r="A272" s="23"/>
      <c r="B272" s="4" t="s">
        <v>449</v>
      </c>
      <c r="C272" s="4" t="s">
        <v>478</v>
      </c>
      <c r="D272" s="6">
        <v>6</v>
      </c>
      <c r="E272" s="6">
        <v>6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22"/>
    </row>
    <row r="273" spans="1:59" ht="15.75">
      <c r="A273" s="23"/>
      <c r="B273" s="4" t="s">
        <v>451</v>
      </c>
      <c r="C273" s="4" t="s">
        <v>479</v>
      </c>
      <c r="D273" s="6">
        <v>6</v>
      </c>
      <c r="E273" s="6">
        <v>6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22"/>
    </row>
    <row r="274" spans="1:59" ht="15.75">
      <c r="A274" s="23"/>
      <c r="B274" s="4" t="s">
        <v>453</v>
      </c>
      <c r="C274" s="4" t="s">
        <v>480</v>
      </c>
      <c r="D274" s="6">
        <v>6</v>
      </c>
      <c r="E274" s="6">
        <v>6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22"/>
    </row>
    <row r="275" spans="1:59" ht="15.75">
      <c r="A275" s="23"/>
      <c r="B275" s="4" t="s">
        <v>455</v>
      </c>
      <c r="C275" s="4" t="s">
        <v>481</v>
      </c>
      <c r="D275" s="6">
        <v>6</v>
      </c>
      <c r="E275" s="6">
        <v>6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22"/>
    </row>
    <row r="276" spans="1:59" ht="15.75">
      <c r="A276" s="23"/>
      <c r="B276" s="4" t="s">
        <v>457</v>
      </c>
      <c r="C276" s="4" t="s">
        <v>482</v>
      </c>
      <c r="D276" s="6">
        <v>6</v>
      </c>
      <c r="E276" s="6">
        <v>6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22"/>
    </row>
    <row r="277" spans="1:59" ht="15.75">
      <c r="A277" s="23"/>
      <c r="B277" s="4" t="s">
        <v>459</v>
      </c>
      <c r="C277" s="4" t="s">
        <v>483</v>
      </c>
      <c r="D277" s="6">
        <v>6</v>
      </c>
      <c r="E277" s="6">
        <v>6</v>
      </c>
      <c r="F277" s="6">
        <v>5697.2669999999998</v>
      </c>
      <c r="G277" s="6">
        <v>1626.538</v>
      </c>
      <c r="H277" s="6">
        <v>416.73200000000003</v>
      </c>
      <c r="I277" s="6">
        <v>749.298</v>
      </c>
      <c r="J277" s="6">
        <v>270.05599999999998</v>
      </c>
      <c r="K277" s="6">
        <v>1282.1479999999999</v>
      </c>
      <c r="L277" s="6">
        <v>930.12699999999995</v>
      </c>
      <c r="M277" s="6">
        <v>1408.2940000000001</v>
      </c>
      <c r="N277" s="6">
        <v>0</v>
      </c>
      <c r="O277" s="6">
        <v>4860.3829999999998</v>
      </c>
      <c r="P277" s="6">
        <v>9054.4619999999995</v>
      </c>
      <c r="Q277" s="6">
        <v>5116.402</v>
      </c>
      <c r="R277" s="6">
        <v>0</v>
      </c>
      <c r="S277" s="6">
        <v>0</v>
      </c>
      <c r="T277" s="6">
        <v>7.0000000000000001E-3</v>
      </c>
      <c r="U277" s="6">
        <v>0</v>
      </c>
      <c r="V277" s="6">
        <v>0</v>
      </c>
      <c r="W277" s="6">
        <v>648.13199999999995</v>
      </c>
      <c r="X277" s="6">
        <v>0</v>
      </c>
      <c r="Y277" s="6">
        <v>0</v>
      </c>
      <c r="Z277" s="6">
        <v>0</v>
      </c>
      <c r="AA277" s="6">
        <v>114.331</v>
      </c>
      <c r="AB277" s="6">
        <v>364.40899999999999</v>
      </c>
      <c r="AC277" s="6">
        <v>0</v>
      </c>
      <c r="AD277" s="6">
        <v>443.72300000000001</v>
      </c>
      <c r="AE277" s="6">
        <v>0</v>
      </c>
      <c r="AF277" s="6">
        <v>2567.3380000000002</v>
      </c>
      <c r="AG277" s="6">
        <v>0</v>
      </c>
      <c r="AH277" s="6">
        <v>288.00700000000001</v>
      </c>
      <c r="AI277" s="6">
        <v>0</v>
      </c>
      <c r="AJ277" s="6">
        <v>7.9770000000000003</v>
      </c>
      <c r="AK277" s="6">
        <v>30.751999999999999</v>
      </c>
      <c r="AL277" s="6">
        <v>0</v>
      </c>
      <c r="AM277" s="6">
        <v>19601.112000000001</v>
      </c>
      <c r="AN277" s="6">
        <v>52.459000000000003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33.758000000000003</v>
      </c>
      <c r="AW277" s="6">
        <v>0</v>
      </c>
      <c r="AX277" s="6">
        <v>0</v>
      </c>
      <c r="AY277" s="6">
        <v>4.3120000000000003</v>
      </c>
      <c r="AZ277" s="6">
        <v>0</v>
      </c>
      <c r="BA277" s="6">
        <v>2.3439999999999999</v>
      </c>
      <c r="BB277" s="6">
        <v>0</v>
      </c>
      <c r="BC277" s="6">
        <v>0.32800000000000001</v>
      </c>
      <c r="BD277" s="6">
        <v>0</v>
      </c>
      <c r="BE277" s="6">
        <v>0</v>
      </c>
      <c r="BF277" s="6">
        <v>2190.5770000000002</v>
      </c>
      <c r="BG277" s="22"/>
    </row>
    <row r="278" spans="1:59" ht="15.75">
      <c r="A278" s="23"/>
      <c r="B278" s="4" t="s">
        <v>461</v>
      </c>
      <c r="C278" s="4" t="s">
        <v>484</v>
      </c>
      <c r="D278" s="6">
        <v>6</v>
      </c>
      <c r="E278" s="6">
        <v>6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22"/>
    </row>
    <row r="279" spans="1:59" ht="15.75">
      <c r="A279" s="23"/>
      <c r="B279" s="4" t="s">
        <v>485</v>
      </c>
      <c r="C279" s="4" t="s">
        <v>486</v>
      </c>
      <c r="D279" s="6">
        <v>5</v>
      </c>
      <c r="E279" s="6">
        <v>5</v>
      </c>
      <c r="F279" s="6">
        <v>95217.490999999995</v>
      </c>
      <c r="G279" s="6">
        <v>0</v>
      </c>
      <c r="H279" s="6">
        <v>17364.723000000002</v>
      </c>
      <c r="I279" s="6">
        <v>528.87</v>
      </c>
      <c r="J279" s="6">
        <v>0</v>
      </c>
      <c r="K279" s="6">
        <v>24831.23</v>
      </c>
      <c r="L279" s="6">
        <v>150414.53700000001</v>
      </c>
      <c r="M279" s="6">
        <v>32161.705999999998</v>
      </c>
      <c r="N279" s="6">
        <v>6821.0919999999996</v>
      </c>
      <c r="O279" s="6">
        <v>29696.053</v>
      </c>
      <c r="P279" s="6">
        <v>232113.389</v>
      </c>
      <c r="Q279" s="6">
        <v>83855.252999999997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11.529</v>
      </c>
      <c r="Z279" s="6">
        <v>2502.4029999999998</v>
      </c>
      <c r="AA279" s="6">
        <v>261.18299999999999</v>
      </c>
      <c r="AB279" s="6">
        <v>2323.9409999999998</v>
      </c>
      <c r="AC279" s="6">
        <v>0</v>
      </c>
      <c r="AD279" s="6">
        <v>44291.807999999997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95831.64</v>
      </c>
      <c r="AK279" s="6">
        <v>13426.392</v>
      </c>
      <c r="AL279" s="6">
        <v>1298.7149999999999</v>
      </c>
      <c r="AM279" s="6">
        <v>592681.86600000004</v>
      </c>
      <c r="AN279" s="6">
        <v>69946.663</v>
      </c>
      <c r="AO279" s="6">
        <v>146.43700000000001</v>
      </c>
      <c r="AP279" s="6">
        <v>90.201999999999998</v>
      </c>
      <c r="AQ279" s="6">
        <v>386.10899999999998</v>
      </c>
      <c r="AR279" s="6">
        <v>0</v>
      </c>
      <c r="AS279" s="6">
        <v>577.47699999999998</v>
      </c>
      <c r="AT279" s="6">
        <v>548.91099999999994</v>
      </c>
      <c r="AU279" s="6">
        <v>651.30100000000004</v>
      </c>
      <c r="AV279" s="6">
        <v>0</v>
      </c>
      <c r="AW279" s="6">
        <v>0</v>
      </c>
      <c r="AX279" s="6">
        <v>0</v>
      </c>
      <c r="AY279" s="6">
        <v>1467.9059999999999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22"/>
    </row>
    <row r="280" spans="1:59" ht="15.75">
      <c r="A280" s="23"/>
      <c r="B280" s="4" t="s">
        <v>487</v>
      </c>
      <c r="C280" s="4" t="s">
        <v>488</v>
      </c>
      <c r="D280" s="6">
        <v>5</v>
      </c>
      <c r="E280" s="6">
        <v>5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0</v>
      </c>
      <c r="BG280" s="22"/>
    </row>
    <row r="281" spans="1:59" ht="15.75">
      <c r="A281" s="23"/>
      <c r="B281" s="4" t="s">
        <v>489</v>
      </c>
      <c r="C281" s="4" t="s">
        <v>490</v>
      </c>
      <c r="D281" s="6">
        <v>5</v>
      </c>
      <c r="E281" s="6">
        <v>5</v>
      </c>
      <c r="F281" s="6">
        <v>13028.448</v>
      </c>
      <c r="G281" s="6">
        <v>1879.16</v>
      </c>
      <c r="H281" s="6">
        <v>2752.3380000000002</v>
      </c>
      <c r="I281" s="6">
        <v>0</v>
      </c>
      <c r="J281" s="6">
        <v>478.76100000000002</v>
      </c>
      <c r="K281" s="6">
        <v>1616.383</v>
      </c>
      <c r="L281" s="6">
        <v>13516.915999999999</v>
      </c>
      <c r="M281" s="6">
        <v>1214.9659999999999</v>
      </c>
      <c r="N281" s="6">
        <v>0</v>
      </c>
      <c r="O281" s="6">
        <v>6256.21</v>
      </c>
      <c r="P281" s="6">
        <v>14588.65</v>
      </c>
      <c r="Q281" s="6">
        <v>6237.8339999999998</v>
      </c>
      <c r="R281" s="6">
        <v>0</v>
      </c>
      <c r="S281" s="6">
        <v>0</v>
      </c>
      <c r="T281" s="6">
        <v>93.316999999999993</v>
      </c>
      <c r="U281" s="6">
        <v>0</v>
      </c>
      <c r="V281" s="6">
        <v>2.734</v>
      </c>
      <c r="W281" s="6">
        <v>0</v>
      </c>
      <c r="X281" s="6">
        <v>0</v>
      </c>
      <c r="Y281" s="6">
        <v>0</v>
      </c>
      <c r="Z281" s="6">
        <v>0</v>
      </c>
      <c r="AA281" s="6">
        <v>201.56800000000001</v>
      </c>
      <c r="AB281" s="6">
        <v>670.31100000000004</v>
      </c>
      <c r="AC281" s="6">
        <v>0</v>
      </c>
      <c r="AD281" s="6">
        <v>5410.4340000000002</v>
      </c>
      <c r="AE281" s="6">
        <v>0</v>
      </c>
      <c r="AF281" s="6">
        <v>1866.6959999999999</v>
      </c>
      <c r="AG281" s="6">
        <v>0</v>
      </c>
      <c r="AH281" s="6">
        <v>316.00200000000001</v>
      </c>
      <c r="AI281" s="6">
        <v>0</v>
      </c>
      <c r="AJ281" s="6">
        <v>16714.949000000001</v>
      </c>
      <c r="AK281" s="6">
        <v>0</v>
      </c>
      <c r="AL281" s="6">
        <v>0</v>
      </c>
      <c r="AM281" s="6">
        <v>27177.296999999999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22"/>
    </row>
    <row r="282" spans="1:59" ht="15.75">
      <c r="A282" s="23"/>
      <c r="B282" s="4" t="s">
        <v>491</v>
      </c>
      <c r="C282" s="4" t="s">
        <v>492</v>
      </c>
      <c r="D282" s="6">
        <v>5</v>
      </c>
      <c r="E282" s="6">
        <v>5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22"/>
    </row>
    <row r="283" spans="1:59" ht="15.75">
      <c r="A283" s="23"/>
      <c r="B283" s="4" t="s">
        <v>493</v>
      </c>
      <c r="C283" s="4" t="s">
        <v>494</v>
      </c>
      <c r="D283" s="6">
        <v>5</v>
      </c>
      <c r="E283" s="6">
        <v>5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22"/>
    </row>
    <row r="284" spans="1:59" ht="15.75">
      <c r="A284" s="23"/>
      <c r="B284" s="4" t="s">
        <v>495</v>
      </c>
      <c r="C284" s="4" t="s">
        <v>496</v>
      </c>
      <c r="D284" s="6">
        <v>5</v>
      </c>
      <c r="E284" s="6">
        <v>5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22"/>
    </row>
    <row r="285" spans="1:59" ht="15.75">
      <c r="A285" s="23"/>
      <c r="B285" s="4" t="s">
        <v>497</v>
      </c>
      <c r="C285" s="4" t="s">
        <v>498</v>
      </c>
      <c r="D285" s="6">
        <v>5</v>
      </c>
      <c r="E285" s="6">
        <v>5</v>
      </c>
      <c r="F285" s="6">
        <v>31465.222000000002</v>
      </c>
      <c r="G285" s="6">
        <v>5048.8530000000001</v>
      </c>
      <c r="H285" s="6">
        <v>8513.9429999999993</v>
      </c>
      <c r="I285" s="6">
        <v>0</v>
      </c>
      <c r="J285" s="6">
        <v>1346.0350000000001</v>
      </c>
      <c r="K285" s="6">
        <v>4608.7929999999997</v>
      </c>
      <c r="L285" s="6">
        <v>50726.491999999998</v>
      </c>
      <c r="M285" s="6">
        <v>3123.2919999999999</v>
      </c>
      <c r="N285" s="6">
        <v>0</v>
      </c>
      <c r="O285" s="6">
        <v>19089.939999999999</v>
      </c>
      <c r="P285" s="6">
        <v>51771.909</v>
      </c>
      <c r="Q285" s="6">
        <v>20433.050999999999</v>
      </c>
      <c r="R285" s="6">
        <v>0</v>
      </c>
      <c r="S285" s="6">
        <v>0</v>
      </c>
      <c r="T285" s="6">
        <v>286.61799999999999</v>
      </c>
      <c r="U285" s="6">
        <v>0</v>
      </c>
      <c r="V285" s="6">
        <v>5.5220000000000002</v>
      </c>
      <c r="W285" s="6">
        <v>0</v>
      </c>
      <c r="X285" s="6">
        <v>0</v>
      </c>
      <c r="Y285" s="6">
        <v>0</v>
      </c>
      <c r="Z285" s="6">
        <v>0</v>
      </c>
      <c r="AA285" s="6">
        <v>407.12</v>
      </c>
      <c r="AB285" s="6">
        <v>1353.874</v>
      </c>
      <c r="AC285" s="6">
        <v>0</v>
      </c>
      <c r="AD285" s="6">
        <v>12250.983</v>
      </c>
      <c r="AE285" s="6">
        <v>0</v>
      </c>
      <c r="AF285" s="6">
        <v>3770.2959999999998</v>
      </c>
      <c r="AG285" s="6">
        <v>0</v>
      </c>
      <c r="AH285" s="6">
        <v>638.25199999999995</v>
      </c>
      <c r="AI285" s="6">
        <v>0</v>
      </c>
      <c r="AJ285" s="6">
        <v>39023.680999999997</v>
      </c>
      <c r="AK285" s="6">
        <v>0</v>
      </c>
      <c r="AL285" s="6">
        <v>0</v>
      </c>
      <c r="AM285" s="6">
        <v>73594.514999999999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>
        <v>0</v>
      </c>
      <c r="BF285" s="6">
        <v>0</v>
      </c>
      <c r="BG285" s="22"/>
    </row>
    <row r="286" spans="1:59" ht="15.75">
      <c r="A286" s="23"/>
      <c r="B286" s="4" t="s">
        <v>499</v>
      </c>
      <c r="C286" s="4" t="s">
        <v>500</v>
      </c>
      <c r="D286" s="6">
        <v>5</v>
      </c>
      <c r="E286" s="6">
        <v>5</v>
      </c>
      <c r="F286" s="6">
        <v>120303.602</v>
      </c>
      <c r="G286" s="6">
        <v>18857.258000000002</v>
      </c>
      <c r="H286" s="6">
        <v>29411.315999999999</v>
      </c>
      <c r="I286" s="6">
        <v>14604.346</v>
      </c>
      <c r="J286" s="6">
        <v>5131.8670000000002</v>
      </c>
      <c r="K286" s="6">
        <v>16828.327000000001</v>
      </c>
      <c r="L286" s="6">
        <v>138647.29300000001</v>
      </c>
      <c r="M286" s="6">
        <v>12149.454</v>
      </c>
      <c r="N286" s="6">
        <v>0</v>
      </c>
      <c r="O286" s="6">
        <v>63811.821000000004</v>
      </c>
      <c r="P286" s="6">
        <v>145064.99</v>
      </c>
      <c r="Q286" s="6">
        <v>66397.251000000004</v>
      </c>
      <c r="R286" s="6">
        <v>0</v>
      </c>
      <c r="S286" s="6">
        <v>0</v>
      </c>
      <c r="T286" s="6">
        <v>988.22400000000005</v>
      </c>
      <c r="U286" s="6">
        <v>0</v>
      </c>
      <c r="V286" s="6">
        <v>23.815999999999999</v>
      </c>
      <c r="W286" s="6">
        <v>0</v>
      </c>
      <c r="X286" s="6">
        <v>0</v>
      </c>
      <c r="Y286" s="6">
        <v>0</v>
      </c>
      <c r="Z286" s="6">
        <v>0</v>
      </c>
      <c r="AA286" s="6">
        <v>1755.7929999999999</v>
      </c>
      <c r="AB286" s="6">
        <v>5926.5550000000003</v>
      </c>
      <c r="AC286" s="6">
        <v>0</v>
      </c>
      <c r="AD286" s="6">
        <v>47479.339</v>
      </c>
      <c r="AE286" s="6">
        <v>0</v>
      </c>
      <c r="AF286" s="6">
        <v>16538.38</v>
      </c>
      <c r="AG286" s="6">
        <v>0</v>
      </c>
      <c r="AH286" s="6">
        <v>2752.598</v>
      </c>
      <c r="AI286" s="6">
        <v>0</v>
      </c>
      <c r="AJ286" s="6">
        <v>146631.27100000001</v>
      </c>
      <c r="AK286" s="6">
        <v>0</v>
      </c>
      <c r="AL286" s="6">
        <v>0</v>
      </c>
      <c r="AM286" s="6">
        <v>245229.44200000001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22"/>
    </row>
    <row r="287" spans="1:59" ht="15.75">
      <c r="A287" s="23"/>
      <c r="B287" s="4" t="s">
        <v>501</v>
      </c>
      <c r="C287" s="4" t="s">
        <v>502</v>
      </c>
      <c r="D287" s="6">
        <v>5</v>
      </c>
      <c r="E287" s="6">
        <v>5</v>
      </c>
      <c r="F287" s="6">
        <v>174.262</v>
      </c>
      <c r="G287" s="6">
        <v>0</v>
      </c>
      <c r="H287" s="6">
        <v>77.614999999999995</v>
      </c>
      <c r="I287" s="6">
        <v>0</v>
      </c>
      <c r="J287" s="6">
        <v>0</v>
      </c>
      <c r="K287" s="6">
        <v>43.704999999999998</v>
      </c>
      <c r="L287" s="6">
        <v>900.51400000000001</v>
      </c>
      <c r="M287" s="6">
        <v>107.95</v>
      </c>
      <c r="N287" s="6">
        <v>0</v>
      </c>
      <c r="O287" s="6">
        <v>248.316</v>
      </c>
      <c r="P287" s="6">
        <v>1434.1559999999999</v>
      </c>
      <c r="Q287" s="6">
        <v>48.18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31.824000000000002</v>
      </c>
      <c r="AG287" s="6">
        <v>0</v>
      </c>
      <c r="AH287" s="6">
        <v>0</v>
      </c>
      <c r="AI287" s="6">
        <v>0</v>
      </c>
      <c r="AJ287" s="6">
        <v>76.727999999999994</v>
      </c>
      <c r="AK287" s="6">
        <v>0</v>
      </c>
      <c r="AL287" s="6">
        <v>0</v>
      </c>
      <c r="AM287" s="6">
        <v>850.71699999999998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22"/>
    </row>
    <row r="288" spans="1:59" ht="15.75">
      <c r="A288" s="23"/>
      <c r="B288" s="4" t="s">
        <v>503</v>
      </c>
      <c r="C288" s="4" t="s">
        <v>504</v>
      </c>
      <c r="D288" s="6">
        <v>5</v>
      </c>
      <c r="E288" s="6">
        <v>5</v>
      </c>
      <c r="F288" s="6">
        <v>32790.341</v>
      </c>
      <c r="G288" s="6">
        <v>4469.4520000000002</v>
      </c>
      <c r="H288" s="6">
        <v>6546.2449999999999</v>
      </c>
      <c r="I288" s="6">
        <v>101.764</v>
      </c>
      <c r="J288" s="6">
        <v>1138.7</v>
      </c>
      <c r="K288" s="6">
        <v>3844.4560000000001</v>
      </c>
      <c r="L288" s="6">
        <v>34548.805</v>
      </c>
      <c r="M288" s="6">
        <v>2889.7130000000002</v>
      </c>
      <c r="N288" s="6">
        <v>0</v>
      </c>
      <c r="O288" s="6">
        <v>16219.091</v>
      </c>
      <c r="P288" s="6">
        <v>41339.339</v>
      </c>
      <c r="Q288" s="6">
        <v>15901.646000000001</v>
      </c>
      <c r="R288" s="6">
        <v>0</v>
      </c>
      <c r="S288" s="6">
        <v>0</v>
      </c>
      <c r="T288" s="6">
        <v>221.947</v>
      </c>
      <c r="U288" s="6">
        <v>0</v>
      </c>
      <c r="V288" s="6">
        <v>6.5030000000000001</v>
      </c>
      <c r="W288" s="6">
        <v>0</v>
      </c>
      <c r="X288" s="6">
        <v>0</v>
      </c>
      <c r="Y288" s="6">
        <v>0</v>
      </c>
      <c r="Z288" s="6">
        <v>0</v>
      </c>
      <c r="AA288" s="6">
        <v>479.41500000000002</v>
      </c>
      <c r="AB288" s="6">
        <v>1594.288</v>
      </c>
      <c r="AC288" s="6">
        <v>0</v>
      </c>
      <c r="AD288" s="6">
        <v>15268.099</v>
      </c>
      <c r="AE288" s="6">
        <v>0</v>
      </c>
      <c r="AF288" s="6">
        <v>4439.8069999999998</v>
      </c>
      <c r="AG288" s="6">
        <v>0</v>
      </c>
      <c r="AH288" s="6">
        <v>751.59</v>
      </c>
      <c r="AI288" s="6">
        <v>0</v>
      </c>
      <c r="AJ288" s="6">
        <v>44546.324000000001</v>
      </c>
      <c r="AK288" s="6">
        <v>0</v>
      </c>
      <c r="AL288" s="6">
        <v>0</v>
      </c>
      <c r="AM288" s="6">
        <v>73226.399000000005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22"/>
    </row>
    <row r="289" spans="1:59" ht="15.75">
      <c r="A289" s="23"/>
      <c r="B289" s="4" t="s">
        <v>505</v>
      </c>
      <c r="C289" s="4" t="s">
        <v>506</v>
      </c>
      <c r="D289" s="6">
        <v>5</v>
      </c>
      <c r="E289" s="6">
        <v>5</v>
      </c>
      <c r="F289" s="6">
        <v>16933.394</v>
      </c>
      <c r="G289" s="6">
        <v>475.36599999999999</v>
      </c>
      <c r="H289" s="6">
        <v>696.25199999999995</v>
      </c>
      <c r="I289" s="6">
        <v>3780.2139999999999</v>
      </c>
      <c r="J289" s="6">
        <v>121.111</v>
      </c>
      <c r="K289" s="6">
        <v>408.892</v>
      </c>
      <c r="L289" s="6">
        <v>21979.098999999998</v>
      </c>
      <c r="M289" s="6">
        <v>307.34699999999998</v>
      </c>
      <c r="N289" s="6">
        <v>0</v>
      </c>
      <c r="O289" s="6">
        <v>8892.8629999999994</v>
      </c>
      <c r="P289" s="6">
        <v>43484.245000000003</v>
      </c>
      <c r="Q289" s="6">
        <v>8075.902</v>
      </c>
      <c r="R289" s="6">
        <v>0</v>
      </c>
      <c r="S289" s="6">
        <v>0</v>
      </c>
      <c r="T289" s="6">
        <v>23.606000000000002</v>
      </c>
      <c r="U289" s="6">
        <v>0</v>
      </c>
      <c r="V289" s="6">
        <v>0.69199999999999995</v>
      </c>
      <c r="W289" s="6">
        <v>0</v>
      </c>
      <c r="X289" s="6">
        <v>0</v>
      </c>
      <c r="Y289" s="6">
        <v>0</v>
      </c>
      <c r="Z289" s="6">
        <v>0</v>
      </c>
      <c r="AA289" s="6">
        <v>50.99</v>
      </c>
      <c r="AB289" s="6">
        <v>169.56700000000001</v>
      </c>
      <c r="AC289" s="6">
        <v>0</v>
      </c>
      <c r="AD289" s="6">
        <v>11538.125</v>
      </c>
      <c r="AE289" s="6">
        <v>0</v>
      </c>
      <c r="AF289" s="6">
        <v>472.21300000000002</v>
      </c>
      <c r="AG289" s="6">
        <v>0</v>
      </c>
      <c r="AH289" s="6">
        <v>79.938000000000002</v>
      </c>
      <c r="AI289" s="6">
        <v>0</v>
      </c>
      <c r="AJ289" s="6">
        <v>35289.919999999998</v>
      </c>
      <c r="AK289" s="6">
        <v>0</v>
      </c>
      <c r="AL289" s="6">
        <v>0</v>
      </c>
      <c r="AM289" s="6">
        <v>62606.107000000004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22"/>
    </row>
    <row r="290" spans="1:59" ht="15.75">
      <c r="A290" s="23"/>
      <c r="B290" s="4" t="s">
        <v>507</v>
      </c>
      <c r="C290" s="4" t="s">
        <v>508</v>
      </c>
      <c r="D290" s="6">
        <v>5</v>
      </c>
      <c r="E290" s="6">
        <v>5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0</v>
      </c>
      <c r="BF290" s="6">
        <v>0</v>
      </c>
      <c r="BG290" s="22"/>
    </row>
    <row r="291" spans="1:59" ht="15.75">
      <c r="A291" s="23"/>
      <c r="B291" s="4" t="s">
        <v>509</v>
      </c>
      <c r="C291" s="4" t="s">
        <v>510</v>
      </c>
      <c r="D291" s="6">
        <v>5</v>
      </c>
      <c r="E291" s="6">
        <v>5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22"/>
    </row>
    <row r="292" spans="1:59" ht="15.75">
      <c r="A292" s="23"/>
      <c r="B292" s="4" t="s">
        <v>511</v>
      </c>
      <c r="C292" s="4" t="s">
        <v>512</v>
      </c>
      <c r="D292" s="6">
        <v>5</v>
      </c>
      <c r="E292" s="6">
        <v>5</v>
      </c>
      <c r="F292" s="6">
        <v>160305.19399999999</v>
      </c>
      <c r="G292" s="6">
        <v>19349.526999999998</v>
      </c>
      <c r="H292" s="6">
        <v>28413.375</v>
      </c>
      <c r="I292" s="6">
        <v>0</v>
      </c>
      <c r="J292" s="6">
        <v>4471.7969999999996</v>
      </c>
      <c r="K292" s="6">
        <v>17452.530999999999</v>
      </c>
      <c r="L292" s="6">
        <v>134023.772</v>
      </c>
      <c r="M292" s="6">
        <v>13233.191000000001</v>
      </c>
      <c r="N292" s="6">
        <v>0</v>
      </c>
      <c r="O292" s="6">
        <v>65648.341</v>
      </c>
      <c r="P292" s="6">
        <v>154652.40100000001</v>
      </c>
      <c r="Q292" s="6">
        <v>62454.224000000002</v>
      </c>
      <c r="R292" s="6">
        <v>0</v>
      </c>
      <c r="S292" s="6">
        <v>0</v>
      </c>
      <c r="T292" s="6">
        <v>879.79100000000005</v>
      </c>
      <c r="U292" s="6">
        <v>0</v>
      </c>
      <c r="V292" s="6">
        <v>60.408000000000001</v>
      </c>
      <c r="W292" s="6">
        <v>0</v>
      </c>
      <c r="X292" s="6">
        <v>0</v>
      </c>
      <c r="Y292" s="6">
        <v>0</v>
      </c>
      <c r="Z292" s="6">
        <v>0</v>
      </c>
      <c r="AA292" s="6">
        <v>2645.6019999999999</v>
      </c>
      <c r="AB292" s="6">
        <v>8704.2919999999995</v>
      </c>
      <c r="AC292" s="6">
        <v>0</v>
      </c>
      <c r="AD292" s="6">
        <v>71472.517999999996</v>
      </c>
      <c r="AE292" s="6">
        <v>0</v>
      </c>
      <c r="AF292" s="6">
        <v>25762.559000000001</v>
      </c>
      <c r="AG292" s="6">
        <v>0</v>
      </c>
      <c r="AH292" s="6">
        <v>4399.067</v>
      </c>
      <c r="AI292" s="6">
        <v>0</v>
      </c>
      <c r="AJ292" s="6">
        <v>216040.361</v>
      </c>
      <c r="AK292" s="6">
        <v>0</v>
      </c>
      <c r="AL292" s="6">
        <v>0</v>
      </c>
      <c r="AM292" s="6">
        <v>341858.43199999997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>
        <v>0</v>
      </c>
      <c r="BF292" s="6">
        <v>0</v>
      </c>
      <c r="BG292" s="22"/>
    </row>
    <row r="293" spans="1:59" ht="15.75">
      <c r="A293" s="23"/>
      <c r="B293" s="4" t="s">
        <v>513</v>
      </c>
      <c r="C293" s="4" t="s">
        <v>514</v>
      </c>
      <c r="D293" s="6">
        <v>5</v>
      </c>
      <c r="E293" s="6">
        <v>5</v>
      </c>
      <c r="F293" s="6">
        <v>6773.0429999999997</v>
      </c>
      <c r="G293" s="6">
        <v>201.83099999999999</v>
      </c>
      <c r="H293" s="6">
        <v>295.61500000000001</v>
      </c>
      <c r="I293" s="6">
        <v>0</v>
      </c>
      <c r="J293" s="6">
        <v>51.420999999999999</v>
      </c>
      <c r="K293" s="6">
        <v>173.608</v>
      </c>
      <c r="L293" s="6">
        <v>1451.7850000000001</v>
      </c>
      <c r="M293" s="6">
        <v>2085.7840000000001</v>
      </c>
      <c r="N293" s="6">
        <v>0</v>
      </c>
      <c r="O293" s="6">
        <v>5829.2089999999998</v>
      </c>
      <c r="P293" s="6">
        <v>20884.563999999998</v>
      </c>
      <c r="Q293" s="6">
        <v>2242.0749999999998</v>
      </c>
      <c r="R293" s="6">
        <v>0</v>
      </c>
      <c r="S293" s="6">
        <v>0</v>
      </c>
      <c r="T293" s="6">
        <v>10.023</v>
      </c>
      <c r="U293" s="6">
        <v>0</v>
      </c>
      <c r="V293" s="6">
        <v>0.29399999999999998</v>
      </c>
      <c r="W293" s="6">
        <v>0</v>
      </c>
      <c r="X293" s="6">
        <v>0</v>
      </c>
      <c r="Y293" s="6">
        <v>0</v>
      </c>
      <c r="Z293" s="6">
        <v>0</v>
      </c>
      <c r="AA293" s="6">
        <v>21.649000000000001</v>
      </c>
      <c r="AB293" s="6">
        <v>71.995000000000005</v>
      </c>
      <c r="AC293" s="6">
        <v>0</v>
      </c>
      <c r="AD293" s="6">
        <v>581.10799999999995</v>
      </c>
      <c r="AE293" s="6">
        <v>0</v>
      </c>
      <c r="AF293" s="6">
        <v>200.49299999999999</v>
      </c>
      <c r="AG293" s="6">
        <v>0</v>
      </c>
      <c r="AH293" s="6">
        <v>33.94</v>
      </c>
      <c r="AI293" s="6">
        <v>0</v>
      </c>
      <c r="AJ293" s="6">
        <v>4232.6419999999998</v>
      </c>
      <c r="AK293" s="6">
        <v>0</v>
      </c>
      <c r="AL293" s="6">
        <v>0</v>
      </c>
      <c r="AM293" s="6">
        <v>15816.074000000001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22"/>
    </row>
    <row r="294" spans="1:59" ht="15.75">
      <c r="A294" s="23"/>
      <c r="B294" s="4" t="s">
        <v>515</v>
      </c>
      <c r="C294" s="4" t="s">
        <v>516</v>
      </c>
      <c r="D294" s="6">
        <v>5</v>
      </c>
      <c r="E294" s="6">
        <v>5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22"/>
    </row>
    <row r="295" spans="1:59" ht="15.75">
      <c r="A295" s="23"/>
      <c r="B295" s="4" t="s">
        <v>517</v>
      </c>
      <c r="C295" s="4" t="s">
        <v>518</v>
      </c>
      <c r="D295" s="6">
        <v>5</v>
      </c>
      <c r="E295" s="6">
        <v>5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22"/>
    </row>
    <row r="296" spans="1:59" ht="15.75">
      <c r="A296" s="23"/>
      <c r="B296" s="4" t="s">
        <v>519</v>
      </c>
      <c r="C296" s="4" t="s">
        <v>520</v>
      </c>
      <c r="D296" s="6">
        <v>5</v>
      </c>
      <c r="E296" s="6">
        <v>5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0</v>
      </c>
      <c r="BF296" s="6">
        <v>0</v>
      </c>
      <c r="BG296" s="22"/>
    </row>
    <row r="297" spans="1:59" ht="15.75">
      <c r="A297" s="23"/>
      <c r="B297" s="4" t="s">
        <v>521</v>
      </c>
      <c r="C297" s="4" t="s">
        <v>522</v>
      </c>
      <c r="D297" s="6">
        <v>5</v>
      </c>
      <c r="E297" s="6">
        <v>5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22"/>
    </row>
    <row r="298" spans="1:59" ht="15.75">
      <c r="A298" s="23"/>
      <c r="B298" s="4" t="s">
        <v>523</v>
      </c>
      <c r="C298" s="4" t="s">
        <v>524</v>
      </c>
      <c r="D298" s="6">
        <v>5</v>
      </c>
      <c r="E298" s="6">
        <v>5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22"/>
    </row>
    <row r="299" spans="1:59" ht="15.75">
      <c r="A299" s="23"/>
      <c r="B299" s="4" t="s">
        <v>525</v>
      </c>
      <c r="C299" s="4" t="s">
        <v>526</v>
      </c>
      <c r="D299" s="6">
        <v>5</v>
      </c>
      <c r="E299" s="6">
        <v>5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0</v>
      </c>
      <c r="BF299" s="6">
        <v>0</v>
      </c>
      <c r="BG299" s="22"/>
    </row>
    <row r="300" spans="1:59" ht="15.75">
      <c r="A300" s="23"/>
      <c r="B300" s="4" t="s">
        <v>527</v>
      </c>
      <c r="C300" s="4" t="s">
        <v>528</v>
      </c>
      <c r="D300" s="6">
        <v>5</v>
      </c>
      <c r="E300" s="6">
        <v>5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22"/>
    </row>
    <row r="301" spans="1:59" ht="15.75">
      <c r="A301" s="23"/>
      <c r="B301" s="4" t="s">
        <v>529</v>
      </c>
      <c r="C301" s="4" t="s">
        <v>530</v>
      </c>
      <c r="D301" s="6">
        <v>5</v>
      </c>
      <c r="E301" s="6">
        <v>5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6">
        <v>0</v>
      </c>
      <c r="BF301" s="6">
        <v>0</v>
      </c>
      <c r="BG301" s="22"/>
    </row>
    <row r="302" spans="1:59" ht="15.75">
      <c r="A302" s="23"/>
      <c r="B302" s="4" t="s">
        <v>531</v>
      </c>
      <c r="C302" s="4" t="s">
        <v>532</v>
      </c>
      <c r="D302" s="6">
        <v>5</v>
      </c>
      <c r="E302" s="6">
        <v>5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22"/>
    </row>
    <row r="303" spans="1:59" ht="15.75">
      <c r="A303" s="23"/>
      <c r="B303" s="4" t="s">
        <v>533</v>
      </c>
      <c r="C303" s="4" t="s">
        <v>534</v>
      </c>
      <c r="D303" s="6">
        <v>5</v>
      </c>
      <c r="E303" s="6">
        <v>5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0</v>
      </c>
      <c r="BF303" s="6">
        <v>0</v>
      </c>
      <c r="BG303" s="22"/>
    </row>
    <row r="304" spans="1:59" ht="15.75">
      <c r="A304" s="23"/>
      <c r="B304" s="4" t="s">
        <v>535</v>
      </c>
      <c r="C304" s="4" t="s">
        <v>536</v>
      </c>
      <c r="D304" s="6">
        <v>5</v>
      </c>
      <c r="E304" s="6">
        <v>5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0</v>
      </c>
      <c r="BF304" s="6">
        <v>0</v>
      </c>
      <c r="BG304" s="22"/>
    </row>
    <row r="305" spans="1:59" ht="15.75">
      <c r="A305" s="23"/>
      <c r="B305" s="4" t="s">
        <v>537</v>
      </c>
      <c r="C305" s="4" t="s">
        <v>538</v>
      </c>
      <c r="D305" s="6">
        <v>5</v>
      </c>
      <c r="E305" s="6">
        <v>5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0</v>
      </c>
      <c r="BE305" s="6">
        <v>0</v>
      </c>
      <c r="BF305" s="6">
        <v>0</v>
      </c>
      <c r="BG305" s="22"/>
    </row>
    <row r="306" spans="1:59" ht="15.75">
      <c r="A306" s="23"/>
      <c r="B306" s="4" t="s">
        <v>539</v>
      </c>
      <c r="C306" s="4" t="s">
        <v>540</v>
      </c>
      <c r="D306" s="6">
        <v>5</v>
      </c>
      <c r="E306" s="6">
        <v>5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>
        <v>0</v>
      </c>
      <c r="BF306" s="6">
        <v>0</v>
      </c>
      <c r="BG306" s="22"/>
    </row>
    <row r="307" spans="1:59" ht="15.75">
      <c r="A307" s="23"/>
      <c r="B307" s="4" t="s">
        <v>541</v>
      </c>
      <c r="C307" s="4" t="s">
        <v>542</v>
      </c>
      <c r="D307" s="6">
        <v>5</v>
      </c>
      <c r="E307" s="6">
        <v>5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>
        <v>0</v>
      </c>
      <c r="BF307" s="6">
        <v>0</v>
      </c>
      <c r="BG307" s="22"/>
    </row>
    <row r="308" spans="1:59" ht="15.75">
      <c r="A308" s="23"/>
      <c r="B308" s="4" t="s">
        <v>543</v>
      </c>
      <c r="C308" s="4" t="s">
        <v>544</v>
      </c>
      <c r="D308" s="6">
        <v>5</v>
      </c>
      <c r="E308" s="6">
        <v>5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0</v>
      </c>
      <c r="BE308" s="6">
        <v>0</v>
      </c>
      <c r="BF308" s="6">
        <v>0</v>
      </c>
      <c r="BG308" s="22"/>
    </row>
    <row r="309" spans="1:59" ht="15.75">
      <c r="A309" s="23"/>
      <c r="B309" s="4" t="s">
        <v>545</v>
      </c>
      <c r="C309" s="4" t="s">
        <v>546</v>
      </c>
      <c r="D309" s="6">
        <v>5</v>
      </c>
      <c r="E309" s="6">
        <v>5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6">
        <v>0</v>
      </c>
      <c r="BF309" s="6">
        <v>0</v>
      </c>
      <c r="BG309" s="22"/>
    </row>
    <row r="310" spans="1:59" ht="15.75">
      <c r="A310" s="23"/>
      <c r="B310" s="4" t="s">
        <v>547</v>
      </c>
      <c r="C310" s="4" t="s">
        <v>548</v>
      </c>
      <c r="D310" s="6">
        <v>5</v>
      </c>
      <c r="E310" s="6">
        <v>5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0</v>
      </c>
      <c r="BE310" s="6">
        <v>0</v>
      </c>
      <c r="BF310" s="6">
        <v>0</v>
      </c>
      <c r="BG310" s="22"/>
    </row>
    <row r="311" spans="1:59" ht="15.75">
      <c r="A311" s="23"/>
      <c r="B311" s="4" t="s">
        <v>549</v>
      </c>
      <c r="C311" s="4" t="s">
        <v>550</v>
      </c>
      <c r="D311" s="6">
        <v>5</v>
      </c>
      <c r="E311" s="6">
        <v>5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0</v>
      </c>
      <c r="BC311" s="6">
        <v>0</v>
      </c>
      <c r="BD311" s="6">
        <v>0</v>
      </c>
      <c r="BE311" s="6">
        <v>0</v>
      </c>
      <c r="BF311" s="6">
        <v>0</v>
      </c>
      <c r="BG311" s="22"/>
    </row>
    <row r="312" spans="1:59" ht="15.75">
      <c r="A312" s="23"/>
      <c r="B312" s="4" t="s">
        <v>551</v>
      </c>
      <c r="C312" s="4" t="s">
        <v>552</v>
      </c>
      <c r="D312" s="6">
        <v>5</v>
      </c>
      <c r="E312" s="6">
        <v>5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>
        <v>0</v>
      </c>
      <c r="BF312" s="6">
        <v>0</v>
      </c>
      <c r="BG312" s="22"/>
    </row>
    <row r="313" spans="1:59" ht="15.75">
      <c r="A313" s="23"/>
      <c r="B313" s="4" t="s">
        <v>553</v>
      </c>
      <c r="C313" s="4" t="s">
        <v>554</v>
      </c>
      <c r="D313" s="6">
        <v>5</v>
      </c>
      <c r="E313" s="6">
        <v>5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0</v>
      </c>
      <c r="BE313" s="6">
        <v>0</v>
      </c>
      <c r="BF313" s="6">
        <v>0</v>
      </c>
      <c r="BG313" s="22"/>
    </row>
    <row r="314" spans="1:59" ht="15.75">
      <c r="A314" s="23"/>
      <c r="B314" s="4" t="s">
        <v>555</v>
      </c>
      <c r="C314" s="4" t="s">
        <v>556</v>
      </c>
      <c r="D314" s="6">
        <v>5</v>
      </c>
      <c r="E314" s="6">
        <v>5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0</v>
      </c>
      <c r="BF314" s="6">
        <v>0</v>
      </c>
      <c r="BG314" s="22"/>
    </row>
    <row r="315" spans="1:59" ht="15.75">
      <c r="A315" s="23"/>
      <c r="B315" s="4" t="s">
        <v>557</v>
      </c>
      <c r="C315" s="4" t="s">
        <v>558</v>
      </c>
      <c r="D315" s="6">
        <v>5</v>
      </c>
      <c r="E315" s="6">
        <v>5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  <c r="BD315" s="6">
        <v>0</v>
      </c>
      <c r="BE315" s="6">
        <v>0</v>
      </c>
      <c r="BF315" s="6">
        <v>0</v>
      </c>
      <c r="BG315" s="22"/>
    </row>
    <row r="316" spans="1:59" ht="15.75">
      <c r="A316" s="23"/>
      <c r="B316" s="4" t="s">
        <v>559</v>
      </c>
      <c r="C316" s="4" t="s">
        <v>560</v>
      </c>
      <c r="D316" s="6">
        <v>5</v>
      </c>
      <c r="E316" s="6">
        <v>5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0</v>
      </c>
      <c r="BF316" s="6">
        <v>0</v>
      </c>
      <c r="BG316" s="22"/>
    </row>
    <row r="317" spans="1:59" ht="15.75">
      <c r="A317" s="23"/>
      <c r="B317" s="4" t="s">
        <v>561</v>
      </c>
      <c r="C317" s="4" t="s">
        <v>562</v>
      </c>
      <c r="D317" s="6">
        <v>5</v>
      </c>
      <c r="E317" s="6">
        <v>5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6">
        <v>0</v>
      </c>
      <c r="BF317" s="6">
        <v>0</v>
      </c>
      <c r="BG317" s="22"/>
    </row>
    <row r="318" spans="1:59" ht="15.75">
      <c r="A318" s="23"/>
      <c r="B318" s="4" t="s">
        <v>563</v>
      </c>
      <c r="C318" s="4" t="s">
        <v>564</v>
      </c>
      <c r="D318" s="6">
        <v>5</v>
      </c>
      <c r="E318" s="6">
        <v>5</v>
      </c>
      <c r="F318" s="6">
        <v>-15498.129000000001</v>
      </c>
      <c r="G318" s="6">
        <v>-4265.4719999999998</v>
      </c>
      <c r="H318" s="6">
        <v>0</v>
      </c>
      <c r="I318" s="6">
        <v>0</v>
      </c>
      <c r="J318" s="6">
        <v>-210.63399999999999</v>
      </c>
      <c r="K318" s="6">
        <v>0</v>
      </c>
      <c r="L318" s="6">
        <v>-22963.352999999999</v>
      </c>
      <c r="M318" s="6">
        <v>-1881.893</v>
      </c>
      <c r="N318" s="6">
        <v>0</v>
      </c>
      <c r="O318" s="6">
        <v>-2368.7919999999999</v>
      </c>
      <c r="P318" s="6">
        <v>-53379.688999999998</v>
      </c>
      <c r="Q318" s="6">
        <v>-3111.4920000000002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-1262.258</v>
      </c>
      <c r="X318" s="6">
        <v>0</v>
      </c>
      <c r="Y318" s="6">
        <v>0</v>
      </c>
      <c r="Z318" s="6">
        <v>0</v>
      </c>
      <c r="AA318" s="6">
        <v>0</v>
      </c>
      <c r="AB318" s="6">
        <v>-365.16199999999998</v>
      </c>
      <c r="AC318" s="6">
        <v>0</v>
      </c>
      <c r="AD318" s="6">
        <v>-8994.4650000000001</v>
      </c>
      <c r="AE318" s="6">
        <v>0</v>
      </c>
      <c r="AF318" s="6">
        <v>0</v>
      </c>
      <c r="AG318" s="6">
        <v>0</v>
      </c>
      <c r="AH318" s="6">
        <v>-696.45500000000004</v>
      </c>
      <c r="AI318" s="6">
        <v>0</v>
      </c>
      <c r="AJ318" s="6">
        <v>-22592.352999999999</v>
      </c>
      <c r="AK318" s="6">
        <v>-10258.142</v>
      </c>
      <c r="AL318" s="6">
        <v>0</v>
      </c>
      <c r="AM318" s="6">
        <v>-68393.475000000006</v>
      </c>
      <c r="AN318" s="6">
        <v>-19786.074000000001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-56.975000000000001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0</v>
      </c>
      <c r="BF318" s="6">
        <v>-2672.3310000000001</v>
      </c>
      <c r="BG318" s="22"/>
    </row>
    <row r="319" spans="1:59" ht="15.75">
      <c r="A319" s="23"/>
      <c r="B319" s="4" t="s">
        <v>565</v>
      </c>
      <c r="C319" s="4" t="s">
        <v>566</v>
      </c>
      <c r="D319" s="6">
        <v>5</v>
      </c>
      <c r="E319" s="6">
        <v>5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6">
        <v>0</v>
      </c>
      <c r="BF319" s="6">
        <v>0</v>
      </c>
      <c r="BG319" s="22"/>
    </row>
    <row r="320" spans="1:59" ht="15.75">
      <c r="A320" s="23"/>
      <c r="B320" s="4" t="s">
        <v>567</v>
      </c>
      <c r="C320" s="4" t="s">
        <v>568</v>
      </c>
      <c r="D320" s="6">
        <v>5</v>
      </c>
      <c r="E320" s="6">
        <v>5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22"/>
    </row>
    <row r="321" spans="1:59" ht="15.75">
      <c r="A321" s="23"/>
      <c r="B321" s="4" t="s">
        <v>569</v>
      </c>
      <c r="C321" s="4" t="s">
        <v>570</v>
      </c>
      <c r="D321" s="6">
        <v>5</v>
      </c>
      <c r="E321" s="6">
        <v>5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0</v>
      </c>
      <c r="BG321" s="22"/>
    </row>
    <row r="322" spans="1:59" ht="15.75">
      <c r="A322" s="23"/>
      <c r="B322" s="4" t="s">
        <v>571</v>
      </c>
      <c r="C322" s="4" t="s">
        <v>572</v>
      </c>
      <c r="D322" s="6">
        <v>5</v>
      </c>
      <c r="E322" s="6">
        <v>5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0.14000000000000001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139.63399999999999</v>
      </c>
      <c r="AZ322" s="6">
        <v>0</v>
      </c>
      <c r="BA322" s="6">
        <v>0.59399999999999997</v>
      </c>
      <c r="BB322" s="6">
        <v>0</v>
      </c>
      <c r="BC322" s="6">
        <v>4.6479999999999997</v>
      </c>
      <c r="BD322" s="6">
        <v>0</v>
      </c>
      <c r="BE322" s="6">
        <v>0</v>
      </c>
      <c r="BF322" s="6">
        <v>0</v>
      </c>
      <c r="BG322" s="22"/>
    </row>
    <row r="323" spans="1:59" ht="15.75">
      <c r="A323" s="23"/>
      <c r="B323" s="4" t="s">
        <v>573</v>
      </c>
      <c r="C323" s="4" t="s">
        <v>574</v>
      </c>
      <c r="D323" s="6">
        <v>5</v>
      </c>
      <c r="E323" s="6">
        <v>5</v>
      </c>
      <c r="F323" s="6">
        <v>-31877.530999999999</v>
      </c>
      <c r="G323" s="6">
        <v>-8773.491</v>
      </c>
      <c r="H323" s="6">
        <v>0</v>
      </c>
      <c r="I323" s="6">
        <v>0</v>
      </c>
      <c r="J323" s="6">
        <v>-433.245</v>
      </c>
      <c r="K323" s="6">
        <v>0</v>
      </c>
      <c r="L323" s="6">
        <v>-47232.474000000002</v>
      </c>
      <c r="M323" s="6">
        <v>-3870.797</v>
      </c>
      <c r="N323" s="6">
        <v>0</v>
      </c>
      <c r="O323" s="6">
        <v>-4872.2809999999999</v>
      </c>
      <c r="P323" s="6">
        <v>-109794.713</v>
      </c>
      <c r="Q323" s="6">
        <v>-6399.9129999999996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-2596.2910000000002</v>
      </c>
      <c r="X323" s="6">
        <v>0</v>
      </c>
      <c r="Y323" s="6">
        <v>0</v>
      </c>
      <c r="Z323" s="6">
        <v>0</v>
      </c>
      <c r="AA323" s="6">
        <v>0</v>
      </c>
      <c r="AB323" s="6">
        <v>-751.08900000000006</v>
      </c>
      <c r="AC323" s="6">
        <v>0</v>
      </c>
      <c r="AD323" s="6">
        <v>-18500.383999999998</v>
      </c>
      <c r="AE323" s="6">
        <v>0</v>
      </c>
      <c r="AF323" s="6">
        <v>0</v>
      </c>
      <c r="AG323" s="6">
        <v>-9.18</v>
      </c>
      <c r="AH323" s="6">
        <v>-1432.5119999999999</v>
      </c>
      <c r="AI323" s="6">
        <v>0</v>
      </c>
      <c r="AJ323" s="6">
        <v>-46469.377999999997</v>
      </c>
      <c r="AK323" s="6">
        <v>-21099.594000000001</v>
      </c>
      <c r="AL323" s="6">
        <v>0</v>
      </c>
      <c r="AM323" s="6">
        <v>-140676.01699999999</v>
      </c>
      <c r="AN323" s="6">
        <v>-40697.245000000003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-117.19</v>
      </c>
      <c r="AW323" s="6">
        <v>0</v>
      </c>
      <c r="AX323" s="6">
        <v>0</v>
      </c>
      <c r="AY323" s="6">
        <v>-9131.4459999999999</v>
      </c>
      <c r="AZ323" s="6">
        <v>0</v>
      </c>
      <c r="BA323" s="6">
        <v>-38.875999999999998</v>
      </c>
      <c r="BB323" s="6">
        <v>0</v>
      </c>
      <c r="BC323" s="6">
        <v>-303.93799999999999</v>
      </c>
      <c r="BD323" s="6">
        <v>0</v>
      </c>
      <c r="BE323" s="6">
        <v>0</v>
      </c>
      <c r="BF323" s="6">
        <v>-5496.62</v>
      </c>
      <c r="BG323" s="22"/>
    </row>
    <row r="324" spans="1:59" ht="15.75">
      <c r="A324" s="23"/>
      <c r="B324" s="4" t="s">
        <v>575</v>
      </c>
      <c r="C324" s="4" t="s">
        <v>576</v>
      </c>
      <c r="D324" s="6">
        <v>6</v>
      </c>
      <c r="E324" s="6">
        <v>6</v>
      </c>
      <c r="F324" s="6">
        <v>1380.011</v>
      </c>
      <c r="G324" s="6">
        <v>0</v>
      </c>
      <c r="H324" s="6">
        <v>0</v>
      </c>
      <c r="I324" s="6">
        <v>0</v>
      </c>
      <c r="J324" s="6">
        <v>100.851</v>
      </c>
      <c r="K324" s="6">
        <v>0</v>
      </c>
      <c r="L324" s="6">
        <v>0</v>
      </c>
      <c r="M324" s="6">
        <v>0</v>
      </c>
      <c r="N324" s="6">
        <v>0</v>
      </c>
      <c r="O324" s="6">
        <v>24.631</v>
      </c>
      <c r="P324" s="6">
        <v>9485.5370000000003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458.745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2952.5909999999999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6">
        <v>0</v>
      </c>
      <c r="BF324" s="6">
        <v>0</v>
      </c>
      <c r="BG324" s="22"/>
    </row>
    <row r="325" spans="1:59" ht="15.75">
      <c r="A325" s="23"/>
      <c r="B325" s="4" t="s">
        <v>577</v>
      </c>
      <c r="C325" s="4" t="s">
        <v>578</v>
      </c>
      <c r="D325" s="6">
        <v>6</v>
      </c>
      <c r="E325" s="6">
        <v>6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0</v>
      </c>
      <c r="BE325" s="6">
        <v>0</v>
      </c>
      <c r="BF325" s="6">
        <v>0</v>
      </c>
      <c r="BG325" s="22"/>
    </row>
    <row r="326" spans="1:59" ht="15.75">
      <c r="A326" s="23"/>
      <c r="B326" s="4" t="s">
        <v>579</v>
      </c>
      <c r="C326" s="4" t="s">
        <v>580</v>
      </c>
      <c r="D326" s="6">
        <v>6</v>
      </c>
      <c r="E326" s="6">
        <v>6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>
        <v>0</v>
      </c>
      <c r="BF326" s="6">
        <v>0</v>
      </c>
      <c r="BG326" s="22"/>
    </row>
    <row r="327" spans="1:59" ht="15.75">
      <c r="A327" s="23"/>
      <c r="B327" s="4" t="s">
        <v>581</v>
      </c>
      <c r="C327" s="4" t="s">
        <v>582</v>
      </c>
      <c r="D327" s="6">
        <v>6</v>
      </c>
      <c r="E327" s="6">
        <v>6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0</v>
      </c>
      <c r="BF327" s="6">
        <v>0</v>
      </c>
      <c r="BG327" s="22"/>
    </row>
    <row r="328" spans="1:59" ht="15.75">
      <c r="A328" s="23"/>
      <c r="B328" s="4" t="s">
        <v>583</v>
      </c>
      <c r="C328" s="4" t="s">
        <v>584</v>
      </c>
      <c r="D328" s="6">
        <v>6</v>
      </c>
      <c r="E328" s="6">
        <v>6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22"/>
    </row>
    <row r="329" spans="1:59" ht="15.75">
      <c r="A329" s="23"/>
      <c r="B329" s="4" t="s">
        <v>585</v>
      </c>
      <c r="C329" s="4" t="s">
        <v>586</v>
      </c>
      <c r="D329" s="6">
        <v>6</v>
      </c>
      <c r="E329" s="6">
        <v>6</v>
      </c>
      <c r="F329" s="6">
        <v>403.52600000000001</v>
      </c>
      <c r="G329" s="6">
        <v>50.04</v>
      </c>
      <c r="H329" s="6">
        <v>73.460999999999999</v>
      </c>
      <c r="I329" s="6">
        <v>0</v>
      </c>
      <c r="J329" s="6">
        <v>11.688000000000001</v>
      </c>
      <c r="K329" s="6">
        <v>44.917000000000002</v>
      </c>
      <c r="L329" s="6">
        <v>342.94600000000003</v>
      </c>
      <c r="M329" s="6">
        <v>34.027999999999999</v>
      </c>
      <c r="N329" s="6">
        <v>0</v>
      </c>
      <c r="O329" s="6">
        <v>167.28899999999999</v>
      </c>
      <c r="P329" s="6">
        <v>389.02199999999999</v>
      </c>
      <c r="Q329" s="6">
        <v>159.95699999999999</v>
      </c>
      <c r="R329" s="6">
        <v>0</v>
      </c>
      <c r="S329" s="6">
        <v>0</v>
      </c>
      <c r="T329" s="6">
        <v>2.2970000000000002</v>
      </c>
      <c r="U329" s="6">
        <v>0</v>
      </c>
      <c r="V329" s="6">
        <v>0.14799999999999999</v>
      </c>
      <c r="W329" s="6">
        <v>0</v>
      </c>
      <c r="X329" s="6">
        <v>0</v>
      </c>
      <c r="Y329" s="6">
        <v>0</v>
      </c>
      <c r="Z329" s="6">
        <v>0</v>
      </c>
      <c r="AA329" s="6">
        <v>6.6890000000000001</v>
      </c>
      <c r="AB329" s="6">
        <v>22.026</v>
      </c>
      <c r="AC329" s="6">
        <v>0</v>
      </c>
      <c r="AD329" s="6">
        <v>178.74100000000001</v>
      </c>
      <c r="AE329" s="6">
        <v>0</v>
      </c>
      <c r="AF329" s="6">
        <v>64.867000000000004</v>
      </c>
      <c r="AG329" s="6">
        <v>0</v>
      </c>
      <c r="AH329" s="6">
        <v>11.069000000000001</v>
      </c>
      <c r="AI329" s="6">
        <v>0</v>
      </c>
      <c r="AJ329" s="6">
        <v>539.51499999999999</v>
      </c>
      <c r="AK329" s="6">
        <v>0</v>
      </c>
      <c r="AL329" s="6">
        <v>0</v>
      </c>
      <c r="AM329" s="6">
        <v>852.24599999999998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0</v>
      </c>
      <c r="BF329" s="6">
        <v>0</v>
      </c>
      <c r="BG329" s="22"/>
    </row>
    <row r="330" spans="1:59" ht="15.75">
      <c r="A330" s="23"/>
      <c r="B330" s="4" t="s">
        <v>587</v>
      </c>
      <c r="C330" s="4" t="s">
        <v>588</v>
      </c>
      <c r="D330" s="6">
        <v>6</v>
      </c>
      <c r="E330" s="6">
        <v>6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  <c r="BD330" s="6">
        <v>0</v>
      </c>
      <c r="BE330" s="6">
        <v>0</v>
      </c>
      <c r="BF330" s="6">
        <v>0</v>
      </c>
      <c r="BG330" s="22"/>
    </row>
    <row r="331" spans="1:59" ht="15.75">
      <c r="A331" s="23"/>
      <c r="B331" s="4" t="s">
        <v>589</v>
      </c>
      <c r="C331" s="4" t="s">
        <v>590</v>
      </c>
      <c r="D331" s="6">
        <v>6</v>
      </c>
      <c r="E331" s="6">
        <v>6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>
        <v>0</v>
      </c>
      <c r="BF331" s="6">
        <v>0</v>
      </c>
      <c r="BG331" s="22"/>
    </row>
    <row r="332" spans="1:59" ht="15.75">
      <c r="A332" s="23"/>
      <c r="B332" s="4" t="s">
        <v>591</v>
      </c>
      <c r="C332" s="4" t="s">
        <v>592</v>
      </c>
      <c r="D332" s="6">
        <v>6</v>
      </c>
      <c r="E332" s="6">
        <v>6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6">
        <v>0</v>
      </c>
      <c r="BF332" s="6">
        <v>0</v>
      </c>
      <c r="BG332" s="22"/>
    </row>
    <row r="333" spans="1:59" ht="15.75">
      <c r="A333" s="23"/>
      <c r="B333" s="4" t="s">
        <v>593</v>
      </c>
      <c r="C333" s="4" t="s">
        <v>594</v>
      </c>
      <c r="D333" s="6">
        <v>6</v>
      </c>
      <c r="E333" s="6">
        <v>6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0</v>
      </c>
      <c r="BF333" s="6">
        <v>0</v>
      </c>
      <c r="BG333" s="22"/>
    </row>
    <row r="334" spans="1:59" ht="15.75">
      <c r="A334" s="23"/>
      <c r="B334" s="4" t="s">
        <v>595</v>
      </c>
      <c r="C334" s="4" t="s">
        <v>596</v>
      </c>
      <c r="D334" s="6">
        <v>6</v>
      </c>
      <c r="E334" s="6">
        <v>6</v>
      </c>
      <c r="F334" s="6">
        <v>4383.2860000000001</v>
      </c>
      <c r="G334" s="6">
        <v>1231.4880000000001</v>
      </c>
      <c r="H334" s="6">
        <v>880.50099999999998</v>
      </c>
      <c r="I334" s="6">
        <v>2620.8380000000002</v>
      </c>
      <c r="J334" s="6">
        <v>139.358</v>
      </c>
      <c r="K334" s="6">
        <v>598.32600000000002</v>
      </c>
      <c r="L334" s="6">
        <v>3718.0889999999999</v>
      </c>
      <c r="M334" s="6">
        <v>649.01700000000005</v>
      </c>
      <c r="N334" s="6">
        <v>0</v>
      </c>
      <c r="O334" s="6">
        <v>2380.299</v>
      </c>
      <c r="P334" s="6">
        <v>7542.9260000000004</v>
      </c>
      <c r="Q334" s="6">
        <v>1984.7449999999999</v>
      </c>
      <c r="R334" s="6">
        <v>0</v>
      </c>
      <c r="S334" s="6">
        <v>0.22</v>
      </c>
      <c r="T334" s="6">
        <v>13.568</v>
      </c>
      <c r="U334" s="6">
        <v>1.7230000000000001</v>
      </c>
      <c r="V334" s="6">
        <v>45.387</v>
      </c>
      <c r="W334" s="6">
        <v>157.21799999999999</v>
      </c>
      <c r="X334" s="6">
        <v>0</v>
      </c>
      <c r="Y334" s="6">
        <v>14.02</v>
      </c>
      <c r="Z334" s="6">
        <v>0</v>
      </c>
      <c r="AA334" s="6">
        <v>73.201999999999998</v>
      </c>
      <c r="AB334" s="6">
        <v>228.37799999999999</v>
      </c>
      <c r="AC334" s="6">
        <v>30.702000000000002</v>
      </c>
      <c r="AD334" s="6">
        <v>1683.9480000000001</v>
      </c>
      <c r="AE334" s="6">
        <v>0</v>
      </c>
      <c r="AF334" s="6">
        <v>656.53499999999997</v>
      </c>
      <c r="AG334" s="6">
        <v>9.5839999999999996</v>
      </c>
      <c r="AH334" s="6">
        <v>128.369</v>
      </c>
      <c r="AI334" s="6">
        <v>1.504</v>
      </c>
      <c r="AJ334" s="6">
        <v>4780.7740000000003</v>
      </c>
      <c r="AK334" s="6">
        <v>594.69200000000001</v>
      </c>
      <c r="AL334" s="6">
        <v>4.7240000000000002</v>
      </c>
      <c r="AM334" s="6">
        <v>10930.019</v>
      </c>
      <c r="AN334" s="6">
        <v>965.75099999999998</v>
      </c>
      <c r="AO334" s="6">
        <v>0</v>
      </c>
      <c r="AP334" s="6">
        <v>0</v>
      </c>
      <c r="AQ334" s="6">
        <v>48.185000000000002</v>
      </c>
      <c r="AR334" s="6">
        <v>35.945999999999998</v>
      </c>
      <c r="AS334" s="6">
        <v>0</v>
      </c>
      <c r="AT334" s="6">
        <v>0</v>
      </c>
      <c r="AU334" s="6">
        <v>0</v>
      </c>
      <c r="AV334" s="6">
        <v>4.2469999999999999</v>
      </c>
      <c r="AW334" s="6">
        <v>1.984</v>
      </c>
      <c r="AX334" s="6">
        <v>7.08</v>
      </c>
      <c r="AY334" s="6">
        <v>143.25</v>
      </c>
      <c r="AZ334" s="6">
        <v>3.44</v>
      </c>
      <c r="BA334" s="6">
        <v>1.514</v>
      </c>
      <c r="BB334" s="6">
        <v>0</v>
      </c>
      <c r="BC334" s="6">
        <v>56.496000000000002</v>
      </c>
      <c r="BD334" s="6">
        <v>14.742000000000001</v>
      </c>
      <c r="BE334" s="6">
        <v>12.345000000000001</v>
      </c>
      <c r="BF334" s="6">
        <v>110.18899999999999</v>
      </c>
      <c r="BG334" s="22"/>
    </row>
    <row r="335" spans="1:59" ht="15.75">
      <c r="A335" s="23"/>
      <c r="B335" s="4" t="s">
        <v>597</v>
      </c>
      <c r="C335" s="4" t="s">
        <v>598</v>
      </c>
      <c r="D335" s="6">
        <v>6</v>
      </c>
      <c r="E335" s="6">
        <v>6</v>
      </c>
      <c r="F335" s="6">
        <v>-5922.8280000000004</v>
      </c>
      <c r="G335" s="6">
        <v>-1939.251</v>
      </c>
      <c r="H335" s="6">
        <v>-929.59400000000005</v>
      </c>
      <c r="I335" s="6">
        <v>-7404.5039999999999</v>
      </c>
      <c r="J335" s="6">
        <v>-305.06799999999998</v>
      </c>
      <c r="K335" s="6">
        <v>-857.62900000000002</v>
      </c>
      <c r="L335" s="6">
        <v>-7421.3310000000001</v>
      </c>
      <c r="M335" s="6">
        <v>-1003.796</v>
      </c>
      <c r="N335" s="6">
        <v>-157.072</v>
      </c>
      <c r="O335" s="6">
        <v>-3428.6190000000001</v>
      </c>
      <c r="P335" s="6">
        <v>-19129.912</v>
      </c>
      <c r="Q335" s="6">
        <v>-2618.6689999999999</v>
      </c>
      <c r="R335" s="6">
        <v>-6.92</v>
      </c>
      <c r="S335" s="6">
        <v>-3.5510000000000002</v>
      </c>
      <c r="T335" s="6">
        <v>-73.078999999999994</v>
      </c>
      <c r="U335" s="6">
        <v>-5.0999999999999996</v>
      </c>
      <c r="V335" s="6">
        <v>-146.61600000000001</v>
      </c>
      <c r="W335" s="6">
        <v>-24.183</v>
      </c>
      <c r="X335" s="6">
        <v>-1.5449999999999999</v>
      </c>
      <c r="Y335" s="6">
        <v>-56.38</v>
      </c>
      <c r="Z335" s="6">
        <v>-115.28700000000001</v>
      </c>
      <c r="AA335" s="6">
        <v>-42.463999999999999</v>
      </c>
      <c r="AB335" s="6">
        <v>-123.31</v>
      </c>
      <c r="AC335" s="6">
        <v>-101.803</v>
      </c>
      <c r="AD335" s="6">
        <v>-1219</v>
      </c>
      <c r="AE335" s="6">
        <v>-42.29</v>
      </c>
      <c r="AF335" s="6">
        <v>-16.236999999999998</v>
      </c>
      <c r="AG335" s="6">
        <v>-1.724</v>
      </c>
      <c r="AH335" s="6">
        <v>-1.484</v>
      </c>
      <c r="AI335" s="6">
        <v>-0.29699999999999999</v>
      </c>
      <c r="AJ335" s="6">
        <v>-4020.2649999999999</v>
      </c>
      <c r="AK335" s="6">
        <v>-447.69900000000001</v>
      </c>
      <c r="AL335" s="6">
        <v>-107.483</v>
      </c>
      <c r="AM335" s="6">
        <v>-19432.764999999999</v>
      </c>
      <c r="AN335" s="6">
        <v>-943.90599999999995</v>
      </c>
      <c r="AO335" s="6">
        <v>-271.53699999999998</v>
      </c>
      <c r="AP335" s="6">
        <v>-3051.2170000000001</v>
      </c>
      <c r="AQ335" s="6">
        <v>-158.786</v>
      </c>
      <c r="AR335" s="6">
        <v>-93.218000000000004</v>
      </c>
      <c r="AS335" s="6">
        <v>-1858.319</v>
      </c>
      <c r="AT335" s="6">
        <v>-29.495999999999999</v>
      </c>
      <c r="AU335" s="6">
        <v>-991.50900000000001</v>
      </c>
      <c r="AV335" s="6">
        <v>-4.9820000000000002</v>
      </c>
      <c r="AW335" s="6">
        <v>-6.016</v>
      </c>
      <c r="AX335" s="6">
        <v>-12.912000000000001</v>
      </c>
      <c r="AY335" s="6">
        <v>-140.501</v>
      </c>
      <c r="AZ335" s="6">
        <v>-6.7359999999999998</v>
      </c>
      <c r="BA335" s="6">
        <v>-3.6230000000000002</v>
      </c>
      <c r="BB335" s="6">
        <v>0</v>
      </c>
      <c r="BC335" s="6">
        <v>-28.568999999999999</v>
      </c>
      <c r="BD335" s="6">
        <v>-0.16600000000000001</v>
      </c>
      <c r="BE335" s="6">
        <v>-28.13</v>
      </c>
      <c r="BF335" s="6">
        <v>-169.304</v>
      </c>
      <c r="BG335" s="22"/>
    </row>
    <row r="336" spans="1:59" ht="15.75">
      <c r="A336" s="23"/>
      <c r="B336" s="4" t="s">
        <v>599</v>
      </c>
      <c r="C336" s="4" t="s">
        <v>600</v>
      </c>
      <c r="D336" s="6">
        <v>6</v>
      </c>
      <c r="E336" s="6">
        <v>6</v>
      </c>
      <c r="F336" s="6">
        <v>-964.54200000000003</v>
      </c>
      <c r="G336" s="6">
        <v>-243.01</v>
      </c>
      <c r="H336" s="6">
        <v>-204.74700000000001</v>
      </c>
      <c r="I336" s="6">
        <v>-165.72800000000001</v>
      </c>
      <c r="J336" s="6">
        <v>-2E-3</v>
      </c>
      <c r="K336" s="6">
        <v>-6.101</v>
      </c>
      <c r="L336" s="6">
        <v>-411.65499999999997</v>
      </c>
      <c r="M336" s="6">
        <v>-31.062999999999999</v>
      </c>
      <c r="N336" s="6">
        <v>-36.695</v>
      </c>
      <c r="O336" s="6">
        <v>-386.80599999999998</v>
      </c>
      <c r="P336" s="6">
        <v>-1678.3710000000001</v>
      </c>
      <c r="Q336" s="6">
        <v>-97.341999999999999</v>
      </c>
      <c r="R336" s="6">
        <v>0</v>
      </c>
      <c r="S336" s="6">
        <v>0</v>
      </c>
      <c r="T336" s="6">
        <v>0</v>
      </c>
      <c r="U336" s="6">
        <v>-5.4489999999999998</v>
      </c>
      <c r="V336" s="6">
        <v>-111.3</v>
      </c>
      <c r="W336" s="6">
        <v>0</v>
      </c>
      <c r="X336" s="6">
        <v>0</v>
      </c>
      <c r="Y336" s="6">
        <v>-45.506999999999998</v>
      </c>
      <c r="Z336" s="6">
        <v>-1.125</v>
      </c>
      <c r="AA336" s="6">
        <v>-10.497</v>
      </c>
      <c r="AB336" s="6">
        <v>-7.1210000000000004</v>
      </c>
      <c r="AC336" s="6">
        <v>-12.829000000000001</v>
      </c>
      <c r="AD336" s="6">
        <v>-89.915999999999997</v>
      </c>
      <c r="AE336" s="6">
        <v>-9.5670000000000002</v>
      </c>
      <c r="AF336" s="6">
        <v>-0.93200000000000005</v>
      </c>
      <c r="AG336" s="6">
        <v>-20.733000000000001</v>
      </c>
      <c r="AH336" s="6">
        <v>-9.6739999999999995</v>
      </c>
      <c r="AI336" s="6">
        <v>-1.306</v>
      </c>
      <c r="AJ336" s="6">
        <v>-355.03899999999999</v>
      </c>
      <c r="AK336" s="6">
        <v>-111.254</v>
      </c>
      <c r="AL336" s="6">
        <v>-3.5390000000000001</v>
      </c>
      <c r="AM336" s="6">
        <v>-1474.338</v>
      </c>
      <c r="AN336" s="6">
        <v>-90.819000000000003</v>
      </c>
      <c r="AO336" s="6">
        <v>-16.594000000000001</v>
      </c>
      <c r="AP336" s="6">
        <v>-324.33199999999999</v>
      </c>
      <c r="AQ336" s="6">
        <v>-34.447000000000003</v>
      </c>
      <c r="AR336" s="6">
        <v>-32.313000000000002</v>
      </c>
      <c r="AS336" s="6">
        <v>-997.71699999999998</v>
      </c>
      <c r="AT336" s="6">
        <v>-16.663</v>
      </c>
      <c r="AU336" s="6">
        <v>-567.60799999999995</v>
      </c>
      <c r="AV336" s="6">
        <v>-3.1E-2</v>
      </c>
      <c r="AW336" s="6">
        <v>-4.7E-2</v>
      </c>
      <c r="AX336" s="6">
        <v>0</v>
      </c>
      <c r="AY336" s="6">
        <v>-13.920999999999999</v>
      </c>
      <c r="AZ336" s="6">
        <v>-0.79500000000000004</v>
      </c>
      <c r="BA336" s="6">
        <v>0</v>
      </c>
      <c r="BB336" s="6">
        <v>0</v>
      </c>
      <c r="BC336" s="6">
        <v>-3.2469999999999999</v>
      </c>
      <c r="BD336" s="6">
        <v>-4.0410000000000004</v>
      </c>
      <c r="BE336" s="6">
        <v>-17.356000000000002</v>
      </c>
      <c r="BF336" s="6">
        <v>-54.363</v>
      </c>
      <c r="BG336" s="22"/>
    </row>
    <row r="337" spans="1:59" ht="15.75">
      <c r="A337" s="23"/>
      <c r="B337" s="4" t="s">
        <v>601</v>
      </c>
      <c r="C337" s="4" t="s">
        <v>602</v>
      </c>
      <c r="D337" s="6">
        <v>6</v>
      </c>
      <c r="E337" s="6">
        <v>6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6">
        <v>0</v>
      </c>
      <c r="BF337" s="6">
        <v>0</v>
      </c>
      <c r="BG337" s="22"/>
    </row>
    <row r="338" spans="1:59" ht="15.75">
      <c r="A338" s="23"/>
      <c r="B338" s="4" t="s">
        <v>603</v>
      </c>
      <c r="C338" s="4" t="s">
        <v>604</v>
      </c>
      <c r="D338" s="6">
        <v>6</v>
      </c>
      <c r="E338" s="6">
        <v>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 s="22"/>
    </row>
    <row r="339" spans="1:59" ht="15.75">
      <c r="A339" s="23"/>
      <c r="B339" s="4" t="s">
        <v>605</v>
      </c>
      <c r="C339" s="4" t="s">
        <v>606</v>
      </c>
      <c r="D339" s="4"/>
      <c r="E339" s="4"/>
      <c r="F339">
        <v>5698283.7510000002</v>
      </c>
      <c r="G339">
        <v>873436.00100000005</v>
      </c>
      <c r="H339">
        <v>1083576.872</v>
      </c>
      <c r="I339">
        <v>1062238.9720000001</v>
      </c>
      <c r="J339">
        <v>149827.90299999999</v>
      </c>
      <c r="K339">
        <v>749797.848</v>
      </c>
      <c r="L339">
        <v>4546878.9400000004</v>
      </c>
      <c r="M339">
        <v>882738.58400000003</v>
      </c>
      <c r="N339">
        <v>311483.777</v>
      </c>
      <c r="O339">
        <v>2496574.9350000001</v>
      </c>
      <c r="P339">
        <v>8829255.8499999996</v>
      </c>
      <c r="Q339">
        <v>2572555.7790000001</v>
      </c>
      <c r="R339">
        <v>16839.758999999998</v>
      </c>
      <c r="S339">
        <v>5896.3209999999999</v>
      </c>
      <c r="T339">
        <v>23507.026000000002</v>
      </c>
      <c r="U339">
        <v>10968.039000000001</v>
      </c>
      <c r="V339">
        <v>21991.745999999999</v>
      </c>
      <c r="W339">
        <v>260267.38699999999</v>
      </c>
      <c r="X339">
        <v>2865.962</v>
      </c>
      <c r="Y339">
        <v>112043.948</v>
      </c>
      <c r="Z339">
        <v>237586.81700000001</v>
      </c>
      <c r="AA339">
        <v>78540.357000000004</v>
      </c>
      <c r="AB339">
        <v>234966.503</v>
      </c>
      <c r="AC339">
        <v>200625.978</v>
      </c>
      <c r="AD339">
        <v>1676639.3060000001</v>
      </c>
      <c r="AE339">
        <v>88165.407000000007</v>
      </c>
      <c r="AF339">
        <v>812136.17799999996</v>
      </c>
      <c r="AG339">
        <v>183166.57500000001</v>
      </c>
      <c r="AH339">
        <v>136372.41399999999</v>
      </c>
      <c r="AI339">
        <v>47198.502999999997</v>
      </c>
      <c r="AJ339">
        <v>4336904.8099999996</v>
      </c>
      <c r="AK339">
        <v>907514.47600000002</v>
      </c>
      <c r="AL339">
        <v>190302.48499999999</v>
      </c>
      <c r="AM339">
        <v>13623107.785</v>
      </c>
      <c r="AN339">
        <v>1798244.0870000001</v>
      </c>
      <c r="AO339">
        <v>552206.679</v>
      </c>
      <c r="AP339">
        <v>6691666.9749999996</v>
      </c>
      <c r="AQ339">
        <v>322470.60200000001</v>
      </c>
      <c r="AR339">
        <v>197983.13200000001</v>
      </c>
      <c r="AS339">
        <v>4185175.0550000002</v>
      </c>
      <c r="AT339">
        <v>47997.779000000002</v>
      </c>
      <c r="AU339">
        <v>2113943.6519999998</v>
      </c>
      <c r="AV339">
        <v>8419.277</v>
      </c>
      <c r="AW339">
        <v>14943.589</v>
      </c>
      <c r="AX339">
        <v>26791.823</v>
      </c>
      <c r="AY339">
        <v>259007.37100000001</v>
      </c>
      <c r="AZ339">
        <v>13120.135</v>
      </c>
      <c r="BA339">
        <v>3158.7260000000001</v>
      </c>
      <c r="BB339">
        <v>0</v>
      </c>
      <c r="BC339">
        <v>81611.304999999993</v>
      </c>
      <c r="BD339">
        <v>55286.07</v>
      </c>
      <c r="BE339">
        <v>47906.995000000003</v>
      </c>
      <c r="BF339">
        <v>341657.36099999998</v>
      </c>
      <c r="BG339" s="22"/>
    </row>
    <row r="340" spans="1:59">
      <c r="A340" s="23"/>
      <c r="BG340" s="22"/>
    </row>
    <row r="341" spans="1:59" ht="15.75">
      <c r="A341" s="23"/>
      <c r="B341" s="4" t="s">
        <v>607</v>
      </c>
      <c r="F341">
        <f t="shared" ref="F341:BE341" si="0">SUM(F6:F338)-F339</f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-1.862645149230957E-9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 t="shared" si="0"/>
        <v>0</v>
      </c>
      <c r="AN341">
        <f t="shared" si="0"/>
        <v>0</v>
      </c>
      <c r="AO341">
        <f t="shared" si="0"/>
        <v>0</v>
      </c>
      <c r="AP341">
        <f t="shared" si="0"/>
        <v>0</v>
      </c>
      <c r="AQ341">
        <f t="shared" si="0"/>
        <v>0</v>
      </c>
      <c r="AR341">
        <f t="shared" si="0"/>
        <v>0</v>
      </c>
      <c r="AS341">
        <f t="shared" si="0"/>
        <v>0</v>
      </c>
      <c r="AT341">
        <f>SUM(AT6:AT338)-AT339</f>
        <v>0</v>
      </c>
      <c r="AU341">
        <f>SUM(AU6:AU338)-AU339</f>
        <v>0</v>
      </c>
      <c r="AV341">
        <f>SUM(AV6:AV338)-AV339</f>
        <v>0</v>
      </c>
      <c r="AW341">
        <f>SUM(AW6:AW338)-AW339</f>
        <v>0</v>
      </c>
      <c r="AX341">
        <f t="shared" si="0"/>
        <v>0</v>
      </c>
      <c r="AY341">
        <f t="shared" si="0"/>
        <v>0</v>
      </c>
      <c r="AZ341">
        <f t="shared" si="0"/>
        <v>0</v>
      </c>
      <c r="BA341">
        <f t="shared" si="0"/>
        <v>0</v>
      </c>
      <c r="BB341">
        <f t="shared" si="0"/>
        <v>0</v>
      </c>
      <c r="BC341">
        <f t="shared" si="0"/>
        <v>0</v>
      </c>
      <c r="BD341">
        <f t="shared" si="0"/>
        <v>0</v>
      </c>
      <c r="BE341">
        <f t="shared" si="0"/>
        <v>0</v>
      </c>
      <c r="BF341">
        <f>SUM(BF6:BF338)-BF339</f>
        <v>0</v>
      </c>
      <c r="BG341" s="22"/>
    </row>
    <row r="342" spans="1:59">
      <c r="A342" s="23"/>
      <c r="BG342" s="22"/>
    </row>
    <row r="343" spans="1:59">
      <c r="A343" s="23"/>
      <c r="B343" t="s">
        <v>608</v>
      </c>
      <c r="E343">
        <v>1</v>
      </c>
      <c r="F343" s="15">
        <f t="shared" ref="F343:BE343" si="1">SUMIF($E$5:$E$337,$E$343,F5:F337)</f>
        <v>616454.04799999995</v>
      </c>
      <c r="G343" s="15">
        <f t="shared" si="1"/>
        <v>156954.68700000003</v>
      </c>
      <c r="H343" s="15">
        <f t="shared" si="1"/>
        <v>47136.714</v>
      </c>
      <c r="I343" s="15">
        <f t="shared" si="1"/>
        <v>29779.307999999997</v>
      </c>
      <c r="J343" s="15">
        <f t="shared" si="1"/>
        <v>15046.516</v>
      </c>
      <c r="K343" s="15">
        <f t="shared" si="1"/>
        <v>31391.644</v>
      </c>
      <c r="L343" s="15">
        <f t="shared" si="1"/>
        <v>779099.67399999988</v>
      </c>
      <c r="M343" s="15">
        <f t="shared" si="1"/>
        <v>90968.291000000012</v>
      </c>
      <c r="N343" s="15">
        <f t="shared" si="1"/>
        <v>4107.4859999999999</v>
      </c>
      <c r="O343" s="15">
        <f t="shared" si="1"/>
        <v>162082.11800000002</v>
      </c>
      <c r="P343" s="15">
        <f t="shared" si="1"/>
        <v>1748536.65</v>
      </c>
      <c r="Q343" s="15">
        <f t="shared" si="1"/>
        <v>174058.57800000001</v>
      </c>
      <c r="R343" s="15">
        <f>SUMIF($E$5:$E$337,$E$343,R5:R337)</f>
        <v>361.55500000000001</v>
      </c>
      <c r="S343" s="15">
        <f t="shared" si="1"/>
        <v>4475.9949999999999</v>
      </c>
      <c r="T343" s="15">
        <f t="shared" si="1"/>
        <v>1067.6409999999998</v>
      </c>
      <c r="U343" s="15">
        <f t="shared" si="1"/>
        <v>4497.5049999999992</v>
      </c>
      <c r="V343" s="15">
        <f t="shared" si="1"/>
        <v>1503.8970000000002</v>
      </c>
      <c r="W343" s="15">
        <f t="shared" si="1"/>
        <v>43609.068999999996</v>
      </c>
      <c r="X343" s="15">
        <f t="shared" si="1"/>
        <v>46.683999999999997</v>
      </c>
      <c r="Y343" s="15">
        <f t="shared" si="1"/>
        <v>63775.983</v>
      </c>
      <c r="Z343" s="15">
        <f t="shared" si="1"/>
        <v>5480.2049999999999</v>
      </c>
      <c r="AA343" s="15">
        <f t="shared" si="1"/>
        <v>5501.5810000000001</v>
      </c>
      <c r="AB343" s="15">
        <f t="shared" si="1"/>
        <v>21137.730000000003</v>
      </c>
      <c r="AC343" s="15">
        <f t="shared" si="1"/>
        <v>167369.95300000001</v>
      </c>
      <c r="AD343" s="15">
        <f t="shared" si="1"/>
        <v>333140.26500000001</v>
      </c>
      <c r="AE343" s="15">
        <f t="shared" si="1"/>
        <v>52728.175000000003</v>
      </c>
      <c r="AF343" s="15">
        <f t="shared" si="1"/>
        <v>48625.454000000005</v>
      </c>
      <c r="AG343" s="15">
        <f t="shared" si="1"/>
        <v>140770.01</v>
      </c>
      <c r="AH343" s="15">
        <f t="shared" si="1"/>
        <v>26907.831999999999</v>
      </c>
      <c r="AI343" s="15">
        <f t="shared" si="1"/>
        <v>12932.977000000001</v>
      </c>
      <c r="AJ343" s="15">
        <f t="shared" si="1"/>
        <v>777000.38500000013</v>
      </c>
      <c r="AK343" s="15">
        <f t="shared" si="1"/>
        <v>312069.86</v>
      </c>
      <c r="AL343" s="15">
        <f t="shared" si="1"/>
        <v>54462.514000000003</v>
      </c>
      <c r="AM343" s="15">
        <f t="shared" si="1"/>
        <v>2328445.5979999998</v>
      </c>
      <c r="AN343" s="15">
        <f t="shared" si="1"/>
        <v>604531.32500000007</v>
      </c>
      <c r="AO343" s="15">
        <f t="shared" si="1"/>
        <v>320474.86900000001</v>
      </c>
      <c r="AP343" s="15">
        <f t="shared" si="1"/>
        <v>5023386.7449999992</v>
      </c>
      <c r="AQ343" s="15">
        <f t="shared" si="1"/>
        <v>144936.93800000002</v>
      </c>
      <c r="AR343" s="15">
        <f t="shared" si="1"/>
        <v>66418.205000000002</v>
      </c>
      <c r="AS343" s="15">
        <f t="shared" si="1"/>
        <v>3142690.74</v>
      </c>
      <c r="AT343" s="15">
        <f>SUMIF($E$5:$E$337,$E$343,AT5:AT337)</f>
        <v>712.51900000000001</v>
      </c>
      <c r="AU343" s="15">
        <f>SUMIF($E$5:$E$337,$E$343,AU5:AU337)</f>
        <v>1587928.7350000001</v>
      </c>
      <c r="AV343" s="15">
        <f>SUMIF($E$5:$E$337,$E$343,AV5:AV337)</f>
        <v>1903.472</v>
      </c>
      <c r="AW343" s="15">
        <f>SUMIF($E$5:$E$337,$E$343,AW5:AW337)</f>
        <v>6864.2349999999997</v>
      </c>
      <c r="AX343" s="15">
        <f t="shared" si="1"/>
        <v>2936.4049999999997</v>
      </c>
      <c r="AY343" s="15">
        <f t="shared" si="1"/>
        <v>90896.07799999998</v>
      </c>
      <c r="AZ343" s="15">
        <f t="shared" si="1"/>
        <v>1372.6189999999999</v>
      </c>
      <c r="BA343" s="15">
        <f t="shared" si="1"/>
        <v>524.67699999999991</v>
      </c>
      <c r="BB343" s="15">
        <f t="shared" si="1"/>
        <v>0</v>
      </c>
      <c r="BC343" s="15">
        <f t="shared" si="1"/>
        <v>18905.047000000002</v>
      </c>
      <c r="BD343" s="15">
        <f t="shared" si="1"/>
        <v>5558.1740000000009</v>
      </c>
      <c r="BE343" s="15">
        <f t="shared" si="1"/>
        <v>5552.3590000000004</v>
      </c>
      <c r="BF343" s="15">
        <f>SUMIF($E$5:$E$337,$E$343,BF5:BF337)</f>
        <v>94266.185999999987</v>
      </c>
      <c r="BG343" s="22"/>
    </row>
    <row r="344" spans="1:59">
      <c r="A344" s="23"/>
      <c r="B344" t="s">
        <v>609</v>
      </c>
      <c r="E344">
        <v>2</v>
      </c>
      <c r="F344" s="15">
        <f t="shared" ref="F344:BE344" si="2">SUMIF($E$5:$E$337,$E$344,F5:F337)</f>
        <v>1449821.7879999999</v>
      </c>
      <c r="G344" s="15">
        <f t="shared" si="2"/>
        <v>161342.465</v>
      </c>
      <c r="H344" s="15">
        <f t="shared" si="2"/>
        <v>364927.71600000001</v>
      </c>
      <c r="I344" s="15">
        <f t="shared" si="2"/>
        <v>286.06200000000001</v>
      </c>
      <c r="J344" s="15">
        <f t="shared" si="2"/>
        <v>54051.915999999997</v>
      </c>
      <c r="K344" s="15">
        <f t="shared" si="2"/>
        <v>259531.48699999999</v>
      </c>
      <c r="L344" s="15">
        <f t="shared" si="2"/>
        <v>785240.09000000008</v>
      </c>
      <c r="M344" s="15">
        <f t="shared" si="2"/>
        <v>174341.01300000001</v>
      </c>
      <c r="N344" s="15">
        <f t="shared" si="2"/>
        <v>228477.84399999998</v>
      </c>
      <c r="O344" s="15">
        <f t="shared" si="2"/>
        <v>617983.25599999994</v>
      </c>
      <c r="P344" s="15">
        <f t="shared" si="2"/>
        <v>701120.0780000001</v>
      </c>
      <c r="Q344" s="15">
        <f t="shared" si="2"/>
        <v>620748.12099999993</v>
      </c>
      <c r="R344" s="15">
        <f>SUMIF($E$5:$E$337,$E$344,R5:R337)</f>
        <v>13093.506000000001</v>
      </c>
      <c r="S344" s="15">
        <f t="shared" si="2"/>
        <v>0</v>
      </c>
      <c r="T344" s="15">
        <f t="shared" si="2"/>
        <v>18261.888999999999</v>
      </c>
      <c r="U344" s="15">
        <f t="shared" si="2"/>
        <v>1554.6179999999999</v>
      </c>
      <c r="V344" s="15">
        <f t="shared" si="2"/>
        <v>4887.1229999999996</v>
      </c>
      <c r="W344" s="15">
        <f t="shared" si="2"/>
        <v>50094.466000000008</v>
      </c>
      <c r="X344" s="15">
        <f t="shared" si="2"/>
        <v>2820.8229999999999</v>
      </c>
      <c r="Y344" s="15">
        <f t="shared" si="2"/>
        <v>5672.9530000000004</v>
      </c>
      <c r="Z344" s="15">
        <f t="shared" si="2"/>
        <v>174517.88099999999</v>
      </c>
      <c r="AA344" s="15">
        <f t="shared" si="2"/>
        <v>23328.432000000001</v>
      </c>
      <c r="AB344" s="15">
        <f t="shared" si="2"/>
        <v>55395.975000000006</v>
      </c>
      <c r="AC344" s="15">
        <f t="shared" si="2"/>
        <v>0</v>
      </c>
      <c r="AD344" s="15">
        <f t="shared" si="2"/>
        <v>275528.07199999999</v>
      </c>
      <c r="AE344" s="15">
        <f t="shared" si="2"/>
        <v>0</v>
      </c>
      <c r="AF344" s="15">
        <f t="shared" si="2"/>
        <v>273871.03000000003</v>
      </c>
      <c r="AG344" s="15">
        <f t="shared" si="2"/>
        <v>10.529</v>
      </c>
      <c r="AH344" s="15">
        <f t="shared" si="2"/>
        <v>20567.741000000002</v>
      </c>
      <c r="AI344" s="15">
        <f t="shared" si="2"/>
        <v>6980.5209999999997</v>
      </c>
      <c r="AJ344" s="15">
        <f t="shared" si="2"/>
        <v>688755.31300000008</v>
      </c>
      <c r="AK344" s="15">
        <f t="shared" si="2"/>
        <v>38455.671999999999</v>
      </c>
      <c r="AL344" s="15">
        <f t="shared" si="2"/>
        <v>20134.994000000002</v>
      </c>
      <c r="AM344" s="15">
        <f t="shared" si="2"/>
        <v>1808230.8460000004</v>
      </c>
      <c r="AN344" s="15">
        <f t="shared" si="2"/>
        <v>74189.936000000002</v>
      </c>
      <c r="AO344" s="15">
        <f t="shared" si="2"/>
        <v>0</v>
      </c>
      <c r="AP344" s="15">
        <f t="shared" si="2"/>
        <v>0</v>
      </c>
      <c r="AQ344" s="15">
        <f t="shared" si="2"/>
        <v>42923.391000000003</v>
      </c>
      <c r="AR344" s="15">
        <f t="shared" si="2"/>
        <v>37588.909</v>
      </c>
      <c r="AS344" s="15">
        <f t="shared" si="2"/>
        <v>0</v>
      </c>
      <c r="AT344" s="15">
        <f>SUMIF($E$5:$E$337,$E$344,AT5:AT337)</f>
        <v>35540.493000000002</v>
      </c>
      <c r="AU344" s="15">
        <f>SUMIF($E$5:$E$337,$E$344,AU5:AU337)</f>
        <v>0</v>
      </c>
      <c r="AV344" s="15">
        <f>SUMIF($E$5:$E$337,$E$344,AV5:AV337)</f>
        <v>1716.569</v>
      </c>
      <c r="AW344" s="15">
        <f>SUMIF($E$5:$E$337,$E$344,AW5:AW337)</f>
        <v>2495.1579999999999</v>
      </c>
      <c r="AX344" s="15">
        <f t="shared" si="2"/>
        <v>0</v>
      </c>
      <c r="AY344" s="15">
        <f t="shared" si="2"/>
        <v>11191.054</v>
      </c>
      <c r="AZ344" s="15">
        <f t="shared" si="2"/>
        <v>0</v>
      </c>
      <c r="BA344" s="15">
        <f t="shared" si="2"/>
        <v>1127.7669999999998</v>
      </c>
      <c r="BB344" s="15">
        <f t="shared" si="2"/>
        <v>0</v>
      </c>
      <c r="BC344" s="15">
        <f t="shared" si="2"/>
        <v>28804.566000000003</v>
      </c>
      <c r="BD344" s="15">
        <f t="shared" si="2"/>
        <v>0</v>
      </c>
      <c r="BE344" s="15">
        <f t="shared" si="2"/>
        <v>0</v>
      </c>
      <c r="BF344" s="15">
        <f>SUMIF($E$5:$E$337,$E$344,BF5:BF337)</f>
        <v>39317.087</v>
      </c>
      <c r="BG344" s="22"/>
    </row>
    <row r="345" spans="1:59">
      <c r="A345" s="23"/>
      <c r="B345" t="s">
        <v>610</v>
      </c>
      <c r="E345">
        <v>3</v>
      </c>
      <c r="F345" s="15">
        <f t="shared" ref="F345:BE345" si="3">SUMIF($E$5:$E$337,$E$345,F5:F337)</f>
        <v>1378234.689</v>
      </c>
      <c r="G345" s="15">
        <f t="shared" si="3"/>
        <v>228653.14500000005</v>
      </c>
      <c r="H345" s="15">
        <f t="shared" si="3"/>
        <v>513467.26300000004</v>
      </c>
      <c r="I345" s="15">
        <f t="shared" si="3"/>
        <v>71138.205000000002</v>
      </c>
      <c r="J345" s="15">
        <f t="shared" si="3"/>
        <v>47290.492000000006</v>
      </c>
      <c r="K345" s="15">
        <f t="shared" si="3"/>
        <v>345015.924</v>
      </c>
      <c r="L345" s="15">
        <f t="shared" si="3"/>
        <v>370632.54399999994</v>
      </c>
      <c r="M345" s="15">
        <f t="shared" si="3"/>
        <v>391087.82900000003</v>
      </c>
      <c r="N345" s="15">
        <f t="shared" si="3"/>
        <v>67475.103000000003</v>
      </c>
      <c r="O345" s="15">
        <f t="shared" si="3"/>
        <v>908354.00999999978</v>
      </c>
      <c r="P345" s="15">
        <f t="shared" si="3"/>
        <v>1072821.4079999998</v>
      </c>
      <c r="Q345" s="15">
        <f t="shared" si="3"/>
        <v>897796.83</v>
      </c>
      <c r="R345" s="15">
        <f>SUMIF($E$5:$E$337,$E$345,R5:R337)</f>
        <v>3391.6180000000004</v>
      </c>
      <c r="S345" s="15">
        <f t="shared" si="3"/>
        <v>0</v>
      </c>
      <c r="T345" s="15">
        <f t="shared" si="3"/>
        <v>175.90200000000002</v>
      </c>
      <c r="U345" s="15">
        <f t="shared" si="3"/>
        <v>3845.453</v>
      </c>
      <c r="V345" s="15">
        <f t="shared" si="3"/>
        <v>14511.483</v>
      </c>
      <c r="W345" s="15">
        <f t="shared" si="3"/>
        <v>95300.847999999998</v>
      </c>
      <c r="X345" s="15">
        <f t="shared" si="3"/>
        <v>0</v>
      </c>
      <c r="Y345" s="15">
        <f t="shared" si="3"/>
        <v>26422.241000000002</v>
      </c>
      <c r="Z345" s="15">
        <f t="shared" si="3"/>
        <v>51539.404000000002</v>
      </c>
      <c r="AA345" s="15">
        <f t="shared" si="3"/>
        <v>39787.704000000005</v>
      </c>
      <c r="AB345" s="15">
        <f t="shared" si="3"/>
        <v>107802.64800000002</v>
      </c>
      <c r="AC345" s="15">
        <f t="shared" si="3"/>
        <v>0</v>
      </c>
      <c r="AD345" s="15">
        <f t="shared" si="3"/>
        <v>250930.15400000001</v>
      </c>
      <c r="AE345" s="15">
        <f t="shared" si="3"/>
        <v>15089.763000000001</v>
      </c>
      <c r="AF345" s="15">
        <f t="shared" si="3"/>
        <v>387114.19999999995</v>
      </c>
      <c r="AG345" s="15">
        <f t="shared" si="3"/>
        <v>0</v>
      </c>
      <c r="AH345" s="15">
        <f t="shared" si="3"/>
        <v>39241.072</v>
      </c>
      <c r="AI345" s="15">
        <f t="shared" si="3"/>
        <v>12656.03</v>
      </c>
      <c r="AJ345" s="15">
        <f t="shared" si="3"/>
        <v>455700.12500000006</v>
      </c>
      <c r="AK345" s="15">
        <f t="shared" si="3"/>
        <v>14152.207999999999</v>
      </c>
      <c r="AL345" s="15">
        <f t="shared" si="3"/>
        <v>49063.803</v>
      </c>
      <c r="AM345" s="15">
        <f t="shared" si="3"/>
        <v>2243385.773</v>
      </c>
      <c r="AN345" s="15">
        <f t="shared" si="3"/>
        <v>27293.431</v>
      </c>
      <c r="AO345" s="15">
        <f t="shared" si="3"/>
        <v>85104.005999999994</v>
      </c>
      <c r="AP345" s="15">
        <f t="shared" si="3"/>
        <v>0</v>
      </c>
      <c r="AQ345" s="15">
        <f t="shared" si="3"/>
        <v>95436.933000000019</v>
      </c>
      <c r="AR345" s="15">
        <f t="shared" si="3"/>
        <v>79596.145000000019</v>
      </c>
      <c r="AS345" s="15">
        <f t="shared" si="3"/>
        <v>0</v>
      </c>
      <c r="AT345" s="15">
        <f>SUMIF($E$5:$E$337,$E$345,AT5:AT337)</f>
        <v>10495.977999999999</v>
      </c>
      <c r="AU345" s="15">
        <f>SUMIF($E$5:$E$337,$E$345,AU5:AU337)</f>
        <v>0</v>
      </c>
      <c r="AV345" s="15">
        <f>SUMIF($E$5:$E$337,$E$345,AV5:AV337)</f>
        <v>2623.9760000000006</v>
      </c>
      <c r="AW345" s="15">
        <f>SUMIF($E$5:$E$337,$E$345,AW5:AW337)</f>
        <v>4079.2919999999995</v>
      </c>
      <c r="AX345" s="15">
        <f t="shared" si="3"/>
        <v>0</v>
      </c>
      <c r="AY345" s="15">
        <f t="shared" si="3"/>
        <v>4009.8489999999997</v>
      </c>
      <c r="AZ345" s="15">
        <f t="shared" si="3"/>
        <v>0</v>
      </c>
      <c r="BA345" s="15">
        <f t="shared" si="3"/>
        <v>752.03899999999999</v>
      </c>
      <c r="BB345" s="15">
        <f t="shared" si="3"/>
        <v>0</v>
      </c>
      <c r="BC345" s="15">
        <f t="shared" si="3"/>
        <v>24699.481</v>
      </c>
      <c r="BD345" s="15">
        <f t="shared" si="3"/>
        <v>0</v>
      </c>
      <c r="BE345" s="15">
        <f t="shared" si="3"/>
        <v>0</v>
      </c>
      <c r="BF345" s="15">
        <f>SUMIF($E$5:$E$337,$E$345,BF5:BF337)</f>
        <v>136775.50100000002</v>
      </c>
      <c r="BG345" s="22"/>
    </row>
    <row r="346" spans="1:59">
      <c r="A346" s="23"/>
      <c r="B346" t="s">
        <v>611</v>
      </c>
      <c r="C346">
        <v>7</v>
      </c>
      <c r="E346">
        <v>4</v>
      </c>
      <c r="F346" s="15">
        <f t="shared" ref="F346:BE346" si="4">SUMIF($E$5:$E$337,$E$346,F5:F337)</f>
        <v>785590.88900000008</v>
      </c>
      <c r="G346" s="15">
        <f t="shared" si="4"/>
        <v>231267.29999999996</v>
      </c>
      <c r="H346" s="15">
        <f t="shared" si="4"/>
        <v>658.95299999999997</v>
      </c>
      <c r="I346" s="15">
        <f t="shared" si="4"/>
        <v>12290.819</v>
      </c>
      <c r="J346" s="15">
        <f t="shared" si="4"/>
        <v>11759.689999999997</v>
      </c>
      <c r="K346" s="15">
        <f t="shared" si="4"/>
        <v>1667.646</v>
      </c>
      <c r="L346" s="15">
        <f t="shared" si="4"/>
        <v>1137667.3560000001</v>
      </c>
      <c r="M346" s="15">
        <f t="shared" si="4"/>
        <v>82005.326000000001</v>
      </c>
      <c r="N346" s="15">
        <f t="shared" si="4"/>
        <v>0</v>
      </c>
      <c r="O346" s="15">
        <f t="shared" si="4"/>
        <v>134389.98800000001</v>
      </c>
      <c r="P346" s="15">
        <f t="shared" si="4"/>
        <v>2855257.87</v>
      </c>
      <c r="Q346" s="15">
        <f t="shared" si="4"/>
        <v>162912.92600000004</v>
      </c>
      <c r="R346" s="15">
        <f>SUMIF($E$5:$E$337,$E$346,R5:R337)</f>
        <v>0</v>
      </c>
      <c r="S346" s="15">
        <f t="shared" si="4"/>
        <v>1361.434</v>
      </c>
      <c r="T346" s="15">
        <f t="shared" si="4"/>
        <v>65.623999999999995</v>
      </c>
      <c r="U346" s="15">
        <f t="shared" si="4"/>
        <v>1001.442</v>
      </c>
      <c r="V346" s="15">
        <f t="shared" si="4"/>
        <v>97.14</v>
      </c>
      <c r="W346" s="15">
        <f t="shared" si="4"/>
        <v>68249.428999999975</v>
      </c>
      <c r="X346" s="15">
        <f t="shared" si="4"/>
        <v>0</v>
      </c>
      <c r="Y346" s="15">
        <f t="shared" si="4"/>
        <v>15311.987000000001</v>
      </c>
      <c r="Z346" s="15">
        <f t="shared" si="4"/>
        <v>0</v>
      </c>
      <c r="AA346" s="15">
        <f t="shared" si="4"/>
        <v>152.65000000000003</v>
      </c>
      <c r="AB346" s="15">
        <f t="shared" si="4"/>
        <v>17690.375000000004</v>
      </c>
      <c r="AC346" s="15">
        <f t="shared" si="4"/>
        <v>31594.527999999995</v>
      </c>
      <c r="AD346" s="15">
        <f t="shared" si="4"/>
        <v>433050.26399999991</v>
      </c>
      <c r="AE346" s="15">
        <f t="shared" si="4"/>
        <v>19569.476999999999</v>
      </c>
      <c r="AF346" s="15">
        <f t="shared" si="4"/>
        <v>3247.4169999999999</v>
      </c>
      <c r="AG346" s="15">
        <f t="shared" si="4"/>
        <v>40537.656000000003</v>
      </c>
      <c r="AH346" s="15">
        <f t="shared" si="4"/>
        <v>36570.448999999993</v>
      </c>
      <c r="AI346" s="15">
        <f t="shared" si="4"/>
        <v>14389.194</v>
      </c>
      <c r="AJ346" s="15">
        <f t="shared" si="4"/>
        <v>1074518.415</v>
      </c>
      <c r="AK346" s="15">
        <f t="shared" si="4"/>
        <v>549691.549</v>
      </c>
      <c r="AL346" s="15">
        <f t="shared" si="4"/>
        <v>64526.508999999998</v>
      </c>
      <c r="AM346" s="15">
        <f t="shared" si="4"/>
        <v>3601455.03</v>
      </c>
      <c r="AN346" s="15">
        <f t="shared" si="4"/>
        <v>1061163.8449999997</v>
      </c>
      <c r="AO346" s="15">
        <f t="shared" si="4"/>
        <v>141996.31700000001</v>
      </c>
      <c r="AP346" s="15">
        <f t="shared" si="4"/>
        <v>1722277.89</v>
      </c>
      <c r="AQ346" s="15">
        <f t="shared" si="4"/>
        <v>36674.873999999996</v>
      </c>
      <c r="AR346" s="15">
        <f t="shared" si="4"/>
        <v>13293.736000000001</v>
      </c>
      <c r="AS346" s="15">
        <f t="shared" si="4"/>
        <v>1076459.1130000001</v>
      </c>
      <c r="AT346" s="15">
        <f>SUMIF($E$5:$E$337,$E$346,AT5:AT337)</f>
        <v>0</v>
      </c>
      <c r="AU346" s="15">
        <f>SUMIF($E$5:$E$337,$E$346,AU5:AU337)</f>
        <v>542908.62699999998</v>
      </c>
      <c r="AV346" s="15">
        <f>SUMIF($E$5:$E$337,$E$346,AV5:AV337)</f>
        <v>2212.692</v>
      </c>
      <c r="AW346" s="15">
        <f>SUMIF($E$5:$E$337,$E$346,AW5:AW337)</f>
        <v>1402.336</v>
      </c>
      <c r="AX346" s="15">
        <f t="shared" si="4"/>
        <v>23861.25</v>
      </c>
      <c r="AY346" s="15">
        <f t="shared" si="4"/>
        <v>158410.43299999999</v>
      </c>
      <c r="AZ346" s="15">
        <f t="shared" si="4"/>
        <v>11751.607</v>
      </c>
      <c r="BA346" s="15">
        <f t="shared" si="4"/>
        <v>632.78</v>
      </c>
      <c r="BB346" s="15">
        <f t="shared" si="4"/>
        <v>0</v>
      </c>
      <c r="BC346" s="15">
        <f t="shared" si="4"/>
        <v>8527.998999999998</v>
      </c>
      <c r="BD346" s="15">
        <f t="shared" si="4"/>
        <v>49717.360999999997</v>
      </c>
      <c r="BE346" s="15">
        <f t="shared" si="4"/>
        <v>42387.777000000002</v>
      </c>
      <c r="BF346" s="15">
        <f>SUMIF($E$5:$E$337,$E$346,BF5:BF337)</f>
        <v>75752.699000000008</v>
      </c>
      <c r="BG346" s="22"/>
    </row>
    <row r="347" spans="1:59">
      <c r="A347" s="23"/>
      <c r="B347" t="s">
        <v>612</v>
      </c>
      <c r="E347">
        <v>5</v>
      </c>
      <c r="F347" s="15">
        <f t="shared" ref="F347:BE347" si="5">SUMIF($E$5:$E$337,$E$347,F5:F337)</f>
        <v>429615.337</v>
      </c>
      <c r="G347" s="15">
        <f t="shared" si="5"/>
        <v>37242.483999999989</v>
      </c>
      <c r="H347" s="15">
        <f t="shared" si="5"/>
        <v>94071.422000000006</v>
      </c>
      <c r="I347" s="15">
        <f t="shared" si="5"/>
        <v>938432.53399999999</v>
      </c>
      <c r="J347" s="15">
        <f t="shared" si="5"/>
        <v>12095.813</v>
      </c>
      <c r="K347" s="15">
        <f t="shared" si="5"/>
        <v>69807.925000000003</v>
      </c>
      <c r="L347" s="15">
        <f t="shared" si="5"/>
        <v>476013.38600000012</v>
      </c>
      <c r="M347" s="15">
        <f t="shared" si="5"/>
        <v>61520.713000000011</v>
      </c>
      <c r="N347" s="15">
        <f t="shared" si="5"/>
        <v>6821.0919999999996</v>
      </c>
      <c r="O347" s="15">
        <f t="shared" si="5"/>
        <v>208450.77100000004</v>
      </c>
      <c r="P347" s="15">
        <f t="shared" si="5"/>
        <v>542159.24099999992</v>
      </c>
      <c r="Q347" s="15">
        <f t="shared" si="5"/>
        <v>256134.011</v>
      </c>
      <c r="R347" s="15">
        <f>SUMIF($E$5:$E$337,$E$347,R5:R337)</f>
        <v>0</v>
      </c>
      <c r="S347" s="15">
        <f t="shared" si="5"/>
        <v>0</v>
      </c>
      <c r="T347" s="15">
        <f t="shared" si="5"/>
        <v>2503.5260000000003</v>
      </c>
      <c r="U347" s="15">
        <f t="shared" si="5"/>
        <v>0</v>
      </c>
      <c r="V347" s="15">
        <f t="shared" si="5"/>
        <v>99.969000000000008</v>
      </c>
      <c r="W347" s="15">
        <f t="shared" si="5"/>
        <v>-3858.549</v>
      </c>
      <c r="X347" s="15">
        <f t="shared" si="5"/>
        <v>0</v>
      </c>
      <c r="Y347" s="15">
        <f t="shared" si="5"/>
        <v>11.529</v>
      </c>
      <c r="Z347" s="15">
        <f t="shared" si="5"/>
        <v>2502.4029999999998</v>
      </c>
      <c r="AA347" s="15">
        <f t="shared" si="5"/>
        <v>5823.32</v>
      </c>
      <c r="AB347" s="15">
        <f t="shared" si="5"/>
        <v>19698.572</v>
      </c>
      <c r="AC347" s="15">
        <f t="shared" si="5"/>
        <v>0</v>
      </c>
      <c r="AD347" s="15">
        <f t="shared" si="5"/>
        <v>180797.565</v>
      </c>
      <c r="AE347" s="15">
        <f t="shared" si="5"/>
        <v>0</v>
      </c>
      <c r="AF347" s="15">
        <f t="shared" si="5"/>
        <v>53082.268000000011</v>
      </c>
      <c r="AG347" s="15">
        <f t="shared" si="5"/>
        <v>-9.0399999999999991</v>
      </c>
      <c r="AH347" s="15">
        <f t="shared" si="5"/>
        <v>6842.420000000001</v>
      </c>
      <c r="AI347" s="15">
        <f t="shared" si="5"/>
        <v>0</v>
      </c>
      <c r="AJ347" s="15">
        <f t="shared" si="5"/>
        <v>529325.78500000003</v>
      </c>
      <c r="AK347" s="15">
        <f t="shared" si="5"/>
        <v>-17931.344000000001</v>
      </c>
      <c r="AL347" s="15">
        <f t="shared" si="5"/>
        <v>1298.7149999999999</v>
      </c>
      <c r="AM347" s="15">
        <f t="shared" si="5"/>
        <v>1223971.3570000001</v>
      </c>
      <c r="AN347" s="15">
        <f t="shared" si="5"/>
        <v>9463.3439999999973</v>
      </c>
      <c r="AO347" s="15">
        <f t="shared" si="5"/>
        <v>146.43700000000001</v>
      </c>
      <c r="AP347" s="15">
        <f t="shared" si="5"/>
        <v>90.201999999999998</v>
      </c>
      <c r="AQ347" s="15">
        <f t="shared" si="5"/>
        <v>386.10899999999998</v>
      </c>
      <c r="AR347" s="15">
        <f t="shared" si="5"/>
        <v>0</v>
      </c>
      <c r="AS347" s="15">
        <f t="shared" si="5"/>
        <v>577.47699999999998</v>
      </c>
      <c r="AT347" s="15">
        <f>SUMIF($E$5:$E$337,$E$347,AT5:AT337)</f>
        <v>548.91099999999994</v>
      </c>
      <c r="AU347" s="15">
        <f>SUMIF($E$5:$E$337,$E$347,AU5:AU337)</f>
        <v>651.30100000000004</v>
      </c>
      <c r="AV347" s="15">
        <f>SUMIF($E$5:$E$337,$E$347,AV5:AV337)</f>
        <v>-174.16499999999999</v>
      </c>
      <c r="AW347" s="15">
        <f>SUMIF($E$5:$E$337,$E$347,AW5:AW337)</f>
        <v>0</v>
      </c>
      <c r="AX347" s="15">
        <f t="shared" si="5"/>
        <v>0</v>
      </c>
      <c r="AY347" s="15">
        <f t="shared" si="5"/>
        <v>-7523.9059999999999</v>
      </c>
      <c r="AZ347" s="15">
        <f t="shared" si="5"/>
        <v>0</v>
      </c>
      <c r="BA347" s="15">
        <f t="shared" si="5"/>
        <v>-38.281999999999996</v>
      </c>
      <c r="BB347" s="15">
        <f t="shared" si="5"/>
        <v>0</v>
      </c>
      <c r="BC347" s="15">
        <f t="shared" si="5"/>
        <v>-299.28999999999996</v>
      </c>
      <c r="BD347" s="15">
        <f t="shared" si="5"/>
        <v>0</v>
      </c>
      <c r="BE347" s="15">
        <f t="shared" si="5"/>
        <v>0</v>
      </c>
      <c r="BF347" s="15">
        <f>SUMIF($E$5:$E$337,$E$347,BF5:BF337)</f>
        <v>-8168.951</v>
      </c>
      <c r="BG347" s="22"/>
    </row>
    <row r="348" spans="1:59">
      <c r="A348" s="23"/>
      <c r="B348" t="s">
        <v>613</v>
      </c>
      <c r="C348">
        <v>7</v>
      </c>
      <c r="E348">
        <v>6</v>
      </c>
      <c r="F348" s="15">
        <f t="shared" ref="F348:BE348" si="6">SUMIF($E$5:$E$337,$E$348,F5:F337)+SUMIF($E$5:$E$337,$C$348,F5:F337)</f>
        <v>1038567.0000000002</v>
      </c>
      <c r="G348" s="15">
        <f t="shared" si="6"/>
        <v>57975.919999999991</v>
      </c>
      <c r="H348" s="15">
        <f t="shared" si="6"/>
        <v>63314.804000000004</v>
      </c>
      <c r="I348" s="15">
        <f t="shared" si="6"/>
        <v>10312.044000000005</v>
      </c>
      <c r="J348" s="15">
        <f t="shared" si="6"/>
        <v>9583.4760000000042</v>
      </c>
      <c r="K348" s="15">
        <f t="shared" si="6"/>
        <v>42383.221999999987</v>
      </c>
      <c r="L348" s="15">
        <f t="shared" si="6"/>
        <v>998225.8899999999</v>
      </c>
      <c r="M348" s="15">
        <f t="shared" si="6"/>
        <v>82815.412000000026</v>
      </c>
      <c r="N348" s="15">
        <f t="shared" si="6"/>
        <v>4602.2520000000004</v>
      </c>
      <c r="O348" s="15">
        <f t="shared" si="6"/>
        <v>465314.7919999999</v>
      </c>
      <c r="P348" s="15">
        <f t="shared" si="6"/>
        <v>1909360.6029999999</v>
      </c>
      <c r="Q348" s="15">
        <f t="shared" si="6"/>
        <v>460905.31300000002</v>
      </c>
      <c r="R348" s="15">
        <f>SUMIF($E$5:$E$337,$E$348,R5:R337)+SUMIF($E$5:$E$337,$C$348,R5:R337)</f>
        <v>-6.92</v>
      </c>
      <c r="S348" s="15">
        <f t="shared" si="6"/>
        <v>58.892000000000181</v>
      </c>
      <c r="T348" s="15">
        <f t="shared" si="6"/>
        <v>1432.444</v>
      </c>
      <c r="U348" s="15">
        <f t="shared" si="6"/>
        <v>69.020999999999987</v>
      </c>
      <c r="V348" s="15">
        <f t="shared" si="6"/>
        <v>892.13399999999979</v>
      </c>
      <c r="W348" s="15">
        <f t="shared" si="6"/>
        <v>6872.1240000000007</v>
      </c>
      <c r="X348" s="15">
        <f t="shared" si="6"/>
        <v>-1.5449999999999999</v>
      </c>
      <c r="Y348" s="15">
        <f t="shared" si="6"/>
        <v>849.25499999999943</v>
      </c>
      <c r="Z348" s="15">
        <f t="shared" si="6"/>
        <v>3546.924</v>
      </c>
      <c r="AA348" s="15">
        <f t="shared" si="6"/>
        <v>3946.6699999999996</v>
      </c>
      <c r="AB348" s="15">
        <f t="shared" si="6"/>
        <v>13241.203000000005</v>
      </c>
      <c r="AC348" s="15">
        <f t="shared" si="6"/>
        <v>1661.4970000000028</v>
      </c>
      <c r="AD348" s="15">
        <f t="shared" si="6"/>
        <v>203192.98600000003</v>
      </c>
      <c r="AE348" s="15">
        <f t="shared" si="6"/>
        <v>777.99199999999837</v>
      </c>
      <c r="AF348" s="15">
        <f t="shared" si="6"/>
        <v>46195.809000000023</v>
      </c>
      <c r="AG348" s="15">
        <f t="shared" si="6"/>
        <v>1857.4199999999926</v>
      </c>
      <c r="AH348" s="15">
        <f t="shared" si="6"/>
        <v>6242.8999999999969</v>
      </c>
      <c r="AI348" s="15">
        <f t="shared" si="6"/>
        <v>239.78100000000009</v>
      </c>
      <c r="AJ348" s="15">
        <f t="shared" si="6"/>
        <v>811604.78700000001</v>
      </c>
      <c r="AK348" s="15">
        <f t="shared" si="6"/>
        <v>11076.530999999999</v>
      </c>
      <c r="AL348" s="15">
        <f t="shared" si="6"/>
        <v>815.94999999999959</v>
      </c>
      <c r="AM348" s="15">
        <f t="shared" si="6"/>
        <v>2417619.1810000003</v>
      </c>
      <c r="AN348" s="15">
        <f t="shared" si="6"/>
        <v>21602.206000000009</v>
      </c>
      <c r="AO348" s="15">
        <f t="shared" si="6"/>
        <v>4485.0500000000111</v>
      </c>
      <c r="AP348" s="15">
        <f t="shared" si="6"/>
        <v>-54087.862000000081</v>
      </c>
      <c r="AQ348" s="15">
        <f t="shared" si="6"/>
        <v>2112.3569999999913</v>
      </c>
      <c r="AR348" s="15">
        <f t="shared" si="6"/>
        <v>1086.1369999999977</v>
      </c>
      <c r="AS348" s="15">
        <f t="shared" si="6"/>
        <v>-34552.274999999827</v>
      </c>
      <c r="AT348" s="15">
        <f>SUMIF($E$5:$E$337,$E$348,AT5:AT337)+SUMIF($E$5:$E$337,$C$348,AT5:AT337)</f>
        <v>699.87800000000004</v>
      </c>
      <c r="AU348" s="15">
        <f>SUMIF($E$5:$E$337,$E$348,AU5:AU337)+SUMIF($E$5:$E$337,$C$348,AU5:AU337)</f>
        <v>-17545.010999999969</v>
      </c>
      <c r="AV348" s="15">
        <f>SUMIF($E$5:$E$337,$E$348,AV5:AV337)+SUMIF($E$5:$E$337,$C$348,AV5:AV337)</f>
        <v>136.73299999999998</v>
      </c>
      <c r="AW348" s="15">
        <f>SUMIF($E$5:$E$337,$E$348,AW5:AW337)+SUMIF($E$5:$E$337,$C$348,AW5:AW337)</f>
        <v>102.56800000000038</v>
      </c>
      <c r="AX348" s="15">
        <f t="shared" si="6"/>
        <v>-5.8320000000000007</v>
      </c>
      <c r="AY348" s="15">
        <f t="shared" si="6"/>
        <v>2023.8629999999998</v>
      </c>
      <c r="AZ348" s="15">
        <f t="shared" si="6"/>
        <v>-4.0910000000000002</v>
      </c>
      <c r="BA348" s="15">
        <f t="shared" si="6"/>
        <v>159.74500000000003</v>
      </c>
      <c r="BB348" s="15">
        <f t="shared" si="6"/>
        <v>0</v>
      </c>
      <c r="BC348" s="15">
        <f t="shared" si="6"/>
        <v>973.50200000000018</v>
      </c>
      <c r="BD348" s="15">
        <f t="shared" si="6"/>
        <v>10.535</v>
      </c>
      <c r="BE348" s="15">
        <f t="shared" si="6"/>
        <v>-33.140999999999998</v>
      </c>
      <c r="BF348" s="15">
        <f>SUMIF($E$5:$E$337,$E$348,BF5:BF337)+SUMIF($E$5:$E$337,$C$348,BF5:BF337)</f>
        <v>3714.838999999999</v>
      </c>
      <c r="BG348" s="22"/>
    </row>
    <row r="349" spans="1:59">
      <c r="A349" s="23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22"/>
    </row>
    <row r="350" spans="1:59">
      <c r="A350" s="23"/>
      <c r="F350">
        <f t="shared" ref="F350:Q350" si="7">SUM(F343:F349)</f>
        <v>5698283.7510000002</v>
      </c>
      <c r="G350">
        <f t="shared" si="7"/>
        <v>873436.00099999993</v>
      </c>
      <c r="H350">
        <f t="shared" si="7"/>
        <v>1083576.872</v>
      </c>
      <c r="I350">
        <f t="shared" si="7"/>
        <v>1062238.9720000001</v>
      </c>
      <c r="J350">
        <f t="shared" si="7"/>
        <v>149827.90299999999</v>
      </c>
      <c r="K350">
        <f t="shared" si="7"/>
        <v>749797.84799999988</v>
      </c>
      <c r="L350">
        <f t="shared" si="7"/>
        <v>4546878.9399999995</v>
      </c>
      <c r="M350">
        <f t="shared" si="7"/>
        <v>882738.58400000003</v>
      </c>
      <c r="N350">
        <f t="shared" si="7"/>
        <v>311483.77699999994</v>
      </c>
      <c r="O350">
        <f t="shared" si="7"/>
        <v>2496574.9349999996</v>
      </c>
      <c r="P350" s="16">
        <f t="shared" si="7"/>
        <v>8829255.8499999996</v>
      </c>
      <c r="Q350">
        <f t="shared" si="7"/>
        <v>2572555.7790000001</v>
      </c>
      <c r="R350">
        <f>SUM(R343:R349)</f>
        <v>16839.759000000005</v>
      </c>
      <c r="S350">
        <f t="shared" ref="S350:AS350" si="8">SUM(S343:S349)</f>
        <v>5896.3209999999999</v>
      </c>
      <c r="T350">
        <f t="shared" si="8"/>
        <v>23507.025999999998</v>
      </c>
      <c r="U350">
        <f t="shared" si="8"/>
        <v>10968.039000000001</v>
      </c>
      <c r="V350">
        <f t="shared" si="8"/>
        <v>21991.745999999999</v>
      </c>
      <c r="W350">
        <f t="shared" si="8"/>
        <v>260267.38699999999</v>
      </c>
      <c r="X350">
        <f t="shared" si="8"/>
        <v>2865.962</v>
      </c>
      <c r="Y350">
        <f t="shared" si="8"/>
        <v>112043.94799999999</v>
      </c>
      <c r="Z350">
        <f t="shared" si="8"/>
        <v>237586.81699999998</v>
      </c>
      <c r="AA350">
        <f t="shared" si="8"/>
        <v>78540.357000000004</v>
      </c>
      <c r="AB350">
        <f t="shared" si="8"/>
        <v>234966.50300000006</v>
      </c>
      <c r="AC350">
        <f t="shared" si="8"/>
        <v>200625.978</v>
      </c>
      <c r="AD350">
        <f t="shared" si="8"/>
        <v>1676639.3059999999</v>
      </c>
      <c r="AE350">
        <f t="shared" si="8"/>
        <v>88165.407000000007</v>
      </c>
      <c r="AF350">
        <f t="shared" si="8"/>
        <v>812136.17800000007</v>
      </c>
      <c r="AG350">
        <f t="shared" si="8"/>
        <v>183166.57499999998</v>
      </c>
      <c r="AH350">
        <f t="shared" si="8"/>
        <v>136372.41399999999</v>
      </c>
      <c r="AI350">
        <f t="shared" si="8"/>
        <v>47198.502999999997</v>
      </c>
      <c r="AJ350">
        <f t="shared" si="8"/>
        <v>4336904.8100000005</v>
      </c>
      <c r="AK350">
        <f t="shared" si="8"/>
        <v>907514.47599999991</v>
      </c>
      <c r="AL350">
        <f t="shared" si="8"/>
        <v>190302.48500000002</v>
      </c>
      <c r="AM350">
        <f t="shared" si="8"/>
        <v>13623107.785</v>
      </c>
      <c r="AN350">
        <f t="shared" si="8"/>
        <v>1798244.0869999998</v>
      </c>
      <c r="AO350">
        <f t="shared" si="8"/>
        <v>552206.67900000012</v>
      </c>
      <c r="AP350">
        <f t="shared" si="8"/>
        <v>6691666.9749999987</v>
      </c>
      <c r="AQ350">
        <f t="shared" si="8"/>
        <v>322470.60200000007</v>
      </c>
      <c r="AR350">
        <f t="shared" si="8"/>
        <v>197983.13200000001</v>
      </c>
      <c r="AS350">
        <f t="shared" si="8"/>
        <v>4185175.0550000002</v>
      </c>
      <c r="AT350">
        <f>SUM(AT343:AT349)</f>
        <v>47997.779000000002</v>
      </c>
      <c r="AU350">
        <f>SUM(AU343:AU349)</f>
        <v>2113943.6520000002</v>
      </c>
      <c r="AV350">
        <f>SUM(AV343:AV349)</f>
        <v>8419.277</v>
      </c>
      <c r="AW350">
        <f>SUM(AW343:AW349)</f>
        <v>14943.589</v>
      </c>
      <c r="AX350">
        <f>SUM(AX343:AX349)</f>
        <v>26791.823</v>
      </c>
      <c r="AY350">
        <f t="shared" ref="AY350:BE350" si="9">SUM(AY343:AY349)</f>
        <v>259007.37100000001</v>
      </c>
      <c r="AZ350">
        <f t="shared" si="9"/>
        <v>13120.135</v>
      </c>
      <c r="BA350">
        <f t="shared" si="9"/>
        <v>3158.7259999999997</v>
      </c>
      <c r="BB350">
        <f t="shared" si="9"/>
        <v>0</v>
      </c>
      <c r="BC350">
        <f t="shared" si="9"/>
        <v>81611.305000000008</v>
      </c>
      <c r="BD350">
        <f t="shared" si="9"/>
        <v>55286.07</v>
      </c>
      <c r="BE350">
        <f t="shared" si="9"/>
        <v>47906.994999999995</v>
      </c>
      <c r="BF350">
        <f>SUM(BF343:BF349)</f>
        <v>341657.36099999998</v>
      </c>
      <c r="BG350" s="22"/>
    </row>
    <row r="351" spans="1:59">
      <c r="A351" s="23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22"/>
    </row>
    <row r="352" spans="1:59">
      <c r="A352" s="23"/>
      <c r="B352" s="7"/>
      <c r="C352" s="7"/>
      <c r="D352" s="7"/>
      <c r="E352" s="7"/>
      <c r="F352" s="7">
        <f t="shared" ref="F352:AU352" si="10">F350-F338</f>
        <v>5698283.7510000002</v>
      </c>
      <c r="G352" s="7">
        <f t="shared" si="10"/>
        <v>873436.00099999993</v>
      </c>
      <c r="H352" s="7">
        <f t="shared" si="10"/>
        <v>1083576.872</v>
      </c>
      <c r="I352" s="7">
        <f t="shared" si="10"/>
        <v>1062238.9720000001</v>
      </c>
      <c r="J352" s="7">
        <f t="shared" si="10"/>
        <v>149827.90299999999</v>
      </c>
      <c r="K352" s="7">
        <f t="shared" si="10"/>
        <v>749797.84799999988</v>
      </c>
      <c r="L352" s="7">
        <f t="shared" si="10"/>
        <v>4546878.9399999995</v>
      </c>
      <c r="M352" s="7">
        <f t="shared" si="10"/>
        <v>882738.58400000003</v>
      </c>
      <c r="N352" s="7">
        <f t="shared" si="10"/>
        <v>311483.77699999994</v>
      </c>
      <c r="O352" s="7">
        <f t="shared" si="10"/>
        <v>2496574.9349999996</v>
      </c>
      <c r="P352" s="17">
        <f t="shared" si="10"/>
        <v>8829255.8499999996</v>
      </c>
      <c r="Q352" s="7">
        <f t="shared" si="10"/>
        <v>2572555.7790000001</v>
      </c>
      <c r="R352" s="7">
        <f>R350-R338</f>
        <v>16839.759000000005</v>
      </c>
      <c r="S352" s="7">
        <f t="shared" si="10"/>
        <v>5896.3209999999999</v>
      </c>
      <c r="T352" s="7">
        <f t="shared" si="10"/>
        <v>23507.025999999998</v>
      </c>
      <c r="U352" s="7">
        <f t="shared" si="10"/>
        <v>10968.039000000001</v>
      </c>
      <c r="V352" s="7">
        <f t="shared" si="10"/>
        <v>21991.745999999999</v>
      </c>
      <c r="W352" s="7">
        <f t="shared" si="10"/>
        <v>260267.38699999999</v>
      </c>
      <c r="X352" s="7">
        <f t="shared" si="10"/>
        <v>2865.962</v>
      </c>
      <c r="Y352" s="7">
        <f t="shared" si="10"/>
        <v>112043.94799999999</v>
      </c>
      <c r="Z352" s="7">
        <f t="shared" si="10"/>
        <v>237586.81699999998</v>
      </c>
      <c r="AA352" s="7">
        <f t="shared" si="10"/>
        <v>78540.357000000004</v>
      </c>
      <c r="AB352" s="7">
        <f t="shared" si="10"/>
        <v>234966.50300000006</v>
      </c>
      <c r="AC352" s="7">
        <f t="shared" si="10"/>
        <v>200625.978</v>
      </c>
      <c r="AD352" s="7">
        <f t="shared" si="10"/>
        <v>1676639.3059999999</v>
      </c>
      <c r="AE352" s="7">
        <f t="shared" si="10"/>
        <v>88165.407000000007</v>
      </c>
      <c r="AF352" s="7">
        <f t="shared" si="10"/>
        <v>812136.17800000007</v>
      </c>
      <c r="AG352" s="7">
        <f t="shared" si="10"/>
        <v>183166.57499999998</v>
      </c>
      <c r="AH352" s="7">
        <f t="shared" si="10"/>
        <v>136372.41399999999</v>
      </c>
      <c r="AI352" s="7">
        <f t="shared" si="10"/>
        <v>47198.502999999997</v>
      </c>
      <c r="AJ352" s="7">
        <f t="shared" si="10"/>
        <v>4336904.8100000005</v>
      </c>
      <c r="AK352" s="7">
        <f t="shared" si="10"/>
        <v>907514.47599999991</v>
      </c>
      <c r="AL352" s="7">
        <f t="shared" si="10"/>
        <v>190302.48500000002</v>
      </c>
      <c r="AM352" s="7">
        <f t="shared" si="10"/>
        <v>13623107.785</v>
      </c>
      <c r="AN352" s="7">
        <f t="shared" si="10"/>
        <v>1798244.0869999998</v>
      </c>
      <c r="AO352" s="7">
        <f t="shared" si="10"/>
        <v>552206.67900000012</v>
      </c>
      <c r="AP352" s="7">
        <f t="shared" si="10"/>
        <v>6691666.9749999987</v>
      </c>
      <c r="AQ352" s="7">
        <f t="shared" si="10"/>
        <v>322470.60200000007</v>
      </c>
      <c r="AR352" s="7">
        <f t="shared" si="10"/>
        <v>197983.13200000001</v>
      </c>
      <c r="AS352" s="7">
        <f t="shared" si="10"/>
        <v>4185175.0550000002</v>
      </c>
      <c r="AT352" s="7">
        <f t="shared" si="10"/>
        <v>47997.779000000002</v>
      </c>
      <c r="AU352" s="7">
        <f t="shared" si="10"/>
        <v>2113943.6520000002</v>
      </c>
      <c r="AV352" s="7">
        <f>AV350-AV338</f>
        <v>8419.277</v>
      </c>
      <c r="AW352" s="7">
        <f>AW350-AW338</f>
        <v>14943.589</v>
      </c>
      <c r="AX352" s="7">
        <f t="shared" ref="AX352:BE352" si="11">AX350-AX338</f>
        <v>26791.823</v>
      </c>
      <c r="AY352" s="7">
        <f t="shared" si="11"/>
        <v>259007.37100000001</v>
      </c>
      <c r="AZ352" s="7">
        <f t="shared" si="11"/>
        <v>13120.135</v>
      </c>
      <c r="BA352" s="7">
        <f t="shared" si="11"/>
        <v>3158.7259999999997</v>
      </c>
      <c r="BB352" s="7">
        <f t="shared" si="11"/>
        <v>0</v>
      </c>
      <c r="BC352" s="7">
        <f t="shared" si="11"/>
        <v>81611.305000000008</v>
      </c>
      <c r="BD352" s="7">
        <f t="shared" si="11"/>
        <v>55286.07</v>
      </c>
      <c r="BE352" s="7">
        <f t="shared" si="11"/>
        <v>47906.994999999995</v>
      </c>
      <c r="BF352" s="7">
        <f>BF350-BF338</f>
        <v>341657.36099999998</v>
      </c>
      <c r="BG352" s="22"/>
    </row>
    <row r="353" spans="1:59">
      <c r="A353" s="23"/>
      <c r="F353" s="18">
        <f t="shared" ref="F353:Q353" si="12">F3</f>
        <v>401</v>
      </c>
      <c r="G353" s="18">
        <f t="shared" si="12"/>
        <v>242</v>
      </c>
      <c r="H353" s="18">
        <f t="shared" si="12"/>
        <v>385</v>
      </c>
      <c r="I353" s="18">
        <f t="shared" si="12"/>
        <v>528</v>
      </c>
      <c r="J353" s="18">
        <f t="shared" si="12"/>
        <v>384</v>
      </c>
      <c r="K353" s="18">
        <f t="shared" si="12"/>
        <v>716</v>
      </c>
      <c r="L353" s="18">
        <f t="shared" si="12"/>
        <v>686</v>
      </c>
      <c r="M353" s="18">
        <f t="shared" si="12"/>
        <v>1190</v>
      </c>
      <c r="N353" s="18">
        <f t="shared" si="12"/>
        <v>715</v>
      </c>
      <c r="O353" s="18">
        <f t="shared" si="12"/>
        <v>211</v>
      </c>
      <c r="P353" s="18">
        <f t="shared" si="12"/>
        <v>9916</v>
      </c>
      <c r="Q353" s="18">
        <f t="shared" si="12"/>
        <v>1100</v>
      </c>
      <c r="R353" s="18">
        <f>R3</f>
        <v>801</v>
      </c>
      <c r="S353" s="18">
        <f t="shared" ref="S353:X353" si="13">S3</f>
        <v>804</v>
      </c>
      <c r="T353" s="18">
        <f t="shared" si="13"/>
        <v>806</v>
      </c>
      <c r="U353" s="18">
        <f t="shared" si="13"/>
        <v>8765</v>
      </c>
      <c r="V353" s="18">
        <f t="shared" si="13"/>
        <v>8766</v>
      </c>
      <c r="W353" s="18">
        <f t="shared" si="13"/>
        <v>9418</v>
      </c>
      <c r="X353" s="18">
        <f t="shared" si="13"/>
        <v>9475</v>
      </c>
      <c r="Y353" s="18">
        <f>Y3</f>
        <v>9905</v>
      </c>
      <c r="Z353" s="18">
        <f>Z3</f>
        <v>9906</v>
      </c>
      <c r="AA353" s="18">
        <f>AA3</f>
        <v>7905</v>
      </c>
      <c r="AB353" s="18">
        <f t="shared" ref="AB353:AU353" si="14">AB3</f>
        <v>7906</v>
      </c>
      <c r="AC353" s="18">
        <f t="shared" si="14"/>
        <v>7907</v>
      </c>
      <c r="AD353" s="18">
        <f t="shared" si="14"/>
        <v>7908</v>
      </c>
      <c r="AE353" s="18">
        <f t="shared" si="14"/>
        <v>7909</v>
      </c>
      <c r="AF353" s="18">
        <f t="shared" si="14"/>
        <v>11310</v>
      </c>
      <c r="AG353" s="18">
        <f t="shared" si="14"/>
        <v>11311</v>
      </c>
      <c r="AH353" s="18">
        <f t="shared" si="14"/>
        <v>11312</v>
      </c>
      <c r="AI353" s="18">
        <f t="shared" si="14"/>
        <v>11335</v>
      </c>
      <c r="AJ353" s="18">
        <f t="shared" si="14"/>
        <v>9529</v>
      </c>
      <c r="AK353" s="18">
        <f t="shared" si="14"/>
        <v>961</v>
      </c>
      <c r="AL353" s="18">
        <f t="shared" si="14"/>
        <v>9528</v>
      </c>
      <c r="AM353" s="18">
        <f t="shared" si="14"/>
        <v>964</v>
      </c>
      <c r="AN353" s="18">
        <f t="shared" si="14"/>
        <v>968</v>
      </c>
      <c r="AO353" s="18">
        <f t="shared" si="14"/>
        <v>8629</v>
      </c>
      <c r="AP353" s="18">
        <f t="shared" si="14"/>
        <v>13264</v>
      </c>
      <c r="AQ353" s="18">
        <f t="shared" si="14"/>
        <v>9917</v>
      </c>
      <c r="AR353" s="18">
        <f t="shared" si="14"/>
        <v>8624</v>
      </c>
      <c r="AS353" s="18">
        <f t="shared" si="14"/>
        <v>13263</v>
      </c>
      <c r="AT353" s="18">
        <f t="shared" si="14"/>
        <v>13209</v>
      </c>
      <c r="AU353" s="18">
        <f t="shared" si="14"/>
        <v>13250</v>
      </c>
      <c r="AV353" s="18">
        <f>AV3</f>
        <v>14281</v>
      </c>
      <c r="AW353" s="18">
        <f>AW3</f>
        <v>14282</v>
      </c>
      <c r="AX353" s="18">
        <f t="shared" ref="AX353:BE353" si="15">AX3</f>
        <v>2049</v>
      </c>
      <c r="AY353" s="18">
        <f t="shared" si="15"/>
        <v>7975</v>
      </c>
      <c r="AZ353" s="18">
        <f t="shared" si="15"/>
        <v>8004</v>
      </c>
      <c r="BA353" s="18">
        <f t="shared" si="15"/>
        <v>1008</v>
      </c>
      <c r="BB353" s="18">
        <f t="shared" si="15"/>
        <v>9484</v>
      </c>
      <c r="BC353" s="18">
        <f t="shared" si="15"/>
        <v>682</v>
      </c>
      <c r="BD353" s="18">
        <f t="shared" si="15"/>
        <v>11352</v>
      </c>
      <c r="BE353" s="18">
        <f t="shared" si="15"/>
        <v>2058</v>
      </c>
      <c r="BF353" s="18">
        <f>BF3</f>
        <v>12088</v>
      </c>
      <c r="BG353" s="22"/>
    </row>
    <row r="354" spans="1:59">
      <c r="A354" s="23"/>
      <c r="B354" t="s">
        <v>608</v>
      </c>
      <c r="F354" s="19">
        <f t="shared" ref="F354:AS354" si="16">F343/F350</f>
        <v>0.10818240630642824</v>
      </c>
      <c r="G354" s="19">
        <f t="shared" si="16"/>
        <v>0.17969798224518119</v>
      </c>
      <c r="H354" s="19">
        <f t="shared" si="16"/>
        <v>4.35010336765475E-2</v>
      </c>
      <c r="I354" s="19">
        <f t="shared" si="16"/>
        <v>2.8034471324217235E-2</v>
      </c>
      <c r="J354" s="19">
        <f t="shared" si="16"/>
        <v>0.10042532598217035</v>
      </c>
      <c r="K354" s="19">
        <f t="shared" si="16"/>
        <v>4.1866809945818893E-2</v>
      </c>
      <c r="L354" s="19">
        <f t="shared" si="16"/>
        <v>0.17134823343240363</v>
      </c>
      <c r="M354" s="19">
        <f t="shared" si="16"/>
        <v>0.10305235621149648</v>
      </c>
      <c r="N354" s="19">
        <f t="shared" si="16"/>
        <v>1.3186837656716872E-2</v>
      </c>
      <c r="O354" s="19">
        <f t="shared" si="16"/>
        <v>6.4921791742654042E-2</v>
      </c>
      <c r="P354" s="19">
        <f t="shared" si="16"/>
        <v>0.19803896044081676</v>
      </c>
      <c r="Q354" s="19">
        <f t="shared" si="16"/>
        <v>6.7659787756928561E-2</v>
      </c>
      <c r="R354" s="19">
        <f>R343/R350</f>
        <v>2.147031914174068E-2</v>
      </c>
      <c r="S354" s="19">
        <f t="shared" si="16"/>
        <v>0.75911657455555759</v>
      </c>
      <c r="T354" s="19">
        <f t="shared" si="16"/>
        <v>4.5417952913311958E-2</v>
      </c>
      <c r="U354" s="19">
        <f t="shared" si="16"/>
        <v>0.41005552587841809</v>
      </c>
      <c r="V354" s="19">
        <f t="shared" si="16"/>
        <v>6.8384611208223312E-2</v>
      </c>
      <c r="W354" s="19">
        <f t="shared" si="16"/>
        <v>0.16755487309672032</v>
      </c>
      <c r="X354" s="19">
        <f t="shared" si="16"/>
        <v>1.6289120372147293E-2</v>
      </c>
      <c r="Y354" s="19">
        <f t="shared" si="16"/>
        <v>0.56920506764006573</v>
      </c>
      <c r="Z354" s="19">
        <f t="shared" si="16"/>
        <v>2.3066115659102417E-2</v>
      </c>
      <c r="AA354" s="19">
        <f t="shared" si="16"/>
        <v>7.0047822675417676E-2</v>
      </c>
      <c r="AB354" s="19">
        <f t="shared" si="16"/>
        <v>8.9960610257709794E-2</v>
      </c>
      <c r="AC354" s="19">
        <f t="shared" si="16"/>
        <v>0.83423868966759629</v>
      </c>
      <c r="AD354" s="19">
        <f t="shared" si="16"/>
        <v>0.19869524936450467</v>
      </c>
      <c r="AE354" s="19">
        <f t="shared" si="16"/>
        <v>0.59805967889424017</v>
      </c>
      <c r="AF354" s="19">
        <f t="shared" si="16"/>
        <v>5.9873522836708305E-2</v>
      </c>
      <c r="AG354" s="19">
        <f t="shared" si="16"/>
        <v>0.76853547105960807</v>
      </c>
      <c r="AH354" s="19">
        <f t="shared" si="16"/>
        <v>0.19731140053002216</v>
      </c>
      <c r="AI354" s="19">
        <f t="shared" si="16"/>
        <v>0.27401244060643198</v>
      </c>
      <c r="AJ354" s="19">
        <f t="shared" si="16"/>
        <v>0.17916011972603108</v>
      </c>
      <c r="AK354" s="19">
        <f t="shared" si="16"/>
        <v>0.34387314831107996</v>
      </c>
      <c r="AL354" s="19">
        <f t="shared" si="16"/>
        <v>0.28618918980485197</v>
      </c>
      <c r="AM354" s="19">
        <f t="shared" si="16"/>
        <v>0.17091882665450112</v>
      </c>
      <c r="AN354" s="19">
        <f t="shared" si="16"/>
        <v>0.3361786808422299</v>
      </c>
      <c r="AO354" s="19">
        <f t="shared" si="16"/>
        <v>0.58035311992305683</v>
      </c>
      <c r="AP354" s="19">
        <f t="shared" si="16"/>
        <v>0.75069287873519741</v>
      </c>
      <c r="AQ354" s="19">
        <f t="shared" si="16"/>
        <v>0.44945783305853099</v>
      </c>
      <c r="AR354" s="19">
        <f t="shared" si="16"/>
        <v>0.33547405947694575</v>
      </c>
      <c r="AS354" s="19">
        <f t="shared" si="16"/>
        <v>0.7509102244708854</v>
      </c>
      <c r="AT354" s="19">
        <f>AT343/AT350</f>
        <v>1.4844832716113801E-2</v>
      </c>
      <c r="AU354" s="19">
        <f>AU343/AU350</f>
        <v>0.75116890343678844</v>
      </c>
      <c r="AV354" s="19">
        <f>AV343/AV350</f>
        <v>0.22608497142925693</v>
      </c>
      <c r="AW354" s="19">
        <f>AW343/AW350</f>
        <v>0.45934313370101382</v>
      </c>
      <c r="AX354" s="19">
        <f>AX343/AX350</f>
        <v>0.10960079125634713</v>
      </c>
      <c r="AY354" s="19">
        <f t="shared" ref="AY354:BE354" si="17">AY343/AY350</f>
        <v>0.35094012054197476</v>
      </c>
      <c r="AZ354" s="19">
        <f t="shared" si="17"/>
        <v>0.10461927411570078</v>
      </c>
      <c r="BA354" s="19">
        <f t="shared" si="17"/>
        <v>0.16610399255902536</v>
      </c>
      <c r="BB354" s="19" t="e">
        <f t="shared" si="17"/>
        <v>#DIV/0!</v>
      </c>
      <c r="BC354" s="19">
        <f t="shared" si="17"/>
        <v>0.23164740473148909</v>
      </c>
      <c r="BD354" s="19">
        <f t="shared" si="17"/>
        <v>0.10053480017660869</v>
      </c>
      <c r="BE354" s="19">
        <f t="shared" si="17"/>
        <v>0.11589871165995698</v>
      </c>
      <c r="BF354" s="19">
        <f>BF343/BF350</f>
        <v>0.27590854686722233</v>
      </c>
      <c r="BG354" s="22"/>
    </row>
    <row r="355" spans="1:59">
      <c r="A355" s="23"/>
      <c r="B355" t="s">
        <v>609</v>
      </c>
      <c r="F355" s="19">
        <f t="shared" ref="F355:AS355" si="18">F344/F350</f>
        <v>0.25443130797857666</v>
      </c>
      <c r="G355" s="19">
        <f t="shared" si="18"/>
        <v>0.18472156496329262</v>
      </c>
      <c r="H355" s="19">
        <f t="shared" si="18"/>
        <v>0.33678064328416196</v>
      </c>
      <c r="I355" s="19">
        <f t="shared" si="18"/>
        <v>2.6930098362084947E-4</v>
      </c>
      <c r="J355" s="19">
        <f t="shared" si="18"/>
        <v>0.36076001143792291</v>
      </c>
      <c r="K355" s="19">
        <f t="shared" si="18"/>
        <v>0.34613527858511545</v>
      </c>
      <c r="L355" s="19">
        <f t="shared" si="18"/>
        <v>0.1726987017604652</v>
      </c>
      <c r="M355" s="19">
        <f t="shared" si="18"/>
        <v>0.19750016161069947</v>
      </c>
      <c r="N355" s="19">
        <f t="shared" si="18"/>
        <v>0.73351442633880748</v>
      </c>
      <c r="O355" s="19">
        <f t="shared" si="18"/>
        <v>0.24753242826256286</v>
      </c>
      <c r="P355" s="19">
        <f t="shared" si="18"/>
        <v>7.9408739525879762E-2</v>
      </c>
      <c r="Q355" s="19">
        <f t="shared" si="18"/>
        <v>0.2412962727833626</v>
      </c>
      <c r="R355" s="19">
        <f>R344/R350</f>
        <v>0.77753523669786473</v>
      </c>
      <c r="S355" s="19">
        <f t="shared" si="18"/>
        <v>0</v>
      </c>
      <c r="T355" s="19">
        <f t="shared" si="18"/>
        <v>0.77686939215534967</v>
      </c>
      <c r="U355" s="19">
        <f t="shared" si="18"/>
        <v>0.14174074326322142</v>
      </c>
      <c r="V355" s="19">
        <f t="shared" si="18"/>
        <v>0.22222532944860313</v>
      </c>
      <c r="W355" s="19">
        <f t="shared" si="18"/>
        <v>0.19247308153902512</v>
      </c>
      <c r="X355" s="19">
        <f t="shared" si="18"/>
        <v>0.98424996563108647</v>
      </c>
      <c r="Y355" s="19">
        <f t="shared" si="18"/>
        <v>5.0631498633018544E-2</v>
      </c>
      <c r="Z355" s="19">
        <f t="shared" si="18"/>
        <v>0.73454362158486264</v>
      </c>
      <c r="AA355" s="19">
        <f t="shared" si="18"/>
        <v>0.29702477670174071</v>
      </c>
      <c r="AB355" s="19">
        <f t="shared" si="18"/>
        <v>0.23576115868737252</v>
      </c>
      <c r="AC355" s="19">
        <f t="shared" si="18"/>
        <v>0</v>
      </c>
      <c r="AD355" s="19">
        <f t="shared" si="18"/>
        <v>0.16433353972676101</v>
      </c>
      <c r="AE355" s="19">
        <f t="shared" si="18"/>
        <v>0</v>
      </c>
      <c r="AF355" s="19">
        <f t="shared" si="18"/>
        <v>0.33722303896674827</v>
      </c>
      <c r="AG355" s="19">
        <f t="shared" si="18"/>
        <v>5.7483195282763794E-5</v>
      </c>
      <c r="AH355" s="19">
        <f t="shared" si="18"/>
        <v>0.15082039245855106</v>
      </c>
      <c r="AI355" s="19">
        <f t="shared" si="18"/>
        <v>0.1478970847867781</v>
      </c>
      <c r="AJ355" s="19">
        <f t="shared" si="18"/>
        <v>0.15881264246609092</v>
      </c>
      <c r="AK355" s="19">
        <f t="shared" si="18"/>
        <v>4.2374720202259346E-2</v>
      </c>
      <c r="AL355" s="19">
        <f t="shared" si="18"/>
        <v>0.10580520795616516</v>
      </c>
      <c r="AM355" s="19">
        <f t="shared" si="18"/>
        <v>0.13273262419541226</v>
      </c>
      <c r="AN355" s="19">
        <f t="shared" si="18"/>
        <v>4.1256877493071942E-2</v>
      </c>
      <c r="AO355" s="19">
        <f t="shared" si="18"/>
        <v>0</v>
      </c>
      <c r="AP355" s="19">
        <f t="shared" si="18"/>
        <v>0</v>
      </c>
      <c r="AQ355" s="19">
        <f t="shared" si="18"/>
        <v>0.1331079197104609</v>
      </c>
      <c r="AR355" s="19">
        <f t="shared" si="18"/>
        <v>0.1898591492127723</v>
      </c>
      <c r="AS355" s="19">
        <f t="shared" si="18"/>
        <v>0</v>
      </c>
      <c r="AT355" s="19">
        <f>AT344/AT350</f>
        <v>0.74046119925674059</v>
      </c>
      <c r="AU355" s="19">
        <f>AU344/AU350</f>
        <v>0</v>
      </c>
      <c r="AV355" s="19">
        <f>AV344/AV350</f>
        <v>0.20388555929446198</v>
      </c>
      <c r="AW355" s="19">
        <f>AW344/AW350</f>
        <v>0.16697180309228257</v>
      </c>
      <c r="AX355" s="19">
        <f>AX344/AX350</f>
        <v>0</v>
      </c>
      <c r="AY355" s="19">
        <f t="shared" ref="AY355:BE355" si="19">AY344/AY350</f>
        <v>4.3207473041375337E-2</v>
      </c>
      <c r="AZ355" s="19">
        <f t="shared" si="19"/>
        <v>0</v>
      </c>
      <c r="BA355" s="19">
        <f t="shared" si="19"/>
        <v>0.35703223388163452</v>
      </c>
      <c r="BB355" s="19" t="e">
        <f t="shared" si="19"/>
        <v>#DIV/0!</v>
      </c>
      <c r="BC355" s="19">
        <f t="shared" si="19"/>
        <v>0.35294823431631195</v>
      </c>
      <c r="BD355" s="19">
        <f t="shared" si="19"/>
        <v>0</v>
      </c>
      <c r="BE355" s="19">
        <f t="shared" si="19"/>
        <v>0</v>
      </c>
      <c r="BF355" s="19">
        <f>BF344/BF350</f>
        <v>0.1150775352385866</v>
      </c>
      <c r="BG355" s="22"/>
    </row>
    <row r="356" spans="1:59">
      <c r="A356" s="23"/>
      <c r="B356" t="s">
        <v>610</v>
      </c>
      <c r="F356" s="19">
        <f t="shared" ref="F356:AS356" si="20">F345/F350</f>
        <v>0.24186838515335984</v>
      </c>
      <c r="G356" s="19">
        <f t="shared" si="20"/>
        <v>0.26178580312491617</v>
      </c>
      <c r="H356" s="19">
        <f t="shared" si="20"/>
        <v>0.47386325443830629</v>
      </c>
      <c r="I356" s="19">
        <f t="shared" si="20"/>
        <v>6.697005746838669E-2</v>
      </c>
      <c r="J356" s="19">
        <f t="shared" si="20"/>
        <v>0.31563207555537909</v>
      </c>
      <c r="K356" s="19">
        <f t="shared" si="20"/>
        <v>0.46014525771218279</v>
      </c>
      <c r="L356" s="19">
        <f t="shared" si="20"/>
        <v>8.1513616018991694E-2</v>
      </c>
      <c r="M356" s="19">
        <f t="shared" si="20"/>
        <v>0.44303923731060113</v>
      </c>
      <c r="N356" s="19">
        <f t="shared" si="20"/>
        <v>0.21662477465078386</v>
      </c>
      <c r="O356" s="19">
        <f t="shared" si="20"/>
        <v>0.36384007436171745</v>
      </c>
      <c r="P356" s="19">
        <f t="shared" si="20"/>
        <v>0.12150756827371809</v>
      </c>
      <c r="Q356" s="19">
        <f t="shared" si="20"/>
        <v>0.34899022883344055</v>
      </c>
      <c r="R356" s="19">
        <f>R345/R350</f>
        <v>0.20140537640710887</v>
      </c>
      <c r="S356" s="19">
        <f t="shared" si="20"/>
        <v>0</v>
      </c>
      <c r="T356" s="19">
        <f t="shared" si="20"/>
        <v>7.4829542452541651E-3</v>
      </c>
      <c r="U356" s="19">
        <f t="shared" si="20"/>
        <v>0.35060533610429356</v>
      </c>
      <c r="V356" s="19">
        <f t="shared" si="20"/>
        <v>0.65986043127271476</v>
      </c>
      <c r="W356" s="19">
        <f t="shared" si="20"/>
        <v>0.36616515460694277</v>
      </c>
      <c r="X356" s="19">
        <f t="shared" si="20"/>
        <v>0</v>
      </c>
      <c r="Y356" s="19">
        <f t="shared" si="20"/>
        <v>0.23582033185763862</v>
      </c>
      <c r="Z356" s="19">
        <f t="shared" si="20"/>
        <v>0.21692871957622128</v>
      </c>
      <c r="AA356" s="19">
        <f t="shared" si="20"/>
        <v>0.50658929396004659</v>
      </c>
      <c r="AB356" s="19">
        <f t="shared" si="20"/>
        <v>0.45880006989762279</v>
      </c>
      <c r="AC356" s="19">
        <f t="shared" si="20"/>
        <v>0</v>
      </c>
      <c r="AD356" s="19">
        <f t="shared" si="20"/>
        <v>0.14966257387741333</v>
      </c>
      <c r="AE356" s="19">
        <f t="shared" si="20"/>
        <v>0.17115287632030099</v>
      </c>
      <c r="AF356" s="19">
        <f t="shared" si="20"/>
        <v>0.47666168616367183</v>
      </c>
      <c r="AG356" s="19">
        <f t="shared" si="20"/>
        <v>0</v>
      </c>
      <c r="AH356" s="19">
        <f t="shared" si="20"/>
        <v>0.28774933910020839</v>
      </c>
      <c r="AI356" s="19">
        <f t="shared" si="20"/>
        <v>0.26814473331919025</v>
      </c>
      <c r="AJ356" s="19">
        <f t="shared" si="20"/>
        <v>0.10507496589485901</v>
      </c>
      <c r="AK356" s="19">
        <f t="shared" si="20"/>
        <v>1.5594470803791343E-2</v>
      </c>
      <c r="AL356" s="19">
        <f t="shared" si="20"/>
        <v>0.25782008574401954</v>
      </c>
      <c r="AM356" s="19">
        <f t="shared" si="20"/>
        <v>0.16467503659261404</v>
      </c>
      <c r="AN356" s="19">
        <f t="shared" si="20"/>
        <v>1.5177823298467492E-2</v>
      </c>
      <c r="AO356" s="19">
        <f t="shared" si="20"/>
        <v>0.1541162199524935</v>
      </c>
      <c r="AP356" s="19">
        <f t="shared" si="20"/>
        <v>0</v>
      </c>
      <c r="AQ356" s="19">
        <f t="shared" si="20"/>
        <v>0.29595545270821305</v>
      </c>
      <c r="AR356" s="19">
        <f t="shared" si="20"/>
        <v>0.40203498245497005</v>
      </c>
      <c r="AS356" s="19">
        <f t="shared" si="20"/>
        <v>0</v>
      </c>
      <c r="AT356" s="19">
        <f>AT345/AT350</f>
        <v>0.21867632666919856</v>
      </c>
      <c r="AU356" s="19">
        <f>AU345/AU350</f>
        <v>0</v>
      </c>
      <c r="AV356" s="19">
        <f>AV345/AV350</f>
        <v>0.31166286606320243</v>
      </c>
      <c r="AW356" s="19">
        <f>AW345/AW350</f>
        <v>0.27297940273919469</v>
      </c>
      <c r="AX356" s="19">
        <f>AX345/AX350</f>
        <v>0</v>
      </c>
      <c r="AY356" s="19">
        <f t="shared" ref="AY356:BE356" si="21">AY345/AY350</f>
        <v>1.5481601873021597E-2</v>
      </c>
      <c r="AZ356" s="19">
        <f t="shared" si="21"/>
        <v>0</v>
      </c>
      <c r="BA356" s="19">
        <f t="shared" si="21"/>
        <v>0.2380830119484881</v>
      </c>
      <c r="BB356" s="19" t="e">
        <f t="shared" si="21"/>
        <v>#DIV/0!</v>
      </c>
      <c r="BC356" s="19">
        <f t="shared" si="21"/>
        <v>0.30264778880818038</v>
      </c>
      <c r="BD356" s="19">
        <f t="shared" si="21"/>
        <v>0</v>
      </c>
      <c r="BE356" s="19">
        <f t="shared" si="21"/>
        <v>0</v>
      </c>
      <c r="BF356" s="19">
        <f>BF345/BF350</f>
        <v>0.40032944292395922</v>
      </c>
      <c r="BG356" s="22"/>
    </row>
    <row r="357" spans="1:59">
      <c r="A357" s="23"/>
      <c r="B357" t="s">
        <v>611</v>
      </c>
      <c r="F357" s="19">
        <f t="shared" ref="F357:AS357" si="22">F346/F350</f>
        <v>0.13786447346749547</v>
      </c>
      <c r="G357" s="19">
        <f t="shared" si="22"/>
        <v>0.26477875852978494</v>
      </c>
      <c r="H357" s="19">
        <f t="shared" si="22"/>
        <v>6.0812759761450495E-4</v>
      </c>
      <c r="I357" s="19">
        <f t="shared" si="22"/>
        <v>1.1570672253587773E-2</v>
      </c>
      <c r="J357" s="19">
        <f t="shared" si="22"/>
        <v>7.8487983643473924E-2</v>
      </c>
      <c r="K357" s="19">
        <f t="shared" si="22"/>
        <v>2.2241274824251031E-3</v>
      </c>
      <c r="L357" s="19">
        <f t="shared" si="22"/>
        <v>0.2502084113108145</v>
      </c>
      <c r="M357" s="19">
        <f t="shared" si="22"/>
        <v>9.2898766958168899E-2</v>
      </c>
      <c r="N357" s="19">
        <f t="shared" si="22"/>
        <v>0</v>
      </c>
      <c r="O357" s="19">
        <f t="shared" si="22"/>
        <v>5.3829743347960049E-2</v>
      </c>
      <c r="P357" s="19">
        <f t="shared" si="22"/>
        <v>0.32338601559496094</v>
      </c>
      <c r="Q357" s="19">
        <f t="shared" si="22"/>
        <v>6.3327266732123993E-2</v>
      </c>
      <c r="R357" s="19">
        <f>R346/R350</f>
        <v>0</v>
      </c>
      <c r="S357" s="19">
        <f t="shared" si="22"/>
        <v>0.23089550246670762</v>
      </c>
      <c r="T357" s="19">
        <f t="shared" si="22"/>
        <v>2.7916759865752477E-3</v>
      </c>
      <c r="U357" s="19">
        <f t="shared" si="22"/>
        <v>9.130547402320506E-2</v>
      </c>
      <c r="V357" s="19">
        <f t="shared" si="22"/>
        <v>4.41711176547783E-3</v>
      </c>
      <c r="W357" s="19">
        <f t="shared" si="22"/>
        <v>0.26222812541626656</v>
      </c>
      <c r="X357" s="19">
        <f t="shared" si="22"/>
        <v>0</v>
      </c>
      <c r="Y357" s="19">
        <f t="shared" si="22"/>
        <v>0.13666054502113761</v>
      </c>
      <c r="Z357" s="19">
        <f t="shared" si="22"/>
        <v>0</v>
      </c>
      <c r="AA357" s="19">
        <f t="shared" si="22"/>
        <v>1.9435867855808195E-3</v>
      </c>
      <c r="AB357" s="19">
        <f t="shared" si="22"/>
        <v>7.5288923204513108E-2</v>
      </c>
      <c r="AC357" s="19">
        <f t="shared" si="22"/>
        <v>0.15747974571867254</v>
      </c>
      <c r="AD357" s="19">
        <f t="shared" si="22"/>
        <v>0.25828469036261514</v>
      </c>
      <c r="AE357" s="19">
        <f t="shared" si="22"/>
        <v>0.22196321285059115</v>
      </c>
      <c r="AF357" s="19">
        <f t="shared" si="22"/>
        <v>3.9986114249918317E-3</v>
      </c>
      <c r="AG357" s="19">
        <f t="shared" si="22"/>
        <v>0.22131579410708535</v>
      </c>
      <c r="AH357" s="19">
        <f t="shared" si="22"/>
        <v>0.26816603099802866</v>
      </c>
      <c r="AI357" s="19">
        <f t="shared" si="22"/>
        <v>0.30486547422912968</v>
      </c>
      <c r="AJ357" s="19">
        <f t="shared" si="22"/>
        <v>0.24776158621752178</v>
      </c>
      <c r="AK357" s="19">
        <f t="shared" si="22"/>
        <v>0.60571105314247353</v>
      </c>
      <c r="AL357" s="19">
        <f t="shared" si="22"/>
        <v>0.33907339150090443</v>
      </c>
      <c r="AM357" s="19">
        <f t="shared" si="22"/>
        <v>0.26436368902295959</v>
      </c>
      <c r="AN357" s="19">
        <f t="shared" si="22"/>
        <v>0.59011112711085467</v>
      </c>
      <c r="AO357" s="19">
        <f t="shared" si="22"/>
        <v>0.25714342546008934</v>
      </c>
      <c r="AP357" s="19">
        <f t="shared" si="22"/>
        <v>0.25737650968501763</v>
      </c>
      <c r="AQ357" s="19">
        <f t="shared" si="22"/>
        <v>0.11373090685643335</v>
      </c>
      <c r="AR357" s="19">
        <f t="shared" si="22"/>
        <v>6.7145801087741153E-2</v>
      </c>
      <c r="AS357" s="19">
        <f t="shared" si="22"/>
        <v>0.2572076672668594</v>
      </c>
      <c r="AT357" s="19">
        <f>AT346/AT350</f>
        <v>0</v>
      </c>
      <c r="AU357" s="19">
        <f>AU346/AU350</f>
        <v>0.25682265773089769</v>
      </c>
      <c r="AV357" s="19">
        <f>AV346/AV350</f>
        <v>0.26281259067732299</v>
      </c>
      <c r="AW357" s="19">
        <f>AW346/AW350</f>
        <v>9.3841981333935245E-2</v>
      </c>
      <c r="AX357" s="19">
        <f>AX346/AX350</f>
        <v>0.89061688710021714</v>
      </c>
      <c r="AY357" s="19">
        <f t="shared" ref="AY357:BE357" si="23">AY346/AY350</f>
        <v>0.61160588746333389</v>
      </c>
      <c r="AZ357" s="19">
        <f t="shared" si="23"/>
        <v>0.89569253670027027</v>
      </c>
      <c r="BA357" s="19">
        <f t="shared" si="23"/>
        <v>0.20032760043131315</v>
      </c>
      <c r="BB357" s="19" t="e">
        <f t="shared" si="23"/>
        <v>#DIV/0!</v>
      </c>
      <c r="BC357" s="19">
        <f t="shared" si="23"/>
        <v>0.10449531471160763</v>
      </c>
      <c r="BD357" s="19">
        <f t="shared" si="23"/>
        <v>0.89927464549388292</v>
      </c>
      <c r="BE357" s="19">
        <f t="shared" si="23"/>
        <v>0.88479306623176857</v>
      </c>
      <c r="BF357" s="19">
        <f>BF346/BF350</f>
        <v>0.22172125540710949</v>
      </c>
      <c r="BG357" s="22"/>
    </row>
    <row r="358" spans="1:59">
      <c r="A358" s="23"/>
      <c r="B358" t="s">
        <v>612</v>
      </c>
      <c r="F358" s="19">
        <f t="shared" ref="F358:AS358" si="24">F347/F350</f>
        <v>7.5393812553579173E-2</v>
      </c>
      <c r="G358" s="19">
        <f t="shared" si="24"/>
        <v>4.2639053070128712E-2</v>
      </c>
      <c r="H358" s="19">
        <f t="shared" si="24"/>
        <v>8.6815642185467404E-2</v>
      </c>
      <c r="I358" s="19">
        <f t="shared" si="24"/>
        <v>0.88344765983600149</v>
      </c>
      <c r="J358" s="19">
        <f t="shared" si="24"/>
        <v>8.0731377519179456E-2</v>
      </c>
      <c r="K358" s="19">
        <f t="shared" si="24"/>
        <v>9.3102327762349099E-2</v>
      </c>
      <c r="L358" s="19">
        <f t="shared" si="24"/>
        <v>0.10469013850630476</v>
      </c>
      <c r="M358" s="19">
        <f t="shared" si="24"/>
        <v>6.9693014574289877E-2</v>
      </c>
      <c r="N358" s="19">
        <f t="shared" si="24"/>
        <v>2.1898707103452136E-2</v>
      </c>
      <c r="O358" s="19">
        <f t="shared" si="24"/>
        <v>8.3494698307543525E-2</v>
      </c>
      <c r="P358" s="19">
        <f t="shared" si="24"/>
        <v>6.1404862449421484E-2</v>
      </c>
      <c r="Q358" s="19">
        <f t="shared" si="24"/>
        <v>9.9564026207262263E-2</v>
      </c>
      <c r="R358" s="19">
        <f>R347/R350</f>
        <v>0</v>
      </c>
      <c r="S358" s="19">
        <f t="shared" si="24"/>
        <v>0</v>
      </c>
      <c r="T358" s="19">
        <f t="shared" si="24"/>
        <v>0.10650117968985105</v>
      </c>
      <c r="U358" s="19">
        <f t="shared" si="24"/>
        <v>0</v>
      </c>
      <c r="V358" s="19">
        <f t="shared" si="24"/>
        <v>4.5457509376472431E-3</v>
      </c>
      <c r="W358" s="19">
        <f t="shared" si="24"/>
        <v>-1.4825326540047833E-2</v>
      </c>
      <c r="X358" s="19">
        <f t="shared" si="24"/>
        <v>0</v>
      </c>
      <c r="Y358" s="19">
        <f t="shared" si="24"/>
        <v>1.0289712390355971E-4</v>
      </c>
      <c r="Z358" s="19">
        <f t="shared" si="24"/>
        <v>1.0532583548185672E-2</v>
      </c>
      <c r="AA358" s="19">
        <f t="shared" si="24"/>
        <v>7.4144302654493913E-2</v>
      </c>
      <c r="AB358" s="19">
        <f t="shared" si="24"/>
        <v>8.3835660609035814E-2</v>
      </c>
      <c r="AC358" s="19">
        <f t="shared" si="24"/>
        <v>0</v>
      </c>
      <c r="AD358" s="19">
        <f t="shared" si="24"/>
        <v>0.10783330937846927</v>
      </c>
      <c r="AE358" s="19">
        <f t="shared" si="24"/>
        <v>0</v>
      </c>
      <c r="AF358" s="19">
        <f t="shared" si="24"/>
        <v>6.5361289692478161E-2</v>
      </c>
      <c r="AG358" s="19">
        <f t="shared" si="24"/>
        <v>-4.9353982843212523E-5</v>
      </c>
      <c r="AH358" s="19">
        <f t="shared" si="24"/>
        <v>5.0174516966459227E-2</v>
      </c>
      <c r="AI358" s="19">
        <f t="shared" si="24"/>
        <v>0</v>
      </c>
      <c r="AJ358" s="19">
        <f t="shared" si="24"/>
        <v>0.12205151097148474</v>
      </c>
      <c r="AK358" s="19">
        <f t="shared" si="24"/>
        <v>-1.9758741567445809E-2</v>
      </c>
      <c r="AL358" s="19">
        <f t="shared" si="24"/>
        <v>6.8244773577181604E-3</v>
      </c>
      <c r="AM358" s="19">
        <f t="shared" si="24"/>
        <v>8.9845237688545534E-2</v>
      </c>
      <c r="AN358" s="19">
        <f t="shared" si="24"/>
        <v>5.2625469859253864E-3</v>
      </c>
      <c r="AO358" s="19">
        <f t="shared" si="24"/>
        <v>2.6518513007699418E-4</v>
      </c>
      <c r="AP358" s="19">
        <f t="shared" si="24"/>
        <v>1.347975031288822E-5</v>
      </c>
      <c r="AQ358" s="19">
        <f t="shared" si="24"/>
        <v>1.1973463553121035E-3</v>
      </c>
      <c r="AR358" s="19">
        <f t="shared" si="24"/>
        <v>0</v>
      </c>
      <c r="AS358" s="19">
        <f t="shared" si="24"/>
        <v>1.3798156407103979E-4</v>
      </c>
      <c r="AT358" s="19">
        <f>AT347/AT350</f>
        <v>1.1436174994680481E-2</v>
      </c>
      <c r="AU358" s="19">
        <f>AU347/AU350</f>
        <v>3.0809761621782337E-4</v>
      </c>
      <c r="AV358" s="19">
        <f>AV347/AV350</f>
        <v>-2.06864556184575E-2</v>
      </c>
      <c r="AW358" s="19">
        <f>AW347/AW350</f>
        <v>0</v>
      </c>
      <c r="AX358" s="19">
        <f>AX347/AX350</f>
        <v>0</v>
      </c>
      <c r="AY358" s="19">
        <f t="shared" ref="AY358:BE358" si="25">AY347/AY350</f>
        <v>-2.9049003396895604E-2</v>
      </c>
      <c r="AZ358" s="19">
        <f t="shared" si="25"/>
        <v>0</v>
      </c>
      <c r="BA358" s="19">
        <f t="shared" si="25"/>
        <v>-1.2119443091930101E-2</v>
      </c>
      <c r="BB358" s="19" t="e">
        <f t="shared" si="25"/>
        <v>#DIV/0!</v>
      </c>
      <c r="BC358" s="19">
        <f t="shared" si="25"/>
        <v>-3.667261539317377E-3</v>
      </c>
      <c r="BD358" s="19">
        <f t="shared" si="25"/>
        <v>0</v>
      </c>
      <c r="BE358" s="19">
        <f t="shared" si="25"/>
        <v>0</v>
      </c>
      <c r="BF358" s="19">
        <f>BF347/BF350</f>
        <v>-2.390977608704295E-2</v>
      </c>
      <c r="BG358" s="22"/>
    </row>
    <row r="359" spans="1:59">
      <c r="A359" s="23"/>
      <c r="B359" t="s">
        <v>613</v>
      </c>
      <c r="F359" s="19">
        <f t="shared" ref="F359:Q359" si="26">F348/F350</f>
        <v>0.18225961454056067</v>
      </c>
      <c r="G359" s="19">
        <f t="shared" si="26"/>
        <v>6.6376838066696545E-2</v>
      </c>
      <c r="H359" s="19">
        <f t="shared" si="26"/>
        <v>5.8431298817902426E-2</v>
      </c>
      <c r="I359" s="19">
        <f t="shared" si="26"/>
        <v>9.7078381341858776E-3</v>
      </c>
      <c r="J359" s="19">
        <f t="shared" si="26"/>
        <v>6.3963225861874376E-2</v>
      </c>
      <c r="K359" s="19">
        <f t="shared" si="26"/>
        <v>5.652619851210882E-2</v>
      </c>
      <c r="L359" s="19">
        <f t="shared" si="26"/>
        <v>0.21954089897102033</v>
      </c>
      <c r="M359" s="19">
        <f t="shared" si="26"/>
        <v>9.3816463334744207E-2</v>
      </c>
      <c r="N359" s="19">
        <f t="shared" si="26"/>
        <v>1.4775254250239817E-2</v>
      </c>
      <c r="O359" s="19">
        <f t="shared" si="26"/>
        <v>0.18638126397756211</v>
      </c>
      <c r="P359" s="19">
        <f t="shared" si="26"/>
        <v>0.21625385371520295</v>
      </c>
      <c r="Q359" s="19">
        <f t="shared" si="26"/>
        <v>0.17916241768688196</v>
      </c>
      <c r="R359" s="19">
        <f>R348/R350</f>
        <v>-4.10932246714457E-4</v>
      </c>
      <c r="S359" s="19">
        <f t="shared" ref="S359:AS359" si="27">S348/S350</f>
        <v>9.9879229777347905E-3</v>
      </c>
      <c r="T359" s="19">
        <f t="shared" si="27"/>
        <v>6.0936845009657965E-2</v>
      </c>
      <c r="U359" s="19">
        <f t="shared" si="27"/>
        <v>6.2929207308617318E-3</v>
      </c>
      <c r="V359" s="19">
        <f t="shared" si="27"/>
        <v>4.0566765367333717E-2</v>
      </c>
      <c r="W359" s="19">
        <f t="shared" si="27"/>
        <v>2.6404091881093043E-2</v>
      </c>
      <c r="X359" s="19">
        <f t="shared" si="27"/>
        <v>-5.390860032338182E-4</v>
      </c>
      <c r="Y359" s="19">
        <f t="shared" si="27"/>
        <v>7.5796597242360608E-3</v>
      </c>
      <c r="Z359" s="19">
        <f t="shared" si="27"/>
        <v>1.4928959631628047E-2</v>
      </c>
      <c r="AA359" s="19">
        <f t="shared" si="27"/>
        <v>5.025021722272028E-2</v>
      </c>
      <c r="AB359" s="19">
        <f t="shared" si="27"/>
        <v>5.6353577343745895E-2</v>
      </c>
      <c r="AC359" s="19">
        <f t="shared" si="27"/>
        <v>8.2815646137311422E-3</v>
      </c>
      <c r="AD359" s="19">
        <f t="shared" si="27"/>
        <v>0.12119063729023662</v>
      </c>
      <c r="AE359" s="19">
        <f t="shared" si="27"/>
        <v>8.8242319348675879E-3</v>
      </c>
      <c r="AF359" s="19">
        <f t="shared" si="27"/>
        <v>5.6881850915401551E-2</v>
      </c>
      <c r="AG359" s="19">
        <f t="shared" si="27"/>
        <v>1.0140605620867195E-2</v>
      </c>
      <c r="AH359" s="19">
        <f t="shared" si="27"/>
        <v>4.5778319946730553E-2</v>
      </c>
      <c r="AI359" s="19">
        <f t="shared" si="27"/>
        <v>5.0802670584700555E-3</v>
      </c>
      <c r="AJ359" s="19">
        <f t="shared" si="27"/>
        <v>0.18713917472401242</v>
      </c>
      <c r="AK359" s="19">
        <f t="shared" si="27"/>
        <v>1.2205349107841669E-2</v>
      </c>
      <c r="AL359" s="19">
        <f t="shared" si="27"/>
        <v>4.2876476363406368E-3</v>
      </c>
      <c r="AM359" s="19">
        <f t="shared" si="27"/>
        <v>0.17746458584596747</v>
      </c>
      <c r="AN359" s="19">
        <f t="shared" si="27"/>
        <v>1.2012944269450564E-2</v>
      </c>
      <c r="AO359" s="19">
        <f t="shared" si="27"/>
        <v>8.1220495342831777E-3</v>
      </c>
      <c r="AP359" s="19">
        <f t="shared" si="27"/>
        <v>-8.0828681705278817E-3</v>
      </c>
      <c r="AQ359" s="19">
        <f t="shared" si="27"/>
        <v>6.5505413110494666E-3</v>
      </c>
      <c r="AR359" s="19">
        <f t="shared" si="27"/>
        <v>5.4860077675708127E-3</v>
      </c>
      <c r="AS359" s="19">
        <f t="shared" si="27"/>
        <v>-8.2558733018157655E-3</v>
      </c>
      <c r="AT359" s="19">
        <f>AT348/AT350</f>
        <v>1.4581466363266517E-2</v>
      </c>
      <c r="AU359" s="19">
        <f>AU348/AU350</f>
        <v>-8.2996587839040317E-3</v>
      </c>
      <c r="AV359" s="19">
        <f>AV348/AV350</f>
        <v>1.624046815421324E-2</v>
      </c>
      <c r="AW359" s="19">
        <f>AW348/AW350</f>
        <v>6.8636791335736271E-3</v>
      </c>
      <c r="AX359" s="19">
        <f>AX348/AX350</f>
        <v>-2.1767835656423979E-4</v>
      </c>
      <c r="AY359" s="19">
        <f t="shared" ref="AY359:BE359" si="28">AY348/AY350</f>
        <v>7.8139204771898157E-3</v>
      </c>
      <c r="AZ359" s="19">
        <f t="shared" si="28"/>
        <v>-3.1181081597102467E-4</v>
      </c>
      <c r="BA359" s="19">
        <f t="shared" si="28"/>
        <v>5.0572604271468959E-2</v>
      </c>
      <c r="BB359" s="19" t="e">
        <f t="shared" si="28"/>
        <v>#DIV/0!</v>
      </c>
      <c r="BC359" s="19">
        <f t="shared" si="28"/>
        <v>1.1928518971728244E-2</v>
      </c>
      <c r="BD359" s="19">
        <f t="shared" si="28"/>
        <v>1.9055432950831918E-4</v>
      </c>
      <c r="BE359" s="19">
        <f t="shared" si="28"/>
        <v>-6.9177789172541505E-4</v>
      </c>
      <c r="BF359" s="19">
        <f>BF348/BF350</f>
        <v>1.0872995650165428E-2</v>
      </c>
      <c r="BG359" s="22"/>
    </row>
    <row r="360" spans="1:59">
      <c r="B360" s="22" t="s">
        <v>710</v>
      </c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</row>
    <row r="361" spans="1:59">
      <c r="B361" t="s">
        <v>711</v>
      </c>
    </row>
  </sheetData>
  <mergeCells count="4">
    <mergeCell ref="B1:BF1"/>
    <mergeCell ref="A2:A359"/>
    <mergeCell ref="BG2:BG359"/>
    <mergeCell ref="B360:BF360"/>
  </mergeCells>
  <conditionalFormatting sqref="B17:B33">
    <cfRule type="cellIs" dxfId="3" priority="7" stopIfTrue="1" operator="lessThan">
      <formula>0</formula>
    </cfRule>
  </conditionalFormatting>
  <conditionalFormatting sqref="C23:C33">
    <cfRule type="cellIs" dxfId="2" priority="16" stopIfTrue="1" operator="lessThan">
      <formula>0</formula>
    </cfRule>
  </conditionalFormatting>
  <conditionalFormatting sqref="D16:E24">
    <cfRule type="cellIs" dxfId="1" priority="8" stopIfTrue="1" operator="lessThan">
      <formula>0</formula>
    </cfRule>
  </conditionalFormatting>
  <conditionalFormatting sqref="F15:BF2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17</Value>
      <Value>14</Value>
      <Value>15</Value>
      <Value>16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  <Kupa_Hishtalmut xmlns="e7c93c0b-31f4-4d6d-a404-57fd37393f5c">
      <Value>6</Value>
      <Value>7</Value>
      <Value>13</Value>
      <Value>9</Value>
      <Value>1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25ABBB0A-FDAA-4CE6-A004-3088C025C516}"/>
</file>

<file path=customXml/itemProps2.xml><?xml version="1.0" encoding="utf-8"?>
<ds:datastoreItem xmlns:ds="http://schemas.openxmlformats.org/officeDocument/2006/customXml" ds:itemID="{D9E13CE0-A6D2-4220-8C83-B2EAE59FC481}"/>
</file>

<file path=customXml/itemProps3.xml><?xml version="1.0" encoding="utf-8"?>
<ds:datastoreItem xmlns:ds="http://schemas.openxmlformats.org/officeDocument/2006/customXml" ds:itemID="{8F96434B-88FE-473D-8426-6A34E7CE46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1/2024</dc:title>
  <dc:creator>פרידמן אמיר</dc:creator>
  <cp:lastModifiedBy>מטי לנדו</cp:lastModifiedBy>
  <dcterms:created xsi:type="dcterms:W3CDTF">2024-02-19T10:39:27Z</dcterms:created>
  <dcterms:modified xsi:type="dcterms:W3CDTF">2024-02-28T10:38:04Z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