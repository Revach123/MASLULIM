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Users\usf25330\Downloads\"/>
    </mc:Choice>
  </mc:AlternateContent>
  <xr:revisionPtr revIDLastSave="0" documentId="8_{448B60F1-E46D-4591-B3DF-F103D19F68F8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353" i="1" l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I350" i="1" l="1"/>
  <c r="I352" i="1" s="1"/>
  <c r="U350" i="1"/>
  <c r="U352" i="1" s="1"/>
  <c r="AG350" i="1"/>
  <c r="AG352" i="1" s="1"/>
  <c r="AS350" i="1"/>
  <c r="AS352" i="1" s="1"/>
  <c r="BA350" i="1"/>
  <c r="BA352" i="1" s="1"/>
  <c r="BE350" i="1"/>
  <c r="BE352" i="1" s="1"/>
  <c r="H350" i="1"/>
  <c r="H352" i="1" s="1"/>
  <c r="H354" i="1"/>
  <c r="L350" i="1"/>
  <c r="L358" i="1" s="1"/>
  <c r="P350" i="1"/>
  <c r="P352" i="1" s="1"/>
  <c r="T350" i="1"/>
  <c r="T352" i="1" s="1"/>
  <c r="X350" i="1"/>
  <c r="X352" i="1" s="1"/>
  <c r="AB350" i="1"/>
  <c r="AB355" i="1" s="1"/>
  <c r="AF350" i="1"/>
  <c r="AF352" i="1" s="1"/>
  <c r="AJ350" i="1"/>
  <c r="AJ352" i="1" s="1"/>
  <c r="AN350" i="1"/>
  <c r="AN352" i="1" s="1"/>
  <c r="AR350" i="1"/>
  <c r="AR355" i="1" s="1"/>
  <c r="AV350" i="1"/>
  <c r="AV352" i="1" s="1"/>
  <c r="AZ350" i="1"/>
  <c r="AZ352" i="1" s="1"/>
  <c r="BD350" i="1"/>
  <c r="BD352" i="1" s="1"/>
  <c r="L356" i="1"/>
  <c r="P356" i="1"/>
  <c r="AB356" i="1"/>
  <c r="AN356" i="1"/>
  <c r="Q350" i="1"/>
  <c r="Q352" i="1" s="1"/>
  <c r="AK350" i="1"/>
  <c r="AK352" i="1" s="1"/>
  <c r="BA356" i="1"/>
  <c r="I358" i="1"/>
  <c r="U358" i="1"/>
  <c r="AG358" i="1"/>
  <c r="BE358" i="1"/>
  <c r="Y350" i="1"/>
  <c r="Y352" i="1" s="1"/>
  <c r="AO350" i="1"/>
  <c r="AO352" i="1" s="1"/>
  <c r="AW350" i="1"/>
  <c r="AW352" i="1" s="1"/>
  <c r="AG356" i="1"/>
  <c r="F350" i="1"/>
  <c r="F352" i="1" s="1"/>
  <c r="J350" i="1"/>
  <c r="J352" i="1" s="1"/>
  <c r="N350" i="1"/>
  <c r="N352" i="1" s="1"/>
  <c r="R350" i="1"/>
  <c r="R352" i="1" s="1"/>
  <c r="V350" i="1"/>
  <c r="V352" i="1" s="1"/>
  <c r="Z350" i="1"/>
  <c r="Z352" i="1" s="1"/>
  <c r="AD350" i="1"/>
  <c r="AD352" i="1" s="1"/>
  <c r="AH350" i="1"/>
  <c r="AH352" i="1" s="1"/>
  <c r="AL350" i="1"/>
  <c r="AL354" i="1" s="1"/>
  <c r="AP350" i="1"/>
  <c r="AP352" i="1" s="1"/>
  <c r="AT350" i="1"/>
  <c r="AT352" i="1" s="1"/>
  <c r="AX350" i="1"/>
  <c r="AX352" i="1" s="1"/>
  <c r="BB350" i="1"/>
  <c r="BB357" i="1" s="1"/>
  <c r="BF350" i="1"/>
  <c r="BF352" i="1" s="1"/>
  <c r="H355" i="1"/>
  <c r="P355" i="1"/>
  <c r="AV355" i="1"/>
  <c r="AX356" i="1"/>
  <c r="H357" i="1"/>
  <c r="P357" i="1"/>
  <c r="AJ357" i="1"/>
  <c r="AV357" i="1"/>
  <c r="J358" i="1"/>
  <c r="AH358" i="1"/>
  <c r="H359" i="1"/>
  <c r="P359" i="1"/>
  <c r="AJ359" i="1"/>
  <c r="AV359" i="1"/>
  <c r="AZ359" i="1"/>
  <c r="M350" i="1"/>
  <c r="M352" i="1" s="1"/>
  <c r="AC350" i="1"/>
  <c r="AC352" i="1" s="1"/>
  <c r="G350" i="1"/>
  <c r="G352" i="1" s="1"/>
  <c r="K350" i="1"/>
  <c r="K352" i="1" s="1"/>
  <c r="O350" i="1"/>
  <c r="O352" i="1" s="1"/>
  <c r="S350" i="1"/>
  <c r="S352" i="1" s="1"/>
  <c r="W350" i="1"/>
  <c r="W352" i="1" s="1"/>
  <c r="AA350" i="1"/>
  <c r="AA352" i="1" s="1"/>
  <c r="AE350" i="1"/>
  <c r="AE352" i="1" s="1"/>
  <c r="AI350" i="1"/>
  <c r="AI352" i="1" s="1"/>
  <c r="AM350" i="1"/>
  <c r="AM352" i="1" s="1"/>
  <c r="AQ350" i="1"/>
  <c r="AQ352" i="1" s="1"/>
  <c r="AU350" i="1"/>
  <c r="AU352" i="1" s="1"/>
  <c r="AY350" i="1"/>
  <c r="AY352" i="1" s="1"/>
  <c r="BC350" i="1"/>
  <c r="BC352" i="1" s="1"/>
  <c r="BG350" i="1"/>
  <c r="BG352" i="1" s="1"/>
  <c r="Q355" i="1"/>
  <c r="U355" i="1"/>
  <c r="AG355" i="1"/>
  <c r="AK355" i="1"/>
  <c r="BA355" i="1"/>
  <c r="BE355" i="1"/>
  <c r="I357" i="1"/>
  <c r="Q357" i="1"/>
  <c r="AG357" i="1"/>
  <c r="AK357" i="1"/>
  <c r="BE357" i="1"/>
  <c r="I359" i="1"/>
  <c r="AG359" i="1"/>
  <c r="AK359" i="1"/>
  <c r="AO359" i="1"/>
  <c r="BE359" i="1"/>
  <c r="P358" i="1"/>
  <c r="AB358" i="1"/>
  <c r="AF358" i="1"/>
  <c r="AJ358" i="1"/>
  <c r="AR358" i="1"/>
  <c r="AV358" i="1"/>
  <c r="F359" i="1"/>
  <c r="J359" i="1"/>
  <c r="AX359" i="1"/>
  <c r="AH359" i="1" l="1"/>
  <c r="BD358" i="1"/>
  <c r="R358" i="1"/>
  <c r="R356" i="1"/>
  <c r="R354" i="1"/>
  <c r="R359" i="1"/>
  <c r="AI358" i="1"/>
  <c r="BD355" i="1"/>
  <c r="X358" i="1"/>
  <c r="AX358" i="1"/>
  <c r="BD357" i="1"/>
  <c r="AE358" i="1"/>
  <c r="BD359" i="1"/>
  <c r="X359" i="1"/>
  <c r="AJ355" i="1"/>
  <c r="AU358" i="1"/>
  <c r="X357" i="1"/>
  <c r="H358" i="1"/>
  <c r="AR356" i="1"/>
  <c r="BG358" i="1"/>
  <c r="AY356" i="1"/>
  <c r="J356" i="1"/>
  <c r="R355" i="1"/>
  <c r="AR354" i="1"/>
  <c r="AY358" i="1"/>
  <c r="AB354" i="1"/>
  <c r="S358" i="1"/>
  <c r="AI356" i="1"/>
  <c r="AY359" i="1"/>
  <c r="S356" i="1"/>
  <c r="AK358" i="1"/>
  <c r="BD356" i="1"/>
  <c r="AP359" i="1"/>
  <c r="N359" i="1"/>
  <c r="AW359" i="1"/>
  <c r="O358" i="1"/>
  <c r="AW357" i="1"/>
  <c r="O356" i="1"/>
  <c r="AW355" i="1"/>
  <c r="BF356" i="1"/>
  <c r="X355" i="1"/>
  <c r="AK356" i="1"/>
  <c r="AS359" i="1"/>
  <c r="K358" i="1"/>
  <c r="K356" i="1"/>
  <c r="M355" i="1"/>
  <c r="S354" i="1"/>
  <c r="AV356" i="1"/>
  <c r="L354" i="1"/>
  <c r="BF359" i="1"/>
  <c r="Z359" i="1"/>
  <c r="AP356" i="1"/>
  <c r="Y359" i="1"/>
  <c r="AD356" i="1"/>
  <c r="AQ355" i="1"/>
  <c r="AQ357" i="1"/>
  <c r="AI355" i="1"/>
  <c r="AS354" i="1"/>
  <c r="Q359" i="1"/>
  <c r="AC357" i="1"/>
  <c r="Y355" i="1"/>
  <c r="I355" i="1"/>
  <c r="AY354" i="1"/>
  <c r="AF359" i="1"/>
  <c r="AF357" i="1"/>
  <c r="AX354" i="1"/>
  <c r="AW358" i="1"/>
  <c r="AX357" i="1"/>
  <c r="AS357" i="1"/>
  <c r="Y357" i="1"/>
  <c r="AQ356" i="1"/>
  <c r="AS355" i="1"/>
  <c r="AI354" i="1"/>
  <c r="AP358" i="1"/>
  <c r="AF355" i="1"/>
  <c r="AH354" i="1"/>
  <c r="AS358" i="1"/>
  <c r="Q358" i="1"/>
  <c r="AS356" i="1"/>
  <c r="AK354" i="1"/>
  <c r="AF356" i="1"/>
  <c r="AX355" i="1"/>
  <c r="AZ358" i="1"/>
  <c r="T358" i="1"/>
  <c r="BG359" i="1"/>
  <c r="G356" i="1"/>
  <c r="AC359" i="1"/>
  <c r="AQ358" i="1"/>
  <c r="BC359" i="1"/>
  <c r="AU356" i="1"/>
  <c r="AO355" i="1"/>
  <c r="AQ354" i="1"/>
  <c r="K354" i="1"/>
  <c r="S355" i="1"/>
  <c r="AT358" i="1"/>
  <c r="AZ357" i="1"/>
  <c r="AH356" i="1"/>
  <c r="N356" i="1"/>
  <c r="AZ355" i="1"/>
  <c r="AP354" i="1"/>
  <c r="J354" i="1"/>
  <c r="AW354" i="1"/>
  <c r="AQ359" i="1"/>
  <c r="BA358" i="1"/>
  <c r="BG357" i="1"/>
  <c r="BE356" i="1"/>
  <c r="Y356" i="1"/>
  <c r="R357" i="1"/>
  <c r="X356" i="1"/>
  <c r="AH355" i="1"/>
  <c r="AZ354" i="1"/>
  <c r="T354" i="1"/>
  <c r="BE354" i="1"/>
  <c r="AA359" i="1"/>
  <c r="F357" i="1"/>
  <c r="AN358" i="1"/>
  <c r="BA359" i="1"/>
  <c r="U359" i="1"/>
  <c r="AO357" i="1"/>
  <c r="BG356" i="1"/>
  <c r="BG354" i="1"/>
  <c r="AA354" i="1"/>
  <c r="AC356" i="1"/>
  <c r="AC354" i="1"/>
  <c r="BF358" i="1"/>
  <c r="F358" i="1"/>
  <c r="AN357" i="1"/>
  <c r="T357" i="1"/>
  <c r="Z356" i="1"/>
  <c r="F356" i="1"/>
  <c r="AN355" i="1"/>
  <c r="T355" i="1"/>
  <c r="BF354" i="1"/>
  <c r="Z354" i="1"/>
  <c r="F354" i="1"/>
  <c r="AA355" i="1"/>
  <c r="K359" i="1"/>
  <c r="AA357" i="1"/>
  <c r="F355" i="1"/>
  <c r="AJ354" i="1"/>
  <c r="U354" i="1"/>
  <c r="AA358" i="1"/>
  <c r="BA357" i="1"/>
  <c r="U357" i="1"/>
  <c r="AA356" i="1"/>
  <c r="AC355" i="1"/>
  <c r="AM355" i="1"/>
  <c r="AN359" i="1"/>
  <c r="T359" i="1"/>
  <c r="Z358" i="1"/>
  <c r="AO356" i="1"/>
  <c r="Y354" i="1"/>
  <c r="K357" i="1"/>
  <c r="AH357" i="1"/>
  <c r="AD359" i="1"/>
  <c r="BB359" i="1"/>
  <c r="AL359" i="1"/>
  <c r="V359" i="1"/>
  <c r="M359" i="1"/>
  <c r="BC358" i="1"/>
  <c r="AM358" i="1"/>
  <c r="W358" i="1"/>
  <c r="G358" i="1"/>
  <c r="M357" i="1"/>
  <c r="BC356" i="1"/>
  <c r="AM356" i="1"/>
  <c r="W356" i="1"/>
  <c r="G354" i="1"/>
  <c r="BC355" i="1"/>
  <c r="AD358" i="1"/>
  <c r="N358" i="1"/>
  <c r="L355" i="1"/>
  <c r="BG355" i="1"/>
  <c r="AU359" i="1"/>
  <c r="AE359" i="1"/>
  <c r="O359" i="1"/>
  <c r="AO358" i="1"/>
  <c r="Y358" i="1"/>
  <c r="AY357" i="1"/>
  <c r="AI357" i="1"/>
  <c r="S357" i="1"/>
  <c r="G357" i="1"/>
  <c r="AY355" i="1"/>
  <c r="AL357" i="1"/>
  <c r="V357" i="1"/>
  <c r="BF355" i="1"/>
  <c r="AP355" i="1"/>
  <c r="Z355" i="1"/>
  <c r="J355" i="1"/>
  <c r="I356" i="1"/>
  <c r="AT356" i="1"/>
  <c r="BB352" i="1"/>
  <c r="BB358" i="1"/>
  <c r="AU357" i="1"/>
  <c r="AE357" i="1"/>
  <c r="O357" i="1"/>
  <c r="BB355" i="1"/>
  <c r="AL355" i="1"/>
  <c r="V355" i="1"/>
  <c r="AU355" i="1"/>
  <c r="AT359" i="1"/>
  <c r="AE356" i="1"/>
  <c r="V358" i="1"/>
  <c r="BB354" i="1"/>
  <c r="AT354" i="1"/>
  <c r="AD354" i="1"/>
  <c r="V354" i="1"/>
  <c r="N354" i="1"/>
  <c r="AM359" i="1"/>
  <c r="W359" i="1"/>
  <c r="W355" i="1"/>
  <c r="AT357" i="1"/>
  <c r="AD357" i="1"/>
  <c r="N357" i="1"/>
  <c r="AR352" i="1"/>
  <c r="AR359" i="1"/>
  <c r="AB352" i="1"/>
  <c r="AB359" i="1"/>
  <c r="L352" i="1"/>
  <c r="L359" i="1"/>
  <c r="AE355" i="1"/>
  <c r="AL352" i="1"/>
  <c r="AL358" i="1"/>
  <c r="BC354" i="1"/>
  <c r="AU354" i="1"/>
  <c r="AM354" i="1"/>
  <c r="AE354" i="1"/>
  <c r="W354" i="1"/>
  <c r="O354" i="1"/>
  <c r="M356" i="1"/>
  <c r="G355" i="1"/>
  <c r="M354" i="1"/>
  <c r="AR357" i="1"/>
  <c r="AB357" i="1"/>
  <c r="L357" i="1"/>
  <c r="BB356" i="1"/>
  <c r="AL356" i="1"/>
  <c r="V356" i="1"/>
  <c r="Q356" i="1"/>
  <c r="K355" i="1"/>
  <c r="AO354" i="1"/>
  <c r="AI359" i="1"/>
  <c r="S359" i="1"/>
  <c r="G359" i="1"/>
  <c r="AC358" i="1"/>
  <c r="M358" i="1"/>
  <c r="BC357" i="1"/>
  <c r="AM357" i="1"/>
  <c r="W357" i="1"/>
  <c r="AW356" i="1"/>
  <c r="Q354" i="1"/>
  <c r="BF357" i="1"/>
  <c r="AP357" i="1"/>
  <c r="Z357" i="1"/>
  <c r="J357" i="1"/>
  <c r="AZ356" i="1"/>
  <c r="AJ356" i="1"/>
  <c r="T356" i="1"/>
  <c r="H356" i="1"/>
  <c r="AT355" i="1"/>
  <c r="AD355" i="1"/>
  <c r="N355" i="1"/>
  <c r="BD354" i="1"/>
  <c r="AV354" i="1"/>
  <c r="AN354" i="1"/>
  <c r="AF354" i="1"/>
  <c r="X354" i="1"/>
  <c r="P354" i="1"/>
  <c r="U356" i="1"/>
  <c r="O355" i="1"/>
  <c r="BA354" i="1"/>
  <c r="AG354" i="1"/>
  <c r="I354" i="1"/>
</calcChain>
</file>

<file path=xl/sharedStrings.xml><?xml version="1.0" encoding="utf-8"?>
<sst xmlns="http://schemas.openxmlformats.org/spreadsheetml/2006/main" count="781" uniqueCount="713">
  <si>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</si>
  <si>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</si>
  <si>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</si>
  <si>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</si>
  <si>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</si>
  <si>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</si>
  <si>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</si>
  <si>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</si>
  <si>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</si>
  <si>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</si>
  <si>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</si>
  <si>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</si>
  <si>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</si>
  <si>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</si>
  <si>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</si>
  <si>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</si>
  <si>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</si>
  <si>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</si>
  <si>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</si>
  <si>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</si>
  <si>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</si>
  <si>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</si>
  <si>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</si>
  <si>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</si>
  <si>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</si>
  <si>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</si>
  <si>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</si>
  <si>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</si>
  <si>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</si>
  <si>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</si>
  <si>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</si>
  <si>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</si>
  <si>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</si>
  <si>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</si>
  <si>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</si>
  <si>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</si>
  <si>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</si>
  <si>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</si>
  <si>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</si>
  <si>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</si>
  <si>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</si>
  <si>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</si>
  <si>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</si>
  <si>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</si>
  <si>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</si>
  <si>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</si>
  <si>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</si>
  <si>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</si>
  <si>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</si>
  <si>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</si>
  <si>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</si>
  <si>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</si>
  <si>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</si>
  <si>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</si>
  <si>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</si>
  <si>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</si>
  <si>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</si>
  <si>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</si>
  <si>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</si>
  <si>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</si>
  <si>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</si>
  <si>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</si>
  <si>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</si>
  <si>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</si>
  <si>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</si>
  <si>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</si>
  <si>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</si>
  <si>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</si>
  <si>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</si>
  <si>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</si>
  <si>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</si>
  <si>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</si>
  <si>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</si>
  <si>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</si>
  <si>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</si>
  <si>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</si>
  <si>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</si>
  <si>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</si>
  <si>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</si>
  <si>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</si>
  <si>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</si>
  <si>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</si>
  <si>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</si>
  <si>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</si>
  <si>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</si>
  <si>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</si>
  <si>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</si>
  <si>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</si>
  <si>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</si>
  <si>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</si>
  <si>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</si>
  <si>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</si>
  <si>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</si>
  <si>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</si>
  <si>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</si>
  <si>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</si>
  <si>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</si>
  <si>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</si>
  <si>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</si>
  <si>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</si>
  <si>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</si>
  <si>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</si>
  <si>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</si>
  <si>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</si>
  <si>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</si>
  <si>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</si>
  <si>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</si>
  <si>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</si>
  <si>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</si>
  <si>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</si>
  <si>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</si>
  <si>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</si>
  <si>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</si>
  <si>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</si>
  <si>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</si>
  <si>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</si>
  <si>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</si>
  <si>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</si>
  <si>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</si>
  <si>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</si>
  <si>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</si>
  <si>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</si>
  <si>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</si>
  <si>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</si>
  <si>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</si>
  <si>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</si>
  <si>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</si>
  <si>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</si>
  <si>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</si>
  <si>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</si>
  <si>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</si>
  <si>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</si>
  <si>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</si>
  <si>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</si>
  <si>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</si>
  <si>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</si>
  <si>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</si>
  <si>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</si>
  <si>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</si>
  <si>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</si>
  <si>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</si>
  <si>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</si>
  <si>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</si>
  <si>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</si>
  <si>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</si>
  <si>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</si>
  <si>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</si>
  <si>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</si>
  <si>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</si>
  <si>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</si>
  <si>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</si>
  <si>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</si>
  <si>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</si>
  <si>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</si>
  <si>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</si>
  <si>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</si>
  <si>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</si>
  <si>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</si>
  <si>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</si>
  <si>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</si>
  <si>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</si>
  <si>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</si>
  <si>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</si>
  <si>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</si>
  <si>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</si>
  <si>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</si>
  <si>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</si>
  <si>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</si>
  <si>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</si>
  <si>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</si>
  <si>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</si>
  <si>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</si>
  <si>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</si>
  <si>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</si>
  <si>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</si>
  <si>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</si>
  <si>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</si>
  <si>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</si>
  <si>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</si>
  <si>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</si>
  <si>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</si>
  <si>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</si>
  <si>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</si>
  <si>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</si>
  <si>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</si>
  <si>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</si>
  <si>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</si>
  <si>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</si>
  <si>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</si>
  <si>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</si>
  <si>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</si>
  <si>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</si>
  <si>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</si>
  <si>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</si>
  <si>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</si>
  <si>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</si>
  <si>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</si>
  <si>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</si>
  <si>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</si>
  <si>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</si>
  <si>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</si>
  <si>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</si>
  <si>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</si>
  <si>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</si>
  <si>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</si>
  <si>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</si>
  <si>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</si>
  <si>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</si>
  <si>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</si>
  <si>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</si>
  <si>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</si>
  <si>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</si>
  <si>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</si>
  <si>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</si>
  <si>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</si>
  <si>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</si>
  <si>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</si>
  <si>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</si>
  <si>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</si>
  <si>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</si>
  <si>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</si>
  <si>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</si>
  <si>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</si>
  <si>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</si>
  <si>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</si>
  <si>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</si>
  <si>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</si>
  <si>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</si>
  <si>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</si>
  <si>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</si>
  <si>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</si>
  <si>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</si>
  <si>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</si>
  <si>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</si>
  <si>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</si>
  <si>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</si>
  <si>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</si>
  <si>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</si>
  <si>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</si>
  <si>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</si>
  <si>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</si>
  <si>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</si>
  <si>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</si>
  <si>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</si>
  <si>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</si>
  <si>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</si>
  <si>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</si>
  <si>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</si>
  <si>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</si>
  <si>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</si>
  <si>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</si>
  <si>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</si>
  <si>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</si>
  <si>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</si>
  <si>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</si>
  <si>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</si>
  <si>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</si>
  <si>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</si>
  <si>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</si>
  <si>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</si>
  <si>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</si>
  <si>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</si>
  <si>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</si>
  <si>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</si>
  <si>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</si>
  <si>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</si>
  <si>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</si>
  <si>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</si>
  <si>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</si>
  <si>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</si>
  <si>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</si>
  <si>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</si>
  <si>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</si>
  <si>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</si>
  <si>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</si>
  <si>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</si>
  <si>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</si>
  <si>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</si>
  <si>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</si>
  <si>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</si>
  <si>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</si>
  <si>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</si>
  <si>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</si>
  <si>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</si>
  <si>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</si>
  <si>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</si>
  <si>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</si>
  <si>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</si>
  <si>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</si>
  <si>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</si>
  <si>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</si>
  <si>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</si>
  <si>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</si>
  <si>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</si>
  <si>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</si>
  <si>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</si>
  <si>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</si>
  <si>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</si>
  <si>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</si>
  <si>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</si>
  <si>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</si>
  <si>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</si>
  <si>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</si>
  <si>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</si>
  <si>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</si>
  <si>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</si>
  <si>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</si>
  <si>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</si>
  <si>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</si>
  <si>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</si>
  <si>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</si>
  <si>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</si>
  <si>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</si>
  <si>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</si>
  <si>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</si>
  <si>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</si>
  <si>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</si>
  <si>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</si>
  <si>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</si>
  <si>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</si>
  <si>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</si>
  <si>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</si>
  <si>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</si>
  <si>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</si>
  <si>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</si>
  <si>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</si>
  <si>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</si>
  <si>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</si>
  <si>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</si>
  <si>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</si>
  <si>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</si>
  <si>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</si>
  <si>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</si>
  <si>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</si>
  <si>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</si>
  <si>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</si>
  <si>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</si>
  <si>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</si>
  <si>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</si>
  <si>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</si>
  <si>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</si>
  <si>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</si>
  <si>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</si>
  <si>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</si>
  <si>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</si>
  <si>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</si>
  <si>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</si>
  <si>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</si>
  <si>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</si>
  <si>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</si>
  <si>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</si>
  <si>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</si>
  <si>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</si>
  <si>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</si>
  <si>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</si>
  <si>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</si>
  <si>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</si>
  <si>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</si>
  <si>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</si>
  <si>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</si>
  <si>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</si>
  <si>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</si>
  <si>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</si>
  <si>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</si>
  <si>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</si>
  <si>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</si>
  <si>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</si>
  <si>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</si>
  <si>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</si>
  <si>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</si>
  <si>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</si>
  <si>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</si>
  <si>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</si>
  <si>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</si>
  <si>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</si>
  <si>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</si>
  <si>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</si>
  <si>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</si>
  <si>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</si>
  <si>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</si>
  <si>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</si>
  <si>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</si>
  <si>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</si>
  <si>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</si>
  <si>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</si>
  <si>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</si>
  <si>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</si>
  <si>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</si>
  <si>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</si>
  <si>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</si>
  <si>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</si>
  <si>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</si>
  <si>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</si>
  <si>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</si>
  <si>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</si>
  <si>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</si>
  <si>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</si>
  <si>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</si>
  <si>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</si>
  <si>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</si>
  <si>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</si>
  <si>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</si>
  <si>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</si>
  <si>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</si>
  <si>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</si>
  <si>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</si>
  <si>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</si>
  <si>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</si>
  <si>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</si>
  <si>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</si>
  <si>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</si>
  <si>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</si>
  <si>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</si>
  <si>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</si>
  <si>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</si>
  <si>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</si>
  <si>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</si>
  <si>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</si>
  <si>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</si>
  <si>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</si>
  <si>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</si>
  <si>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</si>
  <si>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</si>
  <si>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</si>
  <si>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</si>
  <si>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</si>
  <si>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</si>
  <si>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</si>
  <si>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</si>
  <si>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</si>
  <si>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</si>
  <si>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</si>
  <si>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</si>
  <si>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</si>
  <si>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</si>
  <si>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</si>
  <si>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</si>
  <si>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</si>
  <si>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</si>
  <si>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</si>
  <si>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</si>
  <si>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</si>
  <si>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</si>
  <si>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</si>
  <si>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</si>
  <si>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</si>
  <si>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</si>
  <si>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</si>
  <si>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</si>
  <si>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</si>
  <si>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</si>
  <si>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</si>
  <si>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</si>
  <si>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</si>
  <si>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</si>
  <si>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</si>
  <si>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</si>
  <si>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</si>
  <si>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</si>
  <si>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</si>
  <si>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</si>
  <si>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</si>
  <si>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</si>
  <si>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</si>
  <si>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</si>
  <si>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</si>
  <si>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</si>
  <si>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</si>
  <si>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</si>
  <si>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</si>
  <si>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</si>
  <si>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</si>
  <si>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</si>
  <si>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</si>
  <si>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</si>
  <si>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</si>
  <si>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</si>
  <si>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</si>
  <si>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</si>
  <si>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</si>
  <si>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</si>
  <si>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</si>
  <si>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</si>
  <si>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</si>
  <si>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</si>
  <si>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</si>
  <si>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</si>
  <si>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</si>
  <si>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</si>
  <si>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</si>
  <si>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</si>
  <si>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</si>
  <si>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</si>
  <si>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</si>
  <si>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</si>
  <si>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</si>
  <si>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</si>
  <si>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</si>
  <si>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</si>
  <si>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</si>
  <si>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</si>
  <si>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</si>
  <si>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</si>
  <si>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</si>
  <si>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</si>
  <si>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</si>
  <si>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</si>
  <si>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</si>
  <si>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</si>
  <si>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</si>
  <si>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</si>
  <si>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</si>
  <si>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</si>
  <si>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</si>
  <si>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</si>
  <si>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</si>
  <si>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</si>
  <si>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</si>
  <si>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</si>
  <si>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</si>
  <si>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</si>
  <si>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</si>
  <si>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</si>
  <si>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</si>
  <si>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</si>
  <si>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</si>
  <si>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</si>
  <si>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</si>
  <si>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</si>
  <si>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</si>
  <si>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</si>
  <si>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</si>
  <si>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</si>
  <si>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</si>
  <si>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</si>
  <si>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</si>
  <si>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</si>
  <si>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</si>
  <si>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</si>
  <si>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</si>
  <si>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</si>
  <si>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</si>
  <si>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</si>
  <si>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</si>
  <si>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</si>
  <si>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</si>
  <si>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</si>
  <si>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</si>
  <si>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</si>
  <si>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</si>
  <si>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</si>
  <si>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</si>
  <si>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</si>
  <si>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</si>
  <si>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</si>
  <si>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</si>
  <si>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</si>
  <si>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</si>
  <si>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</si>
  <si>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</si>
  <si>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</si>
  <si>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</si>
  <si>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</si>
  <si>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</si>
  <si>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</si>
  <si>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</si>
  <si>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</si>
  <si>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</si>
  <si>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</si>
  <si>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</si>
  <si>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</si>
  <si>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</si>
  <si>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</si>
  <si>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</si>
  <si>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</si>
  <si>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</si>
  <si>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</si>
  <si>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</si>
  <si>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</si>
  <si>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</si>
  <si>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</si>
  <si>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</si>
  <si>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</si>
  <si>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</si>
  <si>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</si>
  <si>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</si>
  <si>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</si>
  <si>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</si>
  <si>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</si>
  <si>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</si>
  <si>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</si>
  <si>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</si>
  <si>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</si>
  <si>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</si>
  <si>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</si>
  <si>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</si>
  <si>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</si>
  <si>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</si>
  <si>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</si>
  <si>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</si>
  <si>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</si>
  <si>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</si>
  <si>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</si>
  <si>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</si>
  <si>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</si>
  <si>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</si>
  <si>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</si>
  <si>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</si>
  <si>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</si>
  <si>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</si>
  <si>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</si>
  <si>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</si>
  <si>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</si>
  <si>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</si>
  <si>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</si>
  <si>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</si>
  <si>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</si>
  <si>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</si>
  <si>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</si>
  <si>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</si>
  <si>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</si>
  <si>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עד 25% מניות</t>
  </si>
  <si>
    <t>הפניקס השתלמות שקלי טווח קצר</t>
  </si>
  <si>
    <t>הפניקס גמל עד 15% מניות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</si>
  <si>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</si>
  <si>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</si>
  <si>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</si>
  <si>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</si>
  <si>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</si>
  <si>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</si>
  <si>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</si>
  <si>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</si>
  <si>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</si>
  <si>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פאסיבי לבמי 50 ומטה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</si>
  <si>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</si>
  <si>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</si>
  <si>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</si>
  <si>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</si>
  <si>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</si>
  <si>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</si>
  <si>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</si>
  <si>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</si>
  <si>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</si>
  <si>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</si>
  <si>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</si>
  <si>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</si>
  <si>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</si>
  <si>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</si>
  <si>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</si>
  <si>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</si>
  <si>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</si>
  <si>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</si>
  <si>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פאסיבי לבני 60 ומעלה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</si>
  <si>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</si>
  <si>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</si>
  <si>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</si>
  <si>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</si>
  <si>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גמל מסלול עוקב מדדים גמיש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</si>
  <si>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</si>
  <si>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</si>
  <si>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</si>
  <si>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</si>
  <si>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</si>
  <si>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</si>
  <si>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</si>
  <si>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</si>
  <si>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גמל חו"ל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</si>
  <si>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</si>
  <si>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</si>
  <si>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</si>
  <si>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</si>
  <si>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</si>
  <si>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</si>
  <si>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</si>
  <si>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</si>
  <si>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513026484-00000000000399-1190-000</t>
  </si>
  <si>
    <t>513026484-00000000000399-0715-000</t>
  </si>
  <si>
    <t>513026484-00000000000102-0211-000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</si>
  <si>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</si>
  <si>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</si>
  <si>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</si>
  <si>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</si>
  <si>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</si>
  <si>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</si>
  <si>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</si>
  <si>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</si>
  <si>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</si>
  <si>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</si>
  <si>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</si>
  <si>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</si>
  <si>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</si>
  <si>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</si>
  <si>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</si>
  <si>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</si>
  <si>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</si>
  <si>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</si>
  <si>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</si>
  <si>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</si>
  <si>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</si>
  <si>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</si>
  <si>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</si>
  <si>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</si>
  <si>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</si>
  <si>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</si>
  <si>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</si>
  <si>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</si>
  <si>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513026484-00000000000102-8624-000</t>
  </si>
  <si>
    <t>513026484-00000000000102-8626-000</t>
  </si>
  <si>
    <t xml:space="preserve">תחילת מידע טבלה  </t>
  </si>
  <si>
    <t xml:space="preserve"> תחילת מידע טבלה צד ימין</t>
  </si>
  <si>
    <t xml:space="preserve">סוף מידע טבלה צד שמאל  </t>
  </si>
  <si>
    <t xml:space="preserve">סוף מידע טבלה </t>
  </si>
  <si>
    <t xml:space="preserve">סוף מידע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</si>
</sst>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0</xdr:rowOff>
    </xdr:from>
    <xdr:to>
      <xdr:col>4</xdr:col>
      <xdr:colOff>257175</xdr:colOff>
      <xdr:row>4</xdr:row>
      <xdr:rowOff>31623</xdr:rowOff>
    </xdr:to>
    <xdr:sp macro="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58937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2</xdr:col>
      <xdr:colOff>109742</xdr:colOff>
      <xdr:row>0</xdr:row>
      <xdr:rowOff>133349</xdr:rowOff>
    </xdr:from>
    <xdr:to>
      <xdr:col>2</xdr:col>
      <xdr:colOff>515360</xdr:colOff>
      <xdr:row>2</xdr:row>
      <xdr:rowOff>152399</xdr:rowOff>
    </xdr:to>
    <xdr:pic>
      <xdr:nvPicPr>
        <xdr:cNvPr id="4" name="Picture 3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A04622E5-3A15-617B-CE7E-4CDC660DC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580615" y="133349"/>
          <a:ext cx="405618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61"/>
  <sheetViews>
    <sheetView rightToLeft="1" tabSelected="1" workbookViewId="0">
      <selection sqref="A1:A359"/>
    </sheetView>
  </sheetViews>
  <sheetFormatPr defaultRowHeight="14.25" x14ac:dyDescent="0.2"/>
  <cols>
    <col min="28" max="28" width="11.375" customWidth="1"/>
    <col min="59" max="59" width="31.25" customWidth="1"/>
  </cols>
  <sheetData>
    <row r="1" spans="1:60" x14ac:dyDescent="0.2">
      <c r="A1" s="22" t="s">
        <v>709</v>
      </c>
      <c r="B1" s="22" t="s">
        <v>708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 t="s">
        <v>710</v>
      </c>
    </row>
    <row r="2" spans="1:60" ht="15.75" x14ac:dyDescent="0.25">
      <c r="A2" s="22"/>
      <c r="B2" s="1"/>
      <c r="C2" s="2"/>
      <c r="D2" s="2"/>
      <c r="E2" s="2"/>
      <c r="F2">
        <v>6</v>
      </c>
      <c r="G2">
        <v>10</v>
      </c>
      <c r="H2">
        <v>30</v>
      </c>
      <c r="I2">
        <v>50</v>
      </c>
      <c r="J2">
        <v>93</v>
      </c>
      <c r="K2">
        <v>99</v>
      </c>
      <c r="L2">
        <v>100</v>
      </c>
      <c r="M2">
        <v>101</v>
      </c>
      <c r="N2">
        <v>102</v>
      </c>
      <c r="O2">
        <v>121</v>
      </c>
      <c r="P2">
        <v>122</v>
      </c>
      <c r="Q2">
        <v>142</v>
      </c>
      <c r="R2">
        <v>164</v>
      </c>
      <c r="S2">
        <v>167</v>
      </c>
      <c r="T2">
        <v>169</v>
      </c>
      <c r="U2">
        <v>425</v>
      </c>
      <c r="V2">
        <v>426</v>
      </c>
      <c r="W2">
        <v>499</v>
      </c>
      <c r="X2">
        <v>519</v>
      </c>
      <c r="Y2">
        <v>525</v>
      </c>
      <c r="Z2">
        <v>526</v>
      </c>
      <c r="AA2">
        <v>570</v>
      </c>
      <c r="AB2">
        <v>571</v>
      </c>
      <c r="AC2">
        <v>572</v>
      </c>
      <c r="AD2">
        <v>573</v>
      </c>
      <c r="AE2">
        <v>574</v>
      </c>
      <c r="AF2">
        <v>628</v>
      </c>
      <c r="AG2">
        <v>629</v>
      </c>
      <c r="AH2">
        <v>631</v>
      </c>
      <c r="AI2">
        <v>632</v>
      </c>
      <c r="AJ2">
        <v>658</v>
      </c>
      <c r="AK2">
        <v>660</v>
      </c>
      <c r="AL2">
        <v>662</v>
      </c>
      <c r="AM2">
        <v>664</v>
      </c>
      <c r="AN2">
        <v>666</v>
      </c>
      <c r="AO2">
        <v>726</v>
      </c>
      <c r="AP2">
        <v>737</v>
      </c>
      <c r="AQ2">
        <v>805</v>
      </c>
      <c r="AR2">
        <v>807</v>
      </c>
      <c r="AS2">
        <v>827</v>
      </c>
      <c r="AT2">
        <v>575</v>
      </c>
      <c r="AU2">
        <v>576</v>
      </c>
      <c r="AV2">
        <v>359</v>
      </c>
      <c r="AW2">
        <v>360</v>
      </c>
      <c r="AX2" s="9">
        <v>828</v>
      </c>
      <c r="AY2" s="9">
        <v>844</v>
      </c>
      <c r="AZ2" s="9">
        <v>839</v>
      </c>
      <c r="BA2" s="9">
        <v>857</v>
      </c>
      <c r="BB2" s="9">
        <v>851</v>
      </c>
      <c r="BC2" s="9">
        <v>849</v>
      </c>
      <c r="BD2" s="9">
        <v>846</v>
      </c>
      <c r="BE2" s="9">
        <v>834</v>
      </c>
      <c r="BF2" s="9">
        <v>488</v>
      </c>
      <c r="BG2" s="9">
        <v>506</v>
      </c>
      <c r="BH2" s="22"/>
    </row>
    <row r="3" spans="1:60" x14ac:dyDescent="0.2">
      <c r="A3" s="22"/>
      <c r="F3" s="10">
        <v>401</v>
      </c>
      <c r="G3" s="10">
        <v>242</v>
      </c>
      <c r="H3" s="10">
        <v>385</v>
      </c>
      <c r="I3" s="10">
        <v>528</v>
      </c>
      <c r="J3" s="10">
        <v>384</v>
      </c>
      <c r="K3" s="10">
        <v>716</v>
      </c>
      <c r="L3" s="10">
        <v>686</v>
      </c>
      <c r="M3" s="10">
        <v>1190</v>
      </c>
      <c r="N3" s="10">
        <v>715</v>
      </c>
      <c r="O3" s="10">
        <v>211</v>
      </c>
      <c r="P3" s="10">
        <v>9916</v>
      </c>
      <c r="Q3" s="10">
        <v>1100</v>
      </c>
      <c r="R3" s="10">
        <v>801</v>
      </c>
      <c r="S3" s="10">
        <v>804</v>
      </c>
      <c r="T3" s="10">
        <v>806</v>
      </c>
      <c r="U3" s="10">
        <v>8765</v>
      </c>
      <c r="V3" s="10">
        <v>8766</v>
      </c>
      <c r="W3" s="10">
        <v>9418</v>
      </c>
      <c r="X3" s="10">
        <v>9475</v>
      </c>
      <c r="Y3" s="10">
        <v>9905</v>
      </c>
      <c r="Z3" s="10">
        <v>9906</v>
      </c>
      <c r="AA3" s="10">
        <v>7905</v>
      </c>
      <c r="AB3" s="10">
        <v>7906</v>
      </c>
      <c r="AC3" s="10">
        <v>7907</v>
      </c>
      <c r="AD3" s="10">
        <v>7908</v>
      </c>
      <c r="AE3" s="10">
        <v>7909</v>
      </c>
      <c r="AF3" s="10">
        <v>11310</v>
      </c>
      <c r="AG3" s="10">
        <v>11311</v>
      </c>
      <c r="AH3" s="10">
        <v>11312</v>
      </c>
      <c r="AI3" s="10">
        <v>11335</v>
      </c>
      <c r="AJ3" s="10">
        <v>9529</v>
      </c>
      <c r="AK3" s="10">
        <v>961</v>
      </c>
      <c r="AL3" s="10">
        <v>9528</v>
      </c>
      <c r="AM3" s="10">
        <v>964</v>
      </c>
      <c r="AN3" s="10">
        <v>968</v>
      </c>
      <c r="AO3" s="10">
        <v>8629</v>
      </c>
      <c r="AP3" s="10">
        <v>13264</v>
      </c>
      <c r="AQ3" s="10">
        <v>9917</v>
      </c>
      <c r="AR3" s="10">
        <v>8624</v>
      </c>
      <c r="AS3" s="10">
        <v>13263</v>
      </c>
      <c r="AT3" s="10">
        <v>13209</v>
      </c>
      <c r="AU3" s="10">
        <v>13250</v>
      </c>
      <c r="AV3" s="10">
        <v>14281</v>
      </c>
      <c r="AW3" s="10">
        <v>14282</v>
      </c>
      <c r="AX3" s="11">
        <v>2049</v>
      </c>
      <c r="AY3" s="12">
        <v>7975</v>
      </c>
      <c r="AZ3" s="12">
        <v>8004</v>
      </c>
      <c r="BA3" s="11">
        <v>1008</v>
      </c>
      <c r="BB3" s="11">
        <v>9484</v>
      </c>
      <c r="BC3" s="11">
        <v>682</v>
      </c>
      <c r="BD3" s="11">
        <v>11352</v>
      </c>
      <c r="BE3" s="11">
        <v>2058</v>
      </c>
      <c r="BF3" s="11">
        <v>12088</v>
      </c>
      <c r="BG3" s="11">
        <v>15007</v>
      </c>
      <c r="BH3" s="22"/>
    </row>
    <row r="4" spans="1:60" ht="15.75" x14ac:dyDescent="0.25">
      <c r="A4" s="22"/>
      <c r="B4" s="3">
        <v>45352</v>
      </c>
      <c r="C4" s="2"/>
      <c r="D4" s="2"/>
      <c r="E4" s="2"/>
      <c r="F4" t="s">
        <v>614</v>
      </c>
      <c r="G4" t="s">
        <v>615</v>
      </c>
      <c r="H4" t="s">
        <v>616</v>
      </c>
      <c r="I4" t="s">
        <v>617</v>
      </c>
      <c r="J4" t="s">
        <v>618</v>
      </c>
      <c r="K4" t="s">
        <v>619</v>
      </c>
      <c r="L4" t="s">
        <v>620</v>
      </c>
      <c r="M4" t="s">
        <v>621</v>
      </c>
      <c r="N4" t="s">
        <v>622</v>
      </c>
      <c r="O4" t="s">
        <v>623</v>
      </c>
      <c r="P4" t="s">
        <v>624</v>
      </c>
      <c r="Q4" t="s">
        <v>625</v>
      </c>
      <c r="R4" t="s">
        <v>626</v>
      </c>
      <c r="S4" t="s">
        <v>627</v>
      </c>
      <c r="T4" t="s">
        <v>628</v>
      </c>
      <c r="U4" t="s">
        <v>629</v>
      </c>
      <c r="V4" t="s">
        <v>630</v>
      </c>
      <c r="W4" t="s">
        <v>631</v>
      </c>
      <c r="X4" t="s">
        <v>632</v>
      </c>
      <c r="Y4" t="s">
        <v>633</v>
      </c>
      <c r="Z4" t="s">
        <v>634</v>
      </c>
      <c r="AA4" t="s">
        <v>635</v>
      </c>
      <c r="AB4" t="s">
        <v>636</v>
      </c>
      <c r="AC4" t="s">
        <v>637</v>
      </c>
      <c r="AD4" t="s">
        <v>638</v>
      </c>
      <c r="AE4" t="s">
        <v>639</v>
      </c>
      <c r="AF4" t="s">
        <v>640</v>
      </c>
      <c r="AG4" t="s">
        <v>641</v>
      </c>
      <c r="AH4" t="s">
        <v>642</v>
      </c>
      <c r="AI4" t="s">
        <v>643</v>
      </c>
      <c r="AJ4" t="s">
        <v>644</v>
      </c>
      <c r="AK4" t="s">
        <v>645</v>
      </c>
      <c r="AL4" t="s">
        <v>646</v>
      </c>
      <c r="AM4" t="s">
        <v>647</v>
      </c>
      <c r="AN4" t="s">
        <v>648</v>
      </c>
      <c r="AO4" t="s">
        <v>649</v>
      </c>
      <c r="AP4" t="s">
        <v>650</v>
      </c>
      <c r="AQ4" t="s">
        <v>651</v>
      </c>
      <c r="AR4" t="s">
        <v>652</v>
      </c>
      <c r="AS4" t="s">
        <v>653</v>
      </c>
      <c r="AT4" t="s">
        <v>654</v>
      </c>
      <c r="AU4" t="s">
        <v>655</v>
      </c>
      <c r="AV4" t="s">
        <v>656</v>
      </c>
      <c r="AW4" t="s">
        <v>657</v>
      </c>
      <c r="AX4" s="13" t="s">
        <v>658</v>
      </c>
      <c r="AY4" s="14" t="s">
        <v>659</v>
      </c>
      <c r="AZ4" s="13" t="s">
        <v>660</v>
      </c>
      <c r="BA4" s="13" t="s">
        <v>661</v>
      </c>
      <c r="BB4" s="13" t="s">
        <v>662</v>
      </c>
      <c r="BC4" s="13" t="s">
        <v>663</v>
      </c>
      <c r="BD4" s="13" t="s">
        <v>664</v>
      </c>
      <c r="BE4" s="13" t="s">
        <v>665</v>
      </c>
      <c r="BF4" s="13" t="s">
        <v>666</v>
      </c>
      <c r="BG4" s="13" t="s">
        <v>667</v>
      </c>
      <c r="BH4" s="22"/>
    </row>
    <row r="5" spans="1:60" ht="15.75" x14ac:dyDescent="0.25">
      <c r="A5" s="22"/>
      <c r="B5" s="4"/>
      <c r="C5" s="5"/>
      <c r="D5" s="5"/>
      <c r="E5" s="6" t="s">
        <v>0</v>
      </c>
      <c r="F5" s="15" t="s">
        <v>668</v>
      </c>
      <c r="G5" s="15" t="s">
        <v>669</v>
      </c>
      <c r="H5" s="15" t="s">
        <v>670</v>
      </c>
      <c r="I5" s="15" t="s">
        <v>671</v>
      </c>
      <c r="J5" s="15" t="s">
        <v>672</v>
      </c>
      <c r="K5" s="15" t="s">
        <v>673</v>
      </c>
      <c r="L5" s="15" t="s">
        <v>674</v>
      </c>
      <c r="M5" s="15" t="s">
        <v>675</v>
      </c>
      <c r="N5" s="15" t="s">
        <v>676</v>
      </c>
      <c r="O5" s="15" t="s">
        <v>677</v>
      </c>
      <c r="P5" s="15" t="s">
        <v>678</v>
      </c>
      <c r="Q5" s="15" t="s">
        <v>679</v>
      </c>
      <c r="R5" s="15" t="s">
        <v>680</v>
      </c>
      <c r="S5" s="15" t="s">
        <v>681</v>
      </c>
      <c r="T5" s="15" t="s">
        <v>682</v>
      </c>
      <c r="U5" s="15" t="s">
        <v>683</v>
      </c>
      <c r="V5" s="15" t="s">
        <v>684</v>
      </c>
      <c r="W5" s="15" t="s">
        <v>685</v>
      </c>
      <c r="X5" s="15" t="s">
        <v>686</v>
      </c>
      <c r="Y5" s="15" t="s">
        <v>687</v>
      </c>
      <c r="Z5" s="15" t="s">
        <v>688</v>
      </c>
      <c r="AA5" s="15" t="s">
        <v>689</v>
      </c>
      <c r="AB5" s="15" t="s">
        <v>690</v>
      </c>
      <c r="AC5" s="15" t="s">
        <v>691</v>
      </c>
      <c r="AD5" s="15" t="s">
        <v>692</v>
      </c>
      <c r="AE5" s="15" t="s">
        <v>693</v>
      </c>
      <c r="AF5" s="15" t="s">
        <v>694</v>
      </c>
      <c r="AG5" s="15" t="s">
        <v>695</v>
      </c>
      <c r="AH5" s="15" t="s">
        <v>696</v>
      </c>
      <c r="AI5" s="15" t="s">
        <v>697</v>
      </c>
      <c r="AJ5" s="15" t="s">
        <v>698</v>
      </c>
      <c r="AK5" s="15" t="s">
        <v>699</v>
      </c>
      <c r="AL5" s="15" t="s">
        <v>700</v>
      </c>
      <c r="AM5" s="15" t="s">
        <v>701</v>
      </c>
      <c r="AN5" s="15" t="s">
        <v>702</v>
      </c>
      <c r="AO5" s="15" t="s">
        <v>703</v>
      </c>
      <c r="AP5" s="15" t="s">
        <v>704</v>
      </c>
      <c r="AQ5" s="15" t="s">
        <v>705</v>
      </c>
      <c r="AR5" s="15" t="s">
        <v>706</v>
      </c>
      <c r="AS5" s="15" t="s">
        <v>707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22"/>
    </row>
    <row r="6" spans="1:60" ht="15.75" x14ac:dyDescent="0.25">
      <c r="A6" s="22"/>
      <c r="B6" s="5" t="s">
        <v>1</v>
      </c>
      <c r="C6" s="5" t="s">
        <v>2</v>
      </c>
      <c r="D6" s="7">
        <v>1</v>
      </c>
      <c r="E6" s="7">
        <v>1</v>
      </c>
      <c r="F6" s="7">
        <v>107478.74</v>
      </c>
      <c r="G6" s="7">
        <v>20073.804</v>
      </c>
      <c r="H6" s="7">
        <v>16755.618999999999</v>
      </c>
      <c r="I6" s="7">
        <v>117.773</v>
      </c>
      <c r="J6" s="7">
        <v>2810.7669999999998</v>
      </c>
      <c r="K6" s="7">
        <v>11424.772000000001</v>
      </c>
      <c r="L6" s="7">
        <v>94182.709000000003</v>
      </c>
      <c r="M6" s="7">
        <v>13323.177</v>
      </c>
      <c r="N6" s="7">
        <v>3443.1779999999999</v>
      </c>
      <c r="O6" s="7">
        <v>36434.324000000001</v>
      </c>
      <c r="P6" s="7">
        <v>184868.44200000001</v>
      </c>
      <c r="Q6" s="7">
        <v>37630.587</v>
      </c>
      <c r="R6" s="7">
        <v>3.0329999999999999</v>
      </c>
      <c r="S6" s="7">
        <v>714.86500000000001</v>
      </c>
      <c r="T6" s="7">
        <v>91.058999999999997</v>
      </c>
      <c r="U6" s="7">
        <v>672.81799999999998</v>
      </c>
      <c r="V6" s="7">
        <v>172.31</v>
      </c>
      <c r="W6" s="7">
        <v>5695.5649999999996</v>
      </c>
      <c r="X6" s="7">
        <v>0.29699999999999999</v>
      </c>
      <c r="Y6" s="7">
        <v>11339.800999999999</v>
      </c>
      <c r="Z6" s="7">
        <v>2549.5430000000001</v>
      </c>
      <c r="AA6" s="7">
        <v>1288.761</v>
      </c>
      <c r="AB6" s="7">
        <v>3920.4160000000002</v>
      </c>
      <c r="AC6" s="7">
        <v>30309.699000000001</v>
      </c>
      <c r="AD6" s="7">
        <v>41426.578000000001</v>
      </c>
      <c r="AE6" s="7">
        <v>7700.6139999999996</v>
      </c>
      <c r="AF6" s="7">
        <v>13749.728999999999</v>
      </c>
      <c r="AG6" s="7">
        <v>24108.851999999999</v>
      </c>
      <c r="AH6" s="7">
        <v>3451.1410000000001</v>
      </c>
      <c r="AI6" s="7">
        <v>1232.394</v>
      </c>
      <c r="AJ6" s="7">
        <v>107515.05100000001</v>
      </c>
      <c r="AK6" s="7">
        <v>29788.433000000001</v>
      </c>
      <c r="AL6" s="7">
        <v>5821.2129999999997</v>
      </c>
      <c r="AM6" s="7">
        <v>286677.42200000002</v>
      </c>
      <c r="AN6" s="7">
        <v>55877.576000000001</v>
      </c>
      <c r="AO6" s="7">
        <v>45275.258000000002</v>
      </c>
      <c r="AP6" s="7">
        <v>271523.67800000001</v>
      </c>
      <c r="AQ6" s="7">
        <v>23475.923999999999</v>
      </c>
      <c r="AR6" s="7">
        <v>10650.009</v>
      </c>
      <c r="AS6" s="7">
        <v>167440.69699999999</v>
      </c>
      <c r="AT6" s="7">
        <v>473.45699999999999</v>
      </c>
      <c r="AU6" s="7">
        <v>87078.054000000004</v>
      </c>
      <c r="AV6" s="7">
        <v>214.80500000000001</v>
      </c>
      <c r="AW6" s="7">
        <v>1532.886</v>
      </c>
      <c r="AX6" s="7">
        <v>1508.1369999999999</v>
      </c>
      <c r="AY6" s="7">
        <v>8527.9169999999995</v>
      </c>
      <c r="AZ6" s="7">
        <v>302.26799999999997</v>
      </c>
      <c r="BA6" s="7">
        <v>104.542</v>
      </c>
      <c r="BB6" s="7">
        <v>0</v>
      </c>
      <c r="BC6" s="7">
        <v>4668.7110000000002</v>
      </c>
      <c r="BD6" s="7">
        <v>2225.2890000000002</v>
      </c>
      <c r="BE6" s="7">
        <v>2806.444</v>
      </c>
      <c r="BF6" s="7">
        <v>8722.6740000000009</v>
      </c>
      <c r="BG6" s="7">
        <v>2143.4639999999999</v>
      </c>
      <c r="BH6" s="22"/>
    </row>
    <row r="7" spans="1:60" ht="15.75" x14ac:dyDescent="0.25">
      <c r="A7" s="22"/>
      <c r="B7" s="5" t="s">
        <v>3</v>
      </c>
      <c r="C7" s="5" t="s">
        <v>4</v>
      </c>
      <c r="D7" s="7">
        <v>1</v>
      </c>
      <c r="E7" s="7">
        <v>1</v>
      </c>
      <c r="F7" s="7">
        <v>44353.87</v>
      </c>
      <c r="G7" s="7">
        <v>15231.673000000001</v>
      </c>
      <c r="H7" s="7">
        <v>7752.5309999999999</v>
      </c>
      <c r="I7" s="7">
        <v>3712.683</v>
      </c>
      <c r="J7" s="7">
        <v>3550.2159999999999</v>
      </c>
      <c r="K7" s="7">
        <v>4683.6450000000004</v>
      </c>
      <c r="L7" s="7">
        <v>45301.605000000003</v>
      </c>
      <c r="M7" s="7">
        <v>11273.653</v>
      </c>
      <c r="N7" s="7">
        <v>0</v>
      </c>
      <c r="O7" s="7">
        <v>22356.963</v>
      </c>
      <c r="P7" s="7">
        <v>124577.174</v>
      </c>
      <c r="Q7" s="7">
        <v>17564.911</v>
      </c>
      <c r="R7" s="7">
        <v>0</v>
      </c>
      <c r="S7" s="7">
        <v>75.667000000000002</v>
      </c>
      <c r="T7" s="7">
        <v>620.60500000000002</v>
      </c>
      <c r="U7" s="7">
        <v>78.855999999999995</v>
      </c>
      <c r="V7" s="7">
        <v>204.86600000000001</v>
      </c>
      <c r="W7" s="7">
        <v>3339.87</v>
      </c>
      <c r="X7" s="7">
        <v>0</v>
      </c>
      <c r="Y7" s="7">
        <v>1046.6579999999999</v>
      </c>
      <c r="Z7" s="7">
        <v>0</v>
      </c>
      <c r="AA7" s="7">
        <v>697.38</v>
      </c>
      <c r="AB7" s="7">
        <v>2736.4679999999998</v>
      </c>
      <c r="AC7" s="7">
        <v>199.53399999999999</v>
      </c>
      <c r="AD7" s="7">
        <v>20961.894</v>
      </c>
      <c r="AE7" s="7">
        <v>1712.521</v>
      </c>
      <c r="AF7" s="7">
        <v>6817.509</v>
      </c>
      <c r="AG7" s="7">
        <v>2035.6</v>
      </c>
      <c r="AH7" s="7">
        <v>2323.34</v>
      </c>
      <c r="AI7" s="7">
        <v>470.76400000000001</v>
      </c>
      <c r="AJ7" s="7">
        <v>52211.949000000001</v>
      </c>
      <c r="AK7" s="7">
        <v>17394.769</v>
      </c>
      <c r="AL7" s="7">
        <v>2234.58</v>
      </c>
      <c r="AM7" s="7">
        <v>152906.177</v>
      </c>
      <c r="AN7" s="7">
        <v>32446.938999999998</v>
      </c>
      <c r="AO7" s="7">
        <v>26232.264999999999</v>
      </c>
      <c r="AP7" s="7">
        <v>208521.39199999999</v>
      </c>
      <c r="AQ7" s="7">
        <v>2472.86</v>
      </c>
      <c r="AR7" s="7">
        <v>1206.6600000000001</v>
      </c>
      <c r="AS7" s="7">
        <v>126645.503</v>
      </c>
      <c r="AT7" s="7">
        <v>0</v>
      </c>
      <c r="AU7" s="7">
        <v>65672.448999999993</v>
      </c>
      <c r="AV7" s="7">
        <v>113.19199999999999</v>
      </c>
      <c r="AW7" s="7">
        <v>174.721</v>
      </c>
      <c r="AX7" s="7">
        <v>2396.7469999999998</v>
      </c>
      <c r="AY7" s="7">
        <v>4962.0600000000004</v>
      </c>
      <c r="AZ7" s="7">
        <v>1001.359</v>
      </c>
      <c r="BA7" s="7">
        <v>54.228999999999999</v>
      </c>
      <c r="BB7" s="7">
        <v>0</v>
      </c>
      <c r="BC7" s="7">
        <v>2758.1060000000002</v>
      </c>
      <c r="BD7" s="7">
        <v>4171.0360000000001</v>
      </c>
      <c r="BE7" s="7">
        <v>2276.5830000000001</v>
      </c>
      <c r="BF7" s="7">
        <v>19193.851999999999</v>
      </c>
      <c r="BG7" s="7">
        <v>11.093</v>
      </c>
      <c r="BH7" s="22"/>
    </row>
    <row r="8" spans="1:60" ht="15.75" x14ac:dyDescent="0.25">
      <c r="A8" s="22"/>
      <c r="B8" s="5" t="s">
        <v>5</v>
      </c>
      <c r="C8" s="5" t="s">
        <v>6</v>
      </c>
      <c r="D8" s="7">
        <v>1</v>
      </c>
      <c r="E8" s="7">
        <v>1</v>
      </c>
      <c r="F8" s="7">
        <v>67028.005999999994</v>
      </c>
      <c r="G8" s="7">
        <v>18426.802</v>
      </c>
      <c r="H8" s="7">
        <v>13301.918</v>
      </c>
      <c r="I8" s="7">
        <v>15139.249</v>
      </c>
      <c r="J8" s="7">
        <v>1571.5540000000001</v>
      </c>
      <c r="K8" s="7">
        <v>10702.918</v>
      </c>
      <c r="L8" s="7">
        <v>54995.798000000003</v>
      </c>
      <c r="M8" s="7">
        <v>8873.0339999999997</v>
      </c>
      <c r="N8" s="7">
        <v>3335.8</v>
      </c>
      <c r="O8" s="7">
        <v>18163.917000000001</v>
      </c>
      <c r="P8" s="7">
        <v>130860.243</v>
      </c>
      <c r="Q8" s="7">
        <v>24189.544999999998</v>
      </c>
      <c r="R8" s="7">
        <v>188.98500000000001</v>
      </c>
      <c r="S8" s="7">
        <v>166.18199999999999</v>
      </c>
      <c r="T8" s="7">
        <v>323.20999999999998</v>
      </c>
      <c r="U8" s="7">
        <v>351.59199999999998</v>
      </c>
      <c r="V8" s="7">
        <v>190.77199999999999</v>
      </c>
      <c r="W8" s="7">
        <v>4263.2330000000002</v>
      </c>
      <c r="X8" s="7">
        <v>43.87</v>
      </c>
      <c r="Y8" s="7">
        <v>3465.4279999999999</v>
      </c>
      <c r="Z8" s="7">
        <v>812.65800000000002</v>
      </c>
      <c r="AA8" s="7">
        <v>3012.587</v>
      </c>
      <c r="AB8" s="7">
        <v>4983.9160000000002</v>
      </c>
      <c r="AC8" s="7">
        <v>4824.46</v>
      </c>
      <c r="AD8" s="7">
        <v>28017.378000000001</v>
      </c>
      <c r="AE8" s="7">
        <v>7190.777</v>
      </c>
      <c r="AF8" s="7">
        <v>30912.996999999999</v>
      </c>
      <c r="AG8" s="7">
        <v>11977.075000000001</v>
      </c>
      <c r="AH8" s="7">
        <v>3098.3069999999998</v>
      </c>
      <c r="AI8" s="7">
        <v>3851.8919999999998</v>
      </c>
      <c r="AJ8" s="7">
        <v>55088.606</v>
      </c>
      <c r="AK8" s="7">
        <v>19124.370999999999</v>
      </c>
      <c r="AL8" s="7">
        <v>13430.2</v>
      </c>
      <c r="AM8" s="7">
        <v>193829.88399999999</v>
      </c>
      <c r="AN8" s="7">
        <v>36146.792999999998</v>
      </c>
      <c r="AO8" s="7">
        <v>24184.504000000001</v>
      </c>
      <c r="AP8" s="7">
        <v>152129.875</v>
      </c>
      <c r="AQ8" s="7">
        <v>12781.63</v>
      </c>
      <c r="AR8" s="7">
        <v>2563.777</v>
      </c>
      <c r="AS8" s="7">
        <v>72147.760999999999</v>
      </c>
      <c r="AT8" s="7">
        <v>156.70400000000001</v>
      </c>
      <c r="AU8" s="7">
        <v>52122.112999999998</v>
      </c>
      <c r="AV8" s="7">
        <v>227.441</v>
      </c>
      <c r="AW8" s="7">
        <v>1048.9690000000001</v>
      </c>
      <c r="AX8" s="7">
        <v>0</v>
      </c>
      <c r="AY8" s="7">
        <v>6559.6639999999998</v>
      </c>
      <c r="AZ8" s="7">
        <v>0</v>
      </c>
      <c r="BA8" s="7">
        <v>36.893000000000001</v>
      </c>
      <c r="BB8" s="7">
        <v>0</v>
      </c>
      <c r="BC8" s="7">
        <v>574.53399999999999</v>
      </c>
      <c r="BD8" s="7">
        <v>0</v>
      </c>
      <c r="BE8" s="7">
        <v>0</v>
      </c>
      <c r="BF8" s="7">
        <v>17188.473999999998</v>
      </c>
      <c r="BG8" s="7">
        <v>10603.222</v>
      </c>
      <c r="BH8" s="22"/>
    </row>
    <row r="9" spans="1:60" ht="15.75" x14ac:dyDescent="0.25">
      <c r="A9" s="22"/>
      <c r="B9" s="5" t="s">
        <v>7</v>
      </c>
      <c r="C9" s="5" t="s">
        <v>8</v>
      </c>
      <c r="D9" s="7">
        <v>1</v>
      </c>
      <c r="E9" s="7">
        <v>1</v>
      </c>
      <c r="F9" s="7">
        <v>331057.28399999999</v>
      </c>
      <c r="G9" s="7">
        <v>92887.388000000006</v>
      </c>
      <c r="H9" s="7">
        <v>0</v>
      </c>
      <c r="I9" s="7">
        <v>0</v>
      </c>
      <c r="J9" s="7">
        <v>4739.2209999999995</v>
      </c>
      <c r="K9" s="7">
        <v>0.02</v>
      </c>
      <c r="L9" s="7">
        <v>463100.18099999998</v>
      </c>
      <c r="M9" s="7">
        <v>40794.182999999997</v>
      </c>
      <c r="N9" s="7">
        <v>0</v>
      </c>
      <c r="O9" s="7">
        <v>49238.055999999997</v>
      </c>
      <c r="P9" s="7">
        <v>1126338.92</v>
      </c>
      <c r="Q9" s="7">
        <v>66849.725999999995</v>
      </c>
      <c r="R9" s="7">
        <v>0</v>
      </c>
      <c r="S9" s="7">
        <v>3511.13</v>
      </c>
      <c r="T9" s="7">
        <v>0</v>
      </c>
      <c r="U9" s="7">
        <v>3630.4160000000002</v>
      </c>
      <c r="V9" s="7">
        <v>649.81100000000004</v>
      </c>
      <c r="W9" s="7">
        <v>28527.623</v>
      </c>
      <c r="X9" s="7">
        <v>0</v>
      </c>
      <c r="Y9" s="7">
        <v>55901.870999999999</v>
      </c>
      <c r="Z9" s="7">
        <v>0</v>
      </c>
      <c r="AA9" s="7">
        <v>0</v>
      </c>
      <c r="AB9" s="7">
        <v>7030.5640000000003</v>
      </c>
      <c r="AC9" s="7">
        <v>142875.12299999999</v>
      </c>
      <c r="AD9" s="7">
        <v>190688.57800000001</v>
      </c>
      <c r="AE9" s="7">
        <v>39128.021000000001</v>
      </c>
      <c r="AF9" s="7">
        <v>0</v>
      </c>
      <c r="AG9" s="7">
        <v>117329.792</v>
      </c>
      <c r="AH9" s="7">
        <v>15882.123</v>
      </c>
      <c r="AI9" s="7">
        <v>7664.3779999999997</v>
      </c>
      <c r="AJ9" s="7">
        <v>492417.62400000001</v>
      </c>
      <c r="AK9" s="7">
        <v>226580.29199999999</v>
      </c>
      <c r="AL9" s="7">
        <v>34741.656000000003</v>
      </c>
      <c r="AM9" s="7">
        <v>1441875.0060000001</v>
      </c>
      <c r="AN9" s="7">
        <v>426508.61</v>
      </c>
      <c r="AO9" s="7">
        <v>231889.66699999999</v>
      </c>
      <c r="AP9" s="7">
        <v>5125269.3550000004</v>
      </c>
      <c r="AQ9" s="7">
        <v>120002.452</v>
      </c>
      <c r="AR9" s="7">
        <v>52826.396000000001</v>
      </c>
      <c r="AS9" s="7">
        <v>3160581.4870000002</v>
      </c>
      <c r="AT9" s="7">
        <v>0</v>
      </c>
      <c r="AU9" s="7">
        <v>1643699.2279999999</v>
      </c>
      <c r="AV9" s="7">
        <v>1253.711</v>
      </c>
      <c r="AW9" s="7">
        <v>8388.3209999999999</v>
      </c>
      <c r="AX9" s="7">
        <v>0</v>
      </c>
      <c r="AY9" s="7">
        <v>66498.990000000005</v>
      </c>
      <c r="AZ9" s="7">
        <v>0</v>
      </c>
      <c r="BA9" s="7">
        <v>287.42599999999999</v>
      </c>
      <c r="BB9" s="7">
        <v>0</v>
      </c>
      <c r="BC9" s="7">
        <v>2123.7570000000001</v>
      </c>
      <c r="BD9" s="7">
        <v>0</v>
      </c>
      <c r="BE9" s="7">
        <v>0</v>
      </c>
      <c r="BF9" s="7">
        <v>60395.96</v>
      </c>
      <c r="BG9" s="7">
        <v>10103.861000000001</v>
      </c>
      <c r="BH9" s="22"/>
    </row>
    <row r="10" spans="1:60" ht="15.75" x14ac:dyDescent="0.25">
      <c r="A10" s="22"/>
      <c r="B10" s="5" t="s">
        <v>9</v>
      </c>
      <c r="C10" s="5" t="s">
        <v>10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22"/>
    </row>
    <row r="11" spans="1:60" ht="15.75" x14ac:dyDescent="0.25">
      <c r="A11" s="22"/>
      <c r="B11" s="5" t="s">
        <v>11</v>
      </c>
      <c r="C11" s="5" t="s">
        <v>12</v>
      </c>
      <c r="D11" s="7">
        <v>1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22"/>
    </row>
    <row r="12" spans="1:60" ht="15.75" x14ac:dyDescent="0.25">
      <c r="A12" s="22"/>
      <c r="B12" s="5" t="s">
        <v>13</v>
      </c>
      <c r="C12" s="5" t="s">
        <v>14</v>
      </c>
      <c r="D12" s="7">
        <v>1</v>
      </c>
      <c r="E12" s="7">
        <v>1</v>
      </c>
      <c r="F12" s="7">
        <v>41838.046999999999</v>
      </c>
      <c r="G12" s="7">
        <v>10235.513000000001</v>
      </c>
      <c r="H12" s="7">
        <v>2261.8939999999998</v>
      </c>
      <c r="I12" s="7">
        <v>352.95600000000002</v>
      </c>
      <c r="J12" s="7">
        <v>811.66899999999998</v>
      </c>
      <c r="K12" s="7">
        <v>1922.433</v>
      </c>
      <c r="L12" s="7">
        <v>48552.62</v>
      </c>
      <c r="M12" s="7">
        <v>9738.3410000000003</v>
      </c>
      <c r="N12" s="7">
        <v>0</v>
      </c>
      <c r="O12" s="7">
        <v>20290.134999999998</v>
      </c>
      <c r="P12" s="7">
        <v>122117.046</v>
      </c>
      <c r="Q12" s="7">
        <v>13288.869000000001</v>
      </c>
      <c r="R12" s="7">
        <v>0</v>
      </c>
      <c r="S12" s="7">
        <v>2.3420000000000001</v>
      </c>
      <c r="T12" s="7">
        <v>19.928000000000001</v>
      </c>
      <c r="U12" s="7">
        <v>1.0509999999999999</v>
      </c>
      <c r="V12" s="7">
        <v>1.7729999999999999</v>
      </c>
      <c r="W12" s="7">
        <v>3117.808</v>
      </c>
      <c r="X12" s="7">
        <v>0</v>
      </c>
      <c r="Y12" s="7">
        <v>28.649000000000001</v>
      </c>
      <c r="Z12" s="7">
        <v>0</v>
      </c>
      <c r="AA12" s="7">
        <v>244.38200000000001</v>
      </c>
      <c r="AB12" s="7">
        <v>1250.693</v>
      </c>
      <c r="AC12" s="7">
        <v>10.125</v>
      </c>
      <c r="AD12" s="7">
        <v>19829.991999999998</v>
      </c>
      <c r="AE12" s="7">
        <v>47.476999999999997</v>
      </c>
      <c r="AF12" s="7">
        <v>2945.45</v>
      </c>
      <c r="AG12" s="7">
        <v>69.356999999999999</v>
      </c>
      <c r="AH12" s="7">
        <v>1790.2</v>
      </c>
      <c r="AI12" s="7">
        <v>7.5549999999999997</v>
      </c>
      <c r="AJ12" s="7">
        <v>51743.947</v>
      </c>
      <c r="AK12" s="7">
        <v>20111.234</v>
      </c>
      <c r="AL12" s="7">
        <v>63.627000000000002</v>
      </c>
      <c r="AM12" s="7">
        <v>150941.86499999999</v>
      </c>
      <c r="AN12" s="7">
        <v>37871.455999999998</v>
      </c>
      <c r="AO12" s="7">
        <v>277.77199999999999</v>
      </c>
      <c r="AP12" s="7">
        <v>0</v>
      </c>
      <c r="AQ12" s="7">
        <v>50.331000000000003</v>
      </c>
      <c r="AR12" s="7">
        <v>25.02</v>
      </c>
      <c r="AS12" s="7">
        <v>-1.4999999999999999E-2</v>
      </c>
      <c r="AT12" s="7">
        <v>0</v>
      </c>
      <c r="AU12" s="7">
        <v>0</v>
      </c>
      <c r="AV12" s="7">
        <v>133.06800000000001</v>
      </c>
      <c r="AW12" s="7">
        <v>2.5</v>
      </c>
      <c r="AX12" s="7">
        <v>0</v>
      </c>
      <c r="AY12" s="7">
        <v>5916.0829999999996</v>
      </c>
      <c r="AZ12" s="7">
        <v>0</v>
      </c>
      <c r="BA12" s="7">
        <v>29.375</v>
      </c>
      <c r="BB12" s="7">
        <v>0</v>
      </c>
      <c r="BC12" s="7">
        <v>258.55200000000002</v>
      </c>
      <c r="BD12" s="7">
        <v>0</v>
      </c>
      <c r="BE12" s="7">
        <v>0</v>
      </c>
      <c r="BF12" s="7">
        <v>7397.5010000000002</v>
      </c>
      <c r="BG12" s="7">
        <v>0.71399999999999997</v>
      </c>
      <c r="BH12" s="22"/>
    </row>
    <row r="13" spans="1:60" ht="15.75" x14ac:dyDescent="0.25">
      <c r="A13" s="22"/>
      <c r="B13" s="5" t="s">
        <v>3</v>
      </c>
      <c r="C13" s="5" t="s">
        <v>15</v>
      </c>
      <c r="D13" s="7">
        <v>1</v>
      </c>
      <c r="E13" s="7">
        <v>1</v>
      </c>
      <c r="F13" s="7">
        <v>18.821999999999999</v>
      </c>
      <c r="G13" s="7">
        <v>4.6500000000000004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5.258</v>
      </c>
      <c r="N13" s="7">
        <v>0</v>
      </c>
      <c r="O13" s="7">
        <v>14.787000000000001</v>
      </c>
      <c r="P13" s="7">
        <v>149.82599999999999</v>
      </c>
      <c r="Q13" s="7">
        <v>5.8630000000000004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10.265000000000001</v>
      </c>
      <c r="AK13" s="7">
        <v>1.528</v>
      </c>
      <c r="AL13" s="7">
        <v>0</v>
      </c>
      <c r="AM13" s="7">
        <v>96.203999999999994</v>
      </c>
      <c r="AN13" s="7">
        <v>1.036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22"/>
    </row>
    <row r="14" spans="1:60" ht="15.75" x14ac:dyDescent="0.25">
      <c r="A14" s="22"/>
      <c r="B14" s="5" t="s">
        <v>16</v>
      </c>
      <c r="C14" s="5" t="s">
        <v>17</v>
      </c>
      <c r="D14" s="7">
        <v>1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22"/>
    </row>
    <row r="15" spans="1:60" ht="15.75" x14ac:dyDescent="0.25">
      <c r="A15" s="22"/>
      <c r="B15" s="5" t="s">
        <v>18</v>
      </c>
      <c r="C15" s="5" t="s">
        <v>19</v>
      </c>
      <c r="D15" s="7">
        <v>2</v>
      </c>
      <c r="E15" s="7">
        <v>2</v>
      </c>
      <c r="F15" s="7">
        <v>754907.62899999996</v>
      </c>
      <c r="G15" s="7">
        <v>75335.801000000007</v>
      </c>
      <c r="H15" s="7">
        <v>202226.58799999999</v>
      </c>
      <c r="I15" s="7">
        <v>0</v>
      </c>
      <c r="J15" s="7">
        <v>29017.710999999999</v>
      </c>
      <c r="K15" s="7">
        <v>142744.785</v>
      </c>
      <c r="L15" s="7">
        <v>351302.26500000001</v>
      </c>
      <c r="M15" s="7">
        <v>78946.012000000002</v>
      </c>
      <c r="N15" s="7">
        <v>0</v>
      </c>
      <c r="O15" s="7">
        <v>332591.56900000002</v>
      </c>
      <c r="P15" s="7">
        <v>233196.655</v>
      </c>
      <c r="Q15" s="7">
        <v>322091.20699999999</v>
      </c>
      <c r="R15" s="7">
        <v>0</v>
      </c>
      <c r="S15" s="7">
        <v>0</v>
      </c>
      <c r="T15" s="7">
        <v>18254.550999999999</v>
      </c>
      <c r="U15" s="7">
        <v>528.16200000000003</v>
      </c>
      <c r="V15" s="7">
        <v>1719.2729999999999</v>
      </c>
      <c r="W15" s="7">
        <v>22477.894</v>
      </c>
      <c r="X15" s="7">
        <v>0</v>
      </c>
      <c r="Y15" s="7">
        <v>2039.1030000000001</v>
      </c>
      <c r="Z15" s="7">
        <v>0</v>
      </c>
      <c r="AA15" s="7">
        <v>12663.581</v>
      </c>
      <c r="AB15" s="7">
        <v>24451.467000000001</v>
      </c>
      <c r="AC15" s="7">
        <v>0</v>
      </c>
      <c r="AD15" s="7">
        <v>124685.586</v>
      </c>
      <c r="AE15" s="7">
        <v>0</v>
      </c>
      <c r="AF15" s="7">
        <v>151078.87599999999</v>
      </c>
      <c r="AG15" s="7">
        <v>0</v>
      </c>
      <c r="AH15" s="7">
        <v>9293.5669999999991</v>
      </c>
      <c r="AI15" s="7">
        <v>4106.991</v>
      </c>
      <c r="AJ15" s="7">
        <v>304753.87</v>
      </c>
      <c r="AK15" s="7">
        <v>0</v>
      </c>
      <c r="AL15" s="7">
        <v>11846.43</v>
      </c>
      <c r="AM15" s="7">
        <v>798548.16899999999</v>
      </c>
      <c r="AN15" s="7">
        <v>0</v>
      </c>
      <c r="AO15" s="7">
        <v>0</v>
      </c>
      <c r="AP15" s="7">
        <v>0</v>
      </c>
      <c r="AQ15" s="7">
        <v>13139.668</v>
      </c>
      <c r="AR15" s="7">
        <v>14961.652</v>
      </c>
      <c r="AS15" s="7">
        <v>0</v>
      </c>
      <c r="AT15" s="7">
        <v>0</v>
      </c>
      <c r="AU15" s="7">
        <v>0</v>
      </c>
      <c r="AV15" s="7">
        <v>716.072</v>
      </c>
      <c r="AW15" s="7">
        <v>1534.502</v>
      </c>
      <c r="AX15" s="7">
        <v>0</v>
      </c>
      <c r="AY15" s="7">
        <v>0</v>
      </c>
      <c r="AZ15" s="7">
        <v>0</v>
      </c>
      <c r="BA15" s="7">
        <v>631.36699999999996</v>
      </c>
      <c r="BB15" s="7">
        <v>0</v>
      </c>
      <c r="BC15" s="7">
        <v>16626.030999999999</v>
      </c>
      <c r="BD15" s="7">
        <v>0</v>
      </c>
      <c r="BE15" s="7">
        <v>0</v>
      </c>
      <c r="BF15" s="7">
        <v>0</v>
      </c>
      <c r="BG15" s="7">
        <v>0</v>
      </c>
      <c r="BH15" s="22"/>
    </row>
    <row r="16" spans="1:60" ht="15.75" x14ac:dyDescent="0.25">
      <c r="A16" s="22"/>
      <c r="B16" s="5" t="s">
        <v>20</v>
      </c>
      <c r="C16" s="5" t="s">
        <v>21</v>
      </c>
      <c r="D16" s="7">
        <v>2</v>
      </c>
      <c r="E16" s="7">
        <v>2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22"/>
    </row>
    <row r="17" spans="1:60" ht="15.75" x14ac:dyDescent="0.25">
      <c r="A17" s="22"/>
      <c r="B17" s="5" t="s">
        <v>22</v>
      </c>
      <c r="C17" s="5" t="s">
        <v>23</v>
      </c>
      <c r="D17" s="7">
        <v>2</v>
      </c>
      <c r="E17" s="7">
        <v>2</v>
      </c>
      <c r="F17" s="7">
        <v>541791.07900000003</v>
      </c>
      <c r="G17" s="7">
        <v>54067.892999999996</v>
      </c>
      <c r="H17" s="7">
        <v>145983.28700000001</v>
      </c>
      <c r="I17" s="7">
        <v>0</v>
      </c>
      <c r="J17" s="7">
        <v>20825.776000000002</v>
      </c>
      <c r="K17" s="7">
        <v>102643.52099999999</v>
      </c>
      <c r="L17" s="7">
        <v>252126.785</v>
      </c>
      <c r="M17" s="7">
        <v>66609.111000000004</v>
      </c>
      <c r="N17" s="7">
        <v>22887.01</v>
      </c>
      <c r="O17" s="7">
        <v>238698.27</v>
      </c>
      <c r="P17" s="7">
        <v>167363.34700000001</v>
      </c>
      <c r="Q17" s="7">
        <v>231162.245</v>
      </c>
      <c r="R17" s="7">
        <v>12227.165000000001</v>
      </c>
      <c r="S17" s="7">
        <v>0</v>
      </c>
      <c r="T17" s="7">
        <v>0</v>
      </c>
      <c r="U17" s="7">
        <v>923.62300000000005</v>
      </c>
      <c r="V17" s="7">
        <v>3006.5790000000002</v>
      </c>
      <c r="W17" s="7">
        <v>16132.201999999999</v>
      </c>
      <c r="X17" s="7">
        <v>0</v>
      </c>
      <c r="Y17" s="7">
        <v>3565.884</v>
      </c>
      <c r="Z17" s="7">
        <v>16930.120999999999</v>
      </c>
      <c r="AA17" s="7">
        <v>9088.5490000000009</v>
      </c>
      <c r="AB17" s="7">
        <v>24007.030999999999</v>
      </c>
      <c r="AC17" s="7">
        <v>0</v>
      </c>
      <c r="AD17" s="7">
        <v>89485.832999999999</v>
      </c>
      <c r="AE17" s="7">
        <v>0</v>
      </c>
      <c r="AF17" s="7">
        <v>108428.083</v>
      </c>
      <c r="AG17" s="7">
        <v>0</v>
      </c>
      <c r="AH17" s="7">
        <v>6669.9179999999997</v>
      </c>
      <c r="AI17" s="7">
        <v>2947.5540000000001</v>
      </c>
      <c r="AJ17" s="7">
        <v>218719.37899999999</v>
      </c>
      <c r="AK17" s="7">
        <v>0</v>
      </c>
      <c r="AL17" s="7">
        <v>8502.0869999999995</v>
      </c>
      <c r="AM17" s="7">
        <v>573051.68099999998</v>
      </c>
      <c r="AN17" s="7">
        <v>0</v>
      </c>
      <c r="AO17" s="7">
        <v>0</v>
      </c>
      <c r="AP17" s="7">
        <v>0</v>
      </c>
      <c r="AQ17" s="7">
        <v>22978.003000000001</v>
      </c>
      <c r="AR17" s="7">
        <v>26164.2</v>
      </c>
      <c r="AS17" s="7">
        <v>0</v>
      </c>
      <c r="AT17" s="7">
        <v>3143.5529999999999</v>
      </c>
      <c r="AU17" s="7">
        <v>0</v>
      </c>
      <c r="AV17" s="7">
        <v>513.91899999999998</v>
      </c>
      <c r="AW17" s="7">
        <v>2683.4609999999998</v>
      </c>
      <c r="AX17" s="7">
        <v>0</v>
      </c>
      <c r="AY17" s="7">
        <v>0</v>
      </c>
      <c r="AZ17" s="7">
        <v>0</v>
      </c>
      <c r="BA17" s="7">
        <v>453.12700000000001</v>
      </c>
      <c r="BB17" s="7">
        <v>0</v>
      </c>
      <c r="BC17" s="7">
        <v>12027.934999999999</v>
      </c>
      <c r="BD17" s="7">
        <v>0</v>
      </c>
      <c r="BE17" s="7">
        <v>0</v>
      </c>
      <c r="BF17" s="7">
        <v>0</v>
      </c>
      <c r="BG17" s="7">
        <v>0</v>
      </c>
      <c r="BH17" s="22"/>
    </row>
    <row r="18" spans="1:60" ht="15.75" x14ac:dyDescent="0.25">
      <c r="A18" s="22"/>
      <c r="B18" s="5" t="s">
        <v>24</v>
      </c>
      <c r="C18" s="5" t="s">
        <v>25</v>
      </c>
      <c r="D18" s="7">
        <v>2</v>
      </c>
      <c r="E18" s="7">
        <v>2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13928.63</v>
      </c>
      <c r="O18" s="7">
        <v>0</v>
      </c>
      <c r="P18" s="7">
        <v>0</v>
      </c>
      <c r="Q18" s="7">
        <v>0</v>
      </c>
      <c r="R18" s="7">
        <v>274.93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10303.373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1913.1110000000001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6.9660000000000002</v>
      </c>
      <c r="BD18" s="7">
        <v>0</v>
      </c>
      <c r="BE18" s="7">
        <v>0</v>
      </c>
      <c r="BF18" s="7">
        <v>0</v>
      </c>
      <c r="BG18" s="7">
        <v>0</v>
      </c>
      <c r="BH18" s="22"/>
    </row>
    <row r="19" spans="1:60" ht="15.75" x14ac:dyDescent="0.25">
      <c r="A19" s="22"/>
      <c r="B19" s="5" t="s">
        <v>26</v>
      </c>
      <c r="C19" s="5" t="s">
        <v>27</v>
      </c>
      <c r="D19" s="7">
        <v>2</v>
      </c>
      <c r="E19" s="7">
        <v>2</v>
      </c>
      <c r="F19" s="7">
        <v>16252.295</v>
      </c>
      <c r="G19" s="7">
        <v>4586.7920000000004</v>
      </c>
      <c r="H19" s="7">
        <v>0</v>
      </c>
      <c r="I19" s="7">
        <v>0</v>
      </c>
      <c r="J19" s="7">
        <v>233.93</v>
      </c>
      <c r="K19" s="7">
        <v>0</v>
      </c>
      <c r="L19" s="7">
        <v>22759.702000000001</v>
      </c>
      <c r="M19" s="7">
        <v>1969.405</v>
      </c>
      <c r="N19" s="7">
        <v>184164.45300000001</v>
      </c>
      <c r="O19" s="7">
        <v>2424.2179999999998</v>
      </c>
      <c r="P19" s="7">
        <v>55588.68</v>
      </c>
      <c r="Q19" s="7">
        <v>3270.5749999999998</v>
      </c>
      <c r="R19" s="7">
        <v>562.13300000000004</v>
      </c>
      <c r="S19" s="7">
        <v>0</v>
      </c>
      <c r="T19" s="7">
        <v>2.669</v>
      </c>
      <c r="U19" s="7">
        <v>0</v>
      </c>
      <c r="V19" s="7">
        <v>0</v>
      </c>
      <c r="W19" s="7">
        <v>1408.7460000000001</v>
      </c>
      <c r="X19" s="7">
        <v>2840.7269999999999</v>
      </c>
      <c r="Y19" s="7">
        <v>0</v>
      </c>
      <c r="Z19" s="7">
        <v>136231.27299999999</v>
      </c>
      <c r="AA19" s="7">
        <v>0</v>
      </c>
      <c r="AB19" s="7">
        <v>345.25200000000001</v>
      </c>
      <c r="AC19" s="7">
        <v>0</v>
      </c>
      <c r="AD19" s="7">
        <v>9366.7729999999992</v>
      </c>
      <c r="AE19" s="7">
        <v>0</v>
      </c>
      <c r="AF19" s="7">
        <v>0</v>
      </c>
      <c r="AG19" s="7">
        <v>3.1669999999999998</v>
      </c>
      <c r="AH19" s="7">
        <v>782.601</v>
      </c>
      <c r="AI19" s="7">
        <v>0</v>
      </c>
      <c r="AJ19" s="7">
        <v>24101.905999999999</v>
      </c>
      <c r="AK19" s="7">
        <v>11193.924999999999</v>
      </c>
      <c r="AL19" s="7">
        <v>0</v>
      </c>
      <c r="AM19" s="7">
        <v>71112.600000000006</v>
      </c>
      <c r="AN19" s="7">
        <v>21076.513999999999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25295.166000000001</v>
      </c>
      <c r="AU19" s="7">
        <v>0</v>
      </c>
      <c r="AV19" s="7">
        <v>59.762999999999998</v>
      </c>
      <c r="AW19" s="7">
        <v>0</v>
      </c>
      <c r="AX19" s="7">
        <v>0</v>
      </c>
      <c r="AY19" s="7">
        <v>3283.8620000000001</v>
      </c>
      <c r="AZ19" s="7">
        <v>0</v>
      </c>
      <c r="BA19" s="7">
        <v>14.108000000000001</v>
      </c>
      <c r="BB19" s="7">
        <v>0</v>
      </c>
      <c r="BC19" s="7">
        <v>351.26299999999998</v>
      </c>
      <c r="BD19" s="7">
        <v>0</v>
      </c>
      <c r="BE19" s="7">
        <v>0</v>
      </c>
      <c r="BF19" s="7">
        <v>2817.6550000000002</v>
      </c>
      <c r="BG19" s="7">
        <v>0</v>
      </c>
      <c r="BH19" s="22"/>
    </row>
    <row r="20" spans="1:60" ht="15.75" x14ac:dyDescent="0.25">
      <c r="A20" s="22"/>
      <c r="B20" s="5" t="s">
        <v>28</v>
      </c>
      <c r="C20" s="5" t="s">
        <v>29</v>
      </c>
      <c r="D20" s="7">
        <v>6</v>
      </c>
      <c r="E20" s="7">
        <v>6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22"/>
    </row>
    <row r="21" spans="1:60" ht="15.75" x14ac:dyDescent="0.25">
      <c r="A21" s="22"/>
      <c r="B21" s="5" t="s">
        <v>30</v>
      </c>
      <c r="C21" s="5" t="s">
        <v>31</v>
      </c>
      <c r="D21" s="7">
        <v>5</v>
      </c>
      <c r="E21" s="7">
        <v>5</v>
      </c>
      <c r="F21" s="7">
        <v>0</v>
      </c>
      <c r="G21" s="7">
        <v>0</v>
      </c>
      <c r="H21" s="7">
        <v>0</v>
      </c>
      <c r="I21" s="7">
        <v>930119.17200000002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22"/>
    </row>
    <row r="22" spans="1:60" ht="15.75" x14ac:dyDescent="0.25">
      <c r="A22" s="22"/>
      <c r="B22" s="5" t="s">
        <v>32</v>
      </c>
      <c r="C22" s="5" t="s">
        <v>33</v>
      </c>
      <c r="D22" s="7">
        <v>2</v>
      </c>
      <c r="E22" s="7">
        <v>2</v>
      </c>
      <c r="F22" s="7">
        <v>3118.0709999999999</v>
      </c>
      <c r="G22" s="7">
        <v>0</v>
      </c>
      <c r="H22" s="7">
        <v>1775.299</v>
      </c>
      <c r="I22" s="7">
        <v>0</v>
      </c>
      <c r="J22" s="7">
        <v>0</v>
      </c>
      <c r="K22" s="7">
        <v>1362.1389999999999</v>
      </c>
      <c r="L22" s="7">
        <v>0</v>
      </c>
      <c r="M22" s="7">
        <v>1208.4159999999999</v>
      </c>
      <c r="N22" s="7">
        <v>0</v>
      </c>
      <c r="O22" s="7">
        <v>4276.4390000000003</v>
      </c>
      <c r="P22" s="7">
        <v>4331.7299999999996</v>
      </c>
      <c r="Q22" s="7">
        <v>1297.5820000000001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806.95399999999995</v>
      </c>
      <c r="AK22" s="7">
        <v>0</v>
      </c>
      <c r="AL22" s="7">
        <v>0</v>
      </c>
      <c r="AM22" s="7">
        <v>4073.5050000000001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22"/>
    </row>
    <row r="23" spans="1:60" ht="15.75" x14ac:dyDescent="0.25">
      <c r="A23" s="22"/>
      <c r="B23" s="5" t="s">
        <v>34</v>
      </c>
      <c r="C23" s="5" t="s">
        <v>35</v>
      </c>
      <c r="D23" s="7">
        <v>2</v>
      </c>
      <c r="E23" s="7">
        <v>2</v>
      </c>
      <c r="F23" s="7">
        <v>15564.927</v>
      </c>
      <c r="G23" s="7">
        <v>5194.2269999999999</v>
      </c>
      <c r="H23" s="7">
        <v>5122.9960000000001</v>
      </c>
      <c r="I23" s="7">
        <v>0</v>
      </c>
      <c r="J23" s="7">
        <v>1016.956</v>
      </c>
      <c r="K23" s="7">
        <v>3990.9369999999999</v>
      </c>
      <c r="L23" s="7">
        <v>28795.113000000001</v>
      </c>
      <c r="M23" s="7">
        <v>5200.0820000000003</v>
      </c>
      <c r="N23" s="7">
        <v>0</v>
      </c>
      <c r="O23" s="7">
        <v>9211.9509999999991</v>
      </c>
      <c r="P23" s="7">
        <v>22153.857</v>
      </c>
      <c r="Q23" s="7">
        <v>13786.145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1607.694</v>
      </c>
      <c r="X23" s="7">
        <v>0</v>
      </c>
      <c r="Y23" s="7">
        <v>0</v>
      </c>
      <c r="Z23" s="7">
        <v>0</v>
      </c>
      <c r="AA23" s="7">
        <v>542.39800000000002</v>
      </c>
      <c r="AB23" s="7">
        <v>1454.346</v>
      </c>
      <c r="AC23" s="7">
        <v>0</v>
      </c>
      <c r="AD23" s="7">
        <v>4807.4359999999997</v>
      </c>
      <c r="AE23" s="7">
        <v>0</v>
      </c>
      <c r="AF23" s="7">
        <v>4952.7520000000004</v>
      </c>
      <c r="AG23" s="7">
        <v>0</v>
      </c>
      <c r="AH23" s="7">
        <v>712.48800000000006</v>
      </c>
      <c r="AI23" s="7">
        <v>0</v>
      </c>
      <c r="AJ23" s="7">
        <v>12406.446</v>
      </c>
      <c r="AK23" s="7">
        <v>0</v>
      </c>
      <c r="AL23" s="7">
        <v>0</v>
      </c>
      <c r="AM23" s="7">
        <v>44838.330999999998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37.518000000000001</v>
      </c>
      <c r="AW23" s="7">
        <v>0</v>
      </c>
      <c r="AX23" s="7">
        <v>0</v>
      </c>
      <c r="AY23" s="7">
        <v>0</v>
      </c>
      <c r="AZ23" s="7">
        <v>0</v>
      </c>
      <c r="BA23" s="7">
        <v>1.931</v>
      </c>
      <c r="BB23" s="7">
        <v>0</v>
      </c>
      <c r="BC23" s="7">
        <v>1130.7280000000001</v>
      </c>
      <c r="BD23" s="7">
        <v>0</v>
      </c>
      <c r="BE23" s="7">
        <v>0</v>
      </c>
      <c r="BF23" s="7">
        <v>26030.951000000001</v>
      </c>
      <c r="BG23" s="7">
        <v>0</v>
      </c>
      <c r="BH23" s="22"/>
    </row>
    <row r="24" spans="1:60" ht="15.75" x14ac:dyDescent="0.25">
      <c r="A24" s="22"/>
      <c r="B24" s="5" t="s">
        <v>36</v>
      </c>
      <c r="C24" s="5" t="s">
        <v>37</v>
      </c>
      <c r="D24" s="7">
        <v>6</v>
      </c>
      <c r="E24" s="7">
        <v>6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22"/>
    </row>
    <row r="25" spans="1:60" ht="15.75" x14ac:dyDescent="0.25">
      <c r="A25" s="22"/>
      <c r="B25" s="5" t="s">
        <v>38</v>
      </c>
      <c r="C25" s="5" t="s">
        <v>39</v>
      </c>
      <c r="D25" s="7">
        <v>6</v>
      </c>
      <c r="E25" s="7">
        <v>6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22"/>
    </row>
    <row r="26" spans="1:60" ht="15.75" x14ac:dyDescent="0.25">
      <c r="A26" s="22"/>
      <c r="B26" s="5" t="s">
        <v>40</v>
      </c>
      <c r="C26" s="5" t="s">
        <v>41</v>
      </c>
      <c r="D26" s="7">
        <v>6</v>
      </c>
      <c r="E26" s="7">
        <v>6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22"/>
    </row>
    <row r="27" spans="1:60" ht="15.75" x14ac:dyDescent="0.25">
      <c r="A27" s="22"/>
      <c r="B27" s="5" t="s">
        <v>42</v>
      </c>
      <c r="C27" s="5" t="s">
        <v>43</v>
      </c>
      <c r="D27" s="7">
        <v>6</v>
      </c>
      <c r="E27" s="7">
        <v>6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22"/>
    </row>
    <row r="28" spans="1:60" ht="15.75" x14ac:dyDescent="0.25">
      <c r="A28" s="22"/>
      <c r="B28" s="5" t="s">
        <v>44</v>
      </c>
      <c r="C28" s="5" t="s">
        <v>45</v>
      </c>
      <c r="D28" s="7">
        <v>6</v>
      </c>
      <c r="E28" s="7">
        <v>6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22"/>
    </row>
    <row r="29" spans="1:60" ht="15.75" x14ac:dyDescent="0.25">
      <c r="A29" s="22"/>
      <c r="B29" s="5" t="s">
        <v>46</v>
      </c>
      <c r="C29" s="5" t="s">
        <v>47</v>
      </c>
      <c r="D29" s="7">
        <v>6</v>
      </c>
      <c r="E29" s="7">
        <v>6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22"/>
    </row>
    <row r="30" spans="1:60" ht="15.75" x14ac:dyDescent="0.25">
      <c r="A30" s="22"/>
      <c r="B30" s="5" t="s">
        <v>48</v>
      </c>
      <c r="C30" s="5" t="s">
        <v>49</v>
      </c>
      <c r="D30" s="7">
        <v>6</v>
      </c>
      <c r="E30" s="7">
        <v>6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22"/>
    </row>
    <row r="31" spans="1:60" ht="15.75" x14ac:dyDescent="0.25">
      <c r="A31" s="22"/>
      <c r="B31" s="5" t="s">
        <v>50</v>
      </c>
      <c r="C31" s="5" t="s">
        <v>51</v>
      </c>
      <c r="D31" s="7">
        <v>6</v>
      </c>
      <c r="E31" s="7">
        <v>6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22"/>
    </row>
    <row r="32" spans="1:60" ht="15.75" x14ac:dyDescent="0.25">
      <c r="A32" s="22"/>
      <c r="B32" s="5" t="s">
        <v>52</v>
      </c>
      <c r="C32" s="5" t="s">
        <v>53</v>
      </c>
      <c r="D32" s="7">
        <v>6</v>
      </c>
      <c r="E32" s="7">
        <v>6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22"/>
    </row>
    <row r="33" spans="1:60" ht="15.75" x14ac:dyDescent="0.25">
      <c r="A33" s="22"/>
      <c r="B33" s="5" t="s">
        <v>54</v>
      </c>
      <c r="C33" s="5" t="s">
        <v>55</v>
      </c>
      <c r="D33" s="7">
        <v>6</v>
      </c>
      <c r="E33" s="7">
        <v>6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22"/>
    </row>
    <row r="34" spans="1:60" ht="15.75" x14ac:dyDescent="0.25">
      <c r="A34" s="22"/>
      <c r="B34" s="5" t="s">
        <v>56</v>
      </c>
      <c r="C34" s="5" t="s">
        <v>57</v>
      </c>
      <c r="D34" s="7">
        <v>6</v>
      </c>
      <c r="E34" s="7">
        <v>6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4963.7470000000003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3671.8139999999999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681.77499999999998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22"/>
    </row>
    <row r="35" spans="1:60" ht="15.75" x14ac:dyDescent="0.25">
      <c r="A35" s="22"/>
      <c r="B35" s="5" t="s">
        <v>58</v>
      </c>
      <c r="C35" s="5" t="s">
        <v>59</v>
      </c>
      <c r="D35" s="7">
        <v>6</v>
      </c>
      <c r="E35" s="7">
        <v>6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22"/>
    </row>
    <row r="36" spans="1:60" ht="15.75" x14ac:dyDescent="0.25">
      <c r="A36" s="22"/>
      <c r="B36" s="5" t="s">
        <v>60</v>
      </c>
      <c r="C36" s="5" t="s">
        <v>61</v>
      </c>
      <c r="D36" s="7">
        <v>6</v>
      </c>
      <c r="E36" s="7">
        <v>6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22"/>
    </row>
    <row r="37" spans="1:60" ht="15.75" x14ac:dyDescent="0.25">
      <c r="A37" s="22"/>
      <c r="B37" s="5" t="s">
        <v>62</v>
      </c>
      <c r="C37" s="5" t="s">
        <v>63</v>
      </c>
      <c r="D37" s="7">
        <v>6</v>
      </c>
      <c r="E37" s="7">
        <v>6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22"/>
    </row>
    <row r="38" spans="1:60" ht="15.75" x14ac:dyDescent="0.25">
      <c r="A38" s="22"/>
      <c r="B38" s="5" t="s">
        <v>64</v>
      </c>
      <c r="C38" s="5" t="s">
        <v>65</v>
      </c>
      <c r="D38" s="7">
        <v>6</v>
      </c>
      <c r="E38" s="7">
        <v>6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22"/>
    </row>
    <row r="39" spans="1:60" ht="15.75" x14ac:dyDescent="0.25">
      <c r="A39" s="22"/>
      <c r="B39" s="5" t="s">
        <v>66</v>
      </c>
      <c r="C39" s="5" t="s">
        <v>67</v>
      </c>
      <c r="D39" s="7">
        <v>6</v>
      </c>
      <c r="E39" s="7">
        <v>6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22"/>
    </row>
    <row r="40" spans="1:60" ht="15.75" x14ac:dyDescent="0.25">
      <c r="A40" s="22"/>
      <c r="B40" s="5" t="s">
        <v>68</v>
      </c>
      <c r="C40" s="5" t="s">
        <v>69</v>
      </c>
      <c r="D40" s="7">
        <v>6</v>
      </c>
      <c r="E40" s="7">
        <v>6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22"/>
    </row>
    <row r="41" spans="1:60" ht="15.75" x14ac:dyDescent="0.25">
      <c r="A41" s="22"/>
      <c r="B41" s="5" t="s">
        <v>70</v>
      </c>
      <c r="C41" s="5" t="s">
        <v>71</v>
      </c>
      <c r="D41" s="7">
        <v>6</v>
      </c>
      <c r="E41" s="7">
        <v>6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22"/>
    </row>
    <row r="42" spans="1:60" ht="15.75" x14ac:dyDescent="0.25">
      <c r="A42" s="22"/>
      <c r="B42" s="5" t="s">
        <v>72</v>
      </c>
      <c r="C42" s="5" t="s">
        <v>73</v>
      </c>
      <c r="D42" s="7">
        <v>6</v>
      </c>
      <c r="E42" s="7">
        <v>6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22"/>
    </row>
    <row r="43" spans="1:60" ht="15.75" x14ac:dyDescent="0.25">
      <c r="A43" s="22"/>
      <c r="B43" s="5" t="s">
        <v>74</v>
      </c>
      <c r="C43" s="5" t="s">
        <v>75</v>
      </c>
      <c r="D43" s="7">
        <v>6</v>
      </c>
      <c r="E43" s="7">
        <v>6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22"/>
    </row>
    <row r="44" spans="1:60" ht="15.75" x14ac:dyDescent="0.25">
      <c r="A44" s="22"/>
      <c r="B44" s="5" t="s">
        <v>76</v>
      </c>
      <c r="C44" s="5" t="s">
        <v>77</v>
      </c>
      <c r="D44" s="7">
        <v>6</v>
      </c>
      <c r="E44" s="7">
        <v>6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22"/>
    </row>
    <row r="45" spans="1:60" ht="15.75" x14ac:dyDescent="0.25">
      <c r="A45" s="22"/>
      <c r="B45" s="5" t="s">
        <v>78</v>
      </c>
      <c r="C45" s="5" t="s">
        <v>79</v>
      </c>
      <c r="D45" s="7">
        <v>6</v>
      </c>
      <c r="E45" s="7">
        <v>6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22"/>
    </row>
    <row r="46" spans="1:60" ht="15.75" x14ac:dyDescent="0.25">
      <c r="A46" s="22"/>
      <c r="B46" s="5" t="s">
        <v>80</v>
      </c>
      <c r="C46" s="5" t="s">
        <v>81</v>
      </c>
      <c r="D46" s="7">
        <v>6</v>
      </c>
      <c r="E46" s="7">
        <v>6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22"/>
    </row>
    <row r="47" spans="1:60" ht="15.75" x14ac:dyDescent="0.25">
      <c r="A47" s="22"/>
      <c r="B47" s="5" t="s">
        <v>82</v>
      </c>
      <c r="C47" s="5" t="s">
        <v>83</v>
      </c>
      <c r="D47" s="7">
        <v>6</v>
      </c>
      <c r="E47" s="7">
        <v>6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22"/>
    </row>
    <row r="48" spans="1:60" ht="15.75" x14ac:dyDescent="0.25">
      <c r="A48" s="22"/>
      <c r="B48" s="5" t="s">
        <v>84</v>
      </c>
      <c r="C48" s="5" t="s">
        <v>85</v>
      </c>
      <c r="D48" s="7">
        <v>6</v>
      </c>
      <c r="E48" s="7">
        <v>6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22"/>
    </row>
    <row r="49" spans="1:60" ht="15.75" x14ac:dyDescent="0.25">
      <c r="A49" s="22"/>
      <c r="B49" s="5" t="s">
        <v>86</v>
      </c>
      <c r="C49" s="5" t="s">
        <v>87</v>
      </c>
      <c r="D49" s="7">
        <v>6</v>
      </c>
      <c r="E49" s="7">
        <v>6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22"/>
    </row>
    <row r="50" spans="1:60" ht="15.75" x14ac:dyDescent="0.25">
      <c r="A50" s="22"/>
      <c r="B50" s="5" t="s">
        <v>88</v>
      </c>
      <c r="C50" s="5" t="s">
        <v>89</v>
      </c>
      <c r="D50" s="7">
        <v>6</v>
      </c>
      <c r="E50" s="7">
        <v>6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22"/>
    </row>
    <row r="51" spans="1:60" ht="15.75" x14ac:dyDescent="0.25">
      <c r="A51" s="22"/>
      <c r="B51" s="5" t="s">
        <v>90</v>
      </c>
      <c r="C51" s="5" t="s">
        <v>91</v>
      </c>
      <c r="D51" s="7">
        <v>6</v>
      </c>
      <c r="E51" s="7">
        <v>6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22"/>
    </row>
    <row r="52" spans="1:60" ht="15.75" x14ac:dyDescent="0.25">
      <c r="A52" s="22"/>
      <c r="B52" s="5" t="s">
        <v>92</v>
      </c>
      <c r="C52" s="5" t="s">
        <v>93</v>
      </c>
      <c r="D52" s="7">
        <v>6</v>
      </c>
      <c r="E52" s="7">
        <v>6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22"/>
    </row>
    <row r="53" spans="1:60" ht="15.75" x14ac:dyDescent="0.25">
      <c r="A53" s="22"/>
      <c r="B53" s="5" t="s">
        <v>94</v>
      </c>
      <c r="C53" s="5" t="s">
        <v>95</v>
      </c>
      <c r="D53" s="7">
        <v>6</v>
      </c>
      <c r="E53" s="7">
        <v>6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22"/>
    </row>
    <row r="54" spans="1:60" ht="15.75" x14ac:dyDescent="0.25">
      <c r="A54" s="22"/>
      <c r="B54" s="5" t="s">
        <v>96</v>
      </c>
      <c r="C54" s="5" t="s">
        <v>97</v>
      </c>
      <c r="D54" s="7">
        <v>6</v>
      </c>
      <c r="E54" s="7">
        <v>6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22"/>
    </row>
    <row r="55" spans="1:60" ht="15.75" x14ac:dyDescent="0.25">
      <c r="A55" s="22"/>
      <c r="B55" s="5" t="s">
        <v>98</v>
      </c>
      <c r="C55" s="5" t="s">
        <v>99</v>
      </c>
      <c r="D55" s="7">
        <v>6</v>
      </c>
      <c r="E55" s="7">
        <v>6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22"/>
    </row>
    <row r="56" spans="1:60" ht="15.75" x14ac:dyDescent="0.25">
      <c r="A56" s="22"/>
      <c r="B56" s="5" t="s">
        <v>100</v>
      </c>
      <c r="C56" s="5" t="s">
        <v>101</v>
      </c>
      <c r="D56" s="7">
        <v>6</v>
      </c>
      <c r="E56" s="7">
        <v>6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22"/>
    </row>
    <row r="57" spans="1:60" ht="15.75" x14ac:dyDescent="0.25">
      <c r="A57" s="22"/>
      <c r="B57" s="5" t="s">
        <v>102</v>
      </c>
      <c r="C57" s="5" t="s">
        <v>103</v>
      </c>
      <c r="D57" s="7">
        <v>6</v>
      </c>
      <c r="E57" s="7">
        <v>6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22"/>
    </row>
    <row r="58" spans="1:60" ht="15.75" x14ac:dyDescent="0.25">
      <c r="A58" s="22"/>
      <c r="B58" s="5" t="s">
        <v>104</v>
      </c>
      <c r="C58" s="5" t="s">
        <v>105</v>
      </c>
      <c r="D58" s="7">
        <v>6</v>
      </c>
      <c r="E58" s="7">
        <v>6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22"/>
    </row>
    <row r="59" spans="1:60" ht="15.75" x14ac:dyDescent="0.25">
      <c r="A59" s="22"/>
      <c r="B59" s="5" t="s">
        <v>106</v>
      </c>
      <c r="C59" s="5" t="s">
        <v>107</v>
      </c>
      <c r="D59" s="7">
        <v>6</v>
      </c>
      <c r="E59" s="7">
        <v>6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22"/>
    </row>
    <row r="60" spans="1:60" ht="15.75" x14ac:dyDescent="0.25">
      <c r="A60" s="22"/>
      <c r="B60" s="5" t="s">
        <v>108</v>
      </c>
      <c r="C60" s="5" t="s">
        <v>109</v>
      </c>
      <c r="D60" s="7">
        <v>6</v>
      </c>
      <c r="E60" s="7">
        <v>6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22"/>
    </row>
    <row r="61" spans="1:60" ht="15.75" x14ac:dyDescent="0.25">
      <c r="A61" s="22"/>
      <c r="B61" s="5" t="s">
        <v>110</v>
      </c>
      <c r="C61" s="5" t="s">
        <v>111</v>
      </c>
      <c r="D61" s="7">
        <v>3</v>
      </c>
      <c r="E61" s="7">
        <v>3</v>
      </c>
      <c r="F61" s="7">
        <v>603943.61199999996</v>
      </c>
      <c r="G61" s="7">
        <v>90030.324999999997</v>
      </c>
      <c r="H61" s="7">
        <v>253468.64199999999</v>
      </c>
      <c r="I61" s="7">
        <v>4979.5519999999997</v>
      </c>
      <c r="J61" s="7">
        <v>20274.919000000002</v>
      </c>
      <c r="K61" s="7">
        <v>168201.34899999999</v>
      </c>
      <c r="L61" s="7">
        <v>129636.213</v>
      </c>
      <c r="M61" s="7">
        <v>182433.53700000001</v>
      </c>
      <c r="N61" s="7">
        <v>0</v>
      </c>
      <c r="O61" s="7">
        <v>408523.26</v>
      </c>
      <c r="P61" s="7">
        <v>362394.815</v>
      </c>
      <c r="Q61" s="7">
        <v>391641.321</v>
      </c>
      <c r="R61" s="7">
        <v>0</v>
      </c>
      <c r="S61" s="7">
        <v>0</v>
      </c>
      <c r="T61" s="7">
        <v>128.07300000000001</v>
      </c>
      <c r="U61" s="7">
        <v>1296.549</v>
      </c>
      <c r="V61" s="7">
        <v>5428.4350000000004</v>
      </c>
      <c r="W61" s="7">
        <v>36426.819000000003</v>
      </c>
      <c r="X61" s="7">
        <v>0</v>
      </c>
      <c r="Y61" s="7">
        <v>10592.726000000001</v>
      </c>
      <c r="Z61" s="7">
        <v>0</v>
      </c>
      <c r="AA61" s="7">
        <v>18267.166000000001</v>
      </c>
      <c r="AB61" s="7">
        <v>52700.862999999998</v>
      </c>
      <c r="AC61" s="7">
        <v>0</v>
      </c>
      <c r="AD61" s="7">
        <v>101444.24</v>
      </c>
      <c r="AE61" s="7">
        <v>0</v>
      </c>
      <c r="AF61" s="7">
        <v>190548.584</v>
      </c>
      <c r="AG61" s="7">
        <v>0</v>
      </c>
      <c r="AH61" s="7">
        <v>14343.188</v>
      </c>
      <c r="AI61" s="7">
        <v>252.04300000000001</v>
      </c>
      <c r="AJ61" s="7">
        <v>187699.42</v>
      </c>
      <c r="AK61" s="7">
        <v>0</v>
      </c>
      <c r="AL61" s="7">
        <v>437.637</v>
      </c>
      <c r="AM61" s="7">
        <v>884108.84100000001</v>
      </c>
      <c r="AN61" s="7">
        <v>0</v>
      </c>
      <c r="AO61" s="7">
        <v>0</v>
      </c>
      <c r="AP61" s="7">
        <v>0</v>
      </c>
      <c r="AQ61" s="7">
        <v>30806.004000000001</v>
      </c>
      <c r="AR61" s="7">
        <v>27563.704000000002</v>
      </c>
      <c r="AS61" s="7">
        <v>0</v>
      </c>
      <c r="AT61" s="7">
        <v>0</v>
      </c>
      <c r="AU61" s="7">
        <v>0</v>
      </c>
      <c r="AV61" s="7">
        <v>971.39800000000002</v>
      </c>
      <c r="AW61" s="7">
        <v>2166.85</v>
      </c>
      <c r="AX61" s="7">
        <v>0</v>
      </c>
      <c r="AY61" s="7">
        <v>0</v>
      </c>
      <c r="AZ61" s="7">
        <v>0</v>
      </c>
      <c r="BA61" s="7">
        <v>251.56899999999999</v>
      </c>
      <c r="BB61" s="7">
        <v>0</v>
      </c>
      <c r="BC61" s="7">
        <v>9877.2729999999992</v>
      </c>
      <c r="BD61" s="7">
        <v>0</v>
      </c>
      <c r="BE61" s="7">
        <v>0</v>
      </c>
      <c r="BF61" s="7">
        <v>0</v>
      </c>
      <c r="BG61" s="7">
        <v>0</v>
      </c>
      <c r="BH61" s="22"/>
    </row>
    <row r="62" spans="1:60" ht="15.75" x14ac:dyDescent="0.25">
      <c r="A62" s="22"/>
      <c r="B62" s="5" t="s">
        <v>112</v>
      </c>
      <c r="C62" s="5" t="s">
        <v>113</v>
      </c>
      <c r="D62" s="7">
        <v>3</v>
      </c>
      <c r="E62" s="7">
        <v>3</v>
      </c>
      <c r="F62" s="7">
        <v>4285.2910000000002</v>
      </c>
      <c r="G62" s="7">
        <v>793.36300000000006</v>
      </c>
      <c r="H62" s="7">
        <v>1641.5619999999999</v>
      </c>
      <c r="I62" s="7">
        <v>0</v>
      </c>
      <c r="J62" s="7">
        <v>153.02699999999999</v>
      </c>
      <c r="K62" s="7">
        <v>1037.99</v>
      </c>
      <c r="L62" s="7">
        <v>1452.425</v>
      </c>
      <c r="M62" s="7">
        <v>1326.3589999999999</v>
      </c>
      <c r="N62" s="7">
        <v>0</v>
      </c>
      <c r="O62" s="7">
        <v>2993.4059999999999</v>
      </c>
      <c r="P62" s="7">
        <v>3313.54</v>
      </c>
      <c r="Q62" s="7">
        <v>2865.402</v>
      </c>
      <c r="R62" s="7">
        <v>0</v>
      </c>
      <c r="S62" s="7">
        <v>0</v>
      </c>
      <c r="T62" s="7">
        <v>0.375</v>
      </c>
      <c r="U62" s="7">
        <v>136.34200000000001</v>
      </c>
      <c r="V62" s="7">
        <v>570.84</v>
      </c>
      <c r="W62" s="7">
        <v>342.59</v>
      </c>
      <c r="X62" s="7">
        <v>0</v>
      </c>
      <c r="Y62" s="7">
        <v>1113.903</v>
      </c>
      <c r="Z62" s="7">
        <v>0</v>
      </c>
      <c r="AA62" s="7">
        <v>144.613</v>
      </c>
      <c r="AB62" s="7">
        <v>352.89499999999998</v>
      </c>
      <c r="AC62" s="7">
        <v>0</v>
      </c>
      <c r="AD62" s="7">
        <v>895.29</v>
      </c>
      <c r="AE62" s="7">
        <v>0</v>
      </c>
      <c r="AF62" s="7">
        <v>1120.492</v>
      </c>
      <c r="AG62" s="7">
        <v>0</v>
      </c>
      <c r="AH62" s="7">
        <v>136.208</v>
      </c>
      <c r="AI62" s="7">
        <v>0</v>
      </c>
      <c r="AJ62" s="7">
        <v>1236.5830000000001</v>
      </c>
      <c r="AK62" s="7">
        <v>0</v>
      </c>
      <c r="AL62" s="7">
        <v>0</v>
      </c>
      <c r="AM62" s="7">
        <v>6130.5879999999997</v>
      </c>
      <c r="AN62" s="7">
        <v>0</v>
      </c>
      <c r="AO62" s="7">
        <v>0</v>
      </c>
      <c r="AP62" s="7">
        <v>0</v>
      </c>
      <c r="AQ62" s="7">
        <v>3239.4780000000001</v>
      </c>
      <c r="AR62" s="7">
        <v>2898.527</v>
      </c>
      <c r="AS62" s="7">
        <v>0</v>
      </c>
      <c r="AT62" s="7">
        <v>0</v>
      </c>
      <c r="AU62" s="7">
        <v>0</v>
      </c>
      <c r="AV62" s="7">
        <v>5.5380000000000003</v>
      </c>
      <c r="AW62" s="7">
        <v>227.86</v>
      </c>
      <c r="AX62" s="7">
        <v>0</v>
      </c>
      <c r="AY62" s="7">
        <v>0</v>
      </c>
      <c r="AZ62" s="7">
        <v>0</v>
      </c>
      <c r="BA62" s="7">
        <v>3.069</v>
      </c>
      <c r="BB62" s="7">
        <v>0</v>
      </c>
      <c r="BC62" s="7">
        <v>92.873999999999995</v>
      </c>
      <c r="BD62" s="7">
        <v>0</v>
      </c>
      <c r="BE62" s="7">
        <v>0</v>
      </c>
      <c r="BF62" s="7">
        <v>0</v>
      </c>
      <c r="BG62" s="7">
        <v>0</v>
      </c>
      <c r="BH62" s="22"/>
    </row>
    <row r="63" spans="1:60" ht="15.75" x14ac:dyDescent="0.25">
      <c r="A63" s="22"/>
      <c r="B63" s="5" t="s">
        <v>114</v>
      </c>
      <c r="C63" s="5" t="s">
        <v>115</v>
      </c>
      <c r="D63" s="7">
        <v>3</v>
      </c>
      <c r="E63" s="7">
        <v>3</v>
      </c>
      <c r="F63" s="7">
        <v>110395.649</v>
      </c>
      <c r="G63" s="7">
        <v>18798.009999999998</v>
      </c>
      <c r="H63" s="7">
        <v>43954.603000000003</v>
      </c>
      <c r="I63" s="7">
        <v>197.66300000000001</v>
      </c>
      <c r="J63" s="7">
        <v>3844.94</v>
      </c>
      <c r="K63" s="7">
        <v>28390.341</v>
      </c>
      <c r="L63" s="7">
        <v>31764.409</v>
      </c>
      <c r="M63" s="7">
        <v>33830.491000000002</v>
      </c>
      <c r="N63" s="7">
        <v>47958.243000000002</v>
      </c>
      <c r="O63" s="7">
        <v>76109.436000000002</v>
      </c>
      <c r="P63" s="7">
        <v>77485.41</v>
      </c>
      <c r="Q63" s="7">
        <v>72899.072</v>
      </c>
      <c r="R63" s="7">
        <v>964.81700000000001</v>
      </c>
      <c r="S63" s="7">
        <v>0</v>
      </c>
      <c r="T63" s="7">
        <v>15.324</v>
      </c>
      <c r="U63" s="7">
        <v>539.51800000000003</v>
      </c>
      <c r="V63" s="7">
        <v>2258.8690000000001</v>
      </c>
      <c r="W63" s="7">
        <v>7932.8630000000003</v>
      </c>
      <c r="X63" s="7">
        <v>0</v>
      </c>
      <c r="Y63" s="7">
        <v>4407.8230000000003</v>
      </c>
      <c r="Z63" s="7">
        <v>35475.968999999997</v>
      </c>
      <c r="AA63" s="7">
        <v>3566.279</v>
      </c>
      <c r="AB63" s="7">
        <v>9314.4629999999997</v>
      </c>
      <c r="AC63" s="7">
        <v>0</v>
      </c>
      <c r="AD63" s="7">
        <v>21201.583999999999</v>
      </c>
      <c r="AE63" s="7">
        <v>0</v>
      </c>
      <c r="AF63" s="7">
        <v>31322.974999999999</v>
      </c>
      <c r="AG63" s="7">
        <v>0</v>
      </c>
      <c r="AH63" s="7">
        <v>3143.471</v>
      </c>
      <c r="AI63" s="7">
        <v>0</v>
      </c>
      <c r="AJ63" s="7">
        <v>32867.048000000003</v>
      </c>
      <c r="AK63" s="7">
        <v>0</v>
      </c>
      <c r="AL63" s="7">
        <v>210.36099999999999</v>
      </c>
      <c r="AM63" s="7">
        <v>159446.908</v>
      </c>
      <c r="AN63" s="7">
        <v>0</v>
      </c>
      <c r="AO63" s="7">
        <v>0</v>
      </c>
      <c r="AP63" s="7">
        <v>0</v>
      </c>
      <c r="AQ63" s="7">
        <v>12818.932000000001</v>
      </c>
      <c r="AR63" s="7">
        <v>11469.752</v>
      </c>
      <c r="AS63" s="7">
        <v>0</v>
      </c>
      <c r="AT63" s="7">
        <v>6587.1109999999999</v>
      </c>
      <c r="AU63" s="7">
        <v>0</v>
      </c>
      <c r="AV63" s="7">
        <v>157.03700000000001</v>
      </c>
      <c r="AW63" s="7">
        <v>901.66499999999996</v>
      </c>
      <c r="AX63" s="7">
        <v>0</v>
      </c>
      <c r="AY63" s="7">
        <v>0</v>
      </c>
      <c r="AZ63" s="7">
        <v>0</v>
      </c>
      <c r="BA63" s="7">
        <v>65.427999999999997</v>
      </c>
      <c r="BB63" s="7">
        <v>0</v>
      </c>
      <c r="BC63" s="7">
        <v>2306.7330000000002</v>
      </c>
      <c r="BD63" s="7">
        <v>0</v>
      </c>
      <c r="BE63" s="7">
        <v>0</v>
      </c>
      <c r="BF63" s="7">
        <v>0</v>
      </c>
      <c r="BG63" s="7">
        <v>0</v>
      </c>
      <c r="BH63" s="22"/>
    </row>
    <row r="64" spans="1:60" ht="15.75" x14ac:dyDescent="0.25">
      <c r="A64" s="22"/>
      <c r="B64" s="5" t="s">
        <v>116</v>
      </c>
      <c r="C64" s="5" t="s">
        <v>117</v>
      </c>
      <c r="D64" s="7">
        <v>3</v>
      </c>
      <c r="E64" s="7">
        <v>3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22"/>
    </row>
    <row r="65" spans="1:60" ht="15.75" x14ac:dyDescent="0.25">
      <c r="A65" s="22"/>
      <c r="B65" s="5" t="s">
        <v>118</v>
      </c>
      <c r="C65" s="5" t="s">
        <v>119</v>
      </c>
      <c r="D65" s="7">
        <v>3</v>
      </c>
      <c r="E65" s="7">
        <v>3</v>
      </c>
      <c r="F65" s="7">
        <v>124378.18</v>
      </c>
      <c r="G65" s="7">
        <v>23688.691999999999</v>
      </c>
      <c r="H65" s="7">
        <v>46967.726999999999</v>
      </c>
      <c r="I65" s="7">
        <v>26815.190999999999</v>
      </c>
      <c r="J65" s="7">
        <v>4421.8649999999998</v>
      </c>
      <c r="K65" s="7">
        <v>29598.873</v>
      </c>
      <c r="L65" s="7">
        <v>43985.224999999999</v>
      </c>
      <c r="M65" s="7">
        <v>38702.080999999998</v>
      </c>
      <c r="N65" s="7">
        <v>0</v>
      </c>
      <c r="O65" s="7">
        <v>86114.413</v>
      </c>
      <c r="P65" s="7">
        <v>102372.109</v>
      </c>
      <c r="Q65" s="7">
        <v>83024.195999999996</v>
      </c>
      <c r="R65" s="7">
        <v>0</v>
      </c>
      <c r="S65" s="7">
        <v>0</v>
      </c>
      <c r="T65" s="7">
        <v>8.3160000000000007</v>
      </c>
      <c r="U65" s="7">
        <v>443.03</v>
      </c>
      <c r="V65" s="7">
        <v>1854.893</v>
      </c>
      <c r="W65" s="7">
        <v>10187.223</v>
      </c>
      <c r="X65" s="7">
        <v>0</v>
      </c>
      <c r="Y65" s="7">
        <v>3619.527</v>
      </c>
      <c r="Z65" s="7">
        <v>0</v>
      </c>
      <c r="AA65" s="7">
        <v>4207.3850000000002</v>
      </c>
      <c r="AB65" s="7">
        <v>10006.357</v>
      </c>
      <c r="AC65" s="7">
        <v>0</v>
      </c>
      <c r="AD65" s="7">
        <v>26586.935000000001</v>
      </c>
      <c r="AE65" s="7">
        <v>0</v>
      </c>
      <c r="AF65" s="7">
        <v>31133.706999999999</v>
      </c>
      <c r="AG65" s="7">
        <v>0</v>
      </c>
      <c r="AH65" s="7">
        <v>4054.7530000000002</v>
      </c>
      <c r="AI65" s="7">
        <v>0</v>
      </c>
      <c r="AJ65" s="7">
        <v>35984.252</v>
      </c>
      <c r="AK65" s="7">
        <v>0</v>
      </c>
      <c r="AL65" s="7">
        <v>0</v>
      </c>
      <c r="AM65" s="7">
        <v>178350.489</v>
      </c>
      <c r="AN65" s="7">
        <v>0</v>
      </c>
      <c r="AO65" s="7">
        <v>0</v>
      </c>
      <c r="AP65" s="7">
        <v>0</v>
      </c>
      <c r="AQ65" s="7">
        <v>10526.391</v>
      </c>
      <c r="AR65" s="7">
        <v>9418.4989999999998</v>
      </c>
      <c r="AS65" s="7">
        <v>0</v>
      </c>
      <c r="AT65" s="7">
        <v>0</v>
      </c>
      <c r="AU65" s="7">
        <v>0</v>
      </c>
      <c r="AV65" s="7">
        <v>152.381</v>
      </c>
      <c r="AW65" s="7">
        <v>740.41099999999994</v>
      </c>
      <c r="AX65" s="7">
        <v>0</v>
      </c>
      <c r="AY65" s="7">
        <v>0</v>
      </c>
      <c r="AZ65" s="7">
        <v>0</v>
      </c>
      <c r="BA65" s="7">
        <v>93.643000000000001</v>
      </c>
      <c r="BB65" s="7">
        <v>0</v>
      </c>
      <c r="BC65" s="7">
        <v>2896.299</v>
      </c>
      <c r="BD65" s="7">
        <v>0</v>
      </c>
      <c r="BE65" s="7">
        <v>0</v>
      </c>
      <c r="BF65" s="7">
        <v>0</v>
      </c>
      <c r="BG65" s="7">
        <v>0</v>
      </c>
      <c r="BH65" s="22"/>
    </row>
    <row r="66" spans="1:60" ht="15.75" x14ac:dyDescent="0.25">
      <c r="A66" s="22"/>
      <c r="B66" s="5" t="s">
        <v>120</v>
      </c>
      <c r="C66" s="5" t="s">
        <v>121</v>
      </c>
      <c r="D66" s="7">
        <v>3</v>
      </c>
      <c r="E66" s="7">
        <v>3</v>
      </c>
      <c r="F66" s="7">
        <v>21456.272000000001</v>
      </c>
      <c r="G66" s="7">
        <v>4094.65</v>
      </c>
      <c r="H66" s="7">
        <v>8095.0339999999997</v>
      </c>
      <c r="I66" s="7">
        <v>10527.12</v>
      </c>
      <c r="J66" s="7">
        <v>773.45699999999999</v>
      </c>
      <c r="K66" s="7">
        <v>5074.1139999999996</v>
      </c>
      <c r="L66" s="7">
        <v>7693.7380000000003</v>
      </c>
      <c r="M66" s="7">
        <v>6666.268</v>
      </c>
      <c r="N66" s="7">
        <v>0</v>
      </c>
      <c r="O66" s="7">
        <v>15062.825000000001</v>
      </c>
      <c r="P66" s="7">
        <v>17178.121999999999</v>
      </c>
      <c r="Q66" s="7">
        <v>14415.41</v>
      </c>
      <c r="R66" s="7">
        <v>0</v>
      </c>
      <c r="S66" s="7">
        <v>0</v>
      </c>
      <c r="T66" s="7">
        <v>1.4550000000000001</v>
      </c>
      <c r="U66" s="7">
        <v>84.983999999999995</v>
      </c>
      <c r="V66" s="7">
        <v>355.81400000000002</v>
      </c>
      <c r="W66" s="7">
        <v>1781.913</v>
      </c>
      <c r="X66" s="7">
        <v>0</v>
      </c>
      <c r="Y66" s="7">
        <v>694.31299999999999</v>
      </c>
      <c r="Z66" s="7">
        <v>0</v>
      </c>
      <c r="AA66" s="7">
        <v>735.94100000000003</v>
      </c>
      <c r="AB66" s="7">
        <v>1750.2760000000001</v>
      </c>
      <c r="AC66" s="7">
        <v>0</v>
      </c>
      <c r="AD66" s="7">
        <v>4621.5680000000002</v>
      </c>
      <c r="AE66" s="7">
        <v>0</v>
      </c>
      <c r="AF66" s="7">
        <v>5427.0039999999999</v>
      </c>
      <c r="AG66" s="7">
        <v>0</v>
      </c>
      <c r="AH66" s="7">
        <v>709.24300000000005</v>
      </c>
      <c r="AI66" s="7">
        <v>0</v>
      </c>
      <c r="AJ66" s="7">
        <v>6116.143</v>
      </c>
      <c r="AK66" s="7">
        <v>0</v>
      </c>
      <c r="AL66" s="7">
        <v>0</v>
      </c>
      <c r="AM66" s="7">
        <v>30582.719000000001</v>
      </c>
      <c r="AN66" s="7">
        <v>0</v>
      </c>
      <c r="AO66" s="7">
        <v>0</v>
      </c>
      <c r="AP66" s="7">
        <v>0</v>
      </c>
      <c r="AQ66" s="7">
        <v>2019.2180000000001</v>
      </c>
      <c r="AR66" s="7">
        <v>1806.6969999999999</v>
      </c>
      <c r="AS66" s="7">
        <v>0</v>
      </c>
      <c r="AT66" s="7">
        <v>0</v>
      </c>
      <c r="AU66" s="7">
        <v>0</v>
      </c>
      <c r="AV66" s="7">
        <v>26.654</v>
      </c>
      <c r="AW66" s="7">
        <v>142.029</v>
      </c>
      <c r="AX66" s="7">
        <v>0</v>
      </c>
      <c r="AY66" s="7">
        <v>0</v>
      </c>
      <c r="AZ66" s="7">
        <v>0</v>
      </c>
      <c r="BA66" s="7">
        <v>16.38</v>
      </c>
      <c r="BB66" s="7">
        <v>0</v>
      </c>
      <c r="BC66" s="7">
        <v>511.85300000000001</v>
      </c>
      <c r="BD66" s="7">
        <v>0</v>
      </c>
      <c r="BE66" s="7">
        <v>0</v>
      </c>
      <c r="BF66" s="7">
        <v>0</v>
      </c>
      <c r="BG66" s="7">
        <v>0</v>
      </c>
      <c r="BH66" s="22"/>
    </row>
    <row r="67" spans="1:60" ht="15.75" x14ac:dyDescent="0.25">
      <c r="A67" s="22"/>
      <c r="B67" s="5" t="s">
        <v>122</v>
      </c>
      <c r="C67" s="5" t="s">
        <v>123</v>
      </c>
      <c r="D67" s="7">
        <v>3</v>
      </c>
      <c r="E67" s="7">
        <v>3</v>
      </c>
      <c r="F67" s="7">
        <v>114680.504</v>
      </c>
      <c r="G67" s="7">
        <v>21885.279999999999</v>
      </c>
      <c r="H67" s="7">
        <v>43266.722000000002</v>
      </c>
      <c r="I67" s="7">
        <v>0</v>
      </c>
      <c r="J67" s="7">
        <v>4134.009</v>
      </c>
      <c r="K67" s="7">
        <v>27120.366000000002</v>
      </c>
      <c r="L67" s="7">
        <v>41121.857000000004</v>
      </c>
      <c r="M67" s="7">
        <v>35630.184999999998</v>
      </c>
      <c r="N67" s="7">
        <v>12634.107</v>
      </c>
      <c r="O67" s="7">
        <v>80508.502999999997</v>
      </c>
      <c r="P67" s="7">
        <v>91814.447</v>
      </c>
      <c r="Q67" s="7">
        <v>77048.168000000005</v>
      </c>
      <c r="R67" s="7">
        <v>0</v>
      </c>
      <c r="S67" s="7">
        <v>0</v>
      </c>
      <c r="T67" s="7">
        <v>7.7750000000000004</v>
      </c>
      <c r="U67" s="7">
        <v>661.17100000000005</v>
      </c>
      <c r="V67" s="7">
        <v>2768.2109999999998</v>
      </c>
      <c r="W67" s="7">
        <v>9524.0509999999995</v>
      </c>
      <c r="X67" s="7">
        <v>0</v>
      </c>
      <c r="Y67" s="7">
        <v>5401.7219999999998</v>
      </c>
      <c r="Z67" s="7">
        <v>9345.7800000000007</v>
      </c>
      <c r="AA67" s="7">
        <v>3933.491</v>
      </c>
      <c r="AB67" s="7">
        <v>9354.9590000000007</v>
      </c>
      <c r="AC67" s="7">
        <v>0</v>
      </c>
      <c r="AD67" s="7">
        <v>24701.576000000001</v>
      </c>
      <c r="AE67" s="7">
        <v>0</v>
      </c>
      <c r="AF67" s="7">
        <v>29006.507000000001</v>
      </c>
      <c r="AG67" s="7">
        <v>0</v>
      </c>
      <c r="AH67" s="7">
        <v>3790.7950000000001</v>
      </c>
      <c r="AI67" s="7">
        <v>102.21</v>
      </c>
      <c r="AJ67" s="7">
        <v>32689.852999999999</v>
      </c>
      <c r="AK67" s="7">
        <v>0</v>
      </c>
      <c r="AL67" s="7">
        <v>0</v>
      </c>
      <c r="AM67" s="7">
        <v>163459.97399999999</v>
      </c>
      <c r="AN67" s="7">
        <v>0</v>
      </c>
      <c r="AO67" s="7">
        <v>0</v>
      </c>
      <c r="AP67" s="7">
        <v>0</v>
      </c>
      <c r="AQ67" s="7">
        <v>15709.41</v>
      </c>
      <c r="AR67" s="7">
        <v>14056.011</v>
      </c>
      <c r="AS67" s="7">
        <v>0</v>
      </c>
      <c r="AT67" s="7">
        <v>1735.307</v>
      </c>
      <c r="AU67" s="7">
        <v>0</v>
      </c>
      <c r="AV67" s="7">
        <v>142.46100000000001</v>
      </c>
      <c r="AW67" s="7">
        <v>1104.9770000000001</v>
      </c>
      <c r="AX67" s="7">
        <v>0</v>
      </c>
      <c r="AY67" s="7">
        <v>0</v>
      </c>
      <c r="AZ67" s="7">
        <v>0</v>
      </c>
      <c r="BA67" s="7">
        <v>87.546999999999997</v>
      </c>
      <c r="BB67" s="7">
        <v>0</v>
      </c>
      <c r="BC67" s="7">
        <v>2722.5740000000001</v>
      </c>
      <c r="BD67" s="7">
        <v>0</v>
      </c>
      <c r="BE67" s="7">
        <v>0</v>
      </c>
      <c r="BF67" s="7">
        <v>0</v>
      </c>
      <c r="BG67" s="7">
        <v>0</v>
      </c>
      <c r="BH67" s="22"/>
    </row>
    <row r="68" spans="1:60" ht="15.75" x14ac:dyDescent="0.25">
      <c r="A68" s="22"/>
      <c r="B68" s="5" t="s">
        <v>124</v>
      </c>
      <c r="C68" s="5" t="s">
        <v>125</v>
      </c>
      <c r="D68" s="7">
        <v>3</v>
      </c>
      <c r="E68" s="7">
        <v>3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22"/>
    </row>
    <row r="69" spans="1:60" ht="15.75" x14ac:dyDescent="0.25">
      <c r="A69" s="22"/>
      <c r="B69" s="5" t="s">
        <v>126</v>
      </c>
      <c r="C69" s="5" t="s">
        <v>127</v>
      </c>
      <c r="D69" s="7">
        <v>3</v>
      </c>
      <c r="E69" s="7">
        <v>3</v>
      </c>
      <c r="F69" s="7">
        <v>36653.5</v>
      </c>
      <c r="G69" s="7">
        <v>6994.8429999999998</v>
      </c>
      <c r="H69" s="7">
        <v>13828.652</v>
      </c>
      <c r="I69" s="7">
        <v>11008.130999999999</v>
      </c>
      <c r="J69" s="7">
        <v>1321.287</v>
      </c>
      <c r="K69" s="7">
        <v>8668.0499999999993</v>
      </c>
      <c r="L69" s="7">
        <v>13143.123</v>
      </c>
      <c r="M69" s="7">
        <v>11387.907999999999</v>
      </c>
      <c r="N69" s="7">
        <v>0</v>
      </c>
      <c r="O69" s="7">
        <v>25731.649000000001</v>
      </c>
      <c r="P69" s="7">
        <v>29345.187000000002</v>
      </c>
      <c r="Q69" s="7">
        <v>24625.677</v>
      </c>
      <c r="R69" s="7">
        <v>0</v>
      </c>
      <c r="S69" s="7">
        <v>0</v>
      </c>
      <c r="T69" s="7">
        <v>2.4849999999999999</v>
      </c>
      <c r="U69" s="7">
        <v>0</v>
      </c>
      <c r="V69" s="7">
        <v>0</v>
      </c>
      <c r="W69" s="7">
        <v>3044.0210000000002</v>
      </c>
      <c r="X69" s="7">
        <v>0</v>
      </c>
      <c r="Y69" s="7">
        <v>0</v>
      </c>
      <c r="Z69" s="7">
        <v>0</v>
      </c>
      <c r="AA69" s="7">
        <v>1257.1990000000001</v>
      </c>
      <c r="AB69" s="7">
        <v>2989.9769999999999</v>
      </c>
      <c r="AC69" s="7">
        <v>0</v>
      </c>
      <c r="AD69" s="7">
        <v>7894.9709999999995</v>
      </c>
      <c r="AE69" s="7">
        <v>0</v>
      </c>
      <c r="AF69" s="7">
        <v>9270.8870000000006</v>
      </c>
      <c r="AG69" s="7">
        <v>0</v>
      </c>
      <c r="AH69" s="7">
        <v>1211.5909999999999</v>
      </c>
      <c r="AI69" s="7">
        <v>0</v>
      </c>
      <c r="AJ69" s="7">
        <v>10448.136</v>
      </c>
      <c r="AK69" s="7">
        <v>0</v>
      </c>
      <c r="AL69" s="7">
        <v>0</v>
      </c>
      <c r="AM69" s="7">
        <v>52244.103999999999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45.533000000000001</v>
      </c>
      <c r="AW69" s="7">
        <v>0</v>
      </c>
      <c r="AX69" s="7">
        <v>0</v>
      </c>
      <c r="AY69" s="7">
        <v>0</v>
      </c>
      <c r="AZ69" s="7">
        <v>0</v>
      </c>
      <c r="BA69" s="7">
        <v>27.981000000000002</v>
      </c>
      <c r="BB69" s="7">
        <v>0</v>
      </c>
      <c r="BC69" s="7">
        <v>829.23699999999997</v>
      </c>
      <c r="BD69" s="7">
        <v>0</v>
      </c>
      <c r="BE69" s="7">
        <v>0</v>
      </c>
      <c r="BF69" s="7">
        <v>0</v>
      </c>
      <c r="BG69" s="7">
        <v>0</v>
      </c>
      <c r="BH69" s="22"/>
    </row>
    <row r="70" spans="1:60" ht="15.75" x14ac:dyDescent="0.25">
      <c r="A70" s="22"/>
      <c r="B70" s="5" t="s">
        <v>128</v>
      </c>
      <c r="C70" s="5" t="s">
        <v>129</v>
      </c>
      <c r="D70" s="7">
        <v>3</v>
      </c>
      <c r="E70" s="7">
        <v>3</v>
      </c>
      <c r="F70" s="7">
        <v>8575.9869999999992</v>
      </c>
      <c r="G70" s="7">
        <v>1636.615</v>
      </c>
      <c r="H70" s="7">
        <v>3235.5529999999999</v>
      </c>
      <c r="I70" s="7">
        <v>0</v>
      </c>
      <c r="J70" s="7">
        <v>309.14800000000002</v>
      </c>
      <c r="K70" s="7">
        <v>2028.1030000000001</v>
      </c>
      <c r="L70" s="7">
        <v>3075.1570000000002</v>
      </c>
      <c r="M70" s="7">
        <v>2664.4810000000002</v>
      </c>
      <c r="N70" s="7">
        <v>0</v>
      </c>
      <c r="O70" s="7">
        <v>6020.5510000000004</v>
      </c>
      <c r="P70" s="7">
        <v>6866.027</v>
      </c>
      <c r="Q70" s="7">
        <v>5761.7820000000002</v>
      </c>
      <c r="R70" s="7">
        <v>0</v>
      </c>
      <c r="S70" s="7">
        <v>0</v>
      </c>
      <c r="T70" s="7">
        <v>0.58099999999999996</v>
      </c>
      <c r="U70" s="7">
        <v>0</v>
      </c>
      <c r="V70" s="7">
        <v>0</v>
      </c>
      <c r="W70" s="7">
        <v>712.22299999999996</v>
      </c>
      <c r="X70" s="7">
        <v>0</v>
      </c>
      <c r="Y70" s="7">
        <v>0</v>
      </c>
      <c r="Z70" s="7">
        <v>0</v>
      </c>
      <c r="AA70" s="7">
        <v>294.15300000000002</v>
      </c>
      <c r="AB70" s="7">
        <v>699.57799999999997</v>
      </c>
      <c r="AC70" s="7">
        <v>0</v>
      </c>
      <c r="AD70" s="7">
        <v>1847.222</v>
      </c>
      <c r="AE70" s="7">
        <v>0</v>
      </c>
      <c r="AF70" s="7">
        <v>2169.152</v>
      </c>
      <c r="AG70" s="7">
        <v>0</v>
      </c>
      <c r="AH70" s="7">
        <v>283.48200000000003</v>
      </c>
      <c r="AI70" s="7">
        <v>0</v>
      </c>
      <c r="AJ70" s="7">
        <v>2444.598</v>
      </c>
      <c r="AK70" s="7">
        <v>0</v>
      </c>
      <c r="AL70" s="7">
        <v>0</v>
      </c>
      <c r="AM70" s="7">
        <v>12223.790999999999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10.653</v>
      </c>
      <c r="AW70" s="7">
        <v>0</v>
      </c>
      <c r="AX70" s="7">
        <v>0</v>
      </c>
      <c r="AY70" s="7">
        <v>0</v>
      </c>
      <c r="AZ70" s="7">
        <v>0</v>
      </c>
      <c r="BA70" s="7">
        <v>6.5469999999999997</v>
      </c>
      <c r="BB70" s="7">
        <v>0</v>
      </c>
      <c r="BC70" s="7">
        <v>194.02</v>
      </c>
      <c r="BD70" s="7">
        <v>0</v>
      </c>
      <c r="BE70" s="7">
        <v>0</v>
      </c>
      <c r="BF70" s="7">
        <v>0</v>
      </c>
      <c r="BG70" s="7">
        <v>0</v>
      </c>
      <c r="BH70" s="22"/>
    </row>
    <row r="71" spans="1:60" ht="15.75" x14ac:dyDescent="0.25">
      <c r="A71" s="22"/>
      <c r="B71" s="5" t="s">
        <v>130</v>
      </c>
      <c r="C71" s="5" t="s">
        <v>131</v>
      </c>
      <c r="D71" s="7">
        <v>3</v>
      </c>
      <c r="E71" s="7">
        <v>3</v>
      </c>
      <c r="F71" s="7">
        <v>45508.1</v>
      </c>
      <c r="G71" s="7">
        <v>8684.6280000000006</v>
      </c>
      <c r="H71" s="7">
        <v>17169.32</v>
      </c>
      <c r="I71" s="7">
        <v>2485.3510000000001</v>
      </c>
      <c r="J71" s="7">
        <v>1640.4780000000001</v>
      </c>
      <c r="K71" s="7">
        <v>10762.040999999999</v>
      </c>
      <c r="L71" s="7">
        <v>16318.183999999999</v>
      </c>
      <c r="M71" s="7">
        <v>14138.950999999999</v>
      </c>
      <c r="N71" s="7">
        <v>0</v>
      </c>
      <c r="O71" s="7">
        <v>31947.793000000001</v>
      </c>
      <c r="P71" s="7">
        <v>36434.275000000001</v>
      </c>
      <c r="Q71" s="7">
        <v>30574.645</v>
      </c>
      <c r="R71" s="7">
        <v>0</v>
      </c>
      <c r="S71" s="7">
        <v>0</v>
      </c>
      <c r="T71" s="7">
        <v>3.085</v>
      </c>
      <c r="U71" s="7">
        <v>0.21299999999999999</v>
      </c>
      <c r="V71" s="7">
        <v>0.89100000000000001</v>
      </c>
      <c r="W71" s="7">
        <v>3779.3820000000001</v>
      </c>
      <c r="X71" s="7">
        <v>0</v>
      </c>
      <c r="Y71" s="7">
        <v>1.738</v>
      </c>
      <c r="Z71" s="7">
        <v>0</v>
      </c>
      <c r="AA71" s="7">
        <v>1560.9079999999999</v>
      </c>
      <c r="AB71" s="7">
        <v>3712.2829999999999</v>
      </c>
      <c r="AC71" s="7">
        <v>0</v>
      </c>
      <c r="AD71" s="7">
        <v>9802.2049999999999</v>
      </c>
      <c r="AE71" s="7">
        <v>0</v>
      </c>
      <c r="AF71" s="7">
        <v>11510.51</v>
      </c>
      <c r="AG71" s="7">
        <v>0</v>
      </c>
      <c r="AH71" s="7">
        <v>1504.2829999999999</v>
      </c>
      <c r="AI71" s="7">
        <v>0</v>
      </c>
      <c r="AJ71" s="7">
        <v>12972.154</v>
      </c>
      <c r="AK71" s="7">
        <v>7.1070000000000002</v>
      </c>
      <c r="AL71" s="7">
        <v>0</v>
      </c>
      <c r="AM71" s="7">
        <v>64865.017</v>
      </c>
      <c r="AN71" s="7">
        <v>24.667000000000002</v>
      </c>
      <c r="AO71" s="7">
        <v>0</v>
      </c>
      <c r="AP71" s="7">
        <v>0</v>
      </c>
      <c r="AQ71" s="7">
        <v>5.056</v>
      </c>
      <c r="AR71" s="7">
        <v>4.5229999999999997</v>
      </c>
      <c r="AS71" s="7">
        <v>0</v>
      </c>
      <c r="AT71" s="7">
        <v>0</v>
      </c>
      <c r="AU71" s="7">
        <v>0</v>
      </c>
      <c r="AV71" s="7">
        <v>56.531999999999996</v>
      </c>
      <c r="AW71" s="7">
        <v>0.35599999999999998</v>
      </c>
      <c r="AX71" s="7">
        <v>0</v>
      </c>
      <c r="AY71" s="7">
        <v>0</v>
      </c>
      <c r="AZ71" s="7">
        <v>0</v>
      </c>
      <c r="BA71" s="7">
        <v>34.741</v>
      </c>
      <c r="BB71" s="7">
        <v>0</v>
      </c>
      <c r="BC71" s="7">
        <v>1029.5609999999999</v>
      </c>
      <c r="BD71" s="7">
        <v>0</v>
      </c>
      <c r="BE71" s="7">
        <v>0</v>
      </c>
      <c r="BF71" s="7">
        <v>0</v>
      </c>
      <c r="BG71" s="7">
        <v>0</v>
      </c>
      <c r="BH71" s="22"/>
    </row>
    <row r="72" spans="1:60" ht="15.75" x14ac:dyDescent="0.25">
      <c r="A72" s="22"/>
      <c r="B72" s="5" t="s">
        <v>132</v>
      </c>
      <c r="C72" s="5" t="s">
        <v>133</v>
      </c>
      <c r="D72" s="7">
        <v>3</v>
      </c>
      <c r="E72" s="7">
        <v>3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22"/>
    </row>
    <row r="73" spans="1:60" ht="15.75" x14ac:dyDescent="0.25">
      <c r="A73" s="22"/>
      <c r="B73" s="5" t="s">
        <v>134</v>
      </c>
      <c r="C73" s="5" t="s">
        <v>135</v>
      </c>
      <c r="D73" s="7">
        <v>6</v>
      </c>
      <c r="E73" s="7">
        <v>6</v>
      </c>
      <c r="F73" s="7">
        <v>43113.326000000001</v>
      </c>
      <c r="G73" s="7">
        <v>6276.3410000000003</v>
      </c>
      <c r="H73" s="7">
        <v>18064.653999999999</v>
      </c>
      <c r="I73" s="7">
        <v>1914.511</v>
      </c>
      <c r="J73" s="7">
        <v>1277.672</v>
      </c>
      <c r="K73" s="7">
        <v>12192.986000000001</v>
      </c>
      <c r="L73" s="7">
        <v>12692.013999999999</v>
      </c>
      <c r="M73" s="7">
        <v>10103.380999999999</v>
      </c>
      <c r="N73" s="7">
        <v>0</v>
      </c>
      <c r="O73" s="7">
        <v>25599.906999999999</v>
      </c>
      <c r="P73" s="7">
        <v>27319.330999999998</v>
      </c>
      <c r="Q73" s="7">
        <v>25820.314999999999</v>
      </c>
      <c r="R73" s="7">
        <v>0</v>
      </c>
      <c r="S73" s="7">
        <v>0</v>
      </c>
      <c r="T73" s="7">
        <v>57.875</v>
      </c>
      <c r="U73" s="7">
        <v>0</v>
      </c>
      <c r="V73" s="7">
        <v>140.80500000000001</v>
      </c>
      <c r="W73" s="7">
        <v>1523.5809999999999</v>
      </c>
      <c r="X73" s="7">
        <v>0</v>
      </c>
      <c r="Y73" s="7">
        <v>0</v>
      </c>
      <c r="Z73" s="7">
        <v>0</v>
      </c>
      <c r="AA73" s="7">
        <v>1004.401</v>
      </c>
      <c r="AB73" s="7">
        <v>3235.4259999999999</v>
      </c>
      <c r="AC73" s="7">
        <v>0</v>
      </c>
      <c r="AD73" s="7">
        <v>7438.8519999999999</v>
      </c>
      <c r="AE73" s="7">
        <v>0</v>
      </c>
      <c r="AF73" s="7">
        <v>12119.925999999999</v>
      </c>
      <c r="AG73" s="7">
        <v>0</v>
      </c>
      <c r="AH73" s="7">
        <v>769.15</v>
      </c>
      <c r="AI73" s="7">
        <v>0</v>
      </c>
      <c r="AJ73" s="7">
        <v>24982.353999999999</v>
      </c>
      <c r="AK73" s="7">
        <v>0</v>
      </c>
      <c r="AL73" s="7">
        <v>0</v>
      </c>
      <c r="AM73" s="7">
        <v>68546.445000000007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57.427</v>
      </c>
      <c r="AW73" s="7">
        <v>0</v>
      </c>
      <c r="AX73" s="7">
        <v>0</v>
      </c>
      <c r="AY73" s="7">
        <v>0</v>
      </c>
      <c r="AZ73" s="7">
        <v>0</v>
      </c>
      <c r="BA73" s="7">
        <v>7.242</v>
      </c>
      <c r="BB73" s="7">
        <v>0</v>
      </c>
      <c r="BC73" s="7">
        <v>377.07799999999997</v>
      </c>
      <c r="BD73" s="7">
        <v>0</v>
      </c>
      <c r="BE73" s="7">
        <v>0</v>
      </c>
      <c r="BF73" s="7">
        <v>0</v>
      </c>
      <c r="BG73" s="7">
        <v>0</v>
      </c>
      <c r="BH73" s="22"/>
    </row>
    <row r="74" spans="1:60" ht="15.75" x14ac:dyDescent="0.25">
      <c r="A74" s="22"/>
      <c r="B74" s="5" t="s">
        <v>136</v>
      </c>
      <c r="C74" s="5" t="s">
        <v>137</v>
      </c>
      <c r="D74" s="7">
        <v>6</v>
      </c>
      <c r="E74" s="7">
        <v>6</v>
      </c>
      <c r="F74" s="7">
        <v>941.76900000000001</v>
      </c>
      <c r="G74" s="7">
        <v>131.75200000000001</v>
      </c>
      <c r="H74" s="7">
        <v>190.74299999999999</v>
      </c>
      <c r="I74" s="7">
        <v>0</v>
      </c>
      <c r="J74" s="7">
        <v>33.393000000000001</v>
      </c>
      <c r="K74" s="7">
        <v>111.96599999999999</v>
      </c>
      <c r="L74" s="7">
        <v>938.98299999999995</v>
      </c>
      <c r="M74" s="7">
        <v>86.165999999999997</v>
      </c>
      <c r="N74" s="7">
        <v>0</v>
      </c>
      <c r="O74" s="7">
        <v>435.77600000000001</v>
      </c>
      <c r="P74" s="7">
        <v>1032.3330000000001</v>
      </c>
      <c r="Q74" s="7">
        <v>432.13299999999998</v>
      </c>
      <c r="R74" s="7">
        <v>0</v>
      </c>
      <c r="S74" s="7">
        <v>0</v>
      </c>
      <c r="T74" s="7">
        <v>6.399</v>
      </c>
      <c r="U74" s="7">
        <v>0</v>
      </c>
      <c r="V74" s="7">
        <v>0.19400000000000001</v>
      </c>
      <c r="W74" s="7">
        <v>0</v>
      </c>
      <c r="X74" s="7">
        <v>0</v>
      </c>
      <c r="Y74" s="7">
        <v>0</v>
      </c>
      <c r="Z74" s="7">
        <v>0</v>
      </c>
      <c r="AA74" s="7">
        <v>14.922000000000001</v>
      </c>
      <c r="AB74" s="7">
        <v>47.98</v>
      </c>
      <c r="AC74" s="7">
        <v>0</v>
      </c>
      <c r="AD74" s="7">
        <v>384.27300000000002</v>
      </c>
      <c r="AE74" s="7">
        <v>0</v>
      </c>
      <c r="AF74" s="7">
        <v>133.49199999999999</v>
      </c>
      <c r="AG74" s="7">
        <v>0</v>
      </c>
      <c r="AH74" s="7">
        <v>23.065999999999999</v>
      </c>
      <c r="AI74" s="7">
        <v>0</v>
      </c>
      <c r="AJ74" s="7">
        <v>1205.655</v>
      </c>
      <c r="AK74" s="7">
        <v>0</v>
      </c>
      <c r="AL74" s="7">
        <v>0</v>
      </c>
      <c r="AM74" s="7">
        <v>1960.6410000000001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22"/>
    </row>
    <row r="75" spans="1:60" ht="15.75" x14ac:dyDescent="0.25">
      <c r="A75" s="22"/>
      <c r="B75" s="5" t="s">
        <v>138</v>
      </c>
      <c r="C75" s="5" t="s">
        <v>139</v>
      </c>
      <c r="D75" s="7">
        <v>6</v>
      </c>
      <c r="E75" s="7">
        <v>6</v>
      </c>
      <c r="F75" s="7">
        <v>8160.7479999999996</v>
      </c>
      <c r="G75" s="7">
        <v>2061.4229999999998</v>
      </c>
      <c r="H75" s="7">
        <v>1227.8150000000001</v>
      </c>
      <c r="I75" s="7">
        <v>0</v>
      </c>
      <c r="J75" s="7">
        <v>137.25299999999999</v>
      </c>
      <c r="K75" s="7">
        <v>1679.6980000000001</v>
      </c>
      <c r="L75" s="7">
        <v>2162.9780000000001</v>
      </c>
      <c r="M75" s="7">
        <v>1112.3420000000001</v>
      </c>
      <c r="N75" s="7">
        <v>0</v>
      </c>
      <c r="O75" s="7">
        <v>3338.8090000000002</v>
      </c>
      <c r="P75" s="7">
        <v>24572.569</v>
      </c>
      <c r="Q75" s="7">
        <v>3702.0079999999998</v>
      </c>
      <c r="R75" s="7">
        <v>0</v>
      </c>
      <c r="S75" s="7">
        <v>0</v>
      </c>
      <c r="T75" s="7">
        <v>8.5869999999999997</v>
      </c>
      <c r="U75" s="7">
        <v>0</v>
      </c>
      <c r="V75" s="7">
        <v>376.96600000000001</v>
      </c>
      <c r="W75" s="7">
        <v>215.077</v>
      </c>
      <c r="X75" s="7">
        <v>0</v>
      </c>
      <c r="Y75" s="7">
        <v>0</v>
      </c>
      <c r="Z75" s="7">
        <v>0</v>
      </c>
      <c r="AA75" s="7">
        <v>108.443</v>
      </c>
      <c r="AB75" s="7">
        <v>274.33100000000002</v>
      </c>
      <c r="AC75" s="7">
        <v>0</v>
      </c>
      <c r="AD75" s="7">
        <v>1062.972</v>
      </c>
      <c r="AE75" s="7">
        <v>0</v>
      </c>
      <c r="AF75" s="7">
        <v>830.524</v>
      </c>
      <c r="AG75" s="7">
        <v>0</v>
      </c>
      <c r="AH75" s="7">
        <v>115.92700000000001</v>
      </c>
      <c r="AI75" s="7">
        <v>0</v>
      </c>
      <c r="AJ75" s="7">
        <v>4700.1819999999998</v>
      </c>
      <c r="AK75" s="7">
        <v>0</v>
      </c>
      <c r="AL75" s="7">
        <v>0</v>
      </c>
      <c r="AM75" s="7">
        <v>20140.233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3.2170000000000001</v>
      </c>
      <c r="AW75" s="7">
        <v>0</v>
      </c>
      <c r="AX75" s="7">
        <v>0</v>
      </c>
      <c r="AY75" s="7">
        <v>0</v>
      </c>
      <c r="AZ75" s="7">
        <v>0</v>
      </c>
      <c r="BA75" s="7">
        <v>1.9770000000000001</v>
      </c>
      <c r="BB75" s="7">
        <v>0</v>
      </c>
      <c r="BC75" s="7">
        <v>58.59</v>
      </c>
      <c r="BD75" s="7">
        <v>0</v>
      </c>
      <c r="BE75" s="7">
        <v>0</v>
      </c>
      <c r="BF75" s="7">
        <v>0</v>
      </c>
      <c r="BG75" s="7">
        <v>0</v>
      </c>
      <c r="BH75" s="22"/>
    </row>
    <row r="76" spans="1:60" ht="15.75" x14ac:dyDescent="0.25">
      <c r="A76" s="22"/>
      <c r="B76" s="5" t="s">
        <v>140</v>
      </c>
      <c r="C76" s="5" t="s">
        <v>141</v>
      </c>
      <c r="D76" s="7">
        <v>6</v>
      </c>
      <c r="E76" s="7">
        <v>6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22"/>
    </row>
    <row r="77" spans="1:60" ht="15.75" x14ac:dyDescent="0.25">
      <c r="A77" s="22"/>
      <c r="B77" s="5" t="s">
        <v>142</v>
      </c>
      <c r="C77" s="5" t="s">
        <v>143</v>
      </c>
      <c r="D77" s="7">
        <v>6</v>
      </c>
      <c r="E77" s="7">
        <v>6</v>
      </c>
      <c r="F77" s="7">
        <v>2694.2649999999999</v>
      </c>
      <c r="G77" s="7">
        <v>376.92399999999998</v>
      </c>
      <c r="H77" s="7">
        <v>545.68799999999999</v>
      </c>
      <c r="I77" s="7">
        <v>0</v>
      </c>
      <c r="J77" s="7">
        <v>95.531999999999996</v>
      </c>
      <c r="K77" s="7">
        <v>320.31799999999998</v>
      </c>
      <c r="L77" s="7">
        <v>2686.2939999999999</v>
      </c>
      <c r="M77" s="7">
        <v>246.51</v>
      </c>
      <c r="N77" s="7">
        <v>0</v>
      </c>
      <c r="O77" s="7">
        <v>1246.692</v>
      </c>
      <c r="P77" s="7">
        <v>2953.3560000000002</v>
      </c>
      <c r="Q77" s="7">
        <v>1236.271</v>
      </c>
      <c r="R77" s="7">
        <v>0</v>
      </c>
      <c r="S77" s="7">
        <v>0</v>
      </c>
      <c r="T77" s="7">
        <v>18.305</v>
      </c>
      <c r="U77" s="7">
        <v>0</v>
      </c>
      <c r="V77" s="7">
        <v>0.55600000000000005</v>
      </c>
      <c r="W77" s="7">
        <v>0</v>
      </c>
      <c r="X77" s="7">
        <v>0</v>
      </c>
      <c r="Y77" s="7">
        <v>0</v>
      </c>
      <c r="Z77" s="7">
        <v>0</v>
      </c>
      <c r="AA77" s="7">
        <v>42.688000000000002</v>
      </c>
      <c r="AB77" s="7">
        <v>137.26400000000001</v>
      </c>
      <c r="AC77" s="7">
        <v>0</v>
      </c>
      <c r="AD77" s="7">
        <v>1099.3499999999999</v>
      </c>
      <c r="AE77" s="7">
        <v>0</v>
      </c>
      <c r="AF77" s="7">
        <v>381.90199999999999</v>
      </c>
      <c r="AG77" s="7">
        <v>0</v>
      </c>
      <c r="AH77" s="7">
        <v>65.988</v>
      </c>
      <c r="AI77" s="7">
        <v>0</v>
      </c>
      <c r="AJ77" s="7">
        <v>3449.2060000000001</v>
      </c>
      <c r="AK77" s="7">
        <v>0</v>
      </c>
      <c r="AL77" s="7">
        <v>0</v>
      </c>
      <c r="AM77" s="7">
        <v>5609.1109999999999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22"/>
    </row>
    <row r="78" spans="1:60" ht="15.75" x14ac:dyDescent="0.25">
      <c r="A78" s="22"/>
      <c r="B78" s="5" t="s">
        <v>144</v>
      </c>
      <c r="C78" s="5" t="s">
        <v>145</v>
      </c>
      <c r="D78" s="7">
        <v>6</v>
      </c>
      <c r="E78" s="7">
        <v>6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22"/>
    </row>
    <row r="79" spans="1:60" ht="15.75" x14ac:dyDescent="0.25">
      <c r="A79" s="22"/>
      <c r="B79" s="5" t="s">
        <v>146</v>
      </c>
      <c r="C79" s="5" t="s">
        <v>147</v>
      </c>
      <c r="D79" s="7">
        <v>6</v>
      </c>
      <c r="E79" s="7">
        <v>6</v>
      </c>
      <c r="F79" s="7">
        <v>9337.2309999999998</v>
      </c>
      <c r="G79" s="7">
        <v>1692.2670000000001</v>
      </c>
      <c r="H79" s="7">
        <v>2569.471</v>
      </c>
      <c r="I79" s="7">
        <v>0</v>
      </c>
      <c r="J79" s="7">
        <v>224.59700000000001</v>
      </c>
      <c r="K79" s="7">
        <v>1949.471</v>
      </c>
      <c r="L79" s="7">
        <v>5168.9380000000001</v>
      </c>
      <c r="M79" s="7">
        <v>980.47799999999995</v>
      </c>
      <c r="N79" s="7">
        <v>0</v>
      </c>
      <c r="O79" s="7">
        <v>3665.723</v>
      </c>
      <c r="P79" s="7">
        <v>16678.07</v>
      </c>
      <c r="Q79" s="7">
        <v>4406.7529999999997</v>
      </c>
      <c r="R79" s="7">
        <v>0</v>
      </c>
      <c r="S79" s="7">
        <v>0</v>
      </c>
      <c r="T79" s="7">
        <v>31.065000000000001</v>
      </c>
      <c r="U79" s="7">
        <v>0</v>
      </c>
      <c r="V79" s="7">
        <v>172.006</v>
      </c>
      <c r="W79" s="7">
        <v>145.363</v>
      </c>
      <c r="X79" s="7">
        <v>0</v>
      </c>
      <c r="Y79" s="7">
        <v>0</v>
      </c>
      <c r="Z79" s="7">
        <v>0</v>
      </c>
      <c r="AA79" s="7">
        <v>132.203</v>
      </c>
      <c r="AB79" s="7">
        <v>374.83300000000003</v>
      </c>
      <c r="AC79" s="7">
        <v>0</v>
      </c>
      <c r="AD79" s="7">
        <v>2473.451</v>
      </c>
      <c r="AE79" s="7">
        <v>0</v>
      </c>
      <c r="AF79" s="7">
        <v>1196.2550000000001</v>
      </c>
      <c r="AG79" s="7">
        <v>0</v>
      </c>
      <c r="AH79" s="7">
        <v>169.41499999999999</v>
      </c>
      <c r="AI79" s="7">
        <v>0</v>
      </c>
      <c r="AJ79" s="7">
        <v>8513.7180000000008</v>
      </c>
      <c r="AK79" s="7">
        <v>0</v>
      </c>
      <c r="AL79" s="7">
        <v>0</v>
      </c>
      <c r="AM79" s="7">
        <v>20196.296999999999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2.1739999999999999</v>
      </c>
      <c r="AW79" s="7">
        <v>0</v>
      </c>
      <c r="AX79" s="7">
        <v>0</v>
      </c>
      <c r="AY79" s="7">
        <v>0</v>
      </c>
      <c r="AZ79" s="7">
        <v>0</v>
      </c>
      <c r="BA79" s="7">
        <v>1.3360000000000001</v>
      </c>
      <c r="BB79" s="7">
        <v>0</v>
      </c>
      <c r="BC79" s="7">
        <v>39.598999999999997</v>
      </c>
      <c r="BD79" s="7">
        <v>0</v>
      </c>
      <c r="BE79" s="7">
        <v>0</v>
      </c>
      <c r="BF79" s="7">
        <v>0</v>
      </c>
      <c r="BG79" s="7">
        <v>0</v>
      </c>
      <c r="BH79" s="22"/>
    </row>
    <row r="80" spans="1:60" ht="15.75" x14ac:dyDescent="0.25">
      <c r="A80" s="22"/>
      <c r="B80" s="5" t="s">
        <v>148</v>
      </c>
      <c r="C80" s="5" t="s">
        <v>149</v>
      </c>
      <c r="D80" s="7">
        <v>6</v>
      </c>
      <c r="E80" s="7">
        <v>6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22"/>
    </row>
    <row r="81" spans="1:60" ht="15.75" x14ac:dyDescent="0.25">
      <c r="A81" s="22"/>
      <c r="B81" s="5" t="s">
        <v>150</v>
      </c>
      <c r="C81" s="5" t="s">
        <v>151</v>
      </c>
      <c r="D81" s="7">
        <v>6</v>
      </c>
      <c r="E81" s="7">
        <v>6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22"/>
    </row>
    <row r="82" spans="1:60" ht="15.75" x14ac:dyDescent="0.25">
      <c r="A82" s="22"/>
      <c r="B82" s="5" t="s">
        <v>152</v>
      </c>
      <c r="C82" s="5" t="s">
        <v>153</v>
      </c>
      <c r="D82" s="7">
        <v>6</v>
      </c>
      <c r="E82" s="7">
        <v>6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22"/>
    </row>
    <row r="83" spans="1:60" ht="15.75" x14ac:dyDescent="0.25">
      <c r="A83" s="22"/>
      <c r="B83" s="5" t="s">
        <v>154</v>
      </c>
      <c r="C83" s="5" t="s">
        <v>155</v>
      </c>
      <c r="D83" s="7">
        <v>6</v>
      </c>
      <c r="E83" s="7">
        <v>6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22"/>
    </row>
    <row r="84" spans="1:60" ht="15.75" x14ac:dyDescent="0.25">
      <c r="A84" s="22"/>
      <c r="B84" s="5" t="s">
        <v>156</v>
      </c>
      <c r="C84" s="5" t="s">
        <v>157</v>
      </c>
      <c r="D84" s="7">
        <v>6</v>
      </c>
      <c r="E84" s="7">
        <v>6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22"/>
    </row>
    <row r="85" spans="1:60" ht="15.75" x14ac:dyDescent="0.25">
      <c r="A85" s="22"/>
      <c r="B85" s="5" t="s">
        <v>158</v>
      </c>
      <c r="C85" s="5" t="s">
        <v>159</v>
      </c>
      <c r="D85" s="7">
        <v>6</v>
      </c>
      <c r="E85" s="7">
        <v>6</v>
      </c>
      <c r="F85" s="7">
        <v>2.347</v>
      </c>
      <c r="G85" s="7">
        <v>1.1200000000000001</v>
      </c>
      <c r="H85" s="7">
        <v>1.0740000000000001</v>
      </c>
      <c r="I85" s="7">
        <v>2379.5709999999999</v>
      </c>
      <c r="J85" s="7">
        <v>0.13500000000000001</v>
      </c>
      <c r="K85" s="7">
        <v>0.58099999999999996</v>
      </c>
      <c r="L85" s="7">
        <v>25.64</v>
      </c>
      <c r="M85" s="7">
        <v>1.5649999999999999</v>
      </c>
      <c r="N85" s="7">
        <v>0</v>
      </c>
      <c r="O85" s="7">
        <v>1.8380000000000001</v>
      </c>
      <c r="P85" s="7">
        <v>18.155000000000001</v>
      </c>
      <c r="Q85" s="7">
        <v>2.3410000000000002</v>
      </c>
      <c r="R85" s="7">
        <v>0</v>
      </c>
      <c r="S85" s="7">
        <v>0</v>
      </c>
      <c r="T85" s="7">
        <v>2.3E-2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0.01</v>
      </c>
      <c r="AB85" s="7">
        <v>4.1000000000000002E-2</v>
      </c>
      <c r="AC85" s="7">
        <v>0</v>
      </c>
      <c r="AD85" s="7">
        <v>0.115</v>
      </c>
      <c r="AE85" s="7">
        <v>0</v>
      </c>
      <c r="AF85" s="7">
        <v>0.105</v>
      </c>
      <c r="AG85" s="7">
        <v>0</v>
      </c>
      <c r="AH85" s="7">
        <v>1.2999999999999999E-2</v>
      </c>
      <c r="AI85" s="7">
        <v>0</v>
      </c>
      <c r="AJ85" s="7">
        <v>0.27500000000000002</v>
      </c>
      <c r="AK85" s="7">
        <v>0</v>
      </c>
      <c r="AL85" s="7">
        <v>0</v>
      </c>
      <c r="AM85" s="7">
        <v>0.999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22"/>
    </row>
    <row r="86" spans="1:60" ht="15.75" x14ac:dyDescent="0.25">
      <c r="A86" s="22"/>
      <c r="B86" s="5" t="s">
        <v>160</v>
      </c>
      <c r="C86" s="5" t="s">
        <v>161</v>
      </c>
      <c r="D86" s="7">
        <v>6</v>
      </c>
      <c r="E86" s="7">
        <v>6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22"/>
    </row>
    <row r="87" spans="1:60" ht="15.75" x14ac:dyDescent="0.25">
      <c r="A87" s="22"/>
      <c r="B87" s="5" t="s">
        <v>162</v>
      </c>
      <c r="C87" s="5" t="s">
        <v>163</v>
      </c>
      <c r="D87" s="7">
        <v>6</v>
      </c>
      <c r="E87" s="7">
        <v>6</v>
      </c>
      <c r="F87" s="7">
        <v>8139.25</v>
      </c>
      <c r="G87" s="7">
        <v>2032.3130000000001</v>
      </c>
      <c r="H87" s="7">
        <v>2500.9870000000001</v>
      </c>
      <c r="I87" s="7">
        <v>0</v>
      </c>
      <c r="J87" s="7">
        <v>432.30200000000002</v>
      </c>
      <c r="K87" s="7">
        <v>1777.0550000000001</v>
      </c>
      <c r="L87" s="7">
        <v>7185.1409999999996</v>
      </c>
      <c r="M87" s="7">
        <v>2062.8119999999999</v>
      </c>
      <c r="N87" s="7">
        <v>0</v>
      </c>
      <c r="O87" s="7">
        <v>5445.7539999999999</v>
      </c>
      <c r="P87" s="7">
        <v>16552.365000000002</v>
      </c>
      <c r="Q87" s="7">
        <v>4508.3490000000002</v>
      </c>
      <c r="R87" s="7">
        <v>0</v>
      </c>
      <c r="S87" s="7">
        <v>0</v>
      </c>
      <c r="T87" s="7">
        <v>71.435000000000002</v>
      </c>
      <c r="U87" s="7">
        <v>0</v>
      </c>
      <c r="V87" s="7">
        <v>111.261</v>
      </c>
      <c r="W87" s="7">
        <v>452.71199999999999</v>
      </c>
      <c r="X87" s="7">
        <v>0</v>
      </c>
      <c r="Y87" s="7">
        <v>0</v>
      </c>
      <c r="Z87" s="7">
        <v>0</v>
      </c>
      <c r="AA87" s="7">
        <v>193.14500000000001</v>
      </c>
      <c r="AB87" s="7">
        <v>464.52</v>
      </c>
      <c r="AC87" s="7">
        <v>0</v>
      </c>
      <c r="AD87" s="7">
        <v>1440.9380000000001</v>
      </c>
      <c r="AE87" s="7">
        <v>0</v>
      </c>
      <c r="AF87" s="7">
        <v>1433.9960000000001</v>
      </c>
      <c r="AG87" s="7">
        <v>0</v>
      </c>
      <c r="AH87" s="7">
        <v>189.73</v>
      </c>
      <c r="AI87" s="7">
        <v>0</v>
      </c>
      <c r="AJ87" s="7">
        <v>3179.2860000000001</v>
      </c>
      <c r="AK87" s="7">
        <v>0</v>
      </c>
      <c r="AL87" s="7">
        <v>0</v>
      </c>
      <c r="AM87" s="7">
        <v>15540.061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6.7720000000000002</v>
      </c>
      <c r="AW87" s="7">
        <v>0</v>
      </c>
      <c r="AX87" s="7">
        <v>0</v>
      </c>
      <c r="AY87" s="7">
        <v>0</v>
      </c>
      <c r="AZ87" s="7">
        <v>0</v>
      </c>
      <c r="BA87" s="7">
        <v>4.1609999999999996</v>
      </c>
      <c r="BB87" s="7">
        <v>0</v>
      </c>
      <c r="BC87" s="7">
        <v>123.32599999999999</v>
      </c>
      <c r="BD87" s="7">
        <v>0</v>
      </c>
      <c r="BE87" s="7">
        <v>0</v>
      </c>
      <c r="BF87" s="7">
        <v>0</v>
      </c>
      <c r="BG87" s="7">
        <v>0</v>
      </c>
      <c r="BH87" s="22"/>
    </row>
    <row r="88" spans="1:60" ht="15.75" x14ac:dyDescent="0.25">
      <c r="A88" s="22"/>
      <c r="B88" s="5" t="s">
        <v>164</v>
      </c>
      <c r="C88" s="5" t="s">
        <v>165</v>
      </c>
      <c r="D88" s="7">
        <v>6</v>
      </c>
      <c r="E88" s="7">
        <v>6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22"/>
    </row>
    <row r="89" spans="1:60" ht="15.75" x14ac:dyDescent="0.25">
      <c r="A89" s="22"/>
      <c r="B89" s="5" t="s">
        <v>166</v>
      </c>
      <c r="C89" s="5" t="s">
        <v>167</v>
      </c>
      <c r="D89" s="7">
        <v>3</v>
      </c>
      <c r="E89" s="7">
        <v>3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22"/>
    </row>
    <row r="90" spans="1:60" ht="15.75" x14ac:dyDescent="0.25">
      <c r="A90" s="22"/>
      <c r="B90" s="5" t="s">
        <v>168</v>
      </c>
      <c r="C90" s="5" t="s">
        <v>169</v>
      </c>
      <c r="D90" s="7">
        <v>3</v>
      </c>
      <c r="E90" s="7">
        <v>3</v>
      </c>
      <c r="F90" s="7">
        <v>35649.982000000004</v>
      </c>
      <c r="G90" s="7">
        <v>6593.8549999999996</v>
      </c>
      <c r="H90" s="7">
        <v>14085.906999999999</v>
      </c>
      <c r="I90" s="7">
        <v>0</v>
      </c>
      <c r="J90" s="7">
        <v>1200.1479999999999</v>
      </c>
      <c r="K90" s="7">
        <v>9467.768</v>
      </c>
      <c r="L90" s="7">
        <v>11938.121999999999</v>
      </c>
      <c r="M90" s="7">
        <v>10343.83</v>
      </c>
      <c r="N90" s="7">
        <v>0</v>
      </c>
      <c r="O90" s="7">
        <v>23372.493999999999</v>
      </c>
      <c r="P90" s="7">
        <v>27639.119999999999</v>
      </c>
      <c r="Q90" s="7">
        <v>24239.644</v>
      </c>
      <c r="R90" s="7">
        <v>0</v>
      </c>
      <c r="S90" s="7">
        <v>0</v>
      </c>
      <c r="T90" s="7">
        <v>2.2570000000000001</v>
      </c>
      <c r="U90" s="7">
        <v>0</v>
      </c>
      <c r="V90" s="7">
        <v>138.64599999999999</v>
      </c>
      <c r="W90" s="7">
        <v>2764.9360000000001</v>
      </c>
      <c r="X90" s="7">
        <v>0</v>
      </c>
      <c r="Y90" s="7">
        <v>0</v>
      </c>
      <c r="Z90" s="7">
        <v>0</v>
      </c>
      <c r="AA90" s="7">
        <v>1141.9349999999999</v>
      </c>
      <c r="AB90" s="7">
        <v>2715.846</v>
      </c>
      <c r="AC90" s="7">
        <v>0</v>
      </c>
      <c r="AD90" s="7">
        <v>7171.1360000000004</v>
      </c>
      <c r="AE90" s="7">
        <v>0</v>
      </c>
      <c r="AF90" s="7">
        <v>8420.9040000000005</v>
      </c>
      <c r="AG90" s="7">
        <v>0</v>
      </c>
      <c r="AH90" s="7">
        <v>1100.509</v>
      </c>
      <c r="AI90" s="7">
        <v>0</v>
      </c>
      <c r="AJ90" s="7">
        <v>13811.358</v>
      </c>
      <c r="AK90" s="7">
        <v>0</v>
      </c>
      <c r="AL90" s="7">
        <v>0</v>
      </c>
      <c r="AM90" s="7">
        <v>52075.745000000003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41.357999999999997</v>
      </c>
      <c r="AW90" s="7">
        <v>0</v>
      </c>
      <c r="AX90" s="7">
        <v>0</v>
      </c>
      <c r="AY90" s="7">
        <v>0</v>
      </c>
      <c r="AZ90" s="7">
        <v>0</v>
      </c>
      <c r="BA90" s="7">
        <v>25.416</v>
      </c>
      <c r="BB90" s="7">
        <v>0</v>
      </c>
      <c r="BC90" s="7">
        <v>753.21</v>
      </c>
      <c r="BD90" s="7">
        <v>0</v>
      </c>
      <c r="BE90" s="7">
        <v>0</v>
      </c>
      <c r="BF90" s="7">
        <v>0</v>
      </c>
      <c r="BG90" s="7">
        <v>0</v>
      </c>
      <c r="BH90" s="22"/>
    </row>
    <row r="91" spans="1:60" ht="15.75" x14ac:dyDescent="0.25">
      <c r="A91" s="22"/>
      <c r="B91" s="5" t="s">
        <v>170</v>
      </c>
      <c r="C91" s="5" t="s">
        <v>171</v>
      </c>
      <c r="D91" s="7">
        <v>3</v>
      </c>
      <c r="E91" s="7">
        <v>3</v>
      </c>
      <c r="F91" s="7">
        <v>53889.976000000002</v>
      </c>
      <c r="G91" s="7">
        <v>10284.200000000001</v>
      </c>
      <c r="H91" s="7">
        <v>20331.638999999999</v>
      </c>
      <c r="I91" s="7">
        <v>0</v>
      </c>
      <c r="J91" s="7">
        <v>1942.6289999999999</v>
      </c>
      <c r="K91" s="7">
        <v>12744.24</v>
      </c>
      <c r="L91" s="7">
        <v>19323.737000000001</v>
      </c>
      <c r="M91" s="7">
        <v>16743.123</v>
      </c>
      <c r="N91" s="7">
        <v>0</v>
      </c>
      <c r="O91" s="7">
        <v>37832.074000000001</v>
      </c>
      <c r="P91" s="7">
        <v>43144.894999999997</v>
      </c>
      <c r="Q91" s="7">
        <v>36206.014000000003</v>
      </c>
      <c r="R91" s="7">
        <v>0</v>
      </c>
      <c r="S91" s="7">
        <v>0</v>
      </c>
      <c r="T91" s="7">
        <v>3.6539999999999999</v>
      </c>
      <c r="U91" s="7">
        <v>0</v>
      </c>
      <c r="V91" s="7">
        <v>0</v>
      </c>
      <c r="W91" s="7">
        <v>4475.4849999999997</v>
      </c>
      <c r="X91" s="7">
        <v>0</v>
      </c>
      <c r="Y91" s="7">
        <v>0</v>
      </c>
      <c r="Z91" s="7">
        <v>0</v>
      </c>
      <c r="AA91" s="7">
        <v>1848.402</v>
      </c>
      <c r="AB91" s="7">
        <v>4396.027</v>
      </c>
      <c r="AC91" s="7">
        <v>0</v>
      </c>
      <c r="AD91" s="7">
        <v>11607.616</v>
      </c>
      <c r="AE91" s="7">
        <v>0</v>
      </c>
      <c r="AF91" s="7">
        <v>13630.564</v>
      </c>
      <c r="AG91" s="7">
        <v>0</v>
      </c>
      <c r="AH91" s="7">
        <v>1781.348</v>
      </c>
      <c r="AI91" s="7">
        <v>0</v>
      </c>
      <c r="AJ91" s="7">
        <v>15361.42</v>
      </c>
      <c r="AK91" s="7">
        <v>0</v>
      </c>
      <c r="AL91" s="7">
        <v>0</v>
      </c>
      <c r="AM91" s="7">
        <v>76812.131999999998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66.944999999999993</v>
      </c>
      <c r="AW91" s="7">
        <v>0</v>
      </c>
      <c r="AX91" s="7">
        <v>0</v>
      </c>
      <c r="AY91" s="7">
        <v>0</v>
      </c>
      <c r="AZ91" s="7">
        <v>0</v>
      </c>
      <c r="BA91" s="7">
        <v>41.139000000000003</v>
      </c>
      <c r="BB91" s="7">
        <v>0</v>
      </c>
      <c r="BC91" s="7">
        <v>1219.19</v>
      </c>
      <c r="BD91" s="7">
        <v>0</v>
      </c>
      <c r="BE91" s="7">
        <v>0</v>
      </c>
      <c r="BF91" s="7">
        <v>0</v>
      </c>
      <c r="BG91" s="7">
        <v>0</v>
      </c>
      <c r="BH91" s="22"/>
    </row>
    <row r="92" spans="1:60" ht="15.75" x14ac:dyDescent="0.25">
      <c r="A92" s="22"/>
      <c r="B92" s="5" t="s">
        <v>172</v>
      </c>
      <c r="C92" s="5" t="s">
        <v>173</v>
      </c>
      <c r="D92" s="7">
        <v>3</v>
      </c>
      <c r="E92" s="7">
        <v>3</v>
      </c>
      <c r="F92" s="7">
        <v>11222.873</v>
      </c>
      <c r="G92" s="7">
        <v>3460.5050000000001</v>
      </c>
      <c r="H92" s="7">
        <v>5442.9040000000005</v>
      </c>
      <c r="I92" s="7">
        <v>0</v>
      </c>
      <c r="J92" s="7">
        <v>357.03399999999999</v>
      </c>
      <c r="K92" s="7">
        <v>2034.9780000000001</v>
      </c>
      <c r="L92" s="7">
        <v>8718.7990000000009</v>
      </c>
      <c r="M92" s="7">
        <v>1754.566</v>
      </c>
      <c r="N92" s="7">
        <v>0</v>
      </c>
      <c r="O92" s="7">
        <v>3612.6860000000001</v>
      </c>
      <c r="P92" s="7">
        <v>29864.435000000001</v>
      </c>
      <c r="Q92" s="7">
        <v>4530.57</v>
      </c>
      <c r="R92" s="7">
        <v>0</v>
      </c>
      <c r="S92" s="7">
        <v>0</v>
      </c>
      <c r="T92" s="7">
        <v>1.853</v>
      </c>
      <c r="U92" s="7">
        <v>0</v>
      </c>
      <c r="V92" s="7">
        <v>0</v>
      </c>
      <c r="W92" s="7">
        <v>1080.527</v>
      </c>
      <c r="X92" s="7">
        <v>0</v>
      </c>
      <c r="Y92" s="7">
        <v>0</v>
      </c>
      <c r="Z92" s="7">
        <v>0</v>
      </c>
      <c r="AA92" s="7">
        <v>269.11900000000003</v>
      </c>
      <c r="AB92" s="7">
        <v>396.91699999999997</v>
      </c>
      <c r="AC92" s="7">
        <v>0</v>
      </c>
      <c r="AD92" s="7">
        <v>4828.3490000000002</v>
      </c>
      <c r="AE92" s="7">
        <v>0</v>
      </c>
      <c r="AF92" s="7">
        <v>2938.6559999999999</v>
      </c>
      <c r="AG92" s="7">
        <v>0</v>
      </c>
      <c r="AH92" s="7">
        <v>664.09500000000003</v>
      </c>
      <c r="AI92" s="7">
        <v>0</v>
      </c>
      <c r="AJ92" s="7">
        <v>9147.0840000000007</v>
      </c>
      <c r="AK92" s="7">
        <v>4520.8490000000002</v>
      </c>
      <c r="AL92" s="7">
        <v>0</v>
      </c>
      <c r="AM92" s="7">
        <v>52886.557000000001</v>
      </c>
      <c r="AN92" s="7">
        <v>8548.89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42.905000000000001</v>
      </c>
      <c r="AW92" s="7">
        <v>0</v>
      </c>
      <c r="AX92" s="7">
        <v>0</v>
      </c>
      <c r="AY92" s="7">
        <v>1316.376</v>
      </c>
      <c r="AZ92" s="7">
        <v>0</v>
      </c>
      <c r="BA92" s="7">
        <v>7.3419999999999996</v>
      </c>
      <c r="BB92" s="7">
        <v>0</v>
      </c>
      <c r="BC92" s="7">
        <v>336.13099999999997</v>
      </c>
      <c r="BD92" s="7">
        <v>0</v>
      </c>
      <c r="BE92" s="7">
        <v>0</v>
      </c>
      <c r="BF92" s="7">
        <v>15536.391</v>
      </c>
      <c r="BG92" s="7">
        <v>0</v>
      </c>
      <c r="BH92" s="22"/>
    </row>
    <row r="93" spans="1:60" ht="15.75" x14ac:dyDescent="0.25">
      <c r="A93" s="22"/>
      <c r="B93" s="5" t="s">
        <v>174</v>
      </c>
      <c r="C93" s="5" t="s">
        <v>175</v>
      </c>
      <c r="D93" s="7">
        <v>3</v>
      </c>
      <c r="E93" s="7">
        <v>3</v>
      </c>
      <c r="F93" s="7">
        <v>33100.089</v>
      </c>
      <c r="G93" s="7">
        <v>14391.675999999999</v>
      </c>
      <c r="H93" s="7">
        <v>23603.449000000001</v>
      </c>
      <c r="I93" s="7">
        <v>2729.386</v>
      </c>
      <c r="J93" s="7">
        <v>1979.1869999999999</v>
      </c>
      <c r="K93" s="7">
        <v>10934.236000000001</v>
      </c>
      <c r="L93" s="7">
        <v>6542.2950000000001</v>
      </c>
      <c r="M93" s="7">
        <v>6700.7709999999997</v>
      </c>
      <c r="N93" s="7">
        <v>0</v>
      </c>
      <c r="O93" s="7">
        <v>18677.716</v>
      </c>
      <c r="P93" s="7">
        <v>80576.634999999995</v>
      </c>
      <c r="Q93" s="7">
        <v>23634.512999999999</v>
      </c>
      <c r="R93" s="7">
        <v>0</v>
      </c>
      <c r="S93" s="7">
        <v>0</v>
      </c>
      <c r="T93" s="7">
        <v>0.76900000000000002</v>
      </c>
      <c r="U93" s="7">
        <v>0</v>
      </c>
      <c r="V93" s="7">
        <v>0</v>
      </c>
      <c r="W93" s="7">
        <v>4931.085</v>
      </c>
      <c r="X93" s="7">
        <v>0</v>
      </c>
      <c r="Y93" s="7">
        <v>0</v>
      </c>
      <c r="Z93" s="7">
        <v>0</v>
      </c>
      <c r="AA93" s="7">
        <v>1468.364</v>
      </c>
      <c r="AB93" s="7">
        <v>1360.1579999999999</v>
      </c>
      <c r="AC93" s="7">
        <v>0</v>
      </c>
      <c r="AD93" s="7">
        <v>9161.2939999999999</v>
      </c>
      <c r="AE93" s="7">
        <v>0</v>
      </c>
      <c r="AF93" s="7">
        <v>19946.109</v>
      </c>
      <c r="AG93" s="7">
        <v>0</v>
      </c>
      <c r="AH93" s="7">
        <v>3005.74</v>
      </c>
      <c r="AI93" s="7">
        <v>0</v>
      </c>
      <c r="AJ93" s="7">
        <v>6385.165</v>
      </c>
      <c r="AK93" s="7">
        <v>3579.5610000000001</v>
      </c>
      <c r="AL93" s="7">
        <v>0</v>
      </c>
      <c r="AM93" s="7">
        <v>196635.932</v>
      </c>
      <c r="AN93" s="7">
        <v>6748.1819999999998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276.50299999999999</v>
      </c>
      <c r="AW93" s="7">
        <v>0</v>
      </c>
      <c r="AX93" s="7">
        <v>0</v>
      </c>
      <c r="AY93" s="7">
        <v>1025.383</v>
      </c>
      <c r="AZ93" s="7">
        <v>0</v>
      </c>
      <c r="BA93" s="7">
        <v>22.047999999999998</v>
      </c>
      <c r="BB93" s="7">
        <v>0</v>
      </c>
      <c r="BC93" s="7">
        <v>30.891999999999999</v>
      </c>
      <c r="BD93" s="7">
        <v>0</v>
      </c>
      <c r="BE93" s="7">
        <v>0</v>
      </c>
      <c r="BF93" s="7">
        <v>94019.536999999997</v>
      </c>
      <c r="BG93" s="7">
        <v>0</v>
      </c>
      <c r="BH93" s="22"/>
    </row>
    <row r="94" spans="1:60" ht="15.75" x14ac:dyDescent="0.25">
      <c r="A94" s="22"/>
      <c r="B94" s="5" t="s">
        <v>176</v>
      </c>
      <c r="C94" s="5" t="s">
        <v>177</v>
      </c>
      <c r="D94" s="7">
        <v>3</v>
      </c>
      <c r="E94" s="7">
        <v>3</v>
      </c>
      <c r="F94" s="7">
        <v>66269.017999999996</v>
      </c>
      <c r="G94" s="7">
        <v>24604.085999999999</v>
      </c>
      <c r="H94" s="7">
        <v>4417.2939999999999</v>
      </c>
      <c r="I94" s="7">
        <v>11256.319</v>
      </c>
      <c r="J94" s="7">
        <v>3657.288</v>
      </c>
      <c r="K94" s="7">
        <v>17059.564999999999</v>
      </c>
      <c r="L94" s="7">
        <v>15933.540999999999</v>
      </c>
      <c r="M94" s="7">
        <v>16279.646000000001</v>
      </c>
      <c r="N94" s="7">
        <v>0</v>
      </c>
      <c r="O94" s="7">
        <v>52209.54</v>
      </c>
      <c r="P94" s="7">
        <v>137097.315</v>
      </c>
      <c r="Q94" s="7">
        <v>53475.677000000003</v>
      </c>
      <c r="R94" s="7">
        <v>0</v>
      </c>
      <c r="S94" s="7">
        <v>0</v>
      </c>
      <c r="T94" s="7">
        <v>2.028</v>
      </c>
      <c r="U94" s="7">
        <v>0</v>
      </c>
      <c r="V94" s="7">
        <v>0</v>
      </c>
      <c r="W94" s="7">
        <v>9558.32</v>
      </c>
      <c r="X94" s="7">
        <v>0</v>
      </c>
      <c r="Y94" s="7">
        <v>0</v>
      </c>
      <c r="Z94" s="7">
        <v>0</v>
      </c>
      <c r="AA94" s="7">
        <v>1640.326</v>
      </c>
      <c r="AB94" s="7">
        <v>4815.3950000000004</v>
      </c>
      <c r="AC94" s="7">
        <v>0</v>
      </c>
      <c r="AD94" s="7">
        <v>9834.1329999999998</v>
      </c>
      <c r="AE94" s="7">
        <v>0</v>
      </c>
      <c r="AF94" s="7">
        <v>33851.381000000001</v>
      </c>
      <c r="AG94" s="7">
        <v>0</v>
      </c>
      <c r="AH94" s="7">
        <v>4322.5469999999996</v>
      </c>
      <c r="AI94" s="7">
        <v>0</v>
      </c>
      <c r="AJ94" s="7">
        <v>14916.165999999999</v>
      </c>
      <c r="AK94" s="7">
        <v>7739.0079999999998</v>
      </c>
      <c r="AL94" s="7">
        <v>0</v>
      </c>
      <c r="AM94" s="7">
        <v>263965.11300000001</v>
      </c>
      <c r="AN94" s="7">
        <v>14562.717000000001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412.86599999999999</v>
      </c>
      <c r="AW94" s="7">
        <v>0</v>
      </c>
      <c r="AX94" s="7">
        <v>0</v>
      </c>
      <c r="AY94" s="7">
        <v>2194.9870000000001</v>
      </c>
      <c r="AZ94" s="7">
        <v>0</v>
      </c>
      <c r="BA94" s="7">
        <v>42</v>
      </c>
      <c r="BB94" s="7">
        <v>0</v>
      </c>
      <c r="BC94" s="7">
        <v>188.34100000000001</v>
      </c>
      <c r="BD94" s="7">
        <v>0</v>
      </c>
      <c r="BE94" s="7">
        <v>0</v>
      </c>
      <c r="BF94" s="7">
        <v>28969.648000000001</v>
      </c>
      <c r="BG94" s="7">
        <v>0</v>
      </c>
      <c r="BH94" s="22"/>
    </row>
    <row r="95" spans="1:60" ht="15.75" x14ac:dyDescent="0.25">
      <c r="A95" s="22"/>
      <c r="B95" s="5" t="s">
        <v>178</v>
      </c>
      <c r="C95" s="5" t="s">
        <v>179</v>
      </c>
      <c r="D95" s="7">
        <v>6</v>
      </c>
      <c r="E95" s="7">
        <v>6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22"/>
    </row>
    <row r="96" spans="1:60" ht="15.75" x14ac:dyDescent="0.25">
      <c r="A96" s="22"/>
      <c r="B96" s="5" t="s">
        <v>180</v>
      </c>
      <c r="C96" s="5" t="s">
        <v>181</v>
      </c>
      <c r="D96" s="7">
        <v>6</v>
      </c>
      <c r="E96" s="7">
        <v>6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22"/>
    </row>
    <row r="97" spans="1:60" ht="15.75" x14ac:dyDescent="0.25">
      <c r="A97" s="22"/>
      <c r="B97" s="5" t="s">
        <v>182</v>
      </c>
      <c r="C97" s="5" t="s">
        <v>183</v>
      </c>
      <c r="D97" s="7">
        <v>6</v>
      </c>
      <c r="E97" s="7">
        <v>6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22"/>
    </row>
    <row r="98" spans="1:60" ht="15.75" x14ac:dyDescent="0.25">
      <c r="A98" s="22"/>
      <c r="B98" s="5" t="s">
        <v>184</v>
      </c>
      <c r="C98" s="5" t="s">
        <v>185</v>
      </c>
      <c r="D98" s="7">
        <v>6</v>
      </c>
      <c r="E98" s="7">
        <v>6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22"/>
    </row>
    <row r="99" spans="1:60" ht="15.75" x14ac:dyDescent="0.25">
      <c r="A99" s="22"/>
      <c r="B99" s="5" t="s">
        <v>186</v>
      </c>
      <c r="C99" s="5" t="s">
        <v>187</v>
      </c>
      <c r="D99" s="7">
        <v>6</v>
      </c>
      <c r="E99" s="7">
        <v>6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22"/>
    </row>
    <row r="100" spans="1:60" ht="15.75" x14ac:dyDescent="0.25">
      <c r="A100" s="22"/>
      <c r="B100" s="5" t="s">
        <v>188</v>
      </c>
      <c r="C100" s="5" t="s">
        <v>189</v>
      </c>
      <c r="D100" s="7">
        <v>6</v>
      </c>
      <c r="E100" s="7">
        <v>6</v>
      </c>
      <c r="F100" s="7">
        <v>3918.6179999999999</v>
      </c>
      <c r="G100" s="7">
        <v>548.20899999999995</v>
      </c>
      <c r="H100" s="7">
        <v>793.66499999999996</v>
      </c>
      <c r="I100" s="7">
        <v>0</v>
      </c>
      <c r="J100" s="7">
        <v>138.94399999999999</v>
      </c>
      <c r="K100" s="7">
        <v>465.87900000000002</v>
      </c>
      <c r="L100" s="7">
        <v>3907.0250000000001</v>
      </c>
      <c r="M100" s="7">
        <v>358.53100000000001</v>
      </c>
      <c r="N100" s="7">
        <v>0</v>
      </c>
      <c r="O100" s="7">
        <v>1813.2260000000001</v>
      </c>
      <c r="P100" s="7">
        <v>4295.4470000000001</v>
      </c>
      <c r="Q100" s="7">
        <v>1798.069</v>
      </c>
      <c r="R100" s="7">
        <v>0</v>
      </c>
      <c r="S100" s="7">
        <v>0</v>
      </c>
      <c r="T100" s="7">
        <v>26.623999999999999</v>
      </c>
      <c r="U100" s="7">
        <v>0</v>
      </c>
      <c r="V100" s="7">
        <v>0.80800000000000005</v>
      </c>
      <c r="W100" s="7">
        <v>0</v>
      </c>
      <c r="X100" s="7">
        <v>0</v>
      </c>
      <c r="Y100" s="7">
        <v>0</v>
      </c>
      <c r="Z100" s="7">
        <v>0</v>
      </c>
      <c r="AA100" s="7">
        <v>62.087000000000003</v>
      </c>
      <c r="AB100" s="7">
        <v>199.64099999999999</v>
      </c>
      <c r="AC100" s="7">
        <v>0</v>
      </c>
      <c r="AD100" s="7">
        <v>1598.9269999999999</v>
      </c>
      <c r="AE100" s="7">
        <v>0</v>
      </c>
      <c r="AF100" s="7">
        <v>555.45000000000005</v>
      </c>
      <c r="AG100" s="7">
        <v>0</v>
      </c>
      <c r="AH100" s="7">
        <v>95.975999999999999</v>
      </c>
      <c r="AI100" s="7">
        <v>0</v>
      </c>
      <c r="AJ100" s="7">
        <v>5016.6270000000004</v>
      </c>
      <c r="AK100" s="7">
        <v>0</v>
      </c>
      <c r="AL100" s="7">
        <v>0</v>
      </c>
      <c r="AM100" s="7">
        <v>8158.0559999999996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22"/>
    </row>
    <row r="101" spans="1:60" ht="15.75" x14ac:dyDescent="0.25">
      <c r="A101" s="22"/>
      <c r="B101" s="5" t="s">
        <v>190</v>
      </c>
      <c r="C101" s="5" t="s">
        <v>191</v>
      </c>
      <c r="D101" s="7">
        <v>6</v>
      </c>
      <c r="E101" s="7">
        <v>6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22"/>
    </row>
    <row r="102" spans="1:60" ht="15.75" x14ac:dyDescent="0.25">
      <c r="A102" s="22"/>
      <c r="B102" s="5" t="s">
        <v>192</v>
      </c>
      <c r="C102" s="5" t="s">
        <v>193</v>
      </c>
      <c r="D102" s="7">
        <v>6</v>
      </c>
      <c r="E102" s="7">
        <v>6</v>
      </c>
      <c r="F102" s="7">
        <v>0</v>
      </c>
      <c r="G102" s="7">
        <v>0</v>
      </c>
      <c r="H102" s="7">
        <v>0</v>
      </c>
      <c r="I102" s="7">
        <v>1870.075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22"/>
    </row>
    <row r="103" spans="1:60" ht="15.75" x14ac:dyDescent="0.25">
      <c r="A103" s="22"/>
      <c r="B103" s="5" t="s">
        <v>194</v>
      </c>
      <c r="C103" s="5" t="s">
        <v>195</v>
      </c>
      <c r="D103" s="7">
        <v>4</v>
      </c>
      <c r="E103" s="7">
        <v>4</v>
      </c>
      <c r="F103" s="7">
        <v>181453.56200000001</v>
      </c>
      <c r="G103" s="7">
        <v>58945.364999999998</v>
      </c>
      <c r="H103" s="7">
        <v>0</v>
      </c>
      <c r="I103" s="7">
        <v>0</v>
      </c>
      <c r="J103" s="7">
        <v>2859.0459999999998</v>
      </c>
      <c r="K103" s="7">
        <v>0</v>
      </c>
      <c r="L103" s="7">
        <v>264147.55</v>
      </c>
      <c r="M103" s="7">
        <v>14758.531000000001</v>
      </c>
      <c r="N103" s="7">
        <v>0</v>
      </c>
      <c r="O103" s="7">
        <v>28324.809000000001</v>
      </c>
      <c r="P103" s="7">
        <v>684314.02399999998</v>
      </c>
      <c r="Q103" s="7">
        <v>33832.796000000002</v>
      </c>
      <c r="R103" s="7">
        <v>0</v>
      </c>
      <c r="S103" s="7">
        <v>59.152000000000001</v>
      </c>
      <c r="T103" s="7">
        <v>29.782</v>
      </c>
      <c r="U103" s="7">
        <v>109.375</v>
      </c>
      <c r="V103" s="7">
        <v>0</v>
      </c>
      <c r="W103" s="7">
        <v>17346.379000000001</v>
      </c>
      <c r="X103" s="7">
        <v>0</v>
      </c>
      <c r="Y103" s="7">
        <v>1863.1690000000001</v>
      </c>
      <c r="Z103" s="7">
        <v>0</v>
      </c>
      <c r="AA103" s="7">
        <v>0</v>
      </c>
      <c r="AB103" s="7">
        <v>3844.8829999999998</v>
      </c>
      <c r="AC103" s="7">
        <v>11836.27</v>
      </c>
      <c r="AD103" s="7">
        <v>104857.85</v>
      </c>
      <c r="AE103" s="7">
        <v>0</v>
      </c>
      <c r="AF103" s="7">
        <v>0</v>
      </c>
      <c r="AG103" s="7">
        <v>3748.9920000000002</v>
      </c>
      <c r="AH103" s="7">
        <v>9281.3469999999998</v>
      </c>
      <c r="AI103" s="7">
        <v>0</v>
      </c>
      <c r="AJ103" s="7">
        <v>251604.372</v>
      </c>
      <c r="AK103" s="7">
        <v>138882.89300000001</v>
      </c>
      <c r="AL103" s="7">
        <v>0</v>
      </c>
      <c r="AM103" s="7">
        <v>856888.44400000002</v>
      </c>
      <c r="AN103" s="7">
        <v>262626.47499999998</v>
      </c>
      <c r="AO103" s="7">
        <v>0</v>
      </c>
      <c r="AP103" s="7">
        <v>0</v>
      </c>
      <c r="AQ103" s="7">
        <v>3748.895</v>
      </c>
      <c r="AR103" s="7">
        <v>1618.921</v>
      </c>
      <c r="AS103" s="7">
        <v>0</v>
      </c>
      <c r="AT103" s="7">
        <v>0</v>
      </c>
      <c r="AU103" s="7">
        <v>0</v>
      </c>
      <c r="AV103" s="7">
        <v>283.89400000000001</v>
      </c>
      <c r="AW103" s="7">
        <v>259.23</v>
      </c>
      <c r="AX103" s="7">
        <v>0</v>
      </c>
      <c r="AY103" s="7">
        <v>40439.775000000001</v>
      </c>
      <c r="AZ103" s="7">
        <v>0</v>
      </c>
      <c r="BA103" s="7">
        <v>155.69300000000001</v>
      </c>
      <c r="BB103" s="7">
        <v>0</v>
      </c>
      <c r="BC103" s="7">
        <v>1189.779</v>
      </c>
      <c r="BD103" s="7">
        <v>0</v>
      </c>
      <c r="BE103" s="7">
        <v>0</v>
      </c>
      <c r="BF103" s="7">
        <v>0</v>
      </c>
      <c r="BG103" s="7">
        <v>837.03899999999999</v>
      </c>
      <c r="BH103" s="22"/>
    </row>
    <row r="104" spans="1:60" ht="15.75" x14ac:dyDescent="0.25">
      <c r="A104" s="22"/>
      <c r="B104" s="5" t="s">
        <v>196</v>
      </c>
      <c r="C104" s="5" t="s">
        <v>197</v>
      </c>
      <c r="D104" s="7">
        <v>4</v>
      </c>
      <c r="E104" s="7">
        <v>4</v>
      </c>
      <c r="F104" s="7">
        <v>99360.286999999997</v>
      </c>
      <c r="G104" s="7">
        <v>31170.708999999999</v>
      </c>
      <c r="H104" s="7">
        <v>0</v>
      </c>
      <c r="I104" s="7">
        <v>425.90499999999997</v>
      </c>
      <c r="J104" s="7">
        <v>1578.826</v>
      </c>
      <c r="K104" s="7">
        <v>0</v>
      </c>
      <c r="L104" s="7">
        <v>142084.53</v>
      </c>
      <c r="M104" s="7">
        <v>8149.9740000000002</v>
      </c>
      <c r="N104" s="7">
        <v>0</v>
      </c>
      <c r="O104" s="7">
        <v>15641.558999999999</v>
      </c>
      <c r="P104" s="7">
        <v>393801.45500000002</v>
      </c>
      <c r="Q104" s="7">
        <v>18683.186000000002</v>
      </c>
      <c r="R104" s="7">
        <v>0</v>
      </c>
      <c r="S104" s="7">
        <v>13.061999999999999</v>
      </c>
      <c r="T104" s="7">
        <v>16.446000000000002</v>
      </c>
      <c r="U104" s="7">
        <v>24.152000000000001</v>
      </c>
      <c r="V104" s="7">
        <v>0</v>
      </c>
      <c r="W104" s="7">
        <v>9579.0380000000005</v>
      </c>
      <c r="X104" s="7">
        <v>0</v>
      </c>
      <c r="Y104" s="7">
        <v>411.42599999999999</v>
      </c>
      <c r="Z104" s="7">
        <v>0</v>
      </c>
      <c r="AA104" s="7">
        <v>0</v>
      </c>
      <c r="AB104" s="7">
        <v>2123.2260000000001</v>
      </c>
      <c r="AC104" s="7">
        <v>2613.6950000000002</v>
      </c>
      <c r="AD104" s="7">
        <v>57904.724999999999</v>
      </c>
      <c r="AE104" s="7">
        <v>0</v>
      </c>
      <c r="AF104" s="7">
        <v>0</v>
      </c>
      <c r="AG104" s="7">
        <v>827.85500000000002</v>
      </c>
      <c r="AH104" s="7">
        <v>5125.357</v>
      </c>
      <c r="AI104" s="7">
        <v>0</v>
      </c>
      <c r="AJ104" s="7">
        <v>138941.261</v>
      </c>
      <c r="AK104" s="7">
        <v>76694.073999999993</v>
      </c>
      <c r="AL104" s="7">
        <v>0</v>
      </c>
      <c r="AM104" s="7">
        <v>473103.75099999999</v>
      </c>
      <c r="AN104" s="7">
        <v>145027.9</v>
      </c>
      <c r="AO104" s="7">
        <v>0</v>
      </c>
      <c r="AP104" s="7">
        <v>0</v>
      </c>
      <c r="AQ104" s="7">
        <v>827.83399999999995</v>
      </c>
      <c r="AR104" s="7">
        <v>357.49200000000002</v>
      </c>
      <c r="AS104" s="7">
        <v>0</v>
      </c>
      <c r="AT104" s="7">
        <v>0</v>
      </c>
      <c r="AU104" s="7">
        <v>0</v>
      </c>
      <c r="AV104" s="7">
        <v>156.77199999999999</v>
      </c>
      <c r="AW104" s="7">
        <v>57.243000000000002</v>
      </c>
      <c r="AX104" s="7">
        <v>0</v>
      </c>
      <c r="AY104" s="7">
        <v>22331.7</v>
      </c>
      <c r="AZ104" s="7">
        <v>0</v>
      </c>
      <c r="BA104" s="7">
        <v>85.977000000000004</v>
      </c>
      <c r="BB104" s="7">
        <v>0</v>
      </c>
      <c r="BC104" s="7">
        <v>657.02</v>
      </c>
      <c r="BD104" s="7">
        <v>0</v>
      </c>
      <c r="BE104" s="7">
        <v>0</v>
      </c>
      <c r="BF104" s="7">
        <v>0</v>
      </c>
      <c r="BG104" s="7">
        <v>184.83600000000001</v>
      </c>
      <c r="BH104" s="22"/>
    </row>
    <row r="105" spans="1:60" ht="15.75" x14ac:dyDescent="0.25">
      <c r="A105" s="22"/>
      <c r="B105" s="5" t="s">
        <v>198</v>
      </c>
      <c r="C105" s="5" t="s">
        <v>199</v>
      </c>
      <c r="D105" s="7">
        <v>4</v>
      </c>
      <c r="E105" s="7">
        <v>4</v>
      </c>
      <c r="F105" s="7">
        <v>47043.375999999997</v>
      </c>
      <c r="G105" s="7">
        <v>15408.448</v>
      </c>
      <c r="H105" s="7">
        <v>101.682</v>
      </c>
      <c r="I105" s="7">
        <v>5.5339999999999998</v>
      </c>
      <c r="J105" s="7">
        <v>842.53399999999999</v>
      </c>
      <c r="K105" s="7">
        <v>63.735999999999997</v>
      </c>
      <c r="L105" s="7">
        <v>83624.957999999999</v>
      </c>
      <c r="M105" s="7">
        <v>4319.9530000000004</v>
      </c>
      <c r="N105" s="7">
        <v>0</v>
      </c>
      <c r="O105" s="7">
        <v>10898.130999999999</v>
      </c>
      <c r="P105" s="7">
        <v>184684.698</v>
      </c>
      <c r="Q105" s="7">
        <v>13379.967000000001</v>
      </c>
      <c r="R105" s="7">
        <v>0</v>
      </c>
      <c r="S105" s="7">
        <v>48.533000000000001</v>
      </c>
      <c r="T105" s="7">
        <v>7.4690000000000003</v>
      </c>
      <c r="U105" s="7">
        <v>89.739000000000004</v>
      </c>
      <c r="V105" s="7">
        <v>0</v>
      </c>
      <c r="W105" s="7">
        <v>4361.7039999999997</v>
      </c>
      <c r="X105" s="7">
        <v>0</v>
      </c>
      <c r="Y105" s="7">
        <v>1528.6849999999999</v>
      </c>
      <c r="Z105" s="7">
        <v>0</v>
      </c>
      <c r="AA105" s="7">
        <v>9.2439999999999998</v>
      </c>
      <c r="AB105" s="7">
        <v>983.81</v>
      </c>
      <c r="AC105" s="7">
        <v>9711.3739999999998</v>
      </c>
      <c r="AD105" s="7">
        <v>26288.993999999999</v>
      </c>
      <c r="AE105" s="7">
        <v>0</v>
      </c>
      <c r="AF105" s="7">
        <v>68.168999999999997</v>
      </c>
      <c r="AG105" s="7">
        <v>3075.9569999999999</v>
      </c>
      <c r="AH105" s="7">
        <v>2330.7040000000002</v>
      </c>
      <c r="AI105" s="7">
        <v>0</v>
      </c>
      <c r="AJ105" s="7">
        <v>63017.46</v>
      </c>
      <c r="AK105" s="7">
        <v>34746.970999999998</v>
      </c>
      <c r="AL105" s="7">
        <v>0</v>
      </c>
      <c r="AM105" s="7">
        <v>214700.97899999999</v>
      </c>
      <c r="AN105" s="7">
        <v>65713.235000000001</v>
      </c>
      <c r="AO105" s="7">
        <v>0</v>
      </c>
      <c r="AP105" s="7">
        <v>0</v>
      </c>
      <c r="AQ105" s="7">
        <v>3075.8780000000002</v>
      </c>
      <c r="AR105" s="7">
        <v>1328.2860000000001</v>
      </c>
      <c r="AS105" s="7">
        <v>0</v>
      </c>
      <c r="AT105" s="7">
        <v>0</v>
      </c>
      <c r="AU105" s="7">
        <v>0</v>
      </c>
      <c r="AV105" s="7">
        <v>71.352999999999994</v>
      </c>
      <c r="AW105" s="7">
        <v>212.69200000000001</v>
      </c>
      <c r="AX105" s="7">
        <v>0</v>
      </c>
      <c r="AY105" s="7">
        <v>10116.299000000001</v>
      </c>
      <c r="AZ105" s="7">
        <v>0</v>
      </c>
      <c r="BA105" s="7">
        <v>39.152999999999999</v>
      </c>
      <c r="BB105" s="7">
        <v>0</v>
      </c>
      <c r="BC105" s="7">
        <v>303.72899999999998</v>
      </c>
      <c r="BD105" s="7">
        <v>0</v>
      </c>
      <c r="BE105" s="7">
        <v>0</v>
      </c>
      <c r="BF105" s="7">
        <v>0</v>
      </c>
      <c r="BG105" s="7">
        <v>686.77</v>
      </c>
      <c r="BH105" s="22"/>
    </row>
    <row r="106" spans="1:60" ht="15.75" x14ac:dyDescent="0.25">
      <c r="A106" s="22"/>
      <c r="B106" s="5" t="s">
        <v>200</v>
      </c>
      <c r="C106" s="5" t="s">
        <v>201</v>
      </c>
      <c r="D106" s="7">
        <v>4</v>
      </c>
      <c r="E106" s="7">
        <v>4</v>
      </c>
      <c r="F106" s="7">
        <v>2233.23</v>
      </c>
      <c r="G106" s="7">
        <v>699.98599999999999</v>
      </c>
      <c r="H106" s="7">
        <v>1.871</v>
      </c>
      <c r="I106" s="7">
        <v>0</v>
      </c>
      <c r="J106" s="7">
        <v>35.585999999999999</v>
      </c>
      <c r="K106" s="7">
        <v>1.173</v>
      </c>
      <c r="L106" s="7">
        <v>3188.19</v>
      </c>
      <c r="M106" s="7">
        <v>184.31299999999999</v>
      </c>
      <c r="N106" s="7">
        <v>0</v>
      </c>
      <c r="O106" s="7">
        <v>354.262</v>
      </c>
      <c r="P106" s="7">
        <v>8397.3690000000006</v>
      </c>
      <c r="Q106" s="7">
        <v>422.32400000000001</v>
      </c>
      <c r="R106" s="7">
        <v>0</v>
      </c>
      <c r="S106" s="7">
        <v>4.048</v>
      </c>
      <c r="T106" s="7">
        <v>0.36899999999999999</v>
      </c>
      <c r="U106" s="7">
        <v>7.484</v>
      </c>
      <c r="V106" s="7">
        <v>0</v>
      </c>
      <c r="W106" s="7">
        <v>215.233</v>
      </c>
      <c r="X106" s="7">
        <v>0</v>
      </c>
      <c r="Y106" s="7">
        <v>127.49299999999999</v>
      </c>
      <c r="Z106" s="7">
        <v>0</v>
      </c>
      <c r="AA106" s="7">
        <v>0.17</v>
      </c>
      <c r="AB106" s="7">
        <v>48.02</v>
      </c>
      <c r="AC106" s="7">
        <v>809.93299999999999</v>
      </c>
      <c r="AD106" s="7">
        <v>1299.6489999999999</v>
      </c>
      <c r="AE106" s="7">
        <v>0</v>
      </c>
      <c r="AF106" s="7">
        <v>1.254</v>
      </c>
      <c r="AG106" s="7">
        <v>256.536</v>
      </c>
      <c r="AH106" s="7">
        <v>115.10599999999999</v>
      </c>
      <c r="AI106" s="7">
        <v>0</v>
      </c>
      <c r="AJ106" s="7">
        <v>3117.3330000000001</v>
      </c>
      <c r="AK106" s="7">
        <v>1719.954</v>
      </c>
      <c r="AL106" s="7">
        <v>0</v>
      </c>
      <c r="AM106" s="7">
        <v>10616.972</v>
      </c>
      <c r="AN106" s="7">
        <v>3252.42</v>
      </c>
      <c r="AO106" s="7">
        <v>0</v>
      </c>
      <c r="AP106" s="7">
        <v>0</v>
      </c>
      <c r="AQ106" s="7">
        <v>256.52999999999997</v>
      </c>
      <c r="AR106" s="7">
        <v>110.78</v>
      </c>
      <c r="AS106" s="7">
        <v>0</v>
      </c>
      <c r="AT106" s="7">
        <v>0</v>
      </c>
      <c r="AU106" s="7">
        <v>0</v>
      </c>
      <c r="AV106" s="7">
        <v>3.5219999999999998</v>
      </c>
      <c r="AW106" s="7">
        <v>17.739000000000001</v>
      </c>
      <c r="AX106" s="7">
        <v>0</v>
      </c>
      <c r="AY106" s="7">
        <v>500.81400000000002</v>
      </c>
      <c r="AZ106" s="7">
        <v>0</v>
      </c>
      <c r="BA106" s="7">
        <v>1.9319999999999999</v>
      </c>
      <c r="BB106" s="7">
        <v>0</v>
      </c>
      <c r="BC106" s="7">
        <v>14.847</v>
      </c>
      <c r="BD106" s="7">
        <v>0</v>
      </c>
      <c r="BE106" s="7">
        <v>0</v>
      </c>
      <c r="BF106" s="7">
        <v>0</v>
      </c>
      <c r="BG106" s="7">
        <v>57.277000000000001</v>
      </c>
      <c r="BH106" s="22"/>
    </row>
    <row r="107" spans="1:60" ht="15.75" x14ac:dyDescent="0.25">
      <c r="A107" s="22"/>
      <c r="B107" s="5" t="s">
        <v>202</v>
      </c>
      <c r="C107" s="5" t="s">
        <v>203</v>
      </c>
      <c r="D107" s="7">
        <v>4</v>
      </c>
      <c r="E107" s="7">
        <v>4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22"/>
    </row>
    <row r="108" spans="1:60" ht="15.75" x14ac:dyDescent="0.25">
      <c r="A108" s="22"/>
      <c r="B108" s="5" t="s">
        <v>204</v>
      </c>
      <c r="C108" s="5" t="s">
        <v>205</v>
      </c>
      <c r="D108" s="7">
        <v>4</v>
      </c>
      <c r="E108" s="7">
        <v>4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22"/>
    </row>
    <row r="109" spans="1:60" ht="15.75" x14ac:dyDescent="0.25">
      <c r="A109" s="22"/>
      <c r="B109" s="5" t="s">
        <v>206</v>
      </c>
      <c r="C109" s="5" t="s">
        <v>207</v>
      </c>
      <c r="D109" s="7">
        <v>6</v>
      </c>
      <c r="E109" s="7">
        <v>6</v>
      </c>
      <c r="F109" s="7">
        <v>54752.572</v>
      </c>
      <c r="G109" s="7">
        <v>630.197</v>
      </c>
      <c r="H109" s="7">
        <v>0</v>
      </c>
      <c r="I109" s="7">
        <v>2965.7139999999999</v>
      </c>
      <c r="J109" s="7">
        <v>0.34300000000000003</v>
      </c>
      <c r="K109" s="7">
        <v>0</v>
      </c>
      <c r="L109" s="7">
        <v>68336.241999999998</v>
      </c>
      <c r="M109" s="7">
        <v>584.05200000000002</v>
      </c>
      <c r="N109" s="7">
        <v>0</v>
      </c>
      <c r="O109" s="7">
        <v>20979.591</v>
      </c>
      <c r="P109" s="7">
        <v>114240.969</v>
      </c>
      <c r="Q109" s="7">
        <v>18235.365000000002</v>
      </c>
      <c r="R109" s="7">
        <v>0</v>
      </c>
      <c r="S109" s="7">
        <v>0</v>
      </c>
      <c r="T109" s="7">
        <v>4.0000000000000001E-3</v>
      </c>
      <c r="U109" s="7">
        <v>0</v>
      </c>
      <c r="V109" s="7">
        <v>2E-3</v>
      </c>
      <c r="W109" s="7">
        <v>2.0659999999999998</v>
      </c>
      <c r="X109" s="7">
        <v>0</v>
      </c>
      <c r="Y109" s="7">
        <v>0</v>
      </c>
      <c r="Z109" s="7">
        <v>0</v>
      </c>
      <c r="AA109" s="7">
        <v>0</v>
      </c>
      <c r="AB109" s="7">
        <v>0.45800000000000002</v>
      </c>
      <c r="AC109" s="7">
        <v>0</v>
      </c>
      <c r="AD109" s="7">
        <v>25660.687000000002</v>
      </c>
      <c r="AE109" s="7">
        <v>0</v>
      </c>
      <c r="AF109" s="7">
        <v>0</v>
      </c>
      <c r="AG109" s="7">
        <v>0</v>
      </c>
      <c r="AH109" s="7">
        <v>1.105</v>
      </c>
      <c r="AI109" s="7">
        <v>0</v>
      </c>
      <c r="AJ109" s="7">
        <v>88395.077000000005</v>
      </c>
      <c r="AK109" s="7">
        <v>2469.404</v>
      </c>
      <c r="AL109" s="7">
        <v>0</v>
      </c>
      <c r="AM109" s="7">
        <v>210195.92499999999</v>
      </c>
      <c r="AN109" s="7">
        <v>3349.0230000000001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3.4000000000000002E-2</v>
      </c>
      <c r="AW109" s="7">
        <v>0</v>
      </c>
      <c r="AX109" s="7">
        <v>0</v>
      </c>
      <c r="AY109" s="7">
        <v>4.8159999999999998</v>
      </c>
      <c r="AZ109" s="7">
        <v>0</v>
      </c>
      <c r="BA109" s="7">
        <v>2.4E-2</v>
      </c>
      <c r="BB109" s="7">
        <v>0</v>
      </c>
      <c r="BC109" s="7">
        <v>0.14199999999999999</v>
      </c>
      <c r="BD109" s="7">
        <v>0</v>
      </c>
      <c r="BE109" s="7">
        <v>0</v>
      </c>
      <c r="BF109" s="7">
        <v>0</v>
      </c>
      <c r="BG109" s="7">
        <v>0</v>
      </c>
      <c r="BH109" s="22"/>
    </row>
    <row r="110" spans="1:60" ht="15.75" x14ac:dyDescent="0.25">
      <c r="A110" s="22"/>
      <c r="B110" s="5" t="s">
        <v>208</v>
      </c>
      <c r="C110" s="5" t="s">
        <v>209</v>
      </c>
      <c r="D110" s="7">
        <v>4</v>
      </c>
      <c r="E110" s="7">
        <v>4</v>
      </c>
      <c r="F110" s="7">
        <v>61849.83</v>
      </c>
      <c r="G110" s="7">
        <v>19386.522000000001</v>
      </c>
      <c r="H110" s="7">
        <v>0</v>
      </c>
      <c r="I110" s="7">
        <v>0</v>
      </c>
      <c r="J110" s="7">
        <v>979.39099999999996</v>
      </c>
      <c r="K110" s="7">
        <v>0</v>
      </c>
      <c r="L110" s="7">
        <v>88151.595000000001</v>
      </c>
      <c r="M110" s="7">
        <v>5061.232</v>
      </c>
      <c r="N110" s="7">
        <v>0</v>
      </c>
      <c r="O110" s="7">
        <v>9703.6869999999999</v>
      </c>
      <c r="P110" s="7">
        <v>233279.10699999999</v>
      </c>
      <c r="Q110" s="7">
        <v>11610.285</v>
      </c>
      <c r="R110" s="7">
        <v>0</v>
      </c>
      <c r="S110" s="7">
        <v>0</v>
      </c>
      <c r="T110" s="7">
        <v>10.186</v>
      </c>
      <c r="U110" s="7">
        <v>0</v>
      </c>
      <c r="V110" s="7">
        <v>0</v>
      </c>
      <c r="W110" s="7">
        <v>5942.0749999999998</v>
      </c>
      <c r="X110" s="7">
        <v>0</v>
      </c>
      <c r="Y110" s="7">
        <v>0</v>
      </c>
      <c r="Z110" s="7">
        <v>0</v>
      </c>
      <c r="AA110" s="7">
        <v>0</v>
      </c>
      <c r="AB110" s="7">
        <v>1317.3219999999999</v>
      </c>
      <c r="AC110" s="7">
        <v>0</v>
      </c>
      <c r="AD110" s="7">
        <v>35976.385000000002</v>
      </c>
      <c r="AE110" s="7">
        <v>0</v>
      </c>
      <c r="AF110" s="7">
        <v>0</v>
      </c>
      <c r="AG110" s="7">
        <v>33.793999999999997</v>
      </c>
      <c r="AH110" s="7">
        <v>3179.5749999999998</v>
      </c>
      <c r="AI110" s="7">
        <v>0</v>
      </c>
      <c r="AJ110" s="7">
        <v>86451.326000000001</v>
      </c>
      <c r="AK110" s="7">
        <v>47658.713000000003</v>
      </c>
      <c r="AL110" s="7">
        <v>0</v>
      </c>
      <c r="AM110" s="7">
        <v>295389.364</v>
      </c>
      <c r="AN110" s="7">
        <v>90046.376999999993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97.516999999999996</v>
      </c>
      <c r="AW110" s="7">
        <v>0</v>
      </c>
      <c r="AX110" s="7">
        <v>0</v>
      </c>
      <c r="AY110" s="7">
        <v>13886.584000000001</v>
      </c>
      <c r="AZ110" s="7">
        <v>0</v>
      </c>
      <c r="BA110" s="7">
        <v>53.344000000000001</v>
      </c>
      <c r="BB110" s="7">
        <v>0</v>
      </c>
      <c r="BC110" s="7">
        <v>506.709</v>
      </c>
      <c r="BD110" s="7">
        <v>0</v>
      </c>
      <c r="BE110" s="7">
        <v>0</v>
      </c>
      <c r="BF110" s="7">
        <v>20.596</v>
      </c>
      <c r="BG110" s="7">
        <v>0</v>
      </c>
      <c r="BH110" s="22"/>
    </row>
    <row r="111" spans="1:60" ht="15.75" x14ac:dyDescent="0.25">
      <c r="A111" s="22"/>
      <c r="B111" s="5" t="s">
        <v>210</v>
      </c>
      <c r="C111" s="5" t="s">
        <v>211</v>
      </c>
      <c r="D111" s="7">
        <v>4</v>
      </c>
      <c r="E111" s="7">
        <v>4</v>
      </c>
      <c r="F111" s="7">
        <v>171051.55799999999</v>
      </c>
      <c r="G111" s="7">
        <v>48102.652999999998</v>
      </c>
      <c r="H111" s="7">
        <v>0</v>
      </c>
      <c r="I111" s="7">
        <v>0</v>
      </c>
      <c r="J111" s="7">
        <v>2504.6469999999999</v>
      </c>
      <c r="K111" s="7">
        <v>0</v>
      </c>
      <c r="L111" s="7">
        <v>242877.049</v>
      </c>
      <c r="M111" s="7">
        <v>20703.027999999998</v>
      </c>
      <c r="N111" s="7">
        <v>0</v>
      </c>
      <c r="O111" s="7">
        <v>26566.954000000002</v>
      </c>
      <c r="P111" s="7">
        <v>585105.78899999999</v>
      </c>
      <c r="Q111" s="7">
        <v>35003.472000000002</v>
      </c>
      <c r="R111" s="7">
        <v>0</v>
      </c>
      <c r="S111" s="7">
        <v>0</v>
      </c>
      <c r="T111" s="7">
        <v>1.64</v>
      </c>
      <c r="U111" s="7">
        <v>0</v>
      </c>
      <c r="V111" s="7">
        <v>0</v>
      </c>
      <c r="W111" s="7">
        <v>14723.442999999999</v>
      </c>
      <c r="X111" s="7">
        <v>0</v>
      </c>
      <c r="Y111" s="7">
        <v>0</v>
      </c>
      <c r="Z111" s="7">
        <v>0</v>
      </c>
      <c r="AA111" s="7">
        <v>0</v>
      </c>
      <c r="AB111" s="7">
        <v>3700.9949999999999</v>
      </c>
      <c r="AC111" s="7">
        <v>0</v>
      </c>
      <c r="AD111" s="7">
        <v>91891.069000000003</v>
      </c>
      <c r="AE111" s="7">
        <v>0</v>
      </c>
      <c r="AF111" s="7">
        <v>0</v>
      </c>
      <c r="AG111" s="7">
        <v>30.65</v>
      </c>
      <c r="AH111" s="7">
        <v>8112.5640000000003</v>
      </c>
      <c r="AI111" s="7">
        <v>0</v>
      </c>
      <c r="AJ111" s="7">
        <v>236235.236</v>
      </c>
      <c r="AK111" s="7">
        <v>116301.164</v>
      </c>
      <c r="AL111" s="7">
        <v>0</v>
      </c>
      <c r="AM111" s="7">
        <v>780925.37199999997</v>
      </c>
      <c r="AN111" s="7">
        <v>217831.36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581.77800000000002</v>
      </c>
      <c r="AW111" s="7">
        <v>0</v>
      </c>
      <c r="AX111" s="7">
        <v>28318.86</v>
      </c>
      <c r="AY111" s="7">
        <v>33042.489000000001</v>
      </c>
      <c r="AZ111" s="7">
        <v>13829.284</v>
      </c>
      <c r="BA111" s="7">
        <v>138.369</v>
      </c>
      <c r="BB111" s="7">
        <v>0</v>
      </c>
      <c r="BC111" s="7">
        <v>1024.557</v>
      </c>
      <c r="BD111" s="7">
        <v>54774.459000000003</v>
      </c>
      <c r="BE111" s="7">
        <v>48904.476000000002</v>
      </c>
      <c r="BF111" s="7">
        <v>27273.217000000001</v>
      </c>
      <c r="BG111" s="7">
        <v>0</v>
      </c>
      <c r="BH111" s="22"/>
    </row>
    <row r="112" spans="1:60" ht="15.75" x14ac:dyDescent="0.25">
      <c r="A112" s="22"/>
      <c r="B112" s="5" t="s">
        <v>212</v>
      </c>
      <c r="C112" s="5" t="s">
        <v>213</v>
      </c>
      <c r="D112" s="7">
        <v>4</v>
      </c>
      <c r="E112" s="7">
        <v>4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22"/>
    </row>
    <row r="113" spans="1:60" ht="15.75" x14ac:dyDescent="0.25">
      <c r="A113" s="22"/>
      <c r="B113" s="5" t="s">
        <v>214</v>
      </c>
      <c r="C113" s="5" t="s">
        <v>215</v>
      </c>
      <c r="D113" s="7">
        <v>6</v>
      </c>
      <c r="E113" s="7">
        <v>6</v>
      </c>
      <c r="F113" s="7">
        <v>0</v>
      </c>
      <c r="G113" s="7">
        <v>42.7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0.73599999999999999</v>
      </c>
      <c r="P113" s="7">
        <v>-0.23300000000000001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357.79300000000001</v>
      </c>
      <c r="AK113" s="7">
        <v>23.927</v>
      </c>
      <c r="AL113" s="7">
        <v>0</v>
      </c>
      <c r="AM113" s="7">
        <v>298.77300000000002</v>
      </c>
      <c r="AN113" s="7">
        <v>12.515000000000001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22"/>
    </row>
    <row r="114" spans="1:60" ht="15.75" x14ac:dyDescent="0.25">
      <c r="A114" s="22"/>
      <c r="B114" s="5" t="s">
        <v>216</v>
      </c>
      <c r="C114" s="5" t="s">
        <v>217</v>
      </c>
      <c r="D114" s="7">
        <v>6</v>
      </c>
      <c r="E114" s="7">
        <v>6</v>
      </c>
      <c r="F114" s="7">
        <v>52245.031999999999</v>
      </c>
      <c r="G114" s="7">
        <v>1154.3320000000001</v>
      </c>
      <c r="H114" s="7">
        <v>0</v>
      </c>
      <c r="I114" s="7">
        <v>0</v>
      </c>
      <c r="J114" s="7">
        <v>76.165999999999997</v>
      </c>
      <c r="K114" s="7">
        <v>0</v>
      </c>
      <c r="L114" s="7">
        <v>55031.487000000001</v>
      </c>
      <c r="M114" s="7">
        <v>4527.59</v>
      </c>
      <c r="N114" s="7">
        <v>0</v>
      </c>
      <c r="O114" s="7">
        <v>34098.107000000004</v>
      </c>
      <c r="P114" s="7">
        <v>179805.962</v>
      </c>
      <c r="Q114" s="7">
        <v>34549.93</v>
      </c>
      <c r="R114" s="7">
        <v>0</v>
      </c>
      <c r="S114" s="7">
        <v>0</v>
      </c>
      <c r="T114" s="7">
        <v>25.388999999999999</v>
      </c>
      <c r="U114" s="7">
        <v>0</v>
      </c>
      <c r="V114" s="7">
        <v>25.388999999999999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253.88800000000001</v>
      </c>
      <c r="AC114" s="7">
        <v>0</v>
      </c>
      <c r="AD114" s="7">
        <v>17151.781999999999</v>
      </c>
      <c r="AE114" s="7">
        <v>0</v>
      </c>
      <c r="AF114" s="7">
        <v>2386.5450000000001</v>
      </c>
      <c r="AG114" s="7">
        <v>0</v>
      </c>
      <c r="AH114" s="7">
        <v>203.11</v>
      </c>
      <c r="AI114" s="7">
        <v>0</v>
      </c>
      <c r="AJ114" s="7">
        <v>51076.233</v>
      </c>
      <c r="AK114" s="7">
        <v>112.35299999999999</v>
      </c>
      <c r="AL114" s="7">
        <v>0</v>
      </c>
      <c r="AM114" s="7">
        <v>208885.989</v>
      </c>
      <c r="AN114" s="7">
        <v>76.158000000000001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22"/>
    </row>
    <row r="115" spans="1:60" ht="15.75" x14ac:dyDescent="0.25">
      <c r="A115" s="22"/>
      <c r="B115" s="5" t="s">
        <v>218</v>
      </c>
      <c r="C115" s="5" t="s">
        <v>219</v>
      </c>
      <c r="D115" s="7">
        <v>4</v>
      </c>
      <c r="E115" s="7">
        <v>4</v>
      </c>
      <c r="F115" s="7">
        <v>19257.5</v>
      </c>
      <c r="G115" s="7">
        <v>6041.3469999999998</v>
      </c>
      <c r="H115" s="7">
        <v>0</v>
      </c>
      <c r="I115" s="7">
        <v>12091.508</v>
      </c>
      <c r="J115" s="7">
        <v>306</v>
      </c>
      <c r="K115" s="7">
        <v>0</v>
      </c>
      <c r="L115" s="7">
        <v>27538.093000000001</v>
      </c>
      <c r="M115" s="7">
        <v>1579.586</v>
      </c>
      <c r="N115" s="7">
        <v>0</v>
      </c>
      <c r="O115" s="7">
        <v>3031.567</v>
      </c>
      <c r="P115" s="7">
        <v>72538.717000000004</v>
      </c>
      <c r="Q115" s="7">
        <v>3621.0790000000002</v>
      </c>
      <c r="R115" s="7">
        <v>0</v>
      </c>
      <c r="S115" s="7">
        <v>0</v>
      </c>
      <c r="T115" s="7">
        <v>3.1880000000000002</v>
      </c>
      <c r="U115" s="7">
        <v>0</v>
      </c>
      <c r="V115" s="7">
        <v>0</v>
      </c>
      <c r="W115" s="7">
        <v>1856.56</v>
      </c>
      <c r="X115" s="7">
        <v>0</v>
      </c>
      <c r="Y115" s="7">
        <v>0</v>
      </c>
      <c r="Z115" s="7">
        <v>0</v>
      </c>
      <c r="AA115" s="7">
        <v>0</v>
      </c>
      <c r="AB115" s="7">
        <v>411.51299999999998</v>
      </c>
      <c r="AC115" s="7">
        <v>0</v>
      </c>
      <c r="AD115" s="7">
        <v>11222.796</v>
      </c>
      <c r="AE115" s="7">
        <v>0</v>
      </c>
      <c r="AF115" s="7">
        <v>0</v>
      </c>
      <c r="AG115" s="7">
        <v>0</v>
      </c>
      <c r="AH115" s="7">
        <v>993.37</v>
      </c>
      <c r="AI115" s="7">
        <v>7323.5690000000004</v>
      </c>
      <c r="AJ115" s="7">
        <v>26928.881000000001</v>
      </c>
      <c r="AK115" s="7">
        <v>14864.450999999999</v>
      </c>
      <c r="AL115" s="7">
        <v>35149.574999999997</v>
      </c>
      <c r="AM115" s="7">
        <v>91694.535000000003</v>
      </c>
      <c r="AN115" s="7">
        <v>28108.562000000002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30.385000000000002</v>
      </c>
      <c r="AW115" s="7">
        <v>0</v>
      </c>
      <c r="AX115" s="7">
        <v>0</v>
      </c>
      <c r="AY115" s="7">
        <v>4328.2150000000001</v>
      </c>
      <c r="AZ115" s="7">
        <v>0</v>
      </c>
      <c r="BA115" s="7">
        <v>16.664000000000001</v>
      </c>
      <c r="BB115" s="7">
        <v>0</v>
      </c>
      <c r="BC115" s="7">
        <v>2249.7089999999998</v>
      </c>
      <c r="BD115" s="7">
        <v>0</v>
      </c>
      <c r="BE115" s="7">
        <v>0</v>
      </c>
      <c r="BF115" s="7">
        <v>0</v>
      </c>
      <c r="BG115" s="7">
        <v>0</v>
      </c>
      <c r="BH115" s="22"/>
    </row>
    <row r="116" spans="1:60" ht="15.75" x14ac:dyDescent="0.25">
      <c r="A116" s="22"/>
      <c r="B116" s="5" t="s">
        <v>220</v>
      </c>
      <c r="C116" s="5" t="s">
        <v>221</v>
      </c>
      <c r="D116" s="7">
        <v>4</v>
      </c>
      <c r="E116" s="7">
        <v>4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189378.91</v>
      </c>
      <c r="AQ116" s="7">
        <v>0</v>
      </c>
      <c r="AR116" s="7">
        <v>0</v>
      </c>
      <c r="AS116" s="7">
        <v>116783.614</v>
      </c>
      <c r="AT116" s="7">
        <v>0</v>
      </c>
      <c r="AU116" s="7">
        <v>60734.752999999997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1570.481</v>
      </c>
      <c r="BD116" s="7">
        <v>0</v>
      </c>
      <c r="BE116" s="7">
        <v>0</v>
      </c>
      <c r="BF116" s="7">
        <v>0</v>
      </c>
      <c r="BG116" s="7">
        <v>0</v>
      </c>
      <c r="BH116" s="22"/>
    </row>
    <row r="117" spans="1:60" ht="15.75" x14ac:dyDescent="0.25">
      <c r="A117" s="22"/>
      <c r="B117" s="5" t="s">
        <v>222</v>
      </c>
      <c r="C117" s="5" t="s">
        <v>223</v>
      </c>
      <c r="D117" s="7">
        <v>4</v>
      </c>
      <c r="E117" s="7">
        <v>3</v>
      </c>
      <c r="F117" s="7">
        <v>0</v>
      </c>
      <c r="G117" s="7">
        <v>0</v>
      </c>
      <c r="H117" s="7">
        <v>342.05399999999997</v>
      </c>
      <c r="I117" s="7">
        <v>0</v>
      </c>
      <c r="J117" s="7">
        <v>0</v>
      </c>
      <c r="K117" s="7">
        <v>79.463999999999999</v>
      </c>
      <c r="L117" s="7">
        <v>0</v>
      </c>
      <c r="M117" s="7">
        <v>4018.7510000000002</v>
      </c>
      <c r="N117" s="7">
        <v>0</v>
      </c>
      <c r="O117" s="7">
        <v>0</v>
      </c>
      <c r="P117" s="7">
        <v>0</v>
      </c>
      <c r="Q117" s="7">
        <v>0</v>
      </c>
      <c r="R117" s="7">
        <v>2334.2689999999998</v>
      </c>
      <c r="S117" s="7">
        <v>0</v>
      </c>
      <c r="T117" s="7">
        <v>0</v>
      </c>
      <c r="U117" s="7">
        <v>219.94300000000001</v>
      </c>
      <c r="V117" s="7">
        <v>715.95799999999997</v>
      </c>
      <c r="W117" s="7">
        <v>0</v>
      </c>
      <c r="X117" s="7">
        <v>0</v>
      </c>
      <c r="Y117" s="7">
        <v>849.14499999999998</v>
      </c>
      <c r="Z117" s="7">
        <v>0</v>
      </c>
      <c r="AA117" s="7">
        <v>0</v>
      </c>
      <c r="AB117" s="7">
        <v>2608.4659999999999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10643.944</v>
      </c>
      <c r="AJ117" s="7">
        <v>0</v>
      </c>
      <c r="AK117" s="7">
        <v>0</v>
      </c>
      <c r="AL117" s="7">
        <v>44210.33</v>
      </c>
      <c r="AM117" s="7">
        <v>0</v>
      </c>
      <c r="AN117" s="7">
        <v>0</v>
      </c>
      <c r="AO117" s="7">
        <v>0</v>
      </c>
      <c r="AP117" s="7">
        <v>0</v>
      </c>
      <c r="AQ117" s="7">
        <v>5471.7619999999997</v>
      </c>
      <c r="AR117" s="7">
        <v>6230.4920000000002</v>
      </c>
      <c r="AS117" s="7">
        <v>0</v>
      </c>
      <c r="AT117" s="7">
        <v>0</v>
      </c>
      <c r="AU117" s="7">
        <v>0</v>
      </c>
      <c r="AV117" s="7">
        <v>0</v>
      </c>
      <c r="AW117" s="7">
        <v>639.01400000000001</v>
      </c>
      <c r="AX117" s="7">
        <v>0</v>
      </c>
      <c r="AY117" s="7">
        <v>0</v>
      </c>
      <c r="AZ117" s="7">
        <v>0</v>
      </c>
      <c r="BA117" s="7">
        <v>40.991</v>
      </c>
      <c r="BB117" s="7">
        <v>0</v>
      </c>
      <c r="BC117" s="7">
        <v>2074.232</v>
      </c>
      <c r="BD117" s="7">
        <v>0</v>
      </c>
      <c r="BE117" s="7">
        <v>0</v>
      </c>
      <c r="BF117" s="7">
        <v>0</v>
      </c>
      <c r="BG117" s="7">
        <v>0</v>
      </c>
      <c r="BH117" s="22"/>
    </row>
    <row r="118" spans="1:60" ht="15.75" x14ac:dyDescent="0.25">
      <c r="A118" s="22"/>
      <c r="B118" s="5" t="s">
        <v>224</v>
      </c>
      <c r="C118" s="5" t="s">
        <v>225</v>
      </c>
      <c r="D118" s="7">
        <v>4</v>
      </c>
      <c r="E118" s="7">
        <v>3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22"/>
    </row>
    <row r="119" spans="1:60" ht="15.75" x14ac:dyDescent="0.25">
      <c r="A119" s="22"/>
      <c r="B119" s="5" t="s">
        <v>226</v>
      </c>
      <c r="C119" s="5" t="s">
        <v>227</v>
      </c>
      <c r="D119" s="7">
        <v>4</v>
      </c>
      <c r="E119" s="7">
        <v>4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22"/>
    </row>
    <row r="120" spans="1:60" ht="15.75" x14ac:dyDescent="0.25">
      <c r="A120" s="22"/>
      <c r="B120" s="5" t="s">
        <v>228</v>
      </c>
      <c r="C120" s="5" t="s">
        <v>229</v>
      </c>
      <c r="D120" s="7">
        <v>4</v>
      </c>
      <c r="E120" s="7">
        <v>6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22"/>
    </row>
    <row r="121" spans="1:60" ht="15.75" x14ac:dyDescent="0.25">
      <c r="A121" s="22"/>
      <c r="B121" s="5" t="s">
        <v>230</v>
      </c>
      <c r="C121" s="5" t="s">
        <v>231</v>
      </c>
      <c r="D121" s="7">
        <v>4</v>
      </c>
      <c r="E121" s="7">
        <v>4</v>
      </c>
      <c r="F121" s="7">
        <v>191852.96299999999</v>
      </c>
      <c r="G121" s="7">
        <v>53828.163999999997</v>
      </c>
      <c r="H121" s="7">
        <v>0</v>
      </c>
      <c r="I121" s="7">
        <v>0</v>
      </c>
      <c r="J121" s="7">
        <v>2746.74</v>
      </c>
      <c r="K121" s="7">
        <v>0</v>
      </c>
      <c r="L121" s="7">
        <v>268397.30800000002</v>
      </c>
      <c r="M121" s="7">
        <v>23641.116999999998</v>
      </c>
      <c r="N121" s="7">
        <v>0</v>
      </c>
      <c r="O121" s="7">
        <v>28541.625</v>
      </c>
      <c r="P121" s="7">
        <v>652728.01300000004</v>
      </c>
      <c r="Q121" s="7">
        <v>38744.749000000003</v>
      </c>
      <c r="R121" s="7">
        <v>0</v>
      </c>
      <c r="S121" s="7">
        <v>1392.7049999999999</v>
      </c>
      <c r="T121" s="7">
        <v>0</v>
      </c>
      <c r="U121" s="7">
        <v>855.92600000000004</v>
      </c>
      <c r="V121" s="7">
        <v>0</v>
      </c>
      <c r="W121" s="7">
        <v>16531.375</v>
      </c>
      <c r="X121" s="7">
        <v>0</v>
      </c>
      <c r="Y121" s="7">
        <v>14737.637000000001</v>
      </c>
      <c r="Z121" s="7">
        <v>0</v>
      </c>
      <c r="AA121" s="7">
        <v>0</v>
      </c>
      <c r="AB121" s="7">
        <v>4074.8009999999999</v>
      </c>
      <c r="AC121" s="7">
        <v>0</v>
      </c>
      <c r="AD121" s="7">
        <v>110459.47</v>
      </c>
      <c r="AE121" s="7">
        <v>24756.721000000001</v>
      </c>
      <c r="AF121" s="7">
        <v>0</v>
      </c>
      <c r="AG121" s="7">
        <v>35969.413999999997</v>
      </c>
      <c r="AH121" s="7">
        <v>9203.0249999999996</v>
      </c>
      <c r="AI121" s="7">
        <v>8460.3729999999996</v>
      </c>
      <c r="AJ121" s="7">
        <v>285240.94</v>
      </c>
      <c r="AK121" s="7">
        <v>131295.26800000001</v>
      </c>
      <c r="AL121" s="7">
        <v>37258.212</v>
      </c>
      <c r="AM121" s="7">
        <v>835816.125</v>
      </c>
      <c r="AN121" s="7">
        <v>247138.443</v>
      </c>
      <c r="AO121" s="7">
        <v>153704.40900000001</v>
      </c>
      <c r="AP121" s="7">
        <v>1614162.172</v>
      </c>
      <c r="AQ121" s="7">
        <v>31350.346000000001</v>
      </c>
      <c r="AR121" s="7">
        <v>13143.096</v>
      </c>
      <c r="AS121" s="7">
        <v>995399.60400000005</v>
      </c>
      <c r="AT121" s="7">
        <v>0</v>
      </c>
      <c r="AU121" s="7">
        <v>517669.78600000002</v>
      </c>
      <c r="AV121" s="7">
        <v>726.23199999999997</v>
      </c>
      <c r="AW121" s="7">
        <v>1867.9949999999999</v>
      </c>
      <c r="AX121" s="7">
        <v>0</v>
      </c>
      <c r="AY121" s="7">
        <v>38526.192999999999</v>
      </c>
      <c r="AZ121" s="7">
        <v>0</v>
      </c>
      <c r="BA121" s="7">
        <v>166.49600000000001</v>
      </c>
      <c r="BB121" s="7">
        <v>0</v>
      </c>
      <c r="BC121" s="7">
        <v>1230.22</v>
      </c>
      <c r="BD121" s="7">
        <v>0</v>
      </c>
      <c r="BE121" s="7">
        <v>0</v>
      </c>
      <c r="BF121" s="7">
        <v>46972.832000000002</v>
      </c>
      <c r="BG121" s="7">
        <v>0</v>
      </c>
      <c r="BH121" s="22"/>
    </row>
    <row r="122" spans="1:60" ht="15.75" x14ac:dyDescent="0.25">
      <c r="A122" s="22"/>
      <c r="B122" s="5" t="s">
        <v>232</v>
      </c>
      <c r="C122" s="5" t="s">
        <v>233</v>
      </c>
      <c r="D122" s="7">
        <v>4</v>
      </c>
      <c r="E122" s="7">
        <v>3</v>
      </c>
      <c r="F122" s="7">
        <v>2238.2959999999998</v>
      </c>
      <c r="G122" s="7">
        <v>955.46600000000001</v>
      </c>
      <c r="H122" s="7">
        <v>961.91399999999999</v>
      </c>
      <c r="I122" s="7">
        <v>313.79599999999999</v>
      </c>
      <c r="J122" s="7">
        <v>146.74700000000001</v>
      </c>
      <c r="K122" s="7">
        <v>770.40700000000004</v>
      </c>
      <c r="L122" s="7">
        <v>13.215</v>
      </c>
      <c r="M122" s="7">
        <v>549.84199999999998</v>
      </c>
      <c r="N122" s="7">
        <v>0</v>
      </c>
      <c r="O122" s="7">
        <v>1730.519</v>
      </c>
      <c r="P122" s="7">
        <v>4595.3819999999996</v>
      </c>
      <c r="Q122" s="7">
        <v>1941.239</v>
      </c>
      <c r="R122" s="7">
        <v>0</v>
      </c>
      <c r="S122" s="7">
        <v>0</v>
      </c>
      <c r="T122" s="7">
        <v>2E-3</v>
      </c>
      <c r="U122" s="7">
        <v>552.12300000000005</v>
      </c>
      <c r="V122" s="7">
        <v>688.34500000000003</v>
      </c>
      <c r="W122" s="7">
        <v>354.48899999999998</v>
      </c>
      <c r="X122" s="7">
        <v>0</v>
      </c>
      <c r="Y122" s="7">
        <v>4500.4560000000001</v>
      </c>
      <c r="Z122" s="7">
        <v>0</v>
      </c>
      <c r="AA122" s="7">
        <v>88.762</v>
      </c>
      <c r="AB122" s="7">
        <v>141.02699999999999</v>
      </c>
      <c r="AC122" s="7">
        <v>0</v>
      </c>
      <c r="AD122" s="7">
        <v>321.185</v>
      </c>
      <c r="AE122" s="7">
        <v>17482.990000000002</v>
      </c>
      <c r="AF122" s="7">
        <v>1486.9159999999999</v>
      </c>
      <c r="AG122" s="7">
        <v>0</v>
      </c>
      <c r="AH122" s="7">
        <v>187.65199999999999</v>
      </c>
      <c r="AI122" s="7">
        <v>2535.1179999999999</v>
      </c>
      <c r="AJ122" s="7">
        <v>5.516</v>
      </c>
      <c r="AK122" s="7">
        <v>12.879</v>
      </c>
      <c r="AL122" s="7">
        <v>6853.3810000000003</v>
      </c>
      <c r="AM122" s="7">
        <v>11415.307000000001</v>
      </c>
      <c r="AN122" s="7">
        <v>21.97</v>
      </c>
      <c r="AO122" s="7">
        <v>105427.322</v>
      </c>
      <c r="AP122" s="7">
        <v>0</v>
      </c>
      <c r="AQ122" s="7">
        <v>11752.814</v>
      </c>
      <c r="AR122" s="7">
        <v>7627.15</v>
      </c>
      <c r="AS122" s="7">
        <v>0</v>
      </c>
      <c r="AT122" s="7">
        <v>0</v>
      </c>
      <c r="AU122" s="7">
        <v>0</v>
      </c>
      <c r="AV122" s="7">
        <v>19.029</v>
      </c>
      <c r="AW122" s="7">
        <v>1466.318</v>
      </c>
      <c r="AX122" s="7">
        <v>0</v>
      </c>
      <c r="AY122" s="7">
        <v>1.8049999999999999</v>
      </c>
      <c r="AZ122" s="7">
        <v>0</v>
      </c>
      <c r="BA122" s="7">
        <v>1.3560000000000001</v>
      </c>
      <c r="BB122" s="7">
        <v>0</v>
      </c>
      <c r="BC122" s="7">
        <v>47.47</v>
      </c>
      <c r="BD122" s="7">
        <v>0</v>
      </c>
      <c r="BE122" s="7">
        <v>0</v>
      </c>
      <c r="BF122" s="7">
        <v>4261.37</v>
      </c>
      <c r="BG122" s="7">
        <v>0</v>
      </c>
      <c r="BH122" s="22"/>
    </row>
    <row r="123" spans="1:60" ht="15.75" x14ac:dyDescent="0.25">
      <c r="A123" s="22"/>
      <c r="B123" s="5" t="s">
        <v>234</v>
      </c>
      <c r="C123" s="5" t="s">
        <v>235</v>
      </c>
      <c r="D123" s="7">
        <v>4</v>
      </c>
      <c r="E123" s="7">
        <v>4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22"/>
    </row>
    <row r="124" spans="1:60" ht="15.75" x14ac:dyDescent="0.25">
      <c r="A124" s="22"/>
      <c r="B124" s="5" t="s">
        <v>228</v>
      </c>
      <c r="C124" s="5" t="s">
        <v>236</v>
      </c>
      <c r="D124" s="7">
        <v>4</v>
      </c>
      <c r="E124" s="7">
        <v>6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22"/>
    </row>
    <row r="125" spans="1:60" ht="15.75" x14ac:dyDescent="0.25">
      <c r="A125" s="22"/>
      <c r="B125" s="5" t="s">
        <v>237</v>
      </c>
      <c r="C125" s="5" t="s">
        <v>238</v>
      </c>
      <c r="D125" s="7">
        <v>4</v>
      </c>
      <c r="E125" s="7">
        <v>4</v>
      </c>
      <c r="F125" s="7">
        <v>11.739000000000001</v>
      </c>
      <c r="G125" s="7">
        <v>1.425</v>
      </c>
      <c r="H125" s="7">
        <v>5.2569999999999997</v>
      </c>
      <c r="I125" s="7">
        <v>989.54600000000005</v>
      </c>
      <c r="J125" s="7">
        <v>0.375</v>
      </c>
      <c r="K125" s="7">
        <v>3.5960000000000001</v>
      </c>
      <c r="L125" s="7">
        <v>1.4</v>
      </c>
      <c r="M125" s="7">
        <v>3.4790000000000001</v>
      </c>
      <c r="N125" s="7">
        <v>0</v>
      </c>
      <c r="O125" s="7">
        <v>7.7409999999999997</v>
      </c>
      <c r="P125" s="7">
        <v>5.4829999999999997</v>
      </c>
      <c r="Q125" s="7">
        <v>7.431</v>
      </c>
      <c r="R125" s="7">
        <v>0</v>
      </c>
      <c r="S125" s="7">
        <v>0</v>
      </c>
      <c r="T125" s="7">
        <v>4.0000000000000001E-3</v>
      </c>
      <c r="U125" s="7">
        <v>0</v>
      </c>
      <c r="V125" s="7">
        <v>98.177999999999997</v>
      </c>
      <c r="W125" s="7">
        <v>0.53100000000000003</v>
      </c>
      <c r="X125" s="7">
        <v>0</v>
      </c>
      <c r="Y125" s="7">
        <v>0</v>
      </c>
      <c r="Z125" s="7">
        <v>0</v>
      </c>
      <c r="AA125" s="7">
        <v>0.32400000000000001</v>
      </c>
      <c r="AB125" s="7">
        <v>1.069</v>
      </c>
      <c r="AC125" s="7">
        <v>0</v>
      </c>
      <c r="AD125" s="7">
        <v>1.603</v>
      </c>
      <c r="AE125" s="7">
        <v>0</v>
      </c>
      <c r="AF125" s="7">
        <v>4.1909999999999998</v>
      </c>
      <c r="AG125" s="7">
        <v>0</v>
      </c>
      <c r="AH125" s="7">
        <v>0.20599999999999999</v>
      </c>
      <c r="AI125" s="7">
        <v>0</v>
      </c>
      <c r="AJ125" s="7">
        <v>3.8490000000000002</v>
      </c>
      <c r="AK125" s="7">
        <v>0</v>
      </c>
      <c r="AL125" s="7">
        <v>0</v>
      </c>
      <c r="AM125" s="7">
        <v>17.484999999999999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2.1999999999999999E-2</v>
      </c>
      <c r="AW125" s="7">
        <v>0</v>
      </c>
      <c r="AX125" s="7">
        <v>0</v>
      </c>
      <c r="AY125" s="7">
        <v>0</v>
      </c>
      <c r="AZ125" s="7">
        <v>0</v>
      </c>
      <c r="BA125" s="7">
        <v>2E-3</v>
      </c>
      <c r="BB125" s="7">
        <v>0</v>
      </c>
      <c r="BC125" s="7">
        <v>0.13</v>
      </c>
      <c r="BD125" s="7">
        <v>0</v>
      </c>
      <c r="BE125" s="7">
        <v>0</v>
      </c>
      <c r="BF125" s="7">
        <v>0</v>
      </c>
      <c r="BG125" s="7">
        <v>0</v>
      </c>
      <c r="BH125" s="22"/>
    </row>
    <row r="126" spans="1:60" ht="15.75" x14ac:dyDescent="0.25">
      <c r="A126" s="22"/>
      <c r="B126" s="5" t="s">
        <v>239</v>
      </c>
      <c r="C126" s="5" t="s">
        <v>240</v>
      </c>
      <c r="D126" s="7">
        <v>4</v>
      </c>
      <c r="E126" s="7">
        <v>3</v>
      </c>
      <c r="F126" s="7">
        <v>11175.096</v>
      </c>
      <c r="G126" s="7">
        <v>4471.6170000000002</v>
      </c>
      <c r="H126" s="7">
        <v>444.58600000000001</v>
      </c>
      <c r="I126" s="7">
        <v>1070.1199999999999</v>
      </c>
      <c r="J126" s="7">
        <v>719.87</v>
      </c>
      <c r="K126" s="7">
        <v>3428.0990000000002</v>
      </c>
      <c r="L126" s="7">
        <v>85.465999999999994</v>
      </c>
      <c r="M126" s="7">
        <v>3011.7829999999999</v>
      </c>
      <c r="N126" s="7">
        <v>0</v>
      </c>
      <c r="O126" s="7">
        <v>10233.958000000001</v>
      </c>
      <c r="P126" s="7">
        <v>21037.025000000001</v>
      </c>
      <c r="Q126" s="7">
        <v>10470.021000000001</v>
      </c>
      <c r="R126" s="7">
        <v>0</v>
      </c>
      <c r="S126" s="7">
        <v>0</v>
      </c>
      <c r="T126" s="7">
        <v>1.9E-2</v>
      </c>
      <c r="U126" s="7">
        <v>0</v>
      </c>
      <c r="V126" s="7">
        <v>0.249</v>
      </c>
      <c r="W126" s="7">
        <v>1781.5809999999999</v>
      </c>
      <c r="X126" s="7">
        <v>0</v>
      </c>
      <c r="Y126" s="7">
        <v>0</v>
      </c>
      <c r="Z126" s="7">
        <v>0</v>
      </c>
      <c r="AA126" s="7">
        <v>314.27199999999999</v>
      </c>
      <c r="AB126" s="7">
        <v>911.202</v>
      </c>
      <c r="AC126" s="7">
        <v>0</v>
      </c>
      <c r="AD126" s="7">
        <v>663.15300000000002</v>
      </c>
      <c r="AE126" s="7">
        <v>0</v>
      </c>
      <c r="AF126" s="7">
        <v>7057.085</v>
      </c>
      <c r="AG126" s="7">
        <v>0</v>
      </c>
      <c r="AH126" s="7">
        <v>791.67200000000003</v>
      </c>
      <c r="AI126" s="7">
        <v>0</v>
      </c>
      <c r="AJ126" s="7">
        <v>24.858000000000001</v>
      </c>
      <c r="AK126" s="7">
        <v>84.531999999999996</v>
      </c>
      <c r="AL126" s="7">
        <v>0</v>
      </c>
      <c r="AM126" s="7">
        <v>45665.548999999999</v>
      </c>
      <c r="AN126" s="7">
        <v>144.19900000000001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84.849000000000004</v>
      </c>
      <c r="AW126" s="7">
        <v>0</v>
      </c>
      <c r="AX126" s="7">
        <v>0</v>
      </c>
      <c r="AY126" s="7">
        <v>11.853999999999999</v>
      </c>
      <c r="AZ126" s="7">
        <v>0</v>
      </c>
      <c r="BA126" s="7">
        <v>6.4429999999999996</v>
      </c>
      <c r="BB126" s="7">
        <v>0</v>
      </c>
      <c r="BC126" s="7">
        <v>0.89400000000000002</v>
      </c>
      <c r="BD126" s="7">
        <v>0</v>
      </c>
      <c r="BE126" s="7">
        <v>0</v>
      </c>
      <c r="BF126" s="7">
        <v>6021.4480000000003</v>
      </c>
      <c r="BG126" s="7">
        <v>0</v>
      </c>
      <c r="BH126" s="22"/>
    </row>
    <row r="127" spans="1:60" ht="15.75" x14ac:dyDescent="0.25">
      <c r="A127" s="22"/>
      <c r="B127" s="5" t="s">
        <v>241</v>
      </c>
      <c r="C127" s="5" t="s">
        <v>242</v>
      </c>
      <c r="D127" s="7">
        <v>2</v>
      </c>
      <c r="E127" s="7">
        <v>2</v>
      </c>
      <c r="F127" s="7">
        <v>35154.212</v>
      </c>
      <c r="G127" s="7">
        <v>11731.438</v>
      </c>
      <c r="H127" s="7">
        <v>11570.557000000001</v>
      </c>
      <c r="I127" s="7">
        <v>0</v>
      </c>
      <c r="J127" s="7">
        <v>2296.848</v>
      </c>
      <c r="K127" s="7">
        <v>9013.7440000000006</v>
      </c>
      <c r="L127" s="7">
        <v>65035.283000000003</v>
      </c>
      <c r="M127" s="7">
        <v>11744.66</v>
      </c>
      <c r="N127" s="7">
        <v>0</v>
      </c>
      <c r="O127" s="7">
        <v>20805.677</v>
      </c>
      <c r="P127" s="7">
        <v>50035.659</v>
      </c>
      <c r="Q127" s="7">
        <v>31136.739000000001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3631.0630000000001</v>
      </c>
      <c r="X127" s="7">
        <v>0</v>
      </c>
      <c r="Y127" s="7">
        <v>0</v>
      </c>
      <c r="Z127" s="7">
        <v>0</v>
      </c>
      <c r="AA127" s="7">
        <v>1225.0329999999999</v>
      </c>
      <c r="AB127" s="7">
        <v>3284.7159999999999</v>
      </c>
      <c r="AC127" s="7">
        <v>0</v>
      </c>
      <c r="AD127" s="7">
        <v>10857.848</v>
      </c>
      <c r="AE127" s="7">
        <v>0</v>
      </c>
      <c r="AF127" s="7">
        <v>11186.054</v>
      </c>
      <c r="AG127" s="7">
        <v>0</v>
      </c>
      <c r="AH127" s="7">
        <v>1609.193</v>
      </c>
      <c r="AI127" s="7">
        <v>0</v>
      </c>
      <c r="AJ127" s="7">
        <v>28020.615000000002</v>
      </c>
      <c r="AK127" s="7">
        <v>0</v>
      </c>
      <c r="AL127" s="7">
        <v>0</v>
      </c>
      <c r="AM127" s="7">
        <v>101269.74400000001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84.739000000000004</v>
      </c>
      <c r="AW127" s="7">
        <v>0</v>
      </c>
      <c r="AX127" s="7">
        <v>0</v>
      </c>
      <c r="AY127" s="7">
        <v>0</v>
      </c>
      <c r="AZ127" s="7">
        <v>0</v>
      </c>
      <c r="BA127" s="7">
        <v>4.3600000000000003</v>
      </c>
      <c r="BB127" s="7">
        <v>0</v>
      </c>
      <c r="BC127" s="7">
        <v>0</v>
      </c>
      <c r="BD127" s="7">
        <v>0</v>
      </c>
      <c r="BE127" s="7">
        <v>0</v>
      </c>
      <c r="BF127" s="7">
        <v>23.259</v>
      </c>
      <c r="BG127" s="7">
        <v>0</v>
      </c>
      <c r="BH127" s="22"/>
    </row>
    <row r="128" spans="1:60" ht="15.75" x14ac:dyDescent="0.25">
      <c r="A128" s="22"/>
      <c r="B128" s="5" t="s">
        <v>243</v>
      </c>
      <c r="C128" s="5" t="s">
        <v>244</v>
      </c>
      <c r="D128" s="7">
        <v>4</v>
      </c>
      <c r="E128" s="7">
        <v>4</v>
      </c>
      <c r="F128" s="7">
        <v>36326.762999999999</v>
      </c>
      <c r="G128" s="7">
        <v>10192.550999999999</v>
      </c>
      <c r="H128" s="7">
        <v>0</v>
      </c>
      <c r="I128" s="7">
        <v>0</v>
      </c>
      <c r="J128" s="7">
        <v>520.04</v>
      </c>
      <c r="K128" s="7">
        <v>0</v>
      </c>
      <c r="L128" s="7">
        <v>50815.879000000001</v>
      </c>
      <c r="M128" s="7">
        <v>4476.32</v>
      </c>
      <c r="N128" s="7">
        <v>0</v>
      </c>
      <c r="O128" s="7">
        <v>5402.8760000000002</v>
      </c>
      <c r="P128" s="7">
        <v>123592.882</v>
      </c>
      <c r="Q128" s="7">
        <v>7335.44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3130.3049999999998</v>
      </c>
      <c r="X128" s="7">
        <v>0</v>
      </c>
      <c r="Y128" s="7">
        <v>0</v>
      </c>
      <c r="Z128" s="7">
        <v>0</v>
      </c>
      <c r="AA128" s="7">
        <v>0</v>
      </c>
      <c r="AB128" s="7">
        <v>771.48400000000004</v>
      </c>
      <c r="AC128" s="7">
        <v>0</v>
      </c>
      <c r="AD128" s="7">
        <v>20924.248</v>
      </c>
      <c r="AE128" s="7">
        <v>0</v>
      </c>
      <c r="AF128" s="7">
        <v>0</v>
      </c>
      <c r="AG128" s="7">
        <v>7.4269999999999996</v>
      </c>
      <c r="AH128" s="7">
        <v>1742.74</v>
      </c>
      <c r="AI128" s="7">
        <v>0</v>
      </c>
      <c r="AJ128" s="7">
        <v>54032.87</v>
      </c>
      <c r="AK128" s="7">
        <v>24862.553</v>
      </c>
      <c r="AL128" s="7">
        <v>0</v>
      </c>
      <c r="AM128" s="7">
        <v>158216.53200000001</v>
      </c>
      <c r="AN128" s="7">
        <v>46800.59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137.57</v>
      </c>
      <c r="AW128" s="7">
        <v>0</v>
      </c>
      <c r="AX128" s="7">
        <v>0</v>
      </c>
      <c r="AY128" s="7">
        <v>7296.902</v>
      </c>
      <c r="AZ128" s="7">
        <v>0</v>
      </c>
      <c r="BA128" s="7">
        <v>31.593</v>
      </c>
      <c r="BB128" s="7">
        <v>0</v>
      </c>
      <c r="BC128" s="7">
        <v>232.286</v>
      </c>
      <c r="BD128" s="7">
        <v>0</v>
      </c>
      <c r="BE128" s="7">
        <v>0</v>
      </c>
      <c r="BF128" s="7">
        <v>6627.2569999999996</v>
      </c>
      <c r="BG128" s="7">
        <v>0</v>
      </c>
      <c r="BH128" s="22"/>
    </row>
    <row r="129" spans="1:60" ht="15.75" x14ac:dyDescent="0.25">
      <c r="A129" s="22"/>
      <c r="B129" s="5" t="s">
        <v>245</v>
      </c>
      <c r="C129" s="5" t="s">
        <v>246</v>
      </c>
      <c r="D129" s="7">
        <v>4</v>
      </c>
      <c r="E129" s="7">
        <v>6</v>
      </c>
      <c r="F129" s="7">
        <v>3089.8139999999999</v>
      </c>
      <c r="G129" s="7">
        <v>926.21400000000006</v>
      </c>
      <c r="H129" s="7">
        <v>19.587</v>
      </c>
      <c r="I129" s="7">
        <v>91.316000000000003</v>
      </c>
      <c r="J129" s="7">
        <v>69.058999999999997</v>
      </c>
      <c r="K129" s="7">
        <v>151.85499999999999</v>
      </c>
      <c r="L129" s="7">
        <v>3633.2629999999999</v>
      </c>
      <c r="M129" s="7">
        <v>453.24599999999998</v>
      </c>
      <c r="N129" s="7">
        <v>0</v>
      </c>
      <c r="O129" s="7">
        <v>839.62099999999998</v>
      </c>
      <c r="P129" s="7">
        <v>9760.1110000000008</v>
      </c>
      <c r="Q129" s="7">
        <v>987.94299999999998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302.56799999999998</v>
      </c>
      <c r="X129" s="7">
        <v>0</v>
      </c>
      <c r="Y129" s="7">
        <v>0</v>
      </c>
      <c r="Z129" s="7">
        <v>0</v>
      </c>
      <c r="AA129" s="7">
        <v>13.933</v>
      </c>
      <c r="AB129" s="7">
        <v>95.498999999999995</v>
      </c>
      <c r="AC129" s="7">
        <v>0</v>
      </c>
      <c r="AD129" s="7">
        <v>1523.8920000000001</v>
      </c>
      <c r="AE129" s="7">
        <v>0</v>
      </c>
      <c r="AF129" s="7">
        <v>312.87799999999999</v>
      </c>
      <c r="AG129" s="7">
        <v>0.53200000000000003</v>
      </c>
      <c r="AH129" s="7">
        <v>159.57300000000001</v>
      </c>
      <c r="AI129" s="7">
        <v>0</v>
      </c>
      <c r="AJ129" s="7">
        <v>3859.9050000000002</v>
      </c>
      <c r="AK129" s="7">
        <v>1779.5350000000001</v>
      </c>
      <c r="AL129" s="7">
        <v>0</v>
      </c>
      <c r="AM129" s="7">
        <v>13324.605</v>
      </c>
      <c r="AN129" s="7">
        <v>3349.0859999999998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13.587999999999999</v>
      </c>
      <c r="AW129" s="7">
        <v>0</v>
      </c>
      <c r="AX129" s="7">
        <v>0</v>
      </c>
      <c r="AY129" s="7">
        <v>521.70100000000002</v>
      </c>
      <c r="AZ129" s="7">
        <v>0</v>
      </c>
      <c r="BA129" s="7">
        <v>2.5379999999999998</v>
      </c>
      <c r="BB129" s="7">
        <v>0</v>
      </c>
      <c r="BC129" s="7">
        <v>16.684000000000001</v>
      </c>
      <c r="BD129" s="7">
        <v>0</v>
      </c>
      <c r="BE129" s="7">
        <v>0</v>
      </c>
      <c r="BF129" s="7">
        <v>740.30600000000004</v>
      </c>
      <c r="BG129" s="7">
        <v>0</v>
      </c>
      <c r="BH129" s="22"/>
    </row>
    <row r="130" spans="1:60" ht="15.75" x14ac:dyDescent="0.25">
      <c r="A130" s="22"/>
      <c r="B130" s="5" t="s">
        <v>247</v>
      </c>
      <c r="C130" s="5" t="s">
        <v>248</v>
      </c>
      <c r="D130" s="7">
        <v>6</v>
      </c>
      <c r="E130" s="7">
        <v>6</v>
      </c>
      <c r="F130" s="7">
        <v>29604.73</v>
      </c>
      <c r="G130" s="7">
        <v>481.69499999999999</v>
      </c>
      <c r="H130" s="7">
        <v>0</v>
      </c>
      <c r="I130" s="7">
        <v>0</v>
      </c>
      <c r="J130" s="7">
        <v>0</v>
      </c>
      <c r="K130" s="7">
        <v>0</v>
      </c>
      <c r="L130" s="7">
        <v>20229.131000000001</v>
      </c>
      <c r="M130" s="7">
        <v>1749.114</v>
      </c>
      <c r="N130" s="7">
        <v>0</v>
      </c>
      <c r="O130" s="7">
        <v>12141.040999999999</v>
      </c>
      <c r="P130" s="7">
        <v>75406.149000000005</v>
      </c>
      <c r="Q130" s="7">
        <v>9563.0660000000007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3540.0479999999998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21231.053</v>
      </c>
      <c r="AK130" s="7">
        <v>115.935</v>
      </c>
      <c r="AL130" s="7">
        <v>0</v>
      </c>
      <c r="AM130" s="7">
        <v>86476.076000000001</v>
      </c>
      <c r="AN130" s="7">
        <v>73.980999999999995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22"/>
    </row>
    <row r="131" spans="1:60" ht="15.75" x14ac:dyDescent="0.25">
      <c r="A131" s="22"/>
      <c r="B131" s="5" t="s">
        <v>249</v>
      </c>
      <c r="C131" s="5" t="s">
        <v>250</v>
      </c>
      <c r="D131" s="7">
        <v>6</v>
      </c>
      <c r="E131" s="7">
        <v>6</v>
      </c>
      <c r="F131" s="7">
        <v>42383.917999999998</v>
      </c>
      <c r="G131" s="7">
        <v>5427.3980000000001</v>
      </c>
      <c r="H131" s="7">
        <v>7857.4690000000001</v>
      </c>
      <c r="I131" s="7">
        <v>0</v>
      </c>
      <c r="J131" s="7">
        <v>1375.576</v>
      </c>
      <c r="K131" s="7">
        <v>4612.3130000000001</v>
      </c>
      <c r="L131" s="7">
        <v>38680.455000000002</v>
      </c>
      <c r="M131" s="7">
        <v>4318.6009999999997</v>
      </c>
      <c r="N131" s="7">
        <v>0</v>
      </c>
      <c r="O131" s="7">
        <v>23108.960999999999</v>
      </c>
      <c r="P131" s="7">
        <v>64363.714999999997</v>
      </c>
      <c r="Q131" s="7">
        <v>17801.297999999999</v>
      </c>
      <c r="R131" s="7">
        <v>0</v>
      </c>
      <c r="S131" s="7">
        <v>0</v>
      </c>
      <c r="T131" s="7">
        <v>263.58100000000002</v>
      </c>
      <c r="U131" s="7">
        <v>0</v>
      </c>
      <c r="V131" s="7">
        <v>8.0039999999999996</v>
      </c>
      <c r="W131" s="7">
        <v>0</v>
      </c>
      <c r="X131" s="7">
        <v>0</v>
      </c>
      <c r="Y131" s="7">
        <v>0</v>
      </c>
      <c r="Z131" s="7">
        <v>0</v>
      </c>
      <c r="AA131" s="7">
        <v>614.67899999999997</v>
      </c>
      <c r="AB131" s="7">
        <v>1976.489</v>
      </c>
      <c r="AC131" s="7">
        <v>0</v>
      </c>
      <c r="AD131" s="7">
        <v>15829.751</v>
      </c>
      <c r="AE131" s="7">
        <v>0</v>
      </c>
      <c r="AF131" s="7">
        <v>5499.08</v>
      </c>
      <c r="AG131" s="7">
        <v>0</v>
      </c>
      <c r="AH131" s="7">
        <v>950.18100000000004</v>
      </c>
      <c r="AI131" s="7">
        <v>0</v>
      </c>
      <c r="AJ131" s="7">
        <v>50944.777000000002</v>
      </c>
      <c r="AK131" s="7">
        <v>0</v>
      </c>
      <c r="AL131" s="7">
        <v>0</v>
      </c>
      <c r="AM131" s="7">
        <v>90429.123000000007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22"/>
    </row>
    <row r="132" spans="1:60" ht="15.75" x14ac:dyDescent="0.25">
      <c r="A132" s="22"/>
      <c r="B132" s="5" t="s">
        <v>251</v>
      </c>
      <c r="C132" s="5" t="s">
        <v>252</v>
      </c>
      <c r="D132" s="7">
        <v>6</v>
      </c>
      <c r="E132" s="7">
        <v>6</v>
      </c>
      <c r="F132" s="7">
        <v>10092.395</v>
      </c>
      <c r="G132" s="7">
        <v>2141.9250000000002</v>
      </c>
      <c r="H132" s="7">
        <v>765.26199999999994</v>
      </c>
      <c r="I132" s="7">
        <v>0</v>
      </c>
      <c r="J132" s="7">
        <v>162.00299999999999</v>
      </c>
      <c r="K132" s="7">
        <v>479.68</v>
      </c>
      <c r="L132" s="7">
        <v>8726.3520000000008</v>
      </c>
      <c r="M132" s="7">
        <v>2247.3910000000001</v>
      </c>
      <c r="N132" s="7">
        <v>0</v>
      </c>
      <c r="O132" s="7">
        <v>5109.5860000000002</v>
      </c>
      <c r="P132" s="7">
        <v>36283.260999999999</v>
      </c>
      <c r="Q132" s="7">
        <v>3111.913</v>
      </c>
      <c r="R132" s="7">
        <v>0</v>
      </c>
      <c r="S132" s="7">
        <v>0</v>
      </c>
      <c r="T132" s="7">
        <v>1.0629999999999999</v>
      </c>
      <c r="U132" s="7">
        <v>0</v>
      </c>
      <c r="V132" s="7">
        <v>0</v>
      </c>
      <c r="W132" s="7">
        <v>707.73</v>
      </c>
      <c r="X132" s="7">
        <v>0</v>
      </c>
      <c r="Y132" s="7">
        <v>0</v>
      </c>
      <c r="Z132" s="7">
        <v>0</v>
      </c>
      <c r="AA132" s="7">
        <v>69.572000000000003</v>
      </c>
      <c r="AB132" s="7">
        <v>284.995</v>
      </c>
      <c r="AC132" s="7">
        <v>0</v>
      </c>
      <c r="AD132" s="7">
        <v>3696.799</v>
      </c>
      <c r="AE132" s="7">
        <v>0</v>
      </c>
      <c r="AF132" s="7">
        <v>728.17700000000002</v>
      </c>
      <c r="AG132" s="7">
        <v>0</v>
      </c>
      <c r="AH132" s="7">
        <v>355.59399999999999</v>
      </c>
      <c r="AI132" s="7">
        <v>0</v>
      </c>
      <c r="AJ132" s="7">
        <v>9487.1239999999998</v>
      </c>
      <c r="AK132" s="7">
        <v>4317.6970000000001</v>
      </c>
      <c r="AL132" s="7">
        <v>0</v>
      </c>
      <c r="AM132" s="7">
        <v>35514.675000000003</v>
      </c>
      <c r="AN132" s="7">
        <v>8164.7309999999998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11.346</v>
      </c>
      <c r="AW132" s="7">
        <v>0</v>
      </c>
      <c r="AX132" s="7">
        <v>0</v>
      </c>
      <c r="AY132" s="7">
        <v>1257.222</v>
      </c>
      <c r="AZ132" s="7">
        <v>0</v>
      </c>
      <c r="BA132" s="7">
        <v>6.3890000000000002</v>
      </c>
      <c r="BB132" s="7">
        <v>0</v>
      </c>
      <c r="BC132" s="7">
        <v>82.878</v>
      </c>
      <c r="BD132" s="7">
        <v>0</v>
      </c>
      <c r="BE132" s="7">
        <v>0</v>
      </c>
      <c r="BF132" s="7">
        <v>0</v>
      </c>
      <c r="BG132" s="7">
        <v>0</v>
      </c>
      <c r="BH132" s="22"/>
    </row>
    <row r="133" spans="1:60" ht="15.75" x14ac:dyDescent="0.25">
      <c r="A133" s="22"/>
      <c r="B133" s="5" t="s">
        <v>253</v>
      </c>
      <c r="C133" s="5" t="s">
        <v>254</v>
      </c>
      <c r="D133" s="7">
        <v>6</v>
      </c>
      <c r="E133" s="7">
        <v>6</v>
      </c>
      <c r="F133" s="7">
        <v>111979.10799999999</v>
      </c>
      <c r="G133" s="7">
        <v>12501.657999999999</v>
      </c>
      <c r="H133" s="7">
        <v>6970.2730000000001</v>
      </c>
      <c r="I133" s="7">
        <v>6084.9610000000002</v>
      </c>
      <c r="J133" s="7">
        <v>1048.1220000000001</v>
      </c>
      <c r="K133" s="7">
        <v>4749.68</v>
      </c>
      <c r="L133" s="7">
        <v>120826.447</v>
      </c>
      <c r="M133" s="7">
        <v>9401.8760000000002</v>
      </c>
      <c r="N133" s="7">
        <v>0</v>
      </c>
      <c r="O133" s="7">
        <v>58928.625</v>
      </c>
      <c r="P133" s="7">
        <v>300143.51400000002</v>
      </c>
      <c r="Q133" s="7">
        <v>54158.716999999997</v>
      </c>
      <c r="R133" s="7">
        <v>0</v>
      </c>
      <c r="S133" s="7">
        <v>0</v>
      </c>
      <c r="T133" s="7">
        <v>183.26499999999999</v>
      </c>
      <c r="U133" s="7">
        <v>0</v>
      </c>
      <c r="V133" s="7">
        <v>103.411</v>
      </c>
      <c r="W133" s="7">
        <v>3163.11</v>
      </c>
      <c r="X133" s="7">
        <v>0</v>
      </c>
      <c r="Y133" s="7">
        <v>0</v>
      </c>
      <c r="Z133" s="7">
        <v>0</v>
      </c>
      <c r="AA133" s="7">
        <v>575.9</v>
      </c>
      <c r="AB133" s="7">
        <v>1856.9590000000001</v>
      </c>
      <c r="AC133" s="7">
        <v>0</v>
      </c>
      <c r="AD133" s="7">
        <v>20911.843000000001</v>
      </c>
      <c r="AE133" s="7">
        <v>0</v>
      </c>
      <c r="AF133" s="7">
        <v>5482.7269999999999</v>
      </c>
      <c r="AG133" s="7">
        <v>0</v>
      </c>
      <c r="AH133" s="7">
        <v>948.02200000000005</v>
      </c>
      <c r="AI133" s="7">
        <v>0</v>
      </c>
      <c r="AJ133" s="7">
        <v>83294.447</v>
      </c>
      <c r="AK133" s="7">
        <v>213.71799999999999</v>
      </c>
      <c r="AL133" s="7">
        <v>0</v>
      </c>
      <c r="AM133" s="7">
        <v>279936.03399999999</v>
      </c>
      <c r="AN133" s="7">
        <v>411.52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139.14099999999999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22"/>
    </row>
    <row r="134" spans="1:60" ht="15.75" x14ac:dyDescent="0.25">
      <c r="A134" s="22"/>
      <c r="B134" s="5" t="s">
        <v>255</v>
      </c>
      <c r="C134" s="5" t="s">
        <v>256</v>
      </c>
      <c r="D134" s="7">
        <v>6</v>
      </c>
      <c r="E134" s="7">
        <v>6</v>
      </c>
      <c r="F134" s="7">
        <v>3193.665</v>
      </c>
      <c r="G134" s="7">
        <v>32.206000000000003</v>
      </c>
      <c r="H134" s="7">
        <v>0</v>
      </c>
      <c r="I134" s="7">
        <v>0</v>
      </c>
      <c r="J134" s="7">
        <v>0</v>
      </c>
      <c r="K134" s="7">
        <v>0</v>
      </c>
      <c r="L134" s="7">
        <v>1560.9459999999999</v>
      </c>
      <c r="M134" s="7">
        <v>0</v>
      </c>
      <c r="N134" s="7">
        <v>0</v>
      </c>
      <c r="O134" s="7">
        <v>507.72300000000001</v>
      </c>
      <c r="P134" s="7">
        <v>7844.5829999999996</v>
      </c>
      <c r="Q134" s="7">
        <v>369.04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281.20400000000001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1561.595</v>
      </c>
      <c r="AK134" s="7">
        <v>156.16200000000001</v>
      </c>
      <c r="AL134" s="7">
        <v>0</v>
      </c>
      <c r="AM134" s="7">
        <v>6973.21</v>
      </c>
      <c r="AN134" s="7">
        <v>515.54100000000005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22"/>
    </row>
    <row r="135" spans="1:60" ht="15.75" x14ac:dyDescent="0.25">
      <c r="A135" s="22"/>
      <c r="B135" s="5" t="s">
        <v>257</v>
      </c>
      <c r="C135" s="5" t="s">
        <v>258</v>
      </c>
      <c r="D135" s="7">
        <v>6</v>
      </c>
      <c r="E135" s="7">
        <v>6</v>
      </c>
      <c r="F135" s="7">
        <v>32594.275000000001</v>
      </c>
      <c r="G135" s="7">
        <v>1861.9880000000001</v>
      </c>
      <c r="H135" s="7">
        <v>0</v>
      </c>
      <c r="I135" s="7">
        <v>0</v>
      </c>
      <c r="J135" s="7">
        <v>1.117</v>
      </c>
      <c r="K135" s="7">
        <v>0</v>
      </c>
      <c r="L135" s="7">
        <v>55213.805999999997</v>
      </c>
      <c r="M135" s="7">
        <v>1136.528</v>
      </c>
      <c r="N135" s="7">
        <v>0</v>
      </c>
      <c r="O135" s="7">
        <v>11341.668</v>
      </c>
      <c r="P135" s="7">
        <v>89388.865000000005</v>
      </c>
      <c r="Q135" s="7">
        <v>24042.631000000001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1612.501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22901.199000000001</v>
      </c>
      <c r="AK135" s="7">
        <v>1629.798</v>
      </c>
      <c r="AL135" s="7">
        <v>0</v>
      </c>
      <c r="AM135" s="7">
        <v>81901.331000000006</v>
      </c>
      <c r="AN135" s="7">
        <v>2162.4459999999999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22"/>
    </row>
    <row r="136" spans="1:60" ht="15.75" x14ac:dyDescent="0.25">
      <c r="A136" s="22"/>
      <c r="B136" s="5" t="s">
        <v>259</v>
      </c>
      <c r="C136" s="5" t="s">
        <v>260</v>
      </c>
      <c r="D136" s="7">
        <v>6</v>
      </c>
      <c r="E136" s="7">
        <v>6</v>
      </c>
      <c r="F136" s="7">
        <v>17332.545999999998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16610.358</v>
      </c>
      <c r="M136" s="7">
        <v>0</v>
      </c>
      <c r="N136" s="7">
        <v>0</v>
      </c>
      <c r="O136" s="7">
        <v>2527.6640000000002</v>
      </c>
      <c r="P136" s="7">
        <v>20943.499</v>
      </c>
      <c r="Q136" s="7">
        <v>3249.8649999999998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4333.1400000000003</v>
      </c>
      <c r="AK136" s="7">
        <v>0</v>
      </c>
      <c r="AL136" s="7">
        <v>0</v>
      </c>
      <c r="AM136" s="7">
        <v>26721.013999999999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22"/>
    </row>
    <row r="137" spans="1:60" ht="15.75" x14ac:dyDescent="0.25">
      <c r="A137" s="22"/>
      <c r="B137" s="5" t="s">
        <v>261</v>
      </c>
      <c r="C137" s="5" t="s">
        <v>262</v>
      </c>
      <c r="D137" s="7">
        <v>6</v>
      </c>
      <c r="E137" s="7">
        <v>6</v>
      </c>
      <c r="F137" s="7">
        <v>636884.875</v>
      </c>
      <c r="G137" s="7">
        <v>19047.98</v>
      </c>
      <c r="H137" s="7">
        <v>23111.611000000001</v>
      </c>
      <c r="I137" s="7">
        <v>1783.269</v>
      </c>
      <c r="J137" s="7">
        <v>4532.6769999999997</v>
      </c>
      <c r="K137" s="7">
        <v>13418.538</v>
      </c>
      <c r="L137" s="7">
        <v>579171.76100000006</v>
      </c>
      <c r="M137" s="7">
        <v>44608.847999999998</v>
      </c>
      <c r="N137" s="7">
        <v>0</v>
      </c>
      <c r="O137" s="7">
        <v>259288.503</v>
      </c>
      <c r="P137" s="7">
        <v>927396.929</v>
      </c>
      <c r="Q137" s="7">
        <v>255283.34899999999</v>
      </c>
      <c r="R137" s="7">
        <v>0</v>
      </c>
      <c r="S137" s="7">
        <v>0</v>
      </c>
      <c r="T137" s="7">
        <v>778.96100000000001</v>
      </c>
      <c r="U137" s="7">
        <v>0</v>
      </c>
      <c r="V137" s="7">
        <v>17.077000000000002</v>
      </c>
      <c r="W137" s="7">
        <v>0</v>
      </c>
      <c r="X137" s="7">
        <v>0</v>
      </c>
      <c r="Y137" s="7">
        <v>0</v>
      </c>
      <c r="Z137" s="7">
        <v>0</v>
      </c>
      <c r="AA137" s="7">
        <v>1311.4960000000001</v>
      </c>
      <c r="AB137" s="7">
        <v>4325.585</v>
      </c>
      <c r="AC137" s="7">
        <v>0</v>
      </c>
      <c r="AD137" s="7">
        <v>103267.81600000001</v>
      </c>
      <c r="AE137" s="7">
        <v>0</v>
      </c>
      <c r="AF137" s="7">
        <v>14353.799000000001</v>
      </c>
      <c r="AG137" s="7">
        <v>0</v>
      </c>
      <c r="AH137" s="7">
        <v>2027.33</v>
      </c>
      <c r="AI137" s="7">
        <v>0</v>
      </c>
      <c r="AJ137" s="7">
        <v>445295.17599999998</v>
      </c>
      <c r="AK137" s="7">
        <v>2540.4380000000001</v>
      </c>
      <c r="AL137" s="7">
        <v>0</v>
      </c>
      <c r="AM137" s="7">
        <v>1283248.9550000001</v>
      </c>
      <c r="AN137" s="7">
        <v>6855.2039999999997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174.858</v>
      </c>
      <c r="BD137" s="7">
        <v>0</v>
      </c>
      <c r="BE137" s="7">
        <v>0</v>
      </c>
      <c r="BF137" s="7">
        <v>0</v>
      </c>
      <c r="BG137" s="7">
        <v>0</v>
      </c>
      <c r="BH137" s="22"/>
    </row>
    <row r="138" spans="1:60" ht="15.75" x14ac:dyDescent="0.25">
      <c r="A138" s="22"/>
      <c r="B138" s="5" t="s">
        <v>263</v>
      </c>
      <c r="C138" s="5" t="s">
        <v>264</v>
      </c>
      <c r="D138" s="7">
        <v>4</v>
      </c>
      <c r="E138" s="7">
        <v>4</v>
      </c>
      <c r="F138" s="7">
        <v>238.56399999999999</v>
      </c>
      <c r="G138" s="7">
        <v>70.567999999999998</v>
      </c>
      <c r="H138" s="7">
        <v>13.119</v>
      </c>
      <c r="I138" s="7">
        <v>0</v>
      </c>
      <c r="J138" s="7">
        <v>4.492</v>
      </c>
      <c r="K138" s="7">
        <v>8.2230000000000008</v>
      </c>
      <c r="L138" s="7">
        <v>303.88799999999998</v>
      </c>
      <c r="M138" s="7">
        <v>27.52</v>
      </c>
      <c r="N138" s="7">
        <v>0</v>
      </c>
      <c r="O138" s="7">
        <v>56.493000000000002</v>
      </c>
      <c r="P138" s="7">
        <v>795.47400000000005</v>
      </c>
      <c r="Q138" s="7">
        <v>61.683</v>
      </c>
      <c r="R138" s="7">
        <v>0</v>
      </c>
      <c r="S138" s="7">
        <v>0</v>
      </c>
      <c r="T138" s="7">
        <v>3.5999999999999997E-2</v>
      </c>
      <c r="U138" s="7">
        <v>0</v>
      </c>
      <c r="V138" s="7">
        <v>0</v>
      </c>
      <c r="W138" s="7">
        <v>22.535</v>
      </c>
      <c r="X138" s="7">
        <v>0</v>
      </c>
      <c r="Y138" s="7">
        <v>0</v>
      </c>
      <c r="Z138" s="7">
        <v>0</v>
      </c>
      <c r="AA138" s="7">
        <v>1.1930000000000001</v>
      </c>
      <c r="AB138" s="7">
        <v>7.1920000000000002</v>
      </c>
      <c r="AC138" s="7">
        <v>0</v>
      </c>
      <c r="AD138" s="7">
        <v>126.254</v>
      </c>
      <c r="AE138" s="7">
        <v>0</v>
      </c>
      <c r="AF138" s="7">
        <v>8.7949999999999999</v>
      </c>
      <c r="AG138" s="7">
        <v>0</v>
      </c>
      <c r="AH138" s="7">
        <v>11.662000000000001</v>
      </c>
      <c r="AI138" s="7">
        <v>0</v>
      </c>
      <c r="AJ138" s="7">
        <v>294.88499999999999</v>
      </c>
      <c r="AK138" s="7">
        <v>157.87200000000001</v>
      </c>
      <c r="AL138" s="7">
        <v>0</v>
      </c>
      <c r="AM138" s="7">
        <v>1019.913</v>
      </c>
      <c r="AN138" s="7">
        <v>130.05199999999999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0.36499999999999999</v>
      </c>
      <c r="AW138" s="7">
        <v>0</v>
      </c>
      <c r="AX138" s="7">
        <v>0</v>
      </c>
      <c r="AY138" s="7">
        <v>45.802999999999997</v>
      </c>
      <c r="AZ138" s="7">
        <v>0</v>
      </c>
      <c r="BA138" s="7">
        <v>0.20200000000000001</v>
      </c>
      <c r="BB138" s="7">
        <v>0</v>
      </c>
      <c r="BC138" s="7">
        <v>2.133</v>
      </c>
      <c r="BD138" s="7">
        <v>0</v>
      </c>
      <c r="BE138" s="7">
        <v>0</v>
      </c>
      <c r="BF138" s="7">
        <v>0</v>
      </c>
      <c r="BG138" s="7">
        <v>0</v>
      </c>
      <c r="BH138" s="22"/>
    </row>
    <row r="139" spans="1:60" ht="15.75" x14ac:dyDescent="0.25">
      <c r="A139" s="22"/>
      <c r="B139" s="5" t="s">
        <v>265</v>
      </c>
      <c r="C139" s="5" t="s">
        <v>266</v>
      </c>
      <c r="D139" s="7">
        <v>6</v>
      </c>
      <c r="E139" s="7">
        <v>6</v>
      </c>
      <c r="F139" s="7">
        <v>1954.8219999999999</v>
      </c>
      <c r="G139" s="7">
        <v>1.1890000000000001</v>
      </c>
      <c r="H139" s="7">
        <v>0</v>
      </c>
      <c r="I139" s="7">
        <v>0</v>
      </c>
      <c r="J139" s="7">
        <v>0.06</v>
      </c>
      <c r="K139" s="7">
        <v>0</v>
      </c>
      <c r="L139" s="7">
        <v>4125.6220000000003</v>
      </c>
      <c r="M139" s="7">
        <v>0.311</v>
      </c>
      <c r="N139" s="7">
        <v>0</v>
      </c>
      <c r="O139" s="7">
        <v>1035.3599999999999</v>
      </c>
      <c r="P139" s="7">
        <v>5681.8549999999996</v>
      </c>
      <c r="Q139" s="7">
        <v>955.44799999999998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0.36499999999999999</v>
      </c>
      <c r="X139" s="7">
        <v>0</v>
      </c>
      <c r="Y139" s="7">
        <v>0</v>
      </c>
      <c r="Z139" s="7">
        <v>0</v>
      </c>
      <c r="AA139" s="7">
        <v>0</v>
      </c>
      <c r="AB139" s="7">
        <v>8.1000000000000003E-2</v>
      </c>
      <c r="AC139" s="7">
        <v>0</v>
      </c>
      <c r="AD139" s="7">
        <v>841.42499999999995</v>
      </c>
      <c r="AE139" s="7">
        <v>0</v>
      </c>
      <c r="AF139" s="7">
        <v>0</v>
      </c>
      <c r="AG139" s="7">
        <v>0</v>
      </c>
      <c r="AH139" s="7">
        <v>0.19500000000000001</v>
      </c>
      <c r="AI139" s="7">
        <v>0</v>
      </c>
      <c r="AJ139" s="7">
        <v>3287.3719999999998</v>
      </c>
      <c r="AK139" s="7">
        <v>2.9239999999999999</v>
      </c>
      <c r="AL139" s="7">
        <v>0</v>
      </c>
      <c r="AM139" s="7">
        <v>8856.5130000000008</v>
      </c>
      <c r="AN139" s="7">
        <v>5.53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6.0000000000000001E-3</v>
      </c>
      <c r="AW139" s="7">
        <v>0</v>
      </c>
      <c r="AX139" s="7">
        <v>0</v>
      </c>
      <c r="AY139" s="7">
        <v>0.85099999999999998</v>
      </c>
      <c r="AZ139" s="7">
        <v>0</v>
      </c>
      <c r="BA139" s="7">
        <v>3.0000000000000001E-3</v>
      </c>
      <c r="BB139" s="7">
        <v>0</v>
      </c>
      <c r="BC139" s="7">
        <v>2.5000000000000001E-2</v>
      </c>
      <c r="BD139" s="7">
        <v>0</v>
      </c>
      <c r="BE139" s="7">
        <v>0</v>
      </c>
      <c r="BF139" s="7">
        <v>0</v>
      </c>
      <c r="BG139" s="7">
        <v>0</v>
      </c>
      <c r="BH139" s="22"/>
    </row>
    <row r="140" spans="1:60" ht="15.75" x14ac:dyDescent="0.25">
      <c r="A140" s="22"/>
      <c r="B140" s="5" t="s">
        <v>267</v>
      </c>
      <c r="C140" s="5" t="s">
        <v>268</v>
      </c>
      <c r="D140" s="7">
        <v>4</v>
      </c>
      <c r="E140" s="7">
        <v>4</v>
      </c>
      <c r="F140" s="7">
        <v>103.724</v>
      </c>
      <c r="G140" s="7">
        <v>15.237</v>
      </c>
      <c r="H140" s="7">
        <v>19.963000000000001</v>
      </c>
      <c r="I140" s="7">
        <v>0</v>
      </c>
      <c r="J140" s="7">
        <v>3.569</v>
      </c>
      <c r="K140" s="7">
        <v>11.718</v>
      </c>
      <c r="L140" s="7">
        <v>105.491</v>
      </c>
      <c r="M140" s="7">
        <v>9.6539999999999999</v>
      </c>
      <c r="N140" s="7">
        <v>0</v>
      </c>
      <c r="O140" s="7">
        <v>46.375</v>
      </c>
      <c r="P140" s="7">
        <v>125.602</v>
      </c>
      <c r="Q140" s="7">
        <v>46.268000000000001</v>
      </c>
      <c r="R140" s="7">
        <v>0</v>
      </c>
      <c r="S140" s="7">
        <v>0</v>
      </c>
      <c r="T140" s="7">
        <v>0.67</v>
      </c>
      <c r="U140" s="7">
        <v>0</v>
      </c>
      <c r="V140" s="7">
        <v>0.02</v>
      </c>
      <c r="W140" s="7">
        <v>0.44500000000000001</v>
      </c>
      <c r="X140" s="7">
        <v>0</v>
      </c>
      <c r="Y140" s="7">
        <v>0</v>
      </c>
      <c r="Z140" s="7">
        <v>0</v>
      </c>
      <c r="AA140" s="7">
        <v>1.5620000000000001</v>
      </c>
      <c r="AB140" s="7">
        <v>5.1310000000000002</v>
      </c>
      <c r="AC140" s="7">
        <v>0</v>
      </c>
      <c r="AD140" s="7">
        <v>43.19</v>
      </c>
      <c r="AE140" s="7">
        <v>0</v>
      </c>
      <c r="AF140" s="7">
        <v>13.971</v>
      </c>
      <c r="AG140" s="7">
        <v>1E-3</v>
      </c>
      <c r="AH140" s="7">
        <v>2.6619999999999999</v>
      </c>
      <c r="AI140" s="7">
        <v>0</v>
      </c>
      <c r="AJ140" s="7">
        <v>133.858</v>
      </c>
      <c r="AK140" s="7">
        <v>3.5329999999999999</v>
      </c>
      <c r="AL140" s="7">
        <v>0</v>
      </c>
      <c r="AM140" s="7">
        <v>227.67500000000001</v>
      </c>
      <c r="AN140" s="7">
        <v>6.65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0.02</v>
      </c>
      <c r="AW140" s="7">
        <v>0</v>
      </c>
      <c r="AX140" s="7">
        <v>0</v>
      </c>
      <c r="AY140" s="7">
        <v>1.0369999999999999</v>
      </c>
      <c r="AZ140" s="7">
        <v>0</v>
      </c>
      <c r="BA140" s="7">
        <v>4.0000000000000001E-3</v>
      </c>
      <c r="BB140" s="7">
        <v>0</v>
      </c>
      <c r="BC140" s="7">
        <v>3.2000000000000001E-2</v>
      </c>
      <c r="BD140" s="7">
        <v>0</v>
      </c>
      <c r="BE140" s="7">
        <v>0</v>
      </c>
      <c r="BF140" s="7">
        <v>0.94199999999999995</v>
      </c>
      <c r="BG140" s="7">
        <v>0</v>
      </c>
      <c r="BH140" s="22"/>
    </row>
    <row r="141" spans="1:60" ht="15.75" x14ac:dyDescent="0.25">
      <c r="A141" s="22"/>
      <c r="B141" s="5" t="s">
        <v>269</v>
      </c>
      <c r="C141" s="5" t="s">
        <v>270</v>
      </c>
      <c r="D141" s="7">
        <v>6</v>
      </c>
      <c r="E141" s="7">
        <v>6</v>
      </c>
      <c r="F141" s="7">
        <v>1309.2550000000001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1643.655</v>
      </c>
      <c r="M141" s="7">
        <v>0</v>
      </c>
      <c r="N141" s="7">
        <v>0</v>
      </c>
      <c r="O141" s="7">
        <v>702.80499999999995</v>
      </c>
      <c r="P141" s="7">
        <v>3173.953</v>
      </c>
      <c r="Q141" s="7">
        <v>663.13300000000004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606.45100000000002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2408.808</v>
      </c>
      <c r="AK141" s="7">
        <v>0</v>
      </c>
      <c r="AL141" s="7">
        <v>0</v>
      </c>
      <c r="AM141" s="7">
        <v>4947.9669999999996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22"/>
    </row>
    <row r="142" spans="1:60" ht="15.75" x14ac:dyDescent="0.25">
      <c r="A142" s="22"/>
      <c r="B142" s="5" t="s">
        <v>271</v>
      </c>
      <c r="C142" s="5" t="s">
        <v>272</v>
      </c>
      <c r="D142" s="7">
        <v>4</v>
      </c>
      <c r="E142" s="7">
        <v>4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22"/>
    </row>
    <row r="143" spans="1:60" ht="15.75" x14ac:dyDescent="0.25">
      <c r="A143" s="22"/>
      <c r="B143" s="5" t="s">
        <v>273</v>
      </c>
      <c r="C143" s="5" t="s">
        <v>274</v>
      </c>
      <c r="D143" s="7">
        <v>6</v>
      </c>
      <c r="E143" s="7">
        <v>6</v>
      </c>
      <c r="F143" s="7">
        <v>5622.8549999999996</v>
      </c>
      <c r="G143" s="7">
        <v>1763.9680000000001</v>
      </c>
      <c r="H143" s="7">
        <v>0</v>
      </c>
      <c r="I143" s="7">
        <v>9.7650000000000006</v>
      </c>
      <c r="J143" s="7">
        <v>89.346999999999994</v>
      </c>
      <c r="K143" s="7">
        <v>0</v>
      </c>
      <c r="L143" s="7">
        <v>8040.6450000000004</v>
      </c>
      <c r="M143" s="7">
        <v>461.21199999999999</v>
      </c>
      <c r="N143" s="7">
        <v>0</v>
      </c>
      <c r="O143" s="7">
        <v>885.16499999999996</v>
      </c>
      <c r="P143" s="7">
        <v>21180.044999999998</v>
      </c>
      <c r="Q143" s="7">
        <v>1057.2919999999999</v>
      </c>
      <c r="R143" s="7">
        <v>0</v>
      </c>
      <c r="S143" s="7">
        <v>425.779</v>
      </c>
      <c r="T143" s="7">
        <v>0.93100000000000005</v>
      </c>
      <c r="U143" s="7">
        <v>787.28399999999999</v>
      </c>
      <c r="V143" s="7">
        <v>0</v>
      </c>
      <c r="W143" s="7">
        <v>542.08299999999997</v>
      </c>
      <c r="X143" s="7">
        <v>0</v>
      </c>
      <c r="Y143" s="7">
        <v>13411.196</v>
      </c>
      <c r="Z143" s="7">
        <v>0</v>
      </c>
      <c r="AA143" s="7">
        <v>0</v>
      </c>
      <c r="AB143" s="7">
        <v>120.155</v>
      </c>
      <c r="AC143" s="7">
        <v>183854.304</v>
      </c>
      <c r="AD143" s="7">
        <v>3276.8609999999999</v>
      </c>
      <c r="AE143" s="7">
        <v>0</v>
      </c>
      <c r="AF143" s="7">
        <v>0</v>
      </c>
      <c r="AG143" s="7">
        <v>26985.453000000001</v>
      </c>
      <c r="AH143" s="7">
        <v>290.04700000000003</v>
      </c>
      <c r="AI143" s="7">
        <v>0</v>
      </c>
      <c r="AJ143" s="7">
        <v>7862.7650000000003</v>
      </c>
      <c r="AK143" s="7">
        <v>4340.1610000000001</v>
      </c>
      <c r="AL143" s="7">
        <v>0</v>
      </c>
      <c r="AM143" s="7">
        <v>26773.212</v>
      </c>
      <c r="AN143" s="7">
        <v>8207.2119999999995</v>
      </c>
      <c r="AO143" s="7">
        <v>0</v>
      </c>
      <c r="AP143" s="7">
        <v>0</v>
      </c>
      <c r="AQ143" s="7">
        <v>26984.756000000001</v>
      </c>
      <c r="AR143" s="7">
        <v>11653.087</v>
      </c>
      <c r="AS143" s="7">
        <v>0</v>
      </c>
      <c r="AT143" s="7">
        <v>0</v>
      </c>
      <c r="AU143" s="7">
        <v>0</v>
      </c>
      <c r="AV143" s="7">
        <v>8.8719999999999999</v>
      </c>
      <c r="AW143" s="7">
        <v>1865.953</v>
      </c>
      <c r="AX143" s="7">
        <v>0</v>
      </c>
      <c r="AY143" s="7">
        <v>1263.7639999999999</v>
      </c>
      <c r="AZ143" s="7">
        <v>0</v>
      </c>
      <c r="BA143" s="7">
        <v>4.8650000000000002</v>
      </c>
      <c r="BB143" s="7">
        <v>0</v>
      </c>
      <c r="BC143" s="7">
        <v>37.180999999999997</v>
      </c>
      <c r="BD143" s="7">
        <v>0</v>
      </c>
      <c r="BE143" s="7">
        <v>0</v>
      </c>
      <c r="BF143" s="7">
        <v>0</v>
      </c>
      <c r="BG143" s="7">
        <v>13001.832</v>
      </c>
      <c r="BH143" s="22"/>
    </row>
    <row r="144" spans="1:60" ht="15.75" x14ac:dyDescent="0.25">
      <c r="A144" s="22"/>
      <c r="B144" s="5" t="s">
        <v>275</v>
      </c>
      <c r="C144" s="5" t="s">
        <v>276</v>
      </c>
      <c r="D144" s="7">
        <v>6</v>
      </c>
      <c r="E144" s="7">
        <v>6</v>
      </c>
      <c r="F144" s="7">
        <v>-2318.1909999999998</v>
      </c>
      <c r="G144" s="7">
        <v>163.262</v>
      </c>
      <c r="H144" s="7">
        <v>3968.9760000000001</v>
      </c>
      <c r="I144" s="7">
        <v>-179.934</v>
      </c>
      <c r="J144" s="7">
        <v>262.57900000000001</v>
      </c>
      <c r="K144" s="7">
        <v>2698.5439999999999</v>
      </c>
      <c r="L144" s="7">
        <v>-8285.0619999999999</v>
      </c>
      <c r="M144" s="7">
        <v>1674.87</v>
      </c>
      <c r="N144" s="7">
        <v>0</v>
      </c>
      <c r="O144" s="7">
        <v>4304.71</v>
      </c>
      <c r="P144" s="7">
        <v>-24908.241000000002</v>
      </c>
      <c r="Q144" s="7">
        <v>3420.9720000000002</v>
      </c>
      <c r="R144" s="7">
        <v>0</v>
      </c>
      <c r="S144" s="7">
        <v>9.0329999999999995</v>
      </c>
      <c r="T144" s="7">
        <v>36.56</v>
      </c>
      <c r="U144" s="7">
        <v>5.4480000000000004</v>
      </c>
      <c r="V144" s="7">
        <v>26.352</v>
      </c>
      <c r="W144" s="7">
        <v>-30.061</v>
      </c>
      <c r="X144" s="7">
        <v>0</v>
      </c>
      <c r="Y144" s="7">
        <v>147.47300000000001</v>
      </c>
      <c r="Z144" s="7">
        <v>0</v>
      </c>
      <c r="AA144" s="7">
        <v>335.68200000000002</v>
      </c>
      <c r="AB144" s="7">
        <v>738.86</v>
      </c>
      <c r="AC144" s="7">
        <v>-0.23200000000000001</v>
      </c>
      <c r="AD144" s="7">
        <v>325.81099999999998</v>
      </c>
      <c r="AE144" s="7">
        <v>407.72500000000002</v>
      </c>
      <c r="AF144" s="7">
        <v>1940.5239999999999</v>
      </c>
      <c r="AG144" s="7">
        <v>239.43899999999999</v>
      </c>
      <c r="AH144" s="7">
        <v>-60.207000000000001</v>
      </c>
      <c r="AI144" s="7">
        <v>-0.82499999999999996</v>
      </c>
      <c r="AJ144" s="7">
        <v>-3806.5529999999999</v>
      </c>
      <c r="AK144" s="7">
        <v>-4572.6610000000001</v>
      </c>
      <c r="AL144" s="7">
        <v>-27.91</v>
      </c>
      <c r="AM144" s="7">
        <v>-23147.262999999999</v>
      </c>
      <c r="AN144" s="7">
        <v>-7435.1679999999997</v>
      </c>
      <c r="AO144" s="7">
        <v>2405.7350000000001</v>
      </c>
      <c r="AP144" s="7">
        <v>23309.335999999999</v>
      </c>
      <c r="AQ144" s="7">
        <v>242.92</v>
      </c>
      <c r="AR144" s="7">
        <v>150.83000000000001</v>
      </c>
      <c r="AS144" s="7">
        <v>14374.084999999999</v>
      </c>
      <c r="AT144" s="7">
        <v>0</v>
      </c>
      <c r="AU144" s="7">
        <v>7475.4189999999999</v>
      </c>
      <c r="AV144" s="7">
        <v>-29.62</v>
      </c>
      <c r="AW144" s="7">
        <v>15.112</v>
      </c>
      <c r="AX144" s="7">
        <v>0</v>
      </c>
      <c r="AY144" s="7">
        <v>-1369.7850000000001</v>
      </c>
      <c r="AZ144" s="7">
        <v>0</v>
      </c>
      <c r="BA144" s="7">
        <v>0.80200000000000005</v>
      </c>
      <c r="BB144" s="7">
        <v>0</v>
      </c>
      <c r="BC144" s="7">
        <v>118.563</v>
      </c>
      <c r="BD144" s="7">
        <v>0</v>
      </c>
      <c r="BE144" s="7">
        <v>0</v>
      </c>
      <c r="BF144" s="7">
        <v>-3447.0920000000001</v>
      </c>
      <c r="BG144" s="7">
        <v>-1.6E-2</v>
      </c>
      <c r="BH144" s="22"/>
    </row>
    <row r="145" spans="1:60" ht="15.75" x14ac:dyDescent="0.25">
      <c r="A145" s="22"/>
      <c r="B145" s="5" t="s">
        <v>277</v>
      </c>
      <c r="C145" s="5" t="s">
        <v>278</v>
      </c>
      <c r="D145" s="7">
        <v>6</v>
      </c>
      <c r="E145" s="7">
        <v>6</v>
      </c>
      <c r="F145" s="7">
        <v>-707.36400000000003</v>
      </c>
      <c r="G145" s="7">
        <v>43.533999999999999</v>
      </c>
      <c r="H145" s="7">
        <v>-339.84100000000001</v>
      </c>
      <c r="I145" s="7">
        <v>-41.62</v>
      </c>
      <c r="J145" s="7">
        <v>-11.189</v>
      </c>
      <c r="K145" s="7">
        <v>-363.08100000000002</v>
      </c>
      <c r="L145" s="7">
        <v>1004.304</v>
      </c>
      <c r="M145" s="7">
        <v>-73.63</v>
      </c>
      <c r="N145" s="7">
        <v>0</v>
      </c>
      <c r="O145" s="7">
        <v>-514.74199999999996</v>
      </c>
      <c r="P145" s="7">
        <v>4702.1469999999999</v>
      </c>
      <c r="Q145" s="7">
        <v>-440.28100000000001</v>
      </c>
      <c r="R145" s="7">
        <v>0</v>
      </c>
      <c r="S145" s="7">
        <v>0</v>
      </c>
      <c r="T145" s="7">
        <v>-3.3290000000000002</v>
      </c>
      <c r="U145" s="7">
        <v>0</v>
      </c>
      <c r="V145" s="7">
        <v>-1.0209999999999999</v>
      </c>
      <c r="W145" s="7">
        <v>81.804000000000002</v>
      </c>
      <c r="X145" s="7">
        <v>0</v>
      </c>
      <c r="Y145" s="7">
        <v>-1E-3</v>
      </c>
      <c r="Z145" s="7">
        <v>0</v>
      </c>
      <c r="AA145" s="7">
        <v>-44.226999999999997</v>
      </c>
      <c r="AB145" s="7">
        <v>-111.95</v>
      </c>
      <c r="AC145" s="7">
        <v>0</v>
      </c>
      <c r="AD145" s="7">
        <v>-171.58699999999999</v>
      </c>
      <c r="AE145" s="7">
        <v>-1.4E-2</v>
      </c>
      <c r="AF145" s="7">
        <v>-576.96199999999999</v>
      </c>
      <c r="AG145" s="7">
        <v>0.255</v>
      </c>
      <c r="AH145" s="7">
        <v>-31.46</v>
      </c>
      <c r="AI145" s="7">
        <v>2E-3</v>
      </c>
      <c r="AJ145" s="7">
        <v>-601.94299999999998</v>
      </c>
      <c r="AK145" s="7">
        <v>737.86699999999996</v>
      </c>
      <c r="AL145" s="7">
        <v>7.0000000000000001E-3</v>
      </c>
      <c r="AM145" s="7">
        <v>2752.8110000000001</v>
      </c>
      <c r="AN145" s="7">
        <v>1320.922</v>
      </c>
      <c r="AO145" s="7">
        <v>-8.2000000000000003E-2</v>
      </c>
      <c r="AP145" s="7">
        <v>0</v>
      </c>
      <c r="AQ145" s="7">
        <v>4.0000000000000001E-3</v>
      </c>
      <c r="AR145" s="7">
        <v>0</v>
      </c>
      <c r="AS145" s="7">
        <v>0</v>
      </c>
      <c r="AT145" s="7">
        <v>0</v>
      </c>
      <c r="AU145" s="7">
        <v>0</v>
      </c>
      <c r="AV145" s="7">
        <v>2.153</v>
      </c>
      <c r="AW145" s="7">
        <v>0</v>
      </c>
      <c r="AX145" s="7">
        <v>0</v>
      </c>
      <c r="AY145" s="7">
        <v>218.11600000000001</v>
      </c>
      <c r="AZ145" s="7">
        <v>0</v>
      </c>
      <c r="BA145" s="7">
        <v>0.317</v>
      </c>
      <c r="BB145" s="7">
        <v>0</v>
      </c>
      <c r="BC145" s="7">
        <v>4.6399999999999997</v>
      </c>
      <c r="BD145" s="7">
        <v>0</v>
      </c>
      <c r="BE145" s="7">
        <v>0</v>
      </c>
      <c r="BF145" s="7">
        <v>214.995</v>
      </c>
      <c r="BG145" s="7">
        <v>0</v>
      </c>
      <c r="BH145" s="22"/>
    </row>
    <row r="146" spans="1:60" ht="15.75" x14ac:dyDescent="0.25">
      <c r="A146" s="22"/>
      <c r="B146" s="5" t="s">
        <v>279</v>
      </c>
      <c r="C146" s="5" t="s">
        <v>280</v>
      </c>
      <c r="D146" s="7">
        <v>6</v>
      </c>
      <c r="E146" s="7">
        <v>6</v>
      </c>
      <c r="F146" s="7">
        <v>-34103.951999999997</v>
      </c>
      <c r="G146" s="7">
        <v>-8878.2890000000007</v>
      </c>
      <c r="H146" s="7">
        <v>-3892.087</v>
      </c>
      <c r="I146" s="7">
        <v>-432.57600000000002</v>
      </c>
      <c r="J146" s="7">
        <v>-895.18399999999997</v>
      </c>
      <c r="K146" s="7">
        <v>-3331.7069999999999</v>
      </c>
      <c r="L146" s="7">
        <v>-30371.199000000001</v>
      </c>
      <c r="M146" s="7">
        <v>-5119.982</v>
      </c>
      <c r="N146" s="7">
        <v>0</v>
      </c>
      <c r="O146" s="7">
        <v>-13881.302</v>
      </c>
      <c r="P146" s="7">
        <v>-85041.895000000004</v>
      </c>
      <c r="Q146" s="7">
        <v>-13543.111000000001</v>
      </c>
      <c r="R146" s="7">
        <v>0</v>
      </c>
      <c r="S146" s="7">
        <v>-864.98699999999997</v>
      </c>
      <c r="T146" s="7">
        <v>-44.133000000000003</v>
      </c>
      <c r="U146" s="7">
        <v>-1599.3979999999999</v>
      </c>
      <c r="V146" s="7">
        <v>-1.238</v>
      </c>
      <c r="W146" s="7">
        <v>-2832.8330000000001</v>
      </c>
      <c r="X146" s="7">
        <v>0</v>
      </c>
      <c r="Y146" s="7">
        <v>-27245.362000000001</v>
      </c>
      <c r="Z146" s="7">
        <v>0</v>
      </c>
      <c r="AA146" s="7">
        <v>-424.245</v>
      </c>
      <c r="AB146" s="7">
        <v>-1513.8109999999999</v>
      </c>
      <c r="AC146" s="7">
        <v>-173083.307</v>
      </c>
      <c r="AD146" s="7">
        <v>-14338.951999999999</v>
      </c>
      <c r="AE146" s="7">
        <v>0</v>
      </c>
      <c r="AF146" s="7">
        <v>-4703.2269999999999</v>
      </c>
      <c r="AG146" s="7">
        <v>-54822.290999999997</v>
      </c>
      <c r="AH146" s="7">
        <v>-1530.5319999999999</v>
      </c>
      <c r="AI146" s="7">
        <v>3.077</v>
      </c>
      <c r="AJ146" s="7">
        <v>-33557.118999999999</v>
      </c>
      <c r="AK146" s="7">
        <v>-13849.648999999999</v>
      </c>
      <c r="AL146" s="7">
        <v>8.8759999999999994</v>
      </c>
      <c r="AM146" s="7">
        <v>-119071.553</v>
      </c>
      <c r="AN146" s="7">
        <v>-26175.504000000001</v>
      </c>
      <c r="AO146" s="7">
        <v>0</v>
      </c>
      <c r="AP146" s="7">
        <v>0</v>
      </c>
      <c r="AQ146" s="7">
        <v>-54820.572999999997</v>
      </c>
      <c r="AR146" s="7">
        <v>-23673.695</v>
      </c>
      <c r="AS146" s="7">
        <v>0</v>
      </c>
      <c r="AT146" s="7">
        <v>0</v>
      </c>
      <c r="AU146" s="7">
        <v>0</v>
      </c>
      <c r="AV146" s="7">
        <v>-65.799000000000007</v>
      </c>
      <c r="AW146" s="7">
        <v>-3790.7550000000001</v>
      </c>
      <c r="AX146" s="7">
        <v>0</v>
      </c>
      <c r="AY146" s="7">
        <v>-4030.7150000000001</v>
      </c>
      <c r="AZ146" s="7">
        <v>0</v>
      </c>
      <c r="BA146" s="7">
        <v>-24.096</v>
      </c>
      <c r="BB146" s="7">
        <v>0</v>
      </c>
      <c r="BC146" s="7">
        <v>-315.67899999999997</v>
      </c>
      <c r="BD146" s="7">
        <v>0</v>
      </c>
      <c r="BE146" s="7">
        <v>0</v>
      </c>
      <c r="BF146" s="7">
        <v>-2322.4839999999999</v>
      </c>
      <c r="BG146" s="7">
        <v>-12240.127</v>
      </c>
      <c r="BH146" s="22"/>
    </row>
    <row r="147" spans="1:60" ht="15.75" x14ac:dyDescent="0.25">
      <c r="A147" s="22"/>
      <c r="B147" s="5" t="s">
        <v>281</v>
      </c>
      <c r="C147" s="5" t="s">
        <v>282</v>
      </c>
      <c r="D147" s="7">
        <v>6</v>
      </c>
      <c r="E147" s="7">
        <v>6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22"/>
    </row>
    <row r="148" spans="1:60" ht="15.75" x14ac:dyDescent="0.25">
      <c r="A148" s="22"/>
      <c r="B148" s="5" t="s">
        <v>283</v>
      </c>
      <c r="C148" s="5" t="s">
        <v>284</v>
      </c>
      <c r="D148" s="7">
        <v>4</v>
      </c>
      <c r="E148" s="7">
        <v>4</v>
      </c>
      <c r="F148" s="7">
        <v>1581.347</v>
      </c>
      <c r="G148" s="7">
        <v>377.73899999999998</v>
      </c>
      <c r="H148" s="7">
        <v>97.418999999999997</v>
      </c>
      <c r="I148" s="7">
        <v>0</v>
      </c>
      <c r="J148" s="7">
        <v>31.436</v>
      </c>
      <c r="K148" s="7">
        <v>68.953000000000003</v>
      </c>
      <c r="L148" s="7">
        <v>1870.3140000000001</v>
      </c>
      <c r="M148" s="7">
        <v>296.33800000000002</v>
      </c>
      <c r="N148" s="7">
        <v>0</v>
      </c>
      <c r="O148" s="7">
        <v>816.06700000000001</v>
      </c>
      <c r="P148" s="7">
        <v>4249.9089999999997</v>
      </c>
      <c r="Q148" s="7">
        <v>740.65099999999995</v>
      </c>
      <c r="R148" s="7">
        <v>0</v>
      </c>
      <c r="S148" s="7">
        <v>6.181</v>
      </c>
      <c r="T148" s="7">
        <v>0</v>
      </c>
      <c r="U148" s="7">
        <v>4.0650000000000004</v>
      </c>
      <c r="V148" s="7">
        <v>0</v>
      </c>
      <c r="W148" s="7">
        <v>115.706</v>
      </c>
      <c r="X148" s="7">
        <v>0</v>
      </c>
      <c r="Y148" s="7">
        <v>63.749000000000002</v>
      </c>
      <c r="Z148" s="7">
        <v>0</v>
      </c>
      <c r="AA148" s="7">
        <v>6.125</v>
      </c>
      <c r="AB148" s="7">
        <v>34.606000000000002</v>
      </c>
      <c r="AC148" s="7">
        <v>0</v>
      </c>
      <c r="AD148" s="7">
        <v>762.65800000000002</v>
      </c>
      <c r="AE148" s="7">
        <v>43.670999999999999</v>
      </c>
      <c r="AF148" s="7">
        <v>73.076999999999998</v>
      </c>
      <c r="AG148" s="7">
        <v>159.12299999999999</v>
      </c>
      <c r="AH148" s="7">
        <v>62.877000000000002</v>
      </c>
      <c r="AI148" s="7">
        <v>12.617000000000001</v>
      </c>
      <c r="AJ148" s="7">
        <v>1961.0889999999999</v>
      </c>
      <c r="AK148" s="7">
        <v>832.82899999999995</v>
      </c>
      <c r="AL148" s="7">
        <v>64.257999999999996</v>
      </c>
      <c r="AM148" s="7">
        <v>5674.55</v>
      </c>
      <c r="AN148" s="7">
        <v>1568.0070000000001</v>
      </c>
      <c r="AO148" s="7">
        <v>255.482</v>
      </c>
      <c r="AP148" s="7">
        <v>56347.391000000003</v>
      </c>
      <c r="AQ148" s="7">
        <v>141.76599999999999</v>
      </c>
      <c r="AR148" s="7">
        <v>57.143000000000001</v>
      </c>
      <c r="AS148" s="7">
        <v>34747.542999999998</v>
      </c>
      <c r="AT148" s="7">
        <v>0</v>
      </c>
      <c r="AU148" s="7">
        <v>18070.887999999999</v>
      </c>
      <c r="AV148" s="7">
        <v>4.9649999999999999</v>
      </c>
      <c r="AW148" s="7">
        <v>8.7520000000000007</v>
      </c>
      <c r="AX148" s="7">
        <v>0</v>
      </c>
      <c r="AY148" s="7">
        <v>244.71799999999999</v>
      </c>
      <c r="AZ148" s="7">
        <v>0</v>
      </c>
      <c r="BA148" s="7">
        <v>1.365</v>
      </c>
      <c r="BB148" s="7">
        <v>0</v>
      </c>
      <c r="BC148" s="7">
        <v>15.659000000000001</v>
      </c>
      <c r="BD148" s="7">
        <v>0</v>
      </c>
      <c r="BE148" s="7">
        <v>0</v>
      </c>
      <c r="BF148" s="7">
        <v>222.452</v>
      </c>
      <c r="BG148" s="7">
        <v>0</v>
      </c>
      <c r="BH148" s="22"/>
    </row>
    <row r="149" spans="1:60" ht="15.75" x14ac:dyDescent="0.25">
      <c r="A149" s="22"/>
      <c r="B149" s="5" t="s">
        <v>285</v>
      </c>
      <c r="C149" s="5" t="s">
        <v>286</v>
      </c>
      <c r="D149" s="7">
        <v>6</v>
      </c>
      <c r="E149" s="7">
        <v>6</v>
      </c>
      <c r="F149" s="7">
        <v>233381.182</v>
      </c>
      <c r="G149" s="7">
        <v>66504.237999999998</v>
      </c>
      <c r="H149" s="7">
        <v>211.77099999999999</v>
      </c>
      <c r="I149" s="7">
        <v>977.51300000000003</v>
      </c>
      <c r="J149" s="7">
        <v>3627.5010000000002</v>
      </c>
      <c r="K149" s="7">
        <v>1641.837</v>
      </c>
      <c r="L149" s="7">
        <v>319375.98300000001</v>
      </c>
      <c r="M149" s="7">
        <v>29067.489000000001</v>
      </c>
      <c r="N149" s="7">
        <v>0</v>
      </c>
      <c r="O149" s="7">
        <v>38920.084000000003</v>
      </c>
      <c r="P149" s="7">
        <v>790087.10199999996</v>
      </c>
      <c r="Q149" s="7">
        <v>50901.851000000002</v>
      </c>
      <c r="R149" s="7">
        <v>0</v>
      </c>
      <c r="S149" s="7">
        <v>3337.1109999999999</v>
      </c>
      <c r="T149" s="7">
        <v>1.9159999999999999</v>
      </c>
      <c r="U149" s="7">
        <v>3340.2420000000002</v>
      </c>
      <c r="V149" s="7">
        <v>798.822</v>
      </c>
      <c r="W149" s="7">
        <v>20621.276999999998</v>
      </c>
      <c r="X149" s="7">
        <v>0</v>
      </c>
      <c r="Y149" s="7">
        <v>50742.832000000002</v>
      </c>
      <c r="Z149" s="7">
        <v>0</v>
      </c>
      <c r="AA149" s="7">
        <v>150.643</v>
      </c>
      <c r="AB149" s="7">
        <v>5280.8429999999998</v>
      </c>
      <c r="AC149" s="7">
        <v>0</v>
      </c>
      <c r="AD149" s="7">
        <v>131739.30100000001</v>
      </c>
      <c r="AE149" s="7">
        <v>45371.991000000002</v>
      </c>
      <c r="AF149" s="7">
        <v>3382.7339999999999</v>
      </c>
      <c r="AG149" s="7">
        <v>104780.277</v>
      </c>
      <c r="AH149" s="7">
        <v>11360.421</v>
      </c>
      <c r="AI149" s="7">
        <v>8257.9500000000007</v>
      </c>
      <c r="AJ149" s="7">
        <v>338151.05099999998</v>
      </c>
      <c r="AK149" s="7">
        <v>157113.06200000001</v>
      </c>
      <c r="AL149" s="7">
        <v>36411.593999999997</v>
      </c>
      <c r="AM149" s="7">
        <v>1019704.027</v>
      </c>
      <c r="AN149" s="7">
        <v>295814.86099999998</v>
      </c>
      <c r="AO149" s="7">
        <v>269100.85800000001</v>
      </c>
      <c r="AP149" s="7">
        <v>3166158.923</v>
      </c>
      <c r="AQ149" s="7">
        <v>109446.208</v>
      </c>
      <c r="AR149" s="7">
        <v>49124.027999999998</v>
      </c>
      <c r="AS149" s="7">
        <v>1952463.878</v>
      </c>
      <c r="AT149" s="7">
        <v>0</v>
      </c>
      <c r="AU149" s="7">
        <v>1015402.824</v>
      </c>
      <c r="AV149" s="7">
        <v>878.76</v>
      </c>
      <c r="AW149" s="7">
        <v>7751.8019999999997</v>
      </c>
      <c r="AX149" s="7">
        <v>0</v>
      </c>
      <c r="AY149" s="7">
        <v>46084.315000000002</v>
      </c>
      <c r="AZ149" s="7">
        <v>0</v>
      </c>
      <c r="BA149" s="7">
        <v>201.03</v>
      </c>
      <c r="BB149" s="7">
        <v>0</v>
      </c>
      <c r="BC149" s="7">
        <v>1465.5139999999999</v>
      </c>
      <c r="BD149" s="7">
        <v>0</v>
      </c>
      <c r="BE149" s="7">
        <v>0</v>
      </c>
      <c r="BF149" s="7">
        <v>42384.644999999997</v>
      </c>
      <c r="BG149" s="7">
        <v>0</v>
      </c>
      <c r="BH149" s="22"/>
    </row>
    <row r="150" spans="1:60" ht="15.75" x14ac:dyDescent="0.25">
      <c r="A150" s="22"/>
      <c r="B150" s="5" t="s">
        <v>287</v>
      </c>
      <c r="C150" s="5" t="s">
        <v>288</v>
      </c>
      <c r="D150" s="7">
        <v>6</v>
      </c>
      <c r="E150" s="7">
        <v>6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22"/>
    </row>
    <row r="151" spans="1:60" ht="15.75" x14ac:dyDescent="0.25">
      <c r="A151" s="22"/>
      <c r="B151" s="5" t="s">
        <v>289</v>
      </c>
      <c r="C151" s="5" t="s">
        <v>290</v>
      </c>
      <c r="D151" s="7">
        <v>6</v>
      </c>
      <c r="E151" s="7">
        <v>6</v>
      </c>
      <c r="F151" s="7">
        <v>-216559.49600000001</v>
      </c>
      <c r="G151" s="7">
        <v>-61094.606</v>
      </c>
      <c r="H151" s="7">
        <v>-875.40499999999997</v>
      </c>
      <c r="I151" s="7">
        <v>-581.51599999999996</v>
      </c>
      <c r="J151" s="7">
        <v>-3310.1779999999999</v>
      </c>
      <c r="K151" s="7">
        <v>-1148</v>
      </c>
      <c r="L151" s="7">
        <v>-301692.66100000002</v>
      </c>
      <c r="M151" s="7">
        <v>-27450.708999999999</v>
      </c>
      <c r="N151" s="7">
        <v>0</v>
      </c>
      <c r="O151" s="7">
        <v>-34594.074000000001</v>
      </c>
      <c r="P151" s="7">
        <v>-729361.27</v>
      </c>
      <c r="Q151" s="7">
        <v>-46651.175000000003</v>
      </c>
      <c r="R151" s="7">
        <v>0</v>
      </c>
      <c r="S151" s="7">
        <v>-2739.2179999999998</v>
      </c>
      <c r="T151" s="7">
        <v>-3.0000000000000001E-3</v>
      </c>
      <c r="U151" s="7">
        <v>-2324.866</v>
      </c>
      <c r="V151" s="7">
        <v>-754.55499999999995</v>
      </c>
      <c r="W151" s="7">
        <v>-18827.149000000001</v>
      </c>
      <c r="X151" s="7">
        <v>0</v>
      </c>
      <c r="Y151" s="7">
        <v>-33837.741999999998</v>
      </c>
      <c r="Z151" s="7">
        <v>0</v>
      </c>
      <c r="AA151" s="7">
        <v>-133.14400000000001</v>
      </c>
      <c r="AB151" s="7">
        <v>-4878.3280000000004</v>
      </c>
      <c r="AC151" s="7">
        <v>0</v>
      </c>
      <c r="AD151" s="7">
        <v>-123208.916</v>
      </c>
      <c r="AE151" s="7">
        <v>-43465.733</v>
      </c>
      <c r="AF151" s="7">
        <v>-1849.1310000000001</v>
      </c>
      <c r="AG151" s="7">
        <v>-70834.460000000006</v>
      </c>
      <c r="AH151" s="7">
        <v>-10422.505999999999</v>
      </c>
      <c r="AI151" s="7">
        <v>-7929.5110000000004</v>
      </c>
      <c r="AJ151" s="7">
        <v>-317905.99800000002</v>
      </c>
      <c r="AK151" s="7">
        <v>-145391.50700000001</v>
      </c>
      <c r="AL151" s="7">
        <v>-35042.305999999997</v>
      </c>
      <c r="AM151" s="7">
        <v>-939120.17200000002</v>
      </c>
      <c r="AN151" s="7">
        <v>-273678.78100000002</v>
      </c>
      <c r="AO151" s="7">
        <v>-257746.03099999999</v>
      </c>
      <c r="AP151" s="7">
        <v>-3020772.4810000001</v>
      </c>
      <c r="AQ151" s="7">
        <v>-75045.328999999998</v>
      </c>
      <c r="AR151" s="7">
        <v>-34167.048999999999</v>
      </c>
      <c r="AS151" s="7">
        <v>-1862808.9410000001</v>
      </c>
      <c r="AT151" s="7">
        <v>0</v>
      </c>
      <c r="AU151" s="7">
        <v>-968776.67299999995</v>
      </c>
      <c r="AV151" s="7">
        <v>-823.16300000000001</v>
      </c>
      <c r="AW151" s="7">
        <v>-5349.4920000000002</v>
      </c>
      <c r="AX151" s="7">
        <v>0</v>
      </c>
      <c r="AY151" s="7">
        <v>-42668.955000000002</v>
      </c>
      <c r="AZ151" s="7">
        <v>0</v>
      </c>
      <c r="BA151" s="7">
        <v>-185.69800000000001</v>
      </c>
      <c r="BB151" s="7">
        <v>0</v>
      </c>
      <c r="BC151" s="7">
        <v>-1362.7829999999999</v>
      </c>
      <c r="BD151" s="7">
        <v>0</v>
      </c>
      <c r="BE151" s="7">
        <v>0</v>
      </c>
      <c r="BF151" s="7">
        <v>-39663.728999999999</v>
      </c>
      <c r="BG151" s="7">
        <v>0</v>
      </c>
      <c r="BH151" s="22"/>
    </row>
    <row r="152" spans="1:60" ht="15.75" x14ac:dyDescent="0.25">
      <c r="A152" s="22"/>
      <c r="B152" s="5" t="s">
        <v>291</v>
      </c>
      <c r="C152" s="5" t="s">
        <v>292</v>
      </c>
      <c r="D152" s="7">
        <v>6</v>
      </c>
      <c r="E152" s="7">
        <v>6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22"/>
    </row>
    <row r="153" spans="1:60" ht="15.75" x14ac:dyDescent="0.25">
      <c r="A153" s="22"/>
      <c r="B153" s="5" t="s">
        <v>293</v>
      </c>
      <c r="C153" s="5" t="s">
        <v>294</v>
      </c>
      <c r="D153" s="7">
        <v>4</v>
      </c>
      <c r="E153" s="7">
        <v>4</v>
      </c>
      <c r="F153" s="7">
        <v>18179.897000000001</v>
      </c>
      <c r="G153" s="7">
        <v>5703.2870000000003</v>
      </c>
      <c r="H153" s="7">
        <v>0</v>
      </c>
      <c r="I153" s="7">
        <v>0</v>
      </c>
      <c r="J153" s="7">
        <v>288.87799999999999</v>
      </c>
      <c r="K153" s="7">
        <v>0</v>
      </c>
      <c r="L153" s="7">
        <v>25997.13</v>
      </c>
      <c r="M153" s="7">
        <v>1491.1949999999999</v>
      </c>
      <c r="N153" s="7">
        <v>0</v>
      </c>
      <c r="O153" s="7">
        <v>2861.9290000000001</v>
      </c>
      <c r="P153" s="7">
        <v>68479.634999999995</v>
      </c>
      <c r="Q153" s="7">
        <v>3418.453</v>
      </c>
      <c r="R153" s="7">
        <v>0</v>
      </c>
      <c r="S153" s="7">
        <v>1.39</v>
      </c>
      <c r="T153" s="7">
        <v>3.008</v>
      </c>
      <c r="U153" s="7">
        <v>2.57</v>
      </c>
      <c r="V153" s="7">
        <v>0</v>
      </c>
      <c r="W153" s="7">
        <v>1752.671</v>
      </c>
      <c r="X153" s="7">
        <v>0</v>
      </c>
      <c r="Y153" s="7">
        <v>43.789000000000001</v>
      </c>
      <c r="Z153" s="7">
        <v>0</v>
      </c>
      <c r="AA153" s="7">
        <v>0</v>
      </c>
      <c r="AB153" s="7">
        <v>388.483</v>
      </c>
      <c r="AC153" s="7">
        <v>278.18</v>
      </c>
      <c r="AD153" s="7">
        <v>10594.795</v>
      </c>
      <c r="AE153" s="7">
        <v>0</v>
      </c>
      <c r="AF153" s="7">
        <v>0</v>
      </c>
      <c r="AG153" s="7">
        <v>88.11</v>
      </c>
      <c r="AH153" s="7">
        <v>937.78399999999999</v>
      </c>
      <c r="AI153" s="7">
        <v>0</v>
      </c>
      <c r="AJ153" s="7">
        <v>25422.008999999998</v>
      </c>
      <c r="AK153" s="7">
        <v>14032.672</v>
      </c>
      <c r="AL153" s="7">
        <v>0</v>
      </c>
      <c r="AM153" s="7">
        <v>86563.539000000004</v>
      </c>
      <c r="AN153" s="7">
        <v>43474.025999999998</v>
      </c>
      <c r="AO153" s="7">
        <v>0</v>
      </c>
      <c r="AP153" s="7">
        <v>0</v>
      </c>
      <c r="AQ153" s="7">
        <v>88.106999999999999</v>
      </c>
      <c r="AR153" s="7">
        <v>38.048000000000002</v>
      </c>
      <c r="AS153" s="7">
        <v>0</v>
      </c>
      <c r="AT153" s="7">
        <v>0</v>
      </c>
      <c r="AU153" s="7">
        <v>0</v>
      </c>
      <c r="AV153" s="7">
        <v>28.686</v>
      </c>
      <c r="AW153" s="7">
        <v>6.093</v>
      </c>
      <c r="AX153" s="7">
        <v>0</v>
      </c>
      <c r="AY153" s="7">
        <v>4086.02</v>
      </c>
      <c r="AZ153" s="7">
        <v>0</v>
      </c>
      <c r="BA153" s="7">
        <v>15.731999999999999</v>
      </c>
      <c r="BB153" s="7">
        <v>0</v>
      </c>
      <c r="BC153" s="7">
        <v>120.19499999999999</v>
      </c>
      <c r="BD153" s="7">
        <v>0</v>
      </c>
      <c r="BE153" s="7">
        <v>0</v>
      </c>
      <c r="BF153" s="7">
        <v>0</v>
      </c>
      <c r="BG153" s="7">
        <v>19.672000000000001</v>
      </c>
      <c r="BH153" s="22"/>
    </row>
    <row r="154" spans="1:60" ht="15.75" x14ac:dyDescent="0.25">
      <c r="A154" s="22"/>
      <c r="B154" s="5" t="s">
        <v>295</v>
      </c>
      <c r="C154" s="5" t="s">
        <v>296</v>
      </c>
      <c r="D154" s="7">
        <v>4</v>
      </c>
      <c r="E154" s="7">
        <v>4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22"/>
    </row>
    <row r="155" spans="1:60" ht="15.75" x14ac:dyDescent="0.25">
      <c r="A155" s="22"/>
      <c r="B155" s="5" t="s">
        <v>297</v>
      </c>
      <c r="C155" s="5" t="s">
        <v>298</v>
      </c>
      <c r="D155" s="7">
        <v>4</v>
      </c>
      <c r="E155" s="7">
        <v>4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22"/>
    </row>
    <row r="156" spans="1:60" ht="15.75" x14ac:dyDescent="0.25">
      <c r="A156" s="22"/>
      <c r="B156" s="5" t="s">
        <v>299</v>
      </c>
      <c r="C156" s="5" t="s">
        <v>300</v>
      </c>
      <c r="D156" s="7">
        <v>4</v>
      </c>
      <c r="E156" s="7">
        <v>4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22"/>
    </row>
    <row r="157" spans="1:60" ht="15.75" x14ac:dyDescent="0.25">
      <c r="A157" s="22"/>
      <c r="B157" s="5" t="s">
        <v>301</v>
      </c>
      <c r="C157" s="5" t="s">
        <v>302</v>
      </c>
      <c r="D157" s="7">
        <v>4</v>
      </c>
      <c r="E157" s="7">
        <v>4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-6.0000000000000001E-3</v>
      </c>
      <c r="T157" s="7">
        <v>0</v>
      </c>
      <c r="U157" s="7">
        <v>-1.2E-2</v>
      </c>
      <c r="V157" s="7">
        <v>0</v>
      </c>
      <c r="W157" s="7">
        <v>0</v>
      </c>
      <c r="X157" s="7">
        <v>0</v>
      </c>
      <c r="Y157" s="7">
        <v>-0.19900000000000001</v>
      </c>
      <c r="Z157" s="7">
        <v>0</v>
      </c>
      <c r="AA157" s="7">
        <v>0</v>
      </c>
      <c r="AB157" s="7">
        <v>0</v>
      </c>
      <c r="AC157" s="7">
        <v>-1.2629999999999999</v>
      </c>
      <c r="AD157" s="7">
        <v>0</v>
      </c>
      <c r="AE157" s="7">
        <v>0</v>
      </c>
      <c r="AF157" s="7">
        <v>0</v>
      </c>
      <c r="AG157" s="7">
        <v>-0.4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-0.4</v>
      </c>
      <c r="AR157" s="7">
        <v>-0.17299999999999999</v>
      </c>
      <c r="AS157" s="7">
        <v>0</v>
      </c>
      <c r="AT157" s="7">
        <v>0</v>
      </c>
      <c r="AU157" s="7">
        <v>0</v>
      </c>
      <c r="AV157" s="7">
        <v>0</v>
      </c>
      <c r="AW157" s="7">
        <v>-2.8000000000000001E-2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-8.8999999999999996E-2</v>
      </c>
      <c r="BH157" s="22"/>
    </row>
    <row r="158" spans="1:60" ht="15.75" x14ac:dyDescent="0.25">
      <c r="A158" s="22"/>
      <c r="B158" s="5" t="s">
        <v>303</v>
      </c>
      <c r="C158" s="5" t="s">
        <v>304</v>
      </c>
      <c r="D158" s="7">
        <v>4</v>
      </c>
      <c r="E158" s="7">
        <v>4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22"/>
    </row>
    <row r="159" spans="1:60" ht="15.75" x14ac:dyDescent="0.25">
      <c r="A159" s="22"/>
      <c r="B159" s="5" t="s">
        <v>305</v>
      </c>
      <c r="C159" s="5" t="s">
        <v>306</v>
      </c>
      <c r="D159" s="7">
        <v>4</v>
      </c>
      <c r="E159" s="7">
        <v>4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22"/>
    </row>
    <row r="160" spans="1:60" ht="15.75" x14ac:dyDescent="0.25">
      <c r="A160" s="22"/>
      <c r="B160" s="5" t="s">
        <v>307</v>
      </c>
      <c r="C160" s="5" t="s">
        <v>308</v>
      </c>
      <c r="D160" s="7">
        <v>4</v>
      </c>
      <c r="E160" s="7">
        <v>4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22"/>
    </row>
    <row r="161" spans="1:60" ht="15.75" x14ac:dyDescent="0.25">
      <c r="A161" s="22"/>
      <c r="B161" s="5" t="s">
        <v>293</v>
      </c>
      <c r="C161" s="5" t="s">
        <v>309</v>
      </c>
      <c r="D161" s="7">
        <v>6</v>
      </c>
      <c r="E161" s="7">
        <v>6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22"/>
    </row>
    <row r="162" spans="1:60" ht="15.75" x14ac:dyDescent="0.25">
      <c r="A162" s="22"/>
      <c r="B162" s="5" t="s">
        <v>310</v>
      </c>
      <c r="C162" s="5" t="s">
        <v>311</v>
      </c>
      <c r="D162" s="7">
        <v>6</v>
      </c>
      <c r="E162" s="7">
        <v>6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22"/>
    </row>
    <row r="163" spans="1:60" ht="15.75" x14ac:dyDescent="0.25">
      <c r="A163" s="22"/>
      <c r="B163" s="5" t="s">
        <v>312</v>
      </c>
      <c r="C163" s="5" t="s">
        <v>313</v>
      </c>
      <c r="D163" s="7">
        <v>6</v>
      </c>
      <c r="E163" s="7">
        <v>6</v>
      </c>
      <c r="F163" s="7">
        <v>371.46600000000001</v>
      </c>
      <c r="G163" s="7">
        <v>117.67</v>
      </c>
      <c r="H163" s="7">
        <v>39.003</v>
      </c>
      <c r="I163" s="7">
        <v>11.632</v>
      </c>
      <c r="J163" s="7">
        <v>14.138999999999999</v>
      </c>
      <c r="K163" s="7">
        <v>47.784999999999997</v>
      </c>
      <c r="L163" s="7">
        <v>481.90800000000002</v>
      </c>
      <c r="M163" s="7">
        <v>78.399000000000001</v>
      </c>
      <c r="N163" s="7">
        <v>0</v>
      </c>
      <c r="O163" s="7">
        <v>152.81299999999999</v>
      </c>
      <c r="P163" s="7">
        <v>948.495</v>
      </c>
      <c r="Q163" s="7">
        <v>197.227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38.533999999999999</v>
      </c>
      <c r="X163" s="7">
        <v>0</v>
      </c>
      <c r="Y163" s="7">
        <v>0</v>
      </c>
      <c r="Z163" s="7">
        <v>0</v>
      </c>
      <c r="AA163" s="7">
        <v>5.64</v>
      </c>
      <c r="AB163" s="7">
        <v>19.704000000000001</v>
      </c>
      <c r="AC163" s="7">
        <v>0</v>
      </c>
      <c r="AD163" s="7">
        <v>151.74299999999999</v>
      </c>
      <c r="AE163" s="7">
        <v>0</v>
      </c>
      <c r="AF163" s="7">
        <v>75.150999999999996</v>
      </c>
      <c r="AG163" s="7">
        <v>4.1000000000000002E-2</v>
      </c>
      <c r="AH163" s="7">
        <v>19.021999999999998</v>
      </c>
      <c r="AI163" s="7">
        <v>0</v>
      </c>
      <c r="AJ163" s="7">
        <v>382.20600000000002</v>
      </c>
      <c r="AK163" s="7">
        <v>135.624</v>
      </c>
      <c r="AL163" s="7">
        <v>0</v>
      </c>
      <c r="AM163" s="7">
        <v>1437.402</v>
      </c>
      <c r="AN163" s="7">
        <v>255.21100000000001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1.494</v>
      </c>
      <c r="AW163" s="7">
        <v>0</v>
      </c>
      <c r="AX163" s="7">
        <v>0</v>
      </c>
      <c r="AY163" s="7">
        <v>39.731000000000002</v>
      </c>
      <c r="AZ163" s="7">
        <v>0</v>
      </c>
      <c r="BA163" s="7">
        <v>0.222</v>
      </c>
      <c r="BB163" s="7">
        <v>0</v>
      </c>
      <c r="BC163" s="7">
        <v>1.272</v>
      </c>
      <c r="BD163" s="7">
        <v>0</v>
      </c>
      <c r="BE163" s="7">
        <v>0</v>
      </c>
      <c r="BF163" s="7">
        <v>70.103999999999999</v>
      </c>
      <c r="BG163" s="7">
        <v>0</v>
      </c>
      <c r="BH163" s="22"/>
    </row>
    <row r="164" spans="1:60" ht="15.75" x14ac:dyDescent="0.25">
      <c r="A164" s="22"/>
      <c r="B164" s="5" t="s">
        <v>297</v>
      </c>
      <c r="C164" s="5" t="s">
        <v>314</v>
      </c>
      <c r="D164" s="7">
        <v>6</v>
      </c>
      <c r="E164" s="7">
        <v>6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22"/>
    </row>
    <row r="165" spans="1:60" ht="15.75" x14ac:dyDescent="0.25">
      <c r="A165" s="22"/>
      <c r="B165" s="5" t="s">
        <v>299</v>
      </c>
      <c r="C165" s="5" t="s">
        <v>315</v>
      </c>
      <c r="D165" s="7">
        <v>6</v>
      </c>
      <c r="E165" s="7">
        <v>6</v>
      </c>
      <c r="F165" s="7">
        <v>872.48699999999997</v>
      </c>
      <c r="G165" s="7">
        <v>122.06</v>
      </c>
      <c r="H165" s="7">
        <v>176.71100000000001</v>
      </c>
      <c r="I165" s="7">
        <v>0</v>
      </c>
      <c r="J165" s="7">
        <v>30.936</v>
      </c>
      <c r="K165" s="7">
        <v>103.729</v>
      </c>
      <c r="L165" s="7">
        <v>869.90599999999995</v>
      </c>
      <c r="M165" s="7">
        <v>79.828000000000003</v>
      </c>
      <c r="N165" s="7">
        <v>0</v>
      </c>
      <c r="O165" s="7">
        <v>403.71800000000002</v>
      </c>
      <c r="P165" s="7">
        <v>956.38800000000003</v>
      </c>
      <c r="Q165" s="7">
        <v>400.34300000000002</v>
      </c>
      <c r="R165" s="7">
        <v>0</v>
      </c>
      <c r="S165" s="7">
        <v>0</v>
      </c>
      <c r="T165" s="7">
        <v>5.9279999999999999</v>
      </c>
      <c r="U165" s="7">
        <v>0</v>
      </c>
      <c r="V165" s="7">
        <v>0.18</v>
      </c>
      <c r="W165" s="7">
        <v>0</v>
      </c>
      <c r="X165" s="7">
        <v>0</v>
      </c>
      <c r="Y165" s="7">
        <v>0</v>
      </c>
      <c r="Z165" s="7">
        <v>0</v>
      </c>
      <c r="AA165" s="7">
        <v>13.824</v>
      </c>
      <c r="AB165" s="7">
        <v>44.45</v>
      </c>
      <c r="AC165" s="7">
        <v>0</v>
      </c>
      <c r="AD165" s="7">
        <v>356.00400000000002</v>
      </c>
      <c r="AE165" s="7">
        <v>0</v>
      </c>
      <c r="AF165" s="7">
        <v>123.672</v>
      </c>
      <c r="AG165" s="7">
        <v>0</v>
      </c>
      <c r="AH165" s="7">
        <v>21.369</v>
      </c>
      <c r="AI165" s="7">
        <v>0</v>
      </c>
      <c r="AJ165" s="7">
        <v>1116.96</v>
      </c>
      <c r="AK165" s="7">
        <v>0</v>
      </c>
      <c r="AL165" s="7">
        <v>0</v>
      </c>
      <c r="AM165" s="7">
        <v>1816.405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22"/>
    </row>
    <row r="166" spans="1:60" ht="15.75" x14ac:dyDescent="0.25">
      <c r="A166" s="22"/>
      <c r="B166" s="5" t="s">
        <v>301</v>
      </c>
      <c r="C166" s="5" t="s">
        <v>316</v>
      </c>
      <c r="D166" s="7">
        <v>6</v>
      </c>
      <c r="E166" s="7">
        <v>6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22"/>
    </row>
    <row r="167" spans="1:60" ht="15.75" x14ac:dyDescent="0.25">
      <c r="A167" s="22"/>
      <c r="B167" s="5" t="s">
        <v>317</v>
      </c>
      <c r="C167" s="5" t="s">
        <v>318</v>
      </c>
      <c r="D167" s="7">
        <v>6</v>
      </c>
      <c r="E167" s="7">
        <v>6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22"/>
    </row>
    <row r="168" spans="1:60" ht="15.75" x14ac:dyDescent="0.25">
      <c r="A168" s="22"/>
      <c r="B168" s="5" t="s">
        <v>319</v>
      </c>
      <c r="C168" s="5" t="s">
        <v>320</v>
      </c>
      <c r="D168" s="7">
        <v>6</v>
      </c>
      <c r="E168" s="7">
        <v>6</v>
      </c>
      <c r="F168" s="7">
        <v>-127.768</v>
      </c>
      <c r="G168" s="7">
        <v>-38.503999999999998</v>
      </c>
      <c r="H168" s="7">
        <v>-11.848000000000001</v>
      </c>
      <c r="I168" s="7">
        <v>-1.208</v>
      </c>
      <c r="J168" s="7">
        <v>-3.9540000000000002</v>
      </c>
      <c r="K168" s="7">
        <v>-11.036</v>
      </c>
      <c r="L168" s="7">
        <v>-185.50399999999999</v>
      </c>
      <c r="M168" s="7">
        <v>-24.128</v>
      </c>
      <c r="N168" s="7">
        <v>0</v>
      </c>
      <c r="O168" s="7">
        <v>-39.631</v>
      </c>
      <c r="P168" s="7">
        <v>-355.07100000000003</v>
      </c>
      <c r="Q168" s="7">
        <v>-54.691000000000003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-12.093</v>
      </c>
      <c r="X168" s="7">
        <v>0</v>
      </c>
      <c r="Y168" s="7">
        <v>0</v>
      </c>
      <c r="Z168" s="7">
        <v>0</v>
      </c>
      <c r="AA168" s="7">
        <v>-1.411</v>
      </c>
      <c r="AB168" s="7">
        <v>-5.6509999999999998</v>
      </c>
      <c r="AC168" s="7">
        <v>0</v>
      </c>
      <c r="AD168" s="7">
        <v>-60.805</v>
      </c>
      <c r="AE168" s="7">
        <v>0</v>
      </c>
      <c r="AF168" s="7">
        <v>-15.342000000000001</v>
      </c>
      <c r="AG168" s="7">
        <v>-1.7999999999999999E-2</v>
      </c>
      <c r="AH168" s="7">
        <v>-6.202</v>
      </c>
      <c r="AI168" s="7">
        <v>0</v>
      </c>
      <c r="AJ168" s="7">
        <v>-156.00399999999999</v>
      </c>
      <c r="AK168" s="7">
        <v>-58.914999999999999</v>
      </c>
      <c r="AL168" s="7">
        <v>0</v>
      </c>
      <c r="AM168" s="7">
        <v>-502.79899999999998</v>
      </c>
      <c r="AN168" s="7">
        <v>-110.89100000000001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-0.46</v>
      </c>
      <c r="AW168" s="7">
        <v>0</v>
      </c>
      <c r="AX168" s="7">
        <v>0</v>
      </c>
      <c r="AY168" s="7">
        <v>-17.283000000000001</v>
      </c>
      <c r="AZ168" s="7">
        <v>0</v>
      </c>
      <c r="BA168" s="7">
        <v>-8.3000000000000004E-2</v>
      </c>
      <c r="BB168" s="7">
        <v>0</v>
      </c>
      <c r="BC168" s="7">
        <v>-0.55200000000000005</v>
      </c>
      <c r="BD168" s="7">
        <v>0</v>
      </c>
      <c r="BE168" s="7">
        <v>0</v>
      </c>
      <c r="BF168" s="7">
        <v>-19.244</v>
      </c>
      <c r="BG168" s="7">
        <v>0</v>
      </c>
      <c r="BH168" s="22"/>
    </row>
    <row r="169" spans="1:60" ht="15.75" x14ac:dyDescent="0.25">
      <c r="A169" s="22"/>
      <c r="B169" s="5" t="s">
        <v>305</v>
      </c>
      <c r="C169" s="5" t="s">
        <v>321</v>
      </c>
      <c r="D169" s="7">
        <v>6</v>
      </c>
      <c r="E169" s="7">
        <v>6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22"/>
    </row>
    <row r="170" spans="1:60" ht="15.75" x14ac:dyDescent="0.25">
      <c r="A170" s="22"/>
      <c r="B170" s="5" t="s">
        <v>307</v>
      </c>
      <c r="C170" s="5" t="s">
        <v>322</v>
      </c>
      <c r="D170" s="7">
        <v>6</v>
      </c>
      <c r="E170" s="7">
        <v>6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22"/>
    </row>
    <row r="171" spans="1:60" ht="15.75" x14ac:dyDescent="0.25">
      <c r="A171" s="22"/>
      <c r="B171" s="5" t="s">
        <v>323</v>
      </c>
      <c r="C171" s="5" t="s">
        <v>324</v>
      </c>
      <c r="D171" s="7">
        <v>4</v>
      </c>
      <c r="E171" s="7">
        <v>4</v>
      </c>
      <c r="F171" s="7">
        <v>4566.0349999999999</v>
      </c>
      <c r="G171" s="7">
        <v>1388.9190000000001</v>
      </c>
      <c r="H171" s="7">
        <v>0</v>
      </c>
      <c r="I171" s="7">
        <v>0</v>
      </c>
      <c r="J171" s="7">
        <v>70.718999999999994</v>
      </c>
      <c r="K171" s="7">
        <v>0</v>
      </c>
      <c r="L171" s="7">
        <v>6504.54</v>
      </c>
      <c r="M171" s="7">
        <v>427.53300000000002</v>
      </c>
      <c r="N171" s="7">
        <v>0</v>
      </c>
      <c r="O171" s="7">
        <v>712.41399999999999</v>
      </c>
      <c r="P171" s="7">
        <v>16729.466</v>
      </c>
      <c r="Q171" s="7">
        <v>879.15</v>
      </c>
      <c r="R171" s="7">
        <v>0</v>
      </c>
      <c r="S171" s="7">
        <v>0</v>
      </c>
      <c r="T171" s="7">
        <v>0.54300000000000004</v>
      </c>
      <c r="U171" s="7">
        <v>0</v>
      </c>
      <c r="V171" s="7">
        <v>0</v>
      </c>
      <c r="W171" s="7">
        <v>426.52699999999999</v>
      </c>
      <c r="X171" s="7">
        <v>0</v>
      </c>
      <c r="Y171" s="7">
        <v>0</v>
      </c>
      <c r="Z171" s="7">
        <v>0</v>
      </c>
      <c r="AA171" s="7">
        <v>0</v>
      </c>
      <c r="AB171" s="7">
        <v>97.71</v>
      </c>
      <c r="AC171" s="7">
        <v>0</v>
      </c>
      <c r="AD171" s="7">
        <v>2621.567</v>
      </c>
      <c r="AE171" s="7">
        <v>0</v>
      </c>
      <c r="AF171" s="7">
        <v>0</v>
      </c>
      <c r="AG171" s="7">
        <v>0.251</v>
      </c>
      <c r="AH171" s="7">
        <v>230.31</v>
      </c>
      <c r="AI171" s="7">
        <v>0</v>
      </c>
      <c r="AJ171" s="7">
        <v>6419.88</v>
      </c>
      <c r="AK171" s="7">
        <v>3404.7269999999999</v>
      </c>
      <c r="AL171" s="7">
        <v>0</v>
      </c>
      <c r="AM171" s="7">
        <v>21366.392</v>
      </c>
      <c r="AN171" s="7">
        <v>6425.5050000000001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9.8360000000000003</v>
      </c>
      <c r="AW171" s="7">
        <v>0</v>
      </c>
      <c r="AX171" s="7">
        <v>0</v>
      </c>
      <c r="AY171" s="7">
        <v>988.47799999999995</v>
      </c>
      <c r="AZ171" s="7">
        <v>0</v>
      </c>
      <c r="BA171" s="7">
        <v>3.907</v>
      </c>
      <c r="BB171" s="7">
        <v>0</v>
      </c>
      <c r="BC171" s="7">
        <v>29.591000000000001</v>
      </c>
      <c r="BD171" s="7">
        <v>0</v>
      </c>
      <c r="BE171" s="7">
        <v>0</v>
      </c>
      <c r="BF171" s="7">
        <v>224.298</v>
      </c>
      <c r="BG171" s="7">
        <v>0</v>
      </c>
      <c r="BH171" s="22"/>
    </row>
    <row r="172" spans="1:60" ht="15.75" x14ac:dyDescent="0.25">
      <c r="A172" s="22"/>
      <c r="B172" s="5" t="s">
        <v>325</v>
      </c>
      <c r="C172" s="5" t="s">
        <v>326</v>
      </c>
      <c r="D172" s="7">
        <v>4</v>
      </c>
      <c r="E172" s="7">
        <v>4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22"/>
    </row>
    <row r="173" spans="1:60" ht="15.75" x14ac:dyDescent="0.25">
      <c r="A173" s="22"/>
      <c r="B173" s="5" t="s">
        <v>327</v>
      </c>
      <c r="C173" s="5" t="s">
        <v>328</v>
      </c>
      <c r="D173" s="7">
        <v>4</v>
      </c>
      <c r="E173" s="7">
        <v>4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22"/>
    </row>
    <row r="174" spans="1:60" ht="15.75" x14ac:dyDescent="0.25">
      <c r="A174" s="22"/>
      <c r="B174" s="5" t="s">
        <v>329</v>
      </c>
      <c r="C174" s="5" t="s">
        <v>330</v>
      </c>
      <c r="D174" s="7">
        <v>4</v>
      </c>
      <c r="E174" s="7">
        <v>4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22"/>
    </row>
    <row r="175" spans="1:60" ht="15.75" x14ac:dyDescent="0.25">
      <c r="A175" s="22"/>
      <c r="B175" s="5" t="s">
        <v>331</v>
      </c>
      <c r="C175" s="5" t="s">
        <v>332</v>
      </c>
      <c r="D175" s="7">
        <v>4</v>
      </c>
      <c r="E175" s="7">
        <v>4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22"/>
    </row>
    <row r="176" spans="1:60" ht="15.75" x14ac:dyDescent="0.25">
      <c r="A176" s="22"/>
      <c r="B176" s="5" t="s">
        <v>333</v>
      </c>
      <c r="C176" s="5" t="s">
        <v>334</v>
      </c>
      <c r="D176" s="7">
        <v>4</v>
      </c>
      <c r="E176" s="7">
        <v>4</v>
      </c>
      <c r="F176" s="7">
        <v>-6038.7719999999999</v>
      </c>
      <c r="G176" s="7">
        <v>-1783.79</v>
      </c>
      <c r="H176" s="7">
        <v>0</v>
      </c>
      <c r="I176" s="7">
        <v>0</v>
      </c>
      <c r="J176" s="7">
        <v>-90.784999999999997</v>
      </c>
      <c r="K176" s="7">
        <v>0</v>
      </c>
      <c r="L176" s="7">
        <v>-8537.51</v>
      </c>
      <c r="M176" s="7">
        <v>-632.50300000000004</v>
      </c>
      <c r="N176" s="7">
        <v>0</v>
      </c>
      <c r="O176" s="7">
        <v>-923.52800000000002</v>
      </c>
      <c r="P176" s="7">
        <v>-21532.718000000001</v>
      </c>
      <c r="Q176" s="7">
        <v>-1182.78</v>
      </c>
      <c r="R176" s="7">
        <v>0</v>
      </c>
      <c r="S176" s="7">
        <v>0</v>
      </c>
      <c r="T176" s="7">
        <v>-0.44800000000000001</v>
      </c>
      <c r="U176" s="7">
        <v>0</v>
      </c>
      <c r="V176" s="7">
        <v>0</v>
      </c>
      <c r="W176" s="7">
        <v>-547.90599999999995</v>
      </c>
      <c r="X176" s="7">
        <v>0</v>
      </c>
      <c r="Y176" s="7">
        <v>0</v>
      </c>
      <c r="Z176" s="7">
        <v>0</v>
      </c>
      <c r="AA176" s="7">
        <v>0</v>
      </c>
      <c r="AB176" s="7">
        <v>-128.721</v>
      </c>
      <c r="AC176" s="7">
        <v>0</v>
      </c>
      <c r="AD176" s="7">
        <v>-3484.9949999999999</v>
      </c>
      <c r="AE176" s="7">
        <v>0</v>
      </c>
      <c r="AF176" s="7">
        <v>0</v>
      </c>
      <c r="AG176" s="7">
        <v>-0.67900000000000005</v>
      </c>
      <c r="AH176" s="7">
        <v>-299.262</v>
      </c>
      <c r="AI176" s="7">
        <v>0</v>
      </c>
      <c r="AJ176" s="7">
        <v>-8710.5290000000005</v>
      </c>
      <c r="AK176" s="7">
        <v>-4367.2560000000003</v>
      </c>
      <c r="AL176" s="7">
        <v>0</v>
      </c>
      <c r="AM176" s="7">
        <v>-27457.656999999999</v>
      </c>
      <c r="AN176" s="7">
        <v>-8236.8189999999995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-16.808</v>
      </c>
      <c r="AW176" s="7">
        <v>0</v>
      </c>
      <c r="AX176" s="7">
        <v>0</v>
      </c>
      <c r="AY176" s="7">
        <v>-1275.038</v>
      </c>
      <c r="AZ176" s="7">
        <v>0</v>
      </c>
      <c r="BA176" s="7">
        <v>-5.2229999999999999</v>
      </c>
      <c r="BB176" s="7">
        <v>0</v>
      </c>
      <c r="BC176" s="7">
        <v>-39.139000000000003</v>
      </c>
      <c r="BD176" s="7">
        <v>0</v>
      </c>
      <c r="BE176" s="7">
        <v>0</v>
      </c>
      <c r="BF176" s="7">
        <v>-603.447</v>
      </c>
      <c r="BG176" s="7">
        <v>0</v>
      </c>
      <c r="BH176" s="22"/>
    </row>
    <row r="177" spans="1:60" ht="15.75" x14ac:dyDescent="0.25">
      <c r="A177" s="22"/>
      <c r="B177" s="5" t="s">
        <v>335</v>
      </c>
      <c r="C177" s="5" t="s">
        <v>336</v>
      </c>
      <c r="D177" s="7">
        <v>4</v>
      </c>
      <c r="E177" s="7">
        <v>4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22"/>
    </row>
    <row r="178" spans="1:60" ht="15.75" x14ac:dyDescent="0.25">
      <c r="A178" s="22"/>
      <c r="B178" s="5" t="s">
        <v>337</v>
      </c>
      <c r="C178" s="5" t="s">
        <v>338</v>
      </c>
      <c r="D178" s="7">
        <v>4</v>
      </c>
      <c r="E178" s="7">
        <v>4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22"/>
    </row>
    <row r="179" spans="1:60" ht="15.75" x14ac:dyDescent="0.25">
      <c r="A179" s="22"/>
      <c r="B179" s="5" t="s">
        <v>339</v>
      </c>
      <c r="C179" s="5" t="s">
        <v>340</v>
      </c>
      <c r="D179" s="7">
        <v>4</v>
      </c>
      <c r="E179" s="7">
        <v>4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22"/>
    </row>
    <row r="180" spans="1:60" ht="15.75" x14ac:dyDescent="0.25">
      <c r="A180" s="22"/>
      <c r="B180" s="5" t="s">
        <v>341</v>
      </c>
      <c r="C180" s="5" t="s">
        <v>342</v>
      </c>
      <c r="D180" s="7">
        <v>4</v>
      </c>
      <c r="E180" s="7">
        <v>4</v>
      </c>
      <c r="F180" s="7">
        <v>-12.367000000000001</v>
      </c>
      <c r="G180" s="7">
        <v>-3.88</v>
      </c>
      <c r="H180" s="7">
        <v>0</v>
      </c>
      <c r="I180" s="7">
        <v>0</v>
      </c>
      <c r="J180" s="7">
        <v>-0.19700000000000001</v>
      </c>
      <c r="K180" s="7">
        <v>0</v>
      </c>
      <c r="L180" s="7">
        <v>-17.684999999999999</v>
      </c>
      <c r="M180" s="7">
        <v>-1.014</v>
      </c>
      <c r="N180" s="7">
        <v>0</v>
      </c>
      <c r="O180" s="7">
        <v>-1.9470000000000001</v>
      </c>
      <c r="P180" s="7">
        <v>-46.585000000000001</v>
      </c>
      <c r="Q180" s="7">
        <v>-2.3250000000000002</v>
      </c>
      <c r="R180" s="7">
        <v>0</v>
      </c>
      <c r="S180" s="7">
        <v>0</v>
      </c>
      <c r="T180" s="7">
        <v>-2E-3</v>
      </c>
      <c r="U180" s="7">
        <v>0</v>
      </c>
      <c r="V180" s="7">
        <v>0</v>
      </c>
      <c r="W180" s="7">
        <v>-1.1919999999999999</v>
      </c>
      <c r="X180" s="7">
        <v>0</v>
      </c>
      <c r="Y180" s="7">
        <v>0</v>
      </c>
      <c r="Z180" s="7">
        <v>0</v>
      </c>
      <c r="AA180" s="7">
        <v>0</v>
      </c>
      <c r="AB180" s="7">
        <v>-0.26400000000000001</v>
      </c>
      <c r="AC180" s="7">
        <v>0</v>
      </c>
      <c r="AD180" s="7">
        <v>-7.2069999999999999</v>
      </c>
      <c r="AE180" s="7">
        <v>0</v>
      </c>
      <c r="AF180" s="7">
        <v>0</v>
      </c>
      <c r="AG180" s="7">
        <v>0</v>
      </c>
      <c r="AH180" s="7">
        <v>-0.63800000000000001</v>
      </c>
      <c r="AI180" s="7">
        <v>0</v>
      </c>
      <c r="AJ180" s="7">
        <v>-17.294</v>
      </c>
      <c r="AK180" s="7">
        <v>-9.5459999999999994</v>
      </c>
      <c r="AL180" s="7">
        <v>0</v>
      </c>
      <c r="AM180" s="7">
        <v>-58.887</v>
      </c>
      <c r="AN180" s="7">
        <v>-18.052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-0.02</v>
      </c>
      <c r="AW180" s="7">
        <v>0</v>
      </c>
      <c r="AX180" s="7">
        <v>0</v>
      </c>
      <c r="AY180" s="7">
        <v>-2.78</v>
      </c>
      <c r="AZ180" s="7">
        <v>0</v>
      </c>
      <c r="BA180" s="7">
        <v>-1.0999999999999999E-2</v>
      </c>
      <c r="BB180" s="7">
        <v>0</v>
      </c>
      <c r="BC180" s="7">
        <v>-8.2000000000000003E-2</v>
      </c>
      <c r="BD180" s="7">
        <v>0</v>
      </c>
      <c r="BE180" s="7">
        <v>0</v>
      </c>
      <c r="BF180" s="7">
        <v>0</v>
      </c>
      <c r="BG180" s="7">
        <v>0</v>
      </c>
      <c r="BH180" s="22"/>
    </row>
    <row r="181" spans="1:60" ht="15.75" x14ac:dyDescent="0.25">
      <c r="A181" s="22"/>
      <c r="B181" s="5" t="s">
        <v>323</v>
      </c>
      <c r="C181" s="5" t="s">
        <v>343</v>
      </c>
      <c r="D181" s="7">
        <v>6</v>
      </c>
      <c r="E181" s="7">
        <v>6</v>
      </c>
      <c r="F181" s="7">
        <v>98.106999999999999</v>
      </c>
      <c r="G181" s="7">
        <v>30.777000000000001</v>
      </c>
      <c r="H181" s="7">
        <v>0</v>
      </c>
      <c r="I181" s="7">
        <v>0</v>
      </c>
      <c r="J181" s="7">
        <v>1.5589999999999999</v>
      </c>
      <c r="K181" s="7">
        <v>0</v>
      </c>
      <c r="L181" s="7">
        <v>140.292</v>
      </c>
      <c r="M181" s="7">
        <v>8.0470000000000006</v>
      </c>
      <c r="N181" s="7">
        <v>0</v>
      </c>
      <c r="O181" s="7">
        <v>15.444000000000001</v>
      </c>
      <c r="P181" s="7">
        <v>369.54700000000003</v>
      </c>
      <c r="Q181" s="7">
        <v>18.446999999999999</v>
      </c>
      <c r="R181" s="7">
        <v>0</v>
      </c>
      <c r="S181" s="7">
        <v>0</v>
      </c>
      <c r="T181" s="7">
        <v>1.6E-2</v>
      </c>
      <c r="U181" s="7">
        <v>0</v>
      </c>
      <c r="V181" s="7">
        <v>0</v>
      </c>
      <c r="W181" s="7">
        <v>9.4580000000000002</v>
      </c>
      <c r="X181" s="7">
        <v>0</v>
      </c>
      <c r="Y181" s="7">
        <v>0</v>
      </c>
      <c r="Z181" s="7">
        <v>0</v>
      </c>
      <c r="AA181" s="7">
        <v>0</v>
      </c>
      <c r="AB181" s="7">
        <v>2.0960000000000001</v>
      </c>
      <c r="AC181" s="7">
        <v>0</v>
      </c>
      <c r="AD181" s="7">
        <v>57.173999999999999</v>
      </c>
      <c r="AE181" s="7">
        <v>0</v>
      </c>
      <c r="AF181" s="7">
        <v>0</v>
      </c>
      <c r="AG181" s="7">
        <v>0</v>
      </c>
      <c r="AH181" s="7">
        <v>5.0609999999999999</v>
      </c>
      <c r="AI181" s="7">
        <v>0</v>
      </c>
      <c r="AJ181" s="7">
        <v>137.18799999999999</v>
      </c>
      <c r="AK181" s="7">
        <v>75.727000000000004</v>
      </c>
      <c r="AL181" s="7">
        <v>0</v>
      </c>
      <c r="AM181" s="7">
        <v>467.13499999999999</v>
      </c>
      <c r="AN181" s="7">
        <v>143.19800000000001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0.155</v>
      </c>
      <c r="AW181" s="7">
        <v>0</v>
      </c>
      <c r="AX181" s="7">
        <v>0</v>
      </c>
      <c r="AY181" s="7">
        <v>22.05</v>
      </c>
      <c r="AZ181" s="7">
        <v>0</v>
      </c>
      <c r="BA181" s="7">
        <v>8.5000000000000006E-2</v>
      </c>
      <c r="BB181" s="7">
        <v>0</v>
      </c>
      <c r="BC181" s="7">
        <v>0.64900000000000002</v>
      </c>
      <c r="BD181" s="7">
        <v>0</v>
      </c>
      <c r="BE181" s="7">
        <v>0</v>
      </c>
      <c r="BF181" s="7">
        <v>0</v>
      </c>
      <c r="BG181" s="7">
        <v>0</v>
      </c>
      <c r="BH181" s="22"/>
    </row>
    <row r="182" spans="1:60" ht="15.75" x14ac:dyDescent="0.25">
      <c r="A182" s="22"/>
      <c r="B182" s="5" t="s">
        <v>325</v>
      </c>
      <c r="C182" s="5" t="s">
        <v>344</v>
      </c>
      <c r="D182" s="7">
        <v>6</v>
      </c>
      <c r="E182" s="7">
        <v>6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22"/>
    </row>
    <row r="183" spans="1:60" ht="15.75" x14ac:dyDescent="0.25">
      <c r="A183" s="22"/>
      <c r="B183" s="5" t="s">
        <v>327</v>
      </c>
      <c r="C183" s="5" t="s">
        <v>345</v>
      </c>
      <c r="D183" s="7">
        <v>6</v>
      </c>
      <c r="E183" s="7">
        <v>6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22"/>
    </row>
    <row r="184" spans="1:60" ht="15.75" x14ac:dyDescent="0.25">
      <c r="A184" s="22"/>
      <c r="B184" s="5" t="s">
        <v>329</v>
      </c>
      <c r="C184" s="5" t="s">
        <v>346</v>
      </c>
      <c r="D184" s="7">
        <v>6</v>
      </c>
      <c r="E184" s="7">
        <v>6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22"/>
    </row>
    <row r="185" spans="1:60" ht="15.75" x14ac:dyDescent="0.25">
      <c r="A185" s="22"/>
      <c r="B185" s="5" t="s">
        <v>331</v>
      </c>
      <c r="C185" s="5" t="s">
        <v>347</v>
      </c>
      <c r="D185" s="7">
        <v>6</v>
      </c>
      <c r="E185" s="7">
        <v>6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22"/>
    </row>
    <row r="186" spans="1:60" ht="15.75" x14ac:dyDescent="0.25">
      <c r="A186" s="22"/>
      <c r="B186" s="5" t="s">
        <v>333</v>
      </c>
      <c r="C186" s="5" t="s">
        <v>348</v>
      </c>
      <c r="D186" s="7">
        <v>6</v>
      </c>
      <c r="E186" s="7">
        <v>6</v>
      </c>
      <c r="F186" s="7">
        <v>-62.985999999999997</v>
      </c>
      <c r="G186" s="7">
        <v>-19.760000000000002</v>
      </c>
      <c r="H186" s="7">
        <v>0</v>
      </c>
      <c r="I186" s="7">
        <v>0</v>
      </c>
      <c r="J186" s="7">
        <v>-1.0009999999999999</v>
      </c>
      <c r="K186" s="7">
        <v>0</v>
      </c>
      <c r="L186" s="7">
        <v>-90.07</v>
      </c>
      <c r="M186" s="7">
        <v>-5.1660000000000004</v>
      </c>
      <c r="N186" s="7">
        <v>0</v>
      </c>
      <c r="O186" s="7">
        <v>-9.9149999999999991</v>
      </c>
      <c r="P186" s="7">
        <v>-237.25399999999999</v>
      </c>
      <c r="Q186" s="7">
        <v>-11.843999999999999</v>
      </c>
      <c r="R186" s="7">
        <v>0</v>
      </c>
      <c r="S186" s="7">
        <v>0</v>
      </c>
      <c r="T186" s="7">
        <v>-0.01</v>
      </c>
      <c r="U186" s="7">
        <v>0</v>
      </c>
      <c r="V186" s="7">
        <v>0</v>
      </c>
      <c r="W186" s="7">
        <v>-6.0720000000000001</v>
      </c>
      <c r="X186" s="7">
        <v>0</v>
      </c>
      <c r="Y186" s="7">
        <v>0</v>
      </c>
      <c r="Z186" s="7">
        <v>0</v>
      </c>
      <c r="AA186" s="7">
        <v>0</v>
      </c>
      <c r="AB186" s="7">
        <v>-1.3460000000000001</v>
      </c>
      <c r="AC186" s="7">
        <v>0</v>
      </c>
      <c r="AD186" s="7">
        <v>-36.707000000000001</v>
      </c>
      <c r="AE186" s="7">
        <v>0</v>
      </c>
      <c r="AF186" s="7">
        <v>0</v>
      </c>
      <c r="AG186" s="7">
        <v>0</v>
      </c>
      <c r="AH186" s="7">
        <v>-3.2490000000000001</v>
      </c>
      <c r="AI186" s="7">
        <v>0</v>
      </c>
      <c r="AJ186" s="7">
        <v>-88.076999999999998</v>
      </c>
      <c r="AK186" s="7">
        <v>-48.618000000000002</v>
      </c>
      <c r="AL186" s="7">
        <v>0</v>
      </c>
      <c r="AM186" s="7">
        <v>-299.90800000000002</v>
      </c>
      <c r="AN186" s="7">
        <v>-91.935000000000002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-9.9000000000000005E-2</v>
      </c>
      <c r="AW186" s="7">
        <v>0</v>
      </c>
      <c r="AX186" s="7">
        <v>0</v>
      </c>
      <c r="AY186" s="7">
        <v>-14.156000000000001</v>
      </c>
      <c r="AZ186" s="7">
        <v>0</v>
      </c>
      <c r="BA186" s="7">
        <v>-5.5E-2</v>
      </c>
      <c r="BB186" s="7">
        <v>0</v>
      </c>
      <c r="BC186" s="7">
        <v>-0.41599999999999998</v>
      </c>
      <c r="BD186" s="7">
        <v>0</v>
      </c>
      <c r="BE186" s="7">
        <v>0</v>
      </c>
      <c r="BF186" s="7">
        <v>0</v>
      </c>
      <c r="BG186" s="7">
        <v>0</v>
      </c>
      <c r="BH186" s="22"/>
    </row>
    <row r="187" spans="1:60" ht="15.75" x14ac:dyDescent="0.25">
      <c r="A187" s="22"/>
      <c r="B187" s="5" t="s">
        <v>335</v>
      </c>
      <c r="C187" s="5" t="s">
        <v>349</v>
      </c>
      <c r="D187" s="7">
        <v>6</v>
      </c>
      <c r="E187" s="7">
        <v>6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22"/>
    </row>
    <row r="188" spans="1:60" ht="15.75" x14ac:dyDescent="0.25">
      <c r="A188" s="22"/>
      <c r="B188" s="5" t="s">
        <v>337</v>
      </c>
      <c r="C188" s="5" t="s">
        <v>350</v>
      </c>
      <c r="D188" s="7">
        <v>6</v>
      </c>
      <c r="E188" s="7">
        <v>6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22"/>
    </row>
    <row r="189" spans="1:60" ht="15.75" x14ac:dyDescent="0.25">
      <c r="A189" s="22"/>
      <c r="B189" s="5" t="s">
        <v>339</v>
      </c>
      <c r="C189" s="5" t="s">
        <v>351</v>
      </c>
      <c r="D189" s="7">
        <v>6</v>
      </c>
      <c r="E189" s="7">
        <v>6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22"/>
    </row>
    <row r="190" spans="1:60" ht="15.75" x14ac:dyDescent="0.25">
      <c r="A190" s="22"/>
      <c r="B190" s="5" t="s">
        <v>341</v>
      </c>
      <c r="C190" s="5" t="s">
        <v>352</v>
      </c>
      <c r="D190" s="7">
        <v>6</v>
      </c>
      <c r="E190" s="7">
        <v>6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22"/>
    </row>
    <row r="191" spans="1:60" ht="15.75" x14ac:dyDescent="0.25">
      <c r="A191" s="22"/>
      <c r="B191" s="5" t="s">
        <v>353</v>
      </c>
      <c r="C191" s="5" t="s">
        <v>354</v>
      </c>
      <c r="D191" s="7">
        <v>6</v>
      </c>
      <c r="E191" s="7">
        <v>6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22"/>
    </row>
    <row r="192" spans="1:60" ht="15.75" x14ac:dyDescent="0.25">
      <c r="A192" s="22"/>
      <c r="B192" s="5" t="s">
        <v>355</v>
      </c>
      <c r="C192" s="5" t="s">
        <v>356</v>
      </c>
      <c r="D192" s="7">
        <v>6</v>
      </c>
      <c r="E192" s="7">
        <v>6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22"/>
    </row>
    <row r="193" spans="1:60" ht="15.75" x14ac:dyDescent="0.25">
      <c r="A193" s="22"/>
      <c r="B193" s="5" t="s">
        <v>357</v>
      </c>
      <c r="C193" s="5" t="s">
        <v>358</v>
      </c>
      <c r="D193" s="7">
        <v>6</v>
      </c>
      <c r="E193" s="7">
        <v>6</v>
      </c>
      <c r="F193" s="7">
        <v>29.059000000000001</v>
      </c>
      <c r="G193" s="7">
        <v>3.5270000000000001</v>
      </c>
      <c r="H193" s="7">
        <v>13.013</v>
      </c>
      <c r="I193" s="7">
        <v>0</v>
      </c>
      <c r="J193" s="7">
        <v>0.92800000000000005</v>
      </c>
      <c r="K193" s="7">
        <v>8.9030000000000005</v>
      </c>
      <c r="L193" s="7">
        <v>3.464</v>
      </c>
      <c r="M193" s="7">
        <v>8.6120000000000001</v>
      </c>
      <c r="N193" s="7">
        <v>0</v>
      </c>
      <c r="O193" s="7">
        <v>19.163</v>
      </c>
      <c r="P193" s="7">
        <v>13.573</v>
      </c>
      <c r="Q193" s="7">
        <v>18.393999999999998</v>
      </c>
      <c r="R193" s="7">
        <v>0</v>
      </c>
      <c r="S193" s="7">
        <v>0</v>
      </c>
      <c r="T193" s="7">
        <v>8.9999999999999993E-3</v>
      </c>
      <c r="U193" s="7">
        <v>0</v>
      </c>
      <c r="V193" s="7">
        <v>0</v>
      </c>
      <c r="W193" s="7">
        <v>1.3149999999999999</v>
      </c>
      <c r="X193" s="7">
        <v>0</v>
      </c>
      <c r="Y193" s="7">
        <v>0</v>
      </c>
      <c r="Z193" s="7">
        <v>0</v>
      </c>
      <c r="AA193" s="7">
        <v>0.80100000000000005</v>
      </c>
      <c r="AB193" s="7">
        <v>2.645</v>
      </c>
      <c r="AC193" s="7">
        <v>0</v>
      </c>
      <c r="AD193" s="7">
        <v>3.9670000000000001</v>
      </c>
      <c r="AE193" s="7">
        <v>0</v>
      </c>
      <c r="AF193" s="7">
        <v>10.374000000000001</v>
      </c>
      <c r="AG193" s="7">
        <v>0</v>
      </c>
      <c r="AH193" s="7">
        <v>0.51100000000000001</v>
      </c>
      <c r="AI193" s="7">
        <v>0</v>
      </c>
      <c r="AJ193" s="7">
        <v>9.5269999999999992</v>
      </c>
      <c r="AK193" s="7">
        <v>0</v>
      </c>
      <c r="AL193" s="7">
        <v>0</v>
      </c>
      <c r="AM193" s="7">
        <v>43.281999999999996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5.3999999999999999E-2</v>
      </c>
      <c r="AW193" s="7">
        <v>0</v>
      </c>
      <c r="AX193" s="7">
        <v>0</v>
      </c>
      <c r="AY193" s="7">
        <v>0</v>
      </c>
      <c r="AZ193" s="7">
        <v>0</v>
      </c>
      <c r="BA193" s="7">
        <v>5.0000000000000001E-3</v>
      </c>
      <c r="BB193" s="7">
        <v>0</v>
      </c>
      <c r="BC193" s="7">
        <v>0.32100000000000001</v>
      </c>
      <c r="BD193" s="7">
        <v>0</v>
      </c>
      <c r="BE193" s="7">
        <v>0</v>
      </c>
      <c r="BF193" s="7">
        <v>0</v>
      </c>
      <c r="BG193" s="7">
        <v>0</v>
      </c>
      <c r="BH193" s="22"/>
    </row>
    <row r="194" spans="1:60" ht="15.75" x14ac:dyDescent="0.25">
      <c r="A194" s="22"/>
      <c r="B194" s="5" t="s">
        <v>359</v>
      </c>
      <c r="C194" s="5" t="s">
        <v>360</v>
      </c>
      <c r="D194" s="7">
        <v>6</v>
      </c>
      <c r="E194" s="7">
        <v>6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22"/>
    </row>
    <row r="195" spans="1:60" ht="15.75" x14ac:dyDescent="0.25">
      <c r="A195" s="22"/>
      <c r="B195" s="5" t="s">
        <v>361</v>
      </c>
      <c r="C195" s="5" t="s">
        <v>362</v>
      </c>
      <c r="D195" s="7">
        <v>6</v>
      </c>
      <c r="E195" s="7">
        <v>6</v>
      </c>
      <c r="F195" s="7">
        <v>162.64099999999999</v>
      </c>
      <c r="G195" s="7">
        <v>0</v>
      </c>
      <c r="H195" s="7">
        <v>39.603000000000002</v>
      </c>
      <c r="I195" s="7">
        <v>0</v>
      </c>
      <c r="J195" s="7">
        <v>0</v>
      </c>
      <c r="K195" s="7">
        <v>68.885999999999996</v>
      </c>
      <c r="L195" s="7">
        <v>0</v>
      </c>
      <c r="M195" s="7">
        <v>0</v>
      </c>
      <c r="N195" s="7">
        <v>0</v>
      </c>
      <c r="O195" s="7">
        <v>0</v>
      </c>
      <c r="P195" s="7">
        <v>584.98400000000004</v>
      </c>
      <c r="Q195" s="7">
        <v>84.823999999999998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501.47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22"/>
    </row>
    <row r="196" spans="1:60" ht="15.75" x14ac:dyDescent="0.25">
      <c r="A196" s="22"/>
      <c r="B196" s="5" t="s">
        <v>363</v>
      </c>
      <c r="C196" s="5" t="s">
        <v>364</v>
      </c>
      <c r="D196" s="7">
        <v>6</v>
      </c>
      <c r="E196" s="7">
        <v>6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22"/>
    </row>
    <row r="197" spans="1:60" ht="15.75" x14ac:dyDescent="0.25">
      <c r="A197" s="22"/>
      <c r="B197" s="5" t="s">
        <v>365</v>
      </c>
      <c r="C197" s="5" t="s">
        <v>366</v>
      </c>
      <c r="D197" s="7">
        <v>6</v>
      </c>
      <c r="E197" s="7">
        <v>6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22"/>
    </row>
    <row r="198" spans="1:60" ht="15.75" x14ac:dyDescent="0.25">
      <c r="A198" s="22"/>
      <c r="B198" s="5" t="s">
        <v>367</v>
      </c>
      <c r="C198" s="5" t="s">
        <v>368</v>
      </c>
      <c r="D198" s="7">
        <v>6</v>
      </c>
      <c r="E198" s="7">
        <v>6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22"/>
    </row>
    <row r="199" spans="1:60" ht="15.75" x14ac:dyDescent="0.25">
      <c r="A199" s="22"/>
      <c r="B199" s="5" t="s">
        <v>369</v>
      </c>
      <c r="C199" s="5" t="s">
        <v>370</v>
      </c>
      <c r="D199" s="7">
        <v>6</v>
      </c>
      <c r="E199" s="7">
        <v>6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22"/>
    </row>
    <row r="200" spans="1:60" ht="15.75" x14ac:dyDescent="0.25">
      <c r="A200" s="22"/>
      <c r="B200" s="5" t="s">
        <v>371</v>
      </c>
      <c r="C200" s="5" t="s">
        <v>372</v>
      </c>
      <c r="D200" s="7">
        <v>6</v>
      </c>
      <c r="E200" s="7">
        <v>6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22"/>
    </row>
    <row r="201" spans="1:60" ht="15.75" x14ac:dyDescent="0.25">
      <c r="A201" s="22"/>
      <c r="B201" s="5" t="s">
        <v>373</v>
      </c>
      <c r="C201" s="5" t="s">
        <v>374</v>
      </c>
      <c r="D201" s="7">
        <v>3</v>
      </c>
      <c r="E201" s="7">
        <v>6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22"/>
    </row>
    <row r="202" spans="1:60" ht="15.75" x14ac:dyDescent="0.25">
      <c r="A202" s="22"/>
      <c r="B202" s="5" t="s">
        <v>375</v>
      </c>
      <c r="C202" s="5" t="s">
        <v>376</v>
      </c>
      <c r="D202" s="7">
        <v>6</v>
      </c>
      <c r="E202" s="7">
        <v>6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22"/>
    </row>
    <row r="203" spans="1:60" ht="15.75" x14ac:dyDescent="0.25">
      <c r="A203" s="22"/>
      <c r="B203" s="5" t="s">
        <v>377</v>
      </c>
      <c r="C203" s="5" t="s">
        <v>378</v>
      </c>
      <c r="D203" s="7">
        <v>6</v>
      </c>
      <c r="E203" s="7">
        <v>6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22"/>
    </row>
    <row r="204" spans="1:60" ht="15.75" x14ac:dyDescent="0.25">
      <c r="A204" s="22"/>
      <c r="B204" s="5" t="s">
        <v>379</v>
      </c>
      <c r="C204" s="5" t="s">
        <v>380</v>
      </c>
      <c r="D204" s="7">
        <v>6</v>
      </c>
      <c r="E204" s="7">
        <v>6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22"/>
    </row>
    <row r="205" spans="1:60" ht="15.75" x14ac:dyDescent="0.25">
      <c r="A205" s="22"/>
      <c r="B205" s="5" t="s">
        <v>381</v>
      </c>
      <c r="C205" s="5" t="s">
        <v>382</v>
      </c>
      <c r="D205" s="7">
        <v>6</v>
      </c>
      <c r="E205" s="7">
        <v>6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22"/>
    </row>
    <row r="206" spans="1:60" ht="15.75" x14ac:dyDescent="0.25">
      <c r="A206" s="22"/>
      <c r="B206" s="5" t="s">
        <v>383</v>
      </c>
      <c r="C206" s="5" t="s">
        <v>384</v>
      </c>
      <c r="D206" s="7">
        <v>6</v>
      </c>
      <c r="E206" s="7">
        <v>6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22"/>
    </row>
    <row r="207" spans="1:60" ht="15.75" x14ac:dyDescent="0.25">
      <c r="A207" s="22"/>
      <c r="B207" s="5" t="s">
        <v>385</v>
      </c>
      <c r="C207" s="5" t="s">
        <v>386</v>
      </c>
      <c r="D207" s="7">
        <v>6</v>
      </c>
      <c r="E207" s="7">
        <v>6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22"/>
    </row>
    <row r="208" spans="1:60" ht="15.75" x14ac:dyDescent="0.25">
      <c r="A208" s="22"/>
      <c r="B208" s="5" t="s">
        <v>387</v>
      </c>
      <c r="C208" s="5" t="s">
        <v>388</v>
      </c>
      <c r="D208" s="7">
        <v>6</v>
      </c>
      <c r="E208" s="7">
        <v>6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22"/>
    </row>
    <row r="209" spans="1:60" ht="15.75" x14ac:dyDescent="0.25">
      <c r="A209" s="22"/>
      <c r="B209" s="5" t="s">
        <v>389</v>
      </c>
      <c r="C209" s="5" t="s">
        <v>390</v>
      </c>
      <c r="D209" s="7">
        <v>6</v>
      </c>
      <c r="E209" s="7">
        <v>6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22"/>
    </row>
    <row r="210" spans="1:60" ht="15.75" x14ac:dyDescent="0.25">
      <c r="A210" s="22"/>
      <c r="B210" s="5" t="s">
        <v>391</v>
      </c>
      <c r="C210" s="5" t="s">
        <v>392</v>
      </c>
      <c r="D210" s="7">
        <v>6</v>
      </c>
      <c r="E210" s="7">
        <v>6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22"/>
    </row>
    <row r="211" spans="1:60" ht="15.75" x14ac:dyDescent="0.25">
      <c r="A211" s="22"/>
      <c r="B211" s="5" t="s">
        <v>393</v>
      </c>
      <c r="C211" s="5" t="s">
        <v>394</v>
      </c>
      <c r="D211" s="7">
        <v>6</v>
      </c>
      <c r="E211" s="7">
        <v>6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22"/>
    </row>
    <row r="212" spans="1:60" ht="15.75" x14ac:dyDescent="0.25">
      <c r="A212" s="22"/>
      <c r="B212" s="5" t="s">
        <v>395</v>
      </c>
      <c r="C212" s="5" t="s">
        <v>396</v>
      </c>
      <c r="D212" s="7">
        <v>6</v>
      </c>
      <c r="E212" s="7">
        <v>6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22"/>
    </row>
    <row r="213" spans="1:60" ht="15.75" x14ac:dyDescent="0.25">
      <c r="A213" s="22"/>
      <c r="B213" s="5" t="s">
        <v>353</v>
      </c>
      <c r="C213" s="5" t="s">
        <v>397</v>
      </c>
      <c r="D213" s="7">
        <v>6</v>
      </c>
      <c r="E213" s="7">
        <v>6</v>
      </c>
      <c r="F213" s="7">
        <v>1014.824</v>
      </c>
      <c r="G213" s="7">
        <v>141.39599999999999</v>
      </c>
      <c r="H213" s="7">
        <v>210.417</v>
      </c>
      <c r="I213" s="7">
        <v>2.9239999999999999</v>
      </c>
      <c r="J213" s="7">
        <v>35.837000000000003</v>
      </c>
      <c r="K213" s="7">
        <v>121.355</v>
      </c>
      <c r="L213" s="7">
        <v>1023.6130000000001</v>
      </c>
      <c r="M213" s="7">
        <v>93.793999999999997</v>
      </c>
      <c r="N213" s="7">
        <v>0</v>
      </c>
      <c r="O213" s="7">
        <v>474.625</v>
      </c>
      <c r="P213" s="7">
        <v>1119.1289999999999</v>
      </c>
      <c r="Q213" s="7">
        <v>472.36599999999999</v>
      </c>
      <c r="R213" s="7">
        <v>0</v>
      </c>
      <c r="S213" s="7">
        <v>0</v>
      </c>
      <c r="T213" s="7">
        <v>6.867</v>
      </c>
      <c r="U213" s="7">
        <v>0</v>
      </c>
      <c r="V213" s="7">
        <v>0.20899999999999999</v>
      </c>
      <c r="W213" s="7">
        <v>0</v>
      </c>
      <c r="X213" s="7">
        <v>0</v>
      </c>
      <c r="Y213" s="7">
        <v>0</v>
      </c>
      <c r="Z213" s="7">
        <v>0</v>
      </c>
      <c r="AA213" s="7">
        <v>16.013999999999999</v>
      </c>
      <c r="AB213" s="7">
        <v>51.491999999999997</v>
      </c>
      <c r="AC213" s="7">
        <v>0</v>
      </c>
      <c r="AD213" s="7">
        <v>412.40199999999999</v>
      </c>
      <c r="AE213" s="7">
        <v>0</v>
      </c>
      <c r="AF213" s="7">
        <v>143.26400000000001</v>
      </c>
      <c r="AG213" s="7">
        <v>0</v>
      </c>
      <c r="AH213" s="7">
        <v>24.754000000000001</v>
      </c>
      <c r="AI213" s="7">
        <v>0</v>
      </c>
      <c r="AJ213" s="7">
        <v>1293.9079999999999</v>
      </c>
      <c r="AK213" s="7">
        <v>0</v>
      </c>
      <c r="AL213" s="7">
        <v>0</v>
      </c>
      <c r="AM213" s="7">
        <v>2104.1579999999999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22"/>
    </row>
    <row r="214" spans="1:60" ht="15.75" x14ac:dyDescent="0.25">
      <c r="A214" s="22"/>
      <c r="B214" s="5" t="s">
        <v>355</v>
      </c>
      <c r="C214" s="5" t="s">
        <v>398</v>
      </c>
      <c r="D214" s="7">
        <v>6</v>
      </c>
      <c r="E214" s="7">
        <v>6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22"/>
    </row>
    <row r="215" spans="1:60" ht="15.75" x14ac:dyDescent="0.25">
      <c r="A215" s="22"/>
      <c r="B215" s="5" t="s">
        <v>357</v>
      </c>
      <c r="C215" s="5" t="s">
        <v>399</v>
      </c>
      <c r="D215" s="7">
        <v>6</v>
      </c>
      <c r="E215" s="7">
        <v>6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22"/>
    </row>
    <row r="216" spans="1:60" ht="15.75" x14ac:dyDescent="0.25">
      <c r="A216" s="22"/>
      <c r="B216" s="5" t="s">
        <v>359</v>
      </c>
      <c r="C216" s="5" t="s">
        <v>400</v>
      </c>
      <c r="D216" s="7">
        <v>6</v>
      </c>
      <c r="E216" s="7">
        <v>6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22"/>
    </row>
    <row r="217" spans="1:60" ht="15.75" x14ac:dyDescent="0.25">
      <c r="A217" s="22"/>
      <c r="B217" s="5" t="s">
        <v>361</v>
      </c>
      <c r="C217" s="5" t="s">
        <v>401</v>
      </c>
      <c r="D217" s="7">
        <v>6</v>
      </c>
      <c r="E217" s="7">
        <v>6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22"/>
    </row>
    <row r="218" spans="1:60" ht="15.75" x14ac:dyDescent="0.25">
      <c r="A218" s="22"/>
      <c r="B218" s="5" t="s">
        <v>363</v>
      </c>
      <c r="C218" s="5" t="s">
        <v>402</v>
      </c>
      <c r="D218" s="7">
        <v>6</v>
      </c>
      <c r="E218" s="7">
        <v>6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-2E-3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22"/>
    </row>
    <row r="219" spans="1:60" ht="15.75" x14ac:dyDescent="0.25">
      <c r="A219" s="22"/>
      <c r="B219" s="5" t="s">
        <v>365</v>
      </c>
      <c r="C219" s="5" t="s">
        <v>403</v>
      </c>
      <c r="D219" s="7">
        <v>6</v>
      </c>
      <c r="E219" s="7">
        <v>6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22"/>
    </row>
    <row r="220" spans="1:60" ht="15.75" x14ac:dyDescent="0.25">
      <c r="A220" s="22"/>
      <c r="B220" s="5" t="s">
        <v>367</v>
      </c>
      <c r="C220" s="5" t="s">
        <v>404</v>
      </c>
      <c r="D220" s="7">
        <v>6</v>
      </c>
      <c r="E220" s="7">
        <v>6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22"/>
    </row>
    <row r="221" spans="1:60" ht="15.75" x14ac:dyDescent="0.25">
      <c r="A221" s="22"/>
      <c r="B221" s="5" t="s">
        <v>369</v>
      </c>
      <c r="C221" s="5" t="s">
        <v>405</v>
      </c>
      <c r="D221" s="7">
        <v>6</v>
      </c>
      <c r="E221" s="7">
        <v>6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22"/>
    </row>
    <row r="222" spans="1:60" ht="15.75" x14ac:dyDescent="0.25">
      <c r="A222" s="22"/>
      <c r="B222" s="5" t="s">
        <v>371</v>
      </c>
      <c r="C222" s="5" t="s">
        <v>406</v>
      </c>
      <c r="D222" s="7">
        <v>6</v>
      </c>
      <c r="E222" s="7">
        <v>6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22"/>
    </row>
    <row r="223" spans="1:60" ht="15.75" x14ac:dyDescent="0.25">
      <c r="A223" s="22"/>
      <c r="B223" s="5" t="s">
        <v>373</v>
      </c>
      <c r="C223" s="5" t="s">
        <v>407</v>
      </c>
      <c r="D223" s="7">
        <v>6</v>
      </c>
      <c r="E223" s="7">
        <v>6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22"/>
    </row>
    <row r="224" spans="1:60" ht="15.75" x14ac:dyDescent="0.25">
      <c r="A224" s="22"/>
      <c r="B224" s="5" t="s">
        <v>375</v>
      </c>
      <c r="C224" s="5" t="s">
        <v>408</v>
      </c>
      <c r="D224" s="7">
        <v>6</v>
      </c>
      <c r="E224" s="7">
        <v>6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22"/>
    </row>
    <row r="225" spans="1:60" ht="15.75" x14ac:dyDescent="0.25">
      <c r="A225" s="22"/>
      <c r="B225" s="5" t="s">
        <v>377</v>
      </c>
      <c r="C225" s="5" t="s">
        <v>409</v>
      </c>
      <c r="D225" s="7">
        <v>6</v>
      </c>
      <c r="E225" s="7">
        <v>6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22"/>
    </row>
    <row r="226" spans="1:60" ht="15.75" x14ac:dyDescent="0.25">
      <c r="A226" s="22"/>
      <c r="B226" s="5" t="s">
        <v>379</v>
      </c>
      <c r="C226" s="5" t="s">
        <v>410</v>
      </c>
      <c r="D226" s="7">
        <v>6</v>
      </c>
      <c r="E226" s="7">
        <v>6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22"/>
    </row>
    <row r="227" spans="1:60" ht="15.75" x14ac:dyDescent="0.25">
      <c r="A227" s="22"/>
      <c r="B227" s="5" t="s">
        <v>381</v>
      </c>
      <c r="C227" s="5" t="s">
        <v>411</v>
      </c>
      <c r="D227" s="7">
        <v>6</v>
      </c>
      <c r="E227" s="7">
        <v>6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22"/>
    </row>
    <row r="228" spans="1:60" ht="15.75" x14ac:dyDescent="0.25">
      <c r="A228" s="22"/>
      <c r="B228" s="5" t="s">
        <v>383</v>
      </c>
      <c r="C228" s="5" t="s">
        <v>412</v>
      </c>
      <c r="D228" s="7">
        <v>6</v>
      </c>
      <c r="E228" s="7">
        <v>6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22"/>
    </row>
    <row r="229" spans="1:60" ht="15.75" x14ac:dyDescent="0.25">
      <c r="A229" s="22"/>
      <c r="B229" s="5" t="s">
        <v>385</v>
      </c>
      <c r="C229" s="5" t="s">
        <v>413</v>
      </c>
      <c r="D229" s="7">
        <v>6</v>
      </c>
      <c r="E229" s="7">
        <v>6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22"/>
    </row>
    <row r="230" spans="1:60" ht="15.75" x14ac:dyDescent="0.25">
      <c r="A230" s="22"/>
      <c r="B230" s="5" t="s">
        <v>387</v>
      </c>
      <c r="C230" s="5" t="s">
        <v>414</v>
      </c>
      <c r="D230" s="7">
        <v>6</v>
      </c>
      <c r="E230" s="7">
        <v>6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22"/>
    </row>
    <row r="231" spans="1:60" ht="15.75" x14ac:dyDescent="0.25">
      <c r="A231" s="22"/>
      <c r="B231" s="5" t="s">
        <v>389</v>
      </c>
      <c r="C231" s="5" t="s">
        <v>415</v>
      </c>
      <c r="D231" s="7">
        <v>6</v>
      </c>
      <c r="E231" s="7">
        <v>6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22"/>
    </row>
    <row r="232" spans="1:60" ht="15.75" x14ac:dyDescent="0.25">
      <c r="A232" s="22"/>
      <c r="B232" s="5" t="s">
        <v>391</v>
      </c>
      <c r="C232" s="5" t="s">
        <v>416</v>
      </c>
      <c r="D232" s="7">
        <v>6</v>
      </c>
      <c r="E232" s="7">
        <v>6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22"/>
    </row>
    <row r="233" spans="1:60" ht="15.75" x14ac:dyDescent="0.25">
      <c r="A233" s="22"/>
      <c r="B233" s="5" t="s">
        <v>393</v>
      </c>
      <c r="C233" s="5" t="s">
        <v>417</v>
      </c>
      <c r="D233" s="7">
        <v>6</v>
      </c>
      <c r="E233" s="7">
        <v>6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22"/>
    </row>
    <row r="234" spans="1:60" ht="15.75" x14ac:dyDescent="0.25">
      <c r="A234" s="22"/>
      <c r="B234" s="5" t="s">
        <v>395</v>
      </c>
      <c r="C234" s="5" t="s">
        <v>418</v>
      </c>
      <c r="D234" s="7">
        <v>6</v>
      </c>
      <c r="E234" s="7">
        <v>6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22"/>
    </row>
    <row r="235" spans="1:60" ht="15.75" x14ac:dyDescent="0.25">
      <c r="A235" s="22"/>
      <c r="B235" s="5" t="s">
        <v>419</v>
      </c>
      <c r="C235" s="5" t="s">
        <v>420</v>
      </c>
      <c r="D235" s="7">
        <v>6</v>
      </c>
      <c r="E235" s="7">
        <v>6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22"/>
    </row>
    <row r="236" spans="1:60" ht="15.75" x14ac:dyDescent="0.25">
      <c r="A236" s="22"/>
      <c r="B236" s="5" t="s">
        <v>421</v>
      </c>
      <c r="C236" s="5" t="s">
        <v>422</v>
      </c>
      <c r="D236" s="7">
        <v>6</v>
      </c>
      <c r="E236" s="7">
        <v>6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22"/>
    </row>
    <row r="237" spans="1:60" ht="15.75" x14ac:dyDescent="0.25">
      <c r="A237" s="22"/>
      <c r="B237" s="5" t="s">
        <v>423</v>
      </c>
      <c r="C237" s="5" t="s">
        <v>424</v>
      </c>
      <c r="D237" s="7">
        <v>6</v>
      </c>
      <c r="E237" s="7">
        <v>6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22"/>
    </row>
    <row r="238" spans="1:60" ht="15.75" x14ac:dyDescent="0.25">
      <c r="A238" s="22"/>
      <c r="B238" s="5" t="s">
        <v>425</v>
      </c>
      <c r="C238" s="5" t="s">
        <v>426</v>
      </c>
      <c r="D238" s="7">
        <v>6</v>
      </c>
      <c r="E238" s="7">
        <v>6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22"/>
    </row>
    <row r="239" spans="1:60" ht="15.75" x14ac:dyDescent="0.25">
      <c r="A239" s="22"/>
      <c r="B239" s="5" t="s">
        <v>427</v>
      </c>
      <c r="C239" s="5" t="s">
        <v>428</v>
      </c>
      <c r="D239" s="7">
        <v>6</v>
      </c>
      <c r="E239" s="7">
        <v>6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22"/>
    </row>
    <row r="240" spans="1:60" ht="15.75" x14ac:dyDescent="0.25">
      <c r="A240" s="22"/>
      <c r="B240" s="5" t="s">
        <v>429</v>
      </c>
      <c r="C240" s="5" t="s">
        <v>430</v>
      </c>
      <c r="D240" s="7">
        <v>6</v>
      </c>
      <c r="E240" s="7">
        <v>6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22"/>
    </row>
    <row r="241" spans="1:60" ht="15.75" x14ac:dyDescent="0.25">
      <c r="A241" s="22"/>
      <c r="B241" s="5" t="s">
        <v>431</v>
      </c>
      <c r="C241" s="5" t="s">
        <v>432</v>
      </c>
      <c r="D241" s="7">
        <v>6</v>
      </c>
      <c r="E241" s="7">
        <v>6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22"/>
    </row>
    <row r="242" spans="1:60" ht="15.75" x14ac:dyDescent="0.25">
      <c r="A242" s="22"/>
      <c r="B242" s="5" t="s">
        <v>433</v>
      </c>
      <c r="C242" s="5" t="s">
        <v>434</v>
      </c>
      <c r="D242" s="7">
        <v>6</v>
      </c>
      <c r="E242" s="7">
        <v>6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22"/>
    </row>
    <row r="243" spans="1:60" ht="15.75" x14ac:dyDescent="0.25">
      <c r="A243" s="22"/>
      <c r="B243" s="5" t="s">
        <v>435</v>
      </c>
      <c r="C243" s="5" t="s">
        <v>436</v>
      </c>
      <c r="D243" s="7">
        <v>6</v>
      </c>
      <c r="E243" s="7">
        <v>6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22"/>
    </row>
    <row r="244" spans="1:60" ht="15.75" x14ac:dyDescent="0.25">
      <c r="A244" s="22"/>
      <c r="B244" s="5" t="s">
        <v>437</v>
      </c>
      <c r="C244" s="5" t="s">
        <v>438</v>
      </c>
      <c r="D244" s="7">
        <v>6</v>
      </c>
      <c r="E244" s="7">
        <v>6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22"/>
    </row>
    <row r="245" spans="1:60" ht="15.75" x14ac:dyDescent="0.25">
      <c r="A245" s="22"/>
      <c r="B245" s="5" t="s">
        <v>439</v>
      </c>
      <c r="C245" s="5" t="s">
        <v>440</v>
      </c>
      <c r="D245" s="7">
        <v>6</v>
      </c>
      <c r="E245" s="7">
        <v>6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22"/>
    </row>
    <row r="246" spans="1:60" ht="15.75" x14ac:dyDescent="0.25">
      <c r="A246" s="22"/>
      <c r="B246" s="5" t="s">
        <v>441</v>
      </c>
      <c r="C246" s="5" t="s">
        <v>442</v>
      </c>
      <c r="D246" s="7">
        <v>6</v>
      </c>
      <c r="E246" s="7">
        <v>6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22"/>
    </row>
    <row r="247" spans="1:60" ht="15.75" x14ac:dyDescent="0.25">
      <c r="A247" s="22"/>
      <c r="B247" s="5" t="s">
        <v>443</v>
      </c>
      <c r="C247" s="5" t="s">
        <v>444</v>
      </c>
      <c r="D247" s="7">
        <v>6</v>
      </c>
      <c r="E247" s="7">
        <v>6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22"/>
    </row>
    <row r="248" spans="1:60" ht="15.75" x14ac:dyDescent="0.25">
      <c r="A248" s="22"/>
      <c r="B248" s="5" t="s">
        <v>445</v>
      </c>
      <c r="C248" s="5" t="s">
        <v>446</v>
      </c>
      <c r="D248" s="7">
        <v>6</v>
      </c>
      <c r="E248" s="7">
        <v>6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22"/>
    </row>
    <row r="249" spans="1:60" ht="15.75" x14ac:dyDescent="0.25">
      <c r="A249" s="22"/>
      <c r="B249" s="5" t="s">
        <v>447</v>
      </c>
      <c r="C249" s="5" t="s">
        <v>448</v>
      </c>
      <c r="D249" s="7">
        <v>6</v>
      </c>
      <c r="E249" s="7">
        <v>6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22"/>
    </row>
    <row r="250" spans="1:60" ht="15.75" x14ac:dyDescent="0.25">
      <c r="A250" s="22"/>
      <c r="B250" s="5" t="s">
        <v>449</v>
      </c>
      <c r="C250" s="5" t="s">
        <v>450</v>
      </c>
      <c r="D250" s="7">
        <v>6</v>
      </c>
      <c r="E250" s="7">
        <v>6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22"/>
    </row>
    <row r="251" spans="1:60" ht="15.75" x14ac:dyDescent="0.25">
      <c r="A251" s="22"/>
      <c r="B251" s="5" t="s">
        <v>451</v>
      </c>
      <c r="C251" s="5" t="s">
        <v>452</v>
      </c>
      <c r="D251" s="7">
        <v>6</v>
      </c>
      <c r="E251" s="7">
        <v>6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22"/>
    </row>
    <row r="252" spans="1:60" ht="15.75" x14ac:dyDescent="0.25">
      <c r="A252" s="22"/>
      <c r="B252" s="5" t="s">
        <v>453</v>
      </c>
      <c r="C252" s="5" t="s">
        <v>454</v>
      </c>
      <c r="D252" s="7">
        <v>6</v>
      </c>
      <c r="E252" s="7">
        <v>6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22"/>
    </row>
    <row r="253" spans="1:60" ht="15.75" x14ac:dyDescent="0.25">
      <c r="A253" s="22"/>
      <c r="B253" s="5" t="s">
        <v>455</v>
      </c>
      <c r="C253" s="5" t="s">
        <v>456</v>
      </c>
      <c r="D253" s="7">
        <v>6</v>
      </c>
      <c r="E253" s="7">
        <v>6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22"/>
    </row>
    <row r="254" spans="1:60" ht="15.75" x14ac:dyDescent="0.25">
      <c r="A254" s="22"/>
      <c r="B254" s="5" t="s">
        <v>457</v>
      </c>
      <c r="C254" s="5" t="s">
        <v>458</v>
      </c>
      <c r="D254" s="7">
        <v>6</v>
      </c>
      <c r="E254" s="7">
        <v>6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22"/>
    </row>
    <row r="255" spans="1:60" ht="15.75" x14ac:dyDescent="0.25">
      <c r="A255" s="22"/>
      <c r="B255" s="5" t="s">
        <v>459</v>
      </c>
      <c r="C255" s="5" t="s">
        <v>460</v>
      </c>
      <c r="D255" s="7">
        <v>6</v>
      </c>
      <c r="E255" s="7">
        <v>6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22"/>
    </row>
    <row r="256" spans="1:60" ht="15.75" x14ac:dyDescent="0.25">
      <c r="A256" s="22"/>
      <c r="B256" s="5" t="s">
        <v>461</v>
      </c>
      <c r="C256" s="5" t="s">
        <v>462</v>
      </c>
      <c r="D256" s="7">
        <v>6</v>
      </c>
      <c r="E256" s="7">
        <v>6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521.90899999999999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409.49799999999999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22"/>
    </row>
    <row r="257" spans="1:60" ht="15.75" x14ac:dyDescent="0.25">
      <c r="A257" s="22"/>
      <c r="B257" s="5" t="s">
        <v>419</v>
      </c>
      <c r="C257" s="5" t="s">
        <v>463</v>
      </c>
      <c r="D257" s="7">
        <v>6</v>
      </c>
      <c r="E257" s="7">
        <v>6</v>
      </c>
      <c r="F257" s="7">
        <v>0</v>
      </c>
      <c r="G257" s="7">
        <v>0</v>
      </c>
      <c r="H257" s="7">
        <v>0</v>
      </c>
      <c r="I257" s="7">
        <v>0</v>
      </c>
      <c r="J257" s="7">
        <v>7.0000000000000001E-3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0.04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4.5999999999999999E-2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22"/>
    </row>
    <row r="258" spans="1:60" ht="15.75" x14ac:dyDescent="0.25">
      <c r="A258" s="22"/>
      <c r="B258" s="5" t="s">
        <v>421</v>
      </c>
      <c r="C258" s="5" t="s">
        <v>464</v>
      </c>
      <c r="D258" s="7">
        <v>6</v>
      </c>
      <c r="E258" s="7">
        <v>6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22"/>
    </row>
    <row r="259" spans="1:60" ht="15.75" x14ac:dyDescent="0.25">
      <c r="A259" s="22"/>
      <c r="B259" s="5" t="s">
        <v>423</v>
      </c>
      <c r="C259" s="5" t="s">
        <v>465</v>
      </c>
      <c r="D259" s="7">
        <v>6</v>
      </c>
      <c r="E259" s="7">
        <v>6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22"/>
    </row>
    <row r="260" spans="1:60" ht="15.75" x14ac:dyDescent="0.25">
      <c r="A260" s="22"/>
      <c r="B260" s="5" t="s">
        <v>425</v>
      </c>
      <c r="C260" s="5" t="s">
        <v>466</v>
      </c>
      <c r="D260" s="7">
        <v>6</v>
      </c>
      <c r="E260" s="7">
        <v>6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22"/>
    </row>
    <row r="261" spans="1:60" ht="15.75" x14ac:dyDescent="0.25">
      <c r="A261" s="22"/>
      <c r="B261" s="5" t="s">
        <v>427</v>
      </c>
      <c r="C261" s="5" t="s">
        <v>467</v>
      </c>
      <c r="D261" s="7">
        <v>6</v>
      </c>
      <c r="E261" s="7">
        <v>6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22"/>
    </row>
    <row r="262" spans="1:60" ht="15.75" x14ac:dyDescent="0.25">
      <c r="A262" s="22"/>
      <c r="B262" s="5" t="s">
        <v>429</v>
      </c>
      <c r="C262" s="5" t="s">
        <v>468</v>
      </c>
      <c r="D262" s="7">
        <v>6</v>
      </c>
      <c r="E262" s="7">
        <v>6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22"/>
    </row>
    <row r="263" spans="1:60" ht="15.75" x14ac:dyDescent="0.25">
      <c r="A263" s="22"/>
      <c r="B263" s="5" t="s">
        <v>431</v>
      </c>
      <c r="C263" s="5" t="s">
        <v>469</v>
      </c>
      <c r="D263" s="7">
        <v>6</v>
      </c>
      <c r="E263" s="7">
        <v>6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22"/>
    </row>
    <row r="264" spans="1:60" ht="15.75" x14ac:dyDescent="0.25">
      <c r="A264" s="22"/>
      <c r="B264" s="5" t="s">
        <v>433</v>
      </c>
      <c r="C264" s="5" t="s">
        <v>470</v>
      </c>
      <c r="D264" s="7">
        <v>6</v>
      </c>
      <c r="E264" s="7">
        <v>6</v>
      </c>
      <c r="F264" s="7">
        <v>337.524</v>
      </c>
      <c r="G264" s="7">
        <v>105.886</v>
      </c>
      <c r="H264" s="7">
        <v>0</v>
      </c>
      <c r="I264" s="7">
        <v>0</v>
      </c>
      <c r="J264" s="7">
        <v>5.3630000000000004</v>
      </c>
      <c r="K264" s="7">
        <v>0</v>
      </c>
      <c r="L264" s="7">
        <v>482.65600000000001</v>
      </c>
      <c r="M264" s="7">
        <v>27.684999999999999</v>
      </c>
      <c r="N264" s="7">
        <v>0</v>
      </c>
      <c r="O264" s="7">
        <v>53.134</v>
      </c>
      <c r="P264" s="7">
        <v>1271.376</v>
      </c>
      <c r="Q264" s="7">
        <v>63.466000000000001</v>
      </c>
      <c r="R264" s="7">
        <v>0</v>
      </c>
      <c r="S264" s="7">
        <v>0</v>
      </c>
      <c r="T264" s="7">
        <v>5.6000000000000001E-2</v>
      </c>
      <c r="U264" s="7">
        <v>0</v>
      </c>
      <c r="V264" s="7">
        <v>0</v>
      </c>
      <c r="W264" s="7">
        <v>32.54</v>
      </c>
      <c r="X264" s="7">
        <v>0</v>
      </c>
      <c r="Y264" s="7">
        <v>0</v>
      </c>
      <c r="Z264" s="7">
        <v>0</v>
      </c>
      <c r="AA264" s="7">
        <v>0</v>
      </c>
      <c r="AB264" s="7">
        <v>7.2130000000000001</v>
      </c>
      <c r="AC264" s="7">
        <v>0</v>
      </c>
      <c r="AD264" s="7">
        <v>196.7</v>
      </c>
      <c r="AE264" s="7">
        <v>0</v>
      </c>
      <c r="AF264" s="7">
        <v>0</v>
      </c>
      <c r="AG264" s="7">
        <v>0</v>
      </c>
      <c r="AH264" s="7">
        <v>17.411000000000001</v>
      </c>
      <c r="AI264" s="7">
        <v>0</v>
      </c>
      <c r="AJ264" s="7">
        <v>471.97899999999998</v>
      </c>
      <c r="AK264" s="7">
        <v>260.52699999999999</v>
      </c>
      <c r="AL264" s="7">
        <v>0</v>
      </c>
      <c r="AM264" s="7">
        <v>1607.1179999999999</v>
      </c>
      <c r="AN264" s="7">
        <v>492.65499999999997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0.53300000000000003</v>
      </c>
      <c r="AW264" s="7">
        <v>0</v>
      </c>
      <c r="AX264" s="7">
        <v>0</v>
      </c>
      <c r="AY264" s="7">
        <v>75.86</v>
      </c>
      <c r="AZ264" s="7">
        <v>0</v>
      </c>
      <c r="BA264" s="7">
        <v>0.29199999999999998</v>
      </c>
      <c r="BB264" s="7">
        <v>0</v>
      </c>
      <c r="BC264" s="7">
        <v>2.2320000000000002</v>
      </c>
      <c r="BD264" s="7">
        <v>0</v>
      </c>
      <c r="BE264" s="7">
        <v>0</v>
      </c>
      <c r="BF264" s="7">
        <v>0</v>
      </c>
      <c r="BG264" s="7">
        <v>0</v>
      </c>
      <c r="BH264" s="22"/>
    </row>
    <row r="265" spans="1:60" ht="15.75" x14ac:dyDescent="0.25">
      <c r="A265" s="22"/>
      <c r="B265" s="5" t="s">
        <v>435</v>
      </c>
      <c r="C265" s="5" t="s">
        <v>471</v>
      </c>
      <c r="D265" s="7">
        <v>6</v>
      </c>
      <c r="E265" s="7">
        <v>6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22"/>
    </row>
    <row r="266" spans="1:60" ht="15.75" x14ac:dyDescent="0.25">
      <c r="A266" s="22"/>
      <c r="B266" s="5" t="s">
        <v>437</v>
      </c>
      <c r="C266" s="5" t="s">
        <v>472</v>
      </c>
      <c r="D266" s="7">
        <v>6</v>
      </c>
      <c r="E266" s="7">
        <v>6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22"/>
    </row>
    <row r="267" spans="1:60" ht="15.75" x14ac:dyDescent="0.25">
      <c r="A267" s="22"/>
      <c r="B267" s="5" t="s">
        <v>439</v>
      </c>
      <c r="C267" s="5" t="s">
        <v>473</v>
      </c>
      <c r="D267" s="7">
        <v>6</v>
      </c>
      <c r="E267" s="7">
        <v>6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22"/>
    </row>
    <row r="268" spans="1:60" ht="15.75" x14ac:dyDescent="0.25">
      <c r="A268" s="22"/>
      <c r="B268" s="5" t="s">
        <v>441</v>
      </c>
      <c r="C268" s="5" t="s">
        <v>474</v>
      </c>
      <c r="D268" s="7">
        <v>6</v>
      </c>
      <c r="E268" s="7">
        <v>6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22"/>
    </row>
    <row r="269" spans="1:60" ht="15.75" x14ac:dyDescent="0.25">
      <c r="A269" s="22"/>
      <c r="B269" s="5" t="s">
        <v>443</v>
      </c>
      <c r="C269" s="5" t="s">
        <v>475</v>
      </c>
      <c r="D269" s="7">
        <v>6</v>
      </c>
      <c r="E269" s="7">
        <v>6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22"/>
    </row>
    <row r="270" spans="1:60" ht="15.75" x14ac:dyDescent="0.25">
      <c r="A270" s="22"/>
      <c r="B270" s="5" t="s">
        <v>445</v>
      </c>
      <c r="C270" s="5" t="s">
        <v>476</v>
      </c>
      <c r="D270" s="7">
        <v>6</v>
      </c>
      <c r="E270" s="7">
        <v>6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22"/>
    </row>
    <row r="271" spans="1:60" ht="15.75" x14ac:dyDescent="0.25">
      <c r="A271" s="22"/>
      <c r="B271" s="5" t="s">
        <v>447</v>
      </c>
      <c r="C271" s="5" t="s">
        <v>477</v>
      </c>
      <c r="D271" s="7">
        <v>6</v>
      </c>
      <c r="E271" s="7">
        <v>6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22"/>
    </row>
    <row r="272" spans="1:60" ht="15.75" x14ac:dyDescent="0.25">
      <c r="A272" s="22"/>
      <c r="B272" s="5" t="s">
        <v>449</v>
      </c>
      <c r="C272" s="5" t="s">
        <v>478</v>
      </c>
      <c r="D272" s="7">
        <v>6</v>
      </c>
      <c r="E272" s="7">
        <v>6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22"/>
    </row>
    <row r="273" spans="1:60" ht="15.75" x14ac:dyDescent="0.25">
      <c r="A273" s="22"/>
      <c r="B273" s="5" t="s">
        <v>451</v>
      </c>
      <c r="C273" s="5" t="s">
        <v>479</v>
      </c>
      <c r="D273" s="7">
        <v>6</v>
      </c>
      <c r="E273" s="7">
        <v>6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22"/>
    </row>
    <row r="274" spans="1:60" ht="15.75" x14ac:dyDescent="0.25">
      <c r="A274" s="22"/>
      <c r="B274" s="5" t="s">
        <v>453</v>
      </c>
      <c r="C274" s="5" t="s">
        <v>480</v>
      </c>
      <c r="D274" s="7">
        <v>6</v>
      </c>
      <c r="E274" s="7">
        <v>6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22"/>
    </row>
    <row r="275" spans="1:60" ht="15.75" x14ac:dyDescent="0.25">
      <c r="A275" s="22"/>
      <c r="B275" s="5" t="s">
        <v>455</v>
      </c>
      <c r="C275" s="5" t="s">
        <v>481</v>
      </c>
      <c r="D275" s="7">
        <v>6</v>
      </c>
      <c r="E275" s="7">
        <v>6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22"/>
    </row>
    <row r="276" spans="1:60" ht="15.75" x14ac:dyDescent="0.25">
      <c r="A276" s="22"/>
      <c r="B276" s="5" t="s">
        <v>457</v>
      </c>
      <c r="C276" s="5" t="s">
        <v>482</v>
      </c>
      <c r="D276" s="7">
        <v>6</v>
      </c>
      <c r="E276" s="7">
        <v>6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22"/>
    </row>
    <row r="277" spans="1:60" ht="15.75" x14ac:dyDescent="0.25">
      <c r="A277" s="22"/>
      <c r="B277" s="5" t="s">
        <v>459</v>
      </c>
      <c r="C277" s="5" t="s">
        <v>483</v>
      </c>
      <c r="D277" s="7">
        <v>6</v>
      </c>
      <c r="E277" s="7">
        <v>6</v>
      </c>
      <c r="F277" s="7">
        <v>4926.116</v>
      </c>
      <c r="G277" s="7">
        <v>1971.854</v>
      </c>
      <c r="H277" s="7">
        <v>194.846</v>
      </c>
      <c r="I277" s="7">
        <v>908.375</v>
      </c>
      <c r="J277" s="7">
        <v>317.48399999999998</v>
      </c>
      <c r="K277" s="7">
        <v>1510.5989999999999</v>
      </c>
      <c r="L277" s="7">
        <v>37.692999999999998</v>
      </c>
      <c r="M277" s="7">
        <v>1328.287</v>
      </c>
      <c r="N277" s="7">
        <v>0</v>
      </c>
      <c r="O277" s="7">
        <v>4513.4849999999997</v>
      </c>
      <c r="P277" s="7">
        <v>9277.2379999999994</v>
      </c>
      <c r="Q277" s="7">
        <v>4615.8819999999996</v>
      </c>
      <c r="R277" s="7">
        <v>0</v>
      </c>
      <c r="S277" s="7">
        <v>0</v>
      </c>
      <c r="T277" s="7">
        <v>8.9999999999999993E-3</v>
      </c>
      <c r="U277" s="7">
        <v>0</v>
      </c>
      <c r="V277" s="7">
        <v>0</v>
      </c>
      <c r="W277" s="7">
        <v>785.73099999999999</v>
      </c>
      <c r="X277" s="7">
        <v>0</v>
      </c>
      <c r="Y277" s="7">
        <v>0</v>
      </c>
      <c r="Z277" s="7">
        <v>0</v>
      </c>
      <c r="AA277" s="7">
        <v>138.60300000000001</v>
      </c>
      <c r="AB277" s="7">
        <v>401.86799999999999</v>
      </c>
      <c r="AC277" s="7">
        <v>0</v>
      </c>
      <c r="AD277" s="7">
        <v>292.47000000000003</v>
      </c>
      <c r="AE277" s="7">
        <v>0</v>
      </c>
      <c r="AF277" s="7">
        <v>3112.3879999999999</v>
      </c>
      <c r="AG277" s="7">
        <v>0</v>
      </c>
      <c r="AH277" s="7">
        <v>349.15100000000001</v>
      </c>
      <c r="AI277" s="7">
        <v>0</v>
      </c>
      <c r="AJ277" s="7">
        <v>6.57</v>
      </c>
      <c r="AK277" s="7">
        <v>37.280999999999999</v>
      </c>
      <c r="AL277" s="7">
        <v>0</v>
      </c>
      <c r="AM277" s="7">
        <v>20135.36</v>
      </c>
      <c r="AN277" s="7">
        <v>63.595999999999997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37.420999999999999</v>
      </c>
      <c r="AW277" s="7">
        <v>0</v>
      </c>
      <c r="AX277" s="7">
        <v>0</v>
      </c>
      <c r="AY277" s="7">
        <v>5.2279999999999998</v>
      </c>
      <c r="AZ277" s="7">
        <v>0</v>
      </c>
      <c r="BA277" s="7">
        <v>2.8410000000000002</v>
      </c>
      <c r="BB277" s="7">
        <v>0</v>
      </c>
      <c r="BC277" s="7">
        <v>0.39500000000000002</v>
      </c>
      <c r="BD277" s="7">
        <v>0</v>
      </c>
      <c r="BE277" s="7">
        <v>0</v>
      </c>
      <c r="BF277" s="7">
        <v>2655.64</v>
      </c>
      <c r="BG277" s="7">
        <v>0</v>
      </c>
      <c r="BH277" s="22"/>
    </row>
    <row r="278" spans="1:60" ht="15.75" x14ac:dyDescent="0.25">
      <c r="A278" s="22"/>
      <c r="B278" s="5" t="s">
        <v>461</v>
      </c>
      <c r="C278" s="5" t="s">
        <v>484</v>
      </c>
      <c r="D278" s="7">
        <v>6</v>
      </c>
      <c r="E278" s="7">
        <v>6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22"/>
    </row>
    <row r="279" spans="1:60" ht="15.75" x14ac:dyDescent="0.25">
      <c r="A279" s="22"/>
      <c r="B279" s="5" t="s">
        <v>485</v>
      </c>
      <c r="C279" s="5" t="s">
        <v>486</v>
      </c>
      <c r="D279" s="7">
        <v>5</v>
      </c>
      <c r="E279" s="7">
        <v>5</v>
      </c>
      <c r="F279" s="7">
        <v>99517.691999999995</v>
      </c>
      <c r="G279" s="7">
        <v>0</v>
      </c>
      <c r="H279" s="7">
        <v>17137.205000000002</v>
      </c>
      <c r="I279" s="7">
        <v>517.154</v>
      </c>
      <c r="J279" s="7">
        <v>0</v>
      </c>
      <c r="K279" s="7">
        <v>23760.548999999999</v>
      </c>
      <c r="L279" s="7">
        <v>141363.95600000001</v>
      </c>
      <c r="M279" s="7">
        <v>32627.322</v>
      </c>
      <c r="N279" s="7">
        <v>6770.1229999999996</v>
      </c>
      <c r="O279" s="7">
        <v>31183.58</v>
      </c>
      <c r="P279" s="7">
        <v>213403.50899999999</v>
      </c>
      <c r="Q279" s="7">
        <v>87518.358999999997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0.47499999999999998</v>
      </c>
      <c r="Z279" s="7">
        <v>2362.9580000000001</v>
      </c>
      <c r="AA279" s="7">
        <v>318.81900000000002</v>
      </c>
      <c r="AB279" s="7">
        <v>2571.5680000000002</v>
      </c>
      <c r="AC279" s="7">
        <v>0</v>
      </c>
      <c r="AD279" s="7">
        <v>40467.474000000002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96252.546000000002</v>
      </c>
      <c r="AK279" s="7">
        <v>13371.27</v>
      </c>
      <c r="AL279" s="7">
        <v>1740.828</v>
      </c>
      <c r="AM279" s="7">
        <v>546202.78799999994</v>
      </c>
      <c r="AN279" s="7">
        <v>82571.957999999999</v>
      </c>
      <c r="AO279" s="7">
        <v>144.61699999999999</v>
      </c>
      <c r="AP279" s="7">
        <v>89.317999999999998</v>
      </c>
      <c r="AQ279" s="7">
        <v>385.28699999999998</v>
      </c>
      <c r="AR279" s="7">
        <v>0</v>
      </c>
      <c r="AS279" s="7">
        <v>117.377</v>
      </c>
      <c r="AT279" s="7">
        <v>555.38300000000004</v>
      </c>
      <c r="AU279" s="7">
        <v>649.50199999999995</v>
      </c>
      <c r="AV279" s="7">
        <v>0</v>
      </c>
      <c r="AW279" s="7">
        <v>0</v>
      </c>
      <c r="AX279" s="7">
        <v>0</v>
      </c>
      <c r="AY279" s="7">
        <v>1906.2529999999999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22"/>
    </row>
    <row r="280" spans="1:60" ht="15.75" x14ac:dyDescent="0.25">
      <c r="A280" s="22"/>
      <c r="B280" s="5" t="s">
        <v>487</v>
      </c>
      <c r="C280" s="5" t="s">
        <v>488</v>
      </c>
      <c r="D280" s="7">
        <v>5</v>
      </c>
      <c r="E280" s="7">
        <v>5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22"/>
    </row>
    <row r="281" spans="1:60" ht="15.75" x14ac:dyDescent="0.25">
      <c r="A281" s="22"/>
      <c r="B281" s="5" t="s">
        <v>489</v>
      </c>
      <c r="C281" s="5" t="s">
        <v>490</v>
      </c>
      <c r="D281" s="7">
        <v>5</v>
      </c>
      <c r="E281" s="7">
        <v>5</v>
      </c>
      <c r="F281" s="7">
        <v>13006.361000000001</v>
      </c>
      <c r="G281" s="7">
        <v>1819.5719999999999</v>
      </c>
      <c r="H281" s="7">
        <v>2634.2689999999998</v>
      </c>
      <c r="I281" s="7">
        <v>0</v>
      </c>
      <c r="J281" s="7">
        <v>461.17099999999999</v>
      </c>
      <c r="K281" s="7">
        <v>1546.309</v>
      </c>
      <c r="L281" s="7">
        <v>12967.884</v>
      </c>
      <c r="M281" s="7">
        <v>1190.0070000000001</v>
      </c>
      <c r="N281" s="7">
        <v>0</v>
      </c>
      <c r="O281" s="7">
        <v>6018.3130000000001</v>
      </c>
      <c r="P281" s="7">
        <v>14257.102000000001</v>
      </c>
      <c r="Q281" s="7">
        <v>5968.0050000000001</v>
      </c>
      <c r="R281" s="7">
        <v>0</v>
      </c>
      <c r="S281" s="7">
        <v>0</v>
      </c>
      <c r="T281" s="7">
        <v>88.367000000000004</v>
      </c>
      <c r="U281" s="7">
        <v>0</v>
      </c>
      <c r="V281" s="7">
        <v>2.6829999999999998</v>
      </c>
      <c r="W281" s="7">
        <v>0</v>
      </c>
      <c r="X281" s="7">
        <v>0</v>
      </c>
      <c r="Y281" s="7">
        <v>0</v>
      </c>
      <c r="Z281" s="7">
        <v>0</v>
      </c>
      <c r="AA281" s="7">
        <v>206.07499999999999</v>
      </c>
      <c r="AB281" s="7">
        <v>662.63099999999997</v>
      </c>
      <c r="AC281" s="7">
        <v>0</v>
      </c>
      <c r="AD281" s="7">
        <v>5307.0309999999999</v>
      </c>
      <c r="AE281" s="7">
        <v>0</v>
      </c>
      <c r="AF281" s="7">
        <v>1843.604</v>
      </c>
      <c r="AG281" s="7">
        <v>0</v>
      </c>
      <c r="AH281" s="7">
        <v>318.55399999999997</v>
      </c>
      <c r="AI281" s="7">
        <v>0</v>
      </c>
      <c r="AJ281" s="7">
        <v>16650.782999999999</v>
      </c>
      <c r="AK281" s="7">
        <v>0</v>
      </c>
      <c r="AL281" s="7">
        <v>0</v>
      </c>
      <c r="AM281" s="7">
        <v>27077.562000000002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22"/>
    </row>
    <row r="282" spans="1:60" ht="15.75" x14ac:dyDescent="0.25">
      <c r="A282" s="22"/>
      <c r="B282" s="5" t="s">
        <v>491</v>
      </c>
      <c r="C282" s="5" t="s">
        <v>492</v>
      </c>
      <c r="D282" s="7">
        <v>5</v>
      </c>
      <c r="E282" s="7">
        <v>5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22"/>
    </row>
    <row r="283" spans="1:60" ht="15.75" x14ac:dyDescent="0.25">
      <c r="A283" s="22"/>
      <c r="B283" s="5" t="s">
        <v>493</v>
      </c>
      <c r="C283" s="5" t="s">
        <v>494</v>
      </c>
      <c r="D283" s="7">
        <v>5</v>
      </c>
      <c r="E283" s="7">
        <v>5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22"/>
    </row>
    <row r="284" spans="1:60" ht="15.75" x14ac:dyDescent="0.25">
      <c r="A284" s="22"/>
      <c r="B284" s="5" t="s">
        <v>495</v>
      </c>
      <c r="C284" s="5" t="s">
        <v>496</v>
      </c>
      <c r="D284" s="7">
        <v>5</v>
      </c>
      <c r="E284" s="7">
        <v>5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22"/>
    </row>
    <row r="285" spans="1:60" ht="15.75" x14ac:dyDescent="0.25">
      <c r="A285" s="22"/>
      <c r="B285" s="5" t="s">
        <v>497</v>
      </c>
      <c r="C285" s="5" t="s">
        <v>498</v>
      </c>
      <c r="D285" s="7">
        <v>5</v>
      </c>
      <c r="E285" s="7">
        <v>5</v>
      </c>
      <c r="F285" s="7">
        <v>29815.562000000002</v>
      </c>
      <c r="G285" s="7">
        <v>4708.8370000000004</v>
      </c>
      <c r="H285" s="7">
        <v>7967.9849999999997</v>
      </c>
      <c r="I285" s="7">
        <v>0</v>
      </c>
      <c r="J285" s="7">
        <v>1255.3679999999999</v>
      </c>
      <c r="K285" s="7">
        <v>4283.2520000000004</v>
      </c>
      <c r="L285" s="7">
        <v>48275.625999999997</v>
      </c>
      <c r="M285" s="7">
        <v>2928.1990000000001</v>
      </c>
      <c r="N285" s="7">
        <v>0</v>
      </c>
      <c r="O285" s="7">
        <v>17904.120999999999</v>
      </c>
      <c r="P285" s="7">
        <v>49562.98</v>
      </c>
      <c r="Q285" s="7">
        <v>19201.582999999999</v>
      </c>
      <c r="R285" s="7">
        <v>0</v>
      </c>
      <c r="S285" s="7">
        <v>0</v>
      </c>
      <c r="T285" s="7">
        <v>266.27499999999998</v>
      </c>
      <c r="U285" s="7">
        <v>0</v>
      </c>
      <c r="V285" s="7">
        <v>5.0789999999999997</v>
      </c>
      <c r="W285" s="7">
        <v>0.153</v>
      </c>
      <c r="X285" s="7">
        <v>0</v>
      </c>
      <c r="Y285" s="7">
        <v>0</v>
      </c>
      <c r="Z285" s="7">
        <v>0</v>
      </c>
      <c r="AA285" s="7">
        <v>390.084</v>
      </c>
      <c r="AB285" s="7">
        <v>1254.2529999999999</v>
      </c>
      <c r="AC285" s="7">
        <v>0</v>
      </c>
      <c r="AD285" s="7">
        <v>11379.823</v>
      </c>
      <c r="AE285" s="7">
        <v>0</v>
      </c>
      <c r="AF285" s="7">
        <v>3489.6880000000001</v>
      </c>
      <c r="AG285" s="7">
        <v>0</v>
      </c>
      <c r="AH285" s="7">
        <v>602.96</v>
      </c>
      <c r="AI285" s="7">
        <v>0</v>
      </c>
      <c r="AJ285" s="7">
        <v>36825.561000000002</v>
      </c>
      <c r="AK285" s="7">
        <v>0</v>
      </c>
      <c r="AL285" s="7">
        <v>0</v>
      </c>
      <c r="AM285" s="7">
        <v>70151.789000000004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2E-3</v>
      </c>
      <c r="AW285" s="7">
        <v>0</v>
      </c>
      <c r="AX285" s="7">
        <v>0</v>
      </c>
      <c r="AY285" s="7">
        <v>0</v>
      </c>
      <c r="AZ285" s="7">
        <v>0</v>
      </c>
      <c r="BA285" s="7">
        <v>1E-3</v>
      </c>
      <c r="BB285" s="7">
        <v>0</v>
      </c>
      <c r="BC285" s="7">
        <v>4.2000000000000003E-2</v>
      </c>
      <c r="BD285" s="7">
        <v>0</v>
      </c>
      <c r="BE285" s="7">
        <v>0</v>
      </c>
      <c r="BF285" s="7">
        <v>0</v>
      </c>
      <c r="BG285" s="7">
        <v>0</v>
      </c>
      <c r="BH285" s="22"/>
    </row>
    <row r="286" spans="1:60" ht="15.75" x14ac:dyDescent="0.25">
      <c r="A286" s="22"/>
      <c r="B286" s="5" t="s">
        <v>499</v>
      </c>
      <c r="C286" s="5" t="s">
        <v>500</v>
      </c>
      <c r="D286" s="7">
        <v>5</v>
      </c>
      <c r="E286" s="7">
        <v>5</v>
      </c>
      <c r="F286" s="7">
        <v>121492.662</v>
      </c>
      <c r="G286" s="7">
        <v>19048.366000000002</v>
      </c>
      <c r="H286" s="7">
        <v>28702.679</v>
      </c>
      <c r="I286" s="7">
        <v>14464.924999999999</v>
      </c>
      <c r="J286" s="7">
        <v>5030.9650000000001</v>
      </c>
      <c r="K286" s="7">
        <v>16389.679</v>
      </c>
      <c r="L286" s="7">
        <v>135241.67300000001</v>
      </c>
      <c r="M286" s="7">
        <v>12052.971</v>
      </c>
      <c r="N286" s="7">
        <v>0</v>
      </c>
      <c r="O286" s="7">
        <v>62372.612000000001</v>
      </c>
      <c r="P286" s="7">
        <v>146458.125</v>
      </c>
      <c r="Q286" s="7">
        <v>64761.690999999999</v>
      </c>
      <c r="R286" s="7">
        <v>0</v>
      </c>
      <c r="S286" s="7">
        <v>0</v>
      </c>
      <c r="T286" s="7">
        <v>955.00099999999998</v>
      </c>
      <c r="U286" s="7">
        <v>0</v>
      </c>
      <c r="V286" s="7">
        <v>106.40300000000001</v>
      </c>
      <c r="W286" s="7">
        <v>0</v>
      </c>
      <c r="X286" s="7">
        <v>0</v>
      </c>
      <c r="Y286" s="7">
        <v>0</v>
      </c>
      <c r="Z286" s="7">
        <v>0</v>
      </c>
      <c r="AA286" s="7">
        <v>1811.826</v>
      </c>
      <c r="AB286" s="7">
        <v>5914.9250000000002</v>
      </c>
      <c r="AC286" s="7">
        <v>0</v>
      </c>
      <c r="AD286" s="7">
        <v>47015.85</v>
      </c>
      <c r="AE286" s="7">
        <v>0</v>
      </c>
      <c r="AF286" s="7">
        <v>16491.522000000001</v>
      </c>
      <c r="AG286" s="7">
        <v>0</v>
      </c>
      <c r="AH286" s="7">
        <v>2800.748</v>
      </c>
      <c r="AI286" s="7">
        <v>0</v>
      </c>
      <c r="AJ286" s="7">
        <v>148534.467</v>
      </c>
      <c r="AK286" s="7">
        <v>0</v>
      </c>
      <c r="AL286" s="7">
        <v>0</v>
      </c>
      <c r="AM286" s="7">
        <v>248020.736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77.055000000000007</v>
      </c>
      <c r="BD286" s="7">
        <v>0</v>
      </c>
      <c r="BE286" s="7">
        <v>0</v>
      </c>
      <c r="BF286" s="7">
        <v>0</v>
      </c>
      <c r="BG286" s="7">
        <v>0</v>
      </c>
      <c r="BH286" s="22"/>
    </row>
    <row r="287" spans="1:60" ht="15.75" x14ac:dyDescent="0.25">
      <c r="A287" s="22"/>
      <c r="B287" s="5" t="s">
        <v>501</v>
      </c>
      <c r="C287" s="5" t="s">
        <v>502</v>
      </c>
      <c r="D287" s="7">
        <v>5</v>
      </c>
      <c r="E287" s="7">
        <v>5</v>
      </c>
      <c r="F287" s="7">
        <v>162.047</v>
      </c>
      <c r="G287" s="7">
        <v>0</v>
      </c>
      <c r="H287" s="7">
        <v>72.174000000000007</v>
      </c>
      <c r="I287" s="7">
        <v>0</v>
      </c>
      <c r="J287" s="7">
        <v>0</v>
      </c>
      <c r="K287" s="7">
        <v>40.643000000000001</v>
      </c>
      <c r="L287" s="7">
        <v>910.08699999999999</v>
      </c>
      <c r="M287" s="7">
        <v>100.383</v>
      </c>
      <c r="N287" s="7">
        <v>0</v>
      </c>
      <c r="O287" s="7">
        <v>230.90899999999999</v>
      </c>
      <c r="P287" s="7">
        <v>1386.5630000000001</v>
      </c>
      <c r="Q287" s="7">
        <v>44.802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29.593</v>
      </c>
      <c r="AG287" s="7">
        <v>0</v>
      </c>
      <c r="AH287" s="7">
        <v>0</v>
      </c>
      <c r="AI287" s="7">
        <v>0</v>
      </c>
      <c r="AJ287" s="7">
        <v>71.347999999999999</v>
      </c>
      <c r="AK287" s="7">
        <v>0</v>
      </c>
      <c r="AL287" s="7">
        <v>0</v>
      </c>
      <c r="AM287" s="7">
        <v>814.58299999999997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22"/>
    </row>
    <row r="288" spans="1:60" ht="15.75" x14ac:dyDescent="0.25">
      <c r="A288" s="22"/>
      <c r="B288" s="5" t="s">
        <v>503</v>
      </c>
      <c r="C288" s="5" t="s">
        <v>504</v>
      </c>
      <c r="D288" s="7">
        <v>5</v>
      </c>
      <c r="E288" s="7">
        <v>5</v>
      </c>
      <c r="F288" s="7">
        <v>44785.464999999997</v>
      </c>
      <c r="G288" s="7">
        <v>6001.482</v>
      </c>
      <c r="H288" s="7">
        <v>8688.5939999999991</v>
      </c>
      <c r="I288" s="7">
        <v>103.928</v>
      </c>
      <c r="J288" s="7">
        <v>1521.078</v>
      </c>
      <c r="K288" s="7">
        <v>5100.1809999999996</v>
      </c>
      <c r="L288" s="7">
        <v>45303.125</v>
      </c>
      <c r="M288" s="7">
        <v>3924.9940000000001</v>
      </c>
      <c r="N288" s="7">
        <v>0</v>
      </c>
      <c r="O288" s="7">
        <v>21247.508999999998</v>
      </c>
      <c r="P288" s="7">
        <v>53991.108999999997</v>
      </c>
      <c r="Q288" s="7">
        <v>20787.580000000002</v>
      </c>
      <c r="R288" s="7">
        <v>0</v>
      </c>
      <c r="S288" s="7">
        <v>0</v>
      </c>
      <c r="T288" s="7">
        <v>291.46100000000001</v>
      </c>
      <c r="U288" s="7">
        <v>0</v>
      </c>
      <c r="V288" s="7">
        <v>8.85</v>
      </c>
      <c r="W288" s="7">
        <v>0</v>
      </c>
      <c r="X288" s="7">
        <v>0</v>
      </c>
      <c r="Y288" s="7">
        <v>0</v>
      </c>
      <c r="Z288" s="7">
        <v>0</v>
      </c>
      <c r="AA288" s="7">
        <v>679.697</v>
      </c>
      <c r="AB288" s="7">
        <v>2185.5520000000001</v>
      </c>
      <c r="AC288" s="7">
        <v>0</v>
      </c>
      <c r="AD288" s="7">
        <v>20035.383999999998</v>
      </c>
      <c r="AE288" s="7">
        <v>0</v>
      </c>
      <c r="AF288" s="7">
        <v>6080.7460000000001</v>
      </c>
      <c r="AG288" s="7">
        <v>0</v>
      </c>
      <c r="AH288" s="7">
        <v>1050.6859999999999</v>
      </c>
      <c r="AI288" s="7">
        <v>0</v>
      </c>
      <c r="AJ288" s="7">
        <v>59972.637999999999</v>
      </c>
      <c r="AK288" s="7">
        <v>0</v>
      </c>
      <c r="AL288" s="7">
        <v>0</v>
      </c>
      <c r="AM288" s="7">
        <v>98343.725999999995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22"/>
    </row>
    <row r="289" spans="1:60" ht="15.75" x14ac:dyDescent="0.25">
      <c r="A289" s="22"/>
      <c r="B289" s="5" t="s">
        <v>505</v>
      </c>
      <c r="C289" s="5" t="s">
        <v>506</v>
      </c>
      <c r="D289" s="7">
        <v>5</v>
      </c>
      <c r="E289" s="7">
        <v>5</v>
      </c>
      <c r="F289" s="7">
        <v>17390.602999999999</v>
      </c>
      <c r="G289" s="7">
        <v>369.82100000000003</v>
      </c>
      <c r="H289" s="7">
        <v>535.40499999999997</v>
      </c>
      <c r="I289" s="7">
        <v>3768.9229999999998</v>
      </c>
      <c r="J289" s="7">
        <v>93.730999999999995</v>
      </c>
      <c r="K289" s="7">
        <v>314.28199999999998</v>
      </c>
      <c r="L289" s="7">
        <v>20814.16</v>
      </c>
      <c r="M289" s="7">
        <v>241.86500000000001</v>
      </c>
      <c r="N289" s="7">
        <v>0</v>
      </c>
      <c r="O289" s="7">
        <v>8361.7219999999998</v>
      </c>
      <c r="P289" s="7">
        <v>40625.656000000003</v>
      </c>
      <c r="Q289" s="7">
        <v>7190.1909999999998</v>
      </c>
      <c r="R289" s="7">
        <v>0</v>
      </c>
      <c r="S289" s="7">
        <v>0</v>
      </c>
      <c r="T289" s="7">
        <v>17.96</v>
      </c>
      <c r="U289" s="7">
        <v>0</v>
      </c>
      <c r="V289" s="7">
        <v>0.54500000000000004</v>
      </c>
      <c r="W289" s="7">
        <v>0</v>
      </c>
      <c r="X289" s="7">
        <v>0</v>
      </c>
      <c r="Y289" s="7">
        <v>0</v>
      </c>
      <c r="Z289" s="7">
        <v>0</v>
      </c>
      <c r="AA289" s="7">
        <v>41.884</v>
      </c>
      <c r="AB289" s="7">
        <v>134.67699999999999</v>
      </c>
      <c r="AC289" s="7">
        <v>0</v>
      </c>
      <c r="AD289" s="7">
        <v>11751.607</v>
      </c>
      <c r="AE289" s="7">
        <v>0</v>
      </c>
      <c r="AF289" s="7">
        <v>374.70600000000002</v>
      </c>
      <c r="AG289" s="7">
        <v>0</v>
      </c>
      <c r="AH289" s="7">
        <v>64.745000000000005</v>
      </c>
      <c r="AI289" s="7">
        <v>0</v>
      </c>
      <c r="AJ289" s="7">
        <v>37122.07</v>
      </c>
      <c r="AK289" s="7">
        <v>0</v>
      </c>
      <c r="AL289" s="7">
        <v>0</v>
      </c>
      <c r="AM289" s="7">
        <v>60795.553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22"/>
    </row>
    <row r="290" spans="1:60" ht="15.75" x14ac:dyDescent="0.25">
      <c r="A290" s="22"/>
      <c r="B290" s="5" t="s">
        <v>507</v>
      </c>
      <c r="C290" s="5" t="s">
        <v>508</v>
      </c>
      <c r="D290" s="7">
        <v>5</v>
      </c>
      <c r="E290" s="7">
        <v>5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22"/>
    </row>
    <row r="291" spans="1:60" ht="15.75" x14ac:dyDescent="0.25">
      <c r="A291" s="22"/>
      <c r="B291" s="5" t="s">
        <v>509</v>
      </c>
      <c r="C291" s="5" t="s">
        <v>510</v>
      </c>
      <c r="D291" s="7">
        <v>5</v>
      </c>
      <c r="E291" s="7">
        <v>5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22"/>
    </row>
    <row r="292" spans="1:60" ht="15.75" x14ac:dyDescent="0.25">
      <c r="A292" s="22"/>
      <c r="B292" s="5" t="s">
        <v>511</v>
      </c>
      <c r="C292" s="5" t="s">
        <v>512</v>
      </c>
      <c r="D292" s="7">
        <v>5</v>
      </c>
      <c r="E292" s="7">
        <v>5</v>
      </c>
      <c r="F292" s="7">
        <v>164445.78700000001</v>
      </c>
      <c r="G292" s="7">
        <v>19909.159</v>
      </c>
      <c r="H292" s="7">
        <v>28929.544000000002</v>
      </c>
      <c r="I292" s="7">
        <v>0</v>
      </c>
      <c r="J292" s="7">
        <v>4654.9399999999996</v>
      </c>
      <c r="K292" s="7">
        <v>17634.866999999998</v>
      </c>
      <c r="L292" s="7">
        <v>137960.321</v>
      </c>
      <c r="M292" s="7">
        <v>13617.602999999999</v>
      </c>
      <c r="N292" s="7">
        <v>0</v>
      </c>
      <c r="O292" s="7">
        <v>67129.077999999994</v>
      </c>
      <c r="P292" s="7">
        <v>160262.432</v>
      </c>
      <c r="Q292" s="7">
        <v>64005.675999999999</v>
      </c>
      <c r="R292" s="7">
        <v>0</v>
      </c>
      <c r="S292" s="7">
        <v>0</v>
      </c>
      <c r="T292" s="7">
        <v>900.18899999999996</v>
      </c>
      <c r="U292" s="7">
        <v>0</v>
      </c>
      <c r="V292" s="7">
        <v>56.834000000000003</v>
      </c>
      <c r="W292" s="7">
        <v>0</v>
      </c>
      <c r="X292" s="7">
        <v>0</v>
      </c>
      <c r="Y292" s="7">
        <v>0</v>
      </c>
      <c r="Z292" s="7">
        <v>0</v>
      </c>
      <c r="AA292" s="7">
        <v>2723.0030000000002</v>
      </c>
      <c r="AB292" s="7">
        <v>8777.4490000000005</v>
      </c>
      <c r="AC292" s="7">
        <v>0</v>
      </c>
      <c r="AD292" s="7">
        <v>71647.03</v>
      </c>
      <c r="AE292" s="7">
        <v>0</v>
      </c>
      <c r="AF292" s="7">
        <v>25749.002</v>
      </c>
      <c r="AG292" s="7">
        <v>0</v>
      </c>
      <c r="AH292" s="7">
        <v>4451.9440000000004</v>
      </c>
      <c r="AI292" s="7">
        <v>0</v>
      </c>
      <c r="AJ292" s="7">
        <v>219732.397</v>
      </c>
      <c r="AK292" s="7">
        <v>0</v>
      </c>
      <c r="AL292" s="7">
        <v>0</v>
      </c>
      <c r="AM292" s="7">
        <v>349496.52500000002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22"/>
    </row>
    <row r="293" spans="1:60" ht="15.75" x14ac:dyDescent="0.25">
      <c r="A293" s="22"/>
      <c r="B293" s="5" t="s">
        <v>513</v>
      </c>
      <c r="C293" s="5" t="s">
        <v>514</v>
      </c>
      <c r="D293" s="7">
        <v>5</v>
      </c>
      <c r="E293" s="7">
        <v>5</v>
      </c>
      <c r="F293" s="7">
        <v>10882.567999999999</v>
      </c>
      <c r="G293" s="7">
        <v>375.61</v>
      </c>
      <c r="H293" s="7">
        <v>558.08600000000001</v>
      </c>
      <c r="I293" s="7">
        <v>0</v>
      </c>
      <c r="J293" s="7">
        <v>42.552999999999997</v>
      </c>
      <c r="K293" s="7">
        <v>415.548</v>
      </c>
      <c r="L293" s="7">
        <v>1848.9369999999999</v>
      </c>
      <c r="M293" s="7">
        <v>2311.1990000000001</v>
      </c>
      <c r="N293" s="7">
        <v>0</v>
      </c>
      <c r="O293" s="7">
        <v>6522.7960000000003</v>
      </c>
      <c r="P293" s="7">
        <v>22553.206999999999</v>
      </c>
      <c r="Q293" s="7">
        <v>2533.2600000000002</v>
      </c>
      <c r="R293" s="7">
        <v>0</v>
      </c>
      <c r="S293" s="7">
        <v>0</v>
      </c>
      <c r="T293" s="7">
        <v>9.2620000000000005</v>
      </c>
      <c r="U293" s="7">
        <v>0</v>
      </c>
      <c r="V293" s="7">
        <v>4.2530000000000001</v>
      </c>
      <c r="W293" s="7">
        <v>0</v>
      </c>
      <c r="X293" s="7">
        <v>0</v>
      </c>
      <c r="Y293" s="7">
        <v>0</v>
      </c>
      <c r="Z293" s="7">
        <v>0</v>
      </c>
      <c r="AA293" s="7">
        <v>105.571</v>
      </c>
      <c r="AB293" s="7">
        <v>342.38200000000001</v>
      </c>
      <c r="AC293" s="7">
        <v>0</v>
      </c>
      <c r="AD293" s="7">
        <v>2813.3710000000001</v>
      </c>
      <c r="AE293" s="7">
        <v>0</v>
      </c>
      <c r="AF293" s="7">
        <v>1131.374</v>
      </c>
      <c r="AG293" s="7">
        <v>0</v>
      </c>
      <c r="AH293" s="7">
        <v>195.86600000000001</v>
      </c>
      <c r="AI293" s="7">
        <v>0</v>
      </c>
      <c r="AJ293" s="7">
        <v>10528.361999999999</v>
      </c>
      <c r="AK293" s="7">
        <v>0</v>
      </c>
      <c r="AL293" s="7">
        <v>0</v>
      </c>
      <c r="AM293" s="7">
        <v>24949.288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22"/>
    </row>
    <row r="294" spans="1:60" ht="15.75" x14ac:dyDescent="0.25">
      <c r="A294" s="22"/>
      <c r="B294" s="5" t="s">
        <v>515</v>
      </c>
      <c r="C294" s="5" t="s">
        <v>516</v>
      </c>
      <c r="D294" s="7">
        <v>5</v>
      </c>
      <c r="E294" s="7">
        <v>5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22"/>
    </row>
    <row r="295" spans="1:60" ht="15.75" x14ac:dyDescent="0.25">
      <c r="A295" s="22"/>
      <c r="B295" s="5" t="s">
        <v>517</v>
      </c>
      <c r="C295" s="5" t="s">
        <v>518</v>
      </c>
      <c r="D295" s="7">
        <v>5</v>
      </c>
      <c r="E295" s="7">
        <v>5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22"/>
    </row>
    <row r="296" spans="1:60" ht="15.75" x14ac:dyDescent="0.25">
      <c r="A296" s="22"/>
      <c r="B296" s="5" t="s">
        <v>519</v>
      </c>
      <c r="C296" s="5" t="s">
        <v>520</v>
      </c>
      <c r="D296" s="7">
        <v>5</v>
      </c>
      <c r="E296" s="7">
        <v>5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22"/>
    </row>
    <row r="297" spans="1:60" ht="15.75" x14ac:dyDescent="0.25">
      <c r="A297" s="22"/>
      <c r="B297" s="5" t="s">
        <v>521</v>
      </c>
      <c r="C297" s="5" t="s">
        <v>522</v>
      </c>
      <c r="D297" s="7">
        <v>5</v>
      </c>
      <c r="E297" s="7">
        <v>5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22"/>
    </row>
    <row r="298" spans="1:60" ht="15.75" x14ac:dyDescent="0.25">
      <c r="A298" s="22"/>
      <c r="B298" s="5" t="s">
        <v>523</v>
      </c>
      <c r="C298" s="5" t="s">
        <v>524</v>
      </c>
      <c r="D298" s="7">
        <v>5</v>
      </c>
      <c r="E298" s="7">
        <v>5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22"/>
    </row>
    <row r="299" spans="1:60" ht="15.75" x14ac:dyDescent="0.25">
      <c r="A299" s="22"/>
      <c r="B299" s="5" t="s">
        <v>525</v>
      </c>
      <c r="C299" s="5" t="s">
        <v>526</v>
      </c>
      <c r="D299" s="7">
        <v>5</v>
      </c>
      <c r="E299" s="7">
        <v>5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22"/>
    </row>
    <row r="300" spans="1:60" ht="15.75" x14ac:dyDescent="0.25">
      <c r="A300" s="22"/>
      <c r="B300" s="5" t="s">
        <v>527</v>
      </c>
      <c r="C300" s="5" t="s">
        <v>528</v>
      </c>
      <c r="D300" s="7">
        <v>5</v>
      </c>
      <c r="E300" s="7">
        <v>5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22"/>
    </row>
    <row r="301" spans="1:60" ht="15.75" x14ac:dyDescent="0.25">
      <c r="A301" s="22"/>
      <c r="B301" s="5" t="s">
        <v>529</v>
      </c>
      <c r="C301" s="5" t="s">
        <v>530</v>
      </c>
      <c r="D301" s="7">
        <v>5</v>
      </c>
      <c r="E301" s="7">
        <v>5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22"/>
    </row>
    <row r="302" spans="1:60" ht="15.75" x14ac:dyDescent="0.25">
      <c r="A302" s="22"/>
      <c r="B302" s="5" t="s">
        <v>531</v>
      </c>
      <c r="C302" s="5" t="s">
        <v>532</v>
      </c>
      <c r="D302" s="7">
        <v>5</v>
      </c>
      <c r="E302" s="7">
        <v>5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22"/>
    </row>
    <row r="303" spans="1:60" ht="15.75" x14ac:dyDescent="0.25">
      <c r="A303" s="22"/>
      <c r="B303" s="5" t="s">
        <v>533</v>
      </c>
      <c r="C303" s="5" t="s">
        <v>534</v>
      </c>
      <c r="D303" s="7">
        <v>5</v>
      </c>
      <c r="E303" s="7">
        <v>5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22"/>
    </row>
    <row r="304" spans="1:60" ht="15.75" x14ac:dyDescent="0.25">
      <c r="A304" s="22"/>
      <c r="B304" s="5" t="s">
        <v>535</v>
      </c>
      <c r="C304" s="5" t="s">
        <v>536</v>
      </c>
      <c r="D304" s="7">
        <v>5</v>
      </c>
      <c r="E304" s="7">
        <v>5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22"/>
    </row>
    <row r="305" spans="1:60" ht="15.75" x14ac:dyDescent="0.25">
      <c r="A305" s="22"/>
      <c r="B305" s="5" t="s">
        <v>537</v>
      </c>
      <c r="C305" s="5" t="s">
        <v>538</v>
      </c>
      <c r="D305" s="7">
        <v>5</v>
      </c>
      <c r="E305" s="7">
        <v>5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22"/>
    </row>
    <row r="306" spans="1:60" ht="15.75" x14ac:dyDescent="0.25">
      <c r="A306" s="22"/>
      <c r="B306" s="5" t="s">
        <v>539</v>
      </c>
      <c r="C306" s="5" t="s">
        <v>540</v>
      </c>
      <c r="D306" s="7">
        <v>5</v>
      </c>
      <c r="E306" s="7">
        <v>5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22"/>
    </row>
    <row r="307" spans="1:60" ht="15.75" x14ac:dyDescent="0.25">
      <c r="A307" s="22"/>
      <c r="B307" s="5" t="s">
        <v>541</v>
      </c>
      <c r="C307" s="5" t="s">
        <v>542</v>
      </c>
      <c r="D307" s="7">
        <v>5</v>
      </c>
      <c r="E307" s="7">
        <v>5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22"/>
    </row>
    <row r="308" spans="1:60" ht="15.75" x14ac:dyDescent="0.25">
      <c r="A308" s="22"/>
      <c r="B308" s="5" t="s">
        <v>543</v>
      </c>
      <c r="C308" s="5" t="s">
        <v>544</v>
      </c>
      <c r="D308" s="7">
        <v>5</v>
      </c>
      <c r="E308" s="7">
        <v>5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22"/>
    </row>
    <row r="309" spans="1:60" ht="15.75" x14ac:dyDescent="0.25">
      <c r="A309" s="22"/>
      <c r="B309" s="5" t="s">
        <v>545</v>
      </c>
      <c r="C309" s="5" t="s">
        <v>546</v>
      </c>
      <c r="D309" s="7">
        <v>5</v>
      </c>
      <c r="E309" s="7">
        <v>5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22"/>
    </row>
    <row r="310" spans="1:60" ht="15.75" x14ac:dyDescent="0.25">
      <c r="A310" s="22"/>
      <c r="B310" s="5" t="s">
        <v>547</v>
      </c>
      <c r="C310" s="5" t="s">
        <v>548</v>
      </c>
      <c r="D310" s="7">
        <v>5</v>
      </c>
      <c r="E310" s="7">
        <v>5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22"/>
    </row>
    <row r="311" spans="1:60" ht="15.75" x14ac:dyDescent="0.25">
      <c r="A311" s="22"/>
      <c r="B311" s="5" t="s">
        <v>549</v>
      </c>
      <c r="C311" s="5" t="s">
        <v>550</v>
      </c>
      <c r="D311" s="7">
        <v>5</v>
      </c>
      <c r="E311" s="7">
        <v>5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22"/>
    </row>
    <row r="312" spans="1:60" ht="15.75" x14ac:dyDescent="0.25">
      <c r="A312" s="22"/>
      <c r="B312" s="5" t="s">
        <v>551</v>
      </c>
      <c r="C312" s="5" t="s">
        <v>552</v>
      </c>
      <c r="D312" s="7">
        <v>5</v>
      </c>
      <c r="E312" s="7">
        <v>5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22"/>
    </row>
    <row r="313" spans="1:60" ht="15.75" x14ac:dyDescent="0.25">
      <c r="A313" s="22"/>
      <c r="B313" s="5" t="s">
        <v>553</v>
      </c>
      <c r="C313" s="5" t="s">
        <v>554</v>
      </c>
      <c r="D313" s="7">
        <v>5</v>
      </c>
      <c r="E313" s="7">
        <v>5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22"/>
    </row>
    <row r="314" spans="1:60" ht="15.75" x14ac:dyDescent="0.25">
      <c r="A314" s="22"/>
      <c r="B314" s="5" t="s">
        <v>555</v>
      </c>
      <c r="C314" s="5" t="s">
        <v>556</v>
      </c>
      <c r="D314" s="7">
        <v>5</v>
      </c>
      <c r="E314" s="7">
        <v>5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22"/>
    </row>
    <row r="315" spans="1:60" ht="15.75" x14ac:dyDescent="0.25">
      <c r="A315" s="22"/>
      <c r="B315" s="5" t="s">
        <v>557</v>
      </c>
      <c r="C315" s="5" t="s">
        <v>558</v>
      </c>
      <c r="D315" s="7">
        <v>5</v>
      </c>
      <c r="E315" s="7">
        <v>5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22"/>
    </row>
    <row r="316" spans="1:60" ht="15.75" x14ac:dyDescent="0.25">
      <c r="A316" s="22"/>
      <c r="B316" s="5" t="s">
        <v>559</v>
      </c>
      <c r="C316" s="5" t="s">
        <v>560</v>
      </c>
      <c r="D316" s="7">
        <v>5</v>
      </c>
      <c r="E316" s="7">
        <v>5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22"/>
    </row>
    <row r="317" spans="1:60" ht="15.75" x14ac:dyDescent="0.25">
      <c r="A317" s="22"/>
      <c r="B317" s="5" t="s">
        <v>561</v>
      </c>
      <c r="C317" s="5" t="s">
        <v>562</v>
      </c>
      <c r="D317" s="7">
        <v>5</v>
      </c>
      <c r="E317" s="7">
        <v>5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22"/>
    </row>
    <row r="318" spans="1:60" ht="15.75" x14ac:dyDescent="0.25">
      <c r="A318" s="22"/>
      <c r="B318" s="5" t="s">
        <v>563</v>
      </c>
      <c r="C318" s="5" t="s">
        <v>564</v>
      </c>
      <c r="D318" s="7">
        <v>5</v>
      </c>
      <c r="E318" s="7">
        <v>5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22"/>
    </row>
    <row r="319" spans="1:60" ht="15.75" x14ac:dyDescent="0.25">
      <c r="A319" s="22"/>
      <c r="B319" s="5" t="s">
        <v>565</v>
      </c>
      <c r="C319" s="5" t="s">
        <v>566</v>
      </c>
      <c r="D319" s="7">
        <v>5</v>
      </c>
      <c r="E319" s="7">
        <v>5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22"/>
    </row>
    <row r="320" spans="1:60" ht="15.75" x14ac:dyDescent="0.25">
      <c r="A320" s="22"/>
      <c r="B320" s="5" t="s">
        <v>567</v>
      </c>
      <c r="C320" s="5" t="s">
        <v>568</v>
      </c>
      <c r="D320" s="7">
        <v>5</v>
      </c>
      <c r="E320" s="7">
        <v>5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22"/>
    </row>
    <row r="321" spans="1:60" ht="15.75" x14ac:dyDescent="0.25">
      <c r="A321" s="22"/>
      <c r="B321" s="5" t="s">
        <v>569</v>
      </c>
      <c r="C321" s="5" t="s">
        <v>570</v>
      </c>
      <c r="D321" s="7">
        <v>5</v>
      </c>
      <c r="E321" s="7">
        <v>5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22"/>
    </row>
    <row r="322" spans="1:60" ht="15.75" x14ac:dyDescent="0.25">
      <c r="A322" s="22"/>
      <c r="B322" s="5" t="s">
        <v>571</v>
      </c>
      <c r="C322" s="5" t="s">
        <v>572</v>
      </c>
      <c r="D322" s="7">
        <v>5</v>
      </c>
      <c r="E322" s="7">
        <v>5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22"/>
    </row>
    <row r="323" spans="1:60" ht="15.75" x14ac:dyDescent="0.25">
      <c r="A323" s="22"/>
      <c r="B323" s="5" t="s">
        <v>573</v>
      </c>
      <c r="C323" s="5" t="s">
        <v>574</v>
      </c>
      <c r="D323" s="7">
        <v>5</v>
      </c>
      <c r="E323" s="7">
        <v>5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22"/>
    </row>
    <row r="324" spans="1:60" ht="15.75" x14ac:dyDescent="0.25">
      <c r="A324" s="22"/>
      <c r="B324" s="5" t="s">
        <v>575</v>
      </c>
      <c r="C324" s="5" t="s">
        <v>576</v>
      </c>
      <c r="D324" s="7">
        <v>6</v>
      </c>
      <c r="E324" s="7">
        <v>6</v>
      </c>
      <c r="F324" s="7">
        <v>71.510999999999996</v>
      </c>
      <c r="G324" s="7">
        <v>0</v>
      </c>
      <c r="H324" s="7">
        <v>0</v>
      </c>
      <c r="I324" s="7">
        <v>0</v>
      </c>
      <c r="J324" s="7">
        <v>100.851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10627.398999999999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22"/>
    </row>
    <row r="325" spans="1:60" ht="15.75" x14ac:dyDescent="0.25">
      <c r="A325" s="22"/>
      <c r="B325" s="5" t="s">
        <v>577</v>
      </c>
      <c r="C325" s="5" t="s">
        <v>578</v>
      </c>
      <c r="D325" s="7">
        <v>6</v>
      </c>
      <c r="E325" s="7">
        <v>6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22"/>
    </row>
    <row r="326" spans="1:60" ht="15.75" x14ac:dyDescent="0.25">
      <c r="A326" s="22"/>
      <c r="B326" s="5" t="s">
        <v>579</v>
      </c>
      <c r="C326" s="5" t="s">
        <v>580</v>
      </c>
      <c r="D326" s="7">
        <v>6</v>
      </c>
      <c r="E326" s="7">
        <v>6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22"/>
    </row>
    <row r="327" spans="1:60" ht="15.75" x14ac:dyDescent="0.25">
      <c r="A327" s="22"/>
      <c r="B327" s="5" t="s">
        <v>581</v>
      </c>
      <c r="C327" s="5" t="s">
        <v>582</v>
      </c>
      <c r="D327" s="7">
        <v>6</v>
      </c>
      <c r="E327" s="7">
        <v>6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22"/>
    </row>
    <row r="328" spans="1:60" ht="15.75" x14ac:dyDescent="0.25">
      <c r="A328" s="22"/>
      <c r="B328" s="5" t="s">
        <v>583</v>
      </c>
      <c r="C328" s="5" t="s">
        <v>584</v>
      </c>
      <c r="D328" s="7">
        <v>6</v>
      </c>
      <c r="E328" s="7">
        <v>6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22"/>
    </row>
    <row r="329" spans="1:60" ht="15.75" x14ac:dyDescent="0.25">
      <c r="A329" s="22"/>
      <c r="B329" s="5" t="s">
        <v>585</v>
      </c>
      <c r="C329" s="5" t="s">
        <v>586</v>
      </c>
      <c r="D329" s="7">
        <v>6</v>
      </c>
      <c r="E329" s="7">
        <v>6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22"/>
    </row>
    <row r="330" spans="1:60" ht="15.75" x14ac:dyDescent="0.25">
      <c r="A330" s="22"/>
      <c r="B330" s="5" t="s">
        <v>587</v>
      </c>
      <c r="C330" s="5" t="s">
        <v>588</v>
      </c>
      <c r="D330" s="7">
        <v>6</v>
      </c>
      <c r="E330" s="7">
        <v>6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22"/>
    </row>
    <row r="331" spans="1:60" ht="15.75" x14ac:dyDescent="0.25">
      <c r="A331" s="22"/>
      <c r="B331" s="5" t="s">
        <v>589</v>
      </c>
      <c r="C331" s="5" t="s">
        <v>590</v>
      </c>
      <c r="D331" s="7">
        <v>6</v>
      </c>
      <c r="E331" s="7">
        <v>6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22"/>
    </row>
    <row r="332" spans="1:60" ht="15.75" x14ac:dyDescent="0.25">
      <c r="A332" s="22"/>
      <c r="B332" s="5" t="s">
        <v>591</v>
      </c>
      <c r="C332" s="5" t="s">
        <v>592</v>
      </c>
      <c r="D332" s="7">
        <v>6</v>
      </c>
      <c r="E332" s="7">
        <v>6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22"/>
    </row>
    <row r="333" spans="1:60" ht="15.75" x14ac:dyDescent="0.25">
      <c r="A333" s="22"/>
      <c r="B333" s="5" t="s">
        <v>593</v>
      </c>
      <c r="C333" s="5" t="s">
        <v>594</v>
      </c>
      <c r="D333" s="7">
        <v>6</v>
      </c>
      <c r="E333" s="7">
        <v>6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22"/>
    </row>
    <row r="334" spans="1:60" ht="15.75" x14ac:dyDescent="0.25">
      <c r="A334" s="22"/>
      <c r="B334" s="5" t="s">
        <v>595</v>
      </c>
      <c r="C334" s="5" t="s">
        <v>596</v>
      </c>
      <c r="D334" s="7">
        <v>6</v>
      </c>
      <c r="E334" s="7">
        <v>6</v>
      </c>
      <c r="F334" s="7">
        <v>11901.717000000001</v>
      </c>
      <c r="G334" s="7">
        <v>2643.9090000000001</v>
      </c>
      <c r="H334" s="7">
        <v>3824.3969999999999</v>
      </c>
      <c r="I334" s="7">
        <v>3237.0419999999999</v>
      </c>
      <c r="J334" s="7">
        <v>399.55099999999999</v>
      </c>
      <c r="K334" s="7">
        <v>3005.114</v>
      </c>
      <c r="L334" s="7">
        <v>7667.116</v>
      </c>
      <c r="M334" s="7">
        <v>2726.6689999999999</v>
      </c>
      <c r="N334" s="7">
        <v>0</v>
      </c>
      <c r="O334" s="7">
        <v>7194.6329999999998</v>
      </c>
      <c r="P334" s="7">
        <v>16609.302</v>
      </c>
      <c r="Q334" s="7">
        <v>7004.9080000000004</v>
      </c>
      <c r="R334" s="7">
        <v>2.7509999999999999</v>
      </c>
      <c r="S334" s="7">
        <v>0.48499999999999999</v>
      </c>
      <c r="T334" s="7">
        <v>25.036000000000001</v>
      </c>
      <c r="U334" s="7">
        <v>15.773999999999999</v>
      </c>
      <c r="V334" s="7">
        <v>115.291</v>
      </c>
      <c r="W334" s="7">
        <v>770.303</v>
      </c>
      <c r="X334" s="7">
        <v>0</v>
      </c>
      <c r="Y334" s="7">
        <v>290.11399999999998</v>
      </c>
      <c r="Z334" s="7">
        <v>4.5289999999999999</v>
      </c>
      <c r="AA334" s="7">
        <v>295.92500000000001</v>
      </c>
      <c r="AB334" s="7">
        <v>781.64700000000005</v>
      </c>
      <c r="AC334" s="7">
        <v>96.974000000000004</v>
      </c>
      <c r="AD334" s="7">
        <v>14925.127</v>
      </c>
      <c r="AE334" s="7">
        <v>3.423</v>
      </c>
      <c r="AF334" s="7">
        <v>2350.585</v>
      </c>
      <c r="AG334" s="7">
        <v>30.811</v>
      </c>
      <c r="AH334" s="7">
        <v>394.505</v>
      </c>
      <c r="AI334" s="7">
        <v>2.008</v>
      </c>
      <c r="AJ334" s="7">
        <v>8130.6310000000003</v>
      </c>
      <c r="AK334" s="7">
        <v>2022.4449999999999</v>
      </c>
      <c r="AL334" s="7">
        <v>4.8559999999999999</v>
      </c>
      <c r="AM334" s="7">
        <v>30024.343000000001</v>
      </c>
      <c r="AN334" s="7">
        <v>2349.5459999999998</v>
      </c>
      <c r="AO334" s="7">
        <v>385</v>
      </c>
      <c r="AP334" s="7">
        <v>0</v>
      </c>
      <c r="AQ334" s="7">
        <v>530.88599999999997</v>
      </c>
      <c r="AR334" s="7">
        <v>330.839</v>
      </c>
      <c r="AS334" s="7">
        <v>0</v>
      </c>
      <c r="AT334" s="7">
        <v>0</v>
      </c>
      <c r="AU334" s="7">
        <v>0</v>
      </c>
      <c r="AV334" s="7">
        <v>20.154</v>
      </c>
      <c r="AW334" s="7">
        <v>27.559000000000001</v>
      </c>
      <c r="AX334" s="7">
        <v>15.673999999999999</v>
      </c>
      <c r="AY334" s="7">
        <v>554.428</v>
      </c>
      <c r="AZ334" s="7">
        <v>4.4160000000000004</v>
      </c>
      <c r="BA334" s="7">
        <v>7.0549999999999997</v>
      </c>
      <c r="BB334" s="7">
        <v>0</v>
      </c>
      <c r="BC334" s="7">
        <v>721.04300000000001</v>
      </c>
      <c r="BD334" s="7">
        <v>17.731000000000002</v>
      </c>
      <c r="BE334" s="7">
        <v>39.795000000000002</v>
      </c>
      <c r="BF334" s="7">
        <v>187.53</v>
      </c>
      <c r="BG334" s="7">
        <v>6.8579999999999997</v>
      </c>
      <c r="BH334" s="22"/>
    </row>
    <row r="335" spans="1:60" ht="15.75" x14ac:dyDescent="0.25">
      <c r="A335" s="22"/>
      <c r="B335" s="5" t="s">
        <v>597</v>
      </c>
      <c r="C335" s="5" t="s">
        <v>598</v>
      </c>
      <c r="D335" s="7">
        <v>6</v>
      </c>
      <c r="E335" s="7">
        <v>6</v>
      </c>
      <c r="F335" s="7">
        <v>-7593.6750000000002</v>
      </c>
      <c r="G335" s="7">
        <v>-2024.953</v>
      </c>
      <c r="H335" s="7">
        <v>-1021.023</v>
      </c>
      <c r="I335" s="7">
        <v>-9381.66</v>
      </c>
      <c r="J335" s="7">
        <v>-319.94299999999998</v>
      </c>
      <c r="K335" s="7">
        <v>-918.625</v>
      </c>
      <c r="L335" s="7">
        <v>-8009.835</v>
      </c>
      <c r="M335" s="7">
        <v>-1236.4849999999999</v>
      </c>
      <c r="N335" s="7">
        <v>-150.381</v>
      </c>
      <c r="O335" s="7">
        <v>-3532.462</v>
      </c>
      <c r="P335" s="7">
        <v>-19488.332999999999</v>
      </c>
      <c r="Q335" s="7">
        <v>-2702.4340000000002</v>
      </c>
      <c r="R335" s="7">
        <v>-6.524</v>
      </c>
      <c r="S335" s="7">
        <v>-11.478999999999999</v>
      </c>
      <c r="T335" s="7">
        <v>-75.421000000000006</v>
      </c>
      <c r="U335" s="7">
        <v>-11.209</v>
      </c>
      <c r="V335" s="7">
        <v>-147.06899999999999</v>
      </c>
      <c r="W335" s="7">
        <v>-46.433</v>
      </c>
      <c r="X335" s="7">
        <v>-1.821</v>
      </c>
      <c r="Y335" s="7">
        <v>-71.882999999999996</v>
      </c>
      <c r="Z335" s="7">
        <v>-107.46899999999999</v>
      </c>
      <c r="AA335" s="7">
        <v>-282.226</v>
      </c>
      <c r="AB335" s="7">
        <v>-889.71</v>
      </c>
      <c r="AC335" s="7">
        <v>-657.96699999999998</v>
      </c>
      <c r="AD335" s="7">
        <v>-1634.009</v>
      </c>
      <c r="AE335" s="7">
        <v>-317.63099999999997</v>
      </c>
      <c r="AF335" s="7">
        <v>-150.209</v>
      </c>
      <c r="AG335" s="7">
        <v>-1.9490000000000001</v>
      </c>
      <c r="AH335" s="7">
        <v>-26.748999999999999</v>
      </c>
      <c r="AI335" s="7">
        <v>-0.34799999999999998</v>
      </c>
      <c r="AJ335" s="7">
        <v>-5170.09</v>
      </c>
      <c r="AK335" s="7">
        <v>-506.52800000000002</v>
      </c>
      <c r="AL335" s="7">
        <v>-153.624</v>
      </c>
      <c r="AM335" s="7">
        <v>-20958.527999999998</v>
      </c>
      <c r="AN335" s="7">
        <v>-1619.5219999999999</v>
      </c>
      <c r="AO335" s="7">
        <v>-303.37200000000001</v>
      </c>
      <c r="AP335" s="7">
        <v>-9000.2019999999993</v>
      </c>
      <c r="AQ335" s="7">
        <v>-166.39400000000001</v>
      </c>
      <c r="AR335" s="7">
        <v>-153.321</v>
      </c>
      <c r="AS335" s="7">
        <v>-2918.1579999999999</v>
      </c>
      <c r="AT335" s="7">
        <v>-1080.279</v>
      </c>
      <c r="AU335" s="7">
        <v>-9699.4380000000001</v>
      </c>
      <c r="AV335" s="7">
        <v>-4.5279999999999996</v>
      </c>
      <c r="AW335" s="7">
        <v>-11.992000000000001</v>
      </c>
      <c r="AX335" s="7">
        <v>-15.509</v>
      </c>
      <c r="AY335" s="7">
        <v>-149.61799999999999</v>
      </c>
      <c r="AZ335" s="7">
        <v>-82.897000000000006</v>
      </c>
      <c r="BA335" s="7">
        <v>-3.6850000000000001</v>
      </c>
      <c r="BB335" s="7">
        <v>0</v>
      </c>
      <c r="BC335" s="7">
        <v>-27.1</v>
      </c>
      <c r="BD335" s="7">
        <v>-0.17599999999999999</v>
      </c>
      <c r="BE335" s="7">
        <v>-32.744</v>
      </c>
      <c r="BF335" s="7">
        <v>-180.61199999999999</v>
      </c>
      <c r="BG335" s="7">
        <v>-9.3949999999999996</v>
      </c>
      <c r="BH335" s="22"/>
    </row>
    <row r="336" spans="1:60" ht="15.75" x14ac:dyDescent="0.25">
      <c r="A336" s="22"/>
      <c r="B336" s="5" t="s">
        <v>599</v>
      </c>
      <c r="C336" s="5" t="s">
        <v>600</v>
      </c>
      <c r="D336" s="7">
        <v>6</v>
      </c>
      <c r="E336" s="7">
        <v>6</v>
      </c>
      <c r="F336" s="7">
        <v>-1153.9780000000001</v>
      </c>
      <c r="G336" s="7">
        <v>-122.562</v>
      </c>
      <c r="H336" s="7">
        <v>-88.710999999999999</v>
      </c>
      <c r="I336" s="7">
        <v>-122.676</v>
      </c>
      <c r="J336" s="7">
        <v>0</v>
      </c>
      <c r="K336" s="7">
        <v>-41.338000000000001</v>
      </c>
      <c r="L336" s="7">
        <v>-373.04300000000001</v>
      </c>
      <c r="M336" s="7">
        <v>-105.473</v>
      </c>
      <c r="N336" s="7">
        <v>-3.512</v>
      </c>
      <c r="O336" s="7">
        <v>-521.09199999999998</v>
      </c>
      <c r="P336" s="7">
        <v>-2366.7669999999998</v>
      </c>
      <c r="Q336" s="7">
        <v>-64.352000000000004</v>
      </c>
      <c r="R336" s="7">
        <v>-7.915</v>
      </c>
      <c r="S336" s="7">
        <v>0</v>
      </c>
      <c r="T336" s="7">
        <v>-14.217000000000001</v>
      </c>
      <c r="U336" s="7">
        <v>0</v>
      </c>
      <c r="V336" s="7">
        <v>0</v>
      </c>
      <c r="W336" s="7">
        <v>0</v>
      </c>
      <c r="X336" s="7">
        <v>0</v>
      </c>
      <c r="Y336" s="7">
        <v>-16.786000000000001</v>
      </c>
      <c r="Z336" s="7">
        <v>-31.928999999999998</v>
      </c>
      <c r="AA336" s="7">
        <v>-16.091000000000001</v>
      </c>
      <c r="AB336" s="7">
        <v>-1.9830000000000001</v>
      </c>
      <c r="AC336" s="7">
        <v>-17.238</v>
      </c>
      <c r="AD336" s="7">
        <v>-106.45099999999999</v>
      </c>
      <c r="AE336" s="7">
        <v>-0.98899999999999999</v>
      </c>
      <c r="AF336" s="7">
        <v>-6.1390000000000002</v>
      </c>
      <c r="AG336" s="7">
        <v>-18.856000000000002</v>
      </c>
      <c r="AH336" s="7">
        <v>-12.608000000000001</v>
      </c>
      <c r="AI336" s="7">
        <v>-3.1240000000000001</v>
      </c>
      <c r="AJ336" s="7">
        <v>-485.29199999999997</v>
      </c>
      <c r="AK336" s="7">
        <v>-123.27</v>
      </c>
      <c r="AL336" s="7">
        <v>-6.5179999999999998</v>
      </c>
      <c r="AM336" s="7">
        <v>-1536.991</v>
      </c>
      <c r="AN336" s="7">
        <v>-122.754</v>
      </c>
      <c r="AO336" s="7">
        <v>-14.019</v>
      </c>
      <c r="AP336" s="7">
        <v>-391.42899999999997</v>
      </c>
      <c r="AQ336" s="7">
        <v>-26.949000000000002</v>
      </c>
      <c r="AR336" s="7">
        <v>-18.108000000000001</v>
      </c>
      <c r="AS336" s="7">
        <v>-831.98299999999995</v>
      </c>
      <c r="AT336" s="7">
        <v>-5.742</v>
      </c>
      <c r="AU336" s="7">
        <v>-689.58900000000006</v>
      </c>
      <c r="AV336" s="7">
        <v>-8.0000000000000002E-3</v>
      </c>
      <c r="AW336" s="7">
        <v>0</v>
      </c>
      <c r="AX336" s="7">
        <v>-7.82</v>
      </c>
      <c r="AY336" s="7">
        <v>-30.777000000000001</v>
      </c>
      <c r="AZ336" s="7">
        <v>-2.8239999999999998</v>
      </c>
      <c r="BA336" s="7">
        <v>0</v>
      </c>
      <c r="BB336" s="7">
        <v>0</v>
      </c>
      <c r="BC336" s="7">
        <v>-0.29699999999999999</v>
      </c>
      <c r="BD336" s="7">
        <v>-5.56</v>
      </c>
      <c r="BE336" s="7">
        <v>-21.300999999999998</v>
      </c>
      <c r="BF336" s="7">
        <v>-20.016999999999999</v>
      </c>
      <c r="BG336" s="7">
        <v>0</v>
      </c>
      <c r="BH336" s="22"/>
    </row>
    <row r="337" spans="1:60" ht="15.75" x14ac:dyDescent="0.25">
      <c r="A337" s="22"/>
      <c r="B337" s="5" t="s">
        <v>601</v>
      </c>
      <c r="C337" s="5" t="s">
        <v>602</v>
      </c>
      <c r="D337" s="7">
        <v>6</v>
      </c>
      <c r="E337" s="7">
        <v>6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22"/>
    </row>
    <row r="338" spans="1:60" ht="15.75" x14ac:dyDescent="0.25">
      <c r="A338" s="22"/>
      <c r="B338" s="5" t="s">
        <v>603</v>
      </c>
      <c r="C338" s="5" t="s">
        <v>604</v>
      </c>
      <c r="D338" s="7">
        <v>6</v>
      </c>
      <c r="E338" s="7">
        <v>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 s="22"/>
    </row>
    <row r="339" spans="1:60" ht="15.75" x14ac:dyDescent="0.25">
      <c r="A339" s="22"/>
      <c r="B339" s="5" t="s">
        <v>605</v>
      </c>
      <c r="C339" s="5" t="s">
        <v>606</v>
      </c>
      <c r="D339" s="5"/>
      <c r="E339" s="5"/>
      <c r="F339">
        <v>5642430.0300000003</v>
      </c>
      <c r="G339">
        <v>909725.12699999998</v>
      </c>
      <c r="H339">
        <v>1070541.6240000001</v>
      </c>
      <c r="I339">
        <v>1064687.3629999999</v>
      </c>
      <c r="J339">
        <v>149441.36799999999</v>
      </c>
      <c r="K339">
        <v>740834.59199999995</v>
      </c>
      <c r="L339">
        <v>4517312.8</v>
      </c>
      <c r="M339">
        <v>874877.36499999999</v>
      </c>
      <c r="N339">
        <v>299931.39799999999</v>
      </c>
      <c r="O339">
        <v>2464200.2549999999</v>
      </c>
      <c r="P339">
        <v>8926853.9220000003</v>
      </c>
      <c r="Q339">
        <v>2527906.3420000002</v>
      </c>
      <c r="R339">
        <v>16543.644</v>
      </c>
      <c r="S339">
        <v>6151.9750000000004</v>
      </c>
      <c r="T339">
        <v>23504.27</v>
      </c>
      <c r="U339">
        <v>11426.965</v>
      </c>
      <c r="V339">
        <v>22002.83</v>
      </c>
      <c r="W339">
        <v>271975.76400000002</v>
      </c>
      <c r="X339">
        <v>2883.0729999999999</v>
      </c>
      <c r="Y339">
        <v>130764.81200000001</v>
      </c>
      <c r="Z339">
        <v>217548.62</v>
      </c>
      <c r="AA339">
        <v>79995.83</v>
      </c>
      <c r="AB339">
        <v>234792.43900000001</v>
      </c>
      <c r="AC339">
        <v>213659.66399999999</v>
      </c>
      <c r="AD339">
        <v>1687214.1839999999</v>
      </c>
      <c r="AE339">
        <v>100061.564</v>
      </c>
      <c r="AF339">
        <v>833525.11300000001</v>
      </c>
      <c r="AG339">
        <v>206080.10800000001</v>
      </c>
      <c r="AH339">
        <v>143621.46100000001</v>
      </c>
      <c r="AI339">
        <v>49940.631000000001</v>
      </c>
      <c r="AJ339">
        <v>4361946.6749999998</v>
      </c>
      <c r="AK339">
        <v>968124.06700000004</v>
      </c>
      <c r="AL339">
        <v>203759.35</v>
      </c>
      <c r="AM339">
        <v>13781648.072000001</v>
      </c>
      <c r="AN339">
        <v>1896834.6189999999</v>
      </c>
      <c r="AO339">
        <v>601219.38500000001</v>
      </c>
      <c r="AP339">
        <v>7776726.2379999999</v>
      </c>
      <c r="AQ339">
        <v>334269.70500000002</v>
      </c>
      <c r="AR339">
        <v>209373.27299999999</v>
      </c>
      <c r="AS339">
        <v>4774142.4519999996</v>
      </c>
      <c r="AT339">
        <v>39455.546000000002</v>
      </c>
      <c r="AU339">
        <v>2489409.3160000001</v>
      </c>
      <c r="AV339">
        <v>8103.4440000000004</v>
      </c>
      <c r="AW339">
        <v>25692.742999999999</v>
      </c>
      <c r="AX339">
        <v>32216.089</v>
      </c>
      <c r="AY339">
        <v>278529.23599999998</v>
      </c>
      <c r="AZ339">
        <v>15051.606</v>
      </c>
      <c r="BA339">
        <v>3262.9059999999999</v>
      </c>
      <c r="BB339">
        <v>0</v>
      </c>
      <c r="BC339">
        <v>76340.482999999993</v>
      </c>
      <c r="BD339">
        <v>61182.779000000002</v>
      </c>
      <c r="BE339">
        <v>53973.252999999997</v>
      </c>
      <c r="BF339">
        <v>371916.90899999999</v>
      </c>
      <c r="BG339">
        <v>25407.010999999999</v>
      </c>
      <c r="BH339" s="22"/>
    </row>
    <row r="340" spans="1:60" x14ac:dyDescent="0.2">
      <c r="A340" s="22"/>
      <c r="BH340" s="22"/>
    </row>
    <row r="341" spans="1:60" ht="15.75" x14ac:dyDescent="0.25">
      <c r="A341" s="22"/>
      <c r="B341" s="5" t="s">
        <v>607</v>
      </c>
      <c r="F341">
        <f t="shared" ref="F341:BG341" si="0">SUM(F6:F338)-F339</f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 t="shared" si="0"/>
        <v>0</v>
      </c>
      <c r="AN341">
        <f t="shared" si="0"/>
        <v>0</v>
      </c>
      <c r="AO341">
        <f t="shared" si="0"/>
        <v>0</v>
      </c>
      <c r="AP341">
        <f t="shared" si="0"/>
        <v>0</v>
      </c>
      <c r="AQ341">
        <f t="shared" si="0"/>
        <v>0</v>
      </c>
      <c r="AR341">
        <f t="shared" si="0"/>
        <v>0</v>
      </c>
      <c r="AS341">
        <f t="shared" si="0"/>
        <v>0</v>
      </c>
      <c r="AT341">
        <f>SUM(AT6:AT338)-AT339</f>
        <v>0</v>
      </c>
      <c r="AU341">
        <f>SUM(AU6:AU338)-AU339</f>
        <v>0</v>
      </c>
      <c r="AV341">
        <f>SUM(AV6:AV338)-AV339</f>
        <v>0</v>
      </c>
      <c r="AW341">
        <f>SUM(AW6:AW338)-AW339</f>
        <v>0</v>
      </c>
      <c r="AX341">
        <f t="shared" si="0"/>
        <v>0</v>
      </c>
      <c r="AY341">
        <f t="shared" si="0"/>
        <v>0</v>
      </c>
      <c r="AZ341">
        <f t="shared" si="0"/>
        <v>0</v>
      </c>
      <c r="BA341">
        <f t="shared" si="0"/>
        <v>0</v>
      </c>
      <c r="BB341">
        <f t="shared" si="0"/>
        <v>0</v>
      </c>
      <c r="BC341">
        <f t="shared" si="0"/>
        <v>0</v>
      </c>
      <c r="BD341">
        <f t="shared" si="0"/>
        <v>0</v>
      </c>
      <c r="BE341">
        <f t="shared" si="0"/>
        <v>0</v>
      </c>
      <c r="BF341">
        <f t="shared" si="0"/>
        <v>0</v>
      </c>
      <c r="BG341">
        <f t="shared" si="0"/>
        <v>0</v>
      </c>
      <c r="BH341" s="22"/>
    </row>
    <row r="342" spans="1:60" x14ac:dyDescent="0.2">
      <c r="A342" s="22"/>
      <c r="BH342" s="22"/>
    </row>
    <row r="343" spans="1:60" x14ac:dyDescent="0.2">
      <c r="A343" s="22"/>
      <c r="B343" t="s">
        <v>608</v>
      </c>
      <c r="E343">
        <v>1</v>
      </c>
      <c r="F343" s="16">
        <f t="shared" ref="F343:BG343" si="1">SUMIF($E$5:$E$337,$E$343,F5:F337)</f>
        <v>591774.76900000009</v>
      </c>
      <c r="G343" s="16">
        <f t="shared" si="1"/>
        <v>156859.83000000002</v>
      </c>
      <c r="H343" s="16">
        <f t="shared" si="1"/>
        <v>40071.962</v>
      </c>
      <c r="I343" s="16">
        <f t="shared" si="1"/>
        <v>19322.661</v>
      </c>
      <c r="J343" s="16">
        <f t="shared" si="1"/>
        <v>13483.427</v>
      </c>
      <c r="K343" s="16">
        <f t="shared" si="1"/>
        <v>28733.788</v>
      </c>
      <c r="L343" s="16">
        <f t="shared" si="1"/>
        <v>706132.91300000006</v>
      </c>
      <c r="M343" s="16">
        <f t="shared" si="1"/>
        <v>84007.645999999993</v>
      </c>
      <c r="N343" s="16">
        <f t="shared" si="1"/>
        <v>6778.9780000000001</v>
      </c>
      <c r="O343" s="16">
        <f t="shared" si="1"/>
        <v>146498.182</v>
      </c>
      <c r="P343" s="16">
        <f t="shared" si="1"/>
        <v>1688911.6510000001</v>
      </c>
      <c r="Q343" s="16">
        <f t="shared" si="1"/>
        <v>159529.50100000002</v>
      </c>
      <c r="R343" s="16">
        <f>SUMIF($E$5:$E$337,$E$343,R5:R337)</f>
        <v>192.018</v>
      </c>
      <c r="S343" s="16">
        <f t="shared" si="1"/>
        <v>4470.1859999999997</v>
      </c>
      <c r="T343" s="16">
        <f t="shared" si="1"/>
        <v>1054.8020000000001</v>
      </c>
      <c r="U343" s="16">
        <f t="shared" si="1"/>
        <v>4734.7330000000011</v>
      </c>
      <c r="V343" s="16">
        <f t="shared" si="1"/>
        <v>1219.5319999999999</v>
      </c>
      <c r="W343" s="16">
        <f t="shared" si="1"/>
        <v>44944.098999999995</v>
      </c>
      <c r="X343" s="16">
        <f t="shared" si="1"/>
        <v>44.166999999999994</v>
      </c>
      <c r="Y343" s="16">
        <f t="shared" si="1"/>
        <v>71782.407000000007</v>
      </c>
      <c r="Z343" s="16">
        <f t="shared" si="1"/>
        <v>3362.201</v>
      </c>
      <c r="AA343" s="16">
        <f t="shared" si="1"/>
        <v>5243.11</v>
      </c>
      <c r="AB343" s="16">
        <f t="shared" si="1"/>
        <v>19922.057000000001</v>
      </c>
      <c r="AC343" s="16">
        <f t="shared" si="1"/>
        <v>178218.94099999999</v>
      </c>
      <c r="AD343" s="16">
        <f t="shared" si="1"/>
        <v>300924.42000000004</v>
      </c>
      <c r="AE343" s="16">
        <f t="shared" si="1"/>
        <v>55779.41</v>
      </c>
      <c r="AF343" s="16">
        <f t="shared" si="1"/>
        <v>54425.684999999998</v>
      </c>
      <c r="AG343" s="16">
        <f t="shared" si="1"/>
        <v>155520.67600000001</v>
      </c>
      <c r="AH343" s="16">
        <f t="shared" si="1"/>
        <v>26545.111000000001</v>
      </c>
      <c r="AI343" s="16">
        <f t="shared" si="1"/>
        <v>13226.983</v>
      </c>
      <c r="AJ343" s="16">
        <f t="shared" si="1"/>
        <v>758987.44200000004</v>
      </c>
      <c r="AK343" s="16">
        <f t="shared" si="1"/>
        <v>313000.62699999998</v>
      </c>
      <c r="AL343" s="16">
        <f t="shared" si="1"/>
        <v>56291.276000000005</v>
      </c>
      <c r="AM343" s="16">
        <f t="shared" si="1"/>
        <v>2226326.5580000002</v>
      </c>
      <c r="AN343" s="16">
        <f t="shared" si="1"/>
        <v>588852.40999999992</v>
      </c>
      <c r="AO343" s="16">
        <f t="shared" si="1"/>
        <v>327859.46600000001</v>
      </c>
      <c r="AP343" s="16">
        <f t="shared" si="1"/>
        <v>5757444.3000000007</v>
      </c>
      <c r="AQ343" s="16">
        <f t="shared" si="1"/>
        <v>158783.19700000001</v>
      </c>
      <c r="AR343" s="16">
        <f t="shared" si="1"/>
        <v>67271.862000000008</v>
      </c>
      <c r="AS343" s="16">
        <f t="shared" si="1"/>
        <v>3526815.4330000002</v>
      </c>
      <c r="AT343" s="16">
        <f>SUMIF($E$5:$E$337,$E$343,AT5:AT337)</f>
        <v>630.16100000000006</v>
      </c>
      <c r="AU343" s="16">
        <f>SUMIF($E$5:$E$337,$E$343,AU5:AU337)</f>
        <v>1848571.8439999998</v>
      </c>
      <c r="AV343" s="16">
        <f>SUMIF($E$5:$E$337,$E$343,AV5:AV337)</f>
        <v>1942.2169999999999</v>
      </c>
      <c r="AW343" s="16">
        <f>SUMIF($E$5:$E$337,$E$343,AW5:AW337)</f>
        <v>11147.397000000001</v>
      </c>
      <c r="AX343" s="16">
        <f t="shared" si="1"/>
        <v>3904.884</v>
      </c>
      <c r="AY343" s="16">
        <f t="shared" si="1"/>
        <v>92464.714000000007</v>
      </c>
      <c r="AZ343" s="16">
        <f t="shared" si="1"/>
        <v>1303.627</v>
      </c>
      <c r="BA343" s="16">
        <f t="shared" si="1"/>
        <v>512.46500000000003</v>
      </c>
      <c r="BB343" s="16">
        <f t="shared" si="1"/>
        <v>0</v>
      </c>
      <c r="BC343" s="16">
        <f t="shared" si="1"/>
        <v>10383.66</v>
      </c>
      <c r="BD343" s="16">
        <f t="shared" si="1"/>
        <v>6396.3250000000007</v>
      </c>
      <c r="BE343" s="16">
        <f t="shared" si="1"/>
        <v>5083.027</v>
      </c>
      <c r="BF343" s="16">
        <f t="shared" si="1"/>
        <v>112898.461</v>
      </c>
      <c r="BG343" s="16">
        <f t="shared" si="1"/>
        <v>22862.353999999999</v>
      </c>
      <c r="BH343" s="22"/>
    </row>
    <row r="344" spans="1:60" x14ac:dyDescent="0.2">
      <c r="A344" s="22"/>
      <c r="B344" t="s">
        <v>609</v>
      </c>
      <c r="E344">
        <v>2</v>
      </c>
      <c r="F344" s="16">
        <f t="shared" ref="F344:BG344" si="2">SUMIF($E$5:$E$337,$E$344,F5:F337)</f>
        <v>1366788.213</v>
      </c>
      <c r="G344" s="16">
        <f t="shared" si="2"/>
        <v>150916.15100000001</v>
      </c>
      <c r="H344" s="16">
        <f t="shared" si="2"/>
        <v>366678.72699999996</v>
      </c>
      <c r="I344" s="16">
        <f t="shared" si="2"/>
        <v>0</v>
      </c>
      <c r="J344" s="16">
        <f t="shared" si="2"/>
        <v>53391.220999999998</v>
      </c>
      <c r="K344" s="16">
        <f t="shared" si="2"/>
        <v>259755.12599999999</v>
      </c>
      <c r="L344" s="16">
        <f t="shared" si="2"/>
        <v>720019.14800000016</v>
      </c>
      <c r="M344" s="16">
        <f t="shared" si="2"/>
        <v>165677.68600000002</v>
      </c>
      <c r="N344" s="16">
        <f t="shared" si="2"/>
        <v>220980.09299999999</v>
      </c>
      <c r="O344" s="16">
        <f t="shared" si="2"/>
        <v>608008.12400000007</v>
      </c>
      <c r="P344" s="16">
        <f t="shared" si="2"/>
        <v>532669.92799999996</v>
      </c>
      <c r="Q344" s="16">
        <f t="shared" si="2"/>
        <v>602744.49300000002</v>
      </c>
      <c r="R344" s="16">
        <f>SUMIF($E$5:$E$337,$E$344,R5:R337)</f>
        <v>13064.228000000001</v>
      </c>
      <c r="S344" s="16">
        <f t="shared" si="2"/>
        <v>0</v>
      </c>
      <c r="T344" s="16">
        <f t="shared" si="2"/>
        <v>18257.22</v>
      </c>
      <c r="U344" s="16">
        <f t="shared" si="2"/>
        <v>1451.7850000000001</v>
      </c>
      <c r="V344" s="16">
        <f t="shared" si="2"/>
        <v>4725.8519999999999</v>
      </c>
      <c r="W344" s="16">
        <f t="shared" si="2"/>
        <v>45257.599000000002</v>
      </c>
      <c r="X344" s="16">
        <f t="shared" si="2"/>
        <v>2840.7269999999999</v>
      </c>
      <c r="Y344" s="16">
        <f t="shared" si="2"/>
        <v>5604.9870000000001</v>
      </c>
      <c r="Z344" s="16">
        <f t="shared" si="2"/>
        <v>163464.76699999999</v>
      </c>
      <c r="AA344" s="16">
        <f t="shared" si="2"/>
        <v>23519.561000000002</v>
      </c>
      <c r="AB344" s="16">
        <f t="shared" si="2"/>
        <v>53542.811999999998</v>
      </c>
      <c r="AC344" s="16">
        <f t="shared" si="2"/>
        <v>0</v>
      </c>
      <c r="AD344" s="16">
        <f t="shared" si="2"/>
        <v>239203.47599999997</v>
      </c>
      <c r="AE344" s="16">
        <f t="shared" si="2"/>
        <v>0</v>
      </c>
      <c r="AF344" s="16">
        <f t="shared" si="2"/>
        <v>275645.76499999996</v>
      </c>
      <c r="AG344" s="16">
        <f t="shared" si="2"/>
        <v>3.1669999999999998</v>
      </c>
      <c r="AH344" s="16">
        <f t="shared" si="2"/>
        <v>19067.767</v>
      </c>
      <c r="AI344" s="16">
        <f t="shared" si="2"/>
        <v>7054.5450000000001</v>
      </c>
      <c r="AJ344" s="16">
        <f t="shared" si="2"/>
        <v>588809.16999999993</v>
      </c>
      <c r="AK344" s="16">
        <f t="shared" si="2"/>
        <v>11193.924999999999</v>
      </c>
      <c r="AL344" s="16">
        <f t="shared" si="2"/>
        <v>20348.517</v>
      </c>
      <c r="AM344" s="16">
        <f t="shared" si="2"/>
        <v>1592894.03</v>
      </c>
      <c r="AN344" s="16">
        <f t="shared" si="2"/>
        <v>21076.513999999999</v>
      </c>
      <c r="AO344" s="16">
        <f t="shared" si="2"/>
        <v>0</v>
      </c>
      <c r="AP344" s="16">
        <f t="shared" si="2"/>
        <v>0</v>
      </c>
      <c r="AQ344" s="16">
        <f t="shared" si="2"/>
        <v>36117.671000000002</v>
      </c>
      <c r="AR344" s="16">
        <f t="shared" si="2"/>
        <v>41125.851999999999</v>
      </c>
      <c r="AS344" s="16">
        <f t="shared" si="2"/>
        <v>0</v>
      </c>
      <c r="AT344" s="16">
        <f>SUMIF($E$5:$E$337,$E$344,AT5:AT337)</f>
        <v>30351.83</v>
      </c>
      <c r="AU344" s="16">
        <f>SUMIF($E$5:$E$337,$E$344,AU5:AU337)</f>
        <v>0</v>
      </c>
      <c r="AV344" s="16">
        <f>SUMIF($E$5:$E$337,$E$344,AV5:AV337)</f>
        <v>1412.011</v>
      </c>
      <c r="AW344" s="16">
        <f>SUMIF($E$5:$E$337,$E$344,AW5:AW337)</f>
        <v>4217.9629999999997</v>
      </c>
      <c r="AX344" s="16">
        <f t="shared" si="2"/>
        <v>0</v>
      </c>
      <c r="AY344" s="16">
        <f t="shared" si="2"/>
        <v>3283.8620000000001</v>
      </c>
      <c r="AZ344" s="16">
        <f t="shared" si="2"/>
        <v>0</v>
      </c>
      <c r="BA344" s="16">
        <f t="shared" si="2"/>
        <v>1104.8929999999998</v>
      </c>
      <c r="BB344" s="16">
        <f t="shared" si="2"/>
        <v>0</v>
      </c>
      <c r="BC344" s="16">
        <f t="shared" si="2"/>
        <v>30142.922999999999</v>
      </c>
      <c r="BD344" s="16">
        <f t="shared" si="2"/>
        <v>0</v>
      </c>
      <c r="BE344" s="16">
        <f t="shared" si="2"/>
        <v>0</v>
      </c>
      <c r="BF344" s="16">
        <f t="shared" si="2"/>
        <v>28871.864999999998</v>
      </c>
      <c r="BG344" s="16">
        <f t="shared" si="2"/>
        <v>0</v>
      </c>
      <c r="BH344" s="22"/>
    </row>
    <row r="345" spans="1:60" x14ac:dyDescent="0.2">
      <c r="A345" s="22"/>
      <c r="B345" t="s">
        <v>610</v>
      </c>
      <c r="E345">
        <v>3</v>
      </c>
      <c r="F345" s="16">
        <f t="shared" ref="F345:BG345" si="3">SUMIF($E$5:$E$337,$E$345,F5:F337)</f>
        <v>1283422.4249999996</v>
      </c>
      <c r="G345" s="16">
        <f t="shared" si="3"/>
        <v>241367.81099999999</v>
      </c>
      <c r="H345" s="16">
        <f t="shared" si="3"/>
        <v>501257.56200000009</v>
      </c>
      <c r="I345" s="16">
        <f t="shared" si="3"/>
        <v>71382.629000000001</v>
      </c>
      <c r="J345" s="16">
        <f t="shared" si="3"/>
        <v>46876.033000000003</v>
      </c>
      <c r="K345" s="16">
        <f t="shared" si="3"/>
        <v>337399.98399999994</v>
      </c>
      <c r="L345" s="16">
        <f t="shared" si="3"/>
        <v>350745.50600000011</v>
      </c>
      <c r="M345" s="16">
        <f t="shared" si="3"/>
        <v>386182.57300000009</v>
      </c>
      <c r="N345" s="16">
        <f t="shared" si="3"/>
        <v>60592.350000000006</v>
      </c>
      <c r="O345" s="16">
        <f t="shared" si="3"/>
        <v>880680.82299999986</v>
      </c>
      <c r="P345" s="16">
        <f t="shared" si="3"/>
        <v>1071158.7390000001</v>
      </c>
      <c r="Q345" s="16">
        <f t="shared" si="3"/>
        <v>857353.35099999979</v>
      </c>
      <c r="R345" s="16">
        <f>SUMIF($E$5:$E$337,$E$345,R5:R337)</f>
        <v>3299.0859999999998</v>
      </c>
      <c r="S345" s="16">
        <f t="shared" si="3"/>
        <v>0</v>
      </c>
      <c r="T345" s="16">
        <f t="shared" si="3"/>
        <v>178.05100000000007</v>
      </c>
      <c r="U345" s="16">
        <f t="shared" si="3"/>
        <v>3933.8730000000005</v>
      </c>
      <c r="V345" s="16">
        <f t="shared" si="3"/>
        <v>14781.151</v>
      </c>
      <c r="W345" s="16">
        <f t="shared" si="3"/>
        <v>98677.508000000002</v>
      </c>
      <c r="X345" s="16">
        <f t="shared" si="3"/>
        <v>0</v>
      </c>
      <c r="Y345" s="16">
        <f t="shared" si="3"/>
        <v>31181.352999999996</v>
      </c>
      <c r="Z345" s="16">
        <f t="shared" si="3"/>
        <v>44821.748999999996</v>
      </c>
      <c r="AA345" s="16">
        <f t="shared" si="3"/>
        <v>40738.315000000002</v>
      </c>
      <c r="AB345" s="16">
        <f t="shared" si="3"/>
        <v>108226.689</v>
      </c>
      <c r="AC345" s="16">
        <f t="shared" si="3"/>
        <v>0</v>
      </c>
      <c r="AD345" s="16">
        <f t="shared" si="3"/>
        <v>242582.45699999997</v>
      </c>
      <c r="AE345" s="16">
        <f t="shared" si="3"/>
        <v>17482.990000000002</v>
      </c>
      <c r="AF345" s="16">
        <f t="shared" si="3"/>
        <v>398841.43300000002</v>
      </c>
      <c r="AG345" s="16">
        <f t="shared" si="3"/>
        <v>0</v>
      </c>
      <c r="AH345" s="16">
        <f t="shared" si="3"/>
        <v>41030.576999999997</v>
      </c>
      <c r="AI345" s="16">
        <f t="shared" si="3"/>
        <v>13533.315000000001</v>
      </c>
      <c r="AJ345" s="16">
        <f t="shared" si="3"/>
        <v>382109.75400000002</v>
      </c>
      <c r="AK345" s="16">
        <f t="shared" si="3"/>
        <v>15943.936</v>
      </c>
      <c r="AL345" s="16">
        <f t="shared" si="3"/>
        <v>51711.709000000003</v>
      </c>
      <c r="AM345" s="16">
        <f t="shared" si="3"/>
        <v>2250868.7660000003</v>
      </c>
      <c r="AN345" s="16">
        <f t="shared" si="3"/>
        <v>30050.625</v>
      </c>
      <c r="AO345" s="16">
        <f t="shared" si="3"/>
        <v>105427.322</v>
      </c>
      <c r="AP345" s="16">
        <f t="shared" si="3"/>
        <v>0</v>
      </c>
      <c r="AQ345" s="16">
        <f t="shared" si="3"/>
        <v>92349.065000000002</v>
      </c>
      <c r="AR345" s="16">
        <f t="shared" si="3"/>
        <v>81075.354999999996</v>
      </c>
      <c r="AS345" s="16">
        <f t="shared" si="3"/>
        <v>0</v>
      </c>
      <c r="AT345" s="16">
        <f>SUMIF($E$5:$E$337,$E$345,AT5:AT337)</f>
        <v>8322.4179999999997</v>
      </c>
      <c r="AU345" s="16">
        <f>SUMIF($E$5:$E$337,$E$345,AU5:AU337)</f>
        <v>0</v>
      </c>
      <c r="AV345" s="16">
        <f>SUMIF($E$5:$E$337,$E$345,AV5:AV337)</f>
        <v>2512.6419999999998</v>
      </c>
      <c r="AW345" s="16">
        <f>SUMIF($E$5:$E$337,$E$345,AW5:AW337)</f>
        <v>7389.4800000000005</v>
      </c>
      <c r="AX345" s="16">
        <f t="shared" si="3"/>
        <v>0</v>
      </c>
      <c r="AY345" s="16">
        <f t="shared" si="3"/>
        <v>4550.4050000000007</v>
      </c>
      <c r="AZ345" s="16">
        <f t="shared" si="3"/>
        <v>0</v>
      </c>
      <c r="BA345" s="16">
        <f t="shared" si="3"/>
        <v>773.64</v>
      </c>
      <c r="BB345" s="16">
        <f t="shared" si="3"/>
        <v>0</v>
      </c>
      <c r="BC345" s="16">
        <f t="shared" si="3"/>
        <v>25110.784000000003</v>
      </c>
      <c r="BD345" s="16">
        <f t="shared" si="3"/>
        <v>0</v>
      </c>
      <c r="BE345" s="16">
        <f t="shared" si="3"/>
        <v>0</v>
      </c>
      <c r="BF345" s="16">
        <f t="shared" si="3"/>
        <v>148808.394</v>
      </c>
      <c r="BG345" s="16">
        <f t="shared" si="3"/>
        <v>0</v>
      </c>
      <c r="BH345" s="22"/>
    </row>
    <row r="346" spans="1:60" x14ac:dyDescent="0.2">
      <c r="A346" s="22"/>
      <c r="B346" t="s">
        <v>611</v>
      </c>
      <c r="C346">
        <v>7</v>
      </c>
      <c r="E346">
        <v>4</v>
      </c>
      <c r="F346" s="16">
        <f t="shared" ref="F346:BG346" si="4">SUMIF($E$5:$E$337,$E$346,F5:F337)</f>
        <v>829059.23600000003</v>
      </c>
      <c r="G346" s="16">
        <f t="shared" si="4"/>
        <v>249545.24999999997</v>
      </c>
      <c r="H346" s="16">
        <f t="shared" si="4"/>
        <v>239.31099999999998</v>
      </c>
      <c r="I346" s="16">
        <f t="shared" si="4"/>
        <v>13512.493</v>
      </c>
      <c r="J346" s="16">
        <f t="shared" si="4"/>
        <v>12681.296999999997</v>
      </c>
      <c r="K346" s="16">
        <f t="shared" si="4"/>
        <v>157.399</v>
      </c>
      <c r="L346" s="16">
        <f t="shared" si="4"/>
        <v>1197052.7199999997</v>
      </c>
      <c r="M346" s="16">
        <f t="shared" si="4"/>
        <v>84496.256000000008</v>
      </c>
      <c r="N346" s="16">
        <f t="shared" si="4"/>
        <v>0</v>
      </c>
      <c r="O346" s="16">
        <f t="shared" si="4"/>
        <v>132041.014</v>
      </c>
      <c r="P346" s="16">
        <f t="shared" si="4"/>
        <v>3007248.3200000003</v>
      </c>
      <c r="Q346" s="16">
        <f t="shared" si="4"/>
        <v>166601.82900000003</v>
      </c>
      <c r="R346" s="16">
        <f>SUMIF($E$5:$E$337,$E$346,R5:R337)</f>
        <v>0</v>
      </c>
      <c r="S346" s="16">
        <f t="shared" si="4"/>
        <v>1525.0650000000001</v>
      </c>
      <c r="T346" s="16">
        <f t="shared" si="4"/>
        <v>72.891000000000034</v>
      </c>
      <c r="U346" s="16">
        <f t="shared" si="4"/>
        <v>1093.299</v>
      </c>
      <c r="V346" s="16">
        <f t="shared" si="4"/>
        <v>98.197999999999993</v>
      </c>
      <c r="W346" s="16">
        <f t="shared" si="4"/>
        <v>75455.429000000018</v>
      </c>
      <c r="X346" s="16">
        <f t="shared" si="4"/>
        <v>0</v>
      </c>
      <c r="Y346" s="16">
        <f t="shared" si="4"/>
        <v>18775.749</v>
      </c>
      <c r="Z346" s="16">
        <f t="shared" si="4"/>
        <v>0</v>
      </c>
      <c r="AA346" s="16">
        <f t="shared" si="4"/>
        <v>18.617999999999999</v>
      </c>
      <c r="AB346" s="16">
        <f t="shared" si="4"/>
        <v>17681.260000000002</v>
      </c>
      <c r="AC346" s="16">
        <f t="shared" si="4"/>
        <v>25248.189000000002</v>
      </c>
      <c r="AD346" s="16">
        <f t="shared" si="4"/>
        <v>471483.05099999998</v>
      </c>
      <c r="AE346" s="16">
        <f t="shared" si="4"/>
        <v>24800.392</v>
      </c>
      <c r="AF346" s="16">
        <f t="shared" si="4"/>
        <v>169.45699999999999</v>
      </c>
      <c r="AG346" s="16">
        <f t="shared" si="4"/>
        <v>44197.030999999995</v>
      </c>
      <c r="AH346" s="16">
        <f t="shared" si="4"/>
        <v>41029.388999999981</v>
      </c>
      <c r="AI346" s="16">
        <f t="shared" si="4"/>
        <v>15796.558999999999</v>
      </c>
      <c r="AJ346" s="16">
        <f t="shared" si="4"/>
        <v>1171077.426</v>
      </c>
      <c r="AK346" s="16">
        <f t="shared" si="4"/>
        <v>601080.87199999997</v>
      </c>
      <c r="AL346" s="16">
        <f t="shared" si="4"/>
        <v>72472.044999999998</v>
      </c>
      <c r="AM346" s="16">
        <f t="shared" si="4"/>
        <v>3804705.0839999998</v>
      </c>
      <c r="AN346" s="16">
        <f t="shared" si="4"/>
        <v>1149894.7310000001</v>
      </c>
      <c r="AO346" s="16">
        <f t="shared" si="4"/>
        <v>153959.891</v>
      </c>
      <c r="AP346" s="16">
        <f t="shared" si="4"/>
        <v>1859888.473</v>
      </c>
      <c r="AQ346" s="16">
        <f t="shared" si="4"/>
        <v>39488.956000000006</v>
      </c>
      <c r="AR346" s="16">
        <f t="shared" si="4"/>
        <v>16653.593000000001</v>
      </c>
      <c r="AS346" s="16">
        <f t="shared" si="4"/>
        <v>1146930.7610000002</v>
      </c>
      <c r="AT346" s="16">
        <f>SUMIF($E$5:$E$337,$E$346,AT5:AT337)</f>
        <v>0</v>
      </c>
      <c r="AU346" s="16">
        <f>SUMIF($E$5:$E$337,$E$346,AU5:AU337)</f>
        <v>596475.42700000003</v>
      </c>
      <c r="AV346" s="16">
        <f>SUMIF($E$5:$E$337,$E$346,AV5:AV337)</f>
        <v>2116.0889999999999</v>
      </c>
      <c r="AW346" s="16">
        <f>SUMIF($E$5:$E$337,$E$346,AW5:AW337)</f>
        <v>2429.7159999999999</v>
      </c>
      <c r="AX346" s="16">
        <f t="shared" si="4"/>
        <v>28318.86</v>
      </c>
      <c r="AY346" s="16">
        <f t="shared" si="4"/>
        <v>174557.20900000003</v>
      </c>
      <c r="AZ346" s="16">
        <f t="shared" si="4"/>
        <v>13829.284</v>
      </c>
      <c r="BA346" s="16">
        <f t="shared" si="4"/>
        <v>705.19900000000007</v>
      </c>
      <c r="BB346" s="16">
        <f t="shared" si="4"/>
        <v>0</v>
      </c>
      <c r="BC346" s="16">
        <f t="shared" si="4"/>
        <v>9107.8559999999979</v>
      </c>
      <c r="BD346" s="16">
        <f t="shared" si="4"/>
        <v>54774.459000000003</v>
      </c>
      <c r="BE346" s="16">
        <f t="shared" si="4"/>
        <v>48904.476000000002</v>
      </c>
      <c r="BF346" s="16">
        <f t="shared" si="4"/>
        <v>80738.146999999997</v>
      </c>
      <c r="BG346" s="16">
        <f t="shared" si="4"/>
        <v>1785.5050000000001</v>
      </c>
      <c r="BH346" s="22"/>
    </row>
    <row r="347" spans="1:60" x14ac:dyDescent="0.2">
      <c r="A347" s="22"/>
      <c r="B347" t="s">
        <v>612</v>
      </c>
      <c r="E347">
        <v>5</v>
      </c>
      <c r="F347" s="16">
        <f t="shared" ref="F347:BG347" si="5">SUMIF($E$5:$E$337,$E$347,F5:F337)</f>
        <v>501498.74699999997</v>
      </c>
      <c r="G347" s="16">
        <f t="shared" si="5"/>
        <v>52232.847000000002</v>
      </c>
      <c r="H347" s="16">
        <f t="shared" si="5"/>
        <v>95225.941000000006</v>
      </c>
      <c r="I347" s="16">
        <f t="shared" si="5"/>
        <v>948974.10199999996</v>
      </c>
      <c r="J347" s="16">
        <f t="shared" si="5"/>
        <v>13059.806</v>
      </c>
      <c r="K347" s="16">
        <f t="shared" si="5"/>
        <v>69485.309999999983</v>
      </c>
      <c r="L347" s="16">
        <f t="shared" si="5"/>
        <v>544685.76899999997</v>
      </c>
      <c r="M347" s="16">
        <f t="shared" si="5"/>
        <v>68994.542999999991</v>
      </c>
      <c r="N347" s="16">
        <f t="shared" si="5"/>
        <v>6770.1229999999996</v>
      </c>
      <c r="O347" s="16">
        <f t="shared" si="5"/>
        <v>220970.63999999998</v>
      </c>
      <c r="P347" s="16">
        <f t="shared" si="5"/>
        <v>702500.68300000008</v>
      </c>
      <c r="Q347" s="16">
        <f t="shared" si="5"/>
        <v>272011.147</v>
      </c>
      <c r="R347" s="16">
        <f>SUMIF($E$5:$E$337,$E$347,R5:R337)</f>
        <v>0</v>
      </c>
      <c r="S347" s="16">
        <f t="shared" si="5"/>
        <v>0</v>
      </c>
      <c r="T347" s="16">
        <f t="shared" si="5"/>
        <v>2528.5150000000003</v>
      </c>
      <c r="U347" s="16">
        <f t="shared" si="5"/>
        <v>0</v>
      </c>
      <c r="V347" s="16">
        <f t="shared" si="5"/>
        <v>184.64699999999999</v>
      </c>
      <c r="W347" s="16">
        <f t="shared" si="5"/>
        <v>0.153</v>
      </c>
      <c r="X347" s="16">
        <f t="shared" si="5"/>
        <v>0</v>
      </c>
      <c r="Y347" s="16">
        <f t="shared" si="5"/>
        <v>0.47499999999999998</v>
      </c>
      <c r="Z347" s="16">
        <f t="shared" si="5"/>
        <v>2362.9580000000001</v>
      </c>
      <c r="AA347" s="16">
        <f t="shared" si="5"/>
        <v>6276.9590000000007</v>
      </c>
      <c r="AB347" s="16">
        <f t="shared" si="5"/>
        <v>21843.437000000002</v>
      </c>
      <c r="AC347" s="16">
        <f t="shared" si="5"/>
        <v>0</v>
      </c>
      <c r="AD347" s="16">
        <f t="shared" si="5"/>
        <v>210417.57</v>
      </c>
      <c r="AE347" s="16">
        <f t="shared" si="5"/>
        <v>0</v>
      </c>
      <c r="AF347" s="16">
        <f t="shared" si="5"/>
        <v>55190.235000000008</v>
      </c>
      <c r="AG347" s="16">
        <f t="shared" si="5"/>
        <v>0</v>
      </c>
      <c r="AH347" s="16">
        <f t="shared" si="5"/>
        <v>9485.5030000000006</v>
      </c>
      <c r="AI347" s="16">
        <f t="shared" si="5"/>
        <v>0</v>
      </c>
      <c r="AJ347" s="16">
        <f t="shared" si="5"/>
        <v>625690.17200000002</v>
      </c>
      <c r="AK347" s="16">
        <f t="shared" si="5"/>
        <v>13371.27</v>
      </c>
      <c r="AL347" s="16">
        <f t="shared" si="5"/>
        <v>1740.828</v>
      </c>
      <c r="AM347" s="16">
        <f t="shared" si="5"/>
        <v>1425852.55</v>
      </c>
      <c r="AN347" s="16">
        <f t="shared" si="5"/>
        <v>82571.957999999999</v>
      </c>
      <c r="AO347" s="16">
        <f t="shared" si="5"/>
        <v>144.61699999999999</v>
      </c>
      <c r="AP347" s="16">
        <f t="shared" si="5"/>
        <v>89.317999999999998</v>
      </c>
      <c r="AQ347" s="16">
        <f t="shared" si="5"/>
        <v>385.28699999999998</v>
      </c>
      <c r="AR347" s="16">
        <f t="shared" si="5"/>
        <v>0</v>
      </c>
      <c r="AS347" s="16">
        <f t="shared" si="5"/>
        <v>117.377</v>
      </c>
      <c r="AT347" s="16">
        <f>SUMIF($E$5:$E$337,$E$347,AT5:AT337)</f>
        <v>555.38300000000004</v>
      </c>
      <c r="AU347" s="16">
        <f>SUMIF($E$5:$E$337,$E$347,AU5:AU337)</f>
        <v>649.50199999999995</v>
      </c>
      <c r="AV347" s="16">
        <f>SUMIF($E$5:$E$337,$E$347,AV5:AV337)</f>
        <v>2E-3</v>
      </c>
      <c r="AW347" s="16">
        <f>SUMIF($E$5:$E$337,$E$347,AW5:AW337)</f>
        <v>0</v>
      </c>
      <c r="AX347" s="16">
        <f t="shared" si="5"/>
        <v>0</v>
      </c>
      <c r="AY347" s="16">
        <f t="shared" si="5"/>
        <v>1906.2529999999999</v>
      </c>
      <c r="AZ347" s="16">
        <f t="shared" si="5"/>
        <v>0</v>
      </c>
      <c r="BA347" s="16">
        <f t="shared" si="5"/>
        <v>1E-3</v>
      </c>
      <c r="BB347" s="16">
        <f t="shared" si="5"/>
        <v>0</v>
      </c>
      <c r="BC347" s="16">
        <f t="shared" si="5"/>
        <v>77.097000000000008</v>
      </c>
      <c r="BD347" s="16">
        <f t="shared" si="5"/>
        <v>0</v>
      </c>
      <c r="BE347" s="16">
        <f t="shared" si="5"/>
        <v>0</v>
      </c>
      <c r="BF347" s="16">
        <f t="shared" si="5"/>
        <v>0</v>
      </c>
      <c r="BG347" s="16">
        <f t="shared" si="5"/>
        <v>0</v>
      </c>
      <c r="BH347" s="22"/>
    </row>
    <row r="348" spans="1:60" x14ac:dyDescent="0.2">
      <c r="A348" s="22"/>
      <c r="B348" t="s">
        <v>613</v>
      </c>
      <c r="C348">
        <v>7</v>
      </c>
      <c r="E348">
        <v>6</v>
      </c>
      <c r="F348" s="16">
        <f t="shared" ref="F348:BG348" si="6">SUMIF($E$5:$E$337,$E$348,F5:F337)+SUMIF($E$5:$E$337,$C$348,F5:F337)</f>
        <v>1069886.6399999994</v>
      </c>
      <c r="G348" s="16">
        <f t="shared" si="6"/>
        <v>58803.23799999999</v>
      </c>
      <c r="H348" s="16">
        <f t="shared" si="6"/>
        <v>67068.120999999999</v>
      </c>
      <c r="I348" s="16">
        <f t="shared" si="6"/>
        <v>11495.478000000003</v>
      </c>
      <c r="J348" s="16">
        <f t="shared" si="6"/>
        <v>9949.5839999999971</v>
      </c>
      <c r="K348" s="16">
        <f t="shared" si="6"/>
        <v>45302.985000000008</v>
      </c>
      <c r="L348" s="16">
        <f t="shared" si="6"/>
        <v>998676.74400000018</v>
      </c>
      <c r="M348" s="16">
        <f t="shared" si="6"/>
        <v>85518.660999999964</v>
      </c>
      <c r="N348" s="16">
        <f t="shared" si="6"/>
        <v>4809.8540000000003</v>
      </c>
      <c r="O348" s="16">
        <f t="shared" si="6"/>
        <v>476001.47199999995</v>
      </c>
      <c r="P348" s="16">
        <f t="shared" si="6"/>
        <v>1924364.6009999996</v>
      </c>
      <c r="Q348" s="16">
        <f t="shared" si="6"/>
        <v>469666.02100000001</v>
      </c>
      <c r="R348" s="16">
        <f>SUMIF($E$5:$E$337,$E$348,R5:R337)+SUMIF($E$5:$E$337,$C$348,R5:R337)</f>
        <v>-11.688000000000001</v>
      </c>
      <c r="S348" s="16">
        <f t="shared" si="6"/>
        <v>156.72399999999988</v>
      </c>
      <c r="T348" s="16">
        <f t="shared" si="6"/>
        <v>1412.7910000000002</v>
      </c>
      <c r="U348" s="16">
        <f t="shared" si="6"/>
        <v>213.27500000000003</v>
      </c>
      <c r="V348" s="16">
        <f t="shared" si="6"/>
        <v>993.45</v>
      </c>
      <c r="W348" s="16">
        <f t="shared" si="6"/>
        <v>7640.9759999999942</v>
      </c>
      <c r="X348" s="16">
        <f t="shared" si="6"/>
        <v>-1.821</v>
      </c>
      <c r="Y348" s="16">
        <f t="shared" si="6"/>
        <v>3419.8410000000008</v>
      </c>
      <c r="Z348" s="16">
        <f t="shared" si="6"/>
        <v>3536.9449999999997</v>
      </c>
      <c r="AA348" s="16">
        <f t="shared" si="6"/>
        <v>4199.2669999999998</v>
      </c>
      <c r="AB348" s="16">
        <f t="shared" si="6"/>
        <v>13576.184000000001</v>
      </c>
      <c r="AC348" s="16">
        <f t="shared" si="6"/>
        <v>10192.534000000014</v>
      </c>
      <c r="AD348" s="16">
        <f t="shared" si="6"/>
        <v>222603.21000000002</v>
      </c>
      <c r="AE348" s="16">
        <f t="shared" si="6"/>
        <v>1998.7720000000045</v>
      </c>
      <c r="AF348" s="16">
        <f t="shared" si="6"/>
        <v>49252.537999999993</v>
      </c>
      <c r="AG348" s="16">
        <f t="shared" si="6"/>
        <v>6359.2340000000022</v>
      </c>
      <c r="AH348" s="16">
        <f t="shared" si="6"/>
        <v>6463.1140000000005</v>
      </c>
      <c r="AI348" s="16">
        <f t="shared" si="6"/>
        <v>329.22900000000107</v>
      </c>
      <c r="AJ348" s="16">
        <f t="shared" si="6"/>
        <v>835272.71100000001</v>
      </c>
      <c r="AK348" s="16">
        <f t="shared" si="6"/>
        <v>13533.436999999989</v>
      </c>
      <c r="AL348" s="16">
        <f t="shared" si="6"/>
        <v>1194.9749999999985</v>
      </c>
      <c r="AM348" s="16">
        <f t="shared" si="6"/>
        <v>2481001.0840000003</v>
      </c>
      <c r="AN348" s="16">
        <f t="shared" si="6"/>
        <v>24388.380999999939</v>
      </c>
      <c r="AO348" s="16">
        <f t="shared" si="6"/>
        <v>13828.089000000011</v>
      </c>
      <c r="AP348" s="16">
        <f t="shared" si="6"/>
        <v>159304.14699999994</v>
      </c>
      <c r="AQ348" s="16">
        <f t="shared" si="6"/>
        <v>7145.529000000005</v>
      </c>
      <c r="AR348" s="16">
        <f t="shared" si="6"/>
        <v>3246.6110000000008</v>
      </c>
      <c r="AS348" s="16">
        <f t="shared" si="6"/>
        <v>100278.88099999989</v>
      </c>
      <c r="AT348" s="16">
        <f>SUMIF($E$5:$E$337,$E$348,AT5:AT337)+SUMIF($E$5:$E$337,$C$348,AT5:AT337)</f>
        <v>-404.24600000000004</v>
      </c>
      <c r="AU348" s="16">
        <f>SUMIF($E$5:$E$337,$E$348,AU5:AU337)+SUMIF($E$5:$E$337,$C$348,AU5:AU337)</f>
        <v>43712.543000000063</v>
      </c>
      <c r="AV348" s="16">
        <f>SUMIF($E$5:$E$337,$E$348,AV5:AV337)+SUMIF($E$5:$E$337,$C$348,AV5:AV337)</f>
        <v>120.48299999999995</v>
      </c>
      <c r="AW348" s="16">
        <f>SUMIF($E$5:$E$337,$E$348,AW5:AW337)+SUMIF($E$5:$E$337,$C$348,AW5:AW337)</f>
        <v>508.18699999999893</v>
      </c>
      <c r="AX348" s="16">
        <f t="shared" si="6"/>
        <v>-7.6550000000000011</v>
      </c>
      <c r="AY348" s="16">
        <f t="shared" si="6"/>
        <v>1766.7930000000019</v>
      </c>
      <c r="AZ348" s="16">
        <f t="shared" si="6"/>
        <v>-81.305000000000007</v>
      </c>
      <c r="BA348" s="16">
        <f t="shared" si="6"/>
        <v>166.708</v>
      </c>
      <c r="BB348" s="16">
        <f t="shared" si="6"/>
        <v>0</v>
      </c>
      <c r="BC348" s="16">
        <f t="shared" si="6"/>
        <v>1518.163</v>
      </c>
      <c r="BD348" s="16">
        <f t="shared" si="6"/>
        <v>11.995000000000005</v>
      </c>
      <c r="BE348" s="16">
        <f t="shared" si="6"/>
        <v>-14.249999999999996</v>
      </c>
      <c r="BF348" s="16">
        <f t="shared" si="6"/>
        <v>600.04199999999594</v>
      </c>
      <c r="BG348" s="16">
        <f t="shared" si="6"/>
        <v>759.15200000000027</v>
      </c>
      <c r="BH348" s="22"/>
    </row>
    <row r="349" spans="1:60" x14ac:dyDescent="0.2">
      <c r="A349" s="2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22"/>
    </row>
    <row r="350" spans="1:60" x14ac:dyDescent="0.2">
      <c r="A350" s="22"/>
      <c r="F350">
        <f t="shared" ref="F350:Q350" si="7">SUM(F343:F349)</f>
        <v>5642430.0299999993</v>
      </c>
      <c r="G350">
        <f t="shared" si="7"/>
        <v>909725.12699999998</v>
      </c>
      <c r="H350">
        <f t="shared" si="7"/>
        <v>1070541.6240000001</v>
      </c>
      <c r="I350">
        <f t="shared" si="7"/>
        <v>1064687.3629999999</v>
      </c>
      <c r="J350">
        <f t="shared" si="7"/>
        <v>149441.36800000002</v>
      </c>
      <c r="K350">
        <f t="shared" si="7"/>
        <v>740834.59199999983</v>
      </c>
      <c r="L350">
        <f t="shared" si="7"/>
        <v>4517312.8</v>
      </c>
      <c r="M350">
        <f t="shared" si="7"/>
        <v>874877.36499999999</v>
      </c>
      <c r="N350">
        <f t="shared" si="7"/>
        <v>299931.39799999999</v>
      </c>
      <c r="O350">
        <f t="shared" si="7"/>
        <v>2464200.2549999999</v>
      </c>
      <c r="P350" s="17">
        <f t="shared" si="7"/>
        <v>8926853.9220000003</v>
      </c>
      <c r="Q350">
        <f t="shared" si="7"/>
        <v>2527906.3419999997</v>
      </c>
      <c r="R350">
        <f>SUM(R343:R349)</f>
        <v>16543.644000000004</v>
      </c>
      <c r="S350">
        <f t="shared" ref="S350:AS350" si="8">SUM(S343:S349)</f>
        <v>6151.9750000000004</v>
      </c>
      <c r="T350">
        <f t="shared" si="8"/>
        <v>23504.27</v>
      </c>
      <c r="U350">
        <f t="shared" si="8"/>
        <v>11426.965000000002</v>
      </c>
      <c r="V350">
        <f t="shared" si="8"/>
        <v>22002.83</v>
      </c>
      <c r="W350">
        <f t="shared" si="8"/>
        <v>271975.76399999997</v>
      </c>
      <c r="X350">
        <f t="shared" si="8"/>
        <v>2883.0729999999999</v>
      </c>
      <c r="Y350">
        <f t="shared" si="8"/>
        <v>130764.81200000001</v>
      </c>
      <c r="Z350">
        <f t="shared" si="8"/>
        <v>217548.62000000002</v>
      </c>
      <c r="AA350">
        <f t="shared" si="8"/>
        <v>79995.830000000016</v>
      </c>
      <c r="AB350">
        <f t="shared" si="8"/>
        <v>234792.43900000004</v>
      </c>
      <c r="AC350">
        <f t="shared" si="8"/>
        <v>213659.66400000002</v>
      </c>
      <c r="AD350">
        <f t="shared" si="8"/>
        <v>1687214.1839999999</v>
      </c>
      <c r="AE350">
        <f t="shared" si="8"/>
        <v>100061.56400000001</v>
      </c>
      <c r="AF350">
        <f t="shared" si="8"/>
        <v>833525.1129999999</v>
      </c>
      <c r="AG350">
        <f t="shared" si="8"/>
        <v>206080.10799999998</v>
      </c>
      <c r="AH350">
        <f t="shared" si="8"/>
        <v>143621.46099999998</v>
      </c>
      <c r="AI350">
        <f t="shared" si="8"/>
        <v>49940.631000000001</v>
      </c>
      <c r="AJ350">
        <f t="shared" si="8"/>
        <v>4361946.6749999998</v>
      </c>
      <c r="AK350">
        <f t="shared" si="8"/>
        <v>968124.06699999992</v>
      </c>
      <c r="AL350">
        <f t="shared" si="8"/>
        <v>203759.35000000003</v>
      </c>
      <c r="AM350">
        <f t="shared" si="8"/>
        <v>13781648.072000002</v>
      </c>
      <c r="AN350">
        <f t="shared" si="8"/>
        <v>1896834.6190000002</v>
      </c>
      <c r="AO350">
        <f t="shared" si="8"/>
        <v>601219.38500000001</v>
      </c>
      <c r="AP350">
        <f t="shared" si="8"/>
        <v>7776726.2380000008</v>
      </c>
      <c r="AQ350">
        <f t="shared" si="8"/>
        <v>334269.70500000002</v>
      </c>
      <c r="AR350">
        <f t="shared" si="8"/>
        <v>209373.27300000002</v>
      </c>
      <c r="AS350">
        <f t="shared" si="8"/>
        <v>4774142.4520000005</v>
      </c>
      <c r="AT350">
        <f>SUM(AT343:AT349)</f>
        <v>39455.546000000002</v>
      </c>
      <c r="AU350">
        <f>SUM(AU343:AU349)</f>
        <v>2489409.3159999996</v>
      </c>
      <c r="AV350">
        <f>SUM(AV343:AV349)</f>
        <v>8103.4440000000004</v>
      </c>
      <c r="AW350">
        <f>SUM(AW343:AW349)</f>
        <v>25692.742999999999</v>
      </c>
      <c r="AX350">
        <f>SUM(AX343:AX349)</f>
        <v>32216.089</v>
      </c>
      <c r="AY350">
        <f t="shared" ref="AY350:BG350" si="9">SUM(AY343:AY349)</f>
        <v>278529.23600000009</v>
      </c>
      <c r="AZ350">
        <f t="shared" si="9"/>
        <v>15051.606</v>
      </c>
      <c r="BA350">
        <f t="shared" si="9"/>
        <v>3262.9059999999999</v>
      </c>
      <c r="BB350">
        <f t="shared" si="9"/>
        <v>0</v>
      </c>
      <c r="BC350">
        <f t="shared" si="9"/>
        <v>76340.482999999993</v>
      </c>
      <c r="BD350">
        <f t="shared" si="9"/>
        <v>61182.779000000002</v>
      </c>
      <c r="BE350">
        <f t="shared" si="9"/>
        <v>53973.253000000004</v>
      </c>
      <c r="BF350">
        <f t="shared" si="9"/>
        <v>371916.90899999999</v>
      </c>
      <c r="BG350">
        <f t="shared" si="9"/>
        <v>25407.011000000002</v>
      </c>
      <c r="BH350" s="22"/>
    </row>
    <row r="351" spans="1:60" x14ac:dyDescent="0.2">
      <c r="A351" s="2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22"/>
    </row>
    <row r="352" spans="1:60" x14ac:dyDescent="0.2">
      <c r="A352" s="22"/>
      <c r="B352" s="8"/>
      <c r="C352" s="8"/>
      <c r="D352" s="8"/>
      <c r="E352" s="8"/>
      <c r="F352" s="8">
        <f t="shared" ref="F352:AU352" si="10">F350-F338</f>
        <v>5642430.0299999993</v>
      </c>
      <c r="G352" s="8">
        <f t="shared" si="10"/>
        <v>909725.12699999998</v>
      </c>
      <c r="H352" s="8">
        <f t="shared" si="10"/>
        <v>1070541.6240000001</v>
      </c>
      <c r="I352" s="8">
        <f t="shared" si="10"/>
        <v>1064687.3629999999</v>
      </c>
      <c r="J352" s="8">
        <f t="shared" si="10"/>
        <v>149441.36800000002</v>
      </c>
      <c r="K352" s="8">
        <f t="shared" si="10"/>
        <v>740834.59199999983</v>
      </c>
      <c r="L352" s="8">
        <f t="shared" si="10"/>
        <v>4517312.8</v>
      </c>
      <c r="M352" s="8">
        <f t="shared" si="10"/>
        <v>874877.36499999999</v>
      </c>
      <c r="N352" s="8">
        <f t="shared" si="10"/>
        <v>299931.39799999999</v>
      </c>
      <c r="O352" s="8">
        <f t="shared" si="10"/>
        <v>2464200.2549999999</v>
      </c>
      <c r="P352" s="18">
        <f t="shared" si="10"/>
        <v>8926853.9220000003</v>
      </c>
      <c r="Q352" s="8">
        <f t="shared" si="10"/>
        <v>2527906.3419999997</v>
      </c>
      <c r="R352" s="8">
        <f>R350-R338</f>
        <v>16543.644000000004</v>
      </c>
      <c r="S352" s="8">
        <f t="shared" si="10"/>
        <v>6151.9750000000004</v>
      </c>
      <c r="T352" s="8">
        <f t="shared" si="10"/>
        <v>23504.27</v>
      </c>
      <c r="U352" s="8">
        <f t="shared" si="10"/>
        <v>11426.965000000002</v>
      </c>
      <c r="V352" s="8">
        <f t="shared" si="10"/>
        <v>22002.83</v>
      </c>
      <c r="W352" s="8">
        <f t="shared" si="10"/>
        <v>271975.76399999997</v>
      </c>
      <c r="X352" s="8">
        <f t="shared" si="10"/>
        <v>2883.0729999999999</v>
      </c>
      <c r="Y352" s="8">
        <f t="shared" si="10"/>
        <v>130764.81200000001</v>
      </c>
      <c r="Z352" s="8">
        <f t="shared" si="10"/>
        <v>217548.62000000002</v>
      </c>
      <c r="AA352" s="8">
        <f t="shared" si="10"/>
        <v>79995.830000000016</v>
      </c>
      <c r="AB352" s="8">
        <f t="shared" si="10"/>
        <v>234792.43900000004</v>
      </c>
      <c r="AC352" s="8">
        <f t="shared" si="10"/>
        <v>213659.66400000002</v>
      </c>
      <c r="AD352" s="8">
        <f t="shared" si="10"/>
        <v>1687214.1839999999</v>
      </c>
      <c r="AE352" s="8">
        <f t="shared" si="10"/>
        <v>100061.56400000001</v>
      </c>
      <c r="AF352" s="8">
        <f t="shared" si="10"/>
        <v>833525.1129999999</v>
      </c>
      <c r="AG352" s="8">
        <f t="shared" si="10"/>
        <v>206080.10799999998</v>
      </c>
      <c r="AH352" s="8">
        <f t="shared" si="10"/>
        <v>143621.46099999998</v>
      </c>
      <c r="AI352" s="8">
        <f t="shared" si="10"/>
        <v>49940.631000000001</v>
      </c>
      <c r="AJ352" s="8">
        <f t="shared" si="10"/>
        <v>4361946.6749999998</v>
      </c>
      <c r="AK352" s="8">
        <f t="shared" si="10"/>
        <v>968124.06699999992</v>
      </c>
      <c r="AL352" s="8">
        <f t="shared" si="10"/>
        <v>203759.35000000003</v>
      </c>
      <c r="AM352" s="8">
        <f t="shared" si="10"/>
        <v>13781648.072000002</v>
      </c>
      <c r="AN352" s="8">
        <f t="shared" si="10"/>
        <v>1896834.6190000002</v>
      </c>
      <c r="AO352" s="8">
        <f t="shared" si="10"/>
        <v>601219.38500000001</v>
      </c>
      <c r="AP352" s="8">
        <f t="shared" si="10"/>
        <v>7776726.2380000008</v>
      </c>
      <c r="AQ352" s="8">
        <f t="shared" si="10"/>
        <v>334269.70500000002</v>
      </c>
      <c r="AR352" s="8">
        <f t="shared" si="10"/>
        <v>209373.27300000002</v>
      </c>
      <c r="AS352" s="8">
        <f t="shared" si="10"/>
        <v>4774142.4520000005</v>
      </c>
      <c r="AT352" s="8">
        <f t="shared" si="10"/>
        <v>39455.546000000002</v>
      </c>
      <c r="AU352" s="8">
        <f t="shared" si="10"/>
        <v>2489409.3159999996</v>
      </c>
      <c r="AV352" s="8">
        <f>AV350-AV338</f>
        <v>8103.4440000000004</v>
      </c>
      <c r="AW352" s="8">
        <f>AW350-AW338</f>
        <v>25692.742999999999</v>
      </c>
      <c r="AX352" s="8">
        <f t="shared" ref="AX352:BG352" si="11">AX350-AX338</f>
        <v>32216.089</v>
      </c>
      <c r="AY352" s="8">
        <f t="shared" si="11"/>
        <v>278529.23600000009</v>
      </c>
      <c r="AZ352" s="8">
        <f t="shared" si="11"/>
        <v>15051.606</v>
      </c>
      <c r="BA352" s="8">
        <f t="shared" si="11"/>
        <v>3262.9059999999999</v>
      </c>
      <c r="BB352" s="8">
        <f t="shared" si="11"/>
        <v>0</v>
      </c>
      <c r="BC352" s="8">
        <f t="shared" si="11"/>
        <v>76340.482999999993</v>
      </c>
      <c r="BD352" s="8">
        <f t="shared" si="11"/>
        <v>61182.779000000002</v>
      </c>
      <c r="BE352" s="8">
        <f t="shared" si="11"/>
        <v>53973.253000000004</v>
      </c>
      <c r="BF352" s="8">
        <f t="shared" si="11"/>
        <v>371916.90899999999</v>
      </c>
      <c r="BG352" s="8">
        <f t="shared" si="11"/>
        <v>25407.011000000002</v>
      </c>
      <c r="BH352" s="22"/>
    </row>
    <row r="353" spans="1:60" x14ac:dyDescent="0.2">
      <c r="A353" s="22"/>
      <c r="F353" s="19">
        <f t="shared" ref="F353:Q353" si="12">F3</f>
        <v>401</v>
      </c>
      <c r="G353" s="19">
        <f t="shared" si="12"/>
        <v>242</v>
      </c>
      <c r="H353" s="19">
        <f t="shared" si="12"/>
        <v>385</v>
      </c>
      <c r="I353" s="19">
        <f t="shared" si="12"/>
        <v>528</v>
      </c>
      <c r="J353" s="19">
        <f t="shared" si="12"/>
        <v>384</v>
      </c>
      <c r="K353" s="19">
        <f t="shared" si="12"/>
        <v>716</v>
      </c>
      <c r="L353" s="19">
        <f t="shared" si="12"/>
        <v>686</v>
      </c>
      <c r="M353" s="19">
        <f t="shared" si="12"/>
        <v>1190</v>
      </c>
      <c r="N353" s="19">
        <f t="shared" si="12"/>
        <v>715</v>
      </c>
      <c r="O353" s="19">
        <f t="shared" si="12"/>
        <v>211</v>
      </c>
      <c r="P353" s="19">
        <f t="shared" si="12"/>
        <v>9916</v>
      </c>
      <c r="Q353" s="19">
        <f t="shared" si="12"/>
        <v>1100</v>
      </c>
      <c r="R353" s="19">
        <f>R3</f>
        <v>801</v>
      </c>
      <c r="S353" s="19">
        <f t="shared" ref="S353:X353" si="13">S3</f>
        <v>804</v>
      </c>
      <c r="T353" s="19">
        <f t="shared" si="13"/>
        <v>806</v>
      </c>
      <c r="U353" s="19">
        <f t="shared" si="13"/>
        <v>8765</v>
      </c>
      <c r="V353" s="19">
        <f t="shared" si="13"/>
        <v>8766</v>
      </c>
      <c r="W353" s="19">
        <f t="shared" si="13"/>
        <v>9418</v>
      </c>
      <c r="X353" s="19">
        <f t="shared" si="13"/>
        <v>9475</v>
      </c>
      <c r="Y353" s="19">
        <f>Y3</f>
        <v>9905</v>
      </c>
      <c r="Z353" s="19">
        <f>Z3</f>
        <v>9906</v>
      </c>
      <c r="AA353" s="19">
        <f>AA3</f>
        <v>7905</v>
      </c>
      <c r="AB353" s="19">
        <f t="shared" ref="AB353:AU353" si="14">AB3</f>
        <v>7906</v>
      </c>
      <c r="AC353" s="19">
        <f t="shared" si="14"/>
        <v>7907</v>
      </c>
      <c r="AD353" s="19">
        <f t="shared" si="14"/>
        <v>7908</v>
      </c>
      <c r="AE353" s="19">
        <f t="shared" si="14"/>
        <v>7909</v>
      </c>
      <c r="AF353" s="19">
        <f t="shared" si="14"/>
        <v>11310</v>
      </c>
      <c r="AG353" s="19">
        <f t="shared" si="14"/>
        <v>11311</v>
      </c>
      <c r="AH353" s="19">
        <f t="shared" si="14"/>
        <v>11312</v>
      </c>
      <c r="AI353" s="19">
        <f t="shared" si="14"/>
        <v>11335</v>
      </c>
      <c r="AJ353" s="19">
        <f t="shared" si="14"/>
        <v>9529</v>
      </c>
      <c r="AK353" s="19">
        <f t="shared" si="14"/>
        <v>961</v>
      </c>
      <c r="AL353" s="19">
        <f t="shared" si="14"/>
        <v>9528</v>
      </c>
      <c r="AM353" s="19">
        <f t="shared" si="14"/>
        <v>964</v>
      </c>
      <c r="AN353" s="19">
        <f t="shared" si="14"/>
        <v>968</v>
      </c>
      <c r="AO353" s="19">
        <f t="shared" si="14"/>
        <v>8629</v>
      </c>
      <c r="AP353" s="19">
        <f t="shared" si="14"/>
        <v>13264</v>
      </c>
      <c r="AQ353" s="19">
        <f t="shared" si="14"/>
        <v>9917</v>
      </c>
      <c r="AR353" s="19">
        <f t="shared" si="14"/>
        <v>8624</v>
      </c>
      <c r="AS353" s="19">
        <f t="shared" si="14"/>
        <v>13263</v>
      </c>
      <c r="AT353" s="19">
        <f t="shared" si="14"/>
        <v>13209</v>
      </c>
      <c r="AU353" s="19">
        <f t="shared" si="14"/>
        <v>13250</v>
      </c>
      <c r="AV353" s="19">
        <f>AV3</f>
        <v>14281</v>
      </c>
      <c r="AW353" s="19">
        <f>AW3</f>
        <v>14282</v>
      </c>
      <c r="AX353" s="19">
        <f t="shared" ref="AX353:BG353" si="15">AX3</f>
        <v>2049</v>
      </c>
      <c r="AY353" s="19">
        <f t="shared" si="15"/>
        <v>7975</v>
      </c>
      <c r="AZ353" s="19">
        <f t="shared" si="15"/>
        <v>8004</v>
      </c>
      <c r="BA353" s="19">
        <f t="shared" si="15"/>
        <v>1008</v>
      </c>
      <c r="BB353" s="19">
        <f t="shared" si="15"/>
        <v>9484</v>
      </c>
      <c r="BC353" s="19">
        <f t="shared" si="15"/>
        <v>682</v>
      </c>
      <c r="BD353" s="19">
        <f t="shared" si="15"/>
        <v>11352</v>
      </c>
      <c r="BE353" s="19">
        <f t="shared" si="15"/>
        <v>2058</v>
      </c>
      <c r="BF353" s="19">
        <f t="shared" si="15"/>
        <v>12088</v>
      </c>
      <c r="BG353" s="19">
        <f t="shared" si="15"/>
        <v>15007</v>
      </c>
      <c r="BH353" s="22"/>
    </row>
    <row r="354" spans="1:60" x14ac:dyDescent="0.2">
      <c r="A354" s="22"/>
      <c r="B354" t="s">
        <v>608</v>
      </c>
      <c r="F354" s="20">
        <f t="shared" ref="F354:AS354" si="16">F343/F350</f>
        <v>0.10487941646659643</v>
      </c>
      <c r="G354" s="20">
        <f t="shared" si="16"/>
        <v>0.17242552211048251</v>
      </c>
      <c r="H354" s="20">
        <f t="shared" si="16"/>
        <v>3.7431484308171094E-2</v>
      </c>
      <c r="I354" s="20">
        <f t="shared" si="16"/>
        <v>1.8148671310941448E-2</v>
      </c>
      <c r="J354" s="20">
        <f t="shared" si="16"/>
        <v>9.022553246434413E-2</v>
      </c>
      <c r="K354" s="20">
        <f t="shared" si="16"/>
        <v>3.8785699682878746E-2</v>
      </c>
      <c r="L354" s="20">
        <f t="shared" si="16"/>
        <v>0.15631702834481598</v>
      </c>
      <c r="M354" s="20">
        <f t="shared" si="16"/>
        <v>9.6022196208036537E-2</v>
      </c>
      <c r="N354" s="20">
        <f t="shared" si="16"/>
        <v>2.260176175353272E-2</v>
      </c>
      <c r="O354" s="20">
        <f t="shared" si="16"/>
        <v>5.9450599318276592E-2</v>
      </c>
      <c r="P354" s="20">
        <f t="shared" si="16"/>
        <v>0.18919449850497957</v>
      </c>
      <c r="Q354" s="20">
        <f t="shared" si="16"/>
        <v>6.3107362147675664E-2</v>
      </c>
      <c r="R354" s="20">
        <f>R343/R350</f>
        <v>1.1606753626951835E-2</v>
      </c>
      <c r="S354" s="20">
        <f t="shared" si="16"/>
        <v>0.72662616476822472</v>
      </c>
      <c r="T354" s="20">
        <f t="shared" si="16"/>
        <v>4.4877037236212829E-2</v>
      </c>
      <c r="U354" s="20">
        <f t="shared" si="16"/>
        <v>0.4143473792034893</v>
      </c>
      <c r="V354" s="20">
        <f t="shared" si="16"/>
        <v>5.5426142909798415E-2</v>
      </c>
      <c r="W354" s="20">
        <f t="shared" si="16"/>
        <v>0.1652503823833362</v>
      </c>
      <c r="X354" s="20">
        <f t="shared" si="16"/>
        <v>1.5319417857265493E-2</v>
      </c>
      <c r="Y354" s="20">
        <f t="shared" si="16"/>
        <v>0.54894283792493048</v>
      </c>
      <c r="Z354" s="20">
        <f t="shared" si="16"/>
        <v>1.5454940601323968E-2</v>
      </c>
      <c r="AA354" s="20">
        <f t="shared" si="16"/>
        <v>6.554229139193879E-2</v>
      </c>
      <c r="AB354" s="20">
        <f t="shared" si="16"/>
        <v>8.4849653101478267E-2</v>
      </c>
      <c r="AC354" s="20">
        <f t="shared" si="16"/>
        <v>0.83412534525000459</v>
      </c>
      <c r="AD354" s="20">
        <f t="shared" si="16"/>
        <v>0.17835579077848723</v>
      </c>
      <c r="AE354" s="20">
        <f t="shared" si="16"/>
        <v>0.55745091092120047</v>
      </c>
      <c r="AF354" s="20">
        <f t="shared" si="16"/>
        <v>6.5295795113014199E-2</v>
      </c>
      <c r="AG354" s="20">
        <f t="shared" si="16"/>
        <v>0.75466126987860482</v>
      </c>
      <c r="AH354" s="20">
        <f t="shared" si="16"/>
        <v>0.18482691107006635</v>
      </c>
      <c r="AI354" s="20">
        <f t="shared" si="16"/>
        <v>0.26485414251173556</v>
      </c>
      <c r="AJ354" s="20">
        <f t="shared" si="16"/>
        <v>0.17400199923351883</v>
      </c>
      <c r="AK354" s="20">
        <f t="shared" si="16"/>
        <v>0.32330631751560412</v>
      </c>
      <c r="AL354" s="20">
        <f t="shared" si="16"/>
        <v>0.27626352361253603</v>
      </c>
      <c r="AM354" s="20">
        <f t="shared" si="16"/>
        <v>0.16154283917053427</v>
      </c>
      <c r="AN354" s="20">
        <f t="shared" si="16"/>
        <v>0.31043951017218324</v>
      </c>
      <c r="AO354" s="20">
        <f t="shared" si="16"/>
        <v>0.54532417646513509</v>
      </c>
      <c r="AP354" s="20">
        <f t="shared" si="16"/>
        <v>0.74034293143391994</v>
      </c>
      <c r="AQ354" s="20">
        <f t="shared" si="16"/>
        <v>0.47501521862413471</v>
      </c>
      <c r="AR354" s="20">
        <f t="shared" si="16"/>
        <v>0.32130109557966363</v>
      </c>
      <c r="AS354" s="20">
        <f t="shared" si="16"/>
        <v>0.73873276058667547</v>
      </c>
      <c r="AT354" s="20">
        <f>AT343/AT350</f>
        <v>1.5971417554328106E-2</v>
      </c>
      <c r="AU354" s="20">
        <f>AU343/AU350</f>
        <v>0.74257448629231371</v>
      </c>
      <c r="AV354" s="20">
        <f>AV343/AV350</f>
        <v>0.2396779690215666</v>
      </c>
      <c r="AW354" s="20">
        <f>AW343/AW350</f>
        <v>0.43387337039100893</v>
      </c>
      <c r="AX354" s="20">
        <f>AX343/AX350</f>
        <v>0.12120912628469582</v>
      </c>
      <c r="AY354" s="20">
        <f t="shared" ref="AY354:BG354" si="17">AY343/AY350</f>
        <v>0.33197489544688219</v>
      </c>
      <c r="AZ354" s="20">
        <f t="shared" si="17"/>
        <v>8.6610491930229905E-2</v>
      </c>
      <c r="BA354" s="20">
        <f t="shared" si="17"/>
        <v>0.15705784965916886</v>
      </c>
      <c r="BB354" s="20" t="e">
        <f t="shared" si="17"/>
        <v>#DIV/0!</v>
      </c>
      <c r="BC354" s="20">
        <f t="shared" si="17"/>
        <v>0.13601774041696854</v>
      </c>
      <c r="BD354" s="20">
        <f t="shared" si="17"/>
        <v>0.1045445320487976</v>
      </c>
      <c r="BE354" s="20">
        <f t="shared" si="17"/>
        <v>9.4176776782381441E-2</v>
      </c>
      <c r="BF354" s="20">
        <f t="shared" si="17"/>
        <v>0.30355829022014164</v>
      </c>
      <c r="BG354" s="20">
        <f t="shared" si="17"/>
        <v>0.89984429888269801</v>
      </c>
      <c r="BH354" s="22"/>
    </row>
    <row r="355" spans="1:60" x14ac:dyDescent="0.2">
      <c r="A355" s="22"/>
      <c r="B355" t="s">
        <v>609</v>
      </c>
      <c r="F355" s="20">
        <f t="shared" ref="F355:AS355" si="18">F344/F350</f>
        <v>0.24223396758718871</v>
      </c>
      <c r="G355" s="20">
        <f t="shared" si="18"/>
        <v>0.16589203323170387</v>
      </c>
      <c r="H355" s="20">
        <f t="shared" si="18"/>
        <v>0.34251702015091373</v>
      </c>
      <c r="I355" s="20">
        <f t="shared" si="18"/>
        <v>0</v>
      </c>
      <c r="J355" s="20">
        <f t="shared" si="18"/>
        <v>0.35727203059329593</v>
      </c>
      <c r="K355" s="20">
        <f t="shared" si="18"/>
        <v>0.35062499619348236</v>
      </c>
      <c r="L355" s="20">
        <f t="shared" si="18"/>
        <v>0.15939103176561079</v>
      </c>
      <c r="M355" s="20">
        <f t="shared" si="18"/>
        <v>0.18937246822016021</v>
      </c>
      <c r="N355" s="20">
        <f t="shared" si="18"/>
        <v>0.73676878937496237</v>
      </c>
      <c r="O355" s="20">
        <f t="shared" si="18"/>
        <v>0.24673649098376549</v>
      </c>
      <c r="P355" s="20">
        <f t="shared" si="18"/>
        <v>5.9670510199259418E-2</v>
      </c>
      <c r="Q355" s="20">
        <f t="shared" si="18"/>
        <v>0.23843624385353121</v>
      </c>
      <c r="R355" s="20">
        <f>R344/R350</f>
        <v>0.78968261164227171</v>
      </c>
      <c r="S355" s="20">
        <f t="shared" si="18"/>
        <v>0</v>
      </c>
      <c r="T355" s="20">
        <f t="shared" si="18"/>
        <v>0.77676183944449251</v>
      </c>
      <c r="U355" s="20">
        <f t="shared" si="18"/>
        <v>0.12704904583150467</v>
      </c>
      <c r="V355" s="20">
        <f t="shared" si="18"/>
        <v>0.21478382553516978</v>
      </c>
      <c r="W355" s="20">
        <f t="shared" si="18"/>
        <v>0.16640305861959084</v>
      </c>
      <c r="X355" s="20">
        <f t="shared" si="18"/>
        <v>0.98531219986451957</v>
      </c>
      <c r="Y355" s="20">
        <f t="shared" si="18"/>
        <v>4.2863113663941944E-2</v>
      </c>
      <c r="Z355" s="20">
        <f t="shared" si="18"/>
        <v>0.75139418029863836</v>
      </c>
      <c r="AA355" s="20">
        <f t="shared" si="18"/>
        <v>0.29400983776279332</v>
      </c>
      <c r="AB355" s="20">
        <f t="shared" si="18"/>
        <v>0.2280431696524946</v>
      </c>
      <c r="AC355" s="20">
        <f t="shared" si="18"/>
        <v>0</v>
      </c>
      <c r="AD355" s="20">
        <f t="shared" si="18"/>
        <v>0.14177422064631007</v>
      </c>
      <c r="AE355" s="20">
        <f t="shared" si="18"/>
        <v>0</v>
      </c>
      <c r="AF355" s="20">
        <f t="shared" si="18"/>
        <v>0.33069881243038202</v>
      </c>
      <c r="AG355" s="20">
        <f t="shared" si="18"/>
        <v>1.536781026919881E-5</v>
      </c>
      <c r="AH355" s="20">
        <f t="shared" si="18"/>
        <v>0.13276405118870085</v>
      </c>
      <c r="AI355" s="20">
        <f t="shared" si="18"/>
        <v>0.14125862766932198</v>
      </c>
      <c r="AJ355" s="20">
        <f t="shared" si="18"/>
        <v>0.13498770477289249</v>
      </c>
      <c r="AK355" s="20">
        <f t="shared" si="18"/>
        <v>1.1562490161707756E-2</v>
      </c>
      <c r="AL355" s="20">
        <f t="shared" si="18"/>
        <v>9.9865439303766901E-2</v>
      </c>
      <c r="AM355" s="20">
        <f t="shared" si="18"/>
        <v>0.11558080874494701</v>
      </c>
      <c r="AN355" s="20">
        <f t="shared" si="18"/>
        <v>1.1111413609221984E-2</v>
      </c>
      <c r="AO355" s="20">
        <f t="shared" si="18"/>
        <v>0</v>
      </c>
      <c r="AP355" s="20">
        <f t="shared" si="18"/>
        <v>0</v>
      </c>
      <c r="AQ355" s="20">
        <f t="shared" si="18"/>
        <v>0.10804948955813988</v>
      </c>
      <c r="AR355" s="20">
        <f t="shared" si="18"/>
        <v>0.19642359987370497</v>
      </c>
      <c r="AS355" s="20">
        <f t="shared" si="18"/>
        <v>0</v>
      </c>
      <c r="AT355" s="20">
        <f>AT344/AT350</f>
        <v>0.76926650565170229</v>
      </c>
      <c r="AU355" s="20">
        <f>AU344/AU350</f>
        <v>0</v>
      </c>
      <c r="AV355" s="20">
        <f>AV344/AV350</f>
        <v>0.1742482579012084</v>
      </c>
      <c r="AW355" s="20">
        <f>AW344/AW350</f>
        <v>0.16416943103350234</v>
      </c>
      <c r="AX355" s="20">
        <f>AX344/AX350</f>
        <v>0</v>
      </c>
      <c r="AY355" s="20">
        <f t="shared" ref="AY355:BG355" si="19">AY344/AY350</f>
        <v>1.1790008284803534E-2</v>
      </c>
      <c r="AZ355" s="20">
        <f t="shared" si="19"/>
        <v>0</v>
      </c>
      <c r="BA355" s="20">
        <f t="shared" si="19"/>
        <v>0.33862238139866729</v>
      </c>
      <c r="BB355" s="20" t="e">
        <f t="shared" si="19"/>
        <v>#DIV/0!</v>
      </c>
      <c r="BC355" s="20">
        <f t="shared" si="19"/>
        <v>0.39484847115782595</v>
      </c>
      <c r="BD355" s="20">
        <f t="shared" si="19"/>
        <v>0</v>
      </c>
      <c r="BE355" s="20">
        <f t="shared" si="19"/>
        <v>0</v>
      </c>
      <c r="BF355" s="20">
        <f t="shared" si="19"/>
        <v>7.7629879957945125E-2</v>
      </c>
      <c r="BG355" s="20">
        <f t="shared" si="19"/>
        <v>0</v>
      </c>
      <c r="BH355" s="22"/>
    </row>
    <row r="356" spans="1:60" x14ac:dyDescent="0.2">
      <c r="A356" s="22"/>
      <c r="B356" t="s">
        <v>610</v>
      </c>
      <c r="F356" s="20">
        <f t="shared" ref="F356:AS356" si="20">F345/F350</f>
        <v>0.22745916531994634</v>
      </c>
      <c r="G356" s="20">
        <f t="shared" si="20"/>
        <v>0.26531949468732219</v>
      </c>
      <c r="H356" s="20">
        <f t="shared" si="20"/>
        <v>0.46822799857803571</v>
      </c>
      <c r="I356" s="20">
        <f t="shared" si="20"/>
        <v>6.7045624359495667E-2</v>
      </c>
      <c r="J356" s="20">
        <f t="shared" si="20"/>
        <v>0.31367507958037427</v>
      </c>
      <c r="K356" s="20">
        <f t="shared" si="20"/>
        <v>0.45543227549504062</v>
      </c>
      <c r="L356" s="20">
        <f t="shared" si="20"/>
        <v>7.7644724093492073E-2</v>
      </c>
      <c r="M356" s="20">
        <f t="shared" si="20"/>
        <v>0.44141337797669516</v>
      </c>
      <c r="N356" s="20">
        <f t="shared" si="20"/>
        <v>0.2020206967461273</v>
      </c>
      <c r="O356" s="20">
        <f t="shared" si="20"/>
        <v>0.357390119253924</v>
      </c>
      <c r="P356" s="20">
        <f t="shared" si="20"/>
        <v>0.11999286068299574</v>
      </c>
      <c r="Q356" s="20">
        <f t="shared" si="20"/>
        <v>0.33915550459899113</v>
      </c>
      <c r="R356" s="20">
        <f>R345/R350</f>
        <v>0.19941712962392077</v>
      </c>
      <c r="S356" s="20">
        <f t="shared" si="20"/>
        <v>0</v>
      </c>
      <c r="T356" s="20">
        <f t="shared" si="20"/>
        <v>7.5752618566754066E-3</v>
      </c>
      <c r="U356" s="20">
        <f t="shared" si="20"/>
        <v>0.3442622778664326</v>
      </c>
      <c r="V356" s="20">
        <f t="shared" si="20"/>
        <v>0.67178408413826762</v>
      </c>
      <c r="W356" s="20">
        <f t="shared" si="20"/>
        <v>0.36281728396946433</v>
      </c>
      <c r="X356" s="20">
        <f t="shared" si="20"/>
        <v>0</v>
      </c>
      <c r="Y356" s="20">
        <f t="shared" si="20"/>
        <v>0.23845369807896022</v>
      </c>
      <c r="Z356" s="20">
        <f t="shared" si="20"/>
        <v>0.20603095069047089</v>
      </c>
      <c r="AA356" s="20">
        <f t="shared" si="20"/>
        <v>0.50925548244202223</v>
      </c>
      <c r="AB356" s="20">
        <f t="shared" si="20"/>
        <v>0.46094622748903757</v>
      </c>
      <c r="AC356" s="20">
        <f t="shared" si="20"/>
        <v>0</v>
      </c>
      <c r="AD356" s="20">
        <f t="shared" si="20"/>
        <v>0.14377691895932992</v>
      </c>
      <c r="AE356" s="20">
        <f t="shared" si="20"/>
        <v>0.17472233394233175</v>
      </c>
      <c r="AF356" s="20">
        <f t="shared" si="20"/>
        <v>0.47849959980749862</v>
      </c>
      <c r="AG356" s="20">
        <f t="shared" si="20"/>
        <v>0</v>
      </c>
      <c r="AH356" s="20">
        <f t="shared" si="20"/>
        <v>0.28568555642251825</v>
      </c>
      <c r="AI356" s="20">
        <f t="shared" si="20"/>
        <v>0.27098806580958096</v>
      </c>
      <c r="AJ356" s="20">
        <f t="shared" si="20"/>
        <v>8.760073941068984E-2</v>
      </c>
      <c r="AK356" s="20">
        <f t="shared" si="20"/>
        <v>1.6468897472414555E-2</v>
      </c>
      <c r="AL356" s="20">
        <f t="shared" si="20"/>
        <v>0.25378815254367465</v>
      </c>
      <c r="AM356" s="20">
        <f t="shared" si="20"/>
        <v>0.16332362822216173</v>
      </c>
      <c r="AN356" s="20">
        <f t="shared" si="20"/>
        <v>1.5842511887431972E-2</v>
      </c>
      <c r="AO356" s="20">
        <f t="shared" si="20"/>
        <v>0.17535582622639487</v>
      </c>
      <c r="AP356" s="20">
        <f t="shared" si="20"/>
        <v>0</v>
      </c>
      <c r="AQ356" s="20">
        <f t="shared" si="20"/>
        <v>0.27627111765931645</v>
      </c>
      <c r="AR356" s="20">
        <f t="shared" si="20"/>
        <v>0.3872287701210077</v>
      </c>
      <c r="AS356" s="20">
        <f t="shared" si="20"/>
        <v>0</v>
      </c>
      <c r="AT356" s="20">
        <f>AT345/AT350</f>
        <v>0.21093151264463553</v>
      </c>
      <c r="AU356" s="20">
        <f>AU345/AU350</f>
        <v>0</v>
      </c>
      <c r="AV356" s="20">
        <f>AV345/AV350</f>
        <v>0.31007087850548481</v>
      </c>
      <c r="AW356" s="20">
        <f>AW345/AW350</f>
        <v>0.28760961801548401</v>
      </c>
      <c r="AX356" s="20">
        <f>AX345/AX350</f>
        <v>0</v>
      </c>
      <c r="AY356" s="20">
        <f t="shared" ref="AY356:BG356" si="21">AY345/AY350</f>
        <v>1.6337261629511664E-2</v>
      </c>
      <c r="AZ356" s="20">
        <f t="shared" si="21"/>
        <v>0</v>
      </c>
      <c r="BA356" s="20">
        <f t="shared" si="21"/>
        <v>0.23710152851476568</v>
      </c>
      <c r="BB356" s="20" t="e">
        <f t="shared" si="21"/>
        <v>#DIV/0!</v>
      </c>
      <c r="BC356" s="20">
        <f t="shared" si="21"/>
        <v>0.32893142685513277</v>
      </c>
      <c r="BD356" s="20">
        <f t="shared" si="21"/>
        <v>0</v>
      </c>
      <c r="BE356" s="20">
        <f t="shared" si="21"/>
        <v>0</v>
      </c>
      <c r="BF356" s="20">
        <f t="shared" si="21"/>
        <v>0.40011193467947437</v>
      </c>
      <c r="BG356" s="20">
        <f t="shared" si="21"/>
        <v>0</v>
      </c>
      <c r="BH356" s="22"/>
    </row>
    <row r="357" spans="1:60" x14ac:dyDescent="0.2">
      <c r="A357" s="22"/>
      <c r="B357" t="s">
        <v>611</v>
      </c>
      <c r="F357" s="20">
        <f t="shared" ref="F357:AS357" si="22">F346/F350</f>
        <v>0.14693301141387838</v>
      </c>
      <c r="G357" s="20">
        <f t="shared" si="22"/>
        <v>0.27430840656553612</v>
      </c>
      <c r="H357" s="20">
        <f t="shared" si="22"/>
        <v>2.2354198532312271E-4</v>
      </c>
      <c r="I357" s="20">
        <f t="shared" si="22"/>
        <v>1.2691512522441765E-2</v>
      </c>
      <c r="J357" s="20">
        <f t="shared" si="22"/>
        <v>8.4858009329786085E-2</v>
      </c>
      <c r="K357" s="20">
        <f t="shared" si="22"/>
        <v>2.1246173126861771E-4</v>
      </c>
      <c r="L357" s="20">
        <f t="shared" si="22"/>
        <v>0.26499221395516376</v>
      </c>
      <c r="M357" s="20">
        <f t="shared" si="22"/>
        <v>9.6580685911333425E-2</v>
      </c>
      <c r="N357" s="20">
        <f t="shared" si="22"/>
        <v>0</v>
      </c>
      <c r="O357" s="20">
        <f t="shared" si="22"/>
        <v>5.3583718990403241E-2</v>
      </c>
      <c r="P357" s="20">
        <f t="shared" si="22"/>
        <v>0.33687661367334742</v>
      </c>
      <c r="Q357" s="20">
        <f t="shared" si="22"/>
        <v>6.5905063898921951E-2</v>
      </c>
      <c r="R357" s="20">
        <f>R346/R350</f>
        <v>0</v>
      </c>
      <c r="S357" s="20">
        <f t="shared" si="22"/>
        <v>0.24789843911914466</v>
      </c>
      <c r="T357" s="20">
        <f t="shared" si="22"/>
        <v>3.1011811896306516E-3</v>
      </c>
      <c r="U357" s="20">
        <f t="shared" si="22"/>
        <v>9.5677111113930929E-2</v>
      </c>
      <c r="V357" s="20">
        <f t="shared" si="22"/>
        <v>4.4629713541394439E-3</v>
      </c>
      <c r="W357" s="20">
        <f t="shared" si="22"/>
        <v>0.27743438566092243</v>
      </c>
      <c r="X357" s="20">
        <f t="shared" si="22"/>
        <v>0</v>
      </c>
      <c r="Y357" s="20">
        <f t="shared" si="22"/>
        <v>0.14358410885032283</v>
      </c>
      <c r="Z357" s="20">
        <f t="shared" si="22"/>
        <v>0</v>
      </c>
      <c r="AA357" s="20">
        <f t="shared" si="22"/>
        <v>2.3273713142297534E-4</v>
      </c>
      <c r="AB357" s="20">
        <f t="shared" si="22"/>
        <v>7.5305917325557484E-2</v>
      </c>
      <c r="AC357" s="20">
        <f t="shared" si="22"/>
        <v>0.11817012405298924</v>
      </c>
      <c r="AD357" s="20">
        <f t="shared" si="22"/>
        <v>0.27944469378642922</v>
      </c>
      <c r="AE357" s="20">
        <f t="shared" si="22"/>
        <v>0.24785133280547161</v>
      </c>
      <c r="AF357" s="20">
        <f t="shared" si="22"/>
        <v>2.033016130612972E-4</v>
      </c>
      <c r="AG357" s="20">
        <f t="shared" si="22"/>
        <v>0.21446529424373167</v>
      </c>
      <c r="AH357" s="20">
        <f t="shared" si="22"/>
        <v>0.28567728467822778</v>
      </c>
      <c r="AI357" s="20">
        <f t="shared" si="22"/>
        <v>0.31630675631631483</v>
      </c>
      <c r="AJ357" s="20">
        <f t="shared" si="22"/>
        <v>0.26847586943506135</v>
      </c>
      <c r="AK357" s="20">
        <f t="shared" si="22"/>
        <v>0.62087173791951611</v>
      </c>
      <c r="AL357" s="20">
        <f t="shared" si="22"/>
        <v>0.35567469664582257</v>
      </c>
      <c r="AM357" s="20">
        <f t="shared" si="22"/>
        <v>0.27607039913680353</v>
      </c>
      <c r="AN357" s="20">
        <f t="shared" si="22"/>
        <v>0.60621770579356982</v>
      </c>
      <c r="AO357" s="20">
        <f t="shared" si="22"/>
        <v>0.25607938606304254</v>
      </c>
      <c r="AP357" s="20">
        <f t="shared" si="22"/>
        <v>0.23916085201918094</v>
      </c>
      <c r="AQ357" s="20">
        <f t="shared" si="22"/>
        <v>0.11813501316250004</v>
      </c>
      <c r="AR357" s="20">
        <f t="shared" si="22"/>
        <v>7.954020473281706E-2</v>
      </c>
      <c r="AS357" s="20">
        <f t="shared" si="22"/>
        <v>0.24023806841363185</v>
      </c>
      <c r="AT357" s="20">
        <f>AT346/AT350</f>
        <v>0</v>
      </c>
      <c r="AU357" s="20">
        <f>AU346/AU350</f>
        <v>0.23960520400012841</v>
      </c>
      <c r="AV357" s="20">
        <f>AV346/AV350</f>
        <v>0.26113452502417489</v>
      </c>
      <c r="AW357" s="20">
        <f>AW346/AW350</f>
        <v>9.4568182151668276E-2</v>
      </c>
      <c r="AX357" s="20">
        <f>AX346/AX350</f>
        <v>0.87902848790863475</v>
      </c>
      <c r="AY357" s="20">
        <f t="shared" ref="AY357:BG357" si="23">AY346/AY350</f>
        <v>0.62671054395165893</v>
      </c>
      <c r="AZ357" s="20">
        <f t="shared" si="23"/>
        <v>0.91879125722530874</v>
      </c>
      <c r="BA357" s="20">
        <f t="shared" si="23"/>
        <v>0.21612605450478808</v>
      </c>
      <c r="BB357" s="20" t="e">
        <f t="shared" si="23"/>
        <v>#DIV/0!</v>
      </c>
      <c r="BC357" s="20">
        <f t="shared" si="23"/>
        <v>0.11930571620826658</v>
      </c>
      <c r="BD357" s="20">
        <f t="shared" si="23"/>
        <v>0.89525941605235027</v>
      </c>
      <c r="BE357" s="20">
        <f t="shared" si="23"/>
        <v>0.90608724287935727</v>
      </c>
      <c r="BF357" s="20">
        <f t="shared" si="23"/>
        <v>0.21708651864494818</v>
      </c>
      <c r="BG357" s="20">
        <f t="shared" si="23"/>
        <v>7.0276074584294856E-2</v>
      </c>
      <c r="BH357" s="22"/>
    </row>
    <row r="358" spans="1:60" x14ac:dyDescent="0.2">
      <c r="A358" s="22"/>
      <c r="B358" t="s">
        <v>612</v>
      </c>
      <c r="F358" s="20">
        <f t="shared" ref="F358:AS358" si="24">F347/F350</f>
        <v>8.8879923071017691E-2</v>
      </c>
      <c r="G358" s="20">
        <f t="shared" si="24"/>
        <v>5.7416075965987912E-2</v>
      </c>
      <c r="H358" s="20">
        <f t="shared" si="24"/>
        <v>8.8951180285914783E-2</v>
      </c>
      <c r="I358" s="20">
        <f t="shared" si="24"/>
        <v>0.8913171462146865</v>
      </c>
      <c r="J358" s="20">
        <f t="shared" si="24"/>
        <v>8.7390835447919604E-2</v>
      </c>
      <c r="K358" s="20">
        <f t="shared" si="24"/>
        <v>9.3793284965829463E-2</v>
      </c>
      <c r="L358" s="20">
        <f t="shared" si="24"/>
        <v>0.1205773859627343</v>
      </c>
      <c r="M358" s="20">
        <f t="shared" si="24"/>
        <v>7.886195912726579E-2</v>
      </c>
      <c r="N358" s="20">
        <f t="shared" si="24"/>
        <v>2.2572238335647674E-2</v>
      </c>
      <c r="O358" s="20">
        <f t="shared" si="24"/>
        <v>8.9672354976685936E-2</v>
      </c>
      <c r="P358" s="20">
        <f t="shared" si="24"/>
        <v>7.869521436535501E-2</v>
      </c>
      <c r="Q358" s="20">
        <f t="shared" si="24"/>
        <v>0.10760333263960775</v>
      </c>
      <c r="R358" s="20">
        <f>R347/R350</f>
        <v>0</v>
      </c>
      <c r="S358" s="20">
        <f t="shared" si="24"/>
        <v>0</v>
      </c>
      <c r="T358" s="20">
        <f t="shared" si="24"/>
        <v>0.10757683603872829</v>
      </c>
      <c r="U358" s="20">
        <f t="shared" si="24"/>
        <v>0</v>
      </c>
      <c r="V358" s="20">
        <f t="shared" si="24"/>
        <v>8.3919659425628415E-3</v>
      </c>
      <c r="W358" s="20">
        <f t="shared" si="24"/>
        <v>5.6255012487068522E-7</v>
      </c>
      <c r="X358" s="20">
        <f t="shared" si="24"/>
        <v>0</v>
      </c>
      <c r="Y358" s="20">
        <f t="shared" si="24"/>
        <v>3.6324756846666054E-6</v>
      </c>
      <c r="Z358" s="20">
        <f t="shared" si="24"/>
        <v>1.0861746675294928E-2</v>
      </c>
      <c r="AA358" s="20">
        <f t="shared" si="24"/>
        <v>7.8466077544291996E-2</v>
      </c>
      <c r="AB358" s="20">
        <f t="shared" si="24"/>
        <v>9.3032966023237226E-2</v>
      </c>
      <c r="AC358" s="20">
        <f t="shared" si="24"/>
        <v>0</v>
      </c>
      <c r="AD358" s="20">
        <f t="shared" si="24"/>
        <v>0.12471301628175503</v>
      </c>
      <c r="AE358" s="20">
        <f t="shared" si="24"/>
        <v>0</v>
      </c>
      <c r="AF358" s="20">
        <f t="shared" si="24"/>
        <v>6.6213044021386336E-2</v>
      </c>
      <c r="AG358" s="20">
        <f t="shared" si="24"/>
        <v>0</v>
      </c>
      <c r="AH358" s="20">
        <f t="shared" si="24"/>
        <v>6.6045164378323667E-2</v>
      </c>
      <c r="AI358" s="20">
        <f t="shared" si="24"/>
        <v>0</v>
      </c>
      <c r="AJ358" s="20">
        <f t="shared" si="24"/>
        <v>0.14344287507824705</v>
      </c>
      <c r="AK358" s="20">
        <f t="shared" si="24"/>
        <v>1.3811525253611944E-2</v>
      </c>
      <c r="AL358" s="20">
        <f t="shared" si="24"/>
        <v>8.5435490444978335E-3</v>
      </c>
      <c r="AM358" s="20">
        <f t="shared" si="24"/>
        <v>0.10346023512941724</v>
      </c>
      <c r="AN358" s="20">
        <f t="shared" si="24"/>
        <v>4.3531448220578889E-2</v>
      </c>
      <c r="AO358" s="20">
        <f t="shared" si="24"/>
        <v>2.4053948293766342E-4</v>
      </c>
      <c r="AP358" s="20">
        <f t="shared" si="24"/>
        <v>1.1485295645815427E-5</v>
      </c>
      <c r="AQ358" s="20">
        <f t="shared" si="24"/>
        <v>1.1526231490227329E-3</v>
      </c>
      <c r="AR358" s="20">
        <f t="shared" si="24"/>
        <v>0</v>
      </c>
      <c r="AS358" s="20">
        <f t="shared" si="24"/>
        <v>2.4585986107479472E-5</v>
      </c>
      <c r="AT358" s="20">
        <f>AT347/AT350</f>
        <v>1.4076170685865049E-2</v>
      </c>
      <c r="AU358" s="20">
        <f>AU347/AU350</f>
        <v>2.6090606949427837E-4</v>
      </c>
      <c r="AV358" s="20">
        <f>AV347/AV350</f>
        <v>2.4680864086924026E-7</v>
      </c>
      <c r="AW358" s="20">
        <f>AW347/AW350</f>
        <v>0</v>
      </c>
      <c r="AX358" s="20">
        <f>AX347/AX350</f>
        <v>0</v>
      </c>
      <c r="AY358" s="20">
        <f t="shared" ref="AY358:BG358" si="25">AY347/AY350</f>
        <v>6.8439960823358566E-3</v>
      </c>
      <c r="AZ358" s="20">
        <f t="shared" si="25"/>
        <v>0</v>
      </c>
      <c r="BA358" s="20">
        <f t="shared" si="25"/>
        <v>3.0647527081687309E-7</v>
      </c>
      <c r="BB358" s="20" t="e">
        <f t="shared" si="25"/>
        <v>#DIV/0!</v>
      </c>
      <c r="BC358" s="20">
        <f t="shared" si="25"/>
        <v>1.0099097748700386E-3</v>
      </c>
      <c r="BD358" s="20">
        <f t="shared" si="25"/>
        <v>0</v>
      </c>
      <c r="BE358" s="20">
        <f t="shared" si="25"/>
        <v>0</v>
      </c>
      <c r="BF358" s="20">
        <f t="shared" si="25"/>
        <v>0</v>
      </c>
      <c r="BG358" s="20">
        <f t="shared" si="25"/>
        <v>0</v>
      </c>
      <c r="BH358" s="22"/>
    </row>
    <row r="359" spans="1:60" x14ac:dyDescent="0.2">
      <c r="A359" s="22"/>
      <c r="B359" t="s">
        <v>613</v>
      </c>
      <c r="F359" s="20">
        <f t="shared" ref="F359:Q359" si="26">F348/F350</f>
        <v>0.18961451614137242</v>
      </c>
      <c r="G359" s="20">
        <f t="shared" si="26"/>
        <v>6.4638467438967409E-2</v>
      </c>
      <c r="H359" s="20">
        <f t="shared" si="26"/>
        <v>6.2648774691641498E-2</v>
      </c>
      <c r="I359" s="20">
        <f t="shared" si="26"/>
        <v>1.0797045592434634E-2</v>
      </c>
      <c r="J359" s="20">
        <f t="shared" si="26"/>
        <v>6.6578512584279853E-2</v>
      </c>
      <c r="K359" s="20">
        <f t="shared" si="26"/>
        <v>6.115128193150033E-2</v>
      </c>
      <c r="L359" s="20">
        <f t="shared" si="26"/>
        <v>0.2210776158781832</v>
      </c>
      <c r="M359" s="20">
        <f t="shared" si="26"/>
        <v>9.7749312556508955E-2</v>
      </c>
      <c r="N359" s="20">
        <f t="shared" si="26"/>
        <v>1.6036513789730013E-2</v>
      </c>
      <c r="O359" s="20">
        <f t="shared" si="26"/>
        <v>0.19316671647694475</v>
      </c>
      <c r="P359" s="20">
        <f t="shared" si="26"/>
        <v>0.21557030257406284</v>
      </c>
      <c r="Q359" s="20">
        <f t="shared" si="26"/>
        <v>0.18579249286127233</v>
      </c>
      <c r="R359" s="20">
        <f>R348/R350</f>
        <v>-7.0649489314446063E-4</v>
      </c>
      <c r="S359" s="20">
        <f t="shared" ref="S359:AS359" si="27">S348/S350</f>
        <v>2.5475396112630475E-2</v>
      </c>
      <c r="T359" s="20">
        <f t="shared" si="27"/>
        <v>6.0107844234260417E-2</v>
      </c>
      <c r="U359" s="20">
        <f t="shared" si="27"/>
        <v>1.8664185984642465E-2</v>
      </c>
      <c r="V359" s="20">
        <f t="shared" si="27"/>
        <v>4.5151010120061827E-2</v>
      </c>
      <c r="W359" s="20">
        <f t="shared" si="27"/>
        <v>2.8094326816561474E-2</v>
      </c>
      <c r="X359" s="20">
        <f t="shared" si="27"/>
        <v>-6.3161772178505372E-4</v>
      </c>
      <c r="Y359" s="20">
        <f t="shared" si="27"/>
        <v>2.6152609006159858E-2</v>
      </c>
      <c r="Z359" s="20">
        <f t="shared" si="27"/>
        <v>1.6258181734271626E-2</v>
      </c>
      <c r="AA359" s="20">
        <f t="shared" si="27"/>
        <v>5.2493573727530538E-2</v>
      </c>
      <c r="AB359" s="20">
        <f t="shared" si="27"/>
        <v>5.7822066408194678E-2</v>
      </c>
      <c r="AC359" s="20">
        <f t="shared" si="27"/>
        <v>4.7704530697006121E-2</v>
      </c>
      <c r="AD359" s="20">
        <f t="shared" si="27"/>
        <v>0.13193535954768859</v>
      </c>
      <c r="AE359" s="20">
        <f t="shared" si="27"/>
        <v>1.9975422330996188E-2</v>
      </c>
      <c r="AF359" s="20">
        <f t="shared" si="27"/>
        <v>5.9089447014657612E-2</v>
      </c>
      <c r="AG359" s="20">
        <f t="shared" si="27"/>
        <v>3.0858068067394467E-2</v>
      </c>
      <c r="AH359" s="20">
        <f t="shared" si="27"/>
        <v>4.5001032262163114E-2</v>
      </c>
      <c r="AI359" s="20">
        <f t="shared" si="27"/>
        <v>6.5924076930465904E-3</v>
      </c>
      <c r="AJ359" s="20">
        <f t="shared" si="27"/>
        <v>0.19149081206959048</v>
      </c>
      <c r="AK359" s="20">
        <f t="shared" si="27"/>
        <v>1.397903167714556E-2</v>
      </c>
      <c r="AL359" s="20">
        <f t="shared" si="27"/>
        <v>5.8646388497018585E-3</v>
      </c>
      <c r="AM359" s="20">
        <f t="shared" si="27"/>
        <v>0.18002208959613605</v>
      </c>
      <c r="AN359" s="20">
        <f t="shared" si="27"/>
        <v>1.2857410317014008E-2</v>
      </c>
      <c r="AO359" s="20">
        <f t="shared" si="27"/>
        <v>2.3000071762489846E-2</v>
      </c>
      <c r="AP359" s="20">
        <f t="shared" si="27"/>
        <v>2.0484731251253278E-2</v>
      </c>
      <c r="AQ359" s="20">
        <f t="shared" si="27"/>
        <v>2.1376537846886257E-2</v>
      </c>
      <c r="AR359" s="20">
        <f t="shared" si="27"/>
        <v>1.5506329692806591E-2</v>
      </c>
      <c r="AS359" s="20">
        <f t="shared" si="27"/>
        <v>2.1004585013585153E-2</v>
      </c>
      <c r="AT359" s="20">
        <f>AT348/AT350</f>
        <v>-1.0245606536531011E-2</v>
      </c>
      <c r="AU359" s="20">
        <f>AU348/AU350</f>
        <v>1.75594036380637E-2</v>
      </c>
      <c r="AV359" s="20">
        <f>AV348/AV350</f>
        <v>1.4868122738924332E-2</v>
      </c>
      <c r="AW359" s="20">
        <f>AW348/AW350</f>
        <v>1.9779398408336507E-2</v>
      </c>
      <c r="AX359" s="20">
        <f>AX348/AX350</f>
        <v>-2.3761419333054366E-4</v>
      </c>
      <c r="AY359" s="20">
        <f t="shared" ref="AY359:BG359" si="28">AY348/AY350</f>
        <v>6.3432946048076668E-3</v>
      </c>
      <c r="AZ359" s="20">
        <f t="shared" si="28"/>
        <v>-5.4017491555386184E-3</v>
      </c>
      <c r="BA359" s="20">
        <f t="shared" si="28"/>
        <v>5.1091879447339276E-2</v>
      </c>
      <c r="BB359" s="20" t="e">
        <f t="shared" si="28"/>
        <v>#DIV/0!</v>
      </c>
      <c r="BC359" s="20">
        <f t="shared" si="28"/>
        <v>1.9886735586936228E-2</v>
      </c>
      <c r="BD359" s="20">
        <f t="shared" si="28"/>
        <v>1.9605189885212642E-4</v>
      </c>
      <c r="BE359" s="20">
        <f t="shared" si="28"/>
        <v>-2.6401966173875038E-4</v>
      </c>
      <c r="BF359" s="20">
        <f t="shared" si="28"/>
        <v>1.613376497490723E-3</v>
      </c>
      <c r="BG359" s="20">
        <f t="shared" si="28"/>
        <v>2.9879626533006982E-2</v>
      </c>
      <c r="BH359" s="22"/>
    </row>
    <row r="360" spans="1:60" x14ac:dyDescent="0.2">
      <c r="A360" s="22" t="s">
        <v>711</v>
      </c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</row>
    <row r="361" spans="1:60" x14ac:dyDescent="0.2">
      <c r="A361" s="22" t="s">
        <v>712</v>
      </c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1"/>
    </row>
  </sheetData>
  <mergeCells count="5">
    <mergeCell ref="B1:BG1"/>
    <mergeCell ref="A1:A359"/>
    <mergeCell ref="BH1:BH359"/>
    <mergeCell ref="A360:BG360"/>
    <mergeCell ref="A361:BG361"/>
  </mergeCells>
  <conditionalFormatting sqref="B17:B33">
    <cfRule type="cellIs" dxfId="3" priority="8" stopIfTrue="1" operator="lessThan">
      <formula>0</formula>
    </cfRule>
  </conditionalFormatting>
  <conditionalFormatting sqref="C23:C33">
    <cfRule type="cellIs" dxfId="2" priority="17" stopIfTrue="1" operator="lessThan">
      <formula>0</formula>
    </cfRule>
  </conditionalFormatting>
  <conditionalFormatting sqref="D16:E24">
    <cfRule type="cellIs" dxfId="1" priority="9" stopIfTrue="1" operator="lessThan">
      <formula>0</formula>
    </cfRule>
  </conditionalFormatting>
  <conditionalFormatting sqref="F15:BG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Hishtalmut xmlns="e7c93c0b-31f4-4d6d-a404-57fd37393f5c">
      <Value>6</Value>
      <Value>7</Value>
      <Value>13</Value>
      <Value>14</Value>
      <Value>9</Value>
      <Value>1</Value>
      <Value>2</Value>
      <Value>3</Value>
      <Value>11</Value>
      <Value>12</Value>
      <Value>4</Value>
      <Value>5</Value>
    </Kupa_Hishtalmut>
    <Category xmlns="e7c93c0b-31f4-4d6d-a404-57fd37393f5c">1</Category>
    <KupotIsHidden xmlns="7c67d0cd-db71-4ceb-ba14-b5862b768686">false</KupotIsHidden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17</Value>
      <Value>14</Value>
      <Value>15</Value>
      <Value>16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</documentManagement>
</p:properties>
</file>

<file path=customXml/itemProps1.xml><?xml version="1.0" encoding="utf-8"?>
<ds:datastoreItem xmlns:ds="http://schemas.openxmlformats.org/officeDocument/2006/customXml" ds:itemID="{B517CE24-FFD2-426A-A652-C6AE8515D07C}"/>
</file>

<file path=customXml/itemProps2.xml><?xml version="1.0" encoding="utf-8"?>
<ds:datastoreItem xmlns:ds="http://schemas.openxmlformats.org/officeDocument/2006/customXml" ds:itemID="{B65F1955-5858-4745-BD5C-52786D0BA52B}"/>
</file>

<file path=customXml/itemProps3.xml><?xml version="1.0" encoding="utf-8"?>
<ds:datastoreItem xmlns:ds="http://schemas.openxmlformats.org/officeDocument/2006/customXml" ds:itemID="{C88B4CAC-99F0-476C-B4EF-387D2B897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3/2024</dc:title>
  <dc:creator>פרידמן אמיר</dc:creator>
  <cp:lastModifiedBy>מטי לנדו</cp:lastModifiedBy>
  <dcterms:created xsi:type="dcterms:W3CDTF">2024-04-18T12:42:39Z</dcterms:created>
  <dcterms:modified xsi:type="dcterms:W3CDTF">2024-04-21T08:25:50Z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