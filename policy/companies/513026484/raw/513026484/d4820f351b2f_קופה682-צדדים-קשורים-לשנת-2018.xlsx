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mc-nas\invest\אלי ברוך\דוחות 2018\שנתי\צדדים קשורים\"/>
    </mc:Choice>
  </mc:AlternateContent>
  <bookViews>
    <workbookView xWindow="120" yWindow="120" windowWidth="15600" windowHeight="10560" tabRatio="708" activeTab="5"/>
  </bookViews>
  <sheets>
    <sheet name="נספח 1 - צדדים קשורים" sheetId="1" r:id="rId2"/>
    <sheet name="נספח 2 - יתרת השקעה בגופים קשור" sheetId="2" r:id="rId3"/>
    <sheet name="נספח 3א - פעולות בנ&quot;ע סחירים של" sheetId="3" r:id="rId4"/>
    <sheet name="נספח 3ב - פעולות בנ&quot;ע לא סחירים" sheetId="4" r:id="rId5"/>
    <sheet name="נספח 3ג - עסקאות שבוצעו מול צדד" sheetId="5" r:id="rId6"/>
    <sheet name="נספח 4 - רכישת נ&quot;ע בהנפקות באמצ" sheetId="6" r:id="rId7"/>
  </sheets>
  <definedNames/>
  <calcPr fullCalcOnLoad="1"/>
</workbook>
</file>

<file path=xl/calcChain.xml><?xml version="1.0" encoding="utf-8"?>
<calcChain xmlns="http://schemas.openxmlformats.org/spreadsheetml/2006/main">
  <c r="K12" i="1" l="1"/>
</calcChain>
</file>

<file path=xl/sharedStrings.xml><?xml version="1.0" encoding="utf-8"?>
<sst xmlns="http://schemas.openxmlformats.org/spreadsheetml/2006/main" count="175" uniqueCount="102">
  <si>
    <t>נספח 1 - צדדים קשורים</t>
  </si>
  <si>
    <t>הופק ב 11:35 25/03/2019</t>
  </si>
  <si>
    <t>קופה</t>
  </si>
  <si>
    <t>צד קשור</t>
  </si>
  <si>
    <t>יתרת השקעות לסוף התקופה</t>
  </si>
  <si>
    <t>שיעור מסך נכסי ההשקעה</t>
  </si>
  <si>
    <t>רכישות נ"ע סחיר</t>
  </si>
  <si>
    <t>מכירות נ"ע סחיר</t>
  </si>
  <si>
    <t>רכישות נ"ע לא סחיר</t>
  </si>
  <si>
    <t>מכירות נ"ע לא סחיר</t>
  </si>
  <si>
    <t>רכישות מול צד קשור</t>
  </si>
  <si>
    <t>מכירות מול צד קשור</t>
  </si>
  <si>
    <t>רכישה בהנפקות מחתם קשור</t>
  </si>
  <si>
    <t>באלפי ש"ח</t>
  </si>
  <si>
    <t>אחוזים</t>
  </si>
  <si>
    <t>הופק בתוכנת פריים זהב, מהדורה 5.20, פריים מערכות, טלפון 03-7760600, www.primesys.co.il</t>
  </si>
  <si>
    <t>נספח 2 - יתרת השקעה בגופים קשורים</t>
  </si>
  <si>
    <t>שם נ"ע</t>
  </si>
  <si>
    <t>מספר נ"ע</t>
  </si>
  <si>
    <t>דרוג</t>
  </si>
  <si>
    <t>שם המדרג</t>
  </si>
  <si>
    <t>שיעור הריבית</t>
  </si>
  <si>
    <t>מח"מ</t>
  </si>
  <si>
    <t>תשואה לפדיון</t>
  </si>
  <si>
    <t>שיעור מהערך המונפק</t>
  </si>
  <si>
    <t>ערך שוק</t>
  </si>
  <si>
    <t>שנים</t>
  </si>
  <si>
    <t>אלפי ש"ח</t>
  </si>
  <si>
    <t>א. ניירות ערך סחירים</t>
  </si>
  <si>
    <t>(1) אג"ח קונצרניות סחירות</t>
  </si>
  <si>
    <t>סה"כ אג"ח קונצרניות סחירות</t>
  </si>
  <si>
    <t>(2) מניות וניירות ערך אחרים</t>
  </si>
  <si>
    <t>סה"כ מניות וניירות ערך אחרים</t>
  </si>
  <si>
    <t>סה"כ ניירות ערך סחירים</t>
  </si>
  <si>
    <t>ב. ניירות ערך לא סחירים</t>
  </si>
  <si>
    <t>(1) אג"ח קונצרניות לא סחירות</t>
  </si>
  <si>
    <t>סה"כ אג"ח קונצרניות לא סחירות</t>
  </si>
  <si>
    <t>סה"כ מניות וניירות ערך אחרים לא סחירים</t>
  </si>
  <si>
    <t>סה"כ ניירות ערך לא סחירים</t>
  </si>
  <si>
    <t>ג. פקדונות מעל 3 חודשים</t>
  </si>
  <si>
    <t>סה"כ פקדונות מעל 3 חודשים</t>
  </si>
  <si>
    <t>ד. הלוואות</t>
  </si>
  <si>
    <t>סה"כ הלוואות</t>
  </si>
  <si>
    <t>ה. נכסים אחרים</t>
  </si>
  <si>
    <t>(1) שווי מזומנים</t>
  </si>
  <si>
    <t>סה"כ שווי מזומנים</t>
  </si>
  <si>
    <t>(2) נכסים אחרים</t>
  </si>
  <si>
    <t>סה"כ נכסים אחרים</t>
  </si>
  <si>
    <t>סה"כ כללי</t>
  </si>
  <si>
    <t>נספח 3א - פעולות בנ"ע סחירים של גופים קשורים</t>
  </si>
  <si>
    <t>שווי עיסקאות הרכישה</t>
  </si>
  <si>
    <t>שווי עיסקאות המכירה</t>
  </si>
  <si>
    <t>ניירות ערך סחירים</t>
  </si>
  <si>
    <t>(א) אג"ח קונצרניות סחירות</t>
  </si>
  <si>
    <t>(ב) מניות וניירות ערך אחרים</t>
  </si>
  <si>
    <t>נספח 3ב - פעולות בנ"ע לא סחירים של גופים קשורים</t>
  </si>
  <si>
    <t>תאריך</t>
  </si>
  <si>
    <t>שווי העסקה</t>
  </si>
  <si>
    <t>א. ניירות ערך לא סחירים</t>
  </si>
  <si>
    <t>ב. פקדונות מעל 3 חודשים</t>
  </si>
  <si>
    <t>ג. הלוואות</t>
  </si>
  <si>
    <t>ד. נכסים אחרים</t>
  </si>
  <si>
    <t>נספח 3ג - עסקאות שבוצעו מול צדדים קשורים</t>
  </si>
  <si>
    <t>שער בורסה בסוף יום המסחר</t>
  </si>
  <si>
    <t>שער העיסקה</t>
  </si>
  <si>
    <t>שווי העיסקה</t>
  </si>
  <si>
    <t>א. עסקאות מחוץ לבורסה ועסקאות מתואמות בבורסה</t>
  </si>
  <si>
    <t>(1) אג"ח ממשלתיות סחירות - רכישות</t>
  </si>
  <si>
    <t>(2) אג"ח ממשליות סחירות - מכירות</t>
  </si>
  <si>
    <t>(3) אג"ח קונצרניות סחירות</t>
  </si>
  <si>
    <t>(4) מניות וניירות ערך אחרים</t>
  </si>
  <si>
    <t>ב. עסקאות בנכסים אחרים לא סחירים</t>
  </si>
  <si>
    <t>נספח 4 - רכישת נ"ע בהנפקות באמצעות חתם קשור</t>
  </si>
  <si>
    <t>תאריך ההנפקה</t>
  </si>
  <si>
    <t>שווי עסקת הרכישה</t>
  </si>
  <si>
    <t>א. נ"ע סחירים</t>
  </si>
  <si>
    <t>(1) אג"ח קונצרניות</t>
  </si>
  <si>
    <t>ב. נ"ע לא סחירים</t>
  </si>
  <si>
    <t>סה"כ היקף עסקאות של צד קשור</t>
  </si>
  <si>
    <t>צדדים קשורים בקבוצה נוספת מרכזית לפיצויים מסלולית הלמן מ- 1/01/2018 עד ל-31/12/2018</t>
  </si>
  <si>
    <t>אי.בי.אי. שירותי בורסה</t>
  </si>
  <si>
    <t>מרכזית לפיצויים מסלולית</t>
  </si>
  <si>
    <t>סלקום אג11</t>
  </si>
  <si>
    <t>גירון אג6</t>
  </si>
  <si>
    <t>סלקום אג12</t>
  </si>
  <si>
    <t>אלדן אגח ה</t>
  </si>
  <si>
    <t>מגדל הון אגח ז</t>
  </si>
  <si>
    <t>פועלים סדרה 36</t>
  </si>
  <si>
    <t>וילאר אג8</t>
  </si>
  <si>
    <t>חברת חשמל סדרה 31</t>
  </si>
  <si>
    <t>דיסקונט מנפיקים יג</t>
  </si>
  <si>
    <t>דיסקונט מנפיקים יד</t>
  </si>
  <si>
    <t>איגרת 1</t>
  </si>
  <si>
    <t>איגרת 2</t>
  </si>
  <si>
    <t>איגרת 3</t>
  </si>
  <si>
    <t>איגרת 4</t>
  </si>
  <si>
    <t>איגרת 5</t>
  </si>
  <si>
    <t>איגרת 6</t>
  </si>
  <si>
    <t>איגרת 7</t>
  </si>
  <si>
    <t>איגרת 8</t>
  </si>
  <si>
    <t>איגרת 9</t>
  </si>
  <si>
    <t>איגרת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</si>
</sst>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##0.00%"/>
  </numFmts>
  <fonts count="7">
    <font>
      <sz val="10"/>
      <name val="Arial"/>
      <family val="2"/>
    </font>
    <font>
      <sz val="10"/>
      <color theme="1"/>
      <name val="Arial"/>
      <family val="2"/>
    </font>
    <font>
      <b/>
      <sz val="14"/>
      <color rgb="FF800080"/>
      <name val="Ariel"/>
      <family val="2"/>
    </font>
    <font>
      <b/>
      <sz val="10"/>
      <color rgb="FF000000"/>
      <name val="Ariel"/>
      <family val="2"/>
    </font>
    <font>
      <b/>
      <sz val="10"/>
      <color rgb="FF0000FF"/>
      <name val="Ariel"/>
      <family val="2"/>
    </font>
    <font>
      <sz val="10"/>
      <name val="Ariel"/>
      <family val="2"/>
      <charset val="177"/>
    </font>
    <font>
      <sz val="10"/>
      <color rgb="FF000000"/>
      <name val="Ariel"/>
      <family val="2"/>
      <charset val="177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0000FF"/>
      </bottom>
    </border>
    <border>
      <left/>
      <right/>
      <top/>
      <bottom style="double">
        <color rgb="FF0000FF"/>
      </bottom>
    </border>
    <border>
      <left/>
      <right/>
      <top/>
      <bottom style="medium">
        <color rgb="FF000000"/>
      </bottom>
    </border>
    <border>
      <left/>
      <right/>
      <top/>
      <bottom style="double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0" fillId="0" borderId="2" xfId="0" applyBorder="1"/>
    <xf numFmtId="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0" fillId="0" borderId="3" xfId="0" applyBorder="1"/>
    <xf numFmtId="0" fontId="4" fillId="0" borderId="0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43" fontId="0" fillId="0" borderId="0" xfId="0" applyNumberFormat="1"/>
    <xf numFmtId="14" fontId="0" fillId="0" borderId="0" xfId="0" applyNumberFormat="1"/>
    <xf numFmtId="10" fontId="6" fillId="0" borderId="0" xfId="15" applyNumberFormat="1" applyFont="1" applyAlignment="1">
      <alignment horizontal="right" readingOrder="2"/>
    </xf>
    <xf numFmtId="43" fontId="0" fillId="0" borderId="0" xfId="18" applyFont="1"/>
    <xf numFmtId="0" fontId="0" fillId="0" borderId="4" xfId="0" applyBorder="1"/>
    <xf numFmtId="0" fontId="6" fillId="0" borderId="0" xfId="0" applyFont="1" applyAlignment="1">
      <alignment horizontal="right" readingOrder="2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worksheet" Target="worksheets/sheet5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K15"/>
  <sheetViews>
    <sheetView rightToLeft="1" workbookViewId="0" topLeftCell="A1">
      <selection pane="topLeft" activeCell="B12" sqref="B12"/>
    </sheetView>
  </sheetViews>
  <sheetFormatPr defaultColWidth="6.77428571428571" defaultRowHeight="13.5"/>
  <cols>
    <col min="1" max="1" width="20.7142857142857" customWidth="1"/>
    <col min="2" max="2" width="17.2857142857143" bestFit="1" customWidth="1"/>
    <col min="11" max="11" width="23.2857142857143" bestFit="1" customWidth="1"/>
  </cols>
  <sheetData>
    <row r="2" spans="1:1" ht="17.4">
      <c r="A2" s="1" t="s">
        <v>79</v>
      </c>
    </row>
    <row r="4" spans="1:1" ht="17.4">
      <c r="A4" s="1" t="s">
        <v>0</v>
      </c>
    </row>
    <row r="6" spans="1:1" ht="13.2">
      <c r="A6" s="2" t="s">
        <v>1</v>
      </c>
    </row>
    <row r="9" spans="1:11" ht="13.2">
      <c r="A9" s="3" t="s">
        <v>2</v>
      </c>
      <c r="B9" s="3" t="s">
        <v>3</v>
      </c>
      <c r="C9" s="3" t="s">
        <v>4</v>
      </c>
      <c r="D9" s="3" t="s">
        <v>5</v>
      </c>
      <c r="E9" s="3" t="s">
        <v>6</v>
      </c>
      <c r="F9" s="3" t="s">
        <v>7</v>
      </c>
      <c r="G9" s="3" t="s">
        <v>8</v>
      </c>
      <c r="H9" s="3" t="s">
        <v>9</v>
      </c>
      <c r="I9" s="3" t="s">
        <v>10</v>
      </c>
      <c r="J9" s="3" t="s">
        <v>11</v>
      </c>
      <c r="K9" s="3" t="s">
        <v>12</v>
      </c>
    </row>
    <row r="10" spans="1:11" ht="13.2" thickBot="1">
      <c r="A10" s="4"/>
      <c r="B10" s="4"/>
      <c r="C10" s="4" t="s">
        <v>13</v>
      </c>
      <c r="D10" s="4" t="s">
        <v>14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</row>
    <row r="11" ht="15" customHeight="1" thickTop="1"/>
    <row r="12" spans="1:11" ht="15" customHeight="1">
      <c r="A12" s="3" t="s">
        <v>81</v>
      </c>
      <c r="B12" s="12" t="s">
        <v>80</v>
      </c>
      <c r="K12" s="13">
        <f>+'נספח 4 - רכישת נ"ע בהנפקות באמצ'!F32</f>
        <v>4485.9511000000002</v>
      </c>
    </row>
    <row r="13" spans="1:11" ht="13.8" thickBo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ht="13.8" thickTop="1"/>
    <row r="15" spans="1:1" ht="13.2">
      <c r="A15" s="2" t="s">
        <v>15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J36"/>
  <sheetViews>
    <sheetView rightToLeft="1" workbookViewId="0" topLeftCell="A1">
      <selection pane="topLeft" activeCell="B12" sqref="B12"/>
    </sheetView>
  </sheetViews>
  <sheetFormatPr defaultColWidth="9.11428571428571" defaultRowHeight="13.5"/>
  <cols>
    <col min="1" max="1" width="44.7142857142857" customWidth="1"/>
    <col min="2" max="2" width="14.7142857142857" customWidth="1"/>
    <col min="3" max="3" width="6.71428571428571" customWidth="1"/>
    <col min="4" max="4" width="11.7142857142857" customWidth="1"/>
    <col min="5" max="5" width="15.7142857142857" customWidth="1"/>
    <col min="6" max="6" width="6.71428571428571" customWidth="1"/>
    <col min="7" max="7" width="15.7142857142857" customWidth="1"/>
    <col min="8" max="8" width="22.7142857142857" customWidth="1"/>
    <col min="9" max="9" width="11.7142857142857" customWidth="1"/>
    <col min="10" max="10" width="25.7142857142857" customWidth="1"/>
  </cols>
  <sheetData>
    <row r="2" spans="1:1" ht="17.4">
      <c r="A2" s="1" t="s">
        <v>79</v>
      </c>
    </row>
    <row r="4" spans="1:1" ht="17.4">
      <c r="A4" s="1" t="s">
        <v>16</v>
      </c>
    </row>
    <row r="6" spans="1:1" ht="13.2">
      <c r="A6" s="2" t="s">
        <v>1</v>
      </c>
    </row>
    <row r="9" spans="1:10" ht="13.2">
      <c r="A9" s="3" t="s">
        <v>17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22</v>
      </c>
      <c r="G9" s="3" t="s">
        <v>23</v>
      </c>
      <c r="H9" s="3" t="s">
        <v>24</v>
      </c>
      <c r="I9" s="3" t="s">
        <v>25</v>
      </c>
      <c r="J9" s="3" t="s">
        <v>5</v>
      </c>
    </row>
    <row r="10" spans="1:10" ht="13.8" thickBot="1">
      <c r="A10" s="4"/>
      <c r="B10" s="4"/>
      <c r="C10" s="4"/>
      <c r="D10" s="4"/>
      <c r="E10" s="4" t="s">
        <v>14</v>
      </c>
      <c r="F10" s="4" t="s">
        <v>26</v>
      </c>
      <c r="G10" s="4" t="s">
        <v>14</v>
      </c>
      <c r="H10" s="4" t="s">
        <v>14</v>
      </c>
      <c r="I10" s="4" t="s">
        <v>27</v>
      </c>
      <c r="J10" s="4" t="s">
        <v>14</v>
      </c>
    </row>
    <row r="11" spans="1:10" ht="13.8" thickTop="1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5" ht="13.2">
      <c r="A12" s="3" t="s">
        <v>2</v>
      </c>
      <c r="B12" s="3" t="s">
        <v>81</v>
      </c>
      <c r="C12" s="3"/>
      <c r="D12" s="3"/>
      <c r="E12" s="3"/>
    </row>
    <row r="13" spans="1:5" ht="13.2">
      <c r="A13" s="2" t="s">
        <v>28</v>
      </c>
      <c r="B13" s="2"/>
      <c r="C13" s="2"/>
      <c r="D13" s="2"/>
      <c r="E13" s="2"/>
    </row>
    <row r="14" spans="1:5" ht="13.2">
      <c r="A14" s="2" t="s">
        <v>29</v>
      </c>
      <c r="B14" s="2"/>
      <c r="C14" s="2"/>
      <c r="D14" s="2"/>
      <c r="E14" s="2"/>
    </row>
    <row r="15" spans="1:10" ht="13.2">
      <c r="A15" s="2" t="s">
        <v>30</v>
      </c>
      <c r="I15" s="8">
        <v>0</v>
      </c>
      <c r="J15" s="9">
        <v>0</v>
      </c>
    </row>
    <row r="16" spans="1:5" ht="13.2">
      <c r="A16" s="2" t="s">
        <v>31</v>
      </c>
      <c r="B16" s="2"/>
      <c r="C16" s="2"/>
      <c r="D16" s="2"/>
      <c r="E16" s="2"/>
    </row>
    <row r="17" spans="1:10" ht="13.2">
      <c r="A17" s="2" t="s">
        <v>32</v>
      </c>
      <c r="I17" s="8">
        <v>0</v>
      </c>
      <c r="J17" s="9">
        <v>0</v>
      </c>
    </row>
    <row r="18" spans="1:10" ht="13.2">
      <c r="A18" s="2" t="s">
        <v>33</v>
      </c>
      <c r="I18" s="8">
        <v>0</v>
      </c>
      <c r="J18" s="9">
        <v>0</v>
      </c>
    </row>
    <row r="19" spans="1:5" ht="13.2">
      <c r="A19" s="2" t="s">
        <v>34</v>
      </c>
      <c r="B19" s="2"/>
      <c r="C19" s="2"/>
      <c r="D19" s="2"/>
      <c r="E19" s="2"/>
    </row>
    <row r="20" spans="1:5" ht="13.2">
      <c r="A20" s="2" t="s">
        <v>35</v>
      </c>
      <c r="B20" s="2"/>
      <c r="C20" s="2"/>
      <c r="D20" s="2"/>
      <c r="E20" s="2"/>
    </row>
    <row r="21" spans="1:10" ht="13.2">
      <c r="A21" s="2" t="s">
        <v>36</v>
      </c>
      <c r="I21" s="8">
        <v>0</v>
      </c>
      <c r="J21" s="9">
        <v>0</v>
      </c>
    </row>
    <row r="22" spans="1:5" ht="13.2">
      <c r="A22" s="2" t="s">
        <v>31</v>
      </c>
      <c r="B22" s="2"/>
      <c r="C22" s="2"/>
      <c r="D22" s="2"/>
      <c r="E22" s="2"/>
    </row>
    <row r="23" spans="1:10" ht="13.2">
      <c r="A23" s="2" t="s">
        <v>37</v>
      </c>
      <c r="I23" s="8">
        <v>0</v>
      </c>
      <c r="J23" s="9">
        <v>0</v>
      </c>
    </row>
    <row r="24" spans="1:10" ht="13.2">
      <c r="A24" s="2" t="s">
        <v>38</v>
      </c>
      <c r="I24" s="8">
        <v>0</v>
      </c>
      <c r="J24" s="9">
        <v>0</v>
      </c>
    </row>
    <row r="25" spans="1:5" ht="13.2">
      <c r="A25" s="2" t="s">
        <v>39</v>
      </c>
      <c r="B25" s="2"/>
      <c r="C25" s="2"/>
      <c r="D25" s="2"/>
      <c r="E25" s="2"/>
    </row>
    <row r="26" spans="1:10" ht="13.2">
      <c r="A26" s="2" t="s">
        <v>40</v>
      </c>
      <c r="I26" s="8">
        <v>0</v>
      </c>
      <c r="J26" s="9">
        <v>0</v>
      </c>
    </row>
    <row r="27" spans="1:5" ht="13.2">
      <c r="A27" s="2" t="s">
        <v>41</v>
      </c>
      <c r="B27" s="2"/>
      <c r="C27" s="2"/>
      <c r="D27" s="2"/>
      <c r="E27" s="2"/>
    </row>
    <row r="28" spans="1:10" ht="13.2">
      <c r="A28" s="2" t="s">
        <v>42</v>
      </c>
      <c r="I28" s="8">
        <v>0</v>
      </c>
      <c r="J28" s="9">
        <v>0</v>
      </c>
    </row>
    <row r="29" spans="1:5" ht="13.2">
      <c r="A29" s="2" t="s">
        <v>43</v>
      </c>
      <c r="B29" s="2"/>
      <c r="C29" s="2"/>
      <c r="D29" s="2"/>
      <c r="E29" s="2"/>
    </row>
    <row r="30" spans="1:5" ht="13.2">
      <c r="A30" s="2" t="s">
        <v>44</v>
      </c>
      <c r="B30" s="2"/>
      <c r="C30" s="2"/>
      <c r="D30" s="2"/>
      <c r="E30" s="2"/>
    </row>
    <row r="31" spans="1:10" ht="13.2">
      <c r="A31" s="2" t="s">
        <v>45</v>
      </c>
      <c r="I31" s="8">
        <v>0</v>
      </c>
      <c r="J31" s="9">
        <v>0</v>
      </c>
    </row>
    <row r="32" spans="1:5" ht="13.2">
      <c r="A32" s="2" t="s">
        <v>46</v>
      </c>
      <c r="B32" s="2"/>
      <c r="C32" s="2"/>
      <c r="D32" s="2"/>
      <c r="E32" s="2"/>
    </row>
    <row r="33" spans="1:10" ht="13.2">
      <c r="A33" s="2" t="s">
        <v>47</v>
      </c>
      <c r="I33" s="8">
        <v>0</v>
      </c>
      <c r="J33" s="9">
        <v>0</v>
      </c>
    </row>
    <row r="34" spans="1:10" ht="13.2">
      <c r="A34" s="2" t="s">
        <v>47</v>
      </c>
      <c r="I34" s="8">
        <v>0</v>
      </c>
      <c r="J34" s="9">
        <v>0</v>
      </c>
    </row>
    <row r="35" spans="1:10" ht="13.8" thickBo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3.8" thickTop="1">
      <c r="A36" s="3" t="s">
        <v>48</v>
      </c>
      <c r="I36" s="6">
        <v>0</v>
      </c>
      <c r="J36" s="7">
        <v>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D25"/>
  <sheetViews>
    <sheetView rightToLeft="1" workbookViewId="0" topLeftCell="A1">
      <selection pane="topLeft" activeCell="B13" sqref="B13"/>
    </sheetView>
  </sheetViews>
  <sheetFormatPr defaultColWidth="9.11428571428571" defaultRowHeight="13.5"/>
  <cols>
    <col min="1" max="1" width="47.7142857142857" customWidth="1"/>
    <col min="2" max="2" width="14.7142857142857" customWidth="1"/>
    <col min="3" max="4" width="23.7142857142857" customWidth="1"/>
  </cols>
  <sheetData>
    <row r="2" spans="1:1" ht="17.4">
      <c r="A2" s="1" t="s">
        <v>79</v>
      </c>
    </row>
    <row r="4" spans="1:1" ht="17.4">
      <c r="A4" s="1" t="s">
        <v>49</v>
      </c>
    </row>
    <row r="6" spans="1:1" ht="13.2">
      <c r="A6" s="2" t="s">
        <v>1</v>
      </c>
    </row>
    <row r="9" spans="1:4" ht="13.2">
      <c r="A9" s="3" t="s">
        <v>17</v>
      </c>
      <c r="B9" s="3" t="s">
        <v>18</v>
      </c>
      <c r="C9" s="3" t="s">
        <v>50</v>
      </c>
      <c r="D9" s="3" t="s">
        <v>51</v>
      </c>
    </row>
    <row r="10" spans="1:4" ht="13.2" thickBot="1">
      <c r="A10" s="4"/>
      <c r="B10" s="4"/>
      <c r="C10" s="4" t="s">
        <v>13</v>
      </c>
      <c r="D10" s="4" t="s">
        <v>13</v>
      </c>
    </row>
    <row r="13" spans="1:4" ht="13.2">
      <c r="A13" s="3" t="s">
        <v>2</v>
      </c>
      <c r="B13" s="3" t="s">
        <v>81</v>
      </c>
      <c r="C13" s="3"/>
      <c r="D13" s="3"/>
    </row>
    <row r="16" spans="1:4" ht="13.2">
      <c r="A16" s="2" t="s">
        <v>52</v>
      </c>
      <c r="B16" s="2"/>
      <c r="C16" s="2"/>
      <c r="D16" s="2"/>
    </row>
    <row r="17" spans="1:4" ht="13.2">
      <c r="A17" s="2" t="s">
        <v>53</v>
      </c>
      <c r="B17" s="2"/>
      <c r="C17" s="2"/>
      <c r="D17" s="2"/>
    </row>
    <row r="18" spans="1:4" ht="13.2">
      <c r="A18" s="2" t="s">
        <v>54</v>
      </c>
      <c r="B18" s="2"/>
      <c r="C18" s="2"/>
      <c r="D18" s="2"/>
    </row>
    <row r="19" spans="1:4" ht="13.2">
      <c r="A19" s="3" t="s">
        <v>78</v>
      </c>
      <c r="C19" s="6">
        <v>0</v>
      </c>
      <c r="D19" s="6">
        <v>0</v>
      </c>
    </row>
    <row r="20" spans="1:4" ht="13.8" thickBot="1">
      <c r="A20" s="5"/>
      <c r="B20" s="5"/>
      <c r="C20" s="5"/>
      <c r="D20" s="5"/>
    </row>
    <row r="21" spans="1:4" ht="13.8" thickTop="1">
      <c r="A21" s="3" t="s">
        <v>48</v>
      </c>
      <c r="C21" s="6">
        <v>0</v>
      </c>
      <c r="D21" s="6">
        <v>0</v>
      </c>
    </row>
    <row r="23" spans="1:4" ht="13.2">
      <c r="A23" s="3"/>
      <c r="B23" s="3"/>
      <c r="C23" s="3"/>
      <c r="D23" s="3"/>
    </row>
    <row r="24" spans="1:4" ht="13.2">
      <c r="A24" s="2"/>
      <c r="B24" s="2"/>
      <c r="C24" s="2"/>
      <c r="D24" s="2"/>
    </row>
    <row r="25" spans="1:1" ht="13.2">
      <c r="A25" s="2" t="s">
        <v>15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G26"/>
  <sheetViews>
    <sheetView rightToLeft="1" workbookViewId="0" topLeftCell="A1">
      <selection pane="topLeft" activeCell="B12" sqref="B12"/>
    </sheetView>
  </sheetViews>
  <sheetFormatPr defaultColWidth="9.11428571428571" defaultRowHeight="13.5"/>
  <cols>
    <col min="1" max="1" width="44.7142857142857" customWidth="1"/>
    <col min="2" max="2" width="14.7142857142857" customWidth="1"/>
    <col min="3" max="3" width="6.71428571428571" customWidth="1"/>
    <col min="4" max="4" width="11.7142857142857" customWidth="1"/>
    <col min="5" max="5" width="15.7142857142857" customWidth="1"/>
    <col min="6" max="6" width="22.7142857142857" customWidth="1"/>
    <col min="7" max="7" width="13.7142857142857" customWidth="1"/>
  </cols>
  <sheetData>
    <row r="2" spans="1:1" ht="17.4">
      <c r="A2" s="1" t="s">
        <v>79</v>
      </c>
    </row>
    <row r="4" spans="1:1" ht="17.4">
      <c r="A4" s="1" t="s">
        <v>55</v>
      </c>
    </row>
    <row r="6" spans="1:1" ht="13.2">
      <c r="A6" s="2" t="s">
        <v>1</v>
      </c>
    </row>
    <row r="9" spans="1:7" ht="13.2">
      <c r="A9" s="3" t="s">
        <v>17</v>
      </c>
      <c r="B9" s="3" t="s">
        <v>56</v>
      </c>
      <c r="C9" s="3" t="s">
        <v>19</v>
      </c>
      <c r="D9" s="3" t="s">
        <v>20</v>
      </c>
      <c r="E9" s="3" t="s">
        <v>21</v>
      </c>
      <c r="F9" s="3" t="s">
        <v>24</v>
      </c>
      <c r="G9" s="3" t="s">
        <v>57</v>
      </c>
    </row>
    <row r="10" spans="1:7" ht="13.2" thickBot="1">
      <c r="A10" s="4"/>
      <c r="B10" s="4"/>
      <c r="C10" s="4"/>
      <c r="D10" s="4"/>
      <c r="E10" s="4" t="s">
        <v>14</v>
      </c>
      <c r="F10" s="4" t="s">
        <v>14</v>
      </c>
      <c r="G10" s="4" t="s">
        <v>27</v>
      </c>
    </row>
    <row r="12" spans="1:3" ht="13.2">
      <c r="A12" s="3" t="s">
        <v>2</v>
      </c>
      <c r="B12" s="3" t="s">
        <v>81</v>
      </c>
      <c r="C12" s="3"/>
    </row>
    <row r="14" spans="1:7" ht="13.8" thickBot="1">
      <c r="A14" s="10"/>
      <c r="B14" s="10"/>
      <c r="C14" s="10"/>
      <c r="D14" s="10"/>
      <c r="E14" s="10"/>
      <c r="F14" s="10"/>
      <c r="G14" s="10"/>
    </row>
    <row r="15" spans="1:3" ht="13.2">
      <c r="A15" s="2" t="s">
        <v>58</v>
      </c>
      <c r="B15" s="2"/>
      <c r="C15" s="2"/>
    </row>
    <row r="16" spans="1:3" ht="13.2">
      <c r="A16" s="2" t="s">
        <v>35</v>
      </c>
      <c r="B16" s="2"/>
      <c r="C16" s="2"/>
    </row>
    <row r="17" spans="1:3" ht="13.2">
      <c r="A17" s="2" t="s">
        <v>31</v>
      </c>
      <c r="B17" s="2"/>
      <c r="C17" s="2"/>
    </row>
    <row r="18" spans="1:3" ht="13.2">
      <c r="A18" s="2" t="s">
        <v>59</v>
      </c>
      <c r="B18" s="2"/>
      <c r="C18" s="2"/>
    </row>
    <row r="19" spans="1:3" ht="13.2">
      <c r="A19" s="2" t="s">
        <v>60</v>
      </c>
      <c r="B19" s="2"/>
      <c r="C19" s="2"/>
    </row>
    <row r="20" spans="1:3" ht="13.2">
      <c r="A20" s="2" t="s">
        <v>61</v>
      </c>
      <c r="B20" s="2"/>
      <c r="C20" s="2"/>
    </row>
    <row r="21" spans="1:3" ht="13.2">
      <c r="A21" s="2" t="s">
        <v>44</v>
      </c>
      <c r="B21" s="2"/>
      <c r="C21" s="2"/>
    </row>
    <row r="22" spans="1:3" ht="13.2">
      <c r="A22" s="2" t="s">
        <v>46</v>
      </c>
      <c r="B22" s="2"/>
      <c r="C22" s="2"/>
    </row>
    <row r="23" spans="1:7" ht="13.8" thickBot="1">
      <c r="A23" s="5"/>
      <c r="B23" s="5"/>
      <c r="C23" s="5"/>
      <c r="D23" s="5"/>
      <c r="E23" s="5"/>
      <c r="F23" s="5"/>
      <c r="G23" s="5"/>
    </row>
    <row r="24" spans="1:7" ht="13.8" thickTop="1">
      <c r="A24" s="3" t="s">
        <v>48</v>
      </c>
      <c r="G24" s="6">
        <v>0</v>
      </c>
    </row>
    <row r="25" spans="1:3" ht="13.2">
      <c r="A25" s="2"/>
      <c r="B25" s="2"/>
      <c r="C25" s="2"/>
    </row>
    <row r="26" spans="1:1" ht="13.2">
      <c r="A26" s="2" t="s">
        <v>15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G24"/>
  <sheetViews>
    <sheetView rightToLeft="1" workbookViewId="0" topLeftCell="A1">
      <selection pane="topLeft" activeCell="B12" sqref="B12"/>
    </sheetView>
  </sheetViews>
  <sheetFormatPr defaultColWidth="9.11428571428571" defaultRowHeight="13.5"/>
  <cols>
    <col min="1" max="1" width="50.7142857142857" customWidth="1"/>
    <col min="2" max="2" width="14.7142857142857" customWidth="1"/>
    <col min="3" max="3" width="11.7142857142857" customWidth="1"/>
    <col min="4" max="4" width="22.7142857142857" customWidth="1"/>
    <col min="5" max="5" width="28.7142857142857" customWidth="1"/>
    <col min="6" max="6" width="13.7142857142857" customWidth="1"/>
    <col min="7" max="7" width="14.7142857142857" customWidth="1"/>
  </cols>
  <sheetData>
    <row r="2" spans="1:1" ht="17.4">
      <c r="A2" s="1" t="s">
        <v>79</v>
      </c>
    </row>
    <row r="4" spans="1:1" ht="17.4">
      <c r="A4" s="1" t="s">
        <v>62</v>
      </c>
    </row>
    <row r="6" spans="1:1" ht="13.2">
      <c r="A6" s="2" t="s">
        <v>1</v>
      </c>
    </row>
    <row r="9" spans="1:7" ht="13.2">
      <c r="A9" s="3"/>
      <c r="B9" s="3" t="s">
        <v>56</v>
      </c>
      <c r="C9" s="3" t="s">
        <v>18</v>
      </c>
      <c r="D9" s="3" t="s">
        <v>24</v>
      </c>
      <c r="E9" s="3" t="s">
        <v>63</v>
      </c>
      <c r="F9" s="3" t="s">
        <v>64</v>
      </c>
      <c r="G9" s="3" t="s">
        <v>65</v>
      </c>
    </row>
    <row r="10" spans="1:7" ht="13.2" thickBot="1">
      <c r="A10" s="4"/>
      <c r="B10" s="4"/>
      <c r="C10" s="4"/>
      <c r="D10" s="4" t="s">
        <v>14</v>
      </c>
      <c r="E10" s="4" t="s">
        <v>27</v>
      </c>
      <c r="F10" s="4"/>
      <c r="G10" s="4" t="s">
        <v>27</v>
      </c>
    </row>
    <row r="12" spans="1:7" ht="13.2">
      <c r="A12" s="3" t="s">
        <v>2</v>
      </c>
      <c r="B12" s="3" t="s">
        <v>81</v>
      </c>
      <c r="C12" s="3"/>
      <c r="D12" s="3"/>
      <c r="E12" s="3"/>
      <c r="F12" s="3"/>
      <c r="G12" s="3"/>
    </row>
    <row r="14" spans="1:7" ht="13.2">
      <c r="A14" s="2" t="s">
        <v>66</v>
      </c>
      <c r="B14" s="2"/>
      <c r="C14" s="2"/>
      <c r="D14" s="2"/>
      <c r="E14" s="2"/>
      <c r="F14" s="2"/>
      <c r="G14" s="2"/>
    </row>
    <row r="15" spans="1:7" ht="13.2">
      <c r="A15" s="2" t="s">
        <v>67</v>
      </c>
      <c r="B15" s="2"/>
      <c r="C15" s="2"/>
      <c r="D15" s="2"/>
      <c r="E15" s="2"/>
      <c r="F15" s="2"/>
      <c r="G15" s="2"/>
    </row>
    <row r="16" spans="1:7" ht="13.2">
      <c r="A16" s="2" t="s">
        <v>68</v>
      </c>
      <c r="B16" s="2"/>
      <c r="C16" s="2"/>
      <c r="D16" s="2"/>
      <c r="E16" s="2"/>
      <c r="F16" s="2"/>
      <c r="G16" s="2"/>
    </row>
    <row r="17" spans="1:7" ht="13.2">
      <c r="A17" s="2" t="s">
        <v>69</v>
      </c>
      <c r="B17" s="2"/>
      <c r="C17" s="2"/>
      <c r="D17" s="2"/>
      <c r="E17" s="2"/>
      <c r="F17" s="2"/>
      <c r="G17" s="2"/>
    </row>
    <row r="18" spans="1:7" ht="13.2">
      <c r="A18" s="2" t="s">
        <v>70</v>
      </c>
      <c r="B18" s="2"/>
      <c r="C18" s="2"/>
      <c r="D18" s="2"/>
      <c r="E18" s="2"/>
      <c r="F18" s="2"/>
      <c r="G18" s="2"/>
    </row>
    <row r="19" spans="1:7" ht="13.2">
      <c r="A19" s="2" t="s">
        <v>71</v>
      </c>
      <c r="B19" s="2"/>
      <c r="C19" s="2"/>
      <c r="D19" s="2"/>
      <c r="E19" s="2"/>
      <c r="F19" s="2"/>
      <c r="G19" s="2"/>
    </row>
    <row r="20" spans="1:7" ht="13.2" thickBot="1">
      <c r="A20" s="5"/>
      <c r="B20" s="5"/>
      <c r="C20" s="5"/>
      <c r="D20" s="5"/>
      <c r="E20" s="5"/>
      <c r="F20" s="5"/>
      <c r="G20" s="5"/>
    </row>
    <row r="21" spans="1:7" ht="13.2" thickTop="1">
      <c r="A21" s="3" t="s">
        <v>48</v>
      </c>
      <c r="G21" s="6">
        <v>0</v>
      </c>
    </row>
    <row r="24" spans="1:1" ht="13.2">
      <c r="A24" s="2" t="s">
        <v>15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F35"/>
  <sheetViews>
    <sheetView rightToLeft="1" tabSelected="1" workbookViewId="0" topLeftCell="A1">
      <selection pane="topLeft" activeCell="D14" sqref="D14"/>
    </sheetView>
  </sheetViews>
  <sheetFormatPr defaultColWidth="9.11428571428571" defaultRowHeight="13.5"/>
  <cols>
    <col min="1" max="1" width="24.5714285714286" customWidth="1"/>
    <col min="2" max="2" width="13.2857142857143" customWidth="1"/>
    <col min="3" max="3" width="9.42857142857143" customWidth="1"/>
    <col min="4" max="4" width="19" customWidth="1"/>
    <col min="5" max="5" width="18.7142857142857" customWidth="1"/>
    <col min="6" max="6" width="15.2857142857143" bestFit="1" customWidth="1"/>
  </cols>
  <sheetData>
    <row r="2" spans="1:1" ht="17.4">
      <c r="A2" s="1" t="s">
        <v>79</v>
      </c>
    </row>
    <row r="4" spans="1:1" ht="17.4">
      <c r="A4" s="1" t="s">
        <v>72</v>
      </c>
    </row>
    <row r="6" spans="1:1" ht="13.2">
      <c r="A6" s="2" t="s">
        <v>1</v>
      </c>
    </row>
    <row r="9" spans="1:6" ht="13.2">
      <c r="A9" s="3"/>
      <c r="B9" s="3" t="s">
        <v>73</v>
      </c>
      <c r="C9" s="3" t="s">
        <v>18</v>
      </c>
      <c r="D9" s="3" t="s">
        <v>17</v>
      </c>
      <c r="E9" s="3" t="s">
        <v>24</v>
      </c>
      <c r="F9" s="3" t="s">
        <v>74</v>
      </c>
    </row>
    <row r="10" spans="1:6" ht="13.8" thickBot="1">
      <c r="A10" s="4"/>
      <c r="B10" s="4"/>
      <c r="C10" s="4"/>
      <c r="D10" s="4"/>
      <c r="E10" s="4" t="s">
        <v>14</v>
      </c>
      <c r="F10" s="4" t="s">
        <v>27</v>
      </c>
    </row>
    <row r="11" ht="13.8" thickTop="1"/>
    <row r="12" spans="1:5" ht="13.2">
      <c r="A12" s="3" t="s">
        <v>2</v>
      </c>
      <c r="B12" s="3" t="s">
        <v>81</v>
      </c>
      <c r="C12" s="3"/>
      <c r="D12" s="3"/>
      <c r="E12" s="3"/>
    </row>
    <row r="14" spans="1:1" ht="13.2">
      <c r="A14" s="2" t="s">
        <v>75</v>
      </c>
    </row>
    <row r="15" spans="1:1" ht="13.2">
      <c r="A15" s="2" t="s">
        <v>76</v>
      </c>
    </row>
    <row r="16" spans="1:1" ht="13.2">
      <c r="A16" s="12" t="s">
        <v>80</v>
      </c>
    </row>
    <row r="17" spans="1:6" ht="13.2">
      <c r="A17" s="18" t="s">
        <v>92</v>
      </c>
      <c r="B17" s="14">
        <v>43445</v>
      </c>
      <c r="C17">
        <v>1139252</v>
      </c>
      <c r="D17" t="s">
        <v>82</v>
      </c>
      <c r="E17" s="15">
        <v>0.0016042780748663102</v>
      </c>
      <c r="F17" s="16">
        <v>301.33575000000002</v>
      </c>
    </row>
    <row r="18" spans="1:6" ht="13.2">
      <c r="A18" s="18" t="s">
        <v>93</v>
      </c>
      <c r="B18" s="14">
        <v>43360</v>
      </c>
      <c r="C18">
        <v>1139849</v>
      </c>
      <c r="D18" t="s">
        <v>83</v>
      </c>
      <c r="E18" s="15">
        <v>0.0035000000000000001</v>
      </c>
      <c r="F18" s="16">
        <v>365.75</v>
      </c>
    </row>
    <row r="19" spans="1:6" ht="13.2">
      <c r="A19" s="18" t="s">
        <v>94</v>
      </c>
      <c r="B19" s="14">
        <v>43445</v>
      </c>
      <c r="C19">
        <v>1143080</v>
      </c>
      <c r="D19" t="s">
        <v>84</v>
      </c>
      <c r="E19" s="15">
        <v>0.0014084507042253522</v>
      </c>
      <c r="F19" s="16">
        <v>273.02535</v>
      </c>
    </row>
    <row r="20" spans="1:6" ht="13.2">
      <c r="A20" s="18" t="s">
        <v>95</v>
      </c>
      <c r="B20" s="14">
        <v>43390</v>
      </c>
      <c r="C20">
        <v>1155357</v>
      </c>
      <c r="D20" t="s">
        <v>85</v>
      </c>
      <c r="E20" s="15">
        <v>0.0015698587127158557</v>
      </c>
      <c r="F20" s="16">
        <v>398</v>
      </c>
    </row>
    <row r="21" spans="1:6" ht="13.2">
      <c r="A21" s="18" t="s">
        <v>96</v>
      </c>
      <c r="B21" s="14">
        <v>43450</v>
      </c>
      <c r="C21">
        <v>1156041</v>
      </c>
      <c r="D21" t="s">
        <v>86</v>
      </c>
      <c r="E21" s="15">
        <v>0.00084127284581571923</v>
      </c>
      <c r="F21" s="16">
        <v>595.50</v>
      </c>
    </row>
    <row r="22" spans="1:6" ht="13.2">
      <c r="A22" s="18" t="s">
        <v>97</v>
      </c>
      <c r="B22" s="14">
        <v>43436</v>
      </c>
      <c r="C22">
        <v>1940659</v>
      </c>
      <c r="D22" t="s">
        <v>87</v>
      </c>
      <c r="E22" s="15">
        <v>0.0003496945418177222</v>
      </c>
      <c r="F22" s="16">
        <v>718.09199999999998</v>
      </c>
    </row>
    <row r="23" spans="1:6" ht="13.2">
      <c r="A23" s="18" t="s">
        <v>98</v>
      </c>
      <c r="B23" s="14">
        <v>43444</v>
      </c>
      <c r="C23">
        <v>4160156</v>
      </c>
      <c r="D23" t="s">
        <v>88</v>
      </c>
      <c r="E23" s="15">
        <v>0.0018181818181818182</v>
      </c>
      <c r="F23" s="16">
        <v>199.398</v>
      </c>
    </row>
    <row r="24" spans="1:6" ht="13.2">
      <c r="A24" s="18" t="s">
        <v>99</v>
      </c>
      <c r="B24" s="14">
        <v>43417</v>
      </c>
      <c r="C24">
        <v>6000285</v>
      </c>
      <c r="D24" t="s">
        <v>89</v>
      </c>
      <c r="E24" s="15">
        <v>0.0003631407315591084</v>
      </c>
      <c r="F24" s="16">
        <v>446.85</v>
      </c>
    </row>
    <row r="25" spans="1:6" ht="13.2">
      <c r="A25" s="18" t="s">
        <v>100</v>
      </c>
      <c r="B25" s="14">
        <v>43458</v>
      </c>
      <c r="C25">
        <v>7480155</v>
      </c>
      <c r="D25" t="s">
        <v>90</v>
      </c>
      <c r="E25" s="15">
        <v>0.00082356187060284177</v>
      </c>
      <c r="F25" s="16">
        <v>594.60</v>
      </c>
    </row>
    <row r="26" spans="1:6" ht="13.2">
      <c r="A26" s="18" t="s">
        <v>101</v>
      </c>
      <c r="B26" s="14">
        <v>43458</v>
      </c>
      <c r="C26">
        <v>7480163</v>
      </c>
      <c r="D26" t="s">
        <v>91</v>
      </c>
      <c r="E26" s="15">
        <v>0.0007768117148931851</v>
      </c>
      <c r="F26" s="16">
        <v>593.40</v>
      </c>
    </row>
    <row r="27" spans="1:5" ht="13.2">
      <c r="A27" s="2" t="s">
        <v>31</v>
      </c>
      <c r="B27" s="2"/>
      <c r="C27" s="2"/>
      <c r="D27" s="2"/>
      <c r="E27" s="2"/>
    </row>
    <row r="28" spans="1:5" ht="13.2">
      <c r="A28" s="2" t="s">
        <v>77</v>
      </c>
      <c r="B28" s="2"/>
      <c r="C28" s="2"/>
      <c r="D28" s="2"/>
      <c r="E28" s="2"/>
    </row>
    <row r="29" spans="1:5" ht="13.2">
      <c r="A29" s="2" t="s">
        <v>76</v>
      </c>
      <c r="B29" s="2"/>
      <c r="C29" s="2"/>
      <c r="D29" s="2"/>
      <c r="E29" s="2"/>
    </row>
    <row r="30" spans="1:5" ht="13.2">
      <c r="A30" s="2" t="s">
        <v>31</v>
      </c>
      <c r="B30" s="2"/>
      <c r="C30" s="2"/>
      <c r="D30" s="2"/>
      <c r="E30" s="2"/>
    </row>
    <row r="31" spans="1:6" ht="13.8" thickBot="1">
      <c r="A31" s="5"/>
      <c r="B31" s="5"/>
      <c r="C31" s="5"/>
      <c r="D31" s="5"/>
      <c r="E31" s="5"/>
      <c r="F31" s="5"/>
    </row>
    <row r="32" spans="1:6" ht="13.8" thickTop="1">
      <c r="A32" s="3" t="s">
        <v>48</v>
      </c>
      <c r="F32" s="6">
        <f>SUM(F17:F31)</f>
        <v>4485.9511000000002</v>
      </c>
    </row>
    <row r="35" spans="1:1" ht="13.2">
      <c r="A35" s="2" t="s">
        <v>15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3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B1522D42-2007-430E-915F-63589784C237}"/>
</file>

<file path=customXml/itemProps2.xml><?xml version="1.0" encoding="utf-8"?>
<ds:datastoreItem xmlns:ds="http://schemas.openxmlformats.org/officeDocument/2006/customXml" ds:itemID="{11168BE1-B89E-4EDE-A2AD-EF5560F5A3B6}"/>
</file>

<file path=customXml/itemProps3.xml><?xml version="1.0" encoding="utf-8"?>
<ds:datastoreItem xmlns:ds="http://schemas.openxmlformats.org/officeDocument/2006/customXml" ds:itemID="{3BE7A2E4-FD72-4344-ABB6-E88B3E35D213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צדדים קשורים לשנת 2018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