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שנת 2025\צדדים קשורים\קבצי עבודה\חזר מהנגשה\"/>
    </mc:Choice>
  </mc:AlternateContent>
  <xr:revisionPtr revIDLastSave="0" documentId="8_{95FDD4E9-9DB7-4D30-85BB-503526E3538D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נספח 1" sheetId="1" r:id="rId1"/>
    <sheet name="נספח 2" sheetId="2" r:id="rId2"/>
    <sheet name="נספח 3א" sheetId="3" r:id="rId3"/>
    <sheet name="נספח 3ב" sheetId="4" r:id="rId4"/>
    <sheet name="נספח 3ג" sheetId="5" r:id="rId5"/>
    <sheet name="נספח 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C18" i="1" l="1"/>
  <c r="B18" i="1"/>
  <c r="E18" i="1"/>
  <c r="D18" i="1"/>
</calcChain>
</file>

<file path=xl/sharedStrings.xml><?xml version="1.0" encoding="utf-8"?>
<sst xmlns="http://schemas.openxmlformats.org/spreadsheetml/2006/main" count="145" uniqueCount="81">
  <si>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</si>
  <si>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</si>
  <si>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</si>
  <si>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</si>
  <si>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</si>
  <si>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</si>
  <si>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</si>
  <si>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</si>
  <si>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</si>
  <si>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</si>
  <si>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</si>
  <si>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</si>
  <si>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</si>
  <si>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</si>
  <si>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</si>
  <si>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</si>
  <si>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</si>
  <si>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</si>
  <si>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</si>
  <si>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</si>
  <si>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</si>
  <si>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</si>
  <si>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</si>
  <si>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</si>
  <si>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</si>
  <si>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</si>
  <si>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</si>
  <si>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</si>
  <si>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</si>
  <si>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</si>
  <si>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</si>
  <si>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</si>
  <si>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</si>
  <si>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</si>
  <si>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</si>
  <si>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</si>
  <si>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</si>
  <si>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</si>
  <si>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</si>
  <si>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</si>
  <si>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</si>
  <si>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</si>
  <si>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ריט 1 אגח ה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</si>
  <si>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</si>
  <si>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</si>
  <si>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</si>
  <si>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</si>
  <si>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</si>
  <si>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ב. ניירות ערך לא סחירים</t>
  </si>
  <si>
    <t>(2) מניות וניירות ערך אחרים</t>
  </si>
  <si>
    <t>THE PHOENIX ANCHOR LP</t>
  </si>
  <si>
    <t>PHOENIX ANCHOR L.P. USD K</t>
  </si>
  <si>
    <t>א. ניירות ערך סחירים</t>
  </si>
  <si>
    <t>(1) אגרות חוב קונצרניות סחירות</t>
  </si>
  <si>
    <t>אקסלנס נשואה חיתום (1993) בע''מ</t>
  </si>
  <si>
    <t>סה''כ השקעה ב- THE PHOENIX ANCHOR LP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</si>
  <si>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</si>
  <si>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</si>
  <si>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</si>
  <si>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</si>
  <si>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קסם קרנות נאמנות בע''מ</t>
  </si>
  <si>
    <t>סה''כ רכישות</t>
  </si>
  <si>
    <t/>
  </si>
  <si>
    <t>קסם קרנות נאמנות בע"מ</t>
  </si>
  <si>
    <t>א. אגרות חוב קונצרניות סחירות</t>
  </si>
  <si>
    <t>קסם ETF ביטוח מניות והמירים</t>
  </si>
  <si>
    <t>קסם ETF ת"א 35</t>
  </si>
  <si>
    <t>קסם MSCI World ETF</t>
  </si>
  <si>
    <t>סה''כ היקף עסקאות לצורך רכישה או מכירה של ני''ע של כל הצדדים הקשורים</t>
  </si>
  <si>
    <t>S&amp;P מעלות</t>
  </si>
  <si>
    <t>ריט 1 בע"מ</t>
  </si>
  <si>
    <t>ilAA</t>
  </si>
  <si>
    <t>ריט 1 אגח ז</t>
  </si>
  <si>
    <t>א.עסקאות מחוץ לבורסה ועסקאות מתואמות בבורסה</t>
  </si>
  <si>
    <t>(4) מניות וניירות ערך אחרים</t>
  </si>
  <si>
    <t>26/11/2025</t>
  </si>
  <si>
    <t>סה''כ השקעה ב-ריט 1 בע"מ</t>
  </si>
  <si>
    <t>סיום מידע טבלה צד שמאל</t>
  </si>
  <si>
    <t xml:space="preserve">סיום מידע טבלה </t>
  </si>
  <si>
    <t>תחילת מידע טבלה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</si>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</sst>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#,##0.0"/>
    <numFmt numFmtId="166" formatCode="_ * #,##0.0_ ;_ * \-#,##0.0_ ;_ * &quot;-&quot;??_ ;_ @_ "/>
    <numFmt numFmtId="167" formatCode="0.0"/>
    <numFmt numFmtId="168" formatCode="0.00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2"/>
      <name val="Arial"/>
      <family val="2"/>
      <scheme val="minor"/>
    </font>
    <font>
      <sz val="11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0" fontId="0" fillId="0" borderId="0" xfId="2" applyNumberFormat="1" applyFont="1"/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0" fillId="0" borderId="0" xfId="1" applyNumberFormat="1" applyFont="1"/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right" indent="2"/>
    </xf>
    <xf numFmtId="0" fontId="3" fillId="0" borderId="0" xfId="0" applyFont="1" applyAlignment="1">
      <alignment horizontal="right" indent="3"/>
    </xf>
    <xf numFmtId="0" fontId="0" fillId="0" borderId="0" xfId="0" applyAlignment="1">
      <alignment horizontal="right" indent="5"/>
    </xf>
    <xf numFmtId="0" fontId="2" fillId="0" borderId="0" xfId="0" applyFont="1"/>
    <xf numFmtId="3" fontId="0" fillId="0" borderId="0" xfId="0" applyNumberFormat="1"/>
    <xf numFmtId="3" fontId="3" fillId="0" borderId="0" xfId="0" applyNumberFormat="1" applyFont="1" applyAlignment="1">
      <alignment horizontal="center"/>
    </xf>
    <xf numFmtId="3" fontId="0" fillId="0" borderId="0" xfId="1" applyNumberFormat="1" applyFont="1"/>
    <xf numFmtId="3" fontId="3" fillId="0" borderId="0" xfId="1" applyNumberFormat="1" applyFont="1"/>
    <xf numFmtId="0" fontId="3" fillId="0" borderId="0" xfId="0" applyFont="1" applyAlignment="1">
      <alignment horizontal="right" indent="3" readingOrder="2"/>
    </xf>
    <xf numFmtId="164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10" fontId="3" fillId="0" borderId="0" xfId="2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4" fontId="6" fillId="0" borderId="0" xfId="0" applyNumberFormat="1" applyFont="1"/>
    <xf numFmtId="10" fontId="0" fillId="0" borderId="0" xfId="0" applyNumberFormat="1"/>
    <xf numFmtId="10" fontId="4" fillId="0" borderId="0" xfId="2" applyNumberFormat="1" applyFont="1" applyAlignment="1">
      <alignment horizontal="right"/>
    </xf>
    <xf numFmtId="10" fontId="0" fillId="0" borderId="1" xfId="0" applyNumberFormat="1" applyBorder="1"/>
    <xf numFmtId="10" fontId="0" fillId="0" borderId="3" xfId="0" applyNumberFormat="1" applyBorder="1"/>
    <xf numFmtId="4" fontId="2" fillId="0" borderId="0" xfId="0" applyNumberFormat="1" applyFont="1"/>
    <xf numFmtId="3" fontId="3" fillId="0" borderId="0" xfId="1" applyNumberFormat="1" applyFont="1" applyBorder="1"/>
    <xf numFmtId="3" fontId="2" fillId="0" borderId="2" xfId="0" applyNumberFormat="1" applyFont="1" applyBorder="1"/>
    <xf numFmtId="0" fontId="3" fillId="0" borderId="1" xfId="0" applyFont="1" applyBorder="1" applyAlignment="1">
      <alignment horizontal="right"/>
    </xf>
    <xf numFmtId="166" fontId="0" fillId="0" borderId="0" xfId="1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3" fontId="7" fillId="0" borderId="0" xfId="0" applyNumberFormat="1" applyFont="1"/>
    <xf numFmtId="3" fontId="0" fillId="0" borderId="4" xfId="0" applyNumberFormat="1" applyBorder="1"/>
    <xf numFmtId="0" fontId="8" fillId="0" borderId="0" xfId="0" applyFont="1"/>
    <xf numFmtId="164" fontId="9" fillId="0" borderId="0" xfId="0" applyNumberFormat="1" applyFont="1" applyAlignment="1">
      <alignment horizontal="right"/>
    </xf>
    <xf numFmtId="0" fontId="10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167" fontId="0" fillId="0" borderId="0" xfId="0" applyNumberFormat="1" applyAlignment="1">
      <alignment horizontal="right"/>
    </xf>
    <xf numFmtId="3" fontId="4" fillId="0" borderId="0" xfId="0" applyNumberFormat="1" applyFont="1"/>
    <xf numFmtId="10" fontId="4" fillId="0" borderId="0" xfId="2" applyNumberFormat="1" applyFont="1"/>
    <xf numFmtId="3" fontId="11" fillId="0" borderId="0" xfId="0" applyNumberFormat="1" applyFont="1"/>
    <xf numFmtId="168" fontId="0" fillId="0" borderId="0" xfId="2" applyNumberFormat="1" applyFont="1" applyAlignment="1">
      <alignment horizontal="right"/>
    </xf>
    <xf numFmtId="0" fontId="4" fillId="0" borderId="0" xfId="0" applyFont="1" applyAlignment="1">
      <alignment horizontal="right" indent="2"/>
    </xf>
    <xf numFmtId="0" fontId="12" fillId="0" borderId="0" xfId="0" applyFont="1" applyAlignment="1">
      <alignment horizontal="center"/>
    </xf>
    <xf numFmtId="10" fontId="12" fillId="0" borderId="0" xfId="2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3" fontId="4" fillId="0" borderId="0" xfId="1" applyNumberFormat="1" applyFont="1" applyBorder="1"/>
    <xf numFmtId="43" fontId="12" fillId="0" borderId="0" xfId="1" applyFont="1" applyAlignment="1">
      <alignment horizontal="center" vertical="center"/>
    </xf>
    <xf numFmtId="43" fontId="3" fillId="0" borderId="0" xfId="0" applyNumberFormat="1" applyFont="1" applyAlignment="1">
      <alignment horizontal="center"/>
    </xf>
    <xf numFmtId="4" fontId="4" fillId="0" borderId="0" xfId="1" applyNumberFormat="1" applyFont="1" applyBorder="1"/>
    <xf numFmtId="4" fontId="0" fillId="0" borderId="0" xfId="1" applyNumberFormat="1" applyFont="1"/>
    <xf numFmtId="4" fontId="4" fillId="0" borderId="0" xfId="0" applyNumberFormat="1" applyFont="1"/>
    <xf numFmtId="0" fontId="3" fillId="0" borderId="0" xfId="0" applyFont="1" applyAlignment="1">
      <alignment horizontal="right"/>
    </xf>
    <xf numFmtId="0" fontId="0" fillId="0" borderId="4" xfId="0" applyBorder="1"/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right" indent="4"/>
    </xf>
    <xf numFmtId="10" fontId="0" fillId="0" borderId="4" xfId="2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right" indent="2" readingOrder="2"/>
    </xf>
    <xf numFmtId="164" fontId="12" fillId="0" borderId="0" xfId="1" applyNumberFormat="1" applyFon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10" fontId="4" fillId="0" borderId="2" xfId="2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1143000</xdr:colOff>
      <xdr:row>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536850" y="0"/>
          <a:ext cx="107632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1 - צדדים קשורים - יתרות ועיסקאות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31/12/2025
הפניקס 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סנונית</a:t>
          </a:r>
          <a:endParaRPr lang="he-IL">
            <a:effectLst/>
          </a:endParaRP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365760</xdr:colOff>
      <xdr:row>1</xdr:row>
      <xdr:rowOff>174364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577ED05E-F4FF-406F-B6B7-25C7215F4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383680" y="0"/>
          <a:ext cx="365760" cy="349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25400</xdr:rowOff>
    </xdr:from>
    <xdr:to>
      <xdr:col>9</xdr:col>
      <xdr:colOff>571500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403500" y="25400"/>
          <a:ext cx="96837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2 - צדדים קשורים - יתרות השקעה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31/12/2025
הפניקס 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47625</xdr:rowOff>
    </xdr:from>
    <xdr:to>
      <xdr:col>2</xdr:col>
      <xdr:colOff>914401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33489724" y="47625"/>
          <a:ext cx="6296025" cy="990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3א - צדדים קשורים - עיסקאות שבוצעו בבורסה, בבורסת חוץ או שוק מוסדר לרכישת או מכירת ני"ע סחירים</a:t>
          </a:r>
          <a:r>
            <a:rPr lang="he-IL" sz="1100" b="1" i="0" baseline="0">
              <a:latin typeface="Ariel"/>
            </a:rPr>
            <a:t> של צד קשור לשנה המסתיימת ביום 31/12/2025</a:t>
          </a:r>
          <a:r>
            <a:rPr lang="he-IL" sz="1100" b="1" i="0">
              <a:latin typeface="Ariel"/>
            </a:rPr>
            <a:t>
הפניקס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endParaRPr lang="he-IL">
            <a:solidFill>
              <a:srgbClr val="FF0000"/>
            </a:solidFill>
            <a:effectLst/>
          </a:endParaRP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104775</xdr:rowOff>
    </xdr:from>
    <xdr:to>
      <xdr:col>6</xdr:col>
      <xdr:colOff>971550</xdr:colOff>
      <xdr:row>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231375175" y="104775"/>
          <a:ext cx="7458075" cy="74295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3ב - צדדים קשורים - עסקאות שבוצעו לצורך השקעה בנכסים לא סחירים של צד קשור </a:t>
          </a:r>
          <a:r>
            <a:rPr lang="he-IL" sz="1100" b="1" i="0" baseline="0">
              <a:latin typeface="Ariel"/>
            </a:rPr>
            <a:t>לשנה המסתיימת ביום 31/12/2025</a:t>
          </a:r>
          <a:r>
            <a:rPr lang="he-IL" sz="1100" b="1" i="0">
              <a:latin typeface="Ariel"/>
            </a:rPr>
            <a:t>
הפניקס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6</xdr:col>
      <xdr:colOff>638175</xdr:colOff>
      <xdr:row>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1231394225" y="19050"/>
          <a:ext cx="6343650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3ג - צדדים קשורים - עסקאות מחוץ</a:t>
          </a:r>
          <a:r>
            <a:rPr lang="he-IL" sz="1100" b="1" i="0" baseline="0">
              <a:latin typeface="Ariel"/>
            </a:rPr>
            <a:t> לבורסה, עסקאות מתואמות בבורסה ועסקאות בנכסים אחרים לא סחירים שבוצעו מול צדדים קשורים לשנה המסתיימת ביום 31/12/2025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95250</xdr:rowOff>
    </xdr:from>
    <xdr:to>
      <xdr:col>4</xdr:col>
      <xdr:colOff>904875</xdr:colOff>
      <xdr:row>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232842025" y="95250"/>
          <a:ext cx="6010275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נספח 4 - רכישת נייר ערך בהנפקות באמצעות חתם קשור או באמצעות צד קשור ששיווק את ההנפקה </a:t>
          </a:r>
          <a:r>
            <a:rPr lang="he-IL" sz="1100" b="1" i="0" baseline="0">
              <a:latin typeface="Ariel"/>
            </a:rPr>
            <a:t>לשנה המסתיימת ביום 31/12/2025</a:t>
          </a:r>
          <a:r>
            <a:rPr lang="he-IL" sz="1100" b="1" i="0">
              <a:latin typeface="Ariel"/>
            </a:rPr>
            <a:t>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הפניקס  פנסיה וגמל בע"מ</a:t>
          </a:r>
          <a:r>
            <a:rPr lang="he-IL" sz="1100" b="1" i="0">
              <a:latin typeface="Ariel"/>
            </a:rPr>
            <a:t>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19"/>
  <sheetViews>
    <sheetView rightToLeft="1" tabSelected="1" workbookViewId="0">
      <selection activeCell="L8" sqref="L8"/>
    </sheetView>
  </sheetViews>
  <sheetFormatPr defaultRowHeight="14.25" x14ac:dyDescent="0.2"/>
  <cols>
    <col min="1" max="1" width="40.625" customWidth="1"/>
    <col min="2" max="10" width="10.875" customWidth="1"/>
  </cols>
  <sheetData>
    <row r="6" spans="1:11" x14ac:dyDescent="0.2">
      <c r="A6" s="74" t="s">
        <v>79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77</v>
      </c>
    </row>
    <row r="7" spans="1:11" ht="15" x14ac:dyDescent="0.25">
      <c r="A7" s="76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4"/>
    </row>
    <row r="8" spans="1:11" ht="78" customHeight="1" x14ac:dyDescent="0.25">
      <c r="A8" s="2" t="s">
        <v>1</v>
      </c>
      <c r="B8" s="75" t="s">
        <v>45</v>
      </c>
      <c r="C8" s="75" t="s">
        <v>2</v>
      </c>
      <c r="D8" s="77" t="s">
        <v>47</v>
      </c>
      <c r="E8" s="76"/>
      <c r="F8" s="77" t="s">
        <v>3</v>
      </c>
      <c r="G8" s="76"/>
      <c r="H8" s="77" t="s">
        <v>4</v>
      </c>
      <c r="I8" s="76"/>
      <c r="J8" s="75" t="s">
        <v>5</v>
      </c>
      <c r="K8" s="74"/>
    </row>
    <row r="9" spans="1:11" ht="30" customHeight="1" x14ac:dyDescent="0.25">
      <c r="A9" s="2"/>
      <c r="B9" s="75"/>
      <c r="C9" s="75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75"/>
      <c r="K9" s="74"/>
    </row>
    <row r="10" spans="1:11" ht="15" x14ac:dyDescent="0.25">
      <c r="A10" s="1"/>
      <c r="B10" s="1" t="s">
        <v>46</v>
      </c>
      <c r="C10" s="1" t="s">
        <v>7</v>
      </c>
      <c r="D10" s="76" t="s">
        <v>46</v>
      </c>
      <c r="E10" s="76"/>
      <c r="F10" s="76" t="s">
        <v>46</v>
      </c>
      <c r="G10" s="76"/>
      <c r="H10" s="76" t="s">
        <v>46</v>
      </c>
      <c r="I10" s="76"/>
      <c r="J10" s="1" t="s">
        <v>46</v>
      </c>
      <c r="K10" s="74"/>
    </row>
    <row r="11" spans="1:11" ht="15" x14ac:dyDescent="0.25">
      <c r="A11" s="1"/>
      <c r="B11" s="76" t="s">
        <v>10</v>
      </c>
      <c r="C11" s="76"/>
      <c r="D11" s="76" t="s">
        <v>11</v>
      </c>
      <c r="E11" s="76"/>
      <c r="F11" s="76" t="s">
        <v>12</v>
      </c>
      <c r="G11" s="76"/>
      <c r="H11" s="76" t="s">
        <v>13</v>
      </c>
      <c r="I11" s="76"/>
      <c r="J11" s="1" t="s">
        <v>14</v>
      </c>
      <c r="K11" s="74"/>
    </row>
    <row r="12" spans="1:11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74"/>
    </row>
    <row r="13" spans="1:11" ht="15.75" x14ac:dyDescent="0.25">
      <c r="A13" s="63" t="s">
        <v>50</v>
      </c>
      <c r="B13" s="44">
        <v>0.25146655400000001</v>
      </c>
      <c r="C13" s="28">
        <v>3.168587877979788E-6</v>
      </c>
      <c r="D13" s="22"/>
      <c r="E13" s="23"/>
      <c r="F13" s="33"/>
      <c r="G13" s="33"/>
      <c r="H13" s="15"/>
      <c r="I13" s="15"/>
      <c r="J13" s="15"/>
      <c r="K13" s="74"/>
    </row>
    <row r="14" spans="1:11" ht="15" x14ac:dyDescent="0.25">
      <c r="A14" s="3" t="s">
        <v>63</v>
      </c>
      <c r="B14" s="44">
        <v>0.25710999999999995</v>
      </c>
      <c r="C14" s="28">
        <v>3.2396977504506751E-6</v>
      </c>
      <c r="D14" s="17">
        <v>0</v>
      </c>
      <c r="E14" s="17">
        <v>-985</v>
      </c>
      <c r="F14" s="33"/>
      <c r="G14" s="33"/>
      <c r="H14" s="15"/>
      <c r="I14" s="15"/>
      <c r="J14" s="15"/>
      <c r="K14" s="74"/>
    </row>
    <row r="15" spans="1:11" ht="15" x14ac:dyDescent="0.25">
      <c r="A15" s="3" t="s">
        <v>70</v>
      </c>
      <c r="B15" s="44">
        <v>134.00377220999997</v>
      </c>
      <c r="C15" s="28">
        <v>1.6885057733290873E-3</v>
      </c>
      <c r="D15" s="17">
        <v>35</v>
      </c>
      <c r="E15" s="17">
        <v>-2</v>
      </c>
      <c r="F15" s="17"/>
      <c r="G15" s="15"/>
      <c r="H15" s="61">
        <v>0.47</v>
      </c>
      <c r="I15" s="17"/>
      <c r="J15" s="17"/>
      <c r="K15" s="74"/>
    </row>
    <row r="16" spans="1:11" ht="15.75" x14ac:dyDescent="0.25">
      <c r="A16" s="40" t="s">
        <v>54</v>
      </c>
      <c r="B16" s="15"/>
      <c r="C16" s="28"/>
      <c r="D16" s="17"/>
      <c r="E16" s="17"/>
      <c r="F16" s="17"/>
      <c r="G16" s="15"/>
      <c r="H16" s="17"/>
      <c r="I16" s="17"/>
      <c r="J16" s="41">
        <v>0</v>
      </c>
      <c r="K16" s="74"/>
    </row>
    <row r="17" spans="1:11" ht="15" x14ac:dyDescent="0.25">
      <c r="A17" s="3"/>
      <c r="J17" s="42"/>
      <c r="K17" s="74"/>
    </row>
    <row r="18" spans="1:11" ht="18" x14ac:dyDescent="0.25">
      <c r="A18" s="27" t="s">
        <v>16</v>
      </c>
      <c r="B18" s="46">
        <f>SUM(B13:B16)</f>
        <v>134.51234876399997</v>
      </c>
      <c r="C18" s="47">
        <f>SUM(C13:C15)</f>
        <v>1.6949140589575177E-3</v>
      </c>
      <c r="D18" s="46">
        <f>SUM(D13:D15)</f>
        <v>35</v>
      </c>
      <c r="E18" s="46">
        <f>SUM(E13:E15)</f>
        <v>-987</v>
      </c>
      <c r="F18" s="46">
        <v>0</v>
      </c>
      <c r="G18" s="46">
        <v>0</v>
      </c>
      <c r="H18" s="62">
        <f>H15</f>
        <v>0.47</v>
      </c>
      <c r="I18" s="46">
        <v>0</v>
      </c>
      <c r="J18" s="48">
        <v>0</v>
      </c>
      <c r="K18" s="74"/>
    </row>
    <row r="19" spans="1:11" x14ac:dyDescent="0.2">
      <c r="A19" s="74" t="s">
        <v>78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</row>
  </sheetData>
  <mergeCells count="17">
    <mergeCell ref="A7:J7"/>
    <mergeCell ref="A6:J6"/>
    <mergeCell ref="A19:J19"/>
    <mergeCell ref="K6:K19"/>
    <mergeCell ref="J8:J9"/>
    <mergeCell ref="C8:C9"/>
    <mergeCell ref="B8:B9"/>
    <mergeCell ref="B11:C11"/>
    <mergeCell ref="D11:E11"/>
    <mergeCell ref="F11:G11"/>
    <mergeCell ref="H11:I11"/>
    <mergeCell ref="D8:E8"/>
    <mergeCell ref="F8:G8"/>
    <mergeCell ref="H8:I8"/>
    <mergeCell ref="D10:E10"/>
    <mergeCell ref="F10:G10"/>
    <mergeCell ref="H10:I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K43"/>
  <sheetViews>
    <sheetView rightToLeft="1" workbookViewId="0">
      <selection activeCell="A6" sqref="A6:J6"/>
    </sheetView>
  </sheetViews>
  <sheetFormatPr defaultRowHeight="14.25" x14ac:dyDescent="0.2"/>
  <cols>
    <col min="1" max="1" width="43.875" bestFit="1" customWidth="1"/>
    <col min="2" max="2" width="9.875" bestFit="1" customWidth="1"/>
    <col min="9" max="9" width="13.5" bestFit="1" customWidth="1"/>
  </cols>
  <sheetData>
    <row r="6" spans="1:11" x14ac:dyDescent="0.2">
      <c r="A6" s="74" t="s">
        <v>79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77</v>
      </c>
    </row>
    <row r="7" spans="1:11" ht="60" x14ac:dyDescent="0.25">
      <c r="A7" s="1"/>
      <c r="B7" s="2" t="s">
        <v>17</v>
      </c>
      <c r="C7" s="1" t="s">
        <v>18</v>
      </c>
      <c r="D7" s="2" t="s">
        <v>19</v>
      </c>
      <c r="E7" s="2" t="s">
        <v>20</v>
      </c>
      <c r="F7" s="1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74"/>
    </row>
    <row r="8" spans="1:11" ht="15" x14ac:dyDescent="0.25">
      <c r="A8" s="1"/>
      <c r="B8" s="1"/>
      <c r="C8" s="1"/>
      <c r="D8" s="1"/>
      <c r="E8" s="1" t="s">
        <v>7</v>
      </c>
      <c r="F8" s="1" t="s">
        <v>26</v>
      </c>
      <c r="G8" s="1" t="s">
        <v>7</v>
      </c>
      <c r="H8" s="1" t="s">
        <v>7</v>
      </c>
      <c r="I8" s="1" t="s">
        <v>6</v>
      </c>
      <c r="J8" s="1" t="s">
        <v>7</v>
      </c>
      <c r="K8" s="74"/>
    </row>
    <row r="9" spans="1:11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74"/>
    </row>
    <row r="10" spans="1:11" ht="15" x14ac:dyDescent="0.25">
      <c r="A10" s="14" t="s">
        <v>50</v>
      </c>
      <c r="B10" s="5"/>
      <c r="C10" s="5"/>
      <c r="D10" s="5"/>
      <c r="E10" s="5"/>
      <c r="F10" s="5"/>
      <c r="G10" s="5"/>
      <c r="H10" s="5"/>
      <c r="I10" s="21"/>
      <c r="J10" s="5"/>
      <c r="K10" s="74"/>
    </row>
    <row r="11" spans="1:11" ht="15" x14ac:dyDescent="0.25">
      <c r="A11" s="11" t="s">
        <v>48</v>
      </c>
      <c r="B11" s="5"/>
      <c r="C11" s="5"/>
      <c r="D11" s="5"/>
      <c r="E11" s="5"/>
      <c r="F11" s="5"/>
      <c r="G11" s="5"/>
      <c r="H11" s="5"/>
      <c r="I11" s="21"/>
      <c r="J11" s="5"/>
      <c r="K11" s="74"/>
    </row>
    <row r="12" spans="1:11" ht="15" x14ac:dyDescent="0.25">
      <c r="A12" s="19" t="s">
        <v>49</v>
      </c>
      <c r="B12" s="5"/>
      <c r="C12" s="5"/>
      <c r="D12" s="5"/>
      <c r="E12" s="5"/>
      <c r="F12" s="5"/>
      <c r="G12" s="5"/>
      <c r="H12" s="5"/>
      <c r="I12" s="21"/>
      <c r="J12" s="5"/>
      <c r="K12" s="74"/>
    </row>
    <row r="13" spans="1:11" x14ac:dyDescent="0.2">
      <c r="A13" s="43" t="s">
        <v>51</v>
      </c>
      <c r="B13" s="5">
        <v>76176445</v>
      </c>
      <c r="C13" s="5"/>
      <c r="D13" s="5"/>
      <c r="E13" s="5"/>
      <c r="F13" s="5"/>
      <c r="G13" s="5"/>
      <c r="H13" s="6">
        <v>2.7049581839904428E-10</v>
      </c>
      <c r="I13" s="36">
        <v>0.25146655400000001</v>
      </c>
      <c r="J13" s="6">
        <v>3.168587877979788E-6</v>
      </c>
      <c r="K13" s="74"/>
    </row>
    <row r="14" spans="1:11" ht="15.75" x14ac:dyDescent="0.25">
      <c r="A14" s="5"/>
      <c r="B14" s="5"/>
      <c r="C14" s="5"/>
      <c r="D14" s="5"/>
      <c r="E14" s="5"/>
      <c r="F14" s="5"/>
      <c r="G14" s="5"/>
      <c r="H14" s="5"/>
      <c r="I14" s="22"/>
      <c r="J14" s="29"/>
      <c r="K14" s="74"/>
    </row>
    <row r="15" spans="1:11" ht="15.75" x14ac:dyDescent="0.25">
      <c r="A15" s="12" t="s">
        <v>29</v>
      </c>
      <c r="B15" s="5"/>
      <c r="C15" s="5"/>
      <c r="D15" s="5"/>
      <c r="E15" s="4"/>
      <c r="F15" s="5"/>
      <c r="G15" s="5"/>
      <c r="H15" s="5"/>
      <c r="I15" s="37">
        <v>0.255079216</v>
      </c>
      <c r="J15" s="29">
        <v>3.168587877979788E-6</v>
      </c>
      <c r="K15" s="74"/>
    </row>
    <row r="16" spans="1:11" ht="15.75" x14ac:dyDescent="0.25">
      <c r="A16" s="12"/>
      <c r="B16" s="5"/>
      <c r="C16" s="5"/>
      <c r="D16" s="5"/>
      <c r="E16" s="4"/>
      <c r="F16" s="5"/>
      <c r="G16" s="5"/>
      <c r="H16" s="5"/>
      <c r="I16" s="22"/>
      <c r="J16" s="29"/>
      <c r="K16" s="74"/>
    </row>
    <row r="17" spans="1:11" ht="15.75" x14ac:dyDescent="0.25">
      <c r="A17" s="14" t="s">
        <v>55</v>
      </c>
      <c r="B17" s="5"/>
      <c r="C17" s="5"/>
      <c r="D17" s="5"/>
      <c r="E17" s="4"/>
      <c r="F17" s="5"/>
      <c r="G17" s="5"/>
      <c r="H17" s="5"/>
      <c r="I17" s="72">
        <v>0.255079216</v>
      </c>
      <c r="J17" s="73">
        <v>3.168587877979788E-6</v>
      </c>
      <c r="K17" s="74"/>
    </row>
    <row r="18" spans="1:11" ht="15.75" x14ac:dyDescent="0.25">
      <c r="A18" s="14" t="s">
        <v>63</v>
      </c>
      <c r="B18" s="5"/>
      <c r="C18" s="5"/>
      <c r="D18" s="5"/>
      <c r="E18" s="6"/>
      <c r="F18" s="5"/>
      <c r="G18" s="6"/>
      <c r="H18" s="6"/>
      <c r="I18" s="22"/>
      <c r="J18" s="23"/>
      <c r="K18" s="74"/>
    </row>
    <row r="19" spans="1:11" ht="15.75" x14ac:dyDescent="0.25">
      <c r="A19" s="11" t="s">
        <v>52</v>
      </c>
      <c r="B19" s="5"/>
      <c r="C19" s="5"/>
      <c r="D19" s="5"/>
      <c r="E19" s="6"/>
      <c r="F19" s="5"/>
      <c r="G19" s="6"/>
      <c r="H19" s="6"/>
      <c r="I19" s="22"/>
      <c r="J19" s="23"/>
      <c r="K19" s="74"/>
    </row>
    <row r="20" spans="1:11" ht="15" x14ac:dyDescent="0.25">
      <c r="A20" s="19" t="s">
        <v>49</v>
      </c>
      <c r="B20" s="5"/>
      <c r="C20" s="5"/>
      <c r="D20" s="5"/>
      <c r="E20" s="6"/>
      <c r="F20" s="5"/>
      <c r="G20" s="6"/>
      <c r="H20" s="6"/>
      <c r="I20" s="20"/>
      <c r="J20" s="6"/>
      <c r="K20" s="74"/>
    </row>
    <row r="21" spans="1:11" x14ac:dyDescent="0.2">
      <c r="A21" s="13" t="s">
        <v>66</v>
      </c>
      <c r="B21" s="5">
        <v>1146570</v>
      </c>
      <c r="C21" s="5"/>
      <c r="D21" s="5" t="s">
        <v>62</v>
      </c>
      <c r="E21" s="6"/>
      <c r="F21" s="5"/>
      <c r="G21" s="6"/>
      <c r="H21" s="49">
        <v>4.5245945891047181E-8</v>
      </c>
      <c r="I21" s="36">
        <v>0.16688999999999998</v>
      </c>
      <c r="J21" s="6">
        <v>2.1028865371736345E-6</v>
      </c>
      <c r="K21" s="74"/>
    </row>
    <row r="22" spans="1:11" x14ac:dyDescent="0.2">
      <c r="A22" s="13" t="s">
        <v>67</v>
      </c>
      <c r="B22" s="5">
        <v>1145804</v>
      </c>
      <c r="C22" s="5"/>
      <c r="D22" s="5" t="s">
        <v>62</v>
      </c>
      <c r="E22" s="6"/>
      <c r="F22" s="5"/>
      <c r="G22" s="6"/>
      <c r="H22" s="49">
        <v>1.6409134418159443E-6</v>
      </c>
      <c r="I22" s="36">
        <v>9.0219999999999995E-2</v>
      </c>
      <c r="J22" s="6">
        <v>1.1368112132770405E-6</v>
      </c>
      <c r="K22" s="74"/>
    </row>
    <row r="23" spans="1:11" x14ac:dyDescent="0.2">
      <c r="A23" s="5"/>
      <c r="B23" s="5"/>
      <c r="C23" s="5"/>
      <c r="D23" s="5"/>
      <c r="E23" s="6"/>
      <c r="F23" s="5"/>
      <c r="G23" s="6"/>
      <c r="H23" s="6"/>
      <c r="I23" s="20"/>
      <c r="J23" s="6"/>
      <c r="K23" s="74"/>
    </row>
    <row r="24" spans="1:11" ht="15.75" x14ac:dyDescent="0.25">
      <c r="A24" s="12" t="s">
        <v>28</v>
      </c>
      <c r="B24" s="5"/>
      <c r="C24" s="5"/>
      <c r="D24" s="5"/>
      <c r="E24" s="6"/>
      <c r="F24" s="5"/>
      <c r="G24" s="6"/>
      <c r="H24" s="6"/>
      <c r="I24" s="37">
        <v>0.25710999999999995</v>
      </c>
      <c r="J24" s="29">
        <v>3.2396977504506751E-6</v>
      </c>
      <c r="K24" s="74"/>
    </row>
    <row r="25" spans="1:11" ht="15" x14ac:dyDescent="0.25">
      <c r="A25" s="12"/>
      <c r="B25" s="5"/>
      <c r="C25" s="5"/>
      <c r="D25" s="5"/>
      <c r="E25" s="6"/>
      <c r="F25" s="5"/>
      <c r="G25" s="6"/>
      <c r="H25" s="6"/>
      <c r="I25" s="20"/>
      <c r="J25" s="6"/>
      <c r="K25" s="74"/>
    </row>
    <row r="26" spans="1:11" ht="15.75" x14ac:dyDescent="0.25">
      <c r="A26" s="14" t="s">
        <v>57</v>
      </c>
      <c r="B26" s="5"/>
      <c r="C26" s="5"/>
      <c r="D26" s="5"/>
      <c r="E26" s="6"/>
      <c r="F26" s="5"/>
      <c r="G26" s="6"/>
      <c r="H26" s="6"/>
      <c r="I26" s="72">
        <v>0.25710999999999995</v>
      </c>
      <c r="J26" s="73">
        <v>3.2396977504506751E-6</v>
      </c>
      <c r="K26" s="74"/>
    </row>
    <row r="27" spans="1:11" ht="15.75" x14ac:dyDescent="0.25">
      <c r="A27" s="14" t="s">
        <v>15</v>
      </c>
      <c r="B27" s="5"/>
      <c r="C27" s="5"/>
      <c r="D27" s="5"/>
      <c r="E27" s="5"/>
      <c r="F27" s="5"/>
      <c r="G27" s="5"/>
      <c r="H27" s="5"/>
      <c r="I27" s="22"/>
      <c r="J27" s="8"/>
      <c r="K27" s="74"/>
    </row>
    <row r="28" spans="1:11" ht="15.75" x14ac:dyDescent="0.25">
      <c r="A28" s="11" t="s">
        <v>52</v>
      </c>
      <c r="B28" s="5"/>
      <c r="C28" s="5"/>
      <c r="D28" s="5"/>
      <c r="E28" s="5"/>
      <c r="F28" s="5"/>
      <c r="G28" s="5"/>
      <c r="H28" s="5"/>
      <c r="I28" s="22"/>
      <c r="J28" s="8"/>
      <c r="K28" s="74"/>
    </row>
    <row r="29" spans="1:11" ht="15.75" x14ac:dyDescent="0.25">
      <c r="A29" s="19" t="s">
        <v>53</v>
      </c>
      <c r="B29" s="5"/>
      <c r="C29" s="5"/>
      <c r="D29" s="5"/>
      <c r="E29" s="5"/>
      <c r="F29" s="5"/>
      <c r="G29" s="5"/>
      <c r="H29" s="5"/>
      <c r="I29" s="22"/>
      <c r="J29" s="8"/>
      <c r="K29" s="74"/>
    </row>
    <row r="30" spans="1:11" x14ac:dyDescent="0.2">
      <c r="A30" s="13" t="s">
        <v>42</v>
      </c>
      <c r="B30" s="5">
        <v>1136753</v>
      </c>
      <c r="C30" s="5" t="s">
        <v>71</v>
      </c>
      <c r="D30" s="5" t="s">
        <v>69</v>
      </c>
      <c r="E30" s="30">
        <v>0.04</v>
      </c>
      <c r="F30" s="45">
        <v>1.4200000000017685</v>
      </c>
      <c r="G30" s="6">
        <v>2.71000000001635E-2</v>
      </c>
      <c r="H30" s="6">
        <v>5.284115958138562E-5</v>
      </c>
      <c r="I30" s="20">
        <v>46.676440067999977</v>
      </c>
      <c r="J30" s="6">
        <v>5.8814343233380771E-4</v>
      </c>
      <c r="K30" s="74"/>
    </row>
    <row r="31" spans="1:11" x14ac:dyDescent="0.2">
      <c r="A31" s="13" t="s">
        <v>30</v>
      </c>
      <c r="B31" s="5">
        <v>1138544</v>
      </c>
      <c r="C31" s="5" t="s">
        <v>71</v>
      </c>
      <c r="D31" s="5" t="s">
        <v>69</v>
      </c>
      <c r="E31" s="30">
        <v>3.5000000000000003E-2</v>
      </c>
      <c r="F31" s="45">
        <v>2.8000000000823002</v>
      </c>
      <c r="G31" s="6">
        <v>2.530000000172325E-2</v>
      </c>
      <c r="H31" s="6">
        <v>3.4374638474153918E-5</v>
      </c>
      <c r="I31" s="20">
        <v>31.572554368999985</v>
      </c>
      <c r="J31" s="6">
        <v>3.9782790776411221E-4</v>
      </c>
      <c r="K31" s="74"/>
    </row>
    <row r="32" spans="1:11" x14ac:dyDescent="0.2">
      <c r="A32" s="13" t="s">
        <v>72</v>
      </c>
      <c r="B32" s="5">
        <v>1171271</v>
      </c>
      <c r="C32" s="5" t="s">
        <v>71</v>
      </c>
      <c r="D32" s="5" t="s">
        <v>69</v>
      </c>
      <c r="E32" s="30">
        <v>2.5000000000000001E-2</v>
      </c>
      <c r="F32" s="5">
        <v>5.5900000000533305</v>
      </c>
      <c r="G32" s="6">
        <v>2.5600000000205347E-2</v>
      </c>
      <c r="H32" s="6">
        <v>1.8958495163610768E-5</v>
      </c>
      <c r="I32" s="20">
        <v>30.365905664000007</v>
      </c>
      <c r="J32" s="6">
        <v>3.8262360962256717E-4</v>
      </c>
      <c r="K32" s="74"/>
    </row>
    <row r="33" spans="1:11" x14ac:dyDescent="0.2">
      <c r="A33" s="13"/>
      <c r="B33" s="5"/>
      <c r="C33" s="5"/>
      <c r="D33" s="5"/>
      <c r="E33" s="31"/>
      <c r="F33" s="5"/>
      <c r="G33" s="6"/>
      <c r="H33" s="6"/>
      <c r="I33" s="20"/>
      <c r="J33" s="6"/>
      <c r="K33" s="74"/>
    </row>
    <row r="34" spans="1:11" ht="15.75" x14ac:dyDescent="0.25">
      <c r="A34" s="19" t="s">
        <v>49</v>
      </c>
      <c r="B34" s="5"/>
      <c r="C34" s="5"/>
      <c r="D34" s="5"/>
      <c r="E34" s="5"/>
      <c r="F34" s="5"/>
      <c r="G34" s="5"/>
      <c r="H34" s="5"/>
      <c r="I34" s="22"/>
      <c r="J34" s="8"/>
      <c r="K34" s="74"/>
    </row>
    <row r="35" spans="1:11" x14ac:dyDescent="0.2">
      <c r="A35" s="13" t="s">
        <v>15</v>
      </c>
      <c r="B35" s="5">
        <v>1098920</v>
      </c>
      <c r="C35" s="5"/>
      <c r="D35" s="5"/>
      <c r="E35" s="5"/>
      <c r="F35" s="5"/>
      <c r="G35" s="5"/>
      <c r="H35" s="30">
        <v>4.6402691307365992E-6</v>
      </c>
      <c r="I35" s="20">
        <v>25.388872108999998</v>
      </c>
      <c r="J35" s="30">
        <v>3.1991082360860018E-4</v>
      </c>
      <c r="K35" s="74"/>
    </row>
    <row r="36" spans="1:11" x14ac:dyDescent="0.2">
      <c r="A36" s="13"/>
      <c r="B36" s="5"/>
      <c r="C36" s="5"/>
      <c r="D36" s="5"/>
      <c r="E36" s="28"/>
      <c r="F36" s="5"/>
      <c r="G36" s="6"/>
      <c r="H36" s="6"/>
      <c r="I36" s="20"/>
      <c r="J36" s="6"/>
      <c r="K36" s="74"/>
    </row>
    <row r="37" spans="1:11" ht="15.75" x14ac:dyDescent="0.25">
      <c r="A37" s="12" t="s">
        <v>28</v>
      </c>
      <c r="B37" s="5"/>
      <c r="C37" s="5"/>
      <c r="D37" s="5"/>
      <c r="E37" s="6"/>
      <c r="F37" s="5"/>
      <c r="G37" s="6"/>
      <c r="H37" s="6"/>
      <c r="I37" s="22">
        <v>134.00377220999997</v>
      </c>
      <c r="J37" s="29">
        <v>1.6885057733290873E-3</v>
      </c>
      <c r="K37" s="74"/>
    </row>
    <row r="38" spans="1:11" ht="15" x14ac:dyDescent="0.25">
      <c r="A38" s="12"/>
      <c r="B38" s="5"/>
      <c r="C38" s="5"/>
      <c r="D38" s="5"/>
      <c r="E38" s="6"/>
      <c r="F38" s="5"/>
      <c r="G38" s="6"/>
      <c r="H38" s="6"/>
      <c r="I38" s="20"/>
      <c r="J38" s="6"/>
      <c r="K38" s="74"/>
    </row>
    <row r="39" spans="1:11" ht="15.75" x14ac:dyDescent="0.25">
      <c r="A39" s="14" t="s">
        <v>58</v>
      </c>
      <c r="B39" s="5"/>
      <c r="C39" s="5"/>
      <c r="D39" s="5"/>
      <c r="E39" s="6"/>
      <c r="F39" s="5"/>
      <c r="G39" s="6"/>
      <c r="H39" s="6"/>
      <c r="I39" s="72">
        <v>134.00377220999997</v>
      </c>
      <c r="J39" s="73">
        <v>1.6885057733290873E-3</v>
      </c>
      <c r="K39" s="74"/>
    </row>
    <row r="40" spans="1:11" ht="15.75" x14ac:dyDescent="0.25">
      <c r="A40" s="14"/>
      <c r="B40" s="5"/>
      <c r="C40" s="5"/>
      <c r="D40" s="5"/>
      <c r="E40" s="6"/>
      <c r="F40" s="5"/>
      <c r="G40" s="6"/>
      <c r="H40" s="6"/>
      <c r="I40" s="22"/>
      <c r="J40" s="29"/>
      <c r="K40" s="74"/>
    </row>
    <row r="41" spans="1:11" ht="15" thickBot="1" x14ac:dyDescent="0.25">
      <c r="I41" s="64"/>
      <c r="J41" s="64"/>
      <c r="K41" s="74"/>
    </row>
    <row r="42" spans="1:11" ht="18.75" thickTop="1" x14ac:dyDescent="0.25">
      <c r="A42" s="24" t="s">
        <v>59</v>
      </c>
      <c r="I42" s="25">
        <v>134.51596142599999</v>
      </c>
      <c r="J42" s="26">
        <v>1.6949140589575177E-3</v>
      </c>
      <c r="K42" s="74"/>
    </row>
    <row r="43" spans="1:11" x14ac:dyDescent="0.2">
      <c r="A43" s="74" t="s">
        <v>80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</row>
  </sheetData>
  <mergeCells count="3">
    <mergeCell ref="A6:J6"/>
    <mergeCell ref="A43:J43"/>
    <mergeCell ref="K6:K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D30"/>
  <sheetViews>
    <sheetView rightToLeft="1" zoomScaleNormal="100" workbookViewId="0">
      <selection activeCell="A7" sqref="A7:C7"/>
    </sheetView>
  </sheetViews>
  <sheetFormatPr defaultRowHeight="14.25" x14ac:dyDescent="0.2"/>
  <cols>
    <col min="1" max="1" width="72.75" bestFit="1" customWidth="1"/>
    <col min="2" max="3" width="13.125" style="15" bestFit="1" customWidth="1"/>
  </cols>
  <sheetData>
    <row r="6" spans="1:4" ht="15" x14ac:dyDescent="0.25">
      <c r="A6" s="1"/>
      <c r="B6" s="16"/>
      <c r="C6" s="16"/>
    </row>
    <row r="7" spans="1:4" ht="15" x14ac:dyDescent="0.25">
      <c r="A7" s="78" t="s">
        <v>79</v>
      </c>
      <c r="B7" s="78"/>
      <c r="C7" s="78"/>
      <c r="D7" s="74" t="s">
        <v>77</v>
      </c>
    </row>
    <row r="8" spans="1:4" ht="60" x14ac:dyDescent="0.2">
      <c r="A8" s="65"/>
      <c r="B8" s="66" t="s">
        <v>31</v>
      </c>
      <c r="C8" s="66" t="s">
        <v>32</v>
      </c>
      <c r="D8" s="74"/>
    </row>
    <row r="9" spans="1:4" ht="15" x14ac:dyDescent="0.25">
      <c r="A9" s="3"/>
      <c r="B9" s="32"/>
      <c r="C9" s="32"/>
      <c r="D9" s="74"/>
    </row>
    <row r="10" spans="1:4" ht="15" x14ac:dyDescent="0.25">
      <c r="A10" s="10" t="s">
        <v>56</v>
      </c>
      <c r="B10" s="18"/>
      <c r="C10" s="18"/>
      <c r="D10" s="74"/>
    </row>
    <row r="11" spans="1:4" ht="15" x14ac:dyDescent="0.25">
      <c r="A11" s="11" t="s">
        <v>27</v>
      </c>
      <c r="D11" s="74"/>
    </row>
    <row r="12" spans="1:4" ht="15" x14ac:dyDescent="0.25">
      <c r="A12" s="12" t="s">
        <v>33</v>
      </c>
      <c r="D12" s="74"/>
    </row>
    <row r="13" spans="1:4" x14ac:dyDescent="0.2">
      <c r="A13" t="s">
        <v>65</v>
      </c>
      <c r="C13" s="15">
        <v>-10</v>
      </c>
      <c r="D13" s="74"/>
    </row>
    <row r="14" spans="1:4" x14ac:dyDescent="0.2">
      <c r="A14" t="s">
        <v>66</v>
      </c>
      <c r="C14" s="15">
        <v>-105</v>
      </c>
      <c r="D14" s="74"/>
    </row>
    <row r="15" spans="1:4" x14ac:dyDescent="0.2">
      <c r="A15" t="s">
        <v>67</v>
      </c>
      <c r="C15" s="15">
        <v>-870</v>
      </c>
      <c r="D15" s="74"/>
    </row>
    <row r="16" spans="1:4" x14ac:dyDescent="0.2">
      <c r="A16" s="13"/>
      <c r="B16" s="9"/>
      <c r="C16" s="9"/>
      <c r="D16" s="74"/>
    </row>
    <row r="17" spans="1:4" ht="15" x14ac:dyDescent="0.25">
      <c r="A17" s="3" t="s">
        <v>60</v>
      </c>
      <c r="B17" s="34">
        <v>0</v>
      </c>
      <c r="C17" s="34">
        <v>-985</v>
      </c>
      <c r="D17" s="74"/>
    </row>
    <row r="18" spans="1:4" ht="15" x14ac:dyDescent="0.25">
      <c r="A18" s="10" t="s">
        <v>15</v>
      </c>
      <c r="B18" s="18"/>
      <c r="C18" s="18"/>
      <c r="D18" s="74"/>
    </row>
    <row r="19" spans="1:4" ht="15" x14ac:dyDescent="0.25">
      <c r="A19" s="11" t="s">
        <v>27</v>
      </c>
      <c r="B19" s="17"/>
      <c r="C19" s="17"/>
      <c r="D19" s="74"/>
    </row>
    <row r="20" spans="1:4" ht="15" x14ac:dyDescent="0.25">
      <c r="A20" s="12" t="s">
        <v>64</v>
      </c>
      <c r="D20" s="74"/>
    </row>
    <row r="21" spans="1:4" x14ac:dyDescent="0.2">
      <c r="A21" s="13" t="s">
        <v>72</v>
      </c>
      <c r="B21" s="15">
        <v>30</v>
      </c>
      <c r="D21" s="74"/>
    </row>
    <row r="22" spans="1:4" ht="15" x14ac:dyDescent="0.25">
      <c r="A22" s="11"/>
      <c r="D22" s="74"/>
    </row>
    <row r="23" spans="1:4" ht="15" x14ac:dyDescent="0.25">
      <c r="A23" s="12" t="s">
        <v>33</v>
      </c>
      <c r="D23" s="74"/>
    </row>
    <row r="24" spans="1:4" x14ac:dyDescent="0.2">
      <c r="A24" s="13" t="s">
        <v>15</v>
      </c>
      <c r="B24" s="15">
        <v>5</v>
      </c>
      <c r="C24" s="15">
        <v>-2</v>
      </c>
      <c r="D24" s="74"/>
    </row>
    <row r="25" spans="1:4" x14ac:dyDescent="0.2">
      <c r="A25" s="13"/>
      <c r="D25" s="74"/>
    </row>
    <row r="26" spans="1:4" ht="15" x14ac:dyDescent="0.25">
      <c r="A26" s="3" t="s">
        <v>43</v>
      </c>
      <c r="B26" s="34">
        <v>35</v>
      </c>
      <c r="C26" s="34">
        <v>-2</v>
      </c>
      <c r="D26" s="74"/>
    </row>
    <row r="27" spans="1:4" x14ac:dyDescent="0.2">
      <c r="D27" s="74"/>
    </row>
    <row r="28" spans="1:4" ht="15" thickBot="1" x14ac:dyDescent="0.25">
      <c r="B28" s="39"/>
      <c r="C28" s="39"/>
      <c r="D28" s="74"/>
    </row>
    <row r="29" spans="1:4" ht="18.75" thickTop="1" x14ac:dyDescent="0.25">
      <c r="A29" s="3" t="s">
        <v>68</v>
      </c>
      <c r="B29" s="38">
        <v>35</v>
      </c>
      <c r="C29" s="38">
        <v>-987</v>
      </c>
      <c r="D29" s="74"/>
    </row>
    <row r="30" spans="1:4" x14ac:dyDescent="0.2">
      <c r="A30" s="74" t="s">
        <v>78</v>
      </c>
      <c r="B30" s="74"/>
      <c r="C30" s="74"/>
      <c r="D30" s="74"/>
    </row>
  </sheetData>
  <mergeCells count="3">
    <mergeCell ref="A7:C7"/>
    <mergeCell ref="A30:C30"/>
    <mergeCell ref="D7:D3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13"/>
  <sheetViews>
    <sheetView rightToLeft="1" workbookViewId="0">
      <selection activeCell="A13" sqref="A13:G13"/>
    </sheetView>
  </sheetViews>
  <sheetFormatPr defaultRowHeight="14.25" x14ac:dyDescent="0.2"/>
  <cols>
    <col min="1" max="1" width="44.25" bestFit="1" customWidth="1"/>
    <col min="2" max="6" width="10.625" customWidth="1"/>
    <col min="7" max="7" width="12" bestFit="1" customWidth="1"/>
  </cols>
  <sheetData>
    <row r="6" spans="1:8" x14ac:dyDescent="0.2">
      <c r="A6" s="74" t="s">
        <v>79</v>
      </c>
      <c r="B6" s="74"/>
      <c r="C6" s="74"/>
      <c r="D6" s="74"/>
      <c r="E6" s="74"/>
      <c r="F6" s="74"/>
      <c r="G6" s="74"/>
      <c r="H6" s="74" t="s">
        <v>77</v>
      </c>
    </row>
    <row r="7" spans="1:8" ht="60" x14ac:dyDescent="0.25">
      <c r="A7" s="1"/>
      <c r="B7" s="1" t="s">
        <v>34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35</v>
      </c>
      <c r="H7" s="74"/>
    </row>
    <row r="8" spans="1:8" ht="15" x14ac:dyDescent="0.2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74"/>
    </row>
    <row r="9" spans="1:8" ht="15" x14ac:dyDescent="0.25">
      <c r="A9" s="10"/>
      <c r="B9" s="5"/>
      <c r="C9" s="5"/>
      <c r="D9" s="5"/>
      <c r="E9" s="5"/>
      <c r="F9" s="5"/>
      <c r="G9" s="5"/>
      <c r="H9" s="74"/>
    </row>
    <row r="10" spans="1:8" ht="15" x14ac:dyDescent="0.25">
      <c r="A10" s="10"/>
      <c r="B10" s="5"/>
      <c r="C10" s="5"/>
      <c r="D10" s="5"/>
      <c r="E10" s="5"/>
      <c r="F10" s="5"/>
      <c r="G10" s="5"/>
      <c r="H10" s="74"/>
    </row>
    <row r="11" spans="1:8" ht="15.75" thickBot="1" x14ac:dyDescent="0.3">
      <c r="A11" s="67"/>
      <c r="B11" s="5"/>
      <c r="C11" s="5"/>
      <c r="D11" s="5"/>
      <c r="E11" s="6"/>
      <c r="F11" s="5"/>
      <c r="G11" s="68"/>
      <c r="H11" s="74"/>
    </row>
    <row r="12" spans="1:8" ht="16.5" thickTop="1" x14ac:dyDescent="0.25">
      <c r="A12" s="7" t="s">
        <v>39</v>
      </c>
      <c r="B12" s="5"/>
      <c r="C12" s="5"/>
      <c r="D12" s="5"/>
      <c r="E12" s="5"/>
      <c r="F12" s="5"/>
      <c r="G12" s="22">
        <v>0</v>
      </c>
      <c r="H12" s="74"/>
    </row>
    <row r="13" spans="1:8" x14ac:dyDescent="0.2">
      <c r="A13" s="74" t="s">
        <v>78</v>
      </c>
      <c r="B13" s="74"/>
      <c r="C13" s="74"/>
      <c r="D13" s="74"/>
      <c r="E13" s="74"/>
      <c r="F13" s="74"/>
      <c r="G13" s="74"/>
      <c r="H13" s="74"/>
    </row>
  </sheetData>
  <mergeCells count="3">
    <mergeCell ref="A6:G6"/>
    <mergeCell ref="A13:G13"/>
    <mergeCell ref="H6:H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L20"/>
  <sheetViews>
    <sheetView rightToLeft="1" workbookViewId="0">
      <selection activeCell="H4" sqref="H4"/>
    </sheetView>
  </sheetViews>
  <sheetFormatPr defaultRowHeight="14.25" x14ac:dyDescent="0.2"/>
  <cols>
    <col min="1" max="1" width="38.25" bestFit="1" customWidth="1"/>
    <col min="2" max="2" width="9.875" bestFit="1" customWidth="1"/>
    <col min="3" max="3" width="9" bestFit="1" customWidth="1"/>
  </cols>
  <sheetData>
    <row r="7" spans="1:12" x14ac:dyDescent="0.2">
      <c r="A7" s="74" t="s">
        <v>79</v>
      </c>
      <c r="B7" s="74"/>
      <c r="C7" s="74"/>
      <c r="D7" s="74"/>
      <c r="E7" s="74"/>
      <c r="F7" s="74"/>
      <c r="G7" s="74"/>
      <c r="H7" s="74" t="s">
        <v>77</v>
      </c>
    </row>
    <row r="8" spans="1:12" ht="60" x14ac:dyDescent="0.25">
      <c r="A8" s="1"/>
      <c r="B8" s="1" t="s">
        <v>34</v>
      </c>
      <c r="C8" s="2" t="s">
        <v>44</v>
      </c>
      <c r="D8" s="2" t="s">
        <v>23</v>
      </c>
      <c r="E8" s="2" t="s">
        <v>36</v>
      </c>
      <c r="F8" s="2" t="s">
        <v>37</v>
      </c>
      <c r="G8" s="2" t="s">
        <v>38</v>
      </c>
      <c r="H8" s="74"/>
      <c r="I8" s="1"/>
      <c r="J8" s="1"/>
      <c r="K8" s="1"/>
      <c r="L8" s="1"/>
    </row>
    <row r="9" spans="1:12" ht="15" x14ac:dyDescent="0.25">
      <c r="A9" s="1"/>
      <c r="B9" s="1"/>
      <c r="C9" s="1"/>
      <c r="D9" s="1" t="s">
        <v>7</v>
      </c>
      <c r="E9" s="1"/>
      <c r="F9" s="1"/>
      <c r="G9" s="1" t="s">
        <v>6</v>
      </c>
      <c r="H9" s="74"/>
      <c r="I9" s="1"/>
      <c r="J9" s="1"/>
      <c r="K9" s="1"/>
      <c r="L9" s="1"/>
    </row>
    <row r="10" spans="1:12" ht="15" x14ac:dyDescent="0.25">
      <c r="A10" s="10"/>
      <c r="B10" s="1"/>
      <c r="C10" s="1"/>
      <c r="D10" s="1"/>
      <c r="E10" s="1"/>
      <c r="F10" s="1"/>
      <c r="G10" s="1"/>
      <c r="H10" s="74"/>
      <c r="I10" s="5"/>
      <c r="J10" s="5"/>
      <c r="K10" s="5"/>
      <c r="L10" s="5"/>
    </row>
    <row r="11" spans="1:12" ht="15.75" x14ac:dyDescent="0.25">
      <c r="A11" s="50" t="s">
        <v>70</v>
      </c>
      <c r="B11" s="1"/>
      <c r="C11" s="1"/>
      <c r="D11" s="1"/>
      <c r="E11" s="1"/>
      <c r="F11" s="1"/>
      <c r="G11" s="1"/>
      <c r="H11" s="74"/>
    </row>
    <row r="12" spans="1:12" ht="15" x14ac:dyDescent="0.25">
      <c r="A12" s="11" t="s">
        <v>73</v>
      </c>
      <c r="B12" s="1"/>
      <c r="C12" s="1"/>
      <c r="D12" s="1"/>
      <c r="E12" s="1"/>
      <c r="F12" s="1"/>
      <c r="G12" s="1"/>
      <c r="H12" s="74"/>
    </row>
    <row r="13" spans="1:12" ht="15" x14ac:dyDescent="0.25">
      <c r="A13" s="70" t="s">
        <v>74</v>
      </c>
      <c r="B13" s="1"/>
      <c r="C13" s="1"/>
      <c r="D13" s="1"/>
      <c r="E13" s="1"/>
      <c r="F13" s="1"/>
      <c r="G13" s="1"/>
      <c r="H13" s="74"/>
    </row>
    <row r="14" spans="1:12" x14ac:dyDescent="0.2">
      <c r="A14" s="51" t="s">
        <v>15</v>
      </c>
      <c r="B14" s="51" t="s">
        <v>75</v>
      </c>
      <c r="C14" s="51">
        <v>1098920</v>
      </c>
      <c r="D14" s="52">
        <v>9.1112869409072039E-8</v>
      </c>
      <c r="E14" s="71">
        <v>2600.1988999999999</v>
      </c>
      <c r="F14" s="71">
        <v>2571.6705000000002</v>
      </c>
      <c r="G14" s="58">
        <v>0.47</v>
      </c>
      <c r="H14" s="74"/>
    </row>
    <row r="15" spans="1:12" ht="15" x14ac:dyDescent="0.25">
      <c r="A15" s="11"/>
      <c r="B15" s="1"/>
      <c r="C15" s="1"/>
      <c r="D15" s="1"/>
      <c r="E15" s="1"/>
      <c r="F15" s="1"/>
      <c r="G15" s="53"/>
      <c r="H15" s="74"/>
    </row>
    <row r="16" spans="1:12" ht="15" x14ac:dyDescent="0.25">
      <c r="A16" s="14" t="s">
        <v>76</v>
      </c>
      <c r="B16" s="1"/>
      <c r="C16" s="1"/>
      <c r="D16" s="1"/>
      <c r="E16" s="1"/>
      <c r="F16" s="1"/>
      <c r="G16" s="59">
        <v>0.47</v>
      </c>
      <c r="H16" s="74"/>
    </row>
    <row r="17" spans="1:8" ht="15" x14ac:dyDescent="0.25">
      <c r="A17" s="11"/>
      <c r="B17" s="1"/>
      <c r="C17" s="1"/>
      <c r="D17" s="54"/>
      <c r="E17" s="1"/>
      <c r="F17" s="1"/>
      <c r="G17" s="1"/>
      <c r="H17" s="74"/>
    </row>
    <row r="18" spans="1:8" ht="15.75" thickBot="1" x14ac:dyDescent="0.3">
      <c r="A18" s="11"/>
      <c r="B18" s="1"/>
      <c r="C18" s="1"/>
      <c r="D18" s="1"/>
      <c r="E18" s="1"/>
      <c r="F18" s="1"/>
      <c r="G18" s="55"/>
      <c r="H18" s="74"/>
    </row>
    <row r="19" spans="1:8" ht="18.75" thickTop="1" x14ac:dyDescent="0.25">
      <c r="A19" s="56" t="s">
        <v>39</v>
      </c>
      <c r="B19" s="1"/>
      <c r="C19" s="1"/>
      <c r="D19" s="1"/>
      <c r="E19" s="1"/>
      <c r="F19" s="57"/>
      <c r="G19" s="60">
        <v>0.47</v>
      </c>
      <c r="H19" s="74"/>
    </row>
    <row r="20" spans="1:8" x14ac:dyDescent="0.2">
      <c r="A20" s="74" t="s">
        <v>78</v>
      </c>
      <c r="B20" s="74"/>
      <c r="C20" s="74"/>
      <c r="D20" s="74"/>
      <c r="E20" s="74"/>
      <c r="F20" s="74"/>
      <c r="G20" s="74"/>
      <c r="H20" s="74"/>
    </row>
  </sheetData>
  <mergeCells count="3">
    <mergeCell ref="A7:G7"/>
    <mergeCell ref="A20:G20"/>
    <mergeCell ref="H7:H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F17"/>
  <sheetViews>
    <sheetView rightToLeft="1" workbookViewId="0">
      <selection activeCell="A7" sqref="A7:E7"/>
    </sheetView>
  </sheetViews>
  <sheetFormatPr defaultRowHeight="14.25" x14ac:dyDescent="0.2"/>
  <cols>
    <col min="1" max="1" width="37" customWidth="1"/>
    <col min="2" max="2" width="11.5" bestFit="1" customWidth="1"/>
    <col min="4" max="4" width="9.875" bestFit="1" customWidth="1"/>
    <col min="5" max="5" width="13.5" bestFit="1" customWidth="1"/>
  </cols>
  <sheetData>
    <row r="7" spans="1:6" x14ac:dyDescent="0.2">
      <c r="A7" s="74" t="s">
        <v>79</v>
      </c>
      <c r="B7" s="74"/>
      <c r="C7" s="74"/>
      <c r="D7" s="74"/>
      <c r="E7" s="74"/>
      <c r="F7" s="74" t="s">
        <v>77</v>
      </c>
    </row>
    <row r="8" spans="1:6" ht="60" x14ac:dyDescent="0.25">
      <c r="A8" s="1"/>
      <c r="B8" s="1" t="s">
        <v>40</v>
      </c>
      <c r="C8" s="2" t="s">
        <v>17</v>
      </c>
      <c r="D8" s="2" t="s">
        <v>23</v>
      </c>
      <c r="E8" s="2" t="s">
        <v>41</v>
      </c>
      <c r="F8" s="74"/>
    </row>
    <row r="9" spans="1:6" ht="15" x14ac:dyDescent="0.25">
      <c r="A9" s="35"/>
      <c r="B9" s="1"/>
      <c r="C9" s="1"/>
      <c r="D9" s="1" t="s">
        <v>7</v>
      </c>
      <c r="E9" s="1" t="s">
        <v>6</v>
      </c>
      <c r="F9" s="74"/>
    </row>
    <row r="10" spans="1:6" ht="15" x14ac:dyDescent="0.25">
      <c r="B10" s="1"/>
      <c r="C10" s="1"/>
      <c r="D10" s="1"/>
      <c r="E10" s="1"/>
      <c r="F10" s="74"/>
    </row>
    <row r="11" spans="1:6" ht="15.75" x14ac:dyDescent="0.25">
      <c r="A11" s="63" t="s">
        <v>54</v>
      </c>
      <c r="E11" s="22"/>
      <c r="F11" s="74"/>
    </row>
    <row r="12" spans="1:6" ht="16.5" thickBot="1" x14ac:dyDescent="0.3">
      <c r="E12" s="69"/>
      <c r="F12" s="74"/>
    </row>
    <row r="13" spans="1:6" ht="16.5" thickTop="1" x14ac:dyDescent="0.25">
      <c r="A13" s="3" t="s">
        <v>61</v>
      </c>
      <c r="E13" s="22">
        <v>0</v>
      </c>
      <c r="F13" s="74"/>
    </row>
    <row r="14" spans="1:6" x14ac:dyDescent="0.2">
      <c r="A14" s="74" t="s">
        <v>78</v>
      </c>
      <c r="B14" s="74"/>
      <c r="C14" s="74"/>
      <c r="D14" s="74"/>
      <c r="E14" s="74"/>
      <c r="F14" s="74"/>
    </row>
    <row r="15" spans="1:6" ht="15.75" x14ac:dyDescent="0.25">
      <c r="A15" s="12"/>
      <c r="E15" s="22"/>
    </row>
    <row r="16" spans="1:6" ht="15" x14ac:dyDescent="0.25">
      <c r="A16" s="12"/>
      <c r="E16" s="9"/>
    </row>
    <row r="17" spans="1:5" ht="18" x14ac:dyDescent="0.25">
      <c r="A17" s="7"/>
      <c r="E17" s="25"/>
    </row>
  </sheetData>
  <mergeCells count="3">
    <mergeCell ref="A7:E7"/>
    <mergeCell ref="A14:E14"/>
    <mergeCell ref="F7:F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3</Value>
    </Kupa_kml>
    <Kupa_Hishtalmut xmlns="e7c93c0b-31f4-4d6d-a404-57fd37393f5c"/>
    <Category xmlns="e7c93c0b-31f4-4d6d-a404-57fd37393f5c">3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51577BA6-4173-40E8-B1DB-3125CB482518}"/>
</file>

<file path=customXml/itemProps2.xml><?xml version="1.0" encoding="utf-8"?>
<ds:datastoreItem xmlns:ds="http://schemas.openxmlformats.org/officeDocument/2006/customXml" ds:itemID="{3B50F6A5-391B-4ADA-8B08-FD7E7AE11079}"/>
</file>

<file path=customXml/itemProps3.xml><?xml version="1.0" encoding="utf-8"?>
<ds:datastoreItem xmlns:ds="http://schemas.openxmlformats.org/officeDocument/2006/customXml" ds:itemID="{A9E97DED-69AF-40B5-A94E-E38E8218F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עסקאות עם צדדים קשורים לשנת 2025</dc:title>
  <dc:creator>סלי שירי</dc:creator>
  <cp:lastModifiedBy>מירב ברדה</cp:lastModifiedBy>
  <dcterms:created xsi:type="dcterms:W3CDTF">2019-03-28T13:24:31Z</dcterms:created>
  <dcterms:modified xsi:type="dcterms:W3CDTF">2026-04-28T06:01:11Z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