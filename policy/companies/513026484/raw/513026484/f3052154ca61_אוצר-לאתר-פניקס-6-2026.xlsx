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xman Kumar Singh\Desktop\Live_work\ICL\19-07\"/>
    </mc:Choice>
  </mc:AlternateContent>
  <xr:revisionPtr revIDLastSave="0" documentId="13_ncr:1_{E3E27B7D-17DB-4B11-A9AA-79240E259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353" i="1" l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X350" i="1" s="1"/>
  <c r="AX352" i="1" s="1"/>
  <c r="AW343" i="1"/>
  <c r="AV343" i="1"/>
  <c r="AV350" i="1" s="1"/>
  <c r="AV352" i="1" s="1"/>
  <c r="AU343" i="1"/>
  <c r="AU350" i="1" s="1"/>
  <c r="AT343" i="1"/>
  <c r="AT350" i="1" s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AT355" i="1" l="1"/>
  <c r="AU355" i="1"/>
  <c r="AT354" i="1"/>
  <c r="AT352" i="1"/>
  <c r="AU354" i="1"/>
  <c r="AU352" i="1"/>
  <c r="AU357" i="1"/>
  <c r="AT357" i="1"/>
  <c r="AT358" i="1"/>
  <c r="F350" i="1"/>
  <c r="F355" i="1" s="1"/>
  <c r="AT359" i="1"/>
  <c r="G350" i="1"/>
  <c r="G359" i="1" s="1"/>
  <c r="AA350" i="1"/>
  <c r="AA352" i="1" s="1"/>
  <c r="AU359" i="1"/>
  <c r="AU358" i="1"/>
  <c r="AB350" i="1"/>
  <c r="AB355" i="1" s="1"/>
  <c r="AC350" i="1"/>
  <c r="AC352" i="1" s="1"/>
  <c r="F356" i="1"/>
  <c r="F358" i="1"/>
  <c r="F359" i="1"/>
  <c r="Q356" i="1"/>
  <c r="V350" i="1"/>
  <c r="V352" i="1" s="1"/>
  <c r="AP350" i="1"/>
  <c r="AP352" i="1" s="1"/>
  <c r="AQ350" i="1"/>
  <c r="AQ354" i="1" s="1"/>
  <c r="AR350" i="1"/>
  <c r="AR357" i="1" s="1"/>
  <c r="AT356" i="1"/>
  <c r="X350" i="1"/>
  <c r="X352" i="1" s="1"/>
  <c r="AA356" i="1"/>
  <c r="AS350" i="1"/>
  <c r="AS356" i="1" s="1"/>
  <c r="AU356" i="1"/>
  <c r="W350" i="1"/>
  <c r="W352" i="1" s="1"/>
  <c r="AA358" i="1"/>
  <c r="H350" i="1"/>
  <c r="H357" i="1" s="1"/>
  <c r="Y350" i="1"/>
  <c r="Y352" i="1" s="1"/>
  <c r="I350" i="1"/>
  <c r="I359" i="1" s="1"/>
  <c r="AX355" i="1"/>
  <c r="AX356" i="1"/>
  <c r="AX357" i="1"/>
  <c r="AX358" i="1"/>
  <c r="AX359" i="1"/>
  <c r="AV355" i="1"/>
  <c r="AV357" i="1"/>
  <c r="AV356" i="1"/>
  <c r="AV359" i="1"/>
  <c r="AV354" i="1"/>
  <c r="AC357" i="1"/>
  <c r="AC359" i="1"/>
  <c r="AV358" i="1"/>
  <c r="Z350" i="1"/>
  <c r="Z352" i="1" s="1"/>
  <c r="AW350" i="1"/>
  <c r="AW352" i="1" s="1"/>
  <c r="AC354" i="1"/>
  <c r="AD350" i="1"/>
  <c r="AD352" i="1" s="1"/>
  <c r="AX354" i="1"/>
  <c r="K350" i="1"/>
  <c r="K352" i="1" s="1"/>
  <c r="AE350" i="1"/>
  <c r="AE352" i="1" s="1"/>
  <c r="AY350" i="1"/>
  <c r="AY352" i="1" s="1"/>
  <c r="L350" i="1"/>
  <c r="L352" i="1" s="1"/>
  <c r="AF350" i="1"/>
  <c r="AF352" i="1" s="1"/>
  <c r="AZ350" i="1"/>
  <c r="AZ352" i="1" s="1"/>
  <c r="J350" i="1"/>
  <c r="J352" i="1" s="1"/>
  <c r="M350" i="1"/>
  <c r="M352" i="1" s="1"/>
  <c r="AG350" i="1"/>
  <c r="AG352" i="1" s="1"/>
  <c r="BA350" i="1"/>
  <c r="BA352" i="1" s="1"/>
  <c r="N350" i="1"/>
  <c r="N352" i="1" s="1"/>
  <c r="AH350" i="1"/>
  <c r="AH352" i="1" s="1"/>
  <c r="BB350" i="1"/>
  <c r="BB352" i="1" s="1"/>
  <c r="O350" i="1"/>
  <c r="O352" i="1" s="1"/>
  <c r="AI350" i="1"/>
  <c r="AI352" i="1" s="1"/>
  <c r="BC350" i="1"/>
  <c r="BC352" i="1" s="1"/>
  <c r="P350" i="1"/>
  <c r="P352" i="1" s="1"/>
  <c r="AJ350" i="1"/>
  <c r="AJ352" i="1" s="1"/>
  <c r="BD350" i="1"/>
  <c r="BD352" i="1" s="1"/>
  <c r="Q350" i="1"/>
  <c r="Q352" i="1" s="1"/>
  <c r="AK350" i="1"/>
  <c r="AK352" i="1" s="1"/>
  <c r="BE350" i="1"/>
  <c r="BE352" i="1" s="1"/>
  <c r="R350" i="1"/>
  <c r="R352" i="1" s="1"/>
  <c r="AL350" i="1"/>
  <c r="AL352" i="1" s="1"/>
  <c r="BF350" i="1"/>
  <c r="BF352" i="1" s="1"/>
  <c r="S350" i="1"/>
  <c r="S352" i="1" s="1"/>
  <c r="AM350" i="1"/>
  <c r="AM352" i="1" s="1"/>
  <c r="BG350" i="1"/>
  <c r="BG352" i="1" s="1"/>
  <c r="T350" i="1"/>
  <c r="T352" i="1" s="1"/>
  <c r="AN350" i="1"/>
  <c r="AN352" i="1" s="1"/>
  <c r="BH350" i="1"/>
  <c r="BH352" i="1" s="1"/>
  <c r="U350" i="1"/>
  <c r="U352" i="1" s="1"/>
  <c r="AO350" i="1"/>
  <c r="AO352" i="1" s="1"/>
  <c r="BI350" i="1"/>
  <c r="BI352" i="1" s="1"/>
  <c r="BD355" i="1" l="1"/>
  <c r="AA357" i="1"/>
  <c r="AA355" i="1"/>
  <c r="S356" i="1"/>
  <c r="AZ358" i="1"/>
  <c r="BG354" i="1"/>
  <c r="BA357" i="1"/>
  <c r="AE354" i="1"/>
  <c r="BA356" i="1"/>
  <c r="G352" i="1"/>
  <c r="BA355" i="1"/>
  <c r="Y356" i="1"/>
  <c r="M357" i="1"/>
  <c r="J359" i="1"/>
  <c r="I357" i="1"/>
  <c r="AD355" i="1"/>
  <c r="M356" i="1"/>
  <c r="AZ359" i="1"/>
  <c r="I354" i="1"/>
  <c r="I355" i="1"/>
  <c r="AR358" i="1"/>
  <c r="G355" i="1"/>
  <c r="V355" i="1"/>
  <c r="AI359" i="1"/>
  <c r="M355" i="1"/>
  <c r="AZ357" i="1"/>
  <c r="K354" i="1"/>
  <c r="AR359" i="1"/>
  <c r="AK359" i="1"/>
  <c r="AM359" i="1"/>
  <c r="Z356" i="1"/>
  <c r="G356" i="1"/>
  <c r="G358" i="1"/>
  <c r="K355" i="1"/>
  <c r="AL357" i="1"/>
  <c r="AG354" i="1"/>
  <c r="AZ356" i="1"/>
  <c r="AB358" i="1"/>
  <c r="AD356" i="1"/>
  <c r="Q355" i="1"/>
  <c r="S355" i="1"/>
  <c r="G354" i="1"/>
  <c r="M358" i="1"/>
  <c r="L354" i="1"/>
  <c r="AN356" i="1"/>
  <c r="AM355" i="1"/>
  <c r="V354" i="1"/>
  <c r="F357" i="1"/>
  <c r="AJ356" i="1"/>
  <c r="P355" i="1"/>
  <c r="X354" i="1"/>
  <c r="BC355" i="1"/>
  <c r="BA354" i="1"/>
  <c r="W357" i="1"/>
  <c r="BC354" i="1"/>
  <c r="AC358" i="1"/>
  <c r="J356" i="1"/>
  <c r="U357" i="1"/>
  <c r="V356" i="1"/>
  <c r="BE358" i="1"/>
  <c r="F352" i="1"/>
  <c r="AJ355" i="1"/>
  <c r="AI355" i="1"/>
  <c r="AI354" i="1"/>
  <c r="BI356" i="1"/>
  <c r="BI355" i="1"/>
  <c r="G357" i="1"/>
  <c r="W355" i="1"/>
  <c r="O354" i="1"/>
  <c r="AO356" i="1"/>
  <c r="AH359" i="1"/>
  <c r="BB359" i="1"/>
  <c r="J354" i="1"/>
  <c r="U356" i="1"/>
  <c r="S357" i="1"/>
  <c r="F354" i="1"/>
  <c r="X357" i="1"/>
  <c r="X356" i="1"/>
  <c r="V357" i="1"/>
  <c r="AB357" i="1"/>
  <c r="AC355" i="1"/>
  <c r="AH358" i="1"/>
  <c r="N359" i="1"/>
  <c r="AW358" i="1"/>
  <c r="AO355" i="1"/>
  <c r="X355" i="1"/>
  <c r="W356" i="1"/>
  <c r="AP356" i="1"/>
  <c r="AB359" i="1"/>
  <c r="AH357" i="1"/>
  <c r="BB358" i="1"/>
  <c r="AY355" i="1"/>
  <c r="AC356" i="1"/>
  <c r="U355" i="1"/>
  <c r="U354" i="1"/>
  <c r="R358" i="1"/>
  <c r="T355" i="1"/>
  <c r="AI358" i="1"/>
  <c r="J355" i="1"/>
  <c r="N358" i="1"/>
  <c r="AE355" i="1"/>
  <c r="AB356" i="1"/>
  <c r="BI354" i="1"/>
  <c r="BH358" i="1"/>
  <c r="R355" i="1"/>
  <c r="AM358" i="1"/>
  <c r="V359" i="1"/>
  <c r="BH356" i="1"/>
  <c r="BA359" i="1"/>
  <c r="N357" i="1"/>
  <c r="AO354" i="1"/>
  <c r="AN357" i="1"/>
  <c r="AK357" i="1"/>
  <c r="AM356" i="1"/>
  <c r="AP354" i="1"/>
  <c r="P356" i="1"/>
  <c r="AG359" i="1"/>
  <c r="M359" i="1"/>
  <c r="AD354" i="1"/>
  <c r="Z359" i="1"/>
  <c r="AN359" i="1"/>
  <c r="T356" i="1"/>
  <c r="AK354" i="1"/>
  <c r="AJ357" i="1"/>
  <c r="I356" i="1"/>
  <c r="AA354" i="1"/>
  <c r="O356" i="1"/>
  <c r="X359" i="1"/>
  <c r="BA358" i="1"/>
  <c r="AG357" i="1"/>
  <c r="AW359" i="1"/>
  <c r="T359" i="1"/>
  <c r="AN354" i="1"/>
  <c r="P357" i="1"/>
  <c r="AP355" i="1"/>
  <c r="AI356" i="1"/>
  <c r="AB354" i="1"/>
  <c r="AB352" i="1"/>
  <c r="O355" i="1"/>
  <c r="AG358" i="1"/>
  <c r="AG356" i="1"/>
  <c r="AW356" i="1"/>
  <c r="AS357" i="1"/>
  <c r="T358" i="1"/>
  <c r="AM357" i="1"/>
  <c r="AA359" i="1"/>
  <c r="BD356" i="1"/>
  <c r="W358" i="1"/>
  <c r="Y354" i="1"/>
  <c r="AF359" i="1"/>
  <c r="AQ352" i="1"/>
  <c r="AQ355" i="1"/>
  <c r="AE359" i="1"/>
  <c r="AR355" i="1"/>
  <c r="AR352" i="1"/>
  <c r="BC359" i="1"/>
  <c r="BB357" i="1"/>
  <c r="BB355" i="1"/>
  <c r="AF357" i="1"/>
  <c r="K359" i="1"/>
  <c r="AQ359" i="1"/>
  <c r="AN358" i="1"/>
  <c r="T354" i="1"/>
  <c r="Q354" i="1"/>
  <c r="AL358" i="1"/>
  <c r="P354" i="1"/>
  <c r="AR356" i="1"/>
  <c r="BF357" i="1"/>
  <c r="H358" i="1"/>
  <c r="H352" i="1"/>
  <c r="AW354" i="1"/>
  <c r="R356" i="1"/>
  <c r="AK356" i="1"/>
  <c r="N354" i="1"/>
  <c r="L357" i="1"/>
  <c r="AY358" i="1"/>
  <c r="Z355" i="1"/>
  <c r="AS359" i="1"/>
  <c r="AL355" i="1"/>
  <c r="H356" i="1"/>
  <c r="Q359" i="1"/>
  <c r="AF358" i="1"/>
  <c r="O359" i="1"/>
  <c r="BB356" i="1"/>
  <c r="AE358" i="1"/>
  <c r="AD359" i="1"/>
  <c r="AP359" i="1"/>
  <c r="BH357" i="1"/>
  <c r="Y358" i="1"/>
  <c r="AM354" i="1"/>
  <c r="AS352" i="1"/>
  <c r="AS355" i="1"/>
  <c r="Y359" i="1"/>
  <c r="BE356" i="1"/>
  <c r="AR354" i="1"/>
  <c r="BE357" i="1"/>
  <c r="L359" i="1"/>
  <c r="H355" i="1"/>
  <c r="AJ354" i="1"/>
  <c r="BC358" i="1"/>
  <c r="AH356" i="1"/>
  <c r="AF356" i="1"/>
  <c r="K358" i="1"/>
  <c r="T357" i="1"/>
  <c r="Y357" i="1"/>
  <c r="BF359" i="1"/>
  <c r="AP357" i="1"/>
  <c r="BD359" i="1"/>
  <c r="W359" i="1"/>
  <c r="Q358" i="1"/>
  <c r="Q357" i="1"/>
  <c r="N356" i="1"/>
  <c r="R357" i="1"/>
  <c r="O358" i="1"/>
  <c r="AH355" i="1"/>
  <c r="AW357" i="1"/>
  <c r="AG355" i="1"/>
  <c r="AZ355" i="1"/>
  <c r="AE357" i="1"/>
  <c r="AD358" i="1"/>
  <c r="Z358" i="1"/>
  <c r="AO359" i="1"/>
  <c r="AN355" i="1"/>
  <c r="AQ358" i="1"/>
  <c r="AK358" i="1"/>
  <c r="AP358" i="1"/>
  <c r="P359" i="1"/>
  <c r="BF354" i="1"/>
  <c r="BF355" i="1"/>
  <c r="BF358" i="1"/>
  <c r="AY359" i="1"/>
  <c r="L356" i="1"/>
  <c r="BC357" i="1"/>
  <c r="N355" i="1"/>
  <c r="M354" i="1"/>
  <c r="AF355" i="1"/>
  <c r="K357" i="1"/>
  <c r="J358" i="1"/>
  <c r="Z357" i="1"/>
  <c r="BI358" i="1"/>
  <c r="BH354" i="1"/>
  <c r="AQ356" i="1"/>
  <c r="BE355" i="1"/>
  <c r="AS358" i="1"/>
  <c r="AO357" i="1"/>
  <c r="BH359" i="1"/>
  <c r="BD358" i="1"/>
  <c r="BF356" i="1"/>
  <c r="R354" i="1"/>
  <c r="H359" i="1"/>
  <c r="AY357" i="1"/>
  <c r="BB354" i="1"/>
  <c r="L355" i="1"/>
  <c r="AY356" i="1"/>
  <c r="AO358" i="1"/>
  <c r="S359" i="1"/>
  <c r="Y355" i="1"/>
  <c r="BH355" i="1"/>
  <c r="BG359" i="1"/>
  <c r="AJ358" i="1"/>
  <c r="AL354" i="1"/>
  <c r="AY354" i="1"/>
  <c r="AL356" i="1"/>
  <c r="L358" i="1"/>
  <c r="BE354" i="1"/>
  <c r="H354" i="1"/>
  <c r="BI359" i="1"/>
  <c r="AI357" i="1"/>
  <c r="O357" i="1"/>
  <c r="AH354" i="1"/>
  <c r="AZ354" i="1"/>
  <c r="AE356" i="1"/>
  <c r="AD357" i="1"/>
  <c r="Z354" i="1"/>
  <c r="U358" i="1"/>
  <c r="BG358" i="1"/>
  <c r="W354" i="1"/>
  <c r="AQ357" i="1"/>
  <c r="X358" i="1"/>
  <c r="BG356" i="1"/>
  <c r="S358" i="1"/>
  <c r="P358" i="1"/>
  <c r="AS354" i="1"/>
  <c r="V358" i="1"/>
  <c r="R359" i="1"/>
  <c r="BE359" i="1"/>
  <c r="AK355" i="1"/>
  <c r="BD354" i="1"/>
  <c r="AJ359" i="1"/>
  <c r="BC356" i="1"/>
  <c r="AW355" i="1"/>
  <c r="AF354" i="1"/>
  <c r="K356" i="1"/>
  <c r="J357" i="1"/>
  <c r="I352" i="1"/>
  <c r="I358" i="1"/>
  <c r="BI357" i="1"/>
  <c r="BG357" i="1"/>
  <c r="AL359" i="1"/>
  <c r="U359" i="1"/>
  <c r="S354" i="1"/>
  <c r="BG355" i="1"/>
  <c r="BD357" i="1"/>
</calcChain>
</file>

<file path=xl/sharedStrings.xml><?xml version="1.0" encoding="utf-8"?>
<sst xmlns="http://schemas.openxmlformats.org/spreadsheetml/2006/main" count="776" uniqueCount="707">
  <si>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</si>
  <si>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</si>
  <si>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</si>
  <si>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</si>
  <si>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</si>
  <si>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</si>
  <si>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</si>
  <si>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</si>
  <si>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</si>
  <si>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</si>
  <si>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</si>
  <si>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</si>
  <si>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</si>
  <si>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</si>
  <si>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</si>
  <si>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</si>
  <si>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</si>
  <si>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</si>
  <si>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</si>
  <si>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</si>
  <si>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</si>
  <si>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</si>
  <si>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</si>
  <si>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</si>
  <si>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</si>
  <si>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</si>
  <si>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</si>
  <si>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</si>
  <si>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</si>
  <si>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</si>
  <si>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</si>
  <si>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</si>
  <si>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</si>
  <si>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</si>
  <si>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</si>
  <si>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</si>
  <si>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</si>
  <si>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</si>
  <si>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</si>
  <si>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</si>
  <si>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</si>
  <si>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</si>
  <si>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</si>
  <si>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</si>
  <si>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</si>
  <si>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</si>
  <si>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</si>
  <si>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</si>
  <si>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</si>
  <si>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</si>
  <si>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</si>
  <si>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</si>
  <si>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</si>
  <si>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</si>
  <si>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</si>
  <si>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</si>
  <si>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</si>
  <si>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</si>
  <si>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</si>
  <si>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</si>
  <si>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</si>
  <si>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</si>
  <si>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</si>
  <si>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</si>
  <si>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</si>
  <si>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</si>
  <si>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</si>
  <si>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</si>
  <si>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</si>
  <si>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</si>
  <si>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</si>
  <si>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</si>
  <si>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</si>
  <si>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</si>
  <si>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</si>
  <si>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</si>
  <si>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</si>
  <si>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</si>
  <si>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</si>
  <si>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</si>
  <si>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</si>
  <si>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</si>
  <si>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</si>
  <si>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</si>
  <si>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</si>
  <si>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</si>
  <si>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</si>
  <si>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</si>
  <si>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</si>
  <si>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</si>
  <si>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</si>
  <si>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</si>
  <si>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</si>
  <si>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</si>
  <si>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</si>
  <si>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</si>
  <si>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</si>
  <si>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</si>
  <si>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</si>
  <si>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</si>
  <si>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</si>
  <si>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</si>
  <si>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</si>
  <si>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</si>
  <si>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</si>
  <si>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</si>
  <si>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</si>
  <si>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</si>
  <si>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</si>
  <si>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</si>
  <si>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</si>
  <si>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</si>
  <si>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</si>
  <si>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</si>
  <si>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</si>
  <si>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</si>
  <si>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</si>
  <si>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</si>
  <si>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</si>
  <si>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</si>
  <si>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</si>
  <si>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</si>
  <si>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</si>
  <si>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</si>
  <si>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</si>
  <si>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</si>
  <si>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</si>
  <si>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</si>
  <si>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</si>
  <si>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</si>
  <si>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</si>
  <si>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</si>
  <si>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</si>
  <si>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</si>
  <si>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</si>
  <si>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</si>
  <si>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</si>
  <si>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</si>
  <si>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</si>
  <si>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</si>
  <si>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</si>
  <si>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</si>
  <si>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</si>
  <si>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</si>
  <si>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</si>
  <si>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</si>
  <si>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</si>
  <si>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</si>
  <si>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</si>
  <si>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</si>
  <si>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</si>
  <si>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</si>
  <si>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</si>
  <si>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</si>
  <si>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</si>
  <si>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</si>
  <si>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</si>
  <si>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</si>
  <si>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</si>
  <si>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</si>
  <si>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</si>
  <si>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</si>
  <si>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</si>
  <si>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</si>
  <si>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</si>
  <si>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</si>
  <si>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</si>
  <si>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</si>
  <si>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</si>
  <si>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</si>
  <si>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</si>
  <si>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</si>
  <si>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</si>
  <si>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</si>
  <si>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</si>
  <si>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</si>
  <si>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</si>
  <si>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</si>
  <si>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</si>
  <si>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</si>
  <si>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</si>
  <si>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</si>
  <si>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</si>
  <si>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</si>
  <si>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</si>
  <si>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</si>
  <si>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</si>
  <si>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</si>
  <si>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</si>
  <si>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</si>
  <si>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</si>
  <si>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</si>
  <si>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</si>
  <si>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</si>
  <si>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</si>
  <si>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</si>
  <si>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</si>
  <si>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</si>
  <si>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</si>
  <si>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</si>
  <si>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</si>
  <si>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</si>
  <si>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</si>
  <si>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</si>
  <si>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</si>
  <si>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</si>
  <si>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</si>
  <si>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</si>
  <si>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</si>
  <si>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</si>
  <si>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</si>
  <si>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</si>
  <si>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</si>
  <si>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</si>
  <si>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</si>
  <si>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</si>
  <si>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</si>
  <si>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</si>
  <si>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</si>
  <si>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</si>
  <si>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</si>
  <si>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</si>
  <si>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</si>
  <si>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</si>
  <si>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</si>
  <si>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</si>
  <si>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</si>
  <si>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</si>
  <si>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</si>
  <si>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</si>
  <si>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</si>
  <si>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</si>
  <si>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</si>
  <si>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</si>
  <si>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</si>
  <si>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</si>
  <si>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</si>
  <si>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</si>
  <si>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</si>
  <si>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</si>
  <si>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</si>
  <si>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</si>
  <si>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</si>
  <si>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</si>
  <si>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</si>
  <si>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</si>
  <si>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</si>
  <si>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</si>
  <si>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</si>
  <si>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</si>
  <si>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</si>
  <si>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</si>
  <si>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</si>
  <si>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</si>
  <si>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</si>
  <si>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</si>
  <si>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</si>
  <si>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</si>
  <si>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</si>
  <si>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</si>
  <si>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</si>
  <si>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</si>
  <si>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</si>
  <si>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</si>
  <si>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</si>
  <si>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</si>
  <si>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</si>
  <si>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</si>
  <si>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</si>
  <si>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</si>
  <si>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</si>
  <si>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</si>
  <si>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</si>
  <si>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</si>
  <si>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</si>
  <si>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</si>
  <si>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</si>
  <si>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</si>
  <si>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</si>
  <si>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</si>
  <si>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</si>
  <si>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</si>
  <si>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</si>
  <si>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</si>
  <si>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</si>
  <si>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</si>
  <si>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</si>
  <si>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</si>
  <si>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</si>
  <si>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</si>
  <si>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</si>
  <si>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</si>
  <si>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</si>
  <si>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</si>
  <si>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</si>
  <si>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</si>
  <si>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</si>
  <si>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</si>
  <si>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</si>
  <si>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</si>
  <si>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</si>
  <si>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</si>
  <si>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</si>
  <si>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</si>
  <si>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</si>
  <si>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</si>
  <si>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</si>
  <si>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</si>
  <si>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</si>
  <si>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</si>
  <si>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</si>
  <si>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</si>
  <si>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</si>
  <si>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</si>
  <si>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</si>
  <si>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</si>
  <si>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</si>
  <si>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</si>
  <si>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</si>
  <si>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</si>
  <si>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</si>
  <si>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</si>
  <si>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</si>
  <si>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</si>
  <si>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</si>
  <si>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</si>
  <si>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</si>
  <si>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</si>
  <si>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</si>
  <si>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</si>
  <si>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</si>
  <si>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</si>
  <si>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</si>
  <si>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</si>
  <si>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</si>
  <si>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</si>
  <si>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</si>
  <si>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</si>
  <si>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</si>
  <si>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</si>
  <si>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</si>
  <si>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</si>
  <si>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</si>
  <si>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</si>
  <si>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</si>
  <si>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</si>
  <si>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</si>
  <si>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</si>
  <si>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</si>
  <si>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</si>
  <si>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</si>
  <si>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</si>
  <si>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</si>
  <si>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</si>
  <si>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</si>
  <si>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</si>
  <si>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</si>
  <si>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</si>
  <si>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</si>
  <si>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</si>
  <si>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</si>
  <si>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</si>
  <si>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</si>
  <si>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</si>
  <si>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</si>
  <si>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</si>
  <si>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</si>
  <si>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</si>
  <si>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</si>
  <si>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</si>
  <si>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</si>
  <si>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</si>
  <si>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</si>
  <si>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</si>
  <si>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</si>
  <si>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</si>
  <si>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</si>
  <si>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</si>
  <si>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</si>
  <si>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</si>
  <si>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</si>
  <si>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</si>
  <si>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</si>
  <si>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</si>
  <si>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</si>
  <si>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</si>
  <si>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</si>
  <si>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</si>
  <si>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</si>
  <si>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</si>
  <si>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</si>
  <si>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</si>
  <si>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</si>
  <si>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</si>
  <si>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</si>
  <si>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</si>
  <si>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</si>
  <si>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</si>
  <si>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</si>
  <si>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</si>
  <si>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</si>
  <si>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</si>
  <si>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</si>
  <si>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</si>
  <si>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</si>
  <si>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</si>
  <si>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</si>
  <si>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</si>
  <si>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</si>
  <si>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</si>
  <si>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</si>
  <si>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</si>
  <si>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</si>
  <si>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</si>
  <si>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</si>
  <si>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</si>
  <si>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</si>
  <si>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</si>
  <si>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</si>
  <si>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</si>
  <si>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</si>
  <si>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</si>
  <si>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</si>
  <si>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</si>
  <si>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</si>
  <si>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</si>
  <si>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</si>
  <si>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</si>
  <si>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</si>
  <si>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</si>
  <si>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</si>
  <si>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</si>
  <si>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</si>
  <si>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</si>
  <si>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</si>
  <si>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</si>
  <si>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</si>
  <si>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</si>
  <si>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</si>
  <si>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</si>
  <si>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</si>
  <si>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</si>
  <si>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</si>
  <si>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</si>
  <si>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</si>
  <si>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</si>
  <si>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</si>
  <si>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</si>
  <si>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</si>
  <si>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</si>
  <si>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</si>
  <si>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</si>
  <si>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</si>
  <si>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</si>
  <si>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</si>
  <si>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</si>
  <si>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</si>
  <si>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</si>
  <si>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</si>
  <si>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</si>
  <si>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</si>
  <si>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</si>
  <si>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</si>
  <si>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</si>
  <si>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</si>
  <si>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</si>
  <si>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</si>
  <si>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</si>
  <si>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</si>
  <si>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</si>
  <si>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</si>
  <si>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</si>
  <si>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</si>
  <si>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</si>
  <si>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</si>
  <si>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</si>
  <si>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</si>
  <si>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</si>
  <si>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</si>
  <si>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</si>
  <si>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</si>
  <si>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</si>
  <si>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</si>
  <si>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</si>
  <si>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</si>
  <si>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</si>
  <si>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</si>
  <si>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</si>
  <si>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</si>
  <si>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</si>
  <si>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</si>
  <si>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</si>
  <si>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</si>
  <si>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</si>
  <si>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</si>
  <si>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</si>
  <si>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</si>
  <si>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</si>
  <si>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</si>
  <si>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</si>
  <si>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</si>
  <si>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</si>
  <si>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</si>
  <si>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</si>
  <si>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</si>
  <si>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</si>
  <si>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</si>
  <si>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</si>
  <si>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</si>
  <si>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</si>
  <si>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</si>
  <si>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</si>
  <si>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</si>
  <si>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</si>
  <si>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</si>
  <si>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</si>
  <si>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</si>
  <si>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</si>
  <si>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</si>
  <si>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</si>
  <si>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</si>
  <si>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</si>
  <si>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</si>
  <si>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</si>
  <si>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</si>
  <si>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</si>
  <si>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</si>
  <si>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</si>
  <si>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</si>
  <si>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</si>
  <si>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</si>
  <si>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</si>
  <si>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</si>
  <si>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</si>
  <si>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</si>
  <si>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</si>
  <si>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</si>
  <si>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</si>
  <si>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</si>
  <si>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</si>
  <si>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</si>
  <si>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</si>
  <si>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</si>
  <si>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</si>
  <si>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</si>
  <si>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</si>
  <si>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</si>
  <si>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</si>
  <si>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</si>
  <si>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</si>
  <si>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</si>
  <si>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</si>
  <si>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</si>
  <si>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</si>
  <si>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</si>
  <si>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</si>
  <si>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</si>
  <si>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</si>
  <si>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</si>
  <si>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</si>
  <si>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</si>
  <si>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</si>
  <si>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</si>
  <si>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</si>
  <si>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</si>
  <si>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</si>
  <si>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</si>
  <si>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</si>
  <si>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</si>
  <si>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</si>
  <si>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</si>
  <si>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</si>
  <si>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</si>
  <si>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</si>
  <si>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</si>
  <si>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</si>
  <si>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</si>
  <si>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</si>
  <si>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</si>
  <si>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</si>
  <si>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</si>
  <si>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</si>
  <si>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</si>
  <si>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</si>
  <si>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</si>
  <si>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</si>
  <si>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</si>
  <si>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</si>
  <si>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</si>
  <si>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</si>
  <si>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</si>
  <si>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</si>
  <si>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</si>
  <si>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</si>
  <si>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</si>
  <si>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</si>
  <si>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</si>
  <si>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</si>
  <si>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</si>
  <si>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</si>
  <si>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</si>
  <si>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</si>
  <si>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</si>
  <si>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</si>
  <si>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</si>
  <si>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</si>
  <si>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</si>
  <si>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</si>
  <si>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</si>
  <si>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</si>
  <si>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</si>
  <si>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</si>
  <si>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</si>
  <si>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</si>
  <si>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</si>
  <si>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</si>
  <si>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</si>
  <si>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</si>
  <si>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</si>
  <si>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</si>
  <si>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</si>
  <si>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</si>
  <si>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</si>
  <si>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</si>
  <si>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</si>
  <si>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</si>
  <si>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</si>
  <si>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</si>
  <si>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</si>
  <si>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</si>
  <si>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</si>
  <si>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</si>
  <si>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</si>
  <si>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</si>
  <si>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</si>
  <si>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</si>
  <si>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</si>
  <si>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</si>
  <si>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</si>
  <si>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</si>
  <si>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</si>
  <si>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</si>
  <si>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</si>
  <si>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</si>
  <si>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</si>
  <si>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</si>
  <si>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</si>
  <si>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</si>
  <si>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</si>
  <si>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</si>
  <si>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</si>
  <si>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</si>
  <si>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</si>
  <si>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</si>
  <si>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</si>
  <si>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</si>
  <si>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</si>
  <si>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</si>
  <si>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</si>
  <si>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</si>
  <si>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הפניקס גמל אגח סחיר</t>
  </si>
  <si>
    <t>הפניקס גמל מניות סחיר</t>
  </si>
  <si>
    <t>הפניקס גמל עוקב מדדי מניות</t>
  </si>
  <si>
    <t>הפניקס השתלמות משולב סחיר</t>
  </si>
  <si>
    <t>הפניקס השתלמות אגח סחיר</t>
  </si>
  <si>
    <t>הפניקס גמל להשקעה משולב סחיר</t>
  </si>
  <si>
    <t>הפניקס גמל להשקעה מניות סחיר</t>
  </si>
  <si>
    <t xml:space="preserve">הפניקס גמל עוקב מדדים גמיש </t>
  </si>
  <si>
    <t>הפניקס גמל להשקעה אגח סחיר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</si>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</sst>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mm/yyyy"/>
    <numFmt numFmtId="166" formatCode="[$-10409]#,##0;\(#,##0\)"/>
    <numFmt numFmtId="167" formatCode="_ * #,##0.000_ ;_ * \-#,##0.000_ ;_ * &quot;-&quot;??_ ;_ @_ "/>
    <numFmt numFmtId="168" formatCode="0.00000"/>
    <numFmt numFmtId="169" formatCode="_ * #,##0.0000_ ;_ * \-#,##0.0000_ ;_ * &quot;-&quot;??_ ;_ @_ 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2" borderId="0" xfId="0" applyFill="1" applyAlignment="1">
      <alignment horizontal="right"/>
    </xf>
    <xf numFmtId="165" fontId="2" fillId="0" borderId="0" xfId="0" applyNumberFormat="1" applyFont="1"/>
    <xf numFmtId="165" fontId="2" fillId="2" borderId="0" xfId="0" applyNumberFormat="1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64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6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7" fontId="0" fillId="0" borderId="0" xfId="0" applyNumberFormat="1"/>
    <xf numFmtId="168" fontId="0" fillId="0" borderId="0" xfId="0" applyNumberFormat="1"/>
    <xf numFmtId="169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0</xdr:rowOff>
    </xdr:from>
    <xdr:to>
      <xdr:col>4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794192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65</xdr:col>
      <xdr:colOff>47625</xdr:colOff>
      <xdr:row>0</xdr:row>
      <xdr:rowOff>0</xdr:rowOff>
    </xdr:from>
    <xdr:to>
      <xdr:col>65</xdr:col>
      <xdr:colOff>581025</xdr:colOff>
      <xdr:row>2</xdr:row>
      <xdr:rowOff>114300</xdr:rowOff>
    </xdr:to>
    <xdr:pic>
      <xdr:nvPicPr>
        <xdr:cNvPr id="3" name="Picture 2" descr="נגישות קבצים קנה מ-A עד Z סמל נגישות">
          <a:extLst>
            <a:ext uri="{FF2B5EF4-FFF2-40B4-BE49-F238E27FC236}">
              <a16:creationId xmlns:a16="http://schemas.microsoft.com/office/drawing/2014/main" id="{0B2588EA-45E9-4515-997A-03E8880E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7481375" y="0"/>
          <a:ext cx="533400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4"/>
      <sheetName val="גיליון226"/>
      <sheetName val="גיליון228"/>
      <sheetName val="גיליון230"/>
      <sheetName val="גיליון232"/>
      <sheetName val="גיליון23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60"/>
  <sheetViews>
    <sheetView rightToLeft="1" tabSelected="1" workbookViewId="0">
      <selection activeCell="K16" sqref="K16"/>
    </sheetView>
  </sheetViews>
  <sheetFormatPr defaultRowHeight="15" x14ac:dyDescent="0.25"/>
  <sheetData>
    <row r="1" spans="1:64" x14ac:dyDescent="0.25">
      <c r="B1" s="22" t="s">
        <v>703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</row>
    <row r="2" spans="1:64" ht="15.75" x14ac:dyDescent="0.25">
      <c r="A2" s="22" t="s">
        <v>704</v>
      </c>
      <c r="B2" s="1"/>
      <c r="C2" s="2"/>
      <c r="D2" s="2"/>
      <c r="E2" s="2"/>
      <c r="F2">
        <v>6</v>
      </c>
      <c r="G2">
        <v>10</v>
      </c>
      <c r="H2">
        <v>30</v>
      </c>
      <c r="I2">
        <v>50</v>
      </c>
      <c r="J2">
        <v>93</v>
      </c>
      <c r="K2">
        <v>99</v>
      </c>
      <c r="L2">
        <v>102</v>
      </c>
      <c r="M2">
        <v>122</v>
      </c>
      <c r="N2">
        <v>142</v>
      </c>
      <c r="O2">
        <v>164</v>
      </c>
      <c r="P2">
        <v>167</v>
      </c>
      <c r="Q2">
        <v>169</v>
      </c>
      <c r="R2">
        <v>425</v>
      </c>
      <c r="S2">
        <v>426</v>
      </c>
      <c r="T2">
        <v>499</v>
      </c>
      <c r="U2">
        <v>519</v>
      </c>
      <c r="V2">
        <v>526</v>
      </c>
      <c r="W2">
        <v>570</v>
      </c>
      <c r="X2">
        <v>571</v>
      </c>
      <c r="Y2">
        <v>572</v>
      </c>
      <c r="Z2">
        <v>573</v>
      </c>
      <c r="AA2">
        <v>574</v>
      </c>
      <c r="AB2">
        <v>628</v>
      </c>
      <c r="AC2">
        <v>629</v>
      </c>
      <c r="AD2">
        <v>631</v>
      </c>
      <c r="AE2">
        <v>632</v>
      </c>
      <c r="AF2">
        <v>658</v>
      </c>
      <c r="AG2">
        <v>660</v>
      </c>
      <c r="AH2">
        <v>662</v>
      </c>
      <c r="AI2">
        <v>664</v>
      </c>
      <c r="AJ2">
        <v>666</v>
      </c>
      <c r="AK2">
        <v>726</v>
      </c>
      <c r="AL2">
        <v>737</v>
      </c>
      <c r="AM2">
        <v>827</v>
      </c>
      <c r="AN2">
        <v>575</v>
      </c>
      <c r="AO2">
        <v>576</v>
      </c>
      <c r="AP2">
        <v>359</v>
      </c>
      <c r="AQ2" s="10">
        <v>828</v>
      </c>
      <c r="AR2" s="10">
        <v>844</v>
      </c>
      <c r="AS2" s="10">
        <v>839</v>
      </c>
      <c r="AT2" s="10">
        <v>857</v>
      </c>
      <c r="AU2" s="10">
        <v>608</v>
      </c>
      <c r="AV2" s="10">
        <v>849</v>
      </c>
      <c r="AW2" s="10">
        <v>846</v>
      </c>
      <c r="AX2" s="10">
        <v>834</v>
      </c>
      <c r="AY2" s="10">
        <v>506</v>
      </c>
      <c r="AZ2" s="10">
        <v>521</v>
      </c>
      <c r="BA2" s="10">
        <v>522</v>
      </c>
      <c r="BB2" s="10">
        <v>528</v>
      </c>
      <c r="BC2" s="10">
        <v>548</v>
      </c>
      <c r="BD2" s="10">
        <v>551</v>
      </c>
      <c r="BE2" s="10">
        <v>555</v>
      </c>
      <c r="BF2" s="10">
        <v>558</v>
      </c>
      <c r="BG2" s="10">
        <v>578</v>
      </c>
      <c r="BH2" s="10">
        <v>580</v>
      </c>
      <c r="BI2" s="10">
        <v>577</v>
      </c>
      <c r="BL2" s="22" t="s">
        <v>705</v>
      </c>
    </row>
    <row r="3" spans="1:64" x14ac:dyDescent="0.25">
      <c r="A3" s="22"/>
      <c r="F3" s="11">
        <v>401</v>
      </c>
      <c r="G3" s="11">
        <v>242</v>
      </c>
      <c r="H3" s="11">
        <v>385</v>
      </c>
      <c r="I3" s="11">
        <v>528</v>
      </c>
      <c r="J3" s="11">
        <v>384</v>
      </c>
      <c r="K3" s="11">
        <v>716</v>
      </c>
      <c r="L3" s="11">
        <v>715</v>
      </c>
      <c r="M3" s="11">
        <v>9916</v>
      </c>
      <c r="N3" s="11">
        <v>1100</v>
      </c>
      <c r="O3" s="11">
        <v>801</v>
      </c>
      <c r="P3" s="11">
        <v>804</v>
      </c>
      <c r="Q3" s="11">
        <v>806</v>
      </c>
      <c r="R3" s="11">
        <v>8765</v>
      </c>
      <c r="S3" s="11">
        <v>8766</v>
      </c>
      <c r="T3" s="11">
        <v>9418</v>
      </c>
      <c r="U3" s="11">
        <v>9475</v>
      </c>
      <c r="V3" s="11">
        <v>9906</v>
      </c>
      <c r="W3" s="11">
        <v>7905</v>
      </c>
      <c r="X3" s="11">
        <v>7906</v>
      </c>
      <c r="Y3" s="11">
        <v>7907</v>
      </c>
      <c r="Z3" s="11">
        <v>7908</v>
      </c>
      <c r="AA3" s="11">
        <v>7909</v>
      </c>
      <c r="AB3" s="11">
        <v>11310</v>
      </c>
      <c r="AC3" s="11">
        <v>11311</v>
      </c>
      <c r="AD3" s="11">
        <v>11312</v>
      </c>
      <c r="AE3" s="11">
        <v>11335</v>
      </c>
      <c r="AF3" s="11">
        <v>9529</v>
      </c>
      <c r="AG3" s="11">
        <v>961</v>
      </c>
      <c r="AH3" s="11">
        <v>9528</v>
      </c>
      <c r="AI3" s="11">
        <v>964</v>
      </c>
      <c r="AJ3" s="11">
        <v>968</v>
      </c>
      <c r="AK3" s="11">
        <v>8629</v>
      </c>
      <c r="AL3" s="11">
        <v>13264</v>
      </c>
      <c r="AM3" s="11">
        <v>13263</v>
      </c>
      <c r="AN3" s="11">
        <v>13209</v>
      </c>
      <c r="AO3" s="11">
        <v>13250</v>
      </c>
      <c r="AP3" s="11">
        <v>14281</v>
      </c>
      <c r="AQ3" s="12">
        <v>2049</v>
      </c>
      <c r="AR3" s="13">
        <v>7975</v>
      </c>
      <c r="AS3" s="13">
        <v>8004</v>
      </c>
      <c r="AT3" s="12">
        <v>1008</v>
      </c>
      <c r="AU3" s="12">
        <v>9484</v>
      </c>
      <c r="AV3" s="12">
        <v>682</v>
      </c>
      <c r="AW3" s="12">
        <v>11352</v>
      </c>
      <c r="AX3" s="12">
        <v>2058</v>
      </c>
      <c r="AY3" s="12">
        <v>15007</v>
      </c>
      <c r="AZ3" s="12">
        <v>15208</v>
      </c>
      <c r="BA3" s="12">
        <v>15209</v>
      </c>
      <c r="BB3" s="12">
        <v>15210</v>
      </c>
      <c r="BC3" s="12">
        <v>15211</v>
      </c>
      <c r="BD3" s="12">
        <v>15212</v>
      </c>
      <c r="BE3" s="12">
        <v>15232</v>
      </c>
      <c r="BF3" s="12">
        <v>15214</v>
      </c>
      <c r="BG3" s="12">
        <v>15233</v>
      </c>
      <c r="BH3" s="12">
        <v>15234</v>
      </c>
      <c r="BI3" s="12">
        <v>15215</v>
      </c>
      <c r="BL3" s="22"/>
    </row>
    <row r="4" spans="1:64" ht="15.75" x14ac:dyDescent="0.25">
      <c r="A4" s="22"/>
      <c r="B4" s="3">
        <v>46174</v>
      </c>
      <c r="C4" s="2"/>
      <c r="D4" s="2"/>
      <c r="E4" s="2"/>
      <c r="F4" t="s">
        <v>614</v>
      </c>
      <c r="G4" t="s">
        <v>615</v>
      </c>
      <c r="H4" t="s">
        <v>616</v>
      </c>
      <c r="I4" t="s">
        <v>617</v>
      </c>
      <c r="J4" t="s">
        <v>618</v>
      </c>
      <c r="K4" t="s">
        <v>619</v>
      </c>
      <c r="L4" t="s">
        <v>620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  <c r="R4" t="s">
        <v>626</v>
      </c>
      <c r="S4" t="s">
        <v>627</v>
      </c>
      <c r="T4" t="s">
        <v>628</v>
      </c>
      <c r="U4" t="s">
        <v>629</v>
      </c>
      <c r="V4" t="s">
        <v>630</v>
      </c>
      <c r="W4" t="s">
        <v>631</v>
      </c>
      <c r="X4" t="s">
        <v>632</v>
      </c>
      <c r="Y4" t="s">
        <v>633</v>
      </c>
      <c r="Z4" t="s">
        <v>634</v>
      </c>
      <c r="AA4" t="s">
        <v>635</v>
      </c>
      <c r="AB4" t="s">
        <v>636</v>
      </c>
      <c r="AC4" t="s">
        <v>637</v>
      </c>
      <c r="AD4" t="s">
        <v>638</v>
      </c>
      <c r="AE4" t="s">
        <v>639</v>
      </c>
      <c r="AF4" t="s">
        <v>640</v>
      </c>
      <c r="AG4" t="s">
        <v>641</v>
      </c>
      <c r="AH4" t="s">
        <v>642</v>
      </c>
      <c r="AI4" t="s">
        <v>643</v>
      </c>
      <c r="AJ4" t="s">
        <v>644</v>
      </c>
      <c r="AK4" t="s">
        <v>645</v>
      </c>
      <c r="AL4" t="s">
        <v>646</v>
      </c>
      <c r="AM4" t="s">
        <v>647</v>
      </c>
      <c r="AN4" t="s">
        <v>648</v>
      </c>
      <c r="AO4" t="s">
        <v>649</v>
      </c>
      <c r="AP4" t="s">
        <v>650</v>
      </c>
      <c r="AQ4" s="14" t="s">
        <v>651</v>
      </c>
      <c r="AR4" s="15" t="s">
        <v>652</v>
      </c>
      <c r="AS4" s="14" t="s">
        <v>653</v>
      </c>
      <c r="AT4" s="14" t="s">
        <v>654</v>
      </c>
      <c r="AU4" s="14" t="s">
        <v>655</v>
      </c>
      <c r="AV4" s="14" t="s">
        <v>656</v>
      </c>
      <c r="AW4" s="14" t="s">
        <v>657</v>
      </c>
      <c r="AX4" s="14" t="s">
        <v>658</v>
      </c>
      <c r="AY4" s="14" t="s">
        <v>659</v>
      </c>
      <c r="AZ4" t="s">
        <v>660</v>
      </c>
      <c r="BA4" t="s">
        <v>661</v>
      </c>
      <c r="BB4" t="s">
        <v>662</v>
      </c>
      <c r="BC4" t="s">
        <v>663</v>
      </c>
      <c r="BD4" t="s">
        <v>664</v>
      </c>
      <c r="BE4" t="s">
        <v>664</v>
      </c>
      <c r="BF4" t="s">
        <v>665</v>
      </c>
      <c r="BG4" t="s">
        <v>666</v>
      </c>
      <c r="BH4" t="s">
        <v>667</v>
      </c>
      <c r="BI4" t="s">
        <v>668</v>
      </c>
      <c r="BL4" s="22"/>
    </row>
    <row r="5" spans="1:64" ht="15.75" x14ac:dyDescent="0.25">
      <c r="A5" s="22"/>
      <c r="B5" s="4"/>
      <c r="C5" s="5"/>
      <c r="D5" s="5"/>
      <c r="E5" s="6" t="s">
        <v>0</v>
      </c>
      <c r="F5" s="16" t="s">
        <v>669</v>
      </c>
      <c r="G5" s="16" t="s">
        <v>670</v>
      </c>
      <c r="H5" s="16" t="s">
        <v>671</v>
      </c>
      <c r="I5" s="16" t="s">
        <v>672</v>
      </c>
      <c r="J5" s="16" t="s">
        <v>673</v>
      </c>
      <c r="K5" s="16" t="s">
        <v>674</v>
      </c>
      <c r="L5" s="16" t="s">
        <v>675</v>
      </c>
      <c r="M5" s="16" t="s">
        <v>676</v>
      </c>
      <c r="N5" s="16" t="s">
        <v>677</v>
      </c>
      <c r="O5" s="16" t="s">
        <v>678</v>
      </c>
      <c r="P5" s="16" t="s">
        <v>679</v>
      </c>
      <c r="Q5" s="16" t="s">
        <v>680</v>
      </c>
      <c r="R5" s="16" t="s">
        <v>681</v>
      </c>
      <c r="S5" s="16" t="s">
        <v>682</v>
      </c>
      <c r="T5" s="16" t="s">
        <v>683</v>
      </c>
      <c r="U5" s="16" t="s">
        <v>684</v>
      </c>
      <c r="V5" s="16" t="s">
        <v>685</v>
      </c>
      <c r="W5" s="16" t="s">
        <v>686</v>
      </c>
      <c r="X5" s="16" t="s">
        <v>687</v>
      </c>
      <c r="Y5" s="16" t="s">
        <v>688</v>
      </c>
      <c r="Z5" s="16" t="s">
        <v>689</v>
      </c>
      <c r="AA5" s="16" t="s">
        <v>690</v>
      </c>
      <c r="AB5" s="16" t="s">
        <v>691</v>
      </c>
      <c r="AC5" s="16" t="s">
        <v>692</v>
      </c>
      <c r="AD5" s="16" t="s">
        <v>693</v>
      </c>
      <c r="AE5" s="16" t="s">
        <v>694</v>
      </c>
      <c r="AF5" s="16" t="s">
        <v>695</v>
      </c>
      <c r="AG5" s="16" t="s">
        <v>696</v>
      </c>
      <c r="AH5" s="16" t="s">
        <v>697</v>
      </c>
      <c r="AI5" s="16" t="s">
        <v>698</v>
      </c>
      <c r="AJ5" s="16" t="s">
        <v>699</v>
      </c>
      <c r="AK5" s="16" t="s">
        <v>700</v>
      </c>
      <c r="AL5" s="16" t="s">
        <v>701</v>
      </c>
      <c r="AM5" s="16" t="s">
        <v>702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L5" s="22"/>
    </row>
    <row r="6" spans="1:64" ht="15.75" x14ac:dyDescent="0.25">
      <c r="A6" s="22"/>
      <c r="B6" s="7" t="s">
        <v>1</v>
      </c>
      <c r="C6" s="7" t="s">
        <v>2</v>
      </c>
      <c r="D6" s="8">
        <v>1</v>
      </c>
      <c r="E6" s="8">
        <v>1</v>
      </c>
      <c r="F6" s="8">
        <v>246621.88800000001</v>
      </c>
      <c r="G6" s="8">
        <v>29816.871999999999</v>
      </c>
      <c r="H6" s="8">
        <v>25991.911</v>
      </c>
      <c r="I6" s="8">
        <v>11.257999999999999</v>
      </c>
      <c r="J6" s="8">
        <v>3080.1320000000001</v>
      </c>
      <c r="K6" s="8">
        <v>16676.234</v>
      </c>
      <c r="L6" s="8">
        <v>16308.043</v>
      </c>
      <c r="M6" s="8">
        <v>290767.69799999997</v>
      </c>
      <c r="N6" s="8">
        <v>55973.817999999999</v>
      </c>
      <c r="O6" s="8">
        <v>7.1999999999999995E-2</v>
      </c>
      <c r="P6" s="8">
        <v>1367.23</v>
      </c>
      <c r="Q6" s="8">
        <v>81.402000000000001</v>
      </c>
      <c r="R6" s="8">
        <v>831.92499999999995</v>
      </c>
      <c r="S6" s="8">
        <v>504.71600000000001</v>
      </c>
      <c r="T6" s="8">
        <v>9926.1579999999994</v>
      </c>
      <c r="U6" s="8">
        <v>2.1999999999999999E-2</v>
      </c>
      <c r="V6" s="8">
        <v>12529.127</v>
      </c>
      <c r="W6" s="8">
        <v>3411.9639999999999</v>
      </c>
      <c r="X6" s="8">
        <v>6930.9970000000003</v>
      </c>
      <c r="Y6" s="8">
        <v>4894.5320000000002</v>
      </c>
      <c r="Z6" s="8">
        <v>83024.012000000002</v>
      </c>
      <c r="AA6" s="8">
        <v>3877.8339999999998</v>
      </c>
      <c r="AB6" s="8">
        <v>39736.858</v>
      </c>
      <c r="AC6" s="8">
        <v>44304.574000000001</v>
      </c>
      <c r="AD6" s="8">
        <v>5842.7259999999997</v>
      </c>
      <c r="AE6" s="8">
        <v>2253.1750000000002</v>
      </c>
      <c r="AF6" s="8">
        <v>250559.25</v>
      </c>
      <c r="AG6" s="8">
        <v>136430.429</v>
      </c>
      <c r="AH6" s="8">
        <v>15058.018</v>
      </c>
      <c r="AI6" s="8">
        <v>595599.55599999998</v>
      </c>
      <c r="AJ6" s="8">
        <v>198345.88500000001</v>
      </c>
      <c r="AK6" s="8">
        <v>19699.62</v>
      </c>
      <c r="AL6" s="8">
        <v>250695.80100000001</v>
      </c>
      <c r="AM6" s="8">
        <v>127609.88400000001</v>
      </c>
      <c r="AN6" s="8">
        <v>3281.8850000000002</v>
      </c>
      <c r="AO6" s="8">
        <v>84420.18</v>
      </c>
      <c r="AP6" s="8">
        <v>8112.1149999999998</v>
      </c>
      <c r="AQ6" s="8">
        <v>5201.2870000000003</v>
      </c>
      <c r="AR6" s="8">
        <v>61009.078999999998</v>
      </c>
      <c r="AS6" s="8">
        <v>787.30600000000004</v>
      </c>
      <c r="AT6" s="8">
        <v>137.19200000000001</v>
      </c>
      <c r="AU6" s="8">
        <v>0</v>
      </c>
      <c r="AV6" s="8">
        <v>7161.5079999999998</v>
      </c>
      <c r="AW6" s="8">
        <v>2465.5189999999998</v>
      </c>
      <c r="AX6" s="8">
        <v>7567.7960000000003</v>
      </c>
      <c r="AY6" s="8">
        <v>6639.7960000000003</v>
      </c>
      <c r="AZ6" s="8">
        <v>4153.8040000000001</v>
      </c>
      <c r="BA6" s="8">
        <v>14166.883</v>
      </c>
      <c r="BB6" s="8">
        <v>7464.3710000000001</v>
      </c>
      <c r="BC6" s="8">
        <v>5262.2619999999997</v>
      </c>
      <c r="BD6" s="8">
        <v>1848.809</v>
      </c>
      <c r="BE6" s="8">
        <v>18952.900000000001</v>
      </c>
      <c r="BF6" s="8">
        <v>1515.982</v>
      </c>
      <c r="BG6" s="8">
        <v>5904.5429999999997</v>
      </c>
      <c r="BH6" s="8">
        <v>13690.048000000001</v>
      </c>
      <c r="BI6" s="8">
        <v>686.96799999999996</v>
      </c>
      <c r="BL6" s="22"/>
    </row>
    <row r="7" spans="1:64" ht="15.75" x14ac:dyDescent="0.25">
      <c r="A7" s="22"/>
      <c r="B7" s="7" t="s">
        <v>3</v>
      </c>
      <c r="C7" s="7" t="s">
        <v>4</v>
      </c>
      <c r="D7" s="8">
        <v>1</v>
      </c>
      <c r="E7" s="8">
        <v>1</v>
      </c>
      <c r="F7" s="8">
        <v>201807.96799999999</v>
      </c>
      <c r="G7" s="8">
        <v>16166.522000000001</v>
      </c>
      <c r="H7" s="8">
        <v>14634.823</v>
      </c>
      <c r="I7" s="8">
        <v>113.51600000000001</v>
      </c>
      <c r="J7" s="8">
        <v>4773.7809999999999</v>
      </c>
      <c r="K7" s="8">
        <v>6809.3440000000001</v>
      </c>
      <c r="L7" s="8">
        <v>0</v>
      </c>
      <c r="M7" s="8">
        <v>192747.26500000001</v>
      </c>
      <c r="N7" s="8">
        <v>54682.322999999997</v>
      </c>
      <c r="O7" s="8">
        <v>0</v>
      </c>
      <c r="P7" s="8">
        <v>229.375</v>
      </c>
      <c r="Q7" s="8">
        <v>692.827</v>
      </c>
      <c r="R7" s="8">
        <v>143.19900000000001</v>
      </c>
      <c r="S7" s="8">
        <v>338.66899999999998</v>
      </c>
      <c r="T7" s="8">
        <v>3156.8470000000002</v>
      </c>
      <c r="U7" s="8">
        <v>0</v>
      </c>
      <c r="V7" s="8">
        <v>0</v>
      </c>
      <c r="W7" s="8">
        <v>813.49599999999998</v>
      </c>
      <c r="X7" s="8">
        <v>3421.8009999999999</v>
      </c>
      <c r="Y7" s="8">
        <v>386.50200000000001</v>
      </c>
      <c r="Z7" s="8">
        <v>52173.995999999999</v>
      </c>
      <c r="AA7" s="8">
        <v>3082.9169999999999</v>
      </c>
      <c r="AB7" s="8">
        <v>24924.647000000001</v>
      </c>
      <c r="AC7" s="8">
        <v>5987.0469999999996</v>
      </c>
      <c r="AD7" s="8">
        <v>4882.9070000000002</v>
      </c>
      <c r="AE7" s="8">
        <v>983.26499999999999</v>
      </c>
      <c r="AF7" s="8">
        <v>149887.891</v>
      </c>
      <c r="AG7" s="8">
        <v>62938.203999999998</v>
      </c>
      <c r="AH7" s="8">
        <v>5236.107</v>
      </c>
      <c r="AI7" s="8">
        <v>318210.24200000003</v>
      </c>
      <c r="AJ7" s="8">
        <v>94774.487999999998</v>
      </c>
      <c r="AK7" s="8">
        <v>14744.085999999999</v>
      </c>
      <c r="AL7" s="8">
        <v>263937.75699999998</v>
      </c>
      <c r="AM7" s="8">
        <v>133019.261</v>
      </c>
      <c r="AN7" s="8">
        <v>0</v>
      </c>
      <c r="AO7" s="8">
        <v>88289.915999999997</v>
      </c>
      <c r="AP7" s="8">
        <v>2532.2800000000002</v>
      </c>
      <c r="AQ7" s="8">
        <v>8997.9069999999992</v>
      </c>
      <c r="AR7" s="8">
        <v>22424.038</v>
      </c>
      <c r="AS7" s="8">
        <v>2223.3139999999999</v>
      </c>
      <c r="AT7" s="8">
        <v>43.177</v>
      </c>
      <c r="AU7" s="8">
        <v>0</v>
      </c>
      <c r="AV7" s="8">
        <v>1850.568</v>
      </c>
      <c r="AW7" s="8">
        <v>5768.18</v>
      </c>
      <c r="AX7" s="8">
        <v>13097.263000000001</v>
      </c>
      <c r="AY7" s="8">
        <v>487.49</v>
      </c>
      <c r="AZ7" s="8">
        <v>354.28</v>
      </c>
      <c r="BA7" s="8">
        <v>692.81500000000005</v>
      </c>
      <c r="BB7" s="8">
        <v>370.23700000000002</v>
      </c>
      <c r="BC7" s="8">
        <v>1098.9110000000001</v>
      </c>
      <c r="BD7" s="8">
        <v>245.702</v>
      </c>
      <c r="BE7" s="8">
        <v>887.42200000000003</v>
      </c>
      <c r="BF7" s="8">
        <v>338.88900000000001</v>
      </c>
      <c r="BG7" s="8">
        <v>311.065</v>
      </c>
      <c r="BH7" s="8">
        <v>9740.473</v>
      </c>
      <c r="BI7" s="8">
        <v>46.899000000000001</v>
      </c>
      <c r="BL7" s="22"/>
    </row>
    <row r="8" spans="1:64" ht="15.75" x14ac:dyDescent="0.25">
      <c r="A8" s="22"/>
      <c r="B8" s="7" t="s">
        <v>5</v>
      </c>
      <c r="C8" s="7" t="s">
        <v>6</v>
      </c>
      <c r="D8" s="8">
        <v>1</v>
      </c>
      <c r="E8" s="8">
        <v>1</v>
      </c>
      <c r="F8" s="8">
        <v>152735.31400000001</v>
      </c>
      <c r="G8" s="8">
        <v>11745.534</v>
      </c>
      <c r="H8" s="8">
        <v>17529.811000000002</v>
      </c>
      <c r="I8" s="8">
        <v>14884.989</v>
      </c>
      <c r="J8" s="8">
        <v>1117.327</v>
      </c>
      <c r="K8" s="8">
        <v>6048.6679999999997</v>
      </c>
      <c r="L8" s="8">
        <v>2865.1959999999999</v>
      </c>
      <c r="M8" s="8">
        <v>204148.902</v>
      </c>
      <c r="N8" s="8">
        <v>21556.460999999999</v>
      </c>
      <c r="O8" s="8">
        <v>44.77</v>
      </c>
      <c r="P8" s="8">
        <v>1772.2049999999999</v>
      </c>
      <c r="Q8" s="8">
        <v>141.58600000000001</v>
      </c>
      <c r="R8" s="8">
        <v>710.68200000000002</v>
      </c>
      <c r="S8" s="8">
        <v>369.81200000000001</v>
      </c>
      <c r="T8" s="8">
        <v>3418.2060000000001</v>
      </c>
      <c r="U8" s="8">
        <v>9.8260000000000005</v>
      </c>
      <c r="V8" s="8">
        <v>2107.7469999999998</v>
      </c>
      <c r="W8" s="8">
        <v>3268.6489999999999</v>
      </c>
      <c r="X8" s="8">
        <v>5221.4849999999997</v>
      </c>
      <c r="Y8" s="8">
        <v>2441.5729999999999</v>
      </c>
      <c r="Z8" s="8">
        <v>43872.46</v>
      </c>
      <c r="AA8" s="8">
        <v>3492.6579999999999</v>
      </c>
      <c r="AB8" s="8">
        <v>25086.48</v>
      </c>
      <c r="AC8" s="8">
        <v>49017.695</v>
      </c>
      <c r="AD8" s="8">
        <v>2799.5070000000001</v>
      </c>
      <c r="AE8" s="8">
        <v>3373.7249999999999</v>
      </c>
      <c r="AF8" s="8">
        <v>199578.90900000001</v>
      </c>
      <c r="AG8" s="8">
        <v>70156.06</v>
      </c>
      <c r="AH8" s="8">
        <v>22453.477999999999</v>
      </c>
      <c r="AI8" s="8">
        <v>403445.397</v>
      </c>
      <c r="AJ8" s="8">
        <v>56330.697</v>
      </c>
      <c r="AK8" s="8">
        <v>17861.002</v>
      </c>
      <c r="AL8" s="8">
        <v>559944.35</v>
      </c>
      <c r="AM8" s="8">
        <v>304452.84499999997</v>
      </c>
      <c r="AN8" s="8">
        <v>599.29200000000003</v>
      </c>
      <c r="AO8" s="8">
        <v>200964.37599999999</v>
      </c>
      <c r="AP8" s="8">
        <v>3935.1480000000001</v>
      </c>
      <c r="AQ8" s="8">
        <v>0</v>
      </c>
      <c r="AR8" s="8">
        <v>9878.6110000000008</v>
      </c>
      <c r="AS8" s="8">
        <v>0</v>
      </c>
      <c r="AT8" s="8">
        <v>13.744999999999999</v>
      </c>
      <c r="AU8" s="8">
        <v>0</v>
      </c>
      <c r="AV8" s="8">
        <v>200.13499999999999</v>
      </c>
      <c r="AW8" s="8">
        <v>0</v>
      </c>
      <c r="AX8" s="8">
        <v>0</v>
      </c>
      <c r="AY8" s="8">
        <v>19496.692999999999</v>
      </c>
      <c r="AZ8" s="8">
        <v>454.19400000000002</v>
      </c>
      <c r="BA8" s="8">
        <v>3637.2280000000001</v>
      </c>
      <c r="BB8" s="8">
        <v>477.74900000000002</v>
      </c>
      <c r="BC8" s="8">
        <v>456.48399999999998</v>
      </c>
      <c r="BD8" s="8">
        <v>166.25399999999999</v>
      </c>
      <c r="BE8" s="8">
        <v>4727.9889999999996</v>
      </c>
      <c r="BF8" s="8">
        <v>133.99600000000001</v>
      </c>
      <c r="BG8" s="8">
        <v>1635.117</v>
      </c>
      <c r="BH8" s="8">
        <v>7947.57</v>
      </c>
      <c r="BI8" s="8">
        <v>57.344999999999999</v>
      </c>
      <c r="BL8" s="22"/>
    </row>
    <row r="9" spans="1:64" ht="15.75" x14ac:dyDescent="0.25">
      <c r="A9" s="22"/>
      <c r="B9" s="7" t="s">
        <v>7</v>
      </c>
      <c r="C9" s="7" t="s">
        <v>8</v>
      </c>
      <c r="D9" s="8">
        <v>1</v>
      </c>
      <c r="E9" s="8">
        <v>1</v>
      </c>
      <c r="F9" s="8">
        <v>765017.89500000002</v>
      </c>
      <c r="G9" s="8">
        <v>101060.49099999999</v>
      </c>
      <c r="H9" s="8">
        <v>0</v>
      </c>
      <c r="I9" s="8">
        <v>0</v>
      </c>
      <c r="J9" s="8">
        <v>2798.8690000000001</v>
      </c>
      <c r="K9" s="8">
        <v>0</v>
      </c>
      <c r="L9" s="8">
        <v>0</v>
      </c>
      <c r="M9" s="8">
        <v>1545422.719</v>
      </c>
      <c r="N9" s="8">
        <v>43791.517999999996</v>
      </c>
      <c r="O9" s="8">
        <v>0</v>
      </c>
      <c r="P9" s="8">
        <v>9423.3349999999991</v>
      </c>
      <c r="Q9" s="8">
        <v>0</v>
      </c>
      <c r="R9" s="8">
        <v>5146.9290000000001</v>
      </c>
      <c r="S9" s="8">
        <v>1175.412</v>
      </c>
      <c r="T9" s="8">
        <v>32553.766</v>
      </c>
      <c r="U9" s="8">
        <v>0</v>
      </c>
      <c r="V9" s="8">
        <v>0</v>
      </c>
      <c r="W9" s="8">
        <v>0</v>
      </c>
      <c r="X9" s="8">
        <v>10955.861000000001</v>
      </c>
      <c r="Y9" s="8">
        <v>78678.820000000007</v>
      </c>
      <c r="Z9" s="8">
        <v>371250.12699999998</v>
      </c>
      <c r="AA9" s="8">
        <v>32091.076000000001</v>
      </c>
      <c r="AB9" s="8">
        <v>63079.519999999997</v>
      </c>
      <c r="AC9" s="8">
        <v>339779.739</v>
      </c>
      <c r="AD9" s="8">
        <v>20728.988000000001</v>
      </c>
      <c r="AE9" s="8">
        <v>14254.073</v>
      </c>
      <c r="AF9" s="8">
        <v>1086541.6399999999</v>
      </c>
      <c r="AG9" s="8">
        <v>966087.05500000005</v>
      </c>
      <c r="AH9" s="8">
        <v>91962.84</v>
      </c>
      <c r="AI9" s="8">
        <v>2727737.341</v>
      </c>
      <c r="AJ9" s="8">
        <v>1396602.6569999999</v>
      </c>
      <c r="AK9" s="8">
        <v>161418.777</v>
      </c>
      <c r="AL9" s="8">
        <v>4676246.3940000003</v>
      </c>
      <c r="AM9" s="8">
        <v>2380288.4819999998</v>
      </c>
      <c r="AN9" s="8">
        <v>0</v>
      </c>
      <c r="AO9" s="8">
        <v>1574713.56</v>
      </c>
      <c r="AP9" s="8">
        <v>33937.396999999997</v>
      </c>
      <c r="AQ9" s="8">
        <v>0</v>
      </c>
      <c r="AR9" s="8">
        <v>396526.90700000001</v>
      </c>
      <c r="AS9" s="8">
        <v>0</v>
      </c>
      <c r="AT9" s="8">
        <v>329.53899999999999</v>
      </c>
      <c r="AU9" s="8">
        <v>0</v>
      </c>
      <c r="AV9" s="8">
        <v>2062.4070000000002</v>
      </c>
      <c r="AW9" s="8">
        <v>0</v>
      </c>
      <c r="AX9" s="8">
        <v>0</v>
      </c>
      <c r="AY9" s="8">
        <v>106734.69500000001</v>
      </c>
      <c r="AZ9" s="8">
        <v>0</v>
      </c>
      <c r="BA9" s="8">
        <v>0</v>
      </c>
      <c r="BB9" s="8">
        <v>85980.15</v>
      </c>
      <c r="BC9" s="8">
        <v>15743.509</v>
      </c>
      <c r="BD9" s="8">
        <v>0</v>
      </c>
      <c r="BE9" s="8">
        <v>0</v>
      </c>
      <c r="BF9" s="8">
        <v>4706.3680000000004</v>
      </c>
      <c r="BG9" s="8">
        <v>0</v>
      </c>
      <c r="BH9" s="8">
        <v>92035.627999999997</v>
      </c>
      <c r="BI9" s="8">
        <v>0</v>
      </c>
      <c r="BL9" s="22"/>
    </row>
    <row r="10" spans="1:64" ht="15.75" x14ac:dyDescent="0.25">
      <c r="A10" s="22"/>
      <c r="B10" s="7" t="s">
        <v>9</v>
      </c>
      <c r="C10" s="7" t="s">
        <v>10</v>
      </c>
      <c r="D10" s="8">
        <v>1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L10" s="22"/>
    </row>
    <row r="11" spans="1:64" ht="15.75" x14ac:dyDescent="0.25">
      <c r="A11" s="22"/>
      <c r="B11" s="7" t="s">
        <v>11</v>
      </c>
      <c r="C11" s="7" t="s">
        <v>12</v>
      </c>
      <c r="D11" s="8">
        <v>1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L11" s="22"/>
    </row>
    <row r="12" spans="1:64" ht="15.75" x14ac:dyDescent="0.25">
      <c r="A12" s="22"/>
      <c r="B12" s="7" t="s">
        <v>13</v>
      </c>
      <c r="C12" s="7" t="s">
        <v>14</v>
      </c>
      <c r="D12" s="8">
        <v>1</v>
      </c>
      <c r="E12" s="8">
        <v>1</v>
      </c>
      <c r="F12" s="8">
        <v>77209.274999999994</v>
      </c>
      <c r="G12" s="8">
        <v>9930.3179999999993</v>
      </c>
      <c r="H12" s="8">
        <v>2396.5990000000002</v>
      </c>
      <c r="I12" s="8">
        <v>0</v>
      </c>
      <c r="J12" s="8">
        <v>593.83199999999999</v>
      </c>
      <c r="K12" s="8">
        <v>1983.883</v>
      </c>
      <c r="L12" s="8">
        <v>0</v>
      </c>
      <c r="M12" s="8">
        <v>124348.417</v>
      </c>
      <c r="N12" s="8">
        <v>8756.0030000000006</v>
      </c>
      <c r="O12" s="8">
        <v>0</v>
      </c>
      <c r="P12" s="8">
        <v>245.84</v>
      </c>
      <c r="Q12" s="8">
        <v>28.698</v>
      </c>
      <c r="R12" s="8">
        <v>152.173</v>
      </c>
      <c r="S12" s="8">
        <v>10.794</v>
      </c>
      <c r="T12" s="8">
        <v>3439.5419999999999</v>
      </c>
      <c r="U12" s="8">
        <v>0</v>
      </c>
      <c r="V12" s="8">
        <v>0</v>
      </c>
      <c r="W12" s="8">
        <v>402.07799999999997</v>
      </c>
      <c r="X12" s="8">
        <v>1449.6569999999999</v>
      </c>
      <c r="Y12" s="8">
        <v>9848.1990000000005</v>
      </c>
      <c r="Z12" s="8">
        <v>32429.626</v>
      </c>
      <c r="AA12" s="8">
        <v>894.91</v>
      </c>
      <c r="AB12" s="8">
        <v>8632.3310000000001</v>
      </c>
      <c r="AC12" s="8">
        <v>11689.21</v>
      </c>
      <c r="AD12" s="8">
        <v>1975.7529999999999</v>
      </c>
      <c r="AE12" s="8">
        <v>115.88500000000001</v>
      </c>
      <c r="AF12" s="8">
        <v>91624.634000000005</v>
      </c>
      <c r="AG12" s="8">
        <v>71011.884999999995</v>
      </c>
      <c r="AH12" s="8">
        <v>566.45799999999997</v>
      </c>
      <c r="AI12" s="8">
        <v>239198.226</v>
      </c>
      <c r="AJ12" s="8">
        <v>103022.639</v>
      </c>
      <c r="AK12" s="8">
        <v>4725.7910000000002</v>
      </c>
      <c r="AL12" s="8">
        <v>258318.774</v>
      </c>
      <c r="AM12" s="8">
        <v>131488.62299999999</v>
      </c>
      <c r="AN12" s="8">
        <v>0</v>
      </c>
      <c r="AO12" s="8">
        <v>86988.160999999993</v>
      </c>
      <c r="AP12" s="8">
        <v>2978.05</v>
      </c>
      <c r="AQ12" s="8">
        <v>0</v>
      </c>
      <c r="AR12" s="8">
        <v>28998.959999999999</v>
      </c>
      <c r="AS12" s="8">
        <v>0</v>
      </c>
      <c r="AT12" s="8">
        <v>28.591999999999999</v>
      </c>
      <c r="AU12" s="8">
        <v>0</v>
      </c>
      <c r="AV12" s="8">
        <v>223.81399999999999</v>
      </c>
      <c r="AW12" s="8">
        <v>0</v>
      </c>
      <c r="AX12" s="8">
        <v>0</v>
      </c>
      <c r="AY12" s="8">
        <v>13359.942999999999</v>
      </c>
      <c r="AZ12" s="8">
        <v>195.3</v>
      </c>
      <c r="BA12" s="8">
        <v>1601.1969999999999</v>
      </c>
      <c r="BB12" s="8">
        <v>10762.103999999999</v>
      </c>
      <c r="BC12" s="8">
        <v>1378.011</v>
      </c>
      <c r="BD12" s="8">
        <v>71.515000000000001</v>
      </c>
      <c r="BE12" s="8">
        <v>2081.377</v>
      </c>
      <c r="BF12" s="8">
        <v>410.94200000000001</v>
      </c>
      <c r="BG12" s="8">
        <v>719.81899999999996</v>
      </c>
      <c r="BH12" s="8">
        <v>2587.0819999999999</v>
      </c>
      <c r="BI12" s="8">
        <v>24.603000000000002</v>
      </c>
      <c r="BL12" s="22"/>
    </row>
    <row r="13" spans="1:64" ht="15.75" x14ac:dyDescent="0.25">
      <c r="A13" s="22"/>
      <c r="B13" s="7" t="s">
        <v>3</v>
      </c>
      <c r="C13" s="7" t="s">
        <v>15</v>
      </c>
      <c r="D13" s="8">
        <v>1</v>
      </c>
      <c r="E13" s="8">
        <v>1</v>
      </c>
      <c r="F13" s="8">
        <v>27.190999999999999</v>
      </c>
      <c r="G13" s="8">
        <v>3.762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121.212</v>
      </c>
      <c r="N13" s="8">
        <v>8.9969999999999999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8.3040000000000003</v>
      </c>
      <c r="AG13" s="8">
        <v>1.236</v>
      </c>
      <c r="AH13" s="8">
        <v>0</v>
      </c>
      <c r="AI13" s="8">
        <v>77.831000000000003</v>
      </c>
      <c r="AJ13" s="8">
        <v>0.83799999999999997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L13" s="22"/>
    </row>
    <row r="14" spans="1:64" ht="15.75" x14ac:dyDescent="0.25">
      <c r="A14" s="22"/>
      <c r="B14" s="7" t="s">
        <v>16</v>
      </c>
      <c r="C14" s="7" t="s">
        <v>17</v>
      </c>
      <c r="D14" s="8">
        <v>1</v>
      </c>
      <c r="E14" s="8">
        <v>1</v>
      </c>
      <c r="F14" s="8">
        <v>34281.249000000003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15674.42</v>
      </c>
      <c r="N14" s="8">
        <v>23048.616000000002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0.02</v>
      </c>
      <c r="Z14" s="8">
        <v>5323.1369999999997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22982.326000000001</v>
      </c>
      <c r="AG14" s="8">
        <v>15666.956</v>
      </c>
      <c r="AH14" s="8">
        <v>0</v>
      </c>
      <c r="AI14" s="8">
        <v>52332</v>
      </c>
      <c r="AJ14" s="8">
        <v>55232.387000000002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6135.1139999999996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L14" s="22"/>
    </row>
    <row r="15" spans="1:64" ht="15.75" x14ac:dyDescent="0.25">
      <c r="A15" s="22"/>
      <c r="B15" s="7" t="s">
        <v>18</v>
      </c>
      <c r="C15" s="7" t="s">
        <v>19</v>
      </c>
      <c r="D15" s="8">
        <v>2</v>
      </c>
      <c r="E15" s="8">
        <v>2</v>
      </c>
      <c r="F15" s="8">
        <v>1093806.8060000001</v>
      </c>
      <c r="G15" s="8">
        <v>81706.467000000004</v>
      </c>
      <c r="H15" s="8">
        <v>193728.49600000001</v>
      </c>
      <c r="I15" s="8">
        <v>0</v>
      </c>
      <c r="J15" s="8">
        <v>24317.371999999999</v>
      </c>
      <c r="K15" s="8">
        <v>121334.94500000001</v>
      </c>
      <c r="L15" s="8">
        <v>0</v>
      </c>
      <c r="M15" s="8">
        <v>381815.11</v>
      </c>
      <c r="N15" s="8">
        <v>289111.353</v>
      </c>
      <c r="O15" s="8">
        <v>0</v>
      </c>
      <c r="P15" s="8">
        <v>0</v>
      </c>
      <c r="Q15" s="8">
        <v>13231.696</v>
      </c>
      <c r="R15" s="8">
        <v>879.41300000000001</v>
      </c>
      <c r="S15" s="8">
        <v>1244.876</v>
      </c>
      <c r="T15" s="8">
        <v>25299.557000000001</v>
      </c>
      <c r="U15" s="8">
        <v>0</v>
      </c>
      <c r="V15" s="8">
        <v>0</v>
      </c>
      <c r="W15" s="8">
        <v>18359.124</v>
      </c>
      <c r="X15" s="8">
        <v>25779.22</v>
      </c>
      <c r="Y15" s="8">
        <v>0</v>
      </c>
      <c r="Z15" s="8">
        <v>243806.163</v>
      </c>
      <c r="AA15" s="8">
        <v>0</v>
      </c>
      <c r="AB15" s="8">
        <v>250678.223</v>
      </c>
      <c r="AC15" s="8">
        <v>0</v>
      </c>
      <c r="AD15" s="8">
        <v>11238.557000000001</v>
      </c>
      <c r="AE15" s="8">
        <v>6581.39</v>
      </c>
      <c r="AF15" s="8">
        <v>686353.696</v>
      </c>
      <c r="AG15" s="8">
        <v>0</v>
      </c>
      <c r="AH15" s="8">
        <v>27189.817999999999</v>
      </c>
      <c r="AI15" s="8">
        <v>1334492.304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17916.236000000001</v>
      </c>
      <c r="AQ15" s="8">
        <v>0</v>
      </c>
      <c r="AR15" s="8">
        <v>0</v>
      </c>
      <c r="AS15" s="8">
        <v>0</v>
      </c>
      <c r="AT15" s="8">
        <v>694.827</v>
      </c>
      <c r="AU15" s="8">
        <v>0</v>
      </c>
      <c r="AV15" s="8">
        <v>15814.454</v>
      </c>
      <c r="AW15" s="8">
        <v>0</v>
      </c>
      <c r="AX15" s="8">
        <v>0</v>
      </c>
      <c r="AY15" s="8">
        <v>0</v>
      </c>
      <c r="AZ15" s="8">
        <v>16937.253000000001</v>
      </c>
      <c r="BA15" s="8">
        <v>0</v>
      </c>
      <c r="BB15" s="8">
        <v>0</v>
      </c>
      <c r="BC15" s="8">
        <v>8813.5810000000001</v>
      </c>
      <c r="BD15" s="8">
        <v>7023.7290000000003</v>
      </c>
      <c r="BE15" s="8">
        <v>0</v>
      </c>
      <c r="BF15" s="8">
        <v>2403.2429999999999</v>
      </c>
      <c r="BG15" s="8">
        <v>0</v>
      </c>
      <c r="BH15" s="8">
        <v>0</v>
      </c>
      <c r="BI15" s="8">
        <v>2340.94</v>
      </c>
      <c r="BL15" s="22"/>
    </row>
    <row r="16" spans="1:64" ht="15.75" x14ac:dyDescent="0.25">
      <c r="A16" s="22"/>
      <c r="B16" s="7" t="s">
        <v>20</v>
      </c>
      <c r="C16" s="7" t="s">
        <v>21</v>
      </c>
      <c r="D16" s="8">
        <v>2</v>
      </c>
      <c r="E16" s="8">
        <v>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L16" s="22"/>
    </row>
    <row r="17" spans="1:64" ht="15.75" x14ac:dyDescent="0.25">
      <c r="A17" s="22"/>
      <c r="B17" s="7" t="s">
        <v>22</v>
      </c>
      <c r="C17" s="7" t="s">
        <v>23</v>
      </c>
      <c r="D17" s="8">
        <v>2</v>
      </c>
      <c r="E17" s="8">
        <v>2</v>
      </c>
      <c r="F17" s="8">
        <v>1003851.529</v>
      </c>
      <c r="G17" s="8">
        <v>74986.879000000001</v>
      </c>
      <c r="H17" s="8">
        <v>177796.15599999999</v>
      </c>
      <c r="I17" s="8">
        <v>0</v>
      </c>
      <c r="J17" s="8">
        <v>22317.5</v>
      </c>
      <c r="K17" s="8">
        <v>111356.29300000001</v>
      </c>
      <c r="L17" s="8">
        <v>62038.523999999998</v>
      </c>
      <c r="M17" s="8">
        <v>350414.42300000001</v>
      </c>
      <c r="N17" s="8">
        <v>265334.67599999998</v>
      </c>
      <c r="O17" s="8">
        <v>12741.039000000001</v>
      </c>
      <c r="P17" s="8">
        <v>0</v>
      </c>
      <c r="Q17" s="8">
        <v>0</v>
      </c>
      <c r="R17" s="8">
        <v>1396.7860000000001</v>
      </c>
      <c r="S17" s="8">
        <v>1977.2619999999999</v>
      </c>
      <c r="T17" s="8">
        <v>23218.904999999999</v>
      </c>
      <c r="U17" s="8">
        <v>0</v>
      </c>
      <c r="V17" s="8">
        <v>47651.339</v>
      </c>
      <c r="W17" s="8">
        <v>16849.262999999999</v>
      </c>
      <c r="X17" s="8">
        <v>23659.123</v>
      </c>
      <c r="Y17" s="8">
        <v>0</v>
      </c>
      <c r="Z17" s="8">
        <v>223755.40900000001</v>
      </c>
      <c r="AA17" s="8">
        <v>0</v>
      </c>
      <c r="AB17" s="8">
        <v>230062.30799999999</v>
      </c>
      <c r="AC17" s="8">
        <v>0</v>
      </c>
      <c r="AD17" s="8">
        <v>10314.290999999999</v>
      </c>
      <c r="AE17" s="8">
        <v>6040.1329999999998</v>
      </c>
      <c r="AF17" s="8">
        <v>629907.59</v>
      </c>
      <c r="AG17" s="8">
        <v>0</v>
      </c>
      <c r="AH17" s="8">
        <v>24953.713</v>
      </c>
      <c r="AI17" s="8">
        <v>1225075.7590000001</v>
      </c>
      <c r="AJ17" s="8">
        <v>0</v>
      </c>
      <c r="AK17" s="8">
        <v>0</v>
      </c>
      <c r="AL17" s="8">
        <v>0</v>
      </c>
      <c r="AM17" s="8">
        <v>0</v>
      </c>
      <c r="AN17" s="8">
        <v>12484.713</v>
      </c>
      <c r="AO17" s="8">
        <v>0</v>
      </c>
      <c r="AP17" s="8">
        <v>16442.794999999998</v>
      </c>
      <c r="AQ17" s="8">
        <v>0</v>
      </c>
      <c r="AR17" s="8">
        <v>0</v>
      </c>
      <c r="AS17" s="8">
        <v>0</v>
      </c>
      <c r="AT17" s="8">
        <v>637.68399999999997</v>
      </c>
      <c r="AU17" s="8">
        <v>0</v>
      </c>
      <c r="AV17" s="8">
        <v>15186.380999999999</v>
      </c>
      <c r="AW17" s="8">
        <v>0</v>
      </c>
      <c r="AX17" s="8">
        <v>0</v>
      </c>
      <c r="AY17" s="8">
        <v>0</v>
      </c>
      <c r="AZ17" s="8">
        <v>15544.322</v>
      </c>
      <c r="BA17" s="8">
        <v>0</v>
      </c>
      <c r="BB17" s="8">
        <v>0</v>
      </c>
      <c r="BC17" s="8">
        <v>8088.7449999999999</v>
      </c>
      <c r="BD17" s="8">
        <v>6446.0929999999998</v>
      </c>
      <c r="BE17" s="8">
        <v>0</v>
      </c>
      <c r="BF17" s="8">
        <v>2205.598</v>
      </c>
      <c r="BG17" s="8">
        <v>0</v>
      </c>
      <c r="BH17" s="8">
        <v>0</v>
      </c>
      <c r="BI17" s="8">
        <v>2148.4189999999999</v>
      </c>
      <c r="BL17" s="22"/>
    </row>
    <row r="18" spans="1:64" ht="15.75" x14ac:dyDescent="0.25">
      <c r="A18" s="22"/>
      <c r="B18" s="7" t="s">
        <v>24</v>
      </c>
      <c r="C18" s="7" t="s">
        <v>25</v>
      </c>
      <c r="D18" s="8">
        <v>2</v>
      </c>
      <c r="E18" s="8">
        <v>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L18" s="22"/>
    </row>
    <row r="19" spans="1:64" ht="15.75" x14ac:dyDescent="0.25">
      <c r="A19" s="22"/>
      <c r="B19" s="7" t="s">
        <v>26</v>
      </c>
      <c r="C19" s="7" t="s">
        <v>27</v>
      </c>
      <c r="D19" s="8">
        <v>2</v>
      </c>
      <c r="E19" s="8">
        <v>2</v>
      </c>
      <c r="F19" s="8">
        <v>154541.12299999999</v>
      </c>
      <c r="G19" s="8">
        <v>21202.161</v>
      </c>
      <c r="H19" s="8">
        <v>0</v>
      </c>
      <c r="I19" s="8">
        <v>0</v>
      </c>
      <c r="J19" s="8">
        <v>587.19399999999996</v>
      </c>
      <c r="K19" s="8">
        <v>0</v>
      </c>
      <c r="L19" s="8">
        <v>118017.685</v>
      </c>
      <c r="M19" s="8">
        <v>324223.141</v>
      </c>
      <c r="N19" s="8">
        <v>9187.3160000000007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6829.6729999999998</v>
      </c>
      <c r="U19" s="8">
        <v>1012.958</v>
      </c>
      <c r="V19" s="8">
        <v>90648.525999999998</v>
      </c>
      <c r="W19" s="8">
        <v>0</v>
      </c>
      <c r="X19" s="8">
        <v>2298.502</v>
      </c>
      <c r="Y19" s="8">
        <v>30033.776000000002</v>
      </c>
      <c r="Z19" s="8">
        <v>76843.195000000007</v>
      </c>
      <c r="AA19" s="8">
        <v>0</v>
      </c>
      <c r="AB19" s="8">
        <v>13117.674000000001</v>
      </c>
      <c r="AC19" s="8">
        <v>0</v>
      </c>
      <c r="AD19" s="8">
        <v>4348.8739999999998</v>
      </c>
      <c r="AE19" s="8">
        <v>0</v>
      </c>
      <c r="AF19" s="8">
        <v>220689.64</v>
      </c>
      <c r="AG19" s="8">
        <v>202681.766</v>
      </c>
      <c r="AH19" s="8">
        <v>0</v>
      </c>
      <c r="AI19" s="8">
        <v>571429.24100000004</v>
      </c>
      <c r="AJ19" s="8">
        <v>293002.64899999998</v>
      </c>
      <c r="AK19" s="8">
        <v>0</v>
      </c>
      <c r="AL19" s="8">
        <v>0</v>
      </c>
      <c r="AM19" s="8">
        <v>0</v>
      </c>
      <c r="AN19" s="8">
        <v>23750.032999999999</v>
      </c>
      <c r="AO19" s="8">
        <v>0</v>
      </c>
      <c r="AP19" s="8">
        <v>7119.9560000000001</v>
      </c>
      <c r="AQ19" s="8">
        <v>0</v>
      </c>
      <c r="AR19" s="8">
        <v>83190.043000000005</v>
      </c>
      <c r="AS19" s="8">
        <v>0</v>
      </c>
      <c r="AT19" s="8">
        <v>69.135000000000005</v>
      </c>
      <c r="AU19" s="8">
        <v>0</v>
      </c>
      <c r="AV19" s="8">
        <v>509.875</v>
      </c>
      <c r="AW19" s="8">
        <v>0</v>
      </c>
      <c r="AX19" s="8">
        <v>0</v>
      </c>
      <c r="AY19" s="8">
        <v>40743.442000000003</v>
      </c>
      <c r="AZ19" s="8">
        <v>0</v>
      </c>
      <c r="BA19" s="8">
        <v>0</v>
      </c>
      <c r="BB19" s="8">
        <v>32820.885999999999</v>
      </c>
      <c r="BC19" s="8">
        <v>3302.9349999999999</v>
      </c>
      <c r="BD19" s="8">
        <v>0</v>
      </c>
      <c r="BE19" s="8">
        <v>0</v>
      </c>
      <c r="BF19" s="8">
        <v>987.38</v>
      </c>
      <c r="BG19" s="8">
        <v>0</v>
      </c>
      <c r="BH19" s="8">
        <v>0</v>
      </c>
      <c r="BI19" s="8">
        <v>0</v>
      </c>
      <c r="BL19" s="22"/>
    </row>
    <row r="20" spans="1:64" ht="15.75" x14ac:dyDescent="0.25">
      <c r="A20" s="22"/>
      <c r="B20" s="7" t="s">
        <v>28</v>
      </c>
      <c r="C20" s="7" t="s">
        <v>29</v>
      </c>
      <c r="D20" s="8">
        <v>6</v>
      </c>
      <c r="E20" s="8">
        <v>6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L20" s="22"/>
    </row>
    <row r="21" spans="1:64" ht="15.75" x14ac:dyDescent="0.25">
      <c r="A21" s="22"/>
      <c r="B21" s="7" t="s">
        <v>30</v>
      </c>
      <c r="C21" s="7" t="s">
        <v>31</v>
      </c>
      <c r="D21" s="8">
        <v>5</v>
      </c>
      <c r="E21" s="8">
        <v>5</v>
      </c>
      <c r="F21" s="8">
        <v>0</v>
      </c>
      <c r="G21" s="8">
        <v>0</v>
      </c>
      <c r="H21" s="8">
        <v>0</v>
      </c>
      <c r="I21" s="8">
        <v>980716.08900000004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L21" s="22"/>
    </row>
    <row r="22" spans="1:64" ht="15.75" x14ac:dyDescent="0.25">
      <c r="A22" s="22"/>
      <c r="B22" s="7" t="s">
        <v>32</v>
      </c>
      <c r="C22" s="7" t="s">
        <v>33</v>
      </c>
      <c r="D22" s="8">
        <v>2</v>
      </c>
      <c r="E22" s="8">
        <v>2</v>
      </c>
      <c r="F22" s="8">
        <v>32337.833999999999</v>
      </c>
      <c r="G22" s="8">
        <v>2035.6769999999999</v>
      </c>
      <c r="H22" s="8">
        <v>6376.4949999999999</v>
      </c>
      <c r="I22" s="8">
        <v>0</v>
      </c>
      <c r="J22" s="8">
        <v>605.85599999999999</v>
      </c>
      <c r="K22" s="8">
        <v>4212.1540000000005</v>
      </c>
      <c r="L22" s="8">
        <v>0</v>
      </c>
      <c r="M22" s="8">
        <v>13294.357</v>
      </c>
      <c r="N22" s="8">
        <v>9015.0470000000005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630.32600000000002</v>
      </c>
      <c r="U22" s="8">
        <v>0</v>
      </c>
      <c r="V22" s="8">
        <v>0</v>
      </c>
      <c r="W22" s="8">
        <v>457.40899999999999</v>
      </c>
      <c r="X22" s="8">
        <v>642.27700000000004</v>
      </c>
      <c r="Y22" s="8">
        <v>0</v>
      </c>
      <c r="Z22" s="8">
        <v>6074.3130000000001</v>
      </c>
      <c r="AA22" s="8">
        <v>0</v>
      </c>
      <c r="AB22" s="8">
        <v>6245.527</v>
      </c>
      <c r="AC22" s="8">
        <v>0</v>
      </c>
      <c r="AD22" s="8">
        <v>280.00299999999999</v>
      </c>
      <c r="AE22" s="8">
        <v>163.97200000000001</v>
      </c>
      <c r="AF22" s="8">
        <v>17804.644</v>
      </c>
      <c r="AG22" s="8">
        <v>0</v>
      </c>
      <c r="AH22" s="8">
        <v>677.42100000000005</v>
      </c>
      <c r="AI22" s="8">
        <v>36804.415999999997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446.37400000000002</v>
      </c>
      <c r="AQ22" s="8">
        <v>0</v>
      </c>
      <c r="AR22" s="8">
        <v>0</v>
      </c>
      <c r="AS22" s="8">
        <v>0</v>
      </c>
      <c r="AT22" s="8">
        <v>17.311</v>
      </c>
      <c r="AU22" s="8">
        <v>0</v>
      </c>
      <c r="AV22" s="8">
        <v>304.10899999999998</v>
      </c>
      <c r="AW22" s="8">
        <v>0</v>
      </c>
      <c r="AX22" s="8">
        <v>0</v>
      </c>
      <c r="AY22" s="8">
        <v>0</v>
      </c>
      <c r="AZ22" s="8">
        <v>421.983</v>
      </c>
      <c r="BA22" s="8">
        <v>0</v>
      </c>
      <c r="BB22" s="8">
        <v>0</v>
      </c>
      <c r="BC22" s="8">
        <v>219.58600000000001</v>
      </c>
      <c r="BD22" s="8">
        <v>174.99299999999999</v>
      </c>
      <c r="BE22" s="8">
        <v>0</v>
      </c>
      <c r="BF22" s="8">
        <v>59.875999999999998</v>
      </c>
      <c r="BG22" s="8">
        <v>0</v>
      </c>
      <c r="BH22" s="8">
        <v>7241.6009999999997</v>
      </c>
      <c r="BI22" s="8">
        <v>58.323</v>
      </c>
      <c r="BL22" s="22"/>
    </row>
    <row r="23" spans="1:64" ht="15.75" x14ac:dyDescent="0.25">
      <c r="A23" s="22"/>
      <c r="B23" s="7" t="s">
        <v>34</v>
      </c>
      <c r="C23" s="7" t="s">
        <v>35</v>
      </c>
      <c r="D23" s="8">
        <v>2</v>
      </c>
      <c r="E23" s="8">
        <v>2</v>
      </c>
      <c r="F23" s="8">
        <v>83361.937999999995</v>
      </c>
      <c r="G23" s="8">
        <v>8365.741</v>
      </c>
      <c r="H23" s="8">
        <v>8622.4519999999993</v>
      </c>
      <c r="I23" s="8">
        <v>0</v>
      </c>
      <c r="J23" s="8">
        <v>1319.8240000000001</v>
      </c>
      <c r="K23" s="8">
        <v>5749.2669999999998</v>
      </c>
      <c r="L23" s="8">
        <v>0</v>
      </c>
      <c r="M23" s="8">
        <v>76693.067999999999</v>
      </c>
      <c r="N23" s="8">
        <v>15491.694</v>
      </c>
      <c r="O23" s="8">
        <v>0</v>
      </c>
      <c r="P23" s="8">
        <v>145.55099999999999</v>
      </c>
      <c r="Q23" s="8">
        <v>0</v>
      </c>
      <c r="R23" s="8">
        <v>44.158999999999999</v>
      </c>
      <c r="S23" s="8">
        <v>0</v>
      </c>
      <c r="T23" s="8">
        <v>2672.279</v>
      </c>
      <c r="U23" s="8">
        <v>0</v>
      </c>
      <c r="V23" s="8">
        <v>0</v>
      </c>
      <c r="W23" s="8">
        <v>1155.7819999999999</v>
      </c>
      <c r="X23" s="8">
        <v>2505.9659999999999</v>
      </c>
      <c r="Y23" s="8">
        <v>1061.2090000000001</v>
      </c>
      <c r="Z23" s="8">
        <v>31240.606</v>
      </c>
      <c r="AA23" s="8">
        <v>329.57100000000003</v>
      </c>
      <c r="AB23" s="8">
        <v>7966.683</v>
      </c>
      <c r="AC23" s="8">
        <v>3671.7429999999999</v>
      </c>
      <c r="AD23" s="8">
        <v>1653.3130000000001</v>
      </c>
      <c r="AE23" s="8">
        <v>193.071</v>
      </c>
      <c r="AF23" s="8">
        <v>114045.08500000001</v>
      </c>
      <c r="AG23" s="8">
        <v>11178.405000000001</v>
      </c>
      <c r="AH23" s="8">
        <v>1532.1369999999999</v>
      </c>
      <c r="AI23" s="8">
        <v>200014.69099999999</v>
      </c>
      <c r="AJ23" s="8">
        <v>16159.825999999999</v>
      </c>
      <c r="AK23" s="8">
        <v>1731.9259999999999</v>
      </c>
      <c r="AL23" s="8">
        <v>1288666.93</v>
      </c>
      <c r="AM23" s="8">
        <v>655953.25800000003</v>
      </c>
      <c r="AN23" s="8">
        <v>0</v>
      </c>
      <c r="AO23" s="8">
        <v>433955.16800000001</v>
      </c>
      <c r="AP23" s="8">
        <v>1389.7159999999999</v>
      </c>
      <c r="AQ23" s="8">
        <v>0</v>
      </c>
      <c r="AR23" s="8">
        <v>4588.1379999999999</v>
      </c>
      <c r="AS23" s="8">
        <v>0</v>
      </c>
      <c r="AT23" s="8">
        <v>9.4789999999999992</v>
      </c>
      <c r="AU23" s="8">
        <v>0</v>
      </c>
      <c r="AV23" s="8">
        <v>150.774</v>
      </c>
      <c r="AW23" s="8">
        <v>0</v>
      </c>
      <c r="AX23" s="8">
        <v>0</v>
      </c>
      <c r="AY23" s="8">
        <v>1439.623</v>
      </c>
      <c r="AZ23" s="8">
        <v>57.945999999999998</v>
      </c>
      <c r="BA23" s="8">
        <v>0</v>
      </c>
      <c r="BB23" s="8">
        <v>1159.6880000000001</v>
      </c>
      <c r="BC23" s="8">
        <v>658.76700000000005</v>
      </c>
      <c r="BD23" s="8">
        <v>24.03</v>
      </c>
      <c r="BE23" s="8">
        <v>0</v>
      </c>
      <c r="BF23" s="8">
        <v>216.83699999999999</v>
      </c>
      <c r="BG23" s="8">
        <v>0</v>
      </c>
      <c r="BH23" s="8">
        <v>7659.7640000000001</v>
      </c>
      <c r="BI23" s="8">
        <v>8.0090000000000003</v>
      </c>
      <c r="BL23" s="22"/>
    </row>
    <row r="24" spans="1:64" ht="15.75" x14ac:dyDescent="0.25">
      <c r="A24" s="22"/>
      <c r="B24" s="7" t="s">
        <v>36</v>
      </c>
      <c r="C24" s="7" t="s">
        <v>37</v>
      </c>
      <c r="D24" s="8">
        <v>6</v>
      </c>
      <c r="E24" s="8">
        <v>6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L24" s="22"/>
    </row>
    <row r="25" spans="1:64" ht="15.75" x14ac:dyDescent="0.25">
      <c r="A25" s="22"/>
      <c r="B25" s="7" t="s">
        <v>38</v>
      </c>
      <c r="C25" s="7" t="s">
        <v>39</v>
      </c>
      <c r="D25" s="8">
        <v>6</v>
      </c>
      <c r="E25" s="8">
        <v>6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L25" s="22"/>
    </row>
    <row r="26" spans="1:64" ht="15.75" x14ac:dyDescent="0.25">
      <c r="A26" s="22"/>
      <c r="B26" s="7" t="s">
        <v>40</v>
      </c>
      <c r="C26" s="7" t="s">
        <v>41</v>
      </c>
      <c r="D26" s="8">
        <v>6</v>
      </c>
      <c r="E26" s="8">
        <v>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L26" s="22"/>
    </row>
    <row r="27" spans="1:64" ht="15.75" x14ac:dyDescent="0.25">
      <c r="A27" s="22"/>
      <c r="B27" s="7" t="s">
        <v>42</v>
      </c>
      <c r="C27" s="7" t="s">
        <v>43</v>
      </c>
      <c r="D27" s="8">
        <v>6</v>
      </c>
      <c r="E27" s="8">
        <v>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L27" s="22"/>
    </row>
    <row r="28" spans="1:64" ht="15.75" x14ac:dyDescent="0.25">
      <c r="A28" s="22"/>
      <c r="B28" s="7" t="s">
        <v>44</v>
      </c>
      <c r="C28" s="7" t="s">
        <v>45</v>
      </c>
      <c r="D28" s="8">
        <v>6</v>
      </c>
      <c r="E28" s="8">
        <v>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L28" s="22"/>
    </row>
    <row r="29" spans="1:64" ht="15.75" x14ac:dyDescent="0.25">
      <c r="A29" s="22"/>
      <c r="B29" s="7" t="s">
        <v>46</v>
      </c>
      <c r="C29" s="7" t="s">
        <v>47</v>
      </c>
      <c r="D29" s="8">
        <v>6</v>
      </c>
      <c r="E29" s="8">
        <v>6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L29" s="22"/>
    </row>
    <row r="30" spans="1:64" ht="15.75" x14ac:dyDescent="0.25">
      <c r="A30" s="22"/>
      <c r="B30" s="7" t="s">
        <v>48</v>
      </c>
      <c r="C30" s="7" t="s">
        <v>49</v>
      </c>
      <c r="D30" s="8">
        <v>6</v>
      </c>
      <c r="E30" s="8">
        <v>6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L30" s="22"/>
    </row>
    <row r="31" spans="1:64" ht="15.75" x14ac:dyDescent="0.25">
      <c r="A31" s="22"/>
      <c r="B31" s="7" t="s">
        <v>50</v>
      </c>
      <c r="C31" s="7" t="s">
        <v>51</v>
      </c>
      <c r="D31" s="8">
        <v>6</v>
      </c>
      <c r="E31" s="8">
        <v>6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L31" s="22"/>
    </row>
    <row r="32" spans="1:64" ht="15.75" x14ac:dyDescent="0.25">
      <c r="A32" s="22"/>
      <c r="B32" s="7" t="s">
        <v>52</v>
      </c>
      <c r="C32" s="7" t="s">
        <v>53</v>
      </c>
      <c r="D32" s="8">
        <v>6</v>
      </c>
      <c r="E32" s="8">
        <v>6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L32" s="22"/>
    </row>
    <row r="33" spans="1:64" ht="15.75" x14ac:dyDescent="0.25">
      <c r="A33" s="22"/>
      <c r="B33" s="7" t="s">
        <v>54</v>
      </c>
      <c r="C33" s="7" t="s">
        <v>55</v>
      </c>
      <c r="D33" s="8">
        <v>6</v>
      </c>
      <c r="E33" s="8">
        <v>6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L33" s="22"/>
    </row>
    <row r="34" spans="1:64" ht="15.75" x14ac:dyDescent="0.25">
      <c r="A34" s="22"/>
      <c r="B34" s="7" t="s">
        <v>56</v>
      </c>
      <c r="C34" s="7" t="s">
        <v>57</v>
      </c>
      <c r="D34" s="8">
        <v>6</v>
      </c>
      <c r="E34" s="8">
        <v>6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L34" s="22"/>
    </row>
    <row r="35" spans="1:64" ht="15.75" x14ac:dyDescent="0.25">
      <c r="A35" s="22"/>
      <c r="B35" s="7" t="s">
        <v>58</v>
      </c>
      <c r="C35" s="7" t="s">
        <v>59</v>
      </c>
      <c r="D35" s="8">
        <v>6</v>
      </c>
      <c r="E35" s="8">
        <v>6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L35" s="22"/>
    </row>
    <row r="36" spans="1:64" ht="15.75" x14ac:dyDescent="0.25">
      <c r="A36" s="22"/>
      <c r="B36" s="7" t="s">
        <v>60</v>
      </c>
      <c r="C36" s="7" t="s">
        <v>61</v>
      </c>
      <c r="D36" s="8">
        <v>6</v>
      </c>
      <c r="E36" s="8">
        <v>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L36" s="22"/>
    </row>
    <row r="37" spans="1:64" ht="15.75" x14ac:dyDescent="0.25">
      <c r="A37" s="22"/>
      <c r="B37" s="7" t="s">
        <v>62</v>
      </c>
      <c r="C37" s="7" t="s">
        <v>63</v>
      </c>
      <c r="D37" s="8">
        <v>6</v>
      </c>
      <c r="E37" s="8">
        <v>6</v>
      </c>
      <c r="F37" s="8">
        <v>1962.5219999999999</v>
      </c>
      <c r="G37" s="8">
        <v>286.24599999999998</v>
      </c>
      <c r="H37" s="8">
        <v>452.19200000000001</v>
      </c>
      <c r="I37" s="8">
        <v>0</v>
      </c>
      <c r="J37" s="8">
        <v>39.722999999999999</v>
      </c>
      <c r="K37" s="8">
        <v>261.23700000000002</v>
      </c>
      <c r="L37" s="8">
        <v>3268.9639999999999</v>
      </c>
      <c r="M37" s="8">
        <v>701.928</v>
      </c>
      <c r="N37" s="8">
        <v>906.24300000000005</v>
      </c>
      <c r="O37" s="8">
        <v>0</v>
      </c>
      <c r="P37" s="8">
        <v>0</v>
      </c>
      <c r="Q37" s="8">
        <v>3.6999999999999998E-2</v>
      </c>
      <c r="R37" s="8">
        <v>0</v>
      </c>
      <c r="S37" s="8">
        <v>0</v>
      </c>
      <c r="T37" s="8">
        <v>129.56</v>
      </c>
      <c r="U37" s="8">
        <v>0</v>
      </c>
      <c r="V37" s="8">
        <v>2510.8670000000002</v>
      </c>
      <c r="W37" s="8">
        <v>68.652000000000001</v>
      </c>
      <c r="X37" s="8">
        <v>90.828999999999994</v>
      </c>
      <c r="Y37" s="8">
        <v>0</v>
      </c>
      <c r="Z37" s="8">
        <v>322.11700000000002</v>
      </c>
      <c r="AA37" s="8">
        <v>0</v>
      </c>
      <c r="AB37" s="8">
        <v>530.89800000000002</v>
      </c>
      <c r="AC37" s="8">
        <v>0</v>
      </c>
      <c r="AD37" s="8">
        <v>44.747999999999998</v>
      </c>
      <c r="AE37" s="8">
        <v>0</v>
      </c>
      <c r="AF37" s="8">
        <v>310.16199999999998</v>
      </c>
      <c r="AG37" s="8">
        <v>0</v>
      </c>
      <c r="AH37" s="8">
        <v>0</v>
      </c>
      <c r="AI37" s="8">
        <v>1731.056</v>
      </c>
      <c r="AJ37" s="8">
        <v>0</v>
      </c>
      <c r="AK37" s="8">
        <v>0</v>
      </c>
      <c r="AL37" s="8">
        <v>0</v>
      </c>
      <c r="AM37" s="8">
        <v>0</v>
      </c>
      <c r="AN37" s="8">
        <v>657.851</v>
      </c>
      <c r="AO37" s="8">
        <v>0</v>
      </c>
      <c r="AP37" s="8">
        <v>58.944000000000003</v>
      </c>
      <c r="AQ37" s="8">
        <v>0</v>
      </c>
      <c r="AR37" s="8">
        <v>0</v>
      </c>
      <c r="AS37" s="8">
        <v>0</v>
      </c>
      <c r="AT37" s="8">
        <v>1.1639999999999999</v>
      </c>
      <c r="AU37" s="8">
        <v>0</v>
      </c>
      <c r="AV37" s="8">
        <v>32.146000000000001</v>
      </c>
      <c r="AW37" s="8">
        <v>0</v>
      </c>
      <c r="AX37" s="8">
        <v>0</v>
      </c>
      <c r="AY37" s="8">
        <v>0</v>
      </c>
      <c r="AZ37" s="8">
        <v>74.965999999999994</v>
      </c>
      <c r="BA37" s="8">
        <v>0</v>
      </c>
      <c r="BB37" s="8">
        <v>0</v>
      </c>
      <c r="BC37" s="8">
        <v>27.245000000000001</v>
      </c>
      <c r="BD37" s="8">
        <v>36.491</v>
      </c>
      <c r="BE37" s="8">
        <v>0</v>
      </c>
      <c r="BF37" s="8">
        <v>8.0830000000000002</v>
      </c>
      <c r="BG37" s="8">
        <v>0</v>
      </c>
      <c r="BH37" s="8">
        <v>0</v>
      </c>
      <c r="BI37" s="8">
        <v>12.64</v>
      </c>
      <c r="BL37" s="22"/>
    </row>
    <row r="38" spans="1:64" ht="15.75" x14ac:dyDescent="0.25">
      <c r="A38" s="22"/>
      <c r="B38" s="7" t="s">
        <v>64</v>
      </c>
      <c r="C38" s="7" t="s">
        <v>65</v>
      </c>
      <c r="D38" s="8">
        <v>6</v>
      </c>
      <c r="E38" s="8">
        <v>6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L38" s="22"/>
    </row>
    <row r="39" spans="1:64" ht="15.75" x14ac:dyDescent="0.25">
      <c r="A39" s="22"/>
      <c r="B39" s="7" t="s">
        <v>66</v>
      </c>
      <c r="C39" s="7" t="s">
        <v>67</v>
      </c>
      <c r="D39" s="8">
        <v>6</v>
      </c>
      <c r="E39" s="8">
        <v>6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L39" s="22"/>
    </row>
    <row r="40" spans="1:64" ht="15.75" x14ac:dyDescent="0.25">
      <c r="A40" s="22"/>
      <c r="B40" s="7" t="s">
        <v>68</v>
      </c>
      <c r="C40" s="7" t="s">
        <v>69</v>
      </c>
      <c r="D40" s="8">
        <v>6</v>
      </c>
      <c r="E40" s="8">
        <v>6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L40" s="22"/>
    </row>
    <row r="41" spans="1:64" ht="15.75" x14ac:dyDescent="0.25">
      <c r="A41" s="22"/>
      <c r="B41" s="7" t="s">
        <v>70</v>
      </c>
      <c r="C41" s="7" t="s">
        <v>71</v>
      </c>
      <c r="D41" s="8">
        <v>6</v>
      </c>
      <c r="E41" s="8">
        <v>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L41" s="22"/>
    </row>
    <row r="42" spans="1:64" ht="15.75" x14ac:dyDescent="0.25">
      <c r="A42" s="22"/>
      <c r="B42" s="7" t="s">
        <v>72</v>
      </c>
      <c r="C42" s="7" t="s">
        <v>73</v>
      </c>
      <c r="D42" s="8">
        <v>6</v>
      </c>
      <c r="E42" s="8">
        <v>6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L42" s="22"/>
    </row>
    <row r="43" spans="1:64" ht="15.75" x14ac:dyDescent="0.25">
      <c r="A43" s="22"/>
      <c r="B43" s="7" t="s">
        <v>74</v>
      </c>
      <c r="C43" s="7" t="s">
        <v>75</v>
      </c>
      <c r="D43" s="8">
        <v>6</v>
      </c>
      <c r="E43" s="8">
        <v>6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L43" s="22"/>
    </row>
    <row r="44" spans="1:64" ht="15.75" x14ac:dyDescent="0.25">
      <c r="A44" s="22"/>
      <c r="B44" s="7" t="s">
        <v>76</v>
      </c>
      <c r="C44" s="7" t="s">
        <v>77</v>
      </c>
      <c r="D44" s="8">
        <v>6</v>
      </c>
      <c r="E44" s="8">
        <v>6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L44" s="22"/>
    </row>
    <row r="45" spans="1:64" ht="15.75" x14ac:dyDescent="0.25">
      <c r="A45" s="22"/>
      <c r="B45" s="7" t="s">
        <v>78</v>
      </c>
      <c r="C45" s="7" t="s">
        <v>79</v>
      </c>
      <c r="D45" s="8">
        <v>6</v>
      </c>
      <c r="E45" s="8">
        <v>6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L45" s="22"/>
    </row>
    <row r="46" spans="1:64" ht="15.75" x14ac:dyDescent="0.25">
      <c r="A46" s="22"/>
      <c r="B46" s="7" t="s">
        <v>80</v>
      </c>
      <c r="C46" s="7" t="s">
        <v>81</v>
      </c>
      <c r="D46" s="8">
        <v>6</v>
      </c>
      <c r="E46" s="8">
        <v>6</v>
      </c>
      <c r="F46" s="8">
        <v>1470.2860000000001</v>
      </c>
      <c r="G46" s="8">
        <v>214.45</v>
      </c>
      <c r="H46" s="8">
        <v>338.774</v>
      </c>
      <c r="I46" s="8">
        <v>0</v>
      </c>
      <c r="J46" s="8">
        <v>29.76</v>
      </c>
      <c r="K46" s="8">
        <v>195.714</v>
      </c>
      <c r="L46" s="8">
        <v>8342.59</v>
      </c>
      <c r="M46" s="8">
        <v>525.87199999999996</v>
      </c>
      <c r="N46" s="8">
        <v>678.94100000000003</v>
      </c>
      <c r="O46" s="8">
        <v>0</v>
      </c>
      <c r="P46" s="8">
        <v>0</v>
      </c>
      <c r="Q46" s="8">
        <v>2.8000000000000001E-2</v>
      </c>
      <c r="R46" s="8">
        <v>0</v>
      </c>
      <c r="S46" s="8">
        <v>0</v>
      </c>
      <c r="T46" s="8">
        <v>97.063999999999993</v>
      </c>
      <c r="U46" s="8">
        <v>0</v>
      </c>
      <c r="V46" s="8">
        <v>6407.8829999999998</v>
      </c>
      <c r="W46" s="8">
        <v>51.433</v>
      </c>
      <c r="X46" s="8">
        <v>68.048000000000002</v>
      </c>
      <c r="Y46" s="8">
        <v>0</v>
      </c>
      <c r="Z46" s="8">
        <v>241.32400000000001</v>
      </c>
      <c r="AA46" s="8">
        <v>0</v>
      </c>
      <c r="AB46" s="8">
        <v>397.73899999999998</v>
      </c>
      <c r="AC46" s="8">
        <v>0</v>
      </c>
      <c r="AD46" s="8">
        <v>33.524000000000001</v>
      </c>
      <c r="AE46" s="8">
        <v>0</v>
      </c>
      <c r="AF46" s="8">
        <v>232.36699999999999</v>
      </c>
      <c r="AG46" s="8">
        <v>0</v>
      </c>
      <c r="AH46" s="8">
        <v>0</v>
      </c>
      <c r="AI46" s="8">
        <v>1328.4939999999999</v>
      </c>
      <c r="AJ46" s="8">
        <v>0</v>
      </c>
      <c r="AK46" s="8">
        <v>0</v>
      </c>
      <c r="AL46" s="8">
        <v>0</v>
      </c>
      <c r="AM46" s="8">
        <v>0</v>
      </c>
      <c r="AN46" s="8">
        <v>1678.874</v>
      </c>
      <c r="AO46" s="8">
        <v>0</v>
      </c>
      <c r="AP46" s="8">
        <v>44.16</v>
      </c>
      <c r="AQ46" s="8">
        <v>0</v>
      </c>
      <c r="AR46" s="8">
        <v>0</v>
      </c>
      <c r="AS46" s="8">
        <v>0</v>
      </c>
      <c r="AT46" s="8">
        <v>0.872</v>
      </c>
      <c r="AU46" s="8">
        <v>0</v>
      </c>
      <c r="AV46" s="8">
        <v>27.940999999999999</v>
      </c>
      <c r="AW46" s="8">
        <v>0</v>
      </c>
      <c r="AX46" s="8">
        <v>0</v>
      </c>
      <c r="AY46" s="8">
        <v>0</v>
      </c>
      <c r="AZ46" s="8">
        <v>56.162999999999997</v>
      </c>
      <c r="BA46" s="8">
        <v>0</v>
      </c>
      <c r="BB46" s="8">
        <v>0</v>
      </c>
      <c r="BC46" s="8">
        <v>20.411000000000001</v>
      </c>
      <c r="BD46" s="8">
        <v>27.338000000000001</v>
      </c>
      <c r="BE46" s="8">
        <v>0</v>
      </c>
      <c r="BF46" s="8">
        <v>6.056</v>
      </c>
      <c r="BG46" s="8">
        <v>0</v>
      </c>
      <c r="BH46" s="8">
        <v>0</v>
      </c>
      <c r="BI46" s="8">
        <v>9.4689999999999994</v>
      </c>
      <c r="BL46" s="22"/>
    </row>
    <row r="47" spans="1:64" ht="15.75" x14ac:dyDescent="0.25">
      <c r="A47" s="22"/>
      <c r="B47" s="7" t="s">
        <v>82</v>
      </c>
      <c r="C47" s="7" t="s">
        <v>83</v>
      </c>
      <c r="D47" s="8">
        <v>6</v>
      </c>
      <c r="E47" s="8">
        <v>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L47" s="22"/>
    </row>
    <row r="48" spans="1:64" ht="15.75" x14ac:dyDescent="0.25">
      <c r="A48" s="22"/>
      <c r="B48" s="7" t="s">
        <v>84</v>
      </c>
      <c r="C48" s="7" t="s">
        <v>85</v>
      </c>
      <c r="D48" s="8">
        <v>6</v>
      </c>
      <c r="E48" s="8">
        <v>6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L48" s="22"/>
    </row>
    <row r="49" spans="1:64" ht="15.75" x14ac:dyDescent="0.25">
      <c r="A49" s="22"/>
      <c r="B49" s="7" t="s">
        <v>86</v>
      </c>
      <c r="C49" s="7" t="s">
        <v>87</v>
      </c>
      <c r="D49" s="8">
        <v>6</v>
      </c>
      <c r="E49" s="8">
        <v>6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L49" s="22"/>
    </row>
    <row r="50" spans="1:64" ht="15.75" x14ac:dyDescent="0.25">
      <c r="A50" s="22"/>
      <c r="B50" s="7" t="s">
        <v>88</v>
      </c>
      <c r="C50" s="7" t="s">
        <v>89</v>
      </c>
      <c r="D50" s="8">
        <v>6</v>
      </c>
      <c r="E50" s="8">
        <v>6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L50" s="22"/>
    </row>
    <row r="51" spans="1:64" ht="15.75" x14ac:dyDescent="0.25">
      <c r="A51" s="22"/>
      <c r="B51" s="7" t="s">
        <v>90</v>
      </c>
      <c r="C51" s="7" t="s">
        <v>91</v>
      </c>
      <c r="D51" s="8">
        <v>6</v>
      </c>
      <c r="E51" s="8">
        <v>6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L51" s="22"/>
    </row>
    <row r="52" spans="1:64" ht="15.75" x14ac:dyDescent="0.25">
      <c r="A52" s="22"/>
      <c r="B52" s="7" t="s">
        <v>92</v>
      </c>
      <c r="C52" s="7" t="s">
        <v>93</v>
      </c>
      <c r="D52" s="8">
        <v>6</v>
      </c>
      <c r="E52" s="8">
        <v>6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L52" s="22"/>
    </row>
    <row r="53" spans="1:64" ht="15.75" x14ac:dyDescent="0.25">
      <c r="A53" s="22"/>
      <c r="B53" s="7" t="s">
        <v>94</v>
      </c>
      <c r="C53" s="7" t="s">
        <v>95</v>
      </c>
      <c r="D53" s="8">
        <v>6</v>
      </c>
      <c r="E53" s="8">
        <v>6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L53" s="22"/>
    </row>
    <row r="54" spans="1:64" ht="15.75" x14ac:dyDescent="0.25">
      <c r="A54" s="22"/>
      <c r="B54" s="7" t="s">
        <v>96</v>
      </c>
      <c r="C54" s="7" t="s">
        <v>97</v>
      </c>
      <c r="D54" s="8">
        <v>6</v>
      </c>
      <c r="E54" s="8">
        <v>6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L54" s="22"/>
    </row>
    <row r="55" spans="1:64" ht="15.75" x14ac:dyDescent="0.25">
      <c r="A55" s="22"/>
      <c r="B55" s="7" t="s">
        <v>98</v>
      </c>
      <c r="C55" s="7" t="s">
        <v>99</v>
      </c>
      <c r="D55" s="8">
        <v>6</v>
      </c>
      <c r="E55" s="8">
        <v>6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L55" s="22"/>
    </row>
    <row r="56" spans="1:64" ht="15.75" x14ac:dyDescent="0.25">
      <c r="A56" s="22"/>
      <c r="B56" s="7" t="s">
        <v>100</v>
      </c>
      <c r="C56" s="7" t="s">
        <v>101</v>
      </c>
      <c r="D56" s="8">
        <v>6</v>
      </c>
      <c r="E56" s="8">
        <v>6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L56" s="22"/>
    </row>
    <row r="57" spans="1:64" ht="15.75" x14ac:dyDescent="0.25">
      <c r="A57" s="22"/>
      <c r="B57" s="7" t="s">
        <v>102</v>
      </c>
      <c r="C57" s="7" t="s">
        <v>103</v>
      </c>
      <c r="D57" s="8">
        <v>6</v>
      </c>
      <c r="E57" s="8">
        <v>6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L57" s="22"/>
    </row>
    <row r="58" spans="1:64" ht="15.75" x14ac:dyDescent="0.25">
      <c r="A58" s="22"/>
      <c r="B58" s="7" t="s">
        <v>104</v>
      </c>
      <c r="C58" s="7" t="s">
        <v>105</v>
      </c>
      <c r="D58" s="8">
        <v>6</v>
      </c>
      <c r="E58" s="8">
        <v>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L58" s="22"/>
    </row>
    <row r="59" spans="1:64" ht="15.75" x14ac:dyDescent="0.25">
      <c r="A59" s="22"/>
      <c r="B59" s="7" t="s">
        <v>106</v>
      </c>
      <c r="C59" s="7" t="s">
        <v>107</v>
      </c>
      <c r="D59" s="8">
        <v>6</v>
      </c>
      <c r="E59" s="8">
        <v>6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L59" s="22"/>
    </row>
    <row r="60" spans="1:64" ht="15.75" x14ac:dyDescent="0.25">
      <c r="A60" s="22"/>
      <c r="B60" s="7" t="s">
        <v>108</v>
      </c>
      <c r="C60" s="7" t="s">
        <v>109</v>
      </c>
      <c r="D60" s="8">
        <v>6</v>
      </c>
      <c r="E60" s="8">
        <v>6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L60" s="22"/>
    </row>
    <row r="61" spans="1:64" ht="15.75" x14ac:dyDescent="0.25">
      <c r="A61" s="22"/>
      <c r="B61" s="7" t="s">
        <v>110</v>
      </c>
      <c r="C61" s="7" t="s">
        <v>111</v>
      </c>
      <c r="D61" s="8">
        <v>3</v>
      </c>
      <c r="E61" s="8">
        <v>3</v>
      </c>
      <c r="F61" s="8">
        <v>1021019.113</v>
      </c>
      <c r="G61" s="8">
        <v>102260.459</v>
      </c>
      <c r="H61" s="8">
        <v>225408.12100000001</v>
      </c>
      <c r="I61" s="8">
        <v>0</v>
      </c>
      <c r="J61" s="8">
        <v>18859.741999999998</v>
      </c>
      <c r="K61" s="8">
        <v>155359.16399999999</v>
      </c>
      <c r="L61" s="8">
        <v>0</v>
      </c>
      <c r="M61" s="8">
        <v>434775.67499999999</v>
      </c>
      <c r="N61" s="8">
        <v>464000.37300000002</v>
      </c>
      <c r="O61" s="8">
        <v>0</v>
      </c>
      <c r="P61" s="8">
        <v>0</v>
      </c>
      <c r="Q61" s="8">
        <v>29.969000000000001</v>
      </c>
      <c r="R61" s="8">
        <v>1997.875</v>
      </c>
      <c r="S61" s="8">
        <v>5165.3599999999997</v>
      </c>
      <c r="T61" s="8">
        <v>41153.612999999998</v>
      </c>
      <c r="U61" s="8">
        <v>0</v>
      </c>
      <c r="V61" s="8">
        <v>0</v>
      </c>
      <c r="W61" s="8">
        <v>27662.407999999999</v>
      </c>
      <c r="X61" s="8">
        <v>52829.417999999998</v>
      </c>
      <c r="Y61" s="8">
        <v>0</v>
      </c>
      <c r="Z61" s="8">
        <v>215678.18700000001</v>
      </c>
      <c r="AA61" s="8">
        <v>0</v>
      </c>
      <c r="AB61" s="8">
        <v>245375.58799999999</v>
      </c>
      <c r="AC61" s="8">
        <v>0</v>
      </c>
      <c r="AD61" s="8">
        <v>18077.920999999998</v>
      </c>
      <c r="AE61" s="8">
        <v>192.16499999999999</v>
      </c>
      <c r="AF61" s="8">
        <v>625254.72699999996</v>
      </c>
      <c r="AG61" s="8">
        <v>0</v>
      </c>
      <c r="AH61" s="8">
        <v>4.8449999999999998</v>
      </c>
      <c r="AI61" s="8">
        <v>1251282.747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24670.911</v>
      </c>
      <c r="AQ61" s="8">
        <v>0</v>
      </c>
      <c r="AR61" s="8">
        <v>0</v>
      </c>
      <c r="AS61" s="8">
        <v>0</v>
      </c>
      <c r="AT61" s="8">
        <v>273.08800000000002</v>
      </c>
      <c r="AU61" s="8">
        <v>0</v>
      </c>
      <c r="AV61" s="8">
        <v>9414.6389999999992</v>
      </c>
      <c r="AW61" s="8">
        <v>0</v>
      </c>
      <c r="AX61" s="8">
        <v>0</v>
      </c>
      <c r="AY61" s="8">
        <v>0</v>
      </c>
      <c r="AZ61" s="8">
        <v>31082.544999999998</v>
      </c>
      <c r="BA61" s="8">
        <v>0</v>
      </c>
      <c r="BB61" s="8">
        <v>0</v>
      </c>
      <c r="BC61" s="8">
        <v>11634.201999999999</v>
      </c>
      <c r="BD61" s="8">
        <v>15178.596</v>
      </c>
      <c r="BE61" s="8">
        <v>0</v>
      </c>
      <c r="BF61" s="8">
        <v>3493.1410000000001</v>
      </c>
      <c r="BG61" s="8">
        <v>0</v>
      </c>
      <c r="BH61" s="8">
        <v>0</v>
      </c>
      <c r="BI61" s="8">
        <v>5304.86</v>
      </c>
      <c r="BL61" s="22"/>
    </row>
    <row r="62" spans="1:64" ht="15.75" x14ac:dyDescent="0.25">
      <c r="A62" s="22"/>
      <c r="B62" s="7" t="s">
        <v>112</v>
      </c>
      <c r="C62" s="7" t="s">
        <v>113</v>
      </c>
      <c r="D62" s="8">
        <v>3</v>
      </c>
      <c r="E62" s="8">
        <v>3</v>
      </c>
      <c r="F62" s="8">
        <v>4830.607</v>
      </c>
      <c r="G62" s="8">
        <v>695.53599999999994</v>
      </c>
      <c r="H62" s="8">
        <v>1111.1310000000001</v>
      </c>
      <c r="I62" s="8">
        <v>0</v>
      </c>
      <c r="J62" s="8">
        <v>97.427000000000007</v>
      </c>
      <c r="K62" s="8">
        <v>646.78200000000004</v>
      </c>
      <c r="L62" s="8">
        <v>0</v>
      </c>
      <c r="M62" s="8">
        <v>1741.2249999999999</v>
      </c>
      <c r="N62" s="8">
        <v>2229.2049999999999</v>
      </c>
      <c r="O62" s="8">
        <v>0</v>
      </c>
      <c r="P62" s="8">
        <v>0</v>
      </c>
      <c r="Q62" s="8">
        <v>9.2999999999999999E-2</v>
      </c>
      <c r="R62" s="8">
        <v>19.946999999999999</v>
      </c>
      <c r="S62" s="8">
        <v>51.573</v>
      </c>
      <c r="T62" s="8">
        <v>313.81799999999998</v>
      </c>
      <c r="U62" s="8">
        <v>0</v>
      </c>
      <c r="V62" s="8">
        <v>0</v>
      </c>
      <c r="W62" s="8">
        <v>167.423</v>
      </c>
      <c r="X62" s="8">
        <v>224.649</v>
      </c>
      <c r="Y62" s="8">
        <v>0</v>
      </c>
      <c r="Z62" s="8">
        <v>802.18100000000004</v>
      </c>
      <c r="AA62" s="8">
        <v>0</v>
      </c>
      <c r="AB62" s="8">
        <v>1300.797</v>
      </c>
      <c r="AC62" s="8">
        <v>0</v>
      </c>
      <c r="AD62" s="8">
        <v>109.136</v>
      </c>
      <c r="AE62" s="8">
        <v>0</v>
      </c>
      <c r="AF62" s="8">
        <v>853.28499999999997</v>
      </c>
      <c r="AG62" s="8">
        <v>0</v>
      </c>
      <c r="AH62" s="8">
        <v>0</v>
      </c>
      <c r="AI62" s="8">
        <v>4287.3890000000001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143.92500000000001</v>
      </c>
      <c r="AQ62" s="8">
        <v>0</v>
      </c>
      <c r="AR62" s="8">
        <v>0</v>
      </c>
      <c r="AS62" s="8">
        <v>0</v>
      </c>
      <c r="AT62" s="8">
        <v>2.798</v>
      </c>
      <c r="AU62" s="8">
        <v>0</v>
      </c>
      <c r="AV62" s="8">
        <v>72.596999999999994</v>
      </c>
      <c r="AW62" s="8">
        <v>0</v>
      </c>
      <c r="AX62" s="8">
        <v>0</v>
      </c>
      <c r="AY62" s="8">
        <v>0</v>
      </c>
      <c r="AZ62" s="8">
        <v>182.99</v>
      </c>
      <c r="BA62" s="8">
        <v>0</v>
      </c>
      <c r="BB62" s="8">
        <v>0</v>
      </c>
      <c r="BC62" s="8">
        <v>66.569000000000003</v>
      </c>
      <c r="BD62" s="8">
        <v>89.081999999999994</v>
      </c>
      <c r="BE62" s="8">
        <v>0</v>
      </c>
      <c r="BF62" s="8">
        <v>19.757999999999999</v>
      </c>
      <c r="BG62" s="8">
        <v>0</v>
      </c>
      <c r="BH62" s="8">
        <v>0</v>
      </c>
      <c r="BI62" s="8">
        <v>30.864000000000001</v>
      </c>
      <c r="BL62" s="22"/>
    </row>
    <row r="63" spans="1:64" ht="15.75" x14ac:dyDescent="0.25">
      <c r="A63" s="22"/>
      <c r="B63" s="7" t="s">
        <v>114</v>
      </c>
      <c r="C63" s="7" t="s">
        <v>115</v>
      </c>
      <c r="D63" s="8">
        <v>3</v>
      </c>
      <c r="E63" s="8">
        <v>3</v>
      </c>
      <c r="F63" s="8">
        <v>291638.17700000003</v>
      </c>
      <c r="G63" s="8">
        <v>34462.006000000001</v>
      </c>
      <c r="H63" s="8">
        <v>65493.031999999999</v>
      </c>
      <c r="I63" s="8">
        <v>0</v>
      </c>
      <c r="J63" s="8">
        <v>5590.3729999999996</v>
      </c>
      <c r="K63" s="8">
        <v>42186.502999999997</v>
      </c>
      <c r="L63" s="8">
        <v>9761.8520000000008</v>
      </c>
      <c r="M63" s="8">
        <v>116352.64</v>
      </c>
      <c r="N63" s="8">
        <v>133376.59599999999</v>
      </c>
      <c r="O63" s="8">
        <v>0</v>
      </c>
      <c r="P63" s="8">
        <v>0</v>
      </c>
      <c r="Q63" s="8">
        <v>7.35</v>
      </c>
      <c r="R63" s="8">
        <v>688.09199999999998</v>
      </c>
      <c r="S63" s="8">
        <v>1779.0219999999999</v>
      </c>
      <c r="T63" s="8">
        <v>14710.098</v>
      </c>
      <c r="U63" s="8">
        <v>0</v>
      </c>
      <c r="V63" s="8">
        <v>7498.0079999999998</v>
      </c>
      <c r="W63" s="8">
        <v>8808.0840000000007</v>
      </c>
      <c r="X63" s="8">
        <v>14462.324000000001</v>
      </c>
      <c r="Y63" s="8">
        <v>0</v>
      </c>
      <c r="Z63" s="8">
        <v>56190.904000000002</v>
      </c>
      <c r="AA63" s="8">
        <v>0</v>
      </c>
      <c r="AB63" s="8">
        <v>73558.278000000006</v>
      </c>
      <c r="AC63" s="8">
        <v>0</v>
      </c>
      <c r="AD63" s="8">
        <v>5749.3429999999998</v>
      </c>
      <c r="AE63" s="8">
        <v>0</v>
      </c>
      <c r="AF63" s="8">
        <v>126371.769</v>
      </c>
      <c r="AG63" s="8">
        <v>0</v>
      </c>
      <c r="AH63" s="8">
        <v>0</v>
      </c>
      <c r="AI63" s="8">
        <v>316956.09399999998</v>
      </c>
      <c r="AJ63" s="8">
        <v>0</v>
      </c>
      <c r="AK63" s="8">
        <v>0</v>
      </c>
      <c r="AL63" s="8">
        <v>0</v>
      </c>
      <c r="AM63" s="8">
        <v>0</v>
      </c>
      <c r="AN63" s="8">
        <v>1964.489</v>
      </c>
      <c r="AO63" s="8">
        <v>0</v>
      </c>
      <c r="AP63" s="8">
        <v>7721.7569999999996</v>
      </c>
      <c r="AQ63" s="8">
        <v>0</v>
      </c>
      <c r="AR63" s="8">
        <v>0</v>
      </c>
      <c r="AS63" s="8">
        <v>0</v>
      </c>
      <c r="AT63" s="8">
        <v>115.41200000000001</v>
      </c>
      <c r="AU63" s="8">
        <v>0</v>
      </c>
      <c r="AV63" s="8">
        <v>3406.2550000000001</v>
      </c>
      <c r="AW63" s="8">
        <v>0</v>
      </c>
      <c r="AX63" s="8">
        <v>0</v>
      </c>
      <c r="AY63" s="8">
        <v>0</v>
      </c>
      <c r="AZ63" s="8">
        <v>9769.7530000000006</v>
      </c>
      <c r="BA63" s="8">
        <v>0</v>
      </c>
      <c r="BB63" s="8">
        <v>0</v>
      </c>
      <c r="BC63" s="8">
        <v>3609.0749999999998</v>
      </c>
      <c r="BD63" s="8">
        <v>4764.0060000000003</v>
      </c>
      <c r="BE63" s="8">
        <v>0</v>
      </c>
      <c r="BF63" s="8">
        <v>1077.9280000000001</v>
      </c>
      <c r="BG63" s="8">
        <v>0</v>
      </c>
      <c r="BH63" s="8">
        <v>0</v>
      </c>
      <c r="BI63" s="8">
        <v>1658.3309999999999</v>
      </c>
      <c r="BL63" s="22"/>
    </row>
    <row r="64" spans="1:64" ht="15.75" x14ac:dyDescent="0.25">
      <c r="A64" s="22"/>
      <c r="B64" s="7" t="s">
        <v>116</v>
      </c>
      <c r="C64" s="7" t="s">
        <v>117</v>
      </c>
      <c r="D64" s="8">
        <v>3</v>
      </c>
      <c r="E64" s="8">
        <v>3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L64" s="22"/>
    </row>
    <row r="65" spans="1:64" ht="15.75" x14ac:dyDescent="0.25">
      <c r="A65" s="22"/>
      <c r="B65" s="7" t="s">
        <v>118</v>
      </c>
      <c r="C65" s="7" t="s">
        <v>119</v>
      </c>
      <c r="D65" s="8">
        <v>3</v>
      </c>
      <c r="E65" s="8">
        <v>3</v>
      </c>
      <c r="F65" s="8">
        <v>173576.22399999999</v>
      </c>
      <c r="G65" s="8">
        <v>25342.167000000001</v>
      </c>
      <c r="H65" s="8">
        <v>40241.339</v>
      </c>
      <c r="I65" s="8">
        <v>662.68899999999996</v>
      </c>
      <c r="J65" s="8">
        <v>3484.1959999999999</v>
      </c>
      <c r="K65" s="8">
        <v>23409.716</v>
      </c>
      <c r="L65" s="8">
        <v>0</v>
      </c>
      <c r="M65" s="8">
        <v>65069.084000000003</v>
      </c>
      <c r="N65" s="8">
        <v>80498.956000000006</v>
      </c>
      <c r="O65" s="8">
        <v>0</v>
      </c>
      <c r="P65" s="8">
        <v>0</v>
      </c>
      <c r="Q65" s="8">
        <v>3.242</v>
      </c>
      <c r="R65" s="8">
        <v>486.79500000000002</v>
      </c>
      <c r="S65" s="8">
        <v>1258.5609999999999</v>
      </c>
      <c r="T65" s="8">
        <v>11363.925999999999</v>
      </c>
      <c r="U65" s="8">
        <v>0</v>
      </c>
      <c r="V65" s="8">
        <v>0</v>
      </c>
      <c r="W65" s="8">
        <v>6021.6319999999996</v>
      </c>
      <c r="X65" s="8">
        <v>7966.7960000000003</v>
      </c>
      <c r="Y65" s="8">
        <v>0</v>
      </c>
      <c r="Z65" s="8">
        <v>28392.498</v>
      </c>
      <c r="AA65" s="8">
        <v>0</v>
      </c>
      <c r="AB65" s="8">
        <v>46656.417000000001</v>
      </c>
      <c r="AC65" s="8">
        <v>0</v>
      </c>
      <c r="AD65" s="8">
        <v>3924.9029999999998</v>
      </c>
      <c r="AE65" s="8">
        <v>0</v>
      </c>
      <c r="AF65" s="8">
        <v>28060.971000000001</v>
      </c>
      <c r="AG65" s="8">
        <v>0</v>
      </c>
      <c r="AH65" s="8">
        <v>0</v>
      </c>
      <c r="AI65" s="8">
        <v>153245.959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5170.0590000000002</v>
      </c>
      <c r="AQ65" s="8">
        <v>0</v>
      </c>
      <c r="AR65" s="8">
        <v>0</v>
      </c>
      <c r="AS65" s="8">
        <v>0</v>
      </c>
      <c r="AT65" s="8">
        <v>102.059</v>
      </c>
      <c r="AU65" s="8">
        <v>0</v>
      </c>
      <c r="AV65" s="8">
        <v>2647.0279999999998</v>
      </c>
      <c r="AW65" s="8">
        <v>0</v>
      </c>
      <c r="AX65" s="8">
        <v>0</v>
      </c>
      <c r="AY65" s="8">
        <v>0</v>
      </c>
      <c r="AZ65" s="8">
        <v>6575.4260000000004</v>
      </c>
      <c r="BA65" s="8">
        <v>0</v>
      </c>
      <c r="BB65" s="8">
        <v>0</v>
      </c>
      <c r="BC65" s="8">
        <v>2389.683</v>
      </c>
      <c r="BD65" s="8">
        <v>3200.6880000000001</v>
      </c>
      <c r="BE65" s="8">
        <v>0</v>
      </c>
      <c r="BF65" s="8">
        <v>708.97299999999996</v>
      </c>
      <c r="BG65" s="8">
        <v>0</v>
      </c>
      <c r="BH65" s="8">
        <v>0</v>
      </c>
      <c r="BI65" s="8">
        <v>1108.6379999999999</v>
      </c>
      <c r="BL65" s="22"/>
    </row>
    <row r="66" spans="1:64" ht="15.75" x14ac:dyDescent="0.25">
      <c r="A66" s="22"/>
      <c r="B66" s="7" t="s">
        <v>120</v>
      </c>
      <c r="C66" s="7" t="s">
        <v>121</v>
      </c>
      <c r="D66" s="8">
        <v>3</v>
      </c>
      <c r="E66" s="8">
        <v>3</v>
      </c>
      <c r="F66" s="8">
        <v>4660.3620000000001</v>
      </c>
      <c r="G66" s="8">
        <v>679.74199999999996</v>
      </c>
      <c r="H66" s="8">
        <v>1073.8109999999999</v>
      </c>
      <c r="I66" s="8">
        <v>0</v>
      </c>
      <c r="J66" s="8">
        <v>94.33</v>
      </c>
      <c r="K66" s="8">
        <v>620.35400000000004</v>
      </c>
      <c r="L66" s="8">
        <v>0</v>
      </c>
      <c r="M66" s="8">
        <v>1666.855</v>
      </c>
      <c r="N66" s="8">
        <v>2152.0390000000002</v>
      </c>
      <c r="O66" s="8">
        <v>0</v>
      </c>
      <c r="P66" s="8">
        <v>0</v>
      </c>
      <c r="Q66" s="8">
        <v>8.7999999999999995E-2</v>
      </c>
      <c r="R66" s="8">
        <v>43.372</v>
      </c>
      <c r="S66" s="8">
        <v>112.134</v>
      </c>
      <c r="T66" s="8">
        <v>307.66300000000001</v>
      </c>
      <c r="U66" s="8">
        <v>0</v>
      </c>
      <c r="V66" s="8">
        <v>0</v>
      </c>
      <c r="W66" s="8">
        <v>163.02799999999999</v>
      </c>
      <c r="X66" s="8">
        <v>215.69</v>
      </c>
      <c r="Y66" s="8">
        <v>0</v>
      </c>
      <c r="Z66" s="8">
        <v>764.92399999999998</v>
      </c>
      <c r="AA66" s="8">
        <v>0</v>
      </c>
      <c r="AB66" s="8">
        <v>1260.713</v>
      </c>
      <c r="AC66" s="8">
        <v>0</v>
      </c>
      <c r="AD66" s="8">
        <v>106.261</v>
      </c>
      <c r="AE66" s="8">
        <v>0</v>
      </c>
      <c r="AF66" s="8">
        <v>736.53499999999997</v>
      </c>
      <c r="AG66" s="8">
        <v>0</v>
      </c>
      <c r="AH66" s="8">
        <v>0</v>
      </c>
      <c r="AI66" s="8">
        <v>4069.056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139.97300000000001</v>
      </c>
      <c r="AQ66" s="8">
        <v>0</v>
      </c>
      <c r="AR66" s="8">
        <v>0</v>
      </c>
      <c r="AS66" s="8">
        <v>0</v>
      </c>
      <c r="AT66" s="8">
        <v>2.7629999999999999</v>
      </c>
      <c r="AU66" s="8">
        <v>0</v>
      </c>
      <c r="AV66" s="8">
        <v>79.16</v>
      </c>
      <c r="AW66" s="8">
        <v>0</v>
      </c>
      <c r="AX66" s="8">
        <v>0</v>
      </c>
      <c r="AY66" s="8">
        <v>0</v>
      </c>
      <c r="AZ66" s="8">
        <v>178.02</v>
      </c>
      <c r="BA66" s="8">
        <v>0</v>
      </c>
      <c r="BB66" s="8">
        <v>0</v>
      </c>
      <c r="BC66" s="8">
        <v>64.697999999999993</v>
      </c>
      <c r="BD66" s="8">
        <v>86.653000000000006</v>
      </c>
      <c r="BE66" s="8">
        <v>0</v>
      </c>
      <c r="BF66" s="8">
        <v>19.195</v>
      </c>
      <c r="BG66" s="8">
        <v>0</v>
      </c>
      <c r="BH66" s="8">
        <v>0</v>
      </c>
      <c r="BI66" s="8">
        <v>30.015000000000001</v>
      </c>
      <c r="BL66" s="22"/>
    </row>
    <row r="67" spans="1:64" ht="15.75" x14ac:dyDescent="0.25">
      <c r="A67" s="22"/>
      <c r="B67" s="7" t="s">
        <v>122</v>
      </c>
      <c r="C67" s="7" t="s">
        <v>123</v>
      </c>
      <c r="D67" s="8">
        <v>3</v>
      </c>
      <c r="E67" s="8">
        <v>3</v>
      </c>
      <c r="F67" s="8">
        <v>183964.43100000001</v>
      </c>
      <c r="G67" s="8">
        <v>26832.322</v>
      </c>
      <c r="H67" s="8">
        <v>42387.932999999997</v>
      </c>
      <c r="I67" s="8">
        <v>0</v>
      </c>
      <c r="J67" s="8">
        <v>3723.605</v>
      </c>
      <c r="K67" s="8">
        <v>24488.012999999999</v>
      </c>
      <c r="L67" s="8">
        <v>650.65899999999999</v>
      </c>
      <c r="M67" s="8">
        <v>65797.91</v>
      </c>
      <c r="N67" s="8">
        <v>84950.145999999993</v>
      </c>
      <c r="O67" s="8">
        <v>0</v>
      </c>
      <c r="P67" s="8">
        <v>0</v>
      </c>
      <c r="Q67" s="8">
        <v>3.4649999999999999</v>
      </c>
      <c r="R67" s="8">
        <v>846.88</v>
      </c>
      <c r="S67" s="8">
        <v>2189.547</v>
      </c>
      <c r="T67" s="8">
        <v>12144.775</v>
      </c>
      <c r="U67" s="8">
        <v>0</v>
      </c>
      <c r="V67" s="8">
        <v>499.767</v>
      </c>
      <c r="W67" s="8">
        <v>6435.3959999999997</v>
      </c>
      <c r="X67" s="8">
        <v>8514.223</v>
      </c>
      <c r="Y67" s="8">
        <v>0</v>
      </c>
      <c r="Z67" s="8">
        <v>30194.84</v>
      </c>
      <c r="AA67" s="8">
        <v>0</v>
      </c>
      <c r="AB67" s="8">
        <v>49765.767999999996</v>
      </c>
      <c r="AC67" s="8">
        <v>0</v>
      </c>
      <c r="AD67" s="8">
        <v>4194.598</v>
      </c>
      <c r="AE67" s="8">
        <v>0</v>
      </c>
      <c r="AF67" s="8">
        <v>29074.187000000002</v>
      </c>
      <c r="AG67" s="8">
        <v>0</v>
      </c>
      <c r="AH67" s="8">
        <v>0</v>
      </c>
      <c r="AI67" s="8">
        <v>160626.54800000001</v>
      </c>
      <c r="AJ67" s="8">
        <v>0</v>
      </c>
      <c r="AK67" s="8">
        <v>0</v>
      </c>
      <c r="AL67" s="8">
        <v>0</v>
      </c>
      <c r="AM67" s="8">
        <v>0</v>
      </c>
      <c r="AN67" s="8">
        <v>130.94</v>
      </c>
      <c r="AO67" s="8">
        <v>0</v>
      </c>
      <c r="AP67" s="8">
        <v>5525.3090000000002</v>
      </c>
      <c r="AQ67" s="8">
        <v>0</v>
      </c>
      <c r="AR67" s="8">
        <v>0</v>
      </c>
      <c r="AS67" s="8">
        <v>0</v>
      </c>
      <c r="AT67" s="8">
        <v>109.07</v>
      </c>
      <c r="AU67" s="8">
        <v>0</v>
      </c>
      <c r="AV67" s="8">
        <v>2856.5149999999999</v>
      </c>
      <c r="AW67" s="8">
        <v>0</v>
      </c>
      <c r="AX67" s="8">
        <v>0</v>
      </c>
      <c r="AY67" s="8">
        <v>0</v>
      </c>
      <c r="AZ67" s="8">
        <v>7027.2389999999996</v>
      </c>
      <c r="BA67" s="8">
        <v>0</v>
      </c>
      <c r="BB67" s="8">
        <v>0</v>
      </c>
      <c r="BC67" s="8">
        <v>2553.88</v>
      </c>
      <c r="BD67" s="8">
        <v>3420.614</v>
      </c>
      <c r="BE67" s="8">
        <v>0</v>
      </c>
      <c r="BF67" s="8">
        <v>757.69</v>
      </c>
      <c r="BG67" s="8">
        <v>0</v>
      </c>
      <c r="BH67" s="8">
        <v>0</v>
      </c>
      <c r="BI67" s="8">
        <v>1184.8150000000001</v>
      </c>
      <c r="BL67" s="22"/>
    </row>
    <row r="68" spans="1:64" ht="15.75" x14ac:dyDescent="0.25">
      <c r="A68" s="22"/>
      <c r="B68" s="7" t="s">
        <v>124</v>
      </c>
      <c r="C68" s="7" t="s">
        <v>125</v>
      </c>
      <c r="D68" s="8">
        <v>3</v>
      </c>
      <c r="E68" s="8">
        <v>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L68" s="22"/>
    </row>
    <row r="69" spans="1:64" ht="15.75" x14ac:dyDescent="0.25">
      <c r="A69" s="22"/>
      <c r="B69" s="7" t="s">
        <v>126</v>
      </c>
      <c r="C69" s="7" t="s">
        <v>127</v>
      </c>
      <c r="D69" s="8">
        <v>3</v>
      </c>
      <c r="E69" s="8">
        <v>3</v>
      </c>
      <c r="F69" s="8">
        <v>65623.792000000001</v>
      </c>
      <c r="G69" s="8">
        <v>9571.6270000000004</v>
      </c>
      <c r="H69" s="8">
        <v>15120.624</v>
      </c>
      <c r="I69" s="8">
        <v>13583.933999999999</v>
      </c>
      <c r="J69" s="8">
        <v>1328.2840000000001</v>
      </c>
      <c r="K69" s="8">
        <v>8735.3610000000008</v>
      </c>
      <c r="L69" s="8">
        <v>0</v>
      </c>
      <c r="M69" s="8">
        <v>23471.43</v>
      </c>
      <c r="N69" s="8">
        <v>30303.42</v>
      </c>
      <c r="O69" s="8">
        <v>0</v>
      </c>
      <c r="P69" s="8">
        <v>0</v>
      </c>
      <c r="Q69" s="8">
        <v>1.2350000000000001</v>
      </c>
      <c r="R69" s="8">
        <v>37.826000000000001</v>
      </c>
      <c r="S69" s="8">
        <v>97.793999999999997</v>
      </c>
      <c r="T69" s="8">
        <v>4332.2839999999997</v>
      </c>
      <c r="U69" s="8">
        <v>0</v>
      </c>
      <c r="V69" s="8">
        <v>0</v>
      </c>
      <c r="W69" s="8">
        <v>2295.634</v>
      </c>
      <c r="X69" s="8">
        <v>3037.1909999999998</v>
      </c>
      <c r="Y69" s="8">
        <v>0</v>
      </c>
      <c r="Z69" s="8">
        <v>10771.1</v>
      </c>
      <c r="AA69" s="8">
        <v>0</v>
      </c>
      <c r="AB69" s="8">
        <v>17752.446</v>
      </c>
      <c r="AC69" s="8">
        <v>0</v>
      </c>
      <c r="AD69" s="8">
        <v>1496.296</v>
      </c>
      <c r="AE69" s="8">
        <v>0</v>
      </c>
      <c r="AF69" s="8">
        <v>10371.343000000001</v>
      </c>
      <c r="AG69" s="8">
        <v>0</v>
      </c>
      <c r="AH69" s="8">
        <v>0</v>
      </c>
      <c r="AI69" s="8">
        <v>57297.457000000002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1970.989</v>
      </c>
      <c r="AQ69" s="8">
        <v>0</v>
      </c>
      <c r="AR69" s="8">
        <v>0</v>
      </c>
      <c r="AS69" s="8">
        <v>0</v>
      </c>
      <c r="AT69" s="8">
        <v>38.911000000000001</v>
      </c>
      <c r="AU69" s="8">
        <v>0</v>
      </c>
      <c r="AV69" s="8">
        <v>1003.437</v>
      </c>
      <c r="AW69" s="8">
        <v>0</v>
      </c>
      <c r="AX69" s="8">
        <v>0</v>
      </c>
      <c r="AY69" s="8">
        <v>0</v>
      </c>
      <c r="AZ69" s="8">
        <v>2506.7579999999998</v>
      </c>
      <c r="BA69" s="8">
        <v>0</v>
      </c>
      <c r="BB69" s="8">
        <v>0</v>
      </c>
      <c r="BC69" s="8">
        <v>911.02099999999996</v>
      </c>
      <c r="BD69" s="8">
        <v>1220.201</v>
      </c>
      <c r="BE69" s="8">
        <v>0</v>
      </c>
      <c r="BF69" s="8">
        <v>270.28399999999999</v>
      </c>
      <c r="BG69" s="8">
        <v>0</v>
      </c>
      <c r="BH69" s="8">
        <v>0</v>
      </c>
      <c r="BI69" s="8">
        <v>422.64800000000002</v>
      </c>
      <c r="BL69" s="22"/>
    </row>
    <row r="70" spans="1:64" ht="15.75" x14ac:dyDescent="0.25">
      <c r="A70" s="22"/>
      <c r="B70" s="7" t="s">
        <v>128</v>
      </c>
      <c r="C70" s="7" t="s">
        <v>129</v>
      </c>
      <c r="D70" s="8">
        <v>3</v>
      </c>
      <c r="E70" s="8">
        <v>3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L70" s="22"/>
    </row>
    <row r="71" spans="1:64" ht="15.75" x14ac:dyDescent="0.25">
      <c r="A71" s="22"/>
      <c r="B71" s="7" t="s">
        <v>130</v>
      </c>
      <c r="C71" s="7" t="s">
        <v>131</v>
      </c>
      <c r="D71" s="8">
        <v>3</v>
      </c>
      <c r="E71" s="8">
        <v>3</v>
      </c>
      <c r="F71" s="8">
        <v>106959.545</v>
      </c>
      <c r="G71" s="8">
        <v>15600.696</v>
      </c>
      <c r="H71" s="8">
        <v>24644.946</v>
      </c>
      <c r="I71" s="8">
        <v>26264.912</v>
      </c>
      <c r="J71" s="8">
        <v>2164.962</v>
      </c>
      <c r="K71" s="8">
        <v>14237.675999999999</v>
      </c>
      <c r="L71" s="8">
        <v>5350.2780000000002</v>
      </c>
      <c r="M71" s="8">
        <v>38255.843999999997</v>
      </c>
      <c r="N71" s="8">
        <v>49391.231</v>
      </c>
      <c r="O71" s="8">
        <v>0</v>
      </c>
      <c r="P71" s="8">
        <v>0</v>
      </c>
      <c r="Q71" s="8">
        <v>2.0139999999999998</v>
      </c>
      <c r="R71" s="8">
        <v>42.191000000000003</v>
      </c>
      <c r="S71" s="8">
        <v>109.081</v>
      </c>
      <c r="T71" s="8">
        <v>7061.1469999999999</v>
      </c>
      <c r="U71" s="8">
        <v>0</v>
      </c>
      <c r="V71" s="8">
        <v>4109.509</v>
      </c>
      <c r="W71" s="8">
        <v>3741.6329999999998</v>
      </c>
      <c r="X71" s="8">
        <v>4950.2879999999996</v>
      </c>
      <c r="Y71" s="8">
        <v>0</v>
      </c>
      <c r="Z71" s="8">
        <v>17555.706999999999</v>
      </c>
      <c r="AA71" s="8">
        <v>0</v>
      </c>
      <c r="AB71" s="8">
        <v>28934.53</v>
      </c>
      <c r="AC71" s="8">
        <v>0</v>
      </c>
      <c r="AD71" s="8">
        <v>2438.799</v>
      </c>
      <c r="AE71" s="8">
        <v>0</v>
      </c>
      <c r="AF71" s="8">
        <v>16904.145</v>
      </c>
      <c r="AG71" s="8">
        <v>9.9049999999999994</v>
      </c>
      <c r="AH71" s="8">
        <v>0</v>
      </c>
      <c r="AI71" s="8">
        <v>93417.241999999998</v>
      </c>
      <c r="AJ71" s="8">
        <v>34.375999999999998</v>
      </c>
      <c r="AK71" s="8">
        <v>0</v>
      </c>
      <c r="AL71" s="8">
        <v>0</v>
      </c>
      <c r="AM71" s="8">
        <v>0</v>
      </c>
      <c r="AN71" s="8">
        <v>1076.6969999999999</v>
      </c>
      <c r="AO71" s="8">
        <v>0</v>
      </c>
      <c r="AP71" s="8">
        <v>3212.4920000000002</v>
      </c>
      <c r="AQ71" s="8">
        <v>0</v>
      </c>
      <c r="AR71" s="8">
        <v>0</v>
      </c>
      <c r="AS71" s="8">
        <v>0</v>
      </c>
      <c r="AT71" s="8">
        <v>63.417000000000002</v>
      </c>
      <c r="AU71" s="8">
        <v>0</v>
      </c>
      <c r="AV71" s="8">
        <v>1638.9970000000001</v>
      </c>
      <c r="AW71" s="8">
        <v>0</v>
      </c>
      <c r="AX71" s="8">
        <v>0</v>
      </c>
      <c r="AY71" s="8">
        <v>0</v>
      </c>
      <c r="AZ71" s="8">
        <v>4085.7420000000002</v>
      </c>
      <c r="BA71" s="8">
        <v>0</v>
      </c>
      <c r="BB71" s="8">
        <v>0</v>
      </c>
      <c r="BC71" s="8">
        <v>1484.86</v>
      </c>
      <c r="BD71" s="8">
        <v>1988.7929999999999</v>
      </c>
      <c r="BE71" s="8">
        <v>0</v>
      </c>
      <c r="BF71" s="8">
        <v>440.53500000000003</v>
      </c>
      <c r="BG71" s="8">
        <v>0</v>
      </c>
      <c r="BH71" s="8">
        <v>0</v>
      </c>
      <c r="BI71" s="8">
        <v>688.86800000000005</v>
      </c>
      <c r="BL71" s="22"/>
    </row>
    <row r="72" spans="1:64" ht="15.75" x14ac:dyDescent="0.25">
      <c r="A72" s="22"/>
      <c r="B72" s="7" t="s">
        <v>132</v>
      </c>
      <c r="C72" s="7" t="s">
        <v>133</v>
      </c>
      <c r="D72" s="8">
        <v>3</v>
      </c>
      <c r="E72" s="8">
        <v>3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L72" s="22"/>
    </row>
    <row r="73" spans="1:64" ht="15.75" x14ac:dyDescent="0.25">
      <c r="A73" s="22"/>
      <c r="B73" s="7" t="s">
        <v>134</v>
      </c>
      <c r="C73" s="7" t="s">
        <v>135</v>
      </c>
      <c r="D73" s="8">
        <v>6</v>
      </c>
      <c r="E73" s="8">
        <v>6</v>
      </c>
      <c r="F73" s="8">
        <v>77095.642000000007</v>
      </c>
      <c r="G73" s="8">
        <v>6732.6369999999997</v>
      </c>
      <c r="H73" s="8">
        <v>17117.567999999999</v>
      </c>
      <c r="I73" s="8">
        <v>1834.45</v>
      </c>
      <c r="J73" s="8">
        <v>1335.2909999999999</v>
      </c>
      <c r="K73" s="8">
        <v>12886.665999999999</v>
      </c>
      <c r="L73" s="8">
        <v>0</v>
      </c>
      <c r="M73" s="8">
        <v>36818.22</v>
      </c>
      <c r="N73" s="8">
        <v>34770.192999999999</v>
      </c>
      <c r="O73" s="8">
        <v>0</v>
      </c>
      <c r="P73" s="8">
        <v>0</v>
      </c>
      <c r="Q73" s="8">
        <v>25.672000000000001</v>
      </c>
      <c r="R73" s="8">
        <v>0</v>
      </c>
      <c r="S73" s="8">
        <v>131.08600000000001</v>
      </c>
      <c r="T73" s="8">
        <v>2147.2800000000002</v>
      </c>
      <c r="U73" s="8">
        <v>0</v>
      </c>
      <c r="V73" s="8">
        <v>0</v>
      </c>
      <c r="W73" s="8">
        <v>1727.0309999999999</v>
      </c>
      <c r="X73" s="8">
        <v>3835.154</v>
      </c>
      <c r="Y73" s="8">
        <v>0</v>
      </c>
      <c r="Z73" s="8">
        <v>17078.538</v>
      </c>
      <c r="AA73" s="8">
        <v>0</v>
      </c>
      <c r="AB73" s="8">
        <v>16137.944</v>
      </c>
      <c r="AC73" s="8">
        <v>0</v>
      </c>
      <c r="AD73" s="8">
        <v>1178.412</v>
      </c>
      <c r="AE73" s="8">
        <v>0</v>
      </c>
      <c r="AF73" s="8">
        <v>62645.19</v>
      </c>
      <c r="AG73" s="8">
        <v>0</v>
      </c>
      <c r="AH73" s="8">
        <v>0</v>
      </c>
      <c r="AI73" s="8">
        <v>109305.208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1497.904</v>
      </c>
      <c r="AQ73" s="8">
        <v>0</v>
      </c>
      <c r="AR73" s="8">
        <v>0</v>
      </c>
      <c r="AS73" s="8">
        <v>0</v>
      </c>
      <c r="AT73" s="8">
        <v>10.832000000000001</v>
      </c>
      <c r="AU73" s="8">
        <v>0</v>
      </c>
      <c r="AV73" s="8">
        <v>458.41</v>
      </c>
      <c r="AW73" s="8">
        <v>0</v>
      </c>
      <c r="AX73" s="8">
        <v>0</v>
      </c>
      <c r="AY73" s="8">
        <v>0</v>
      </c>
      <c r="AZ73" s="8">
        <v>1879.27</v>
      </c>
      <c r="BA73" s="8">
        <v>0</v>
      </c>
      <c r="BB73" s="8">
        <v>0</v>
      </c>
      <c r="BC73" s="8">
        <v>712.58199999999999</v>
      </c>
      <c r="BD73" s="8">
        <v>919.029</v>
      </c>
      <c r="BE73" s="8">
        <v>0</v>
      </c>
      <c r="BF73" s="8">
        <v>215.04499999999999</v>
      </c>
      <c r="BG73" s="8">
        <v>0</v>
      </c>
      <c r="BH73" s="8">
        <v>0</v>
      </c>
      <c r="BI73" s="8">
        <v>322.47899999999998</v>
      </c>
      <c r="BL73" s="22"/>
    </row>
    <row r="74" spans="1:64" ht="15.75" x14ac:dyDescent="0.25">
      <c r="A74" s="22"/>
      <c r="B74" s="7" t="s">
        <v>136</v>
      </c>
      <c r="C74" s="7" t="s">
        <v>137</v>
      </c>
      <c r="D74" s="8">
        <v>6</v>
      </c>
      <c r="E74" s="8">
        <v>6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L74" s="22"/>
    </row>
    <row r="75" spans="1:64" ht="15.75" x14ac:dyDescent="0.25">
      <c r="A75" s="22"/>
      <c r="B75" s="7" t="s">
        <v>138</v>
      </c>
      <c r="C75" s="7" t="s">
        <v>139</v>
      </c>
      <c r="D75" s="8">
        <v>6</v>
      </c>
      <c r="E75" s="8">
        <v>6</v>
      </c>
      <c r="F75" s="8">
        <v>7999.8440000000001</v>
      </c>
      <c r="G75" s="8">
        <v>1335.807</v>
      </c>
      <c r="H75" s="8">
        <v>1128.4369999999999</v>
      </c>
      <c r="I75" s="8">
        <v>0</v>
      </c>
      <c r="J75" s="8">
        <v>118.80200000000001</v>
      </c>
      <c r="K75" s="8">
        <v>1060.7380000000001</v>
      </c>
      <c r="L75" s="8">
        <v>0</v>
      </c>
      <c r="M75" s="8">
        <v>11572.816000000001</v>
      </c>
      <c r="N75" s="8">
        <v>3145.87</v>
      </c>
      <c r="O75" s="8">
        <v>0</v>
      </c>
      <c r="P75" s="8">
        <v>0</v>
      </c>
      <c r="Q75" s="8">
        <v>7.2610000000000001</v>
      </c>
      <c r="R75" s="8">
        <v>0</v>
      </c>
      <c r="S75" s="8">
        <v>140.262</v>
      </c>
      <c r="T75" s="8">
        <v>257.41899999999998</v>
      </c>
      <c r="U75" s="8">
        <v>0</v>
      </c>
      <c r="V75" s="8">
        <v>0</v>
      </c>
      <c r="W75" s="8">
        <v>159.78</v>
      </c>
      <c r="X75" s="8">
        <v>250.761</v>
      </c>
      <c r="Y75" s="8">
        <v>0</v>
      </c>
      <c r="Z75" s="8">
        <v>1194.577</v>
      </c>
      <c r="AA75" s="8">
        <v>0</v>
      </c>
      <c r="AB75" s="8">
        <v>1243.8920000000001</v>
      </c>
      <c r="AC75" s="8">
        <v>0</v>
      </c>
      <c r="AD75" s="8">
        <v>119.02200000000001</v>
      </c>
      <c r="AE75" s="8">
        <v>0</v>
      </c>
      <c r="AF75" s="8">
        <v>3405.9769999999999</v>
      </c>
      <c r="AG75" s="8">
        <v>0</v>
      </c>
      <c r="AH75" s="8">
        <v>0</v>
      </c>
      <c r="AI75" s="8">
        <v>13114.191000000001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117.114</v>
      </c>
      <c r="AQ75" s="8">
        <v>0</v>
      </c>
      <c r="AR75" s="8">
        <v>0</v>
      </c>
      <c r="AS75" s="8">
        <v>0</v>
      </c>
      <c r="AT75" s="8">
        <v>2.3119999999999998</v>
      </c>
      <c r="AU75" s="8">
        <v>0</v>
      </c>
      <c r="AV75" s="8">
        <v>59.618000000000002</v>
      </c>
      <c r="AW75" s="8">
        <v>0</v>
      </c>
      <c r="AX75" s="8">
        <v>0</v>
      </c>
      <c r="AY75" s="8">
        <v>0</v>
      </c>
      <c r="AZ75" s="8">
        <v>148.94800000000001</v>
      </c>
      <c r="BA75" s="8">
        <v>0</v>
      </c>
      <c r="BB75" s="8">
        <v>0</v>
      </c>
      <c r="BC75" s="8">
        <v>54.131999999999998</v>
      </c>
      <c r="BD75" s="8">
        <v>72.503</v>
      </c>
      <c r="BE75" s="8">
        <v>0</v>
      </c>
      <c r="BF75" s="8">
        <v>16.059999999999999</v>
      </c>
      <c r="BG75" s="8">
        <v>0</v>
      </c>
      <c r="BH75" s="8">
        <v>0</v>
      </c>
      <c r="BI75" s="8">
        <v>25.113</v>
      </c>
      <c r="BL75" s="22"/>
    </row>
    <row r="76" spans="1:64" ht="15.75" x14ac:dyDescent="0.25">
      <c r="A76" s="22"/>
      <c r="B76" s="7" t="s">
        <v>140</v>
      </c>
      <c r="C76" s="7" t="s">
        <v>141</v>
      </c>
      <c r="D76" s="8">
        <v>6</v>
      </c>
      <c r="E76" s="8">
        <v>6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L76" s="22"/>
    </row>
    <row r="77" spans="1:64" ht="15.75" x14ac:dyDescent="0.25">
      <c r="A77" s="22"/>
      <c r="B77" s="7" t="s">
        <v>142</v>
      </c>
      <c r="C77" s="7" t="s">
        <v>143</v>
      </c>
      <c r="D77" s="8">
        <v>6</v>
      </c>
      <c r="E77" s="8">
        <v>6</v>
      </c>
      <c r="F77" s="8">
        <v>8697.1149999999998</v>
      </c>
      <c r="G77" s="8">
        <v>1140.3820000000001</v>
      </c>
      <c r="H77" s="8">
        <v>1767.271</v>
      </c>
      <c r="I77" s="8">
        <v>5044.491</v>
      </c>
      <c r="J77" s="8">
        <v>178.23599999999999</v>
      </c>
      <c r="K77" s="8">
        <v>1028.9939999999999</v>
      </c>
      <c r="L77" s="8">
        <v>0</v>
      </c>
      <c r="M77" s="8">
        <v>3894.7350000000001</v>
      </c>
      <c r="N77" s="8">
        <v>3728.73</v>
      </c>
      <c r="O77" s="8">
        <v>0</v>
      </c>
      <c r="P77" s="8">
        <v>0</v>
      </c>
      <c r="Q77" s="8">
        <v>8.5210000000000008</v>
      </c>
      <c r="R77" s="8">
        <v>0</v>
      </c>
      <c r="S77" s="8">
        <v>0</v>
      </c>
      <c r="T77" s="8">
        <v>429.35500000000002</v>
      </c>
      <c r="U77" s="8">
        <v>0</v>
      </c>
      <c r="V77" s="8">
        <v>0</v>
      </c>
      <c r="W77" s="8">
        <v>254.82400000000001</v>
      </c>
      <c r="X77" s="8">
        <v>383.13900000000001</v>
      </c>
      <c r="Y77" s="8">
        <v>0</v>
      </c>
      <c r="Z77" s="8">
        <v>1715.462</v>
      </c>
      <c r="AA77" s="8">
        <v>0</v>
      </c>
      <c r="AB77" s="8">
        <v>1980.2819999999999</v>
      </c>
      <c r="AC77" s="8">
        <v>0</v>
      </c>
      <c r="AD77" s="8">
        <v>183.47800000000001</v>
      </c>
      <c r="AE77" s="8">
        <v>0</v>
      </c>
      <c r="AF77" s="8">
        <v>3135.364</v>
      </c>
      <c r="AG77" s="8">
        <v>0</v>
      </c>
      <c r="AH77" s="8">
        <v>0</v>
      </c>
      <c r="AI77" s="8">
        <v>10281.823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195.33699999999999</v>
      </c>
      <c r="AQ77" s="8">
        <v>0</v>
      </c>
      <c r="AR77" s="8">
        <v>0</v>
      </c>
      <c r="AS77" s="8">
        <v>0</v>
      </c>
      <c r="AT77" s="8">
        <v>3.8559999999999999</v>
      </c>
      <c r="AU77" s="8">
        <v>0</v>
      </c>
      <c r="AV77" s="8">
        <v>99.441999999999993</v>
      </c>
      <c r="AW77" s="8">
        <v>0</v>
      </c>
      <c r="AX77" s="8">
        <v>0</v>
      </c>
      <c r="AY77" s="8">
        <v>0</v>
      </c>
      <c r="AZ77" s="8">
        <v>248.434</v>
      </c>
      <c r="BA77" s="8">
        <v>0</v>
      </c>
      <c r="BB77" s="8">
        <v>0</v>
      </c>
      <c r="BC77" s="8">
        <v>90.287000000000006</v>
      </c>
      <c r="BD77" s="8">
        <v>120.929</v>
      </c>
      <c r="BE77" s="8">
        <v>0</v>
      </c>
      <c r="BF77" s="8">
        <v>26.786999999999999</v>
      </c>
      <c r="BG77" s="8">
        <v>0</v>
      </c>
      <c r="BH77" s="8">
        <v>0</v>
      </c>
      <c r="BI77" s="8">
        <v>41.887</v>
      </c>
      <c r="BL77" s="22"/>
    </row>
    <row r="78" spans="1:64" ht="15.75" x14ac:dyDescent="0.25">
      <c r="A78" s="22"/>
      <c r="B78" s="7" t="s">
        <v>144</v>
      </c>
      <c r="C78" s="7" t="s">
        <v>145</v>
      </c>
      <c r="D78" s="8">
        <v>6</v>
      </c>
      <c r="E78" s="8">
        <v>6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L78" s="22"/>
    </row>
    <row r="79" spans="1:64" ht="15.75" x14ac:dyDescent="0.25">
      <c r="A79" s="22"/>
      <c r="B79" s="7" t="s">
        <v>146</v>
      </c>
      <c r="C79" s="7" t="s">
        <v>147</v>
      </c>
      <c r="D79" s="8">
        <v>6</v>
      </c>
      <c r="E79" s="8">
        <v>6</v>
      </c>
      <c r="F79" s="8">
        <v>3846.4650000000001</v>
      </c>
      <c r="G79" s="8">
        <v>629.774</v>
      </c>
      <c r="H79" s="8">
        <v>985.50400000000002</v>
      </c>
      <c r="I79" s="8">
        <v>0</v>
      </c>
      <c r="J79" s="8">
        <v>51.969000000000001</v>
      </c>
      <c r="K79" s="8">
        <v>714.88900000000001</v>
      </c>
      <c r="L79" s="8">
        <v>0</v>
      </c>
      <c r="M79" s="8">
        <v>5198.9160000000002</v>
      </c>
      <c r="N79" s="8">
        <v>1511.8789999999999</v>
      </c>
      <c r="O79" s="8">
        <v>0</v>
      </c>
      <c r="P79" s="8">
        <v>0</v>
      </c>
      <c r="Q79" s="8">
        <v>2.6059999999999999</v>
      </c>
      <c r="R79" s="8">
        <v>0</v>
      </c>
      <c r="S79" s="8">
        <v>77.459000000000003</v>
      </c>
      <c r="T79" s="8">
        <v>122.973</v>
      </c>
      <c r="U79" s="8">
        <v>0</v>
      </c>
      <c r="V79" s="8">
        <v>0</v>
      </c>
      <c r="W79" s="8">
        <v>73.524000000000001</v>
      </c>
      <c r="X79" s="8">
        <v>111.358</v>
      </c>
      <c r="Y79" s="8">
        <v>0</v>
      </c>
      <c r="Z79" s="8">
        <v>624.76099999999997</v>
      </c>
      <c r="AA79" s="8">
        <v>0</v>
      </c>
      <c r="AB79" s="8">
        <v>631.26499999999999</v>
      </c>
      <c r="AC79" s="8">
        <v>0</v>
      </c>
      <c r="AD79" s="8">
        <v>53.244999999999997</v>
      </c>
      <c r="AE79" s="8">
        <v>0</v>
      </c>
      <c r="AF79" s="8">
        <v>1711.5070000000001</v>
      </c>
      <c r="AG79" s="8">
        <v>0</v>
      </c>
      <c r="AH79" s="8">
        <v>0</v>
      </c>
      <c r="AI79" s="8">
        <v>6237.299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55.945999999999998</v>
      </c>
      <c r="AQ79" s="8">
        <v>0</v>
      </c>
      <c r="AR79" s="8">
        <v>0</v>
      </c>
      <c r="AS79" s="8">
        <v>0</v>
      </c>
      <c r="AT79" s="8">
        <v>1.105</v>
      </c>
      <c r="AU79" s="8">
        <v>0</v>
      </c>
      <c r="AV79" s="8">
        <v>28.486000000000001</v>
      </c>
      <c r="AW79" s="8">
        <v>0</v>
      </c>
      <c r="AX79" s="8">
        <v>0</v>
      </c>
      <c r="AY79" s="8">
        <v>0</v>
      </c>
      <c r="AZ79" s="8">
        <v>71.153999999999996</v>
      </c>
      <c r="BA79" s="8">
        <v>0</v>
      </c>
      <c r="BB79" s="8">
        <v>0</v>
      </c>
      <c r="BC79" s="8">
        <v>25.859000000000002</v>
      </c>
      <c r="BD79" s="8">
        <v>34.634999999999998</v>
      </c>
      <c r="BE79" s="8">
        <v>0</v>
      </c>
      <c r="BF79" s="8">
        <v>7.6719999999999997</v>
      </c>
      <c r="BG79" s="8">
        <v>0</v>
      </c>
      <c r="BH79" s="8">
        <v>0</v>
      </c>
      <c r="BI79" s="8">
        <v>11.997</v>
      </c>
      <c r="BL79" s="22"/>
    </row>
    <row r="80" spans="1:64" ht="15.75" x14ac:dyDescent="0.25">
      <c r="A80" s="22"/>
      <c r="B80" s="7" t="s">
        <v>148</v>
      </c>
      <c r="C80" s="7" t="s">
        <v>149</v>
      </c>
      <c r="D80" s="8">
        <v>6</v>
      </c>
      <c r="E80" s="8">
        <v>6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L80" s="22"/>
    </row>
    <row r="81" spans="1:64" ht="15.75" x14ac:dyDescent="0.25">
      <c r="A81" s="22"/>
      <c r="B81" s="7" t="s">
        <v>150</v>
      </c>
      <c r="C81" s="7" t="s">
        <v>151</v>
      </c>
      <c r="D81" s="8">
        <v>6</v>
      </c>
      <c r="E81" s="8">
        <v>6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L81" s="22"/>
    </row>
    <row r="82" spans="1:64" ht="15.75" x14ac:dyDescent="0.25">
      <c r="A82" s="22"/>
      <c r="B82" s="7" t="s">
        <v>152</v>
      </c>
      <c r="C82" s="7" t="s">
        <v>153</v>
      </c>
      <c r="D82" s="8">
        <v>6</v>
      </c>
      <c r="E82" s="8">
        <v>6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L82" s="22"/>
    </row>
    <row r="83" spans="1:64" ht="15.75" x14ac:dyDescent="0.25">
      <c r="A83" s="22"/>
      <c r="B83" s="7" t="s">
        <v>154</v>
      </c>
      <c r="C83" s="7" t="s">
        <v>155</v>
      </c>
      <c r="D83" s="8">
        <v>6</v>
      </c>
      <c r="E83" s="8">
        <v>6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L83" s="22"/>
    </row>
    <row r="84" spans="1:64" ht="15.75" x14ac:dyDescent="0.25">
      <c r="A84" s="22"/>
      <c r="B84" s="7" t="s">
        <v>156</v>
      </c>
      <c r="C84" s="7" t="s">
        <v>157</v>
      </c>
      <c r="D84" s="8">
        <v>6</v>
      </c>
      <c r="E84" s="8">
        <v>6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L84" s="22"/>
    </row>
    <row r="85" spans="1:64" ht="15.75" x14ac:dyDescent="0.25">
      <c r="A85" s="22"/>
      <c r="B85" s="7" t="s">
        <v>158</v>
      </c>
      <c r="C85" s="7" t="s">
        <v>159</v>
      </c>
      <c r="D85" s="8">
        <v>6</v>
      </c>
      <c r="E85" s="8">
        <v>6</v>
      </c>
      <c r="F85" s="8">
        <v>15571.039000000001</v>
      </c>
      <c r="G85" s="8">
        <v>2665.2080000000001</v>
      </c>
      <c r="H85" s="8">
        <v>3125.6840000000002</v>
      </c>
      <c r="I85" s="8">
        <v>2107.098</v>
      </c>
      <c r="J85" s="8">
        <v>459.05399999999997</v>
      </c>
      <c r="K85" s="8">
        <v>2029.7860000000001</v>
      </c>
      <c r="L85" s="8">
        <v>0</v>
      </c>
      <c r="M85" s="8">
        <v>15510.61</v>
      </c>
      <c r="N85" s="8">
        <v>6516.14</v>
      </c>
      <c r="O85" s="8">
        <v>0</v>
      </c>
      <c r="P85" s="8">
        <v>0</v>
      </c>
      <c r="Q85" s="8">
        <v>66.698999999999998</v>
      </c>
      <c r="R85" s="8">
        <v>0</v>
      </c>
      <c r="S85" s="8">
        <v>107.98099999999999</v>
      </c>
      <c r="T85" s="8">
        <v>793.67899999999997</v>
      </c>
      <c r="U85" s="8">
        <v>0</v>
      </c>
      <c r="V85" s="8">
        <v>0</v>
      </c>
      <c r="W85" s="8">
        <v>420.55200000000002</v>
      </c>
      <c r="X85" s="8">
        <v>556.36300000000006</v>
      </c>
      <c r="Y85" s="8">
        <v>0</v>
      </c>
      <c r="Z85" s="8">
        <v>1973.0719999999999</v>
      </c>
      <c r="AA85" s="8">
        <v>0</v>
      </c>
      <c r="AB85" s="8">
        <v>3252.4549999999999</v>
      </c>
      <c r="AC85" s="8">
        <v>0</v>
      </c>
      <c r="AD85" s="8">
        <v>274.14299999999997</v>
      </c>
      <c r="AE85" s="8">
        <v>0</v>
      </c>
      <c r="AF85" s="8">
        <v>2785.355</v>
      </c>
      <c r="AG85" s="8">
        <v>6.0000000000000001E-3</v>
      </c>
      <c r="AH85" s="8">
        <v>0</v>
      </c>
      <c r="AI85" s="8">
        <v>21545.071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361.178</v>
      </c>
      <c r="AQ85" s="8">
        <v>0</v>
      </c>
      <c r="AR85" s="8">
        <v>1E-3</v>
      </c>
      <c r="AS85" s="8">
        <v>0</v>
      </c>
      <c r="AT85" s="8">
        <v>7.1269999999999998</v>
      </c>
      <c r="AU85" s="8">
        <v>0</v>
      </c>
      <c r="AV85" s="8">
        <v>183.79900000000001</v>
      </c>
      <c r="AW85" s="8">
        <v>0</v>
      </c>
      <c r="AX85" s="8">
        <v>0</v>
      </c>
      <c r="AY85" s="8">
        <v>0</v>
      </c>
      <c r="AZ85" s="8">
        <v>459.16199999999998</v>
      </c>
      <c r="BA85" s="8">
        <v>0</v>
      </c>
      <c r="BB85" s="8">
        <v>0</v>
      </c>
      <c r="BC85" s="8">
        <v>166.941</v>
      </c>
      <c r="BD85" s="8">
        <v>223.50399999999999</v>
      </c>
      <c r="BE85" s="8">
        <v>0</v>
      </c>
      <c r="BF85" s="8">
        <v>49.527999999999999</v>
      </c>
      <c r="BG85" s="8">
        <v>0</v>
      </c>
      <c r="BH85" s="8">
        <v>0</v>
      </c>
      <c r="BI85" s="8">
        <v>77.415999999999997</v>
      </c>
      <c r="BL85" s="22"/>
    </row>
    <row r="86" spans="1:64" ht="15.75" x14ac:dyDescent="0.25">
      <c r="A86" s="22"/>
      <c r="B86" s="7" t="s">
        <v>160</v>
      </c>
      <c r="C86" s="7" t="s">
        <v>161</v>
      </c>
      <c r="D86" s="8">
        <v>6</v>
      </c>
      <c r="E86" s="8">
        <v>6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L86" s="22"/>
    </row>
    <row r="87" spans="1:64" ht="15.75" x14ac:dyDescent="0.25">
      <c r="A87" s="22"/>
      <c r="B87" s="7" t="s">
        <v>162</v>
      </c>
      <c r="C87" s="7" t="s">
        <v>163</v>
      </c>
      <c r="D87" s="8">
        <v>6</v>
      </c>
      <c r="E87" s="8">
        <v>6</v>
      </c>
      <c r="F87" s="8">
        <v>32144.576000000001</v>
      </c>
      <c r="G87" s="8">
        <v>4648.9179999999997</v>
      </c>
      <c r="H87" s="8">
        <v>7336.7749999999996</v>
      </c>
      <c r="I87" s="8">
        <v>1547.0540000000001</v>
      </c>
      <c r="J87" s="8">
        <v>649.39599999999996</v>
      </c>
      <c r="K87" s="8">
        <v>4240.2470000000003</v>
      </c>
      <c r="L87" s="8">
        <v>0</v>
      </c>
      <c r="M87" s="8">
        <v>11866.022999999999</v>
      </c>
      <c r="N87" s="8">
        <v>14754.019</v>
      </c>
      <c r="O87" s="8">
        <v>0</v>
      </c>
      <c r="P87" s="8">
        <v>0</v>
      </c>
      <c r="Q87" s="8">
        <v>2.383</v>
      </c>
      <c r="R87" s="8">
        <v>0</v>
      </c>
      <c r="S87" s="8">
        <v>0</v>
      </c>
      <c r="T87" s="8">
        <v>2085.7199999999998</v>
      </c>
      <c r="U87" s="8">
        <v>0</v>
      </c>
      <c r="V87" s="8">
        <v>0</v>
      </c>
      <c r="W87" s="8">
        <v>1111.011</v>
      </c>
      <c r="X87" s="8">
        <v>1479.684</v>
      </c>
      <c r="Y87" s="8">
        <v>0</v>
      </c>
      <c r="Z87" s="8">
        <v>5429.2619999999997</v>
      </c>
      <c r="AA87" s="8">
        <v>0</v>
      </c>
      <c r="AB87" s="8">
        <v>8593.6579999999994</v>
      </c>
      <c r="AC87" s="8">
        <v>0</v>
      </c>
      <c r="AD87" s="8">
        <v>727.85599999999999</v>
      </c>
      <c r="AE87" s="8">
        <v>0</v>
      </c>
      <c r="AF87" s="8">
        <v>5652.6940000000004</v>
      </c>
      <c r="AG87" s="8">
        <v>0</v>
      </c>
      <c r="AH87" s="8">
        <v>0</v>
      </c>
      <c r="AI87" s="8">
        <v>29008.245999999999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948.90499999999997</v>
      </c>
      <c r="AQ87" s="8">
        <v>0</v>
      </c>
      <c r="AR87" s="8">
        <v>0</v>
      </c>
      <c r="AS87" s="8">
        <v>0</v>
      </c>
      <c r="AT87" s="8">
        <v>18.733000000000001</v>
      </c>
      <c r="AU87" s="8">
        <v>0</v>
      </c>
      <c r="AV87" s="8">
        <v>483.089</v>
      </c>
      <c r="AW87" s="8">
        <v>0</v>
      </c>
      <c r="AX87" s="8">
        <v>0</v>
      </c>
      <c r="AY87" s="8">
        <v>0</v>
      </c>
      <c r="AZ87" s="8">
        <v>1206.845</v>
      </c>
      <c r="BA87" s="8">
        <v>0</v>
      </c>
      <c r="BB87" s="8">
        <v>0</v>
      </c>
      <c r="BC87" s="8">
        <v>438.59800000000001</v>
      </c>
      <c r="BD87" s="8">
        <v>587.44899999999996</v>
      </c>
      <c r="BE87" s="8">
        <v>0</v>
      </c>
      <c r="BF87" s="8">
        <v>130.124</v>
      </c>
      <c r="BG87" s="8">
        <v>0</v>
      </c>
      <c r="BH87" s="8">
        <v>0</v>
      </c>
      <c r="BI87" s="8">
        <v>203.47900000000001</v>
      </c>
      <c r="BL87" s="22"/>
    </row>
    <row r="88" spans="1:64" ht="15.75" x14ac:dyDescent="0.25">
      <c r="A88" s="22"/>
      <c r="B88" s="7" t="s">
        <v>164</v>
      </c>
      <c r="C88" s="7" t="s">
        <v>165</v>
      </c>
      <c r="D88" s="8">
        <v>6</v>
      </c>
      <c r="E88" s="8">
        <v>6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L88" s="22"/>
    </row>
    <row r="89" spans="1:64" ht="15.75" x14ac:dyDescent="0.25">
      <c r="A89" s="22"/>
      <c r="B89" s="7" t="s">
        <v>166</v>
      </c>
      <c r="C89" s="7" t="s">
        <v>167</v>
      </c>
      <c r="D89" s="8">
        <v>3</v>
      </c>
      <c r="E89" s="8">
        <v>3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L89" s="22"/>
    </row>
    <row r="90" spans="1:64" ht="15.75" x14ac:dyDescent="0.25">
      <c r="A90" s="22"/>
      <c r="B90" s="7" t="s">
        <v>168</v>
      </c>
      <c r="C90" s="7" t="s">
        <v>169</v>
      </c>
      <c r="D90" s="8">
        <v>3</v>
      </c>
      <c r="E90" s="8">
        <v>3</v>
      </c>
      <c r="F90" s="8">
        <v>75709.925000000003</v>
      </c>
      <c r="G90" s="8">
        <v>8455.2270000000008</v>
      </c>
      <c r="H90" s="8">
        <v>17737.800999999999</v>
      </c>
      <c r="I90" s="8">
        <v>0</v>
      </c>
      <c r="J90" s="8">
        <v>1395.7149999999999</v>
      </c>
      <c r="K90" s="8">
        <v>12191.174999999999</v>
      </c>
      <c r="L90" s="8">
        <v>0</v>
      </c>
      <c r="M90" s="8">
        <v>30927.156999999999</v>
      </c>
      <c r="N90" s="8">
        <v>35214.932000000001</v>
      </c>
      <c r="O90" s="8">
        <v>0</v>
      </c>
      <c r="P90" s="8">
        <v>0</v>
      </c>
      <c r="Q90" s="8">
        <v>1.9650000000000001</v>
      </c>
      <c r="R90" s="8">
        <v>0</v>
      </c>
      <c r="S90" s="8">
        <v>115.923</v>
      </c>
      <c r="T90" s="8">
        <v>3461.0050000000001</v>
      </c>
      <c r="U90" s="8">
        <v>0</v>
      </c>
      <c r="V90" s="8">
        <v>0</v>
      </c>
      <c r="W90" s="8">
        <v>2147.8049999999998</v>
      </c>
      <c r="X90" s="8">
        <v>3711.5929999999998</v>
      </c>
      <c r="Y90" s="8">
        <v>0</v>
      </c>
      <c r="Z90" s="8">
        <v>14680.937</v>
      </c>
      <c r="AA90" s="8">
        <v>0</v>
      </c>
      <c r="AB90" s="8">
        <v>18295.412</v>
      </c>
      <c r="AC90" s="8">
        <v>0</v>
      </c>
      <c r="AD90" s="8">
        <v>1402.4880000000001</v>
      </c>
      <c r="AE90" s="8">
        <v>0</v>
      </c>
      <c r="AF90" s="8">
        <v>40131.089999999997</v>
      </c>
      <c r="AG90" s="8">
        <v>0</v>
      </c>
      <c r="AH90" s="8">
        <v>0</v>
      </c>
      <c r="AI90" s="8">
        <v>87532.92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1893.403</v>
      </c>
      <c r="AQ90" s="8">
        <v>0</v>
      </c>
      <c r="AR90" s="8">
        <v>0</v>
      </c>
      <c r="AS90" s="8">
        <v>0</v>
      </c>
      <c r="AT90" s="8">
        <v>25.91</v>
      </c>
      <c r="AU90" s="8">
        <v>0</v>
      </c>
      <c r="AV90" s="8">
        <v>777.80700000000002</v>
      </c>
      <c r="AW90" s="8">
        <v>0</v>
      </c>
      <c r="AX90" s="8">
        <v>0</v>
      </c>
      <c r="AY90" s="8">
        <v>0</v>
      </c>
      <c r="AZ90" s="8">
        <v>2392.29</v>
      </c>
      <c r="BA90" s="8">
        <v>0</v>
      </c>
      <c r="BB90" s="8">
        <v>0</v>
      </c>
      <c r="BC90" s="8">
        <v>887.53599999999994</v>
      </c>
      <c r="BD90" s="8">
        <v>1167.0930000000001</v>
      </c>
      <c r="BE90" s="8">
        <v>0</v>
      </c>
      <c r="BF90" s="8">
        <v>265.53899999999999</v>
      </c>
      <c r="BG90" s="8">
        <v>0</v>
      </c>
      <c r="BH90" s="8">
        <v>0</v>
      </c>
      <c r="BI90" s="8">
        <v>406.79</v>
      </c>
      <c r="BL90" s="22"/>
    </row>
    <row r="91" spans="1:64" ht="15.75" x14ac:dyDescent="0.25">
      <c r="A91" s="22"/>
      <c r="B91" s="7" t="s">
        <v>170</v>
      </c>
      <c r="C91" s="7" t="s">
        <v>171</v>
      </c>
      <c r="D91" s="8">
        <v>3</v>
      </c>
      <c r="E91" s="8">
        <v>3</v>
      </c>
      <c r="F91" s="8">
        <v>64277.796999999999</v>
      </c>
      <c r="G91" s="8">
        <v>9375.3050000000003</v>
      </c>
      <c r="H91" s="8">
        <v>14810.485000000001</v>
      </c>
      <c r="I91" s="8">
        <v>0</v>
      </c>
      <c r="J91" s="8">
        <v>1301.0429999999999</v>
      </c>
      <c r="K91" s="8">
        <v>8556.1939999999995</v>
      </c>
      <c r="L91" s="8">
        <v>0</v>
      </c>
      <c r="M91" s="8">
        <v>22990.013999999999</v>
      </c>
      <c r="N91" s="8">
        <v>29681.871999999999</v>
      </c>
      <c r="O91" s="8">
        <v>0</v>
      </c>
      <c r="P91" s="8">
        <v>0</v>
      </c>
      <c r="Q91" s="8">
        <v>1.212</v>
      </c>
      <c r="R91" s="8">
        <v>0</v>
      </c>
      <c r="S91" s="8">
        <v>0</v>
      </c>
      <c r="T91" s="8">
        <v>4243.4269999999997</v>
      </c>
      <c r="U91" s="8">
        <v>0</v>
      </c>
      <c r="V91" s="8">
        <v>0</v>
      </c>
      <c r="W91" s="8">
        <v>2248.5509999999999</v>
      </c>
      <c r="X91" s="8">
        <v>2974.8969999999999</v>
      </c>
      <c r="Y91" s="8">
        <v>0</v>
      </c>
      <c r="Z91" s="8">
        <v>10550.177</v>
      </c>
      <c r="AA91" s="8">
        <v>0</v>
      </c>
      <c r="AB91" s="8">
        <v>17388.329000000002</v>
      </c>
      <c r="AC91" s="8">
        <v>0</v>
      </c>
      <c r="AD91" s="8">
        <v>1465.606</v>
      </c>
      <c r="AE91" s="8">
        <v>0</v>
      </c>
      <c r="AF91" s="8">
        <v>10158.619000000001</v>
      </c>
      <c r="AG91" s="8">
        <v>0</v>
      </c>
      <c r="AH91" s="8">
        <v>0</v>
      </c>
      <c r="AI91" s="8">
        <v>56122.243999999999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1930.56</v>
      </c>
      <c r="AQ91" s="8">
        <v>0</v>
      </c>
      <c r="AR91" s="8">
        <v>0</v>
      </c>
      <c r="AS91" s="8">
        <v>0</v>
      </c>
      <c r="AT91" s="8">
        <v>38.11</v>
      </c>
      <c r="AU91" s="8">
        <v>0</v>
      </c>
      <c r="AV91" s="8">
        <v>982.846</v>
      </c>
      <c r="AW91" s="8">
        <v>0</v>
      </c>
      <c r="AX91" s="8">
        <v>0</v>
      </c>
      <c r="AY91" s="8">
        <v>0</v>
      </c>
      <c r="AZ91" s="8">
        <v>2455.3420000000001</v>
      </c>
      <c r="BA91" s="8">
        <v>0</v>
      </c>
      <c r="BB91" s="8">
        <v>0</v>
      </c>
      <c r="BC91" s="8">
        <v>892.33600000000001</v>
      </c>
      <c r="BD91" s="8">
        <v>1195.174</v>
      </c>
      <c r="BE91" s="8">
        <v>0</v>
      </c>
      <c r="BF91" s="8">
        <v>264.73700000000002</v>
      </c>
      <c r="BG91" s="8">
        <v>0</v>
      </c>
      <c r="BH91" s="8">
        <v>0</v>
      </c>
      <c r="BI91" s="8">
        <v>413.98099999999999</v>
      </c>
      <c r="BL91" s="22"/>
    </row>
    <row r="92" spans="1:64" ht="15.75" x14ac:dyDescent="0.25">
      <c r="A92" s="22"/>
      <c r="B92" s="7" t="s">
        <v>172</v>
      </c>
      <c r="C92" s="7" t="s">
        <v>173</v>
      </c>
      <c r="D92" s="8">
        <v>3</v>
      </c>
      <c r="E92" s="8">
        <v>3</v>
      </c>
      <c r="F92" s="8">
        <v>20045.489000000001</v>
      </c>
      <c r="G92" s="8">
        <v>1811.518</v>
      </c>
      <c r="H92" s="8">
        <v>5155.8419999999996</v>
      </c>
      <c r="I92" s="8">
        <v>0</v>
      </c>
      <c r="J92" s="8">
        <v>30.928999999999998</v>
      </c>
      <c r="K92" s="8">
        <v>1460.0989999999999</v>
      </c>
      <c r="L92" s="8">
        <v>0</v>
      </c>
      <c r="M92" s="8">
        <v>23799.017</v>
      </c>
      <c r="N92" s="8">
        <v>3173.8780000000002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747.81700000000001</v>
      </c>
      <c r="U92" s="8">
        <v>0</v>
      </c>
      <c r="V92" s="8">
        <v>0</v>
      </c>
      <c r="W92" s="8">
        <v>447.52699999999999</v>
      </c>
      <c r="X92" s="8">
        <v>162.08799999999999</v>
      </c>
      <c r="Y92" s="8">
        <v>0</v>
      </c>
      <c r="Z92" s="8">
        <v>6093.5370000000003</v>
      </c>
      <c r="AA92" s="8">
        <v>0</v>
      </c>
      <c r="AB92" s="8">
        <v>2619.09</v>
      </c>
      <c r="AC92" s="8">
        <v>0</v>
      </c>
      <c r="AD92" s="8">
        <v>902.50300000000004</v>
      </c>
      <c r="AE92" s="8">
        <v>0</v>
      </c>
      <c r="AF92" s="8">
        <v>60412.430999999997</v>
      </c>
      <c r="AG92" s="8">
        <v>9.5000000000000001E-2</v>
      </c>
      <c r="AH92" s="8">
        <v>0</v>
      </c>
      <c r="AI92" s="8">
        <v>69030.663</v>
      </c>
      <c r="AJ92" s="8">
        <v>0.16200000000000001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1040.173</v>
      </c>
      <c r="AQ92" s="8">
        <v>0</v>
      </c>
      <c r="AR92" s="8">
        <v>1.2E-2</v>
      </c>
      <c r="AS92" s="8">
        <v>0</v>
      </c>
      <c r="AT92" s="8">
        <v>2.2810000000000001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475.53500000000003</v>
      </c>
      <c r="BD92" s="8">
        <v>0</v>
      </c>
      <c r="BE92" s="8">
        <v>0</v>
      </c>
      <c r="BF92" s="8">
        <v>140.15600000000001</v>
      </c>
      <c r="BG92" s="8">
        <v>0</v>
      </c>
      <c r="BH92" s="8">
        <v>0</v>
      </c>
      <c r="BI92" s="8">
        <v>0</v>
      </c>
      <c r="BL92" s="22"/>
    </row>
    <row r="93" spans="1:64" ht="15.75" x14ac:dyDescent="0.25">
      <c r="A93" s="22"/>
      <c r="B93" s="7" t="s">
        <v>174</v>
      </c>
      <c r="C93" s="7" t="s">
        <v>175</v>
      </c>
      <c r="D93" s="8">
        <v>3</v>
      </c>
      <c r="E93" s="8">
        <v>3</v>
      </c>
      <c r="F93" s="8">
        <v>94373.217000000004</v>
      </c>
      <c r="G93" s="8">
        <v>16023.508</v>
      </c>
      <c r="H93" s="8">
        <v>20601.069</v>
      </c>
      <c r="I93" s="8">
        <v>0</v>
      </c>
      <c r="J93" s="8">
        <v>785.29100000000005</v>
      </c>
      <c r="K93" s="8">
        <v>12204.991</v>
      </c>
      <c r="L93" s="8">
        <v>0</v>
      </c>
      <c r="M93" s="8">
        <v>119676.692</v>
      </c>
      <c r="N93" s="8">
        <v>15504.166999999999</v>
      </c>
      <c r="O93" s="8">
        <v>0</v>
      </c>
      <c r="P93" s="8">
        <v>0</v>
      </c>
      <c r="Q93" s="8">
        <v>0.28599999999999998</v>
      </c>
      <c r="R93" s="8">
        <v>0</v>
      </c>
      <c r="S93" s="8">
        <v>0</v>
      </c>
      <c r="T93" s="8">
        <v>6670.8149999999996</v>
      </c>
      <c r="U93" s="8">
        <v>0</v>
      </c>
      <c r="V93" s="8">
        <v>0</v>
      </c>
      <c r="W93" s="8">
        <v>3029.098</v>
      </c>
      <c r="X93" s="8">
        <v>846.50900000000001</v>
      </c>
      <c r="Y93" s="8">
        <v>0</v>
      </c>
      <c r="Z93" s="8">
        <v>26272.391</v>
      </c>
      <c r="AA93" s="8">
        <v>0</v>
      </c>
      <c r="AB93" s="8">
        <v>27021.855</v>
      </c>
      <c r="AC93" s="8">
        <v>0</v>
      </c>
      <c r="AD93" s="8">
        <v>5026.0839999999998</v>
      </c>
      <c r="AE93" s="8">
        <v>0</v>
      </c>
      <c r="AF93" s="8">
        <v>241523.932</v>
      </c>
      <c r="AG93" s="8">
        <v>7022.52</v>
      </c>
      <c r="AH93" s="8">
        <v>0</v>
      </c>
      <c r="AI93" s="8">
        <v>310688.804</v>
      </c>
      <c r="AJ93" s="8">
        <v>10740.875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8108.4350000000004</v>
      </c>
      <c r="AQ93" s="8">
        <v>0</v>
      </c>
      <c r="AR93" s="8">
        <v>2789.13</v>
      </c>
      <c r="AS93" s="8">
        <v>0</v>
      </c>
      <c r="AT93" s="8">
        <v>24.109000000000002</v>
      </c>
      <c r="AU93" s="8">
        <v>0</v>
      </c>
      <c r="AV93" s="8">
        <v>35.154000000000003</v>
      </c>
      <c r="AW93" s="8">
        <v>0</v>
      </c>
      <c r="AX93" s="8">
        <v>0</v>
      </c>
      <c r="AY93" s="8">
        <v>0</v>
      </c>
      <c r="AZ93" s="8">
        <v>182.53899999999999</v>
      </c>
      <c r="BA93" s="8">
        <v>4730.366</v>
      </c>
      <c r="BB93" s="8">
        <v>0</v>
      </c>
      <c r="BC93" s="8">
        <v>3696.9520000000002</v>
      </c>
      <c r="BD93" s="8">
        <v>26.515000000000001</v>
      </c>
      <c r="BE93" s="8">
        <v>6148.9470000000001</v>
      </c>
      <c r="BF93" s="8">
        <v>1091.991</v>
      </c>
      <c r="BG93" s="8">
        <v>2126.538</v>
      </c>
      <c r="BH93" s="8">
        <v>0</v>
      </c>
      <c r="BI93" s="8">
        <v>9.3249999999999993</v>
      </c>
      <c r="BL93" s="22"/>
    </row>
    <row r="94" spans="1:64" ht="15.75" x14ac:dyDescent="0.25">
      <c r="A94" s="22"/>
      <c r="B94" s="7" t="s">
        <v>176</v>
      </c>
      <c r="C94" s="7" t="s">
        <v>177</v>
      </c>
      <c r="D94" s="8">
        <v>3</v>
      </c>
      <c r="E94" s="8">
        <v>3</v>
      </c>
      <c r="F94" s="8">
        <v>63728.826000000001</v>
      </c>
      <c r="G94" s="8">
        <v>28713.824000000001</v>
      </c>
      <c r="H94" s="8">
        <v>3667.0610000000001</v>
      </c>
      <c r="I94" s="8">
        <v>430.572</v>
      </c>
      <c r="J94" s="8">
        <v>1982.5309999999999</v>
      </c>
      <c r="K94" s="8">
        <v>19148.161</v>
      </c>
      <c r="L94" s="8">
        <v>0</v>
      </c>
      <c r="M94" s="8">
        <v>107267.364</v>
      </c>
      <c r="N94" s="8">
        <v>10513.027</v>
      </c>
      <c r="O94" s="8">
        <v>0</v>
      </c>
      <c r="P94" s="8">
        <v>0</v>
      </c>
      <c r="Q94" s="8">
        <v>1.1279999999999999</v>
      </c>
      <c r="R94" s="8">
        <v>0</v>
      </c>
      <c r="S94" s="8">
        <v>0</v>
      </c>
      <c r="T94" s="8">
        <v>11926.626</v>
      </c>
      <c r="U94" s="8">
        <v>0</v>
      </c>
      <c r="V94" s="8">
        <v>0</v>
      </c>
      <c r="W94" s="8">
        <v>3945.3519999999999</v>
      </c>
      <c r="X94" s="8">
        <v>884.60500000000002</v>
      </c>
      <c r="Y94" s="8">
        <v>0</v>
      </c>
      <c r="Z94" s="8">
        <v>13646.096</v>
      </c>
      <c r="AA94" s="8">
        <v>0</v>
      </c>
      <c r="AB94" s="8">
        <v>50285.457000000002</v>
      </c>
      <c r="AC94" s="8">
        <v>0</v>
      </c>
      <c r="AD94" s="8">
        <v>5110.1980000000003</v>
      </c>
      <c r="AE94" s="8">
        <v>0</v>
      </c>
      <c r="AF94" s="8">
        <v>48992.188000000002</v>
      </c>
      <c r="AG94" s="8">
        <v>33937.911</v>
      </c>
      <c r="AH94" s="8">
        <v>0</v>
      </c>
      <c r="AI94" s="8">
        <v>177295.234</v>
      </c>
      <c r="AJ94" s="8">
        <v>52374.224999999999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12535.259</v>
      </c>
      <c r="AQ94" s="8">
        <v>0</v>
      </c>
      <c r="AR94" s="8">
        <v>13555.325999999999</v>
      </c>
      <c r="AS94" s="8">
        <v>0</v>
      </c>
      <c r="AT94" s="8">
        <v>53.494</v>
      </c>
      <c r="AU94" s="8">
        <v>0</v>
      </c>
      <c r="AV94" s="8">
        <v>212.83</v>
      </c>
      <c r="AW94" s="8">
        <v>0</v>
      </c>
      <c r="AX94" s="8">
        <v>0</v>
      </c>
      <c r="AY94" s="8">
        <v>0</v>
      </c>
      <c r="AZ94" s="8">
        <v>879.40700000000004</v>
      </c>
      <c r="BA94" s="8">
        <v>23066.050999999999</v>
      </c>
      <c r="BB94" s="8">
        <v>0</v>
      </c>
      <c r="BC94" s="8">
        <v>5693.8040000000001</v>
      </c>
      <c r="BD94" s="8">
        <v>123.38500000000001</v>
      </c>
      <c r="BE94" s="8">
        <v>29983.284</v>
      </c>
      <c r="BF94" s="8">
        <v>1681.942</v>
      </c>
      <c r="BG94" s="8">
        <v>10369.35</v>
      </c>
      <c r="BH94" s="8">
        <v>0</v>
      </c>
      <c r="BI94" s="8">
        <v>42.738</v>
      </c>
      <c r="BL94" s="22"/>
    </row>
    <row r="95" spans="1:64" ht="15.75" x14ac:dyDescent="0.25">
      <c r="A95" s="22"/>
      <c r="B95" s="7" t="s">
        <v>178</v>
      </c>
      <c r="C95" s="7" t="s">
        <v>179</v>
      </c>
      <c r="D95" s="8">
        <v>6</v>
      </c>
      <c r="E95" s="8">
        <v>6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L95" s="22"/>
    </row>
    <row r="96" spans="1:64" ht="15.75" x14ac:dyDescent="0.25">
      <c r="A96" s="22"/>
      <c r="B96" s="7" t="s">
        <v>180</v>
      </c>
      <c r="C96" s="7" t="s">
        <v>181</v>
      </c>
      <c r="D96" s="8">
        <v>6</v>
      </c>
      <c r="E96" s="8">
        <v>6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L96" s="22"/>
    </row>
    <row r="97" spans="1:64" ht="15.75" x14ac:dyDescent="0.25">
      <c r="A97" s="22"/>
      <c r="B97" s="7" t="s">
        <v>182</v>
      </c>
      <c r="C97" s="7" t="s">
        <v>183</v>
      </c>
      <c r="D97" s="8">
        <v>6</v>
      </c>
      <c r="E97" s="8">
        <v>6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L97" s="22"/>
    </row>
    <row r="98" spans="1:64" ht="15.75" x14ac:dyDescent="0.25">
      <c r="A98" s="22"/>
      <c r="B98" s="7" t="s">
        <v>184</v>
      </c>
      <c r="C98" s="7" t="s">
        <v>185</v>
      </c>
      <c r="D98" s="8">
        <v>6</v>
      </c>
      <c r="E98" s="8">
        <v>6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L98" s="22"/>
    </row>
    <row r="99" spans="1:64" ht="15.75" x14ac:dyDescent="0.25">
      <c r="A99" s="22"/>
      <c r="B99" s="7" t="s">
        <v>186</v>
      </c>
      <c r="C99" s="7" t="s">
        <v>187</v>
      </c>
      <c r="D99" s="8">
        <v>6</v>
      </c>
      <c r="E99" s="8">
        <v>6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L99" s="22"/>
    </row>
    <row r="100" spans="1:64" ht="15.75" x14ac:dyDescent="0.25">
      <c r="A100" s="22"/>
      <c r="B100" s="7" t="s">
        <v>188</v>
      </c>
      <c r="C100" s="7" t="s">
        <v>189</v>
      </c>
      <c r="D100" s="8">
        <v>6</v>
      </c>
      <c r="E100" s="8">
        <v>6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L100" s="22"/>
    </row>
    <row r="101" spans="1:64" ht="15.75" x14ac:dyDescent="0.25">
      <c r="A101" s="22"/>
      <c r="B101" s="7" t="s">
        <v>190</v>
      </c>
      <c r="C101" s="7" t="s">
        <v>191</v>
      </c>
      <c r="D101" s="8">
        <v>6</v>
      </c>
      <c r="E101" s="8">
        <v>6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L101" s="22"/>
    </row>
    <row r="102" spans="1:64" ht="15.75" x14ac:dyDescent="0.25">
      <c r="A102" s="22"/>
      <c r="B102" s="7" t="s">
        <v>192</v>
      </c>
      <c r="C102" s="7" t="s">
        <v>193</v>
      </c>
      <c r="D102" s="8">
        <v>6</v>
      </c>
      <c r="E102" s="8">
        <v>6</v>
      </c>
      <c r="F102" s="8">
        <v>28269.736000000001</v>
      </c>
      <c r="G102" s="8">
        <v>0</v>
      </c>
      <c r="H102" s="8">
        <v>0</v>
      </c>
      <c r="I102" s="8">
        <v>1512.9269999999999</v>
      </c>
      <c r="J102" s="8">
        <v>0</v>
      </c>
      <c r="K102" s="8">
        <v>0</v>
      </c>
      <c r="L102" s="8">
        <v>0</v>
      </c>
      <c r="M102" s="8">
        <v>20890.117999999999</v>
      </c>
      <c r="N102" s="8">
        <v>18546.055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352.053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4267.7340000000004</v>
      </c>
      <c r="AG102" s="8">
        <v>0</v>
      </c>
      <c r="AH102" s="8">
        <v>0</v>
      </c>
      <c r="AI102" s="8">
        <v>24698.516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L102" s="22"/>
    </row>
    <row r="103" spans="1:64" ht="15.75" x14ac:dyDescent="0.25">
      <c r="A103" s="22"/>
      <c r="B103" s="7" t="s">
        <v>194</v>
      </c>
      <c r="C103" s="7" t="s">
        <v>195</v>
      </c>
      <c r="D103" s="8">
        <v>4</v>
      </c>
      <c r="E103" s="8">
        <v>4</v>
      </c>
      <c r="F103" s="8">
        <v>438853.34899999999</v>
      </c>
      <c r="G103" s="8">
        <v>96244.740999999995</v>
      </c>
      <c r="H103" s="8">
        <v>692.59299999999996</v>
      </c>
      <c r="I103" s="8">
        <v>12458.074000000001</v>
      </c>
      <c r="J103" s="8">
        <v>1791.982</v>
      </c>
      <c r="K103" s="8">
        <v>400.11900000000003</v>
      </c>
      <c r="L103" s="8">
        <v>0</v>
      </c>
      <c r="M103" s="8">
        <v>1065097.4380000001</v>
      </c>
      <c r="N103" s="8">
        <v>45133.033000000003</v>
      </c>
      <c r="O103" s="8">
        <v>0</v>
      </c>
      <c r="P103" s="8">
        <v>375.05500000000001</v>
      </c>
      <c r="Q103" s="8">
        <v>18.881</v>
      </c>
      <c r="R103" s="8">
        <v>327.65499999999997</v>
      </c>
      <c r="S103" s="8">
        <v>0</v>
      </c>
      <c r="T103" s="8">
        <v>29996.226999999999</v>
      </c>
      <c r="U103" s="8">
        <v>0</v>
      </c>
      <c r="V103" s="8">
        <v>0</v>
      </c>
      <c r="W103" s="8">
        <v>105.15</v>
      </c>
      <c r="X103" s="8">
        <v>10799.519</v>
      </c>
      <c r="Y103" s="8">
        <v>0</v>
      </c>
      <c r="Z103" s="8">
        <v>215125.215</v>
      </c>
      <c r="AA103" s="8">
        <v>0</v>
      </c>
      <c r="AB103" s="8">
        <v>33281.131999999998</v>
      </c>
      <c r="AC103" s="8">
        <v>25358.264999999999</v>
      </c>
      <c r="AD103" s="8">
        <v>18929.776000000002</v>
      </c>
      <c r="AE103" s="8">
        <v>0</v>
      </c>
      <c r="AF103" s="8">
        <v>619968.777</v>
      </c>
      <c r="AG103" s="8">
        <v>674974.08400000003</v>
      </c>
      <c r="AH103" s="8">
        <v>0</v>
      </c>
      <c r="AI103" s="8">
        <v>1693582.7949999999</v>
      </c>
      <c r="AJ103" s="8">
        <v>1055137.5549999999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22380.492999999999</v>
      </c>
      <c r="AQ103" s="8">
        <v>0</v>
      </c>
      <c r="AR103" s="8">
        <v>271800.82199999999</v>
      </c>
      <c r="AS103" s="8">
        <v>0</v>
      </c>
      <c r="AT103" s="8">
        <v>282.36099999999999</v>
      </c>
      <c r="AU103" s="8">
        <v>0</v>
      </c>
      <c r="AV103" s="8">
        <v>2202.6849999999999</v>
      </c>
      <c r="AW103" s="8">
        <v>0</v>
      </c>
      <c r="AX103" s="8">
        <v>0</v>
      </c>
      <c r="AY103" s="8">
        <v>0</v>
      </c>
      <c r="AZ103" s="8">
        <v>12724.948</v>
      </c>
      <c r="BA103" s="8">
        <v>464695.772</v>
      </c>
      <c r="BB103" s="8">
        <v>0</v>
      </c>
      <c r="BC103" s="8">
        <v>9901.8119999999999</v>
      </c>
      <c r="BD103" s="8">
        <v>55.890999999999998</v>
      </c>
      <c r="BE103" s="8">
        <v>604052.48300000001</v>
      </c>
      <c r="BF103" s="8">
        <v>2786.0749999999998</v>
      </c>
      <c r="BG103" s="8">
        <v>208904.12700000001</v>
      </c>
      <c r="BH103" s="8">
        <v>0</v>
      </c>
      <c r="BI103" s="8">
        <v>19.359000000000002</v>
      </c>
      <c r="BL103" s="22"/>
    </row>
    <row r="104" spans="1:64" ht="15.75" x14ac:dyDescent="0.25">
      <c r="A104" s="22"/>
      <c r="B104" s="7" t="s">
        <v>196</v>
      </c>
      <c r="C104" s="7" t="s">
        <v>197</v>
      </c>
      <c r="D104" s="8">
        <v>4</v>
      </c>
      <c r="E104" s="8">
        <v>4</v>
      </c>
      <c r="F104" s="8">
        <v>205734.42</v>
      </c>
      <c r="G104" s="8">
        <v>42857.279000000002</v>
      </c>
      <c r="H104" s="8">
        <v>265.36399999999998</v>
      </c>
      <c r="I104" s="8">
        <v>21547.471000000001</v>
      </c>
      <c r="J104" s="8">
        <v>843.37800000000004</v>
      </c>
      <c r="K104" s="8">
        <v>153.304</v>
      </c>
      <c r="L104" s="8">
        <v>0</v>
      </c>
      <c r="M104" s="8">
        <v>497375.97700000001</v>
      </c>
      <c r="N104" s="8">
        <v>21254.484</v>
      </c>
      <c r="O104" s="8">
        <v>0</v>
      </c>
      <c r="P104" s="8">
        <v>119.521</v>
      </c>
      <c r="Q104" s="8">
        <v>8.9390000000000001</v>
      </c>
      <c r="R104" s="8">
        <v>104.417</v>
      </c>
      <c r="S104" s="8">
        <v>0</v>
      </c>
      <c r="T104" s="8">
        <v>14191.691000000001</v>
      </c>
      <c r="U104" s="8">
        <v>0</v>
      </c>
      <c r="V104" s="8">
        <v>0</v>
      </c>
      <c r="W104" s="8">
        <v>40.287999999999997</v>
      </c>
      <c r="X104" s="8">
        <v>5103.3</v>
      </c>
      <c r="Y104" s="8">
        <v>0</v>
      </c>
      <c r="Z104" s="8">
        <v>101863.371</v>
      </c>
      <c r="AA104" s="8">
        <v>0</v>
      </c>
      <c r="AB104" s="8">
        <v>15692.130999999999</v>
      </c>
      <c r="AC104" s="8">
        <v>8081.134</v>
      </c>
      <c r="AD104" s="8">
        <v>8961.11</v>
      </c>
      <c r="AE104" s="8">
        <v>0</v>
      </c>
      <c r="AF104" s="8">
        <v>293148.728</v>
      </c>
      <c r="AG104" s="8">
        <v>319745.38699999999</v>
      </c>
      <c r="AH104" s="8">
        <v>0</v>
      </c>
      <c r="AI104" s="8">
        <v>794476.51800000004</v>
      </c>
      <c r="AJ104" s="8">
        <v>499834.549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10593.798000000001</v>
      </c>
      <c r="AQ104" s="8">
        <v>0</v>
      </c>
      <c r="AR104" s="8">
        <v>128756.145</v>
      </c>
      <c r="AS104" s="8">
        <v>0</v>
      </c>
      <c r="AT104" s="8">
        <v>133.59800000000001</v>
      </c>
      <c r="AU104" s="8">
        <v>0</v>
      </c>
      <c r="AV104" s="8">
        <v>1039.2539999999999</v>
      </c>
      <c r="AW104" s="8">
        <v>0</v>
      </c>
      <c r="AX104" s="8">
        <v>0</v>
      </c>
      <c r="AY104" s="8">
        <v>0</v>
      </c>
      <c r="AZ104" s="8">
        <v>6017.5969999999998</v>
      </c>
      <c r="BA104" s="8">
        <v>220133.386</v>
      </c>
      <c r="BB104" s="8">
        <v>0</v>
      </c>
      <c r="BC104" s="8">
        <v>4686.8580000000002</v>
      </c>
      <c r="BD104" s="8">
        <v>21.414000000000001</v>
      </c>
      <c r="BE104" s="8">
        <v>286148.75599999999</v>
      </c>
      <c r="BF104" s="8">
        <v>1318.6759999999999</v>
      </c>
      <c r="BG104" s="8">
        <v>98961.031000000003</v>
      </c>
      <c r="BH104" s="8">
        <v>0</v>
      </c>
      <c r="BI104" s="8">
        <v>7.4169999999999998</v>
      </c>
      <c r="BL104" s="22"/>
    </row>
    <row r="105" spans="1:64" ht="15.75" x14ac:dyDescent="0.25">
      <c r="A105" s="22"/>
      <c r="B105" s="7" t="s">
        <v>198</v>
      </c>
      <c r="C105" s="7" t="s">
        <v>199</v>
      </c>
      <c r="D105" s="8">
        <v>4</v>
      </c>
      <c r="E105" s="8">
        <v>4</v>
      </c>
      <c r="F105" s="8">
        <v>102448.75</v>
      </c>
      <c r="G105" s="8">
        <v>21230.749</v>
      </c>
      <c r="H105" s="8">
        <v>640.63300000000004</v>
      </c>
      <c r="I105" s="8">
        <v>8616.0859999999993</v>
      </c>
      <c r="J105" s="8">
        <v>451.36799999999999</v>
      </c>
      <c r="K105" s="8">
        <v>370.101</v>
      </c>
      <c r="L105" s="8">
        <v>0</v>
      </c>
      <c r="M105" s="8">
        <v>242102.93299999999</v>
      </c>
      <c r="N105" s="8">
        <v>12007.813</v>
      </c>
      <c r="O105" s="8">
        <v>0</v>
      </c>
      <c r="P105" s="8">
        <v>135.376</v>
      </c>
      <c r="Q105" s="8">
        <v>4.351</v>
      </c>
      <c r="R105" s="8">
        <v>118.267</v>
      </c>
      <c r="S105" s="8">
        <v>0</v>
      </c>
      <c r="T105" s="8">
        <v>6984.2020000000002</v>
      </c>
      <c r="U105" s="8">
        <v>0</v>
      </c>
      <c r="V105" s="8">
        <v>0</v>
      </c>
      <c r="W105" s="8">
        <v>97.262</v>
      </c>
      <c r="X105" s="8">
        <v>2561.6660000000002</v>
      </c>
      <c r="Y105" s="8">
        <v>0</v>
      </c>
      <c r="Z105" s="8">
        <v>49441.093000000001</v>
      </c>
      <c r="AA105" s="8">
        <v>0</v>
      </c>
      <c r="AB105" s="8">
        <v>8162.2030000000004</v>
      </c>
      <c r="AC105" s="8">
        <v>9153.3080000000009</v>
      </c>
      <c r="AD105" s="8">
        <v>4368.0410000000002</v>
      </c>
      <c r="AE105" s="8">
        <v>0</v>
      </c>
      <c r="AF105" s="8">
        <v>142249.799</v>
      </c>
      <c r="AG105" s="8">
        <v>154053.416</v>
      </c>
      <c r="AH105" s="8">
        <v>0</v>
      </c>
      <c r="AI105" s="8">
        <v>386948.22899999999</v>
      </c>
      <c r="AJ105" s="8">
        <v>240832.33100000001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5170.732</v>
      </c>
      <c r="AQ105" s="8">
        <v>0</v>
      </c>
      <c r="AR105" s="8">
        <v>62032.228999999999</v>
      </c>
      <c r="AS105" s="8">
        <v>0</v>
      </c>
      <c r="AT105" s="8">
        <v>65.680000000000007</v>
      </c>
      <c r="AU105" s="8">
        <v>0</v>
      </c>
      <c r="AV105" s="8">
        <v>534.68600000000004</v>
      </c>
      <c r="AW105" s="8">
        <v>0</v>
      </c>
      <c r="AX105" s="8">
        <v>0</v>
      </c>
      <c r="AY105" s="8">
        <v>0</v>
      </c>
      <c r="AZ105" s="8">
        <v>2984.174</v>
      </c>
      <c r="BA105" s="8">
        <v>106056.02800000001</v>
      </c>
      <c r="BB105" s="8">
        <v>0</v>
      </c>
      <c r="BC105" s="8">
        <v>2288.9290000000001</v>
      </c>
      <c r="BD105" s="8">
        <v>51.698</v>
      </c>
      <c r="BE105" s="8">
        <v>137860.96</v>
      </c>
      <c r="BF105" s="8">
        <v>644.48699999999997</v>
      </c>
      <c r="BG105" s="8">
        <v>47677.517999999996</v>
      </c>
      <c r="BH105" s="8">
        <v>0</v>
      </c>
      <c r="BI105" s="8">
        <v>17.905999999999999</v>
      </c>
      <c r="BL105" s="22"/>
    </row>
    <row r="106" spans="1:64" ht="15.75" x14ac:dyDescent="0.25">
      <c r="A106" s="22"/>
      <c r="B106" s="7" t="s">
        <v>200</v>
      </c>
      <c r="C106" s="7" t="s">
        <v>201</v>
      </c>
      <c r="D106" s="8">
        <v>4</v>
      </c>
      <c r="E106" s="8">
        <v>4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L106" s="22"/>
    </row>
    <row r="107" spans="1:64" ht="15.75" x14ac:dyDescent="0.25">
      <c r="A107" s="22"/>
      <c r="B107" s="7" t="s">
        <v>202</v>
      </c>
      <c r="C107" s="7" t="s">
        <v>203</v>
      </c>
      <c r="D107" s="8">
        <v>4</v>
      </c>
      <c r="E107" s="8">
        <v>4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L107" s="22"/>
    </row>
    <row r="108" spans="1:64" ht="15.75" x14ac:dyDescent="0.25">
      <c r="A108" s="22"/>
      <c r="B108" s="7" t="s">
        <v>204</v>
      </c>
      <c r="C108" s="7" t="s">
        <v>205</v>
      </c>
      <c r="D108" s="8">
        <v>4</v>
      </c>
      <c r="E108" s="8">
        <v>4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L108" s="22"/>
    </row>
    <row r="109" spans="1:64" ht="15.75" x14ac:dyDescent="0.25">
      <c r="A109" s="22"/>
      <c r="B109" s="7" t="s">
        <v>206</v>
      </c>
      <c r="C109" s="7" t="s">
        <v>207</v>
      </c>
      <c r="D109" s="8">
        <v>6</v>
      </c>
      <c r="E109" s="8">
        <v>6</v>
      </c>
      <c r="F109" s="8">
        <v>130734.696</v>
      </c>
      <c r="G109" s="8">
        <v>427.005</v>
      </c>
      <c r="H109" s="8">
        <v>0</v>
      </c>
      <c r="I109" s="8">
        <v>7857.4260000000004</v>
      </c>
      <c r="J109" s="8">
        <v>1.7999999999999999E-2</v>
      </c>
      <c r="K109" s="8">
        <v>0</v>
      </c>
      <c r="L109" s="8">
        <v>0</v>
      </c>
      <c r="M109" s="8">
        <v>175325.16200000001</v>
      </c>
      <c r="N109" s="8">
        <v>26303.963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0.33100000000000002</v>
      </c>
      <c r="U109" s="8">
        <v>0</v>
      </c>
      <c r="V109" s="8">
        <v>0</v>
      </c>
      <c r="W109" s="8">
        <v>0</v>
      </c>
      <c r="X109" s="8">
        <v>0.11899999999999999</v>
      </c>
      <c r="Y109" s="8">
        <v>0</v>
      </c>
      <c r="Z109" s="8">
        <v>49840.347000000002</v>
      </c>
      <c r="AA109" s="8">
        <v>0</v>
      </c>
      <c r="AB109" s="8">
        <v>0.36099999999999999</v>
      </c>
      <c r="AC109" s="8">
        <v>0</v>
      </c>
      <c r="AD109" s="8">
        <v>0.21</v>
      </c>
      <c r="AE109" s="8">
        <v>0</v>
      </c>
      <c r="AF109" s="8">
        <v>162808.372</v>
      </c>
      <c r="AG109" s="8">
        <v>12497.715</v>
      </c>
      <c r="AH109" s="8">
        <v>0</v>
      </c>
      <c r="AI109" s="8">
        <v>420329.59600000002</v>
      </c>
      <c r="AJ109" s="8">
        <v>14788.045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0.248</v>
      </c>
      <c r="AQ109" s="8">
        <v>0</v>
      </c>
      <c r="AR109" s="8">
        <v>3.0270000000000001</v>
      </c>
      <c r="AS109" s="8">
        <v>0</v>
      </c>
      <c r="AT109" s="8">
        <v>8.0000000000000002E-3</v>
      </c>
      <c r="AU109" s="8">
        <v>0</v>
      </c>
      <c r="AV109" s="8">
        <v>1.4999999999999999E-2</v>
      </c>
      <c r="AW109" s="8">
        <v>0</v>
      </c>
      <c r="AX109" s="8">
        <v>0</v>
      </c>
      <c r="AY109" s="8">
        <v>0</v>
      </c>
      <c r="AZ109" s="8">
        <v>0.14000000000000001</v>
      </c>
      <c r="BA109" s="8">
        <v>5.173</v>
      </c>
      <c r="BB109" s="8">
        <v>0</v>
      </c>
      <c r="BC109" s="8">
        <v>0.11</v>
      </c>
      <c r="BD109" s="8">
        <v>0</v>
      </c>
      <c r="BE109" s="8">
        <v>6.7249999999999996</v>
      </c>
      <c r="BF109" s="8">
        <v>0.03</v>
      </c>
      <c r="BG109" s="8">
        <v>2.3260000000000001</v>
      </c>
      <c r="BH109" s="8">
        <v>0</v>
      </c>
      <c r="BI109" s="8">
        <v>0</v>
      </c>
      <c r="BL109" s="22"/>
    </row>
    <row r="110" spans="1:64" ht="15.75" x14ac:dyDescent="0.25">
      <c r="A110" s="22"/>
      <c r="B110" s="7" t="s">
        <v>208</v>
      </c>
      <c r="C110" s="7" t="s">
        <v>209</v>
      </c>
      <c r="D110" s="8">
        <v>4</v>
      </c>
      <c r="E110" s="8">
        <v>4</v>
      </c>
      <c r="F110" s="8">
        <v>142647.524</v>
      </c>
      <c r="G110" s="8">
        <v>29843.489000000001</v>
      </c>
      <c r="H110" s="8">
        <v>0</v>
      </c>
      <c r="I110" s="8">
        <v>0</v>
      </c>
      <c r="J110" s="8">
        <v>572.66</v>
      </c>
      <c r="K110" s="8">
        <v>0</v>
      </c>
      <c r="L110" s="8">
        <v>0</v>
      </c>
      <c r="M110" s="8">
        <v>347793.74699999997</v>
      </c>
      <c r="N110" s="8">
        <v>14482.109</v>
      </c>
      <c r="O110" s="8">
        <v>0</v>
      </c>
      <c r="P110" s="8">
        <v>0</v>
      </c>
      <c r="Q110" s="8">
        <v>6.2270000000000003</v>
      </c>
      <c r="R110" s="8">
        <v>0</v>
      </c>
      <c r="S110" s="8">
        <v>0</v>
      </c>
      <c r="T110" s="8">
        <v>9856.7170000000006</v>
      </c>
      <c r="U110" s="8">
        <v>0</v>
      </c>
      <c r="V110" s="8">
        <v>0</v>
      </c>
      <c r="W110" s="8">
        <v>0</v>
      </c>
      <c r="X110" s="8">
        <v>3526.32</v>
      </c>
      <c r="Y110" s="8">
        <v>0</v>
      </c>
      <c r="Z110" s="8">
        <v>71030.8</v>
      </c>
      <c r="AA110" s="8">
        <v>0</v>
      </c>
      <c r="AB110" s="8">
        <v>10739.853999999999</v>
      </c>
      <c r="AC110" s="8">
        <v>5.71</v>
      </c>
      <c r="AD110" s="8">
        <v>6239.0309999999999</v>
      </c>
      <c r="AE110" s="8">
        <v>0</v>
      </c>
      <c r="AF110" s="8">
        <v>204017.79800000001</v>
      </c>
      <c r="AG110" s="8">
        <v>223327.78</v>
      </c>
      <c r="AH110" s="8">
        <v>0</v>
      </c>
      <c r="AI110" s="8">
        <v>555439.29799999995</v>
      </c>
      <c r="AJ110" s="8">
        <v>349079.92499999999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7373.223</v>
      </c>
      <c r="AQ110" s="8">
        <v>0</v>
      </c>
      <c r="AR110" s="8">
        <v>89912.862999999998</v>
      </c>
      <c r="AS110" s="8">
        <v>0</v>
      </c>
      <c r="AT110" s="8">
        <v>92.81</v>
      </c>
      <c r="AU110" s="8">
        <v>0</v>
      </c>
      <c r="AV110" s="8">
        <v>919.31500000000005</v>
      </c>
      <c r="AW110" s="8">
        <v>0</v>
      </c>
      <c r="AX110" s="8">
        <v>0</v>
      </c>
      <c r="AY110" s="8">
        <v>0</v>
      </c>
      <c r="AZ110" s="8">
        <v>4171.2150000000001</v>
      </c>
      <c r="BA110" s="8">
        <v>153713.38800000001</v>
      </c>
      <c r="BB110" s="8">
        <v>0</v>
      </c>
      <c r="BC110" s="8">
        <v>3261.5479999999998</v>
      </c>
      <c r="BD110" s="8">
        <v>0</v>
      </c>
      <c r="BE110" s="8">
        <v>199810.19500000001</v>
      </c>
      <c r="BF110" s="8">
        <v>917.49</v>
      </c>
      <c r="BG110" s="8">
        <v>69101.898000000001</v>
      </c>
      <c r="BH110" s="8">
        <v>0</v>
      </c>
      <c r="BI110" s="8">
        <v>0</v>
      </c>
      <c r="BL110" s="22"/>
    </row>
    <row r="111" spans="1:64" ht="15.75" x14ac:dyDescent="0.25">
      <c r="A111" s="22"/>
      <c r="B111" s="7" t="s">
        <v>210</v>
      </c>
      <c r="C111" s="7" t="s">
        <v>211</v>
      </c>
      <c r="D111" s="8">
        <v>4</v>
      </c>
      <c r="E111" s="8">
        <v>4</v>
      </c>
      <c r="F111" s="8">
        <v>368270.29100000003</v>
      </c>
      <c r="G111" s="8">
        <v>55161.898999999998</v>
      </c>
      <c r="H111" s="8">
        <v>14.368</v>
      </c>
      <c r="I111" s="8">
        <v>0</v>
      </c>
      <c r="J111" s="8">
        <v>1647.4359999999999</v>
      </c>
      <c r="K111" s="8">
        <v>153.89699999999999</v>
      </c>
      <c r="L111" s="8">
        <v>0</v>
      </c>
      <c r="M111" s="8">
        <v>778561.27500000002</v>
      </c>
      <c r="N111" s="8">
        <v>27803.041000000001</v>
      </c>
      <c r="O111" s="8">
        <v>0</v>
      </c>
      <c r="P111" s="8">
        <v>0</v>
      </c>
      <c r="Q111" s="8">
        <v>0.72499999999999998</v>
      </c>
      <c r="R111" s="8">
        <v>0</v>
      </c>
      <c r="S111" s="8">
        <v>0</v>
      </c>
      <c r="T111" s="8">
        <v>17710.097000000002</v>
      </c>
      <c r="U111" s="8">
        <v>0</v>
      </c>
      <c r="V111" s="8">
        <v>0</v>
      </c>
      <c r="W111" s="8">
        <v>31.177</v>
      </c>
      <c r="X111" s="8">
        <v>5975.0749999999998</v>
      </c>
      <c r="Y111" s="8">
        <v>39458.116999999998</v>
      </c>
      <c r="Z111" s="8">
        <v>183475.91399999999</v>
      </c>
      <c r="AA111" s="8">
        <v>0</v>
      </c>
      <c r="AB111" s="8">
        <v>31359.727999999999</v>
      </c>
      <c r="AC111" s="8">
        <v>0</v>
      </c>
      <c r="AD111" s="8">
        <v>11099.295</v>
      </c>
      <c r="AE111" s="8">
        <v>0</v>
      </c>
      <c r="AF111" s="8">
        <v>524877.83600000001</v>
      </c>
      <c r="AG111" s="8">
        <v>492306.83500000002</v>
      </c>
      <c r="AH111" s="8">
        <v>0</v>
      </c>
      <c r="AI111" s="8">
        <v>1489222.9920000001</v>
      </c>
      <c r="AJ111" s="8">
        <v>718396.18900000001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17080.478999999999</v>
      </c>
      <c r="AQ111" s="8">
        <v>120411.54</v>
      </c>
      <c r="AR111" s="8">
        <v>199797.70600000001</v>
      </c>
      <c r="AS111" s="8">
        <v>28889.050999999999</v>
      </c>
      <c r="AT111" s="8">
        <v>167.703</v>
      </c>
      <c r="AU111" s="8">
        <v>0</v>
      </c>
      <c r="AV111" s="8">
        <v>1063.124</v>
      </c>
      <c r="AW111" s="8">
        <v>76579.937999999995</v>
      </c>
      <c r="AX111" s="8">
        <v>175104.51699999999</v>
      </c>
      <c r="AY111" s="8">
        <v>53528.385000000002</v>
      </c>
      <c r="AZ111" s="8">
        <v>484.98399999999998</v>
      </c>
      <c r="BA111" s="8">
        <v>17872.14</v>
      </c>
      <c r="BB111" s="8">
        <v>43119.8</v>
      </c>
      <c r="BC111" s="8">
        <v>7904.32</v>
      </c>
      <c r="BD111" s="8">
        <v>0</v>
      </c>
      <c r="BE111" s="8">
        <v>23231.780999999999</v>
      </c>
      <c r="BF111" s="8">
        <v>2356.1350000000002</v>
      </c>
      <c r="BG111" s="8">
        <v>8034.4260000000004</v>
      </c>
      <c r="BH111" s="8">
        <v>0</v>
      </c>
      <c r="BI111" s="8">
        <v>0</v>
      </c>
      <c r="BL111" s="22"/>
    </row>
    <row r="112" spans="1:64" ht="15.75" x14ac:dyDescent="0.25">
      <c r="A112" s="22"/>
      <c r="B112" s="7" t="s">
        <v>212</v>
      </c>
      <c r="C112" s="7" t="s">
        <v>213</v>
      </c>
      <c r="D112" s="8">
        <v>4</v>
      </c>
      <c r="E112" s="8">
        <v>4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L112" s="22"/>
    </row>
    <row r="113" spans="1:64" ht="15.75" x14ac:dyDescent="0.25">
      <c r="A113" s="22"/>
      <c r="B113" s="7" t="s">
        <v>214</v>
      </c>
      <c r="C113" s="7" t="s">
        <v>215</v>
      </c>
      <c r="D113" s="8">
        <v>6</v>
      </c>
      <c r="E113" s="8">
        <v>6</v>
      </c>
      <c r="F113" s="8">
        <v>0</v>
      </c>
      <c r="G113" s="8">
        <v>0.17299999999999999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1.4470000000000001</v>
      </c>
      <c r="AG113" s="8">
        <v>9.7000000000000003E-2</v>
      </c>
      <c r="AH113" s="8">
        <v>0</v>
      </c>
      <c r="AI113" s="8">
        <v>1.2090000000000001</v>
      </c>
      <c r="AJ113" s="8">
        <v>5.0999999999999997E-2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L113" s="22"/>
    </row>
    <row r="114" spans="1:64" ht="15.75" x14ac:dyDescent="0.25">
      <c r="A114" s="22"/>
      <c r="B114" s="7" t="s">
        <v>216</v>
      </c>
      <c r="C114" s="7" t="s">
        <v>217</v>
      </c>
      <c r="D114" s="8">
        <v>6</v>
      </c>
      <c r="E114" s="8">
        <v>6</v>
      </c>
      <c r="F114" s="8">
        <v>68875.305999999997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158222.481</v>
      </c>
      <c r="N114" s="8">
        <v>31773.213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16564.937000000002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49563.332999999999</v>
      </c>
      <c r="AG114" s="8">
        <v>7.0000000000000001E-3</v>
      </c>
      <c r="AH114" s="8">
        <v>0</v>
      </c>
      <c r="AI114" s="8">
        <v>229473.05300000001</v>
      </c>
      <c r="AJ114" s="8">
        <v>0.01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L114" s="22"/>
    </row>
    <row r="115" spans="1:64" ht="15.75" x14ac:dyDescent="0.25">
      <c r="A115" s="22"/>
      <c r="B115" s="7" t="s">
        <v>218</v>
      </c>
      <c r="C115" s="7" t="s">
        <v>219</v>
      </c>
      <c r="D115" s="8">
        <v>4</v>
      </c>
      <c r="E115" s="8">
        <v>4</v>
      </c>
      <c r="F115" s="8">
        <v>37599.694000000003</v>
      </c>
      <c r="G115" s="8">
        <v>7864.7</v>
      </c>
      <c r="H115" s="8">
        <v>0</v>
      </c>
      <c r="I115" s="8">
        <v>19457.845000000001</v>
      </c>
      <c r="J115" s="8">
        <v>151.08199999999999</v>
      </c>
      <c r="K115" s="8">
        <v>0</v>
      </c>
      <c r="L115" s="8">
        <v>0</v>
      </c>
      <c r="M115" s="8">
        <v>91556.23</v>
      </c>
      <c r="N115" s="8">
        <v>3817.7620000000002</v>
      </c>
      <c r="O115" s="8">
        <v>0</v>
      </c>
      <c r="P115" s="8">
        <v>0</v>
      </c>
      <c r="Q115" s="8">
        <v>1.643</v>
      </c>
      <c r="R115" s="8">
        <v>0</v>
      </c>
      <c r="S115" s="8">
        <v>0</v>
      </c>
      <c r="T115" s="8">
        <v>2600.5450000000001</v>
      </c>
      <c r="U115" s="8">
        <v>0</v>
      </c>
      <c r="V115" s="8">
        <v>0</v>
      </c>
      <c r="W115" s="8">
        <v>0</v>
      </c>
      <c r="X115" s="8">
        <v>930.36599999999999</v>
      </c>
      <c r="Y115" s="8">
        <v>0</v>
      </c>
      <c r="Z115" s="8">
        <v>18731.588</v>
      </c>
      <c r="AA115" s="8">
        <v>0</v>
      </c>
      <c r="AB115" s="8">
        <v>2833.5830000000001</v>
      </c>
      <c r="AC115" s="8">
        <v>0</v>
      </c>
      <c r="AD115" s="8">
        <v>1646.078</v>
      </c>
      <c r="AE115" s="8">
        <v>14697.028</v>
      </c>
      <c r="AF115" s="8">
        <v>53785.483</v>
      </c>
      <c r="AG115" s="8">
        <v>58907.080999999998</v>
      </c>
      <c r="AH115" s="8">
        <v>68296.614000000001</v>
      </c>
      <c r="AI115" s="8">
        <v>146182.12</v>
      </c>
      <c r="AJ115" s="8">
        <v>92085.126000000004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1945.336</v>
      </c>
      <c r="AQ115" s="8">
        <v>0</v>
      </c>
      <c r="AR115" s="8">
        <v>23720.9</v>
      </c>
      <c r="AS115" s="8">
        <v>0</v>
      </c>
      <c r="AT115" s="8">
        <v>24.486999999999998</v>
      </c>
      <c r="AU115" s="8">
        <v>0</v>
      </c>
      <c r="AV115" s="8">
        <v>3103.8649999999998</v>
      </c>
      <c r="AW115" s="8">
        <v>0</v>
      </c>
      <c r="AX115" s="8">
        <v>0</v>
      </c>
      <c r="AY115" s="8">
        <v>0</v>
      </c>
      <c r="AZ115" s="8">
        <v>1100.5250000000001</v>
      </c>
      <c r="BA115" s="8">
        <v>66154.202999999994</v>
      </c>
      <c r="BB115" s="8">
        <v>0</v>
      </c>
      <c r="BC115" s="8">
        <v>860.52099999999996</v>
      </c>
      <c r="BD115" s="8">
        <v>0</v>
      </c>
      <c r="BE115" s="8">
        <v>52717.534</v>
      </c>
      <c r="BF115" s="8">
        <v>242.06899999999999</v>
      </c>
      <c r="BG115" s="8">
        <v>18231.710999999999</v>
      </c>
      <c r="BH115" s="8">
        <v>0</v>
      </c>
      <c r="BI115" s="8">
        <v>0</v>
      </c>
      <c r="BL115" s="22"/>
    </row>
    <row r="116" spans="1:64" ht="15.75" x14ac:dyDescent="0.25">
      <c r="A116" s="22"/>
      <c r="B116" s="7" t="s">
        <v>220</v>
      </c>
      <c r="C116" s="7" t="s">
        <v>221</v>
      </c>
      <c r="D116" s="8">
        <v>4</v>
      </c>
      <c r="E116" s="8">
        <v>4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266.96899999999999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673644.25899999996</v>
      </c>
      <c r="AM116" s="8">
        <v>342896.31900000002</v>
      </c>
      <c r="AN116" s="8">
        <v>0</v>
      </c>
      <c r="AO116" s="8">
        <v>226847.916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774.726</v>
      </c>
      <c r="AW116" s="8">
        <v>0</v>
      </c>
      <c r="AX116" s="8">
        <v>0</v>
      </c>
      <c r="AY116" s="8">
        <v>362.16699999999997</v>
      </c>
      <c r="AZ116" s="8">
        <v>0</v>
      </c>
      <c r="BA116" s="8">
        <v>0</v>
      </c>
      <c r="BB116" s="8">
        <v>291.74299999999999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L116" s="22"/>
    </row>
    <row r="117" spans="1:64" ht="15.75" x14ac:dyDescent="0.25">
      <c r="A117" s="22"/>
      <c r="B117" s="7" t="s">
        <v>222</v>
      </c>
      <c r="C117" s="7" t="s">
        <v>223</v>
      </c>
      <c r="D117" s="8">
        <v>4</v>
      </c>
      <c r="E117" s="8">
        <v>3</v>
      </c>
      <c r="F117" s="8">
        <v>9007.3700000000008</v>
      </c>
      <c r="G117" s="8">
        <v>1312.9670000000001</v>
      </c>
      <c r="H117" s="8">
        <v>2075.25</v>
      </c>
      <c r="I117" s="8">
        <v>0</v>
      </c>
      <c r="J117" s="8">
        <v>182.28700000000001</v>
      </c>
      <c r="K117" s="8">
        <v>1199.3340000000001</v>
      </c>
      <c r="L117" s="8">
        <v>11535.725</v>
      </c>
      <c r="M117" s="8">
        <v>3222.846</v>
      </c>
      <c r="N117" s="8">
        <v>4159.2479999999996</v>
      </c>
      <c r="O117" s="8">
        <v>3012.8719999999998</v>
      </c>
      <c r="P117" s="8">
        <v>0</v>
      </c>
      <c r="Q117" s="8">
        <v>0.16900000000000001</v>
      </c>
      <c r="R117" s="8">
        <v>0</v>
      </c>
      <c r="S117" s="8">
        <v>0</v>
      </c>
      <c r="T117" s="8">
        <v>594.18200000000002</v>
      </c>
      <c r="U117" s="8">
        <v>0</v>
      </c>
      <c r="V117" s="8">
        <v>8860.5059999999994</v>
      </c>
      <c r="W117" s="8">
        <v>314.952</v>
      </c>
      <c r="X117" s="8">
        <v>416.976</v>
      </c>
      <c r="Y117" s="8">
        <v>0</v>
      </c>
      <c r="Z117" s="8">
        <v>1479.2539999999999</v>
      </c>
      <c r="AA117" s="8">
        <v>0</v>
      </c>
      <c r="AB117" s="8">
        <v>2436.1219999999998</v>
      </c>
      <c r="AC117" s="8">
        <v>0</v>
      </c>
      <c r="AD117" s="8">
        <v>205.28800000000001</v>
      </c>
      <c r="AE117" s="8">
        <v>12128.415999999999</v>
      </c>
      <c r="AF117" s="8">
        <v>1431.6279999999999</v>
      </c>
      <c r="AG117" s="8">
        <v>0</v>
      </c>
      <c r="AH117" s="8">
        <v>50376.087</v>
      </c>
      <c r="AI117" s="8">
        <v>7932.6729999999998</v>
      </c>
      <c r="AJ117" s="8">
        <v>0</v>
      </c>
      <c r="AK117" s="8">
        <v>0</v>
      </c>
      <c r="AL117" s="8">
        <v>0</v>
      </c>
      <c r="AM117" s="8">
        <v>0</v>
      </c>
      <c r="AN117" s="8">
        <v>2321.4639999999999</v>
      </c>
      <c r="AO117" s="8">
        <v>0</v>
      </c>
      <c r="AP117" s="8">
        <v>270.43</v>
      </c>
      <c r="AQ117" s="8">
        <v>0</v>
      </c>
      <c r="AR117" s="8">
        <v>0</v>
      </c>
      <c r="AS117" s="8">
        <v>0</v>
      </c>
      <c r="AT117" s="8">
        <v>52.915999999999997</v>
      </c>
      <c r="AU117" s="8">
        <v>0</v>
      </c>
      <c r="AV117" s="8">
        <v>2494.8290000000002</v>
      </c>
      <c r="AW117" s="8">
        <v>0</v>
      </c>
      <c r="AX117" s="8">
        <v>0</v>
      </c>
      <c r="AY117" s="8">
        <v>0</v>
      </c>
      <c r="AZ117" s="8">
        <v>343.93400000000003</v>
      </c>
      <c r="BA117" s="8">
        <v>0</v>
      </c>
      <c r="BB117" s="8">
        <v>0</v>
      </c>
      <c r="BC117" s="8">
        <v>125.001</v>
      </c>
      <c r="BD117" s="8">
        <v>167.41499999999999</v>
      </c>
      <c r="BE117" s="8">
        <v>0</v>
      </c>
      <c r="BF117" s="8">
        <v>37.085999999999999</v>
      </c>
      <c r="BG117" s="8">
        <v>0</v>
      </c>
      <c r="BH117" s="8">
        <v>0</v>
      </c>
      <c r="BI117" s="8">
        <v>57.99</v>
      </c>
      <c r="BL117" s="22"/>
    </row>
    <row r="118" spans="1:64" ht="15.75" x14ac:dyDescent="0.25">
      <c r="A118" s="22"/>
      <c r="B118" s="7" t="s">
        <v>224</v>
      </c>
      <c r="C118" s="7" t="s">
        <v>225</v>
      </c>
      <c r="D118" s="8">
        <v>4</v>
      </c>
      <c r="E118" s="8">
        <v>3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L118" s="22"/>
    </row>
    <row r="119" spans="1:64" ht="15.75" x14ac:dyDescent="0.25">
      <c r="A119" s="22"/>
      <c r="B119" s="7" t="s">
        <v>226</v>
      </c>
      <c r="C119" s="7" t="s">
        <v>227</v>
      </c>
      <c r="D119" s="8">
        <v>4</v>
      </c>
      <c r="E119" s="8">
        <v>4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L119" s="22"/>
    </row>
    <row r="120" spans="1:64" ht="15.75" x14ac:dyDescent="0.25">
      <c r="A120" s="22"/>
      <c r="B120" s="7" t="s">
        <v>228</v>
      </c>
      <c r="C120" s="7" t="s">
        <v>229</v>
      </c>
      <c r="D120" s="8">
        <v>4</v>
      </c>
      <c r="E120" s="8">
        <v>6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L120" s="22"/>
    </row>
    <row r="121" spans="1:64" ht="15.75" x14ac:dyDescent="0.25">
      <c r="A121" s="22"/>
      <c r="B121" s="7" t="s">
        <v>230</v>
      </c>
      <c r="C121" s="7" t="s">
        <v>231</v>
      </c>
      <c r="D121" s="8">
        <v>4</v>
      </c>
      <c r="E121" s="8">
        <v>4</v>
      </c>
      <c r="F121" s="8">
        <v>523160.25199999998</v>
      </c>
      <c r="G121" s="8">
        <v>71852.66</v>
      </c>
      <c r="H121" s="8">
        <v>0</v>
      </c>
      <c r="I121" s="8">
        <v>0</v>
      </c>
      <c r="J121" s="8">
        <v>1993.1110000000001</v>
      </c>
      <c r="K121" s="8">
        <v>0</v>
      </c>
      <c r="L121" s="8">
        <v>0</v>
      </c>
      <c r="M121" s="8">
        <v>1097582.432</v>
      </c>
      <c r="N121" s="8">
        <v>31214.81</v>
      </c>
      <c r="O121" s="8">
        <v>0</v>
      </c>
      <c r="P121" s="8">
        <v>2603.6880000000001</v>
      </c>
      <c r="Q121" s="8">
        <v>0</v>
      </c>
      <c r="R121" s="8">
        <v>608.72500000000002</v>
      </c>
      <c r="S121" s="8">
        <v>0</v>
      </c>
      <c r="T121" s="8">
        <v>23142.823</v>
      </c>
      <c r="U121" s="8">
        <v>0</v>
      </c>
      <c r="V121" s="8">
        <v>0</v>
      </c>
      <c r="W121" s="8">
        <v>0</v>
      </c>
      <c r="X121" s="8">
        <v>7789.0550000000003</v>
      </c>
      <c r="Y121" s="8">
        <v>51953.427000000003</v>
      </c>
      <c r="Z121" s="8">
        <v>260132.68</v>
      </c>
      <c r="AA121" s="8">
        <v>29399.699000000001</v>
      </c>
      <c r="AB121" s="8">
        <v>44406.451000000001</v>
      </c>
      <c r="AC121" s="8">
        <v>59529.635000000002</v>
      </c>
      <c r="AD121" s="8">
        <v>14733.003000000001</v>
      </c>
      <c r="AE121" s="8">
        <v>7896.1120000000001</v>
      </c>
      <c r="AF121" s="8">
        <v>761157.29299999995</v>
      </c>
      <c r="AG121" s="8">
        <v>686288.78</v>
      </c>
      <c r="AH121" s="8">
        <v>34300.053</v>
      </c>
      <c r="AI121" s="8">
        <v>1934905.9369999999</v>
      </c>
      <c r="AJ121" s="8">
        <v>992160.33799999999</v>
      </c>
      <c r="AK121" s="8">
        <v>156478.79500000001</v>
      </c>
      <c r="AL121" s="8">
        <v>1339019.517</v>
      </c>
      <c r="AM121" s="8">
        <v>681583.57400000002</v>
      </c>
      <c r="AN121" s="8">
        <v>0</v>
      </c>
      <c r="AO121" s="8">
        <v>450911.26799999998</v>
      </c>
      <c r="AP121" s="8">
        <v>24102.744999999999</v>
      </c>
      <c r="AQ121" s="8">
        <v>0</v>
      </c>
      <c r="AR121" s="8">
        <v>281638.31</v>
      </c>
      <c r="AS121" s="8">
        <v>0</v>
      </c>
      <c r="AT121" s="8">
        <v>234.04300000000001</v>
      </c>
      <c r="AU121" s="8">
        <v>0</v>
      </c>
      <c r="AV121" s="8">
        <v>1464.741</v>
      </c>
      <c r="AW121" s="8">
        <v>0</v>
      </c>
      <c r="AX121" s="8">
        <v>0</v>
      </c>
      <c r="AY121" s="8">
        <v>70479.365000000005</v>
      </c>
      <c r="AZ121" s="8">
        <v>0</v>
      </c>
      <c r="BA121" s="8">
        <v>0</v>
      </c>
      <c r="BB121" s="8">
        <v>56774.663</v>
      </c>
      <c r="BC121" s="8">
        <v>11181.226000000001</v>
      </c>
      <c r="BD121" s="8">
        <v>0</v>
      </c>
      <c r="BE121" s="8">
        <v>0</v>
      </c>
      <c r="BF121" s="8">
        <v>3342.5129999999999</v>
      </c>
      <c r="BG121" s="8">
        <v>0</v>
      </c>
      <c r="BH121" s="8">
        <v>59064.631999999998</v>
      </c>
      <c r="BI121" s="8">
        <v>0</v>
      </c>
      <c r="BL121" s="22"/>
    </row>
    <row r="122" spans="1:64" ht="15.75" x14ac:dyDescent="0.25">
      <c r="A122" s="22"/>
      <c r="B122" s="7" t="s">
        <v>232</v>
      </c>
      <c r="C122" s="7" t="s">
        <v>233</v>
      </c>
      <c r="D122" s="8">
        <v>4</v>
      </c>
      <c r="E122" s="8">
        <v>3</v>
      </c>
      <c r="F122" s="8">
        <v>5084.0559999999996</v>
      </c>
      <c r="G122" s="8">
        <v>973.06899999999996</v>
      </c>
      <c r="H122" s="8">
        <v>1127.1099999999999</v>
      </c>
      <c r="I122" s="8">
        <v>0</v>
      </c>
      <c r="J122" s="8">
        <v>51.587000000000003</v>
      </c>
      <c r="K122" s="8">
        <v>771.67200000000003</v>
      </c>
      <c r="L122" s="8">
        <v>0</v>
      </c>
      <c r="M122" s="8">
        <v>6303.2039999999997</v>
      </c>
      <c r="N122" s="8">
        <v>736.53499999999997</v>
      </c>
      <c r="O122" s="8">
        <v>0</v>
      </c>
      <c r="P122" s="8">
        <v>0</v>
      </c>
      <c r="Q122" s="8">
        <v>2E-3</v>
      </c>
      <c r="R122" s="8">
        <v>295.60899999999998</v>
      </c>
      <c r="S122" s="8">
        <v>374.68700000000001</v>
      </c>
      <c r="T122" s="8">
        <v>412</v>
      </c>
      <c r="U122" s="8">
        <v>0</v>
      </c>
      <c r="V122" s="8">
        <v>0</v>
      </c>
      <c r="W122" s="8">
        <v>188.221</v>
      </c>
      <c r="X122" s="8">
        <v>34.948999999999998</v>
      </c>
      <c r="Y122" s="8">
        <v>0</v>
      </c>
      <c r="Z122" s="8">
        <v>1316.1179999999999</v>
      </c>
      <c r="AA122" s="8">
        <v>4752.8680000000004</v>
      </c>
      <c r="AB122" s="8">
        <v>1745.89</v>
      </c>
      <c r="AC122" s="8">
        <v>0</v>
      </c>
      <c r="AD122" s="8">
        <v>290.77600000000001</v>
      </c>
      <c r="AE122" s="8">
        <v>1962.087</v>
      </c>
      <c r="AF122" s="8">
        <v>13009.367</v>
      </c>
      <c r="AG122" s="8">
        <v>11.125999999999999</v>
      </c>
      <c r="AH122" s="8">
        <v>7786.5249999999996</v>
      </c>
      <c r="AI122" s="8">
        <v>16620.849999999999</v>
      </c>
      <c r="AJ122" s="8">
        <v>8.0000000000000002E-3</v>
      </c>
      <c r="AK122" s="8">
        <v>22597.954000000002</v>
      </c>
      <c r="AL122" s="8">
        <v>0</v>
      </c>
      <c r="AM122" s="8">
        <v>0</v>
      </c>
      <c r="AN122" s="8">
        <v>0</v>
      </c>
      <c r="AO122" s="8">
        <v>0</v>
      </c>
      <c r="AP122" s="8">
        <v>504.07</v>
      </c>
      <c r="AQ122" s="8">
        <v>0</v>
      </c>
      <c r="AR122" s="8">
        <v>1.639</v>
      </c>
      <c r="AS122" s="8">
        <v>0</v>
      </c>
      <c r="AT122" s="8">
        <v>1.3879999999999999</v>
      </c>
      <c r="AU122" s="8">
        <v>0</v>
      </c>
      <c r="AV122" s="8">
        <v>39.749000000000002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229.893</v>
      </c>
      <c r="BD122" s="8">
        <v>0</v>
      </c>
      <c r="BE122" s="8">
        <v>0</v>
      </c>
      <c r="BF122" s="8">
        <v>68.018000000000001</v>
      </c>
      <c r="BG122" s="8">
        <v>0</v>
      </c>
      <c r="BH122" s="8">
        <v>13950.012000000001</v>
      </c>
      <c r="BI122" s="8">
        <v>0</v>
      </c>
      <c r="BL122" s="22"/>
    </row>
    <row r="123" spans="1:64" ht="15.75" x14ac:dyDescent="0.25">
      <c r="A123" s="22"/>
      <c r="B123" s="7" t="s">
        <v>234</v>
      </c>
      <c r="C123" s="7" t="s">
        <v>235</v>
      </c>
      <c r="D123" s="8">
        <v>4</v>
      </c>
      <c r="E123" s="8">
        <v>4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L123" s="22"/>
    </row>
    <row r="124" spans="1:64" ht="15.75" x14ac:dyDescent="0.25">
      <c r="A124" s="22"/>
      <c r="B124" s="7" t="s">
        <v>228</v>
      </c>
      <c r="C124" s="7" t="s">
        <v>236</v>
      </c>
      <c r="D124" s="8">
        <v>4</v>
      </c>
      <c r="E124" s="8">
        <v>6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L124" s="22"/>
    </row>
    <row r="125" spans="1:64" ht="15.75" x14ac:dyDescent="0.25">
      <c r="A125" s="22"/>
      <c r="B125" s="7" t="s">
        <v>237</v>
      </c>
      <c r="C125" s="7" t="s">
        <v>238</v>
      </c>
      <c r="D125" s="8">
        <v>4</v>
      </c>
      <c r="E125" s="8">
        <v>4</v>
      </c>
      <c r="F125" s="8">
        <v>0</v>
      </c>
      <c r="G125" s="8">
        <v>0</v>
      </c>
      <c r="H125" s="8">
        <v>0</v>
      </c>
      <c r="I125" s="8">
        <v>4250.49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88.436999999999998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L125" s="22"/>
    </row>
    <row r="126" spans="1:64" ht="15.75" x14ac:dyDescent="0.25">
      <c r="A126" s="22"/>
      <c r="B126" s="7" t="s">
        <v>239</v>
      </c>
      <c r="C126" s="7" t="s">
        <v>240</v>
      </c>
      <c r="D126" s="8">
        <v>4</v>
      </c>
      <c r="E126" s="8">
        <v>3</v>
      </c>
      <c r="F126" s="8">
        <v>2160.5149999999999</v>
      </c>
      <c r="G126" s="8">
        <v>1469.8309999999999</v>
      </c>
      <c r="H126" s="8">
        <v>107.67400000000001</v>
      </c>
      <c r="I126" s="8">
        <v>0</v>
      </c>
      <c r="J126" s="8">
        <v>111.88200000000001</v>
      </c>
      <c r="K126" s="8">
        <v>1153.3330000000001</v>
      </c>
      <c r="L126" s="8">
        <v>0</v>
      </c>
      <c r="M126" s="8">
        <v>3228.029</v>
      </c>
      <c r="N126" s="8">
        <v>173.24</v>
      </c>
      <c r="O126" s="8">
        <v>0</v>
      </c>
      <c r="P126" s="8">
        <v>0</v>
      </c>
      <c r="Q126" s="8">
        <v>4.0000000000000001E-3</v>
      </c>
      <c r="R126" s="8">
        <v>0</v>
      </c>
      <c r="S126" s="8">
        <v>0</v>
      </c>
      <c r="T126" s="8">
        <v>632.33500000000004</v>
      </c>
      <c r="U126" s="8">
        <v>0</v>
      </c>
      <c r="V126" s="8">
        <v>0</v>
      </c>
      <c r="W126" s="8">
        <v>233.64500000000001</v>
      </c>
      <c r="X126" s="8">
        <v>2.1840000000000002</v>
      </c>
      <c r="Y126" s="8">
        <v>0</v>
      </c>
      <c r="Z126" s="8">
        <v>87.602000000000004</v>
      </c>
      <c r="AA126" s="8">
        <v>0</v>
      </c>
      <c r="AB126" s="8">
        <v>2966.3440000000001</v>
      </c>
      <c r="AC126" s="8">
        <v>0</v>
      </c>
      <c r="AD126" s="8">
        <v>250.82599999999999</v>
      </c>
      <c r="AE126" s="8">
        <v>0</v>
      </c>
      <c r="AF126" s="8">
        <v>772.06</v>
      </c>
      <c r="AG126" s="8">
        <v>27.609000000000002</v>
      </c>
      <c r="AH126" s="8">
        <v>0</v>
      </c>
      <c r="AI126" s="8">
        <v>5239.5749999999998</v>
      </c>
      <c r="AJ126" s="8">
        <v>2.1000000000000001E-2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708.30799999999999</v>
      </c>
      <c r="AQ126" s="8">
        <v>0</v>
      </c>
      <c r="AR126" s="8">
        <v>4.0670000000000002</v>
      </c>
      <c r="AS126" s="8">
        <v>0</v>
      </c>
      <c r="AT126" s="8">
        <v>2.254</v>
      </c>
      <c r="AU126" s="8">
        <v>0</v>
      </c>
      <c r="AV126" s="8">
        <v>0.27700000000000002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322.44600000000003</v>
      </c>
      <c r="BD126" s="8">
        <v>0</v>
      </c>
      <c r="BE126" s="8">
        <v>0</v>
      </c>
      <c r="BF126" s="8">
        <v>95.682000000000002</v>
      </c>
      <c r="BG126" s="8">
        <v>0</v>
      </c>
      <c r="BH126" s="8">
        <v>0</v>
      </c>
      <c r="BI126" s="8">
        <v>0</v>
      </c>
      <c r="BL126" s="22"/>
    </row>
    <row r="127" spans="1:64" ht="15.75" x14ac:dyDescent="0.25">
      <c r="A127" s="22"/>
      <c r="B127" s="7" t="s">
        <v>241</v>
      </c>
      <c r="C127" s="7" t="s">
        <v>242</v>
      </c>
      <c r="D127" s="8">
        <v>2</v>
      </c>
      <c r="E127" s="8">
        <v>2</v>
      </c>
      <c r="F127" s="8">
        <v>105303.678</v>
      </c>
      <c r="G127" s="8">
        <v>10305.120999999999</v>
      </c>
      <c r="H127" s="8">
        <v>10523.602000000001</v>
      </c>
      <c r="I127" s="8">
        <v>0</v>
      </c>
      <c r="J127" s="8">
        <v>1917.809</v>
      </c>
      <c r="K127" s="8">
        <v>7919.6840000000002</v>
      </c>
      <c r="L127" s="8">
        <v>0</v>
      </c>
      <c r="M127" s="8">
        <v>81875.290999999997</v>
      </c>
      <c r="N127" s="8">
        <v>21066.371999999999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3217.58</v>
      </c>
      <c r="U127" s="8">
        <v>0</v>
      </c>
      <c r="V127" s="8">
        <v>0</v>
      </c>
      <c r="W127" s="8">
        <v>1558.251</v>
      </c>
      <c r="X127" s="8">
        <v>3603.6390000000001</v>
      </c>
      <c r="Y127" s="8">
        <v>0</v>
      </c>
      <c r="Z127" s="8">
        <v>39317.446000000004</v>
      </c>
      <c r="AA127" s="8">
        <v>0</v>
      </c>
      <c r="AB127" s="8">
        <v>9102.0310000000009</v>
      </c>
      <c r="AC127" s="8">
        <v>0</v>
      </c>
      <c r="AD127" s="8">
        <v>1812.78</v>
      </c>
      <c r="AE127" s="8">
        <v>0</v>
      </c>
      <c r="AF127" s="8">
        <v>132922.69099999999</v>
      </c>
      <c r="AG127" s="8">
        <v>0</v>
      </c>
      <c r="AH127" s="8">
        <v>0</v>
      </c>
      <c r="AI127" s="8">
        <v>232948.44200000001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1048.463</v>
      </c>
      <c r="AQ127" s="8">
        <v>0</v>
      </c>
      <c r="AR127" s="8">
        <v>0</v>
      </c>
      <c r="AS127" s="8">
        <v>0</v>
      </c>
      <c r="AT127" s="8">
        <v>4.282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509.245</v>
      </c>
      <c r="BD127" s="8">
        <v>0</v>
      </c>
      <c r="BE127" s="8">
        <v>0</v>
      </c>
      <c r="BF127" s="8">
        <v>186.292</v>
      </c>
      <c r="BG127" s="8">
        <v>0</v>
      </c>
      <c r="BH127" s="8">
        <v>0</v>
      </c>
      <c r="BI127" s="8">
        <v>0</v>
      </c>
      <c r="BL127" s="22"/>
    </row>
    <row r="128" spans="1:64" ht="15.75" x14ac:dyDescent="0.25">
      <c r="A128" s="22"/>
      <c r="B128" s="7" t="s">
        <v>243</v>
      </c>
      <c r="C128" s="7" t="s">
        <v>244</v>
      </c>
      <c r="D128" s="8">
        <v>4</v>
      </c>
      <c r="E128" s="8">
        <v>4</v>
      </c>
      <c r="F128" s="8">
        <v>44431.616999999998</v>
      </c>
      <c r="G128" s="8">
        <v>6130.4120000000003</v>
      </c>
      <c r="H128" s="8">
        <v>0</v>
      </c>
      <c r="I128" s="8">
        <v>0</v>
      </c>
      <c r="J128" s="8">
        <v>168.928</v>
      </c>
      <c r="K128" s="8">
        <v>0</v>
      </c>
      <c r="L128" s="8">
        <v>0</v>
      </c>
      <c r="M128" s="8">
        <v>93378.599000000002</v>
      </c>
      <c r="N128" s="8">
        <v>2661.6750000000002</v>
      </c>
      <c r="O128" s="8">
        <v>0</v>
      </c>
      <c r="P128" s="8">
        <v>0</v>
      </c>
      <c r="Q128" s="8">
        <v>2.1000000000000001E-2</v>
      </c>
      <c r="R128" s="8">
        <v>0</v>
      </c>
      <c r="S128" s="8">
        <v>0</v>
      </c>
      <c r="T128" s="8">
        <v>1975.598</v>
      </c>
      <c r="U128" s="8">
        <v>0</v>
      </c>
      <c r="V128" s="8">
        <v>0</v>
      </c>
      <c r="W128" s="8">
        <v>0</v>
      </c>
      <c r="X128" s="8">
        <v>665.58600000000001</v>
      </c>
      <c r="Y128" s="8">
        <v>0</v>
      </c>
      <c r="Z128" s="8">
        <v>22093.394</v>
      </c>
      <c r="AA128" s="8">
        <v>0</v>
      </c>
      <c r="AB128" s="8">
        <v>3766.837</v>
      </c>
      <c r="AC128" s="8">
        <v>0</v>
      </c>
      <c r="AD128" s="8">
        <v>1257.8589999999999</v>
      </c>
      <c r="AE128" s="8">
        <v>0</v>
      </c>
      <c r="AF128" s="8">
        <v>63450.940999999999</v>
      </c>
      <c r="AG128" s="8">
        <v>58395.220999999998</v>
      </c>
      <c r="AH128" s="8">
        <v>0</v>
      </c>
      <c r="AI128" s="8">
        <v>164201.296</v>
      </c>
      <c r="AJ128" s="8">
        <v>84506.517999999996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2049.7629999999999</v>
      </c>
      <c r="AQ128" s="8">
        <v>0</v>
      </c>
      <c r="AR128" s="8">
        <v>23962.264999999999</v>
      </c>
      <c r="AS128" s="8">
        <v>0</v>
      </c>
      <c r="AT128" s="8">
        <v>19.975999999999999</v>
      </c>
      <c r="AU128" s="8">
        <v>0</v>
      </c>
      <c r="AV128" s="8">
        <v>125.459</v>
      </c>
      <c r="AW128" s="8">
        <v>0</v>
      </c>
      <c r="AX128" s="8">
        <v>0</v>
      </c>
      <c r="AY128" s="8">
        <v>0</v>
      </c>
      <c r="AZ128" s="8">
        <v>14.09</v>
      </c>
      <c r="BA128" s="8">
        <v>519.22799999999995</v>
      </c>
      <c r="BB128" s="8">
        <v>0</v>
      </c>
      <c r="BC128" s="8">
        <v>950.34500000000003</v>
      </c>
      <c r="BD128" s="8">
        <v>0</v>
      </c>
      <c r="BE128" s="8">
        <v>674.93899999999996</v>
      </c>
      <c r="BF128" s="8">
        <v>283.90199999999999</v>
      </c>
      <c r="BG128" s="8">
        <v>233.41900000000001</v>
      </c>
      <c r="BH128" s="8">
        <v>0</v>
      </c>
      <c r="BI128" s="8">
        <v>0</v>
      </c>
      <c r="BL128" s="22"/>
    </row>
    <row r="129" spans="1:64" ht="15.75" x14ac:dyDescent="0.25">
      <c r="A129" s="22"/>
      <c r="B129" s="7" t="s">
        <v>245</v>
      </c>
      <c r="C129" s="7" t="s">
        <v>246</v>
      </c>
      <c r="D129" s="8">
        <v>4</v>
      </c>
      <c r="E129" s="8">
        <v>6</v>
      </c>
      <c r="F129" s="8">
        <v>18.998999999999999</v>
      </c>
      <c r="G129" s="8">
        <v>12.925000000000001</v>
      </c>
      <c r="H129" s="8">
        <v>0.94699999999999995</v>
      </c>
      <c r="I129" s="8">
        <v>0</v>
      </c>
      <c r="J129" s="8">
        <v>0.98399999999999999</v>
      </c>
      <c r="K129" s="8">
        <v>10.141999999999999</v>
      </c>
      <c r="L129" s="8">
        <v>0</v>
      </c>
      <c r="M129" s="8">
        <v>28.387</v>
      </c>
      <c r="N129" s="8">
        <v>1.5229999999999999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5.5609999999999999</v>
      </c>
      <c r="U129" s="8">
        <v>0</v>
      </c>
      <c r="V129" s="8">
        <v>0</v>
      </c>
      <c r="W129" s="8">
        <v>2.0550000000000002</v>
      </c>
      <c r="X129" s="8">
        <v>1.9E-2</v>
      </c>
      <c r="Y129" s="8">
        <v>0</v>
      </c>
      <c r="Z129" s="8">
        <v>0.77</v>
      </c>
      <c r="AA129" s="8">
        <v>0</v>
      </c>
      <c r="AB129" s="8">
        <v>26.085999999999999</v>
      </c>
      <c r="AC129" s="8">
        <v>0</v>
      </c>
      <c r="AD129" s="8">
        <v>2.206</v>
      </c>
      <c r="AE129" s="8">
        <v>0</v>
      </c>
      <c r="AF129" s="8">
        <v>6.7889999999999997</v>
      </c>
      <c r="AG129" s="8">
        <v>0.24299999999999999</v>
      </c>
      <c r="AH129" s="8">
        <v>0</v>
      </c>
      <c r="AI129" s="8">
        <v>46.076000000000001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6.2290000000000001</v>
      </c>
      <c r="AQ129" s="8">
        <v>0</v>
      </c>
      <c r="AR129" s="8">
        <v>3.5999999999999997E-2</v>
      </c>
      <c r="AS129" s="8">
        <v>0</v>
      </c>
      <c r="AT129" s="8">
        <v>0.02</v>
      </c>
      <c r="AU129" s="8">
        <v>0</v>
      </c>
      <c r="AV129" s="8">
        <v>1E-3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2.8359999999999999</v>
      </c>
      <c r="BD129" s="8">
        <v>0</v>
      </c>
      <c r="BE129" s="8">
        <v>0</v>
      </c>
      <c r="BF129" s="8">
        <v>0.84099999999999997</v>
      </c>
      <c r="BG129" s="8">
        <v>0</v>
      </c>
      <c r="BH129" s="8">
        <v>0</v>
      </c>
      <c r="BI129" s="8">
        <v>0</v>
      </c>
      <c r="BL129" s="22"/>
    </row>
    <row r="130" spans="1:64" ht="15.75" x14ac:dyDescent="0.25">
      <c r="A130" s="22"/>
      <c r="B130" s="7" t="s">
        <v>247</v>
      </c>
      <c r="C130" s="7" t="s">
        <v>248</v>
      </c>
      <c r="D130" s="8">
        <v>6</v>
      </c>
      <c r="E130" s="8">
        <v>6</v>
      </c>
      <c r="F130" s="8">
        <v>58219.957000000002</v>
      </c>
      <c r="G130" s="8">
        <v>206.22800000000001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78685.998999999996</v>
      </c>
      <c r="N130" s="8">
        <v>12590.048000000001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6810.1589999999997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30595.866000000002</v>
      </c>
      <c r="AG130" s="8">
        <v>198.9</v>
      </c>
      <c r="AH130" s="8">
        <v>0</v>
      </c>
      <c r="AI130" s="8">
        <v>155606.37299999999</v>
      </c>
      <c r="AJ130" s="8">
        <v>461.03399999999999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L130" s="22"/>
    </row>
    <row r="131" spans="1:64" ht="15.75" x14ac:dyDescent="0.25">
      <c r="A131" s="22"/>
      <c r="B131" s="7" t="s">
        <v>249</v>
      </c>
      <c r="C131" s="7" t="s">
        <v>250</v>
      </c>
      <c r="D131" s="8">
        <v>6</v>
      </c>
      <c r="E131" s="8">
        <v>6</v>
      </c>
      <c r="F131" s="8">
        <v>7083.6440000000002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17238.186000000002</v>
      </c>
      <c r="N131" s="8">
        <v>590.26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1053.7449999999999</v>
      </c>
      <c r="AG131" s="8">
        <v>0</v>
      </c>
      <c r="AH131" s="8">
        <v>0</v>
      </c>
      <c r="AI131" s="8">
        <v>7416.0320000000002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L131" s="22"/>
    </row>
    <row r="132" spans="1:64" ht="15.75" x14ac:dyDescent="0.25">
      <c r="A132" s="22"/>
      <c r="B132" s="7" t="s">
        <v>251</v>
      </c>
      <c r="C132" s="7" t="s">
        <v>252</v>
      </c>
      <c r="D132" s="8">
        <v>6</v>
      </c>
      <c r="E132" s="8">
        <v>6</v>
      </c>
      <c r="F132" s="8">
        <v>16209.65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104578.379</v>
      </c>
      <c r="N132" s="8">
        <v>2260.89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262.11</v>
      </c>
      <c r="AC132" s="8">
        <v>0</v>
      </c>
      <c r="AD132" s="8">
        <v>0</v>
      </c>
      <c r="AE132" s="8">
        <v>0</v>
      </c>
      <c r="AF132" s="8">
        <v>22312.202000000001</v>
      </c>
      <c r="AG132" s="8">
        <v>0</v>
      </c>
      <c r="AH132" s="8">
        <v>0</v>
      </c>
      <c r="AI132" s="8">
        <v>141115.723</v>
      </c>
      <c r="AJ132" s="8">
        <v>25324.725999999999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L132" s="22"/>
    </row>
    <row r="133" spans="1:64" ht="15.75" x14ac:dyDescent="0.25">
      <c r="A133" s="22"/>
      <c r="B133" s="7" t="s">
        <v>253</v>
      </c>
      <c r="C133" s="7" t="s">
        <v>254</v>
      </c>
      <c r="D133" s="8">
        <v>6</v>
      </c>
      <c r="E133" s="8">
        <v>6</v>
      </c>
      <c r="F133" s="8">
        <v>278536.06800000003</v>
      </c>
      <c r="G133" s="8">
        <v>13669.197</v>
      </c>
      <c r="H133" s="8">
        <v>11723.279</v>
      </c>
      <c r="I133" s="8">
        <v>3821.4920000000002</v>
      </c>
      <c r="J133" s="8">
        <v>2061.3359999999998</v>
      </c>
      <c r="K133" s="8">
        <v>7541.7120000000004</v>
      </c>
      <c r="L133" s="8">
        <v>0</v>
      </c>
      <c r="M133" s="8">
        <v>323710.58199999999</v>
      </c>
      <c r="N133" s="8">
        <v>68879.877999999997</v>
      </c>
      <c r="O133" s="8">
        <v>0</v>
      </c>
      <c r="P133" s="8">
        <v>0</v>
      </c>
      <c r="Q133" s="8">
        <v>284.577</v>
      </c>
      <c r="R133" s="8">
        <v>0</v>
      </c>
      <c r="S133" s="8">
        <v>79.852000000000004</v>
      </c>
      <c r="T133" s="8">
        <v>3439.4569999999999</v>
      </c>
      <c r="U133" s="8">
        <v>0</v>
      </c>
      <c r="V133" s="8">
        <v>0</v>
      </c>
      <c r="W133" s="8">
        <v>1292.942</v>
      </c>
      <c r="X133" s="8">
        <v>3688.0030000000002</v>
      </c>
      <c r="Y133" s="8">
        <v>0</v>
      </c>
      <c r="Z133" s="8">
        <v>54858.688000000002</v>
      </c>
      <c r="AA133" s="8">
        <v>0</v>
      </c>
      <c r="AB133" s="8">
        <v>11388.42</v>
      </c>
      <c r="AC133" s="8">
        <v>0</v>
      </c>
      <c r="AD133" s="8">
        <v>1938.9349999999999</v>
      </c>
      <c r="AE133" s="8">
        <v>0</v>
      </c>
      <c r="AF133" s="8">
        <v>196927.989</v>
      </c>
      <c r="AG133" s="8">
        <v>12311.099</v>
      </c>
      <c r="AH133" s="8">
        <v>0</v>
      </c>
      <c r="AI133" s="8">
        <v>625510.79700000002</v>
      </c>
      <c r="AJ133" s="8">
        <v>15232.637000000001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33.521000000000001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L133" s="22"/>
    </row>
    <row r="134" spans="1:64" ht="15.75" x14ac:dyDescent="0.25">
      <c r="A134" s="22"/>
      <c r="B134" s="7" t="s">
        <v>255</v>
      </c>
      <c r="C134" s="7" t="s">
        <v>256</v>
      </c>
      <c r="D134" s="8">
        <v>6</v>
      </c>
      <c r="E134" s="8">
        <v>6</v>
      </c>
      <c r="F134" s="8">
        <v>16829.571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13014.99</v>
      </c>
      <c r="N134" s="8">
        <v>1526.886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2083.6120000000001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9170.9879999999994</v>
      </c>
      <c r="AG134" s="8">
        <v>1157.0989999999999</v>
      </c>
      <c r="AH134" s="8">
        <v>0</v>
      </c>
      <c r="AI134" s="8">
        <v>32866.894999999997</v>
      </c>
      <c r="AJ134" s="8">
        <v>3819.9549999999999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L134" s="22"/>
    </row>
    <row r="135" spans="1:64" ht="15.75" x14ac:dyDescent="0.25">
      <c r="A135" s="22"/>
      <c r="B135" s="7" t="s">
        <v>257</v>
      </c>
      <c r="C135" s="7" t="s">
        <v>258</v>
      </c>
      <c r="D135" s="8">
        <v>6</v>
      </c>
      <c r="E135" s="8">
        <v>6</v>
      </c>
      <c r="F135" s="8">
        <v>115818.898</v>
      </c>
      <c r="G135" s="8">
        <v>4879.4059999999999</v>
      </c>
      <c r="H135" s="8">
        <v>4543.9489999999996</v>
      </c>
      <c r="I135" s="8">
        <v>0</v>
      </c>
      <c r="J135" s="8">
        <v>807.31899999999996</v>
      </c>
      <c r="K135" s="8">
        <v>2762.1080000000002</v>
      </c>
      <c r="L135" s="8">
        <v>0</v>
      </c>
      <c r="M135" s="8">
        <v>107381.114</v>
      </c>
      <c r="N135" s="8">
        <v>35363.832000000002</v>
      </c>
      <c r="O135" s="8">
        <v>0</v>
      </c>
      <c r="P135" s="8">
        <v>0</v>
      </c>
      <c r="Q135" s="8">
        <v>128.83199999999999</v>
      </c>
      <c r="R135" s="8">
        <v>0</v>
      </c>
      <c r="S135" s="8">
        <v>1.6E-2</v>
      </c>
      <c r="T135" s="8">
        <v>0</v>
      </c>
      <c r="U135" s="8">
        <v>0</v>
      </c>
      <c r="V135" s="8">
        <v>0</v>
      </c>
      <c r="W135" s="8">
        <v>509.04899999999998</v>
      </c>
      <c r="X135" s="8">
        <v>1481.7570000000001</v>
      </c>
      <c r="Y135" s="8">
        <v>0</v>
      </c>
      <c r="Z135" s="8">
        <v>19840.12</v>
      </c>
      <c r="AA135" s="8">
        <v>0</v>
      </c>
      <c r="AB135" s="8">
        <v>4821.9949999999999</v>
      </c>
      <c r="AC135" s="8">
        <v>0</v>
      </c>
      <c r="AD135" s="8">
        <v>722.76099999999997</v>
      </c>
      <c r="AE135" s="8">
        <v>0</v>
      </c>
      <c r="AF135" s="8">
        <v>87132.180999999997</v>
      </c>
      <c r="AG135" s="8">
        <v>1354.048</v>
      </c>
      <c r="AH135" s="8">
        <v>0</v>
      </c>
      <c r="AI135" s="8">
        <v>260886.128</v>
      </c>
      <c r="AJ135" s="8">
        <v>1802.395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L135" s="22"/>
    </row>
    <row r="136" spans="1:64" ht="15.75" x14ac:dyDescent="0.25">
      <c r="A136" s="22"/>
      <c r="B136" s="7" t="s">
        <v>259</v>
      </c>
      <c r="C136" s="7" t="s">
        <v>260</v>
      </c>
      <c r="D136" s="8">
        <v>6</v>
      </c>
      <c r="E136" s="8">
        <v>6</v>
      </c>
      <c r="F136" s="8">
        <v>14319.517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31940.58</v>
      </c>
      <c r="N136" s="8">
        <v>2416.29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4927.9260000000004</v>
      </c>
      <c r="AG136" s="8">
        <v>0</v>
      </c>
      <c r="AH136" s="8">
        <v>0</v>
      </c>
      <c r="AI136" s="8">
        <v>55754.019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L136" s="22"/>
    </row>
    <row r="137" spans="1:64" ht="15.75" x14ac:dyDescent="0.25">
      <c r="A137" s="22"/>
      <c r="B137" s="7" t="s">
        <v>261</v>
      </c>
      <c r="C137" s="7" t="s">
        <v>262</v>
      </c>
      <c r="D137" s="8">
        <v>6</v>
      </c>
      <c r="E137" s="8">
        <v>6</v>
      </c>
      <c r="F137" s="8">
        <v>901925.15500000003</v>
      </c>
      <c r="G137" s="8">
        <v>14114.058000000001</v>
      </c>
      <c r="H137" s="8">
        <v>15133.629000000001</v>
      </c>
      <c r="I137" s="8">
        <v>542.45100000000002</v>
      </c>
      <c r="J137" s="8">
        <v>3219.52</v>
      </c>
      <c r="K137" s="8">
        <v>9054.2039999999997</v>
      </c>
      <c r="L137" s="8">
        <v>0</v>
      </c>
      <c r="M137" s="8">
        <v>852681.53099999996</v>
      </c>
      <c r="N137" s="8">
        <v>221512.33199999999</v>
      </c>
      <c r="O137" s="8">
        <v>0</v>
      </c>
      <c r="P137" s="8">
        <v>0</v>
      </c>
      <c r="Q137" s="8">
        <v>759.20500000000004</v>
      </c>
      <c r="R137" s="8">
        <v>0</v>
      </c>
      <c r="S137" s="8">
        <v>6.2E-2</v>
      </c>
      <c r="T137" s="8">
        <v>0</v>
      </c>
      <c r="U137" s="8">
        <v>0</v>
      </c>
      <c r="V137" s="8">
        <v>0</v>
      </c>
      <c r="W137" s="8">
        <v>1418.0039999999999</v>
      </c>
      <c r="X137" s="8">
        <v>4458.4110000000001</v>
      </c>
      <c r="Y137" s="8">
        <v>0</v>
      </c>
      <c r="Z137" s="8">
        <v>179826.97200000001</v>
      </c>
      <c r="AA137" s="8">
        <v>0</v>
      </c>
      <c r="AB137" s="8">
        <v>32259.678</v>
      </c>
      <c r="AC137" s="8">
        <v>0</v>
      </c>
      <c r="AD137" s="8">
        <v>2092.268</v>
      </c>
      <c r="AE137" s="8">
        <v>0</v>
      </c>
      <c r="AF137" s="8">
        <v>600024.61600000004</v>
      </c>
      <c r="AG137" s="8">
        <v>24040.761999999999</v>
      </c>
      <c r="AH137" s="8">
        <v>0</v>
      </c>
      <c r="AI137" s="8">
        <v>2049982.86</v>
      </c>
      <c r="AJ137" s="8">
        <v>69231.543999999994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59.826999999999998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L137" s="22"/>
    </row>
    <row r="138" spans="1:64" ht="15.75" x14ac:dyDescent="0.25">
      <c r="A138" s="22"/>
      <c r="B138" s="7" t="s">
        <v>263</v>
      </c>
      <c r="C138" s="7" t="s">
        <v>264</v>
      </c>
      <c r="D138" s="8">
        <v>4</v>
      </c>
      <c r="E138" s="8">
        <v>4</v>
      </c>
      <c r="F138" s="8">
        <v>4037.1489999999999</v>
      </c>
      <c r="G138" s="8">
        <v>650.89</v>
      </c>
      <c r="H138" s="8">
        <v>704.4</v>
      </c>
      <c r="I138" s="8">
        <v>1247.6400000000001</v>
      </c>
      <c r="J138" s="8">
        <v>65.816000000000003</v>
      </c>
      <c r="K138" s="8">
        <v>406.93900000000002</v>
      </c>
      <c r="L138" s="8">
        <v>0</v>
      </c>
      <c r="M138" s="8">
        <v>3479.85</v>
      </c>
      <c r="N138" s="8">
        <v>1511.2080000000001</v>
      </c>
      <c r="O138" s="8">
        <v>0</v>
      </c>
      <c r="P138" s="8">
        <v>0</v>
      </c>
      <c r="Q138" s="8">
        <v>0.10100000000000001</v>
      </c>
      <c r="R138" s="8">
        <v>0</v>
      </c>
      <c r="S138" s="8">
        <v>0</v>
      </c>
      <c r="T138" s="8">
        <v>269.60599999999999</v>
      </c>
      <c r="U138" s="8">
        <v>0</v>
      </c>
      <c r="V138" s="8">
        <v>0</v>
      </c>
      <c r="W138" s="8">
        <v>106.944</v>
      </c>
      <c r="X138" s="8">
        <v>165.739</v>
      </c>
      <c r="Y138" s="8">
        <v>0</v>
      </c>
      <c r="Z138" s="8">
        <v>990.01700000000005</v>
      </c>
      <c r="AA138" s="8">
        <v>0</v>
      </c>
      <c r="AB138" s="8">
        <v>900.86300000000006</v>
      </c>
      <c r="AC138" s="8">
        <v>0</v>
      </c>
      <c r="AD138" s="8">
        <v>112.61199999999999</v>
      </c>
      <c r="AE138" s="8">
        <v>0</v>
      </c>
      <c r="AF138" s="8">
        <v>1885.0809999999999</v>
      </c>
      <c r="AG138" s="8">
        <v>1536.356</v>
      </c>
      <c r="AH138" s="8">
        <v>0</v>
      </c>
      <c r="AI138" s="8">
        <v>6479.4809999999998</v>
      </c>
      <c r="AJ138" s="8">
        <v>2403.453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142.524</v>
      </c>
      <c r="AQ138" s="8">
        <v>0</v>
      </c>
      <c r="AR138" s="8">
        <v>618.28599999999994</v>
      </c>
      <c r="AS138" s="8">
        <v>0</v>
      </c>
      <c r="AT138" s="8">
        <v>2.4500000000000002</v>
      </c>
      <c r="AU138" s="8">
        <v>0</v>
      </c>
      <c r="AV138" s="8">
        <v>51.639000000000003</v>
      </c>
      <c r="AW138" s="8">
        <v>0</v>
      </c>
      <c r="AX138" s="8">
        <v>0</v>
      </c>
      <c r="AY138" s="8">
        <v>0</v>
      </c>
      <c r="AZ138" s="8">
        <v>145.464</v>
      </c>
      <c r="BA138" s="8">
        <v>1057.0830000000001</v>
      </c>
      <c r="BB138" s="8">
        <v>0</v>
      </c>
      <c r="BC138" s="8">
        <v>64.87</v>
      </c>
      <c r="BD138" s="8">
        <v>56.843000000000004</v>
      </c>
      <c r="BE138" s="8">
        <v>1374.09</v>
      </c>
      <c r="BF138" s="8">
        <v>18.899000000000001</v>
      </c>
      <c r="BG138" s="8">
        <v>475.21199999999999</v>
      </c>
      <c r="BH138" s="8">
        <v>0</v>
      </c>
      <c r="BI138" s="8">
        <v>19.687999999999999</v>
      </c>
      <c r="BL138" s="22"/>
    </row>
    <row r="139" spans="1:64" ht="15.75" x14ac:dyDescent="0.25">
      <c r="A139" s="22"/>
      <c r="B139" s="7" t="s">
        <v>265</v>
      </c>
      <c r="C139" s="7" t="s">
        <v>266</v>
      </c>
      <c r="D139" s="8">
        <v>6</v>
      </c>
      <c r="E139" s="8">
        <v>6</v>
      </c>
      <c r="F139" s="8">
        <v>3676.1460000000002</v>
      </c>
      <c r="G139" s="8">
        <v>0</v>
      </c>
      <c r="H139" s="8">
        <v>0</v>
      </c>
      <c r="I139" s="8">
        <v>1.0999999999999999E-2</v>
      </c>
      <c r="J139" s="8">
        <v>0</v>
      </c>
      <c r="K139" s="8">
        <v>0</v>
      </c>
      <c r="L139" s="8">
        <v>0</v>
      </c>
      <c r="M139" s="8">
        <v>5969.5680000000002</v>
      </c>
      <c r="N139" s="8">
        <v>1152.0999999999999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990.33399999999995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4211.96</v>
      </c>
      <c r="AG139" s="8">
        <v>6.0000000000000001E-3</v>
      </c>
      <c r="AH139" s="8">
        <v>0</v>
      </c>
      <c r="AI139" s="8">
        <v>13715.412</v>
      </c>
      <c r="AJ139" s="8">
        <v>8.9999999999999993E-3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L139" s="22"/>
    </row>
    <row r="140" spans="1:64" ht="15.75" x14ac:dyDescent="0.25">
      <c r="A140" s="22"/>
      <c r="B140" s="7" t="s">
        <v>267</v>
      </c>
      <c r="C140" s="7" t="s">
        <v>268</v>
      </c>
      <c r="D140" s="8">
        <v>4</v>
      </c>
      <c r="E140" s="8">
        <v>4</v>
      </c>
      <c r="F140" s="8">
        <v>3.7999999999999999E-2</v>
      </c>
      <c r="G140" s="8">
        <v>5.0000000000000001E-3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0.08</v>
      </c>
      <c r="N140" s="8">
        <v>3.0000000000000001E-3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1E-3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1.9E-2</v>
      </c>
      <c r="AA140" s="8">
        <v>0</v>
      </c>
      <c r="AB140" s="8">
        <v>3.0000000000000001E-3</v>
      </c>
      <c r="AC140" s="8">
        <v>0</v>
      </c>
      <c r="AD140" s="8">
        <v>0</v>
      </c>
      <c r="AE140" s="8">
        <v>0</v>
      </c>
      <c r="AF140" s="8">
        <v>5.5E-2</v>
      </c>
      <c r="AG140" s="8">
        <v>0.05</v>
      </c>
      <c r="AH140" s="8">
        <v>0</v>
      </c>
      <c r="AI140" s="8">
        <v>0.14099999999999999</v>
      </c>
      <c r="AJ140" s="8">
        <v>7.2999999999999995E-2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2E-3</v>
      </c>
      <c r="AQ140" s="8">
        <v>0</v>
      </c>
      <c r="AR140" s="8">
        <v>2.1000000000000001E-2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L140" s="22"/>
    </row>
    <row r="141" spans="1:64" ht="15.75" x14ac:dyDescent="0.25">
      <c r="A141" s="22"/>
      <c r="B141" s="7" t="s">
        <v>269</v>
      </c>
      <c r="C141" s="7" t="s">
        <v>270</v>
      </c>
      <c r="D141" s="8">
        <v>6</v>
      </c>
      <c r="E141" s="8">
        <v>6</v>
      </c>
      <c r="F141" s="8">
        <v>1302.0830000000001</v>
      </c>
      <c r="G141" s="8">
        <v>10.981999999999999</v>
      </c>
      <c r="H141" s="8">
        <v>15.388</v>
      </c>
      <c r="I141" s="8">
        <v>0</v>
      </c>
      <c r="J141" s="8">
        <v>2.6680000000000001</v>
      </c>
      <c r="K141" s="8">
        <v>9.3490000000000002</v>
      </c>
      <c r="L141" s="8">
        <v>0</v>
      </c>
      <c r="M141" s="8">
        <v>1945.68</v>
      </c>
      <c r="N141" s="8">
        <v>429.28500000000003</v>
      </c>
      <c r="O141" s="8">
        <v>0</v>
      </c>
      <c r="P141" s="8">
        <v>0</v>
      </c>
      <c r="Q141" s="8">
        <v>0.48099999999999998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1.5640000000000001</v>
      </c>
      <c r="X141" s="8">
        <v>4.7030000000000003</v>
      </c>
      <c r="Y141" s="8">
        <v>0</v>
      </c>
      <c r="Z141" s="8">
        <v>391.70699999999999</v>
      </c>
      <c r="AA141" s="8">
        <v>0</v>
      </c>
      <c r="AB141" s="8">
        <v>12.65</v>
      </c>
      <c r="AC141" s="8">
        <v>0</v>
      </c>
      <c r="AD141" s="8">
        <v>2.0150000000000001</v>
      </c>
      <c r="AE141" s="8">
        <v>0</v>
      </c>
      <c r="AF141" s="8">
        <v>1529.146</v>
      </c>
      <c r="AG141" s="8">
        <v>0</v>
      </c>
      <c r="AH141" s="8">
        <v>0</v>
      </c>
      <c r="AI141" s="8">
        <v>4117.8209999999999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L141" s="22"/>
    </row>
    <row r="142" spans="1:64" ht="15.75" x14ac:dyDescent="0.25">
      <c r="A142" s="22"/>
      <c r="B142" s="7" t="s">
        <v>271</v>
      </c>
      <c r="C142" s="7" t="s">
        <v>272</v>
      </c>
      <c r="D142" s="8">
        <v>4</v>
      </c>
      <c r="E142" s="8">
        <v>4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L142" s="22"/>
    </row>
    <row r="143" spans="1:64" ht="15.75" x14ac:dyDescent="0.25">
      <c r="A143" s="22"/>
      <c r="B143" s="7" t="s">
        <v>273</v>
      </c>
      <c r="C143" s="7" t="s">
        <v>274</v>
      </c>
      <c r="D143" s="8">
        <v>6</v>
      </c>
      <c r="E143" s="8">
        <v>6</v>
      </c>
      <c r="F143" s="8">
        <v>-1937.251</v>
      </c>
      <c r="G143" s="8">
        <v>-313.81</v>
      </c>
      <c r="H143" s="8">
        <v>0</v>
      </c>
      <c r="I143" s="8">
        <v>0</v>
      </c>
      <c r="J143" s="8">
        <v>-6.0270000000000001</v>
      </c>
      <c r="K143" s="8">
        <v>0</v>
      </c>
      <c r="L143" s="8">
        <v>0</v>
      </c>
      <c r="M143" s="8">
        <v>-3653.51</v>
      </c>
      <c r="N143" s="8">
        <v>-152.33099999999999</v>
      </c>
      <c r="O143" s="8">
        <v>0</v>
      </c>
      <c r="P143" s="8">
        <v>-105.93300000000001</v>
      </c>
      <c r="Q143" s="8">
        <v>-6.5000000000000002E-2</v>
      </c>
      <c r="R143" s="8">
        <v>-92.545000000000002</v>
      </c>
      <c r="S143" s="8">
        <v>0</v>
      </c>
      <c r="T143" s="8">
        <v>-103.764</v>
      </c>
      <c r="U143" s="8">
        <v>0</v>
      </c>
      <c r="V143" s="8">
        <v>0</v>
      </c>
      <c r="W143" s="8">
        <v>0</v>
      </c>
      <c r="X143" s="8">
        <v>-37.122</v>
      </c>
      <c r="Y143" s="8">
        <v>0</v>
      </c>
      <c r="Z143" s="8">
        <v>-747.41300000000001</v>
      </c>
      <c r="AA143" s="8">
        <v>0</v>
      </c>
      <c r="AB143" s="8">
        <v>-113.062</v>
      </c>
      <c r="AC143" s="8">
        <v>-7162.3220000000001</v>
      </c>
      <c r="AD143" s="8">
        <v>-65.680000000000007</v>
      </c>
      <c r="AE143" s="8">
        <v>0</v>
      </c>
      <c r="AF143" s="8">
        <v>-3051.1669999999999</v>
      </c>
      <c r="AG143" s="8">
        <v>-2350.4639999999999</v>
      </c>
      <c r="AH143" s="8">
        <v>0</v>
      </c>
      <c r="AI143" s="8">
        <v>-5832.8440000000001</v>
      </c>
      <c r="AJ143" s="8">
        <v>-3674.308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-77.622</v>
      </c>
      <c r="AQ143" s="8">
        <v>0</v>
      </c>
      <c r="AR143" s="8">
        <v>-946.49400000000003</v>
      </c>
      <c r="AS143" s="8">
        <v>0</v>
      </c>
      <c r="AT143" s="8">
        <v>-0.97799999999999998</v>
      </c>
      <c r="AU143" s="8">
        <v>0</v>
      </c>
      <c r="AV143" s="8">
        <v>-7.516</v>
      </c>
      <c r="AW143" s="8">
        <v>0</v>
      </c>
      <c r="AX143" s="8">
        <v>0</v>
      </c>
      <c r="AY143" s="8">
        <v>0</v>
      </c>
      <c r="AZ143" s="8">
        <v>-43.914000000000001</v>
      </c>
      <c r="BA143" s="8">
        <v>-1618.212</v>
      </c>
      <c r="BB143" s="8">
        <v>0</v>
      </c>
      <c r="BC143" s="8">
        <v>-34.335000000000001</v>
      </c>
      <c r="BD143" s="8">
        <v>0</v>
      </c>
      <c r="BE143" s="8">
        <v>-2103.4949999999999</v>
      </c>
      <c r="BF143" s="8">
        <v>-9.657</v>
      </c>
      <c r="BG143" s="8">
        <v>-727.46600000000001</v>
      </c>
      <c r="BH143" s="8">
        <v>0</v>
      </c>
      <c r="BI143" s="8">
        <v>0</v>
      </c>
      <c r="BL143" s="22"/>
    </row>
    <row r="144" spans="1:64" ht="15.75" x14ac:dyDescent="0.25">
      <c r="A144" s="22"/>
      <c r="B144" s="7" t="s">
        <v>275</v>
      </c>
      <c r="C144" s="7" t="s">
        <v>276</v>
      </c>
      <c r="D144" s="8">
        <v>6</v>
      </c>
      <c r="E144" s="8">
        <v>6</v>
      </c>
      <c r="F144" s="8">
        <v>44517.110999999997</v>
      </c>
      <c r="G144" s="8">
        <v>5158.0450000000001</v>
      </c>
      <c r="H144" s="8">
        <v>4513.7870000000003</v>
      </c>
      <c r="I144" s="8">
        <v>0</v>
      </c>
      <c r="J144" s="8">
        <v>442.86799999999999</v>
      </c>
      <c r="K144" s="8">
        <v>2772.3620000000001</v>
      </c>
      <c r="L144" s="8">
        <v>0</v>
      </c>
      <c r="M144" s="8">
        <v>55522.076000000001</v>
      </c>
      <c r="N144" s="8">
        <v>11689.334999999999</v>
      </c>
      <c r="O144" s="8">
        <v>0</v>
      </c>
      <c r="P144" s="8">
        <v>-65.429000000000002</v>
      </c>
      <c r="Q144" s="8">
        <v>26.664000000000001</v>
      </c>
      <c r="R144" s="8">
        <v>-10.26</v>
      </c>
      <c r="S144" s="8">
        <v>6.0049999999999999</v>
      </c>
      <c r="T144" s="8">
        <v>712.58699999999999</v>
      </c>
      <c r="U144" s="8">
        <v>0</v>
      </c>
      <c r="V144" s="8">
        <v>0</v>
      </c>
      <c r="W144" s="8">
        <v>463.517</v>
      </c>
      <c r="X144" s="8">
        <v>1168.8409999999999</v>
      </c>
      <c r="Y144" s="8">
        <v>2833.92</v>
      </c>
      <c r="Z144" s="8">
        <v>15066.065000000001</v>
      </c>
      <c r="AA144" s="8">
        <v>-370.66</v>
      </c>
      <c r="AB144" s="8">
        <v>5735.1480000000001</v>
      </c>
      <c r="AC144" s="8">
        <v>-1496.2829999999999</v>
      </c>
      <c r="AD144" s="8">
        <v>1025.444</v>
      </c>
      <c r="AE144" s="8">
        <v>-44.244999999999997</v>
      </c>
      <c r="AF144" s="8">
        <v>57823.696000000004</v>
      </c>
      <c r="AG144" s="8">
        <v>19402.066999999999</v>
      </c>
      <c r="AH144" s="8">
        <v>-235.62100000000001</v>
      </c>
      <c r="AI144" s="8">
        <v>196136.459</v>
      </c>
      <c r="AJ144" s="8">
        <v>29557.781999999999</v>
      </c>
      <c r="AK144" s="8">
        <v>-2039.546</v>
      </c>
      <c r="AL144" s="8">
        <v>-14988.616</v>
      </c>
      <c r="AM144" s="8">
        <v>-7629.4639999999999</v>
      </c>
      <c r="AN144" s="8">
        <v>0</v>
      </c>
      <c r="AO144" s="8">
        <v>-5047.3779999999997</v>
      </c>
      <c r="AP144" s="8">
        <v>992.52300000000002</v>
      </c>
      <c r="AQ144" s="8">
        <v>0</v>
      </c>
      <c r="AR144" s="8">
        <v>7951.018</v>
      </c>
      <c r="AS144" s="8">
        <v>0</v>
      </c>
      <c r="AT144" s="8">
        <v>13.775</v>
      </c>
      <c r="AU144" s="8">
        <v>0</v>
      </c>
      <c r="AV144" s="8">
        <v>103.952</v>
      </c>
      <c r="AW144" s="8">
        <v>0</v>
      </c>
      <c r="AX144" s="8">
        <v>0</v>
      </c>
      <c r="AY144" s="8">
        <v>3844.4589999999998</v>
      </c>
      <c r="AZ144" s="8">
        <v>245.02199999999999</v>
      </c>
      <c r="BA144" s="8">
        <v>-141.012</v>
      </c>
      <c r="BB144" s="8">
        <v>3105.4650000000001</v>
      </c>
      <c r="BC144" s="8">
        <v>477.94200000000001</v>
      </c>
      <c r="BD144" s="8">
        <v>121.501</v>
      </c>
      <c r="BE144" s="8">
        <v>318.45100000000002</v>
      </c>
      <c r="BF144" s="8">
        <v>140.929</v>
      </c>
      <c r="BG144" s="8">
        <v>57.915999999999997</v>
      </c>
      <c r="BH144" s="8">
        <v>-1064.463</v>
      </c>
      <c r="BI144" s="8">
        <v>44.901000000000003</v>
      </c>
      <c r="BL144" s="22"/>
    </row>
    <row r="145" spans="1:64" ht="15.75" x14ac:dyDescent="0.25">
      <c r="A145" s="22"/>
      <c r="B145" s="7" t="s">
        <v>277</v>
      </c>
      <c r="C145" s="7" t="s">
        <v>278</v>
      </c>
      <c r="D145" s="8">
        <v>6</v>
      </c>
      <c r="E145" s="8">
        <v>6</v>
      </c>
      <c r="F145" s="8">
        <v>9909.125</v>
      </c>
      <c r="G145" s="8">
        <v>695.84299999999996</v>
      </c>
      <c r="H145" s="8">
        <v>203.559</v>
      </c>
      <c r="I145" s="8">
        <v>0</v>
      </c>
      <c r="J145" s="8">
        <v>163.41800000000001</v>
      </c>
      <c r="K145" s="8">
        <v>211.71600000000001</v>
      </c>
      <c r="L145" s="8">
        <v>0</v>
      </c>
      <c r="M145" s="8">
        <v>12472.805</v>
      </c>
      <c r="N145" s="8">
        <v>1918.904</v>
      </c>
      <c r="O145" s="8">
        <v>0</v>
      </c>
      <c r="P145" s="8">
        <v>0</v>
      </c>
      <c r="Q145" s="8">
        <v>9.8620000000000001</v>
      </c>
      <c r="R145" s="8">
        <v>0</v>
      </c>
      <c r="S145" s="8">
        <v>4.0000000000000001E-3</v>
      </c>
      <c r="T145" s="8">
        <v>282.96300000000002</v>
      </c>
      <c r="U145" s="8">
        <v>0</v>
      </c>
      <c r="V145" s="8">
        <v>0</v>
      </c>
      <c r="W145" s="8">
        <v>94.944999999999993</v>
      </c>
      <c r="X145" s="8">
        <v>195.292</v>
      </c>
      <c r="Y145" s="8">
        <v>0</v>
      </c>
      <c r="Z145" s="8">
        <v>2418.7739999999999</v>
      </c>
      <c r="AA145" s="8">
        <v>0</v>
      </c>
      <c r="AB145" s="8">
        <v>1016.902</v>
      </c>
      <c r="AC145" s="8">
        <v>0</v>
      </c>
      <c r="AD145" s="8">
        <v>173.26599999999999</v>
      </c>
      <c r="AE145" s="8">
        <v>0</v>
      </c>
      <c r="AF145" s="8">
        <v>7873.94</v>
      </c>
      <c r="AG145" s="8">
        <v>1948.3150000000001</v>
      </c>
      <c r="AH145" s="8">
        <v>0</v>
      </c>
      <c r="AI145" s="8">
        <v>24641.975999999999</v>
      </c>
      <c r="AJ145" s="8">
        <v>2716.002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194.869</v>
      </c>
      <c r="AQ145" s="8">
        <v>0</v>
      </c>
      <c r="AR145" s="8">
        <v>763.76599999999996</v>
      </c>
      <c r="AS145" s="8">
        <v>0</v>
      </c>
      <c r="AT145" s="8">
        <v>0.63900000000000001</v>
      </c>
      <c r="AU145" s="8">
        <v>0</v>
      </c>
      <c r="AV145" s="8">
        <v>6.42</v>
      </c>
      <c r="AW145" s="8">
        <v>0</v>
      </c>
      <c r="AX145" s="8">
        <v>0</v>
      </c>
      <c r="AY145" s="8">
        <v>0</v>
      </c>
      <c r="AZ145" s="8">
        <v>-5.9560000000000004</v>
      </c>
      <c r="BA145" s="8">
        <v>16.209</v>
      </c>
      <c r="BB145" s="8">
        <v>0</v>
      </c>
      <c r="BC145" s="8">
        <v>96.548000000000002</v>
      </c>
      <c r="BD145" s="8">
        <v>-1.728</v>
      </c>
      <c r="BE145" s="8">
        <v>18.536000000000001</v>
      </c>
      <c r="BF145" s="8">
        <v>29.509</v>
      </c>
      <c r="BG145" s="8">
        <v>6.5279999999999996</v>
      </c>
      <c r="BH145" s="8">
        <v>0</v>
      </c>
      <c r="BI145" s="8">
        <v>-0.83299999999999996</v>
      </c>
      <c r="BL145" s="22"/>
    </row>
    <row r="146" spans="1:64" ht="15.75" x14ac:dyDescent="0.25">
      <c r="A146" s="22"/>
      <c r="B146" s="7" t="s">
        <v>279</v>
      </c>
      <c r="C146" s="7" t="s">
        <v>280</v>
      </c>
      <c r="D146" s="8">
        <v>6</v>
      </c>
      <c r="E146" s="8">
        <v>6</v>
      </c>
      <c r="F146" s="8">
        <v>884.50900000000001</v>
      </c>
      <c r="G146" s="8">
        <v>65.774000000000001</v>
      </c>
      <c r="H146" s="8">
        <v>157.65199999999999</v>
      </c>
      <c r="I146" s="8">
        <v>0</v>
      </c>
      <c r="J146" s="8">
        <v>19.713999999999999</v>
      </c>
      <c r="K146" s="8">
        <v>98.578999999999994</v>
      </c>
      <c r="L146" s="8">
        <v>0</v>
      </c>
      <c r="M146" s="8">
        <v>303.23</v>
      </c>
      <c r="N146" s="8">
        <v>234.62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20.364000000000001</v>
      </c>
      <c r="U146" s="8">
        <v>0</v>
      </c>
      <c r="V146" s="8">
        <v>0</v>
      </c>
      <c r="W146" s="8">
        <v>14.87</v>
      </c>
      <c r="X146" s="8">
        <v>20.707999999999998</v>
      </c>
      <c r="Y146" s="8">
        <v>0</v>
      </c>
      <c r="Z146" s="8">
        <v>195.214</v>
      </c>
      <c r="AA146" s="8">
        <v>0</v>
      </c>
      <c r="AB146" s="8">
        <v>204.55</v>
      </c>
      <c r="AC146" s="8">
        <v>0</v>
      </c>
      <c r="AD146" s="8">
        <v>8.9979999999999993</v>
      </c>
      <c r="AE146" s="8">
        <v>5.399</v>
      </c>
      <c r="AF146" s="8">
        <v>546.83500000000004</v>
      </c>
      <c r="AG146" s="8">
        <v>0</v>
      </c>
      <c r="AH146" s="8">
        <v>22.306999999999999</v>
      </c>
      <c r="AI146" s="8">
        <v>1066.346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14.571</v>
      </c>
      <c r="AQ146" s="8">
        <v>0</v>
      </c>
      <c r="AR146" s="8">
        <v>0</v>
      </c>
      <c r="AS146" s="8">
        <v>0</v>
      </c>
      <c r="AT146" s="8">
        <v>0.57099999999999995</v>
      </c>
      <c r="AU146" s="8">
        <v>0</v>
      </c>
      <c r="AV146" s="8">
        <v>10</v>
      </c>
      <c r="AW146" s="8">
        <v>0</v>
      </c>
      <c r="AX146" s="8">
        <v>0</v>
      </c>
      <c r="AY146" s="8">
        <v>0</v>
      </c>
      <c r="AZ146" s="8">
        <v>13.9</v>
      </c>
      <c r="BA146" s="8">
        <v>0</v>
      </c>
      <c r="BB146" s="8">
        <v>0</v>
      </c>
      <c r="BC146" s="8">
        <v>7.1680000000000001</v>
      </c>
      <c r="BD146" s="8">
        <v>5.7640000000000002</v>
      </c>
      <c r="BE146" s="8">
        <v>0</v>
      </c>
      <c r="BF146" s="8">
        <v>1.948</v>
      </c>
      <c r="BG146" s="8">
        <v>0</v>
      </c>
      <c r="BH146" s="8">
        <v>0</v>
      </c>
      <c r="BI146" s="8">
        <v>1.92</v>
      </c>
      <c r="BL146" s="22"/>
    </row>
    <row r="147" spans="1:64" ht="15.75" x14ac:dyDescent="0.25">
      <c r="A147" s="22"/>
      <c r="B147" s="7" t="s">
        <v>281</v>
      </c>
      <c r="C147" s="7" t="s">
        <v>282</v>
      </c>
      <c r="D147" s="8">
        <v>6</v>
      </c>
      <c r="E147" s="8">
        <v>6</v>
      </c>
      <c r="F147" s="8">
        <v>559.01400000000001</v>
      </c>
      <c r="G147" s="8">
        <v>41.756999999999998</v>
      </c>
      <c r="H147" s="8">
        <v>452.142</v>
      </c>
      <c r="I147" s="8">
        <v>0</v>
      </c>
      <c r="J147" s="8">
        <v>12.429</v>
      </c>
      <c r="K147" s="8">
        <v>332.96</v>
      </c>
      <c r="L147" s="8">
        <v>0</v>
      </c>
      <c r="M147" s="8">
        <v>339.59800000000001</v>
      </c>
      <c r="N147" s="8">
        <v>405.86399999999998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12.932</v>
      </c>
      <c r="U147" s="8">
        <v>0</v>
      </c>
      <c r="V147" s="8">
        <v>0</v>
      </c>
      <c r="W147" s="8">
        <v>9.3829999999999991</v>
      </c>
      <c r="X147" s="8">
        <v>13.173999999999999</v>
      </c>
      <c r="Y147" s="8">
        <v>0</v>
      </c>
      <c r="Z147" s="8">
        <v>124.60299999999999</v>
      </c>
      <c r="AA147" s="8">
        <v>0</v>
      </c>
      <c r="AB147" s="8">
        <v>128.11500000000001</v>
      </c>
      <c r="AC147" s="8">
        <v>0</v>
      </c>
      <c r="AD147" s="8">
        <v>5.7460000000000004</v>
      </c>
      <c r="AE147" s="8">
        <v>3.3650000000000002</v>
      </c>
      <c r="AF147" s="8">
        <v>511.29199999999997</v>
      </c>
      <c r="AG147" s="8">
        <v>0</v>
      </c>
      <c r="AH147" s="8">
        <v>13.897</v>
      </c>
      <c r="AI147" s="8">
        <v>682.02200000000005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9.157</v>
      </c>
      <c r="AQ147" s="8">
        <v>0</v>
      </c>
      <c r="AR147" s="8">
        <v>0</v>
      </c>
      <c r="AS147" s="8">
        <v>0</v>
      </c>
      <c r="AT147" s="8">
        <v>0.35499999999999998</v>
      </c>
      <c r="AU147" s="8">
        <v>0</v>
      </c>
      <c r="AV147" s="8">
        <v>6.24</v>
      </c>
      <c r="AW147" s="8">
        <v>0</v>
      </c>
      <c r="AX147" s="8">
        <v>0</v>
      </c>
      <c r="AY147" s="8">
        <v>0</v>
      </c>
      <c r="AZ147" s="8">
        <v>8.657</v>
      </c>
      <c r="BA147" s="8">
        <v>0</v>
      </c>
      <c r="BB147" s="8">
        <v>0</v>
      </c>
      <c r="BC147" s="8">
        <v>4.5039999999999996</v>
      </c>
      <c r="BD147" s="8">
        <v>3.59</v>
      </c>
      <c r="BE147" s="8">
        <v>0</v>
      </c>
      <c r="BF147" s="8">
        <v>1.2270000000000001</v>
      </c>
      <c r="BG147" s="8">
        <v>0</v>
      </c>
      <c r="BH147" s="8">
        <v>0</v>
      </c>
      <c r="BI147" s="8">
        <v>1.196</v>
      </c>
      <c r="BL147" s="22"/>
    </row>
    <row r="148" spans="1:64" ht="15.75" x14ac:dyDescent="0.25">
      <c r="A148" s="22"/>
      <c r="B148" s="7" t="s">
        <v>283</v>
      </c>
      <c r="C148" s="7" t="s">
        <v>284</v>
      </c>
      <c r="D148" s="8">
        <v>4</v>
      </c>
      <c r="E148" s="8">
        <v>4</v>
      </c>
      <c r="F148" s="8">
        <v>-400.20699999999999</v>
      </c>
      <c r="G148" s="8">
        <v>-342.87799999999999</v>
      </c>
      <c r="H148" s="8">
        <v>61.758000000000003</v>
      </c>
      <c r="I148" s="8">
        <v>0</v>
      </c>
      <c r="J148" s="8">
        <v>-1.7</v>
      </c>
      <c r="K148" s="8">
        <v>38.786999999999999</v>
      </c>
      <c r="L148" s="8">
        <v>0</v>
      </c>
      <c r="M148" s="8">
        <v>-4730.5450000000001</v>
      </c>
      <c r="N148" s="8">
        <v>-158.07599999999999</v>
      </c>
      <c r="O148" s="8">
        <v>0</v>
      </c>
      <c r="P148" s="8">
        <v>31.074999999999999</v>
      </c>
      <c r="Q148" s="8">
        <v>0</v>
      </c>
      <c r="R148" s="8">
        <v>11.131</v>
      </c>
      <c r="S148" s="8">
        <v>0</v>
      </c>
      <c r="T148" s="8">
        <v>-111.351</v>
      </c>
      <c r="U148" s="8">
        <v>0</v>
      </c>
      <c r="V148" s="8">
        <v>0</v>
      </c>
      <c r="W148" s="8">
        <v>5.8979999999999997</v>
      </c>
      <c r="X148" s="8">
        <v>-31.748000000000001</v>
      </c>
      <c r="Y148" s="8">
        <v>148.43899999999999</v>
      </c>
      <c r="Z148" s="8">
        <v>-998.08199999999999</v>
      </c>
      <c r="AA148" s="8">
        <v>-28.986999999999998</v>
      </c>
      <c r="AB148" s="8">
        <v>-160.215</v>
      </c>
      <c r="AC148" s="8">
        <v>841.74800000000005</v>
      </c>
      <c r="AD148" s="8">
        <v>-73.254999999999995</v>
      </c>
      <c r="AE148" s="8">
        <v>63.122999999999998</v>
      </c>
      <c r="AF148" s="8">
        <v>-2421.8150000000001</v>
      </c>
      <c r="AG148" s="8">
        <v>-2438.4</v>
      </c>
      <c r="AH148" s="8">
        <v>514.86199999999997</v>
      </c>
      <c r="AI148" s="8">
        <v>-6465.741</v>
      </c>
      <c r="AJ148" s="8">
        <v>-2427.34</v>
      </c>
      <c r="AK148" s="8">
        <v>-170.137</v>
      </c>
      <c r="AL148" s="8">
        <v>-4617.058</v>
      </c>
      <c r="AM148" s="8">
        <v>-2350.1610000000001</v>
      </c>
      <c r="AN148" s="8">
        <v>0</v>
      </c>
      <c r="AO148" s="8">
        <v>-1554.7819999999999</v>
      </c>
      <c r="AP148" s="8">
        <v>-124.42</v>
      </c>
      <c r="AQ148" s="8">
        <v>0</v>
      </c>
      <c r="AR148" s="8">
        <v>-1065.1610000000001</v>
      </c>
      <c r="AS148" s="8">
        <v>0</v>
      </c>
      <c r="AT148" s="8">
        <v>-1.0449999999999999</v>
      </c>
      <c r="AU148" s="8">
        <v>0</v>
      </c>
      <c r="AV148" s="8">
        <v>-4.0579999999999998</v>
      </c>
      <c r="AW148" s="8">
        <v>0</v>
      </c>
      <c r="AX148" s="8">
        <v>0</v>
      </c>
      <c r="AY148" s="8">
        <v>201.37100000000001</v>
      </c>
      <c r="AZ148" s="8">
        <v>5.3250000000000002</v>
      </c>
      <c r="BA148" s="8">
        <v>0</v>
      </c>
      <c r="BB148" s="8">
        <v>162.214</v>
      </c>
      <c r="BC148" s="8">
        <v>-57.558999999999997</v>
      </c>
      <c r="BD148" s="8">
        <v>2.2080000000000002</v>
      </c>
      <c r="BE148" s="8">
        <v>0</v>
      </c>
      <c r="BF148" s="8">
        <v>-17.277000000000001</v>
      </c>
      <c r="BG148" s="8">
        <v>0</v>
      </c>
      <c r="BH148" s="8">
        <v>-93.384</v>
      </c>
      <c r="BI148" s="8">
        <v>0.73599999999999999</v>
      </c>
      <c r="BL148" s="22"/>
    </row>
    <row r="149" spans="1:64" ht="15.75" x14ac:dyDescent="0.25">
      <c r="A149" s="22"/>
      <c r="B149" s="7" t="s">
        <v>285</v>
      </c>
      <c r="C149" s="7" t="s">
        <v>286</v>
      </c>
      <c r="D149" s="8">
        <v>6</v>
      </c>
      <c r="E149" s="8">
        <v>6</v>
      </c>
      <c r="F149" s="8">
        <v>5171.2049999999999</v>
      </c>
      <c r="G149" s="8">
        <v>726.56700000000001</v>
      </c>
      <c r="H149" s="8">
        <v>0</v>
      </c>
      <c r="I149" s="8">
        <v>0</v>
      </c>
      <c r="J149" s="8">
        <v>20.123000000000001</v>
      </c>
      <c r="K149" s="8">
        <v>0</v>
      </c>
      <c r="L149" s="8">
        <v>0</v>
      </c>
      <c r="M149" s="8">
        <v>11110.582</v>
      </c>
      <c r="N149" s="8">
        <v>314.83600000000001</v>
      </c>
      <c r="O149" s="8">
        <v>0</v>
      </c>
      <c r="P149" s="8">
        <v>293.21199999999999</v>
      </c>
      <c r="Q149" s="8">
        <v>0</v>
      </c>
      <c r="R149" s="8">
        <v>73.992000000000004</v>
      </c>
      <c r="S149" s="8">
        <v>0</v>
      </c>
      <c r="T149" s="8">
        <v>234.04300000000001</v>
      </c>
      <c r="U149" s="8">
        <v>0</v>
      </c>
      <c r="V149" s="8">
        <v>0</v>
      </c>
      <c r="W149" s="8">
        <v>0</v>
      </c>
      <c r="X149" s="8">
        <v>78.763000000000005</v>
      </c>
      <c r="Y149" s="8">
        <v>4264.4979999999996</v>
      </c>
      <c r="Z149" s="8">
        <v>2633.308</v>
      </c>
      <c r="AA149" s="8">
        <v>599.83600000000001</v>
      </c>
      <c r="AB149" s="8">
        <v>449.52499999999998</v>
      </c>
      <c r="AC149" s="8">
        <v>6192.482</v>
      </c>
      <c r="AD149" s="8">
        <v>149.029</v>
      </c>
      <c r="AE149" s="8">
        <v>411.86799999999999</v>
      </c>
      <c r="AF149" s="8">
        <v>7774.9089999999997</v>
      </c>
      <c r="AG149" s="8">
        <v>6945.616</v>
      </c>
      <c r="AH149" s="8">
        <v>3463.4839999999999</v>
      </c>
      <c r="AI149" s="8">
        <v>19560.370999999999</v>
      </c>
      <c r="AJ149" s="8">
        <v>10040.785</v>
      </c>
      <c r="AK149" s="8">
        <v>3128.4450000000002</v>
      </c>
      <c r="AL149" s="8">
        <v>544231.25699999998</v>
      </c>
      <c r="AM149" s="8">
        <v>277022.91100000002</v>
      </c>
      <c r="AN149" s="8">
        <v>0</v>
      </c>
      <c r="AO149" s="8">
        <v>183268.435</v>
      </c>
      <c r="AP149" s="8">
        <v>243.99199999999999</v>
      </c>
      <c r="AQ149" s="8">
        <v>0</v>
      </c>
      <c r="AR149" s="8">
        <v>2850.806</v>
      </c>
      <c r="AS149" s="8">
        <v>0</v>
      </c>
      <c r="AT149" s="8">
        <v>2.37</v>
      </c>
      <c r="AU149" s="8">
        <v>0</v>
      </c>
      <c r="AV149" s="8">
        <v>14.840999999999999</v>
      </c>
      <c r="AW149" s="8">
        <v>0</v>
      </c>
      <c r="AX149" s="8">
        <v>0</v>
      </c>
      <c r="AY149" s="8">
        <v>5785.165</v>
      </c>
      <c r="AZ149" s="8">
        <v>0</v>
      </c>
      <c r="BA149" s="8">
        <v>0</v>
      </c>
      <c r="BB149" s="8">
        <v>4660.241</v>
      </c>
      <c r="BC149" s="8">
        <v>113.18899999999999</v>
      </c>
      <c r="BD149" s="8">
        <v>0</v>
      </c>
      <c r="BE149" s="8">
        <v>0</v>
      </c>
      <c r="BF149" s="8">
        <v>33.835999999999999</v>
      </c>
      <c r="BG149" s="8">
        <v>0</v>
      </c>
      <c r="BH149" s="8">
        <v>1663.327</v>
      </c>
      <c r="BI149" s="8">
        <v>0</v>
      </c>
      <c r="BL149" s="22"/>
    </row>
    <row r="150" spans="1:64" ht="15.75" x14ac:dyDescent="0.25">
      <c r="A150" s="22"/>
      <c r="B150" s="7" t="s">
        <v>287</v>
      </c>
      <c r="C150" s="7" t="s">
        <v>288</v>
      </c>
      <c r="D150" s="8">
        <v>6</v>
      </c>
      <c r="E150" s="8">
        <v>6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L150" s="22"/>
    </row>
    <row r="151" spans="1:64" ht="15.75" x14ac:dyDescent="0.25">
      <c r="A151" s="22"/>
      <c r="B151" s="7" t="s">
        <v>289</v>
      </c>
      <c r="C151" s="7" t="s">
        <v>290</v>
      </c>
      <c r="D151" s="8">
        <v>6</v>
      </c>
      <c r="E151" s="8">
        <v>6</v>
      </c>
      <c r="F151" s="8">
        <v>40.002000000000002</v>
      </c>
      <c r="G151" s="8">
        <v>16.053000000000001</v>
      </c>
      <c r="H151" s="8">
        <v>5.9169999999999998</v>
      </c>
      <c r="I151" s="8">
        <v>0</v>
      </c>
      <c r="J151" s="8">
        <v>1.121</v>
      </c>
      <c r="K151" s="8">
        <v>12.632999999999999</v>
      </c>
      <c r="L151" s="8">
        <v>0</v>
      </c>
      <c r="M151" s="8">
        <v>53.962000000000003</v>
      </c>
      <c r="N151" s="8">
        <v>4.6849999999999996</v>
      </c>
      <c r="O151" s="8">
        <v>0</v>
      </c>
      <c r="P151" s="8">
        <v>0</v>
      </c>
      <c r="Q151" s="8">
        <v>0</v>
      </c>
      <c r="R151" s="8">
        <v>16.637</v>
      </c>
      <c r="S151" s="8">
        <v>21.088000000000001</v>
      </c>
      <c r="T151" s="8">
        <v>6.8769999999999998</v>
      </c>
      <c r="U151" s="8">
        <v>0</v>
      </c>
      <c r="V151" s="8">
        <v>0</v>
      </c>
      <c r="W151" s="8">
        <v>2.7010000000000001</v>
      </c>
      <c r="X151" s="8">
        <v>0.17299999999999999</v>
      </c>
      <c r="Y151" s="8">
        <v>0</v>
      </c>
      <c r="Z151" s="8">
        <v>6.6050000000000004</v>
      </c>
      <c r="AA151" s="8">
        <v>267.49700000000001</v>
      </c>
      <c r="AB151" s="8">
        <v>31.420999999999999</v>
      </c>
      <c r="AC151" s="8">
        <v>0</v>
      </c>
      <c r="AD151" s="8">
        <v>3.3</v>
      </c>
      <c r="AE151" s="8">
        <v>78.025999999999996</v>
      </c>
      <c r="AF151" s="8">
        <v>64.542000000000002</v>
      </c>
      <c r="AG151" s="8">
        <v>0.26900000000000002</v>
      </c>
      <c r="AH151" s="8">
        <v>293.63499999999999</v>
      </c>
      <c r="AI151" s="8">
        <v>116.277</v>
      </c>
      <c r="AJ151" s="8">
        <v>1E-3</v>
      </c>
      <c r="AK151" s="8">
        <v>1271.8389999999999</v>
      </c>
      <c r="AL151" s="8">
        <v>0</v>
      </c>
      <c r="AM151" s="8">
        <v>0</v>
      </c>
      <c r="AN151" s="8">
        <v>0</v>
      </c>
      <c r="AO151" s="8">
        <v>0</v>
      </c>
      <c r="AP151" s="8">
        <v>7.8929999999999998</v>
      </c>
      <c r="AQ151" s="8">
        <v>0</v>
      </c>
      <c r="AR151" s="8">
        <v>3.9E-2</v>
      </c>
      <c r="AS151" s="8">
        <v>0</v>
      </c>
      <c r="AT151" s="8">
        <v>2.4E-2</v>
      </c>
      <c r="AU151" s="8">
        <v>0</v>
      </c>
      <c r="AV151" s="8">
        <v>3.0000000000000001E-3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3.5950000000000002</v>
      </c>
      <c r="BD151" s="8">
        <v>0</v>
      </c>
      <c r="BE151" s="8">
        <v>0</v>
      </c>
      <c r="BF151" s="8">
        <v>1.0649999999999999</v>
      </c>
      <c r="BG151" s="8">
        <v>0</v>
      </c>
      <c r="BH151" s="8">
        <v>785.12300000000005</v>
      </c>
      <c r="BI151" s="8">
        <v>0</v>
      </c>
      <c r="BL151" s="22"/>
    </row>
    <row r="152" spans="1:64" ht="15.75" x14ac:dyDescent="0.25">
      <c r="A152" s="22"/>
      <c r="B152" s="7" t="s">
        <v>291</v>
      </c>
      <c r="C152" s="7" t="s">
        <v>292</v>
      </c>
      <c r="D152" s="8">
        <v>6</v>
      </c>
      <c r="E152" s="8">
        <v>6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L152" s="22"/>
    </row>
    <row r="153" spans="1:64" ht="15.75" x14ac:dyDescent="0.25">
      <c r="A153" s="22"/>
      <c r="B153" s="7" t="s">
        <v>293</v>
      </c>
      <c r="C153" s="7" t="s">
        <v>294</v>
      </c>
      <c r="D153" s="8">
        <v>4</v>
      </c>
      <c r="E153" s="8">
        <v>4</v>
      </c>
      <c r="F153" s="8">
        <v>6213.134</v>
      </c>
      <c r="G153" s="8">
        <v>1299.597</v>
      </c>
      <c r="H153" s="8">
        <v>0</v>
      </c>
      <c r="I153" s="8">
        <v>0</v>
      </c>
      <c r="J153" s="8">
        <v>24.965</v>
      </c>
      <c r="K153" s="8">
        <v>0</v>
      </c>
      <c r="L153" s="8">
        <v>0</v>
      </c>
      <c r="M153" s="8">
        <v>15129.144</v>
      </c>
      <c r="N153" s="8">
        <v>630.86400000000003</v>
      </c>
      <c r="O153" s="8">
        <v>0</v>
      </c>
      <c r="P153" s="8">
        <v>0</v>
      </c>
      <c r="Q153" s="8">
        <v>0.27100000000000002</v>
      </c>
      <c r="R153" s="8">
        <v>0</v>
      </c>
      <c r="S153" s="8">
        <v>0</v>
      </c>
      <c r="T153" s="8">
        <v>429.726</v>
      </c>
      <c r="U153" s="8">
        <v>0</v>
      </c>
      <c r="V153" s="8">
        <v>0</v>
      </c>
      <c r="W153" s="8">
        <v>0</v>
      </c>
      <c r="X153" s="8">
        <v>153.738</v>
      </c>
      <c r="Y153" s="8">
        <v>0</v>
      </c>
      <c r="Z153" s="8">
        <v>3095.288</v>
      </c>
      <c r="AA153" s="8">
        <v>0</v>
      </c>
      <c r="AB153" s="8">
        <v>468.23200000000003</v>
      </c>
      <c r="AC153" s="8">
        <v>0</v>
      </c>
      <c r="AD153" s="8">
        <v>272.00400000000002</v>
      </c>
      <c r="AE153" s="8">
        <v>0</v>
      </c>
      <c r="AF153" s="8">
        <v>8887.7430000000004</v>
      </c>
      <c r="AG153" s="8">
        <v>9734.0589999999993</v>
      </c>
      <c r="AH153" s="8">
        <v>0</v>
      </c>
      <c r="AI153" s="8">
        <v>24155.758999999998</v>
      </c>
      <c r="AJ153" s="8">
        <v>15216.540999999999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321.45600000000002</v>
      </c>
      <c r="AQ153" s="8">
        <v>0</v>
      </c>
      <c r="AR153" s="8">
        <v>3919.7429999999999</v>
      </c>
      <c r="AS153" s="8">
        <v>0</v>
      </c>
      <c r="AT153" s="8">
        <v>4.048</v>
      </c>
      <c r="AU153" s="8">
        <v>0</v>
      </c>
      <c r="AV153" s="8">
        <v>31.103000000000002</v>
      </c>
      <c r="AW153" s="8">
        <v>0</v>
      </c>
      <c r="AX153" s="8">
        <v>0</v>
      </c>
      <c r="AY153" s="8">
        <v>0</v>
      </c>
      <c r="AZ153" s="8">
        <v>181.85499999999999</v>
      </c>
      <c r="BA153" s="8">
        <v>6701.5550000000003</v>
      </c>
      <c r="BB153" s="8">
        <v>0</v>
      </c>
      <c r="BC153" s="8">
        <v>142.19499999999999</v>
      </c>
      <c r="BD153" s="8">
        <v>0</v>
      </c>
      <c r="BE153" s="8">
        <v>8711.2710000000006</v>
      </c>
      <c r="BF153" s="8">
        <v>40.002000000000002</v>
      </c>
      <c r="BG153" s="8">
        <v>3012.6869999999999</v>
      </c>
      <c r="BH153" s="8">
        <v>0</v>
      </c>
      <c r="BI153" s="8">
        <v>0</v>
      </c>
      <c r="BL153" s="22"/>
    </row>
    <row r="154" spans="1:64" ht="15.75" x14ac:dyDescent="0.25">
      <c r="A154" s="22"/>
      <c r="B154" s="7" t="s">
        <v>295</v>
      </c>
      <c r="C154" s="7" t="s">
        <v>296</v>
      </c>
      <c r="D154" s="8">
        <v>4</v>
      </c>
      <c r="E154" s="8">
        <v>4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L154" s="22"/>
    </row>
    <row r="155" spans="1:64" ht="15.75" x14ac:dyDescent="0.25">
      <c r="A155" s="22"/>
      <c r="B155" s="7" t="s">
        <v>297</v>
      </c>
      <c r="C155" s="7" t="s">
        <v>298</v>
      </c>
      <c r="D155" s="8">
        <v>4</v>
      </c>
      <c r="E155" s="8">
        <v>4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L155" s="22"/>
    </row>
    <row r="156" spans="1:64" ht="15.75" x14ac:dyDescent="0.25">
      <c r="A156" s="22"/>
      <c r="B156" s="7" t="s">
        <v>299</v>
      </c>
      <c r="C156" s="7" t="s">
        <v>300</v>
      </c>
      <c r="D156" s="8">
        <v>4</v>
      </c>
      <c r="E156" s="8">
        <v>4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L156" s="22"/>
    </row>
    <row r="157" spans="1:64" ht="15.75" x14ac:dyDescent="0.25">
      <c r="A157" s="22"/>
      <c r="B157" s="7" t="s">
        <v>301</v>
      </c>
      <c r="C157" s="7" t="s">
        <v>302</v>
      </c>
      <c r="D157" s="8">
        <v>4</v>
      </c>
      <c r="E157" s="8">
        <v>4</v>
      </c>
      <c r="F157" s="8">
        <v>-0.54300000000000004</v>
      </c>
      <c r="G157" s="8">
        <v>-0.113</v>
      </c>
      <c r="H157" s="8">
        <v>0</v>
      </c>
      <c r="I157" s="8">
        <v>0</v>
      </c>
      <c r="J157" s="8">
        <v>-2E-3</v>
      </c>
      <c r="K157" s="8">
        <v>0</v>
      </c>
      <c r="L157" s="8">
        <v>0</v>
      </c>
      <c r="M157" s="8">
        <v>-1.3220000000000001</v>
      </c>
      <c r="N157" s="8">
        <v>-5.3999999999999999E-2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-3.7999999999999999E-2</v>
      </c>
      <c r="U157" s="8">
        <v>0</v>
      </c>
      <c r="V157" s="8">
        <v>0</v>
      </c>
      <c r="W157" s="8">
        <v>0</v>
      </c>
      <c r="X157" s="8">
        <v>-1.4E-2</v>
      </c>
      <c r="Y157" s="8">
        <v>0</v>
      </c>
      <c r="Z157" s="8">
        <v>-0.27100000000000002</v>
      </c>
      <c r="AA157" s="8">
        <v>0</v>
      </c>
      <c r="AB157" s="8">
        <v>-4.1000000000000002E-2</v>
      </c>
      <c r="AC157" s="8">
        <v>0</v>
      </c>
      <c r="AD157" s="8">
        <v>-2.3E-2</v>
      </c>
      <c r="AE157" s="8">
        <v>0</v>
      </c>
      <c r="AF157" s="8">
        <v>-0.77600000000000002</v>
      </c>
      <c r="AG157" s="8">
        <v>-0.85</v>
      </c>
      <c r="AH157" s="8">
        <v>0</v>
      </c>
      <c r="AI157" s="8">
        <v>-2.1110000000000002</v>
      </c>
      <c r="AJ157" s="8">
        <v>-1.329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-2.9000000000000001E-2</v>
      </c>
      <c r="AQ157" s="8">
        <v>0</v>
      </c>
      <c r="AR157" s="8">
        <v>-0.34300000000000003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-1.6E-2</v>
      </c>
      <c r="BA157" s="8">
        <v>-0.58499999999999996</v>
      </c>
      <c r="BB157" s="8">
        <v>0</v>
      </c>
      <c r="BC157" s="8">
        <v>-1.2E-2</v>
      </c>
      <c r="BD157" s="8">
        <v>0</v>
      </c>
      <c r="BE157" s="8">
        <v>-0.76100000000000001</v>
      </c>
      <c r="BF157" s="8">
        <v>-3.0000000000000001E-3</v>
      </c>
      <c r="BG157" s="8">
        <v>-0.26300000000000001</v>
      </c>
      <c r="BH157" s="8">
        <v>0</v>
      </c>
      <c r="BI157" s="8">
        <v>0</v>
      </c>
      <c r="BL157" s="22"/>
    </row>
    <row r="158" spans="1:64" ht="15.75" x14ac:dyDescent="0.25">
      <c r="A158" s="22"/>
      <c r="B158" s="7" t="s">
        <v>303</v>
      </c>
      <c r="C158" s="7" t="s">
        <v>304</v>
      </c>
      <c r="D158" s="8">
        <v>4</v>
      </c>
      <c r="E158" s="8">
        <v>4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L158" s="22"/>
    </row>
    <row r="159" spans="1:64" ht="15.75" x14ac:dyDescent="0.25">
      <c r="A159" s="22"/>
      <c r="B159" s="7" t="s">
        <v>305</v>
      </c>
      <c r="C159" s="7" t="s">
        <v>306</v>
      </c>
      <c r="D159" s="8">
        <v>4</v>
      </c>
      <c r="E159" s="8">
        <v>4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L159" s="22"/>
    </row>
    <row r="160" spans="1:64" ht="15.75" x14ac:dyDescent="0.25">
      <c r="A160" s="22"/>
      <c r="B160" s="7" t="s">
        <v>307</v>
      </c>
      <c r="C160" s="7" t="s">
        <v>308</v>
      </c>
      <c r="D160" s="8">
        <v>4</v>
      </c>
      <c r="E160" s="8">
        <v>4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L160" s="22"/>
    </row>
    <row r="161" spans="1:64" ht="15.75" x14ac:dyDescent="0.25">
      <c r="A161" s="22"/>
      <c r="B161" s="7" t="s">
        <v>293</v>
      </c>
      <c r="C161" s="7" t="s">
        <v>309</v>
      </c>
      <c r="D161" s="8">
        <v>6</v>
      </c>
      <c r="E161" s="8">
        <v>6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L161" s="22"/>
    </row>
    <row r="162" spans="1:64" ht="15.75" x14ac:dyDescent="0.25">
      <c r="A162" s="22"/>
      <c r="B162" s="7" t="s">
        <v>310</v>
      </c>
      <c r="C162" s="7" t="s">
        <v>311</v>
      </c>
      <c r="D162" s="8">
        <v>6</v>
      </c>
      <c r="E162" s="8">
        <v>6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L162" s="22"/>
    </row>
    <row r="163" spans="1:64" ht="15.75" x14ac:dyDescent="0.25">
      <c r="A163" s="22"/>
      <c r="B163" s="7" t="s">
        <v>312</v>
      </c>
      <c r="C163" s="7" t="s">
        <v>313</v>
      </c>
      <c r="D163" s="8">
        <v>6</v>
      </c>
      <c r="E163" s="8">
        <v>6</v>
      </c>
      <c r="F163" s="8">
        <v>104.815</v>
      </c>
      <c r="G163" s="8">
        <v>13.191000000000001</v>
      </c>
      <c r="H163" s="8">
        <v>3.0230000000000001</v>
      </c>
      <c r="I163" s="8">
        <v>0</v>
      </c>
      <c r="J163" s="8">
        <v>0.83499999999999996</v>
      </c>
      <c r="K163" s="8">
        <v>2.2749999999999999</v>
      </c>
      <c r="L163" s="8">
        <v>0</v>
      </c>
      <c r="M163" s="8">
        <v>179.95400000000001</v>
      </c>
      <c r="N163" s="8">
        <v>10.484999999999999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4.22</v>
      </c>
      <c r="U163" s="8">
        <v>0</v>
      </c>
      <c r="V163" s="8">
        <v>0</v>
      </c>
      <c r="W163" s="8">
        <v>0.44800000000000001</v>
      </c>
      <c r="X163" s="8">
        <v>2.1440000000000001</v>
      </c>
      <c r="Y163" s="8">
        <v>0</v>
      </c>
      <c r="Z163" s="8">
        <v>48.372</v>
      </c>
      <c r="AA163" s="8">
        <v>0</v>
      </c>
      <c r="AB163" s="8">
        <v>8.9440000000000008</v>
      </c>
      <c r="AC163" s="8">
        <v>0</v>
      </c>
      <c r="AD163" s="8">
        <v>2.6190000000000002</v>
      </c>
      <c r="AE163" s="8">
        <v>0</v>
      </c>
      <c r="AF163" s="8">
        <v>144.667</v>
      </c>
      <c r="AG163" s="8">
        <v>97.793000000000006</v>
      </c>
      <c r="AH163" s="8">
        <v>0</v>
      </c>
      <c r="AI163" s="8">
        <v>342.32400000000001</v>
      </c>
      <c r="AJ163" s="8">
        <v>141.37100000000001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3.7370000000000001</v>
      </c>
      <c r="AQ163" s="8">
        <v>0</v>
      </c>
      <c r="AR163" s="8">
        <v>40.137999999999998</v>
      </c>
      <c r="AS163" s="8">
        <v>0</v>
      </c>
      <c r="AT163" s="8">
        <v>3.4000000000000002E-2</v>
      </c>
      <c r="AU163" s="8">
        <v>0</v>
      </c>
      <c r="AV163" s="8">
        <v>0.20599999999999999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1.74</v>
      </c>
      <c r="BD163" s="8">
        <v>0</v>
      </c>
      <c r="BE163" s="8">
        <v>0</v>
      </c>
      <c r="BF163" s="8">
        <v>0.53100000000000003</v>
      </c>
      <c r="BG163" s="8">
        <v>0</v>
      </c>
      <c r="BH163" s="8">
        <v>0</v>
      </c>
      <c r="BI163" s="8">
        <v>0</v>
      </c>
      <c r="BL163" s="22"/>
    </row>
    <row r="164" spans="1:64" ht="15.75" x14ac:dyDescent="0.25">
      <c r="A164" s="22"/>
      <c r="B164" s="7" t="s">
        <v>297</v>
      </c>
      <c r="C164" s="7" t="s">
        <v>314</v>
      </c>
      <c r="D164" s="8">
        <v>6</v>
      </c>
      <c r="E164" s="8">
        <v>6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L164" s="22"/>
    </row>
    <row r="165" spans="1:64" ht="15.75" x14ac:dyDescent="0.25">
      <c r="A165" s="22"/>
      <c r="B165" s="7" t="s">
        <v>299</v>
      </c>
      <c r="C165" s="7" t="s">
        <v>315</v>
      </c>
      <c r="D165" s="8">
        <v>6</v>
      </c>
      <c r="E165" s="8">
        <v>6</v>
      </c>
      <c r="F165" s="8">
        <v>1352.6890000000001</v>
      </c>
      <c r="G165" s="8">
        <v>118.27</v>
      </c>
      <c r="H165" s="8">
        <v>165.726</v>
      </c>
      <c r="I165" s="8">
        <v>3168.5880000000002</v>
      </c>
      <c r="J165" s="8">
        <v>28.734999999999999</v>
      </c>
      <c r="K165" s="8">
        <v>100.688</v>
      </c>
      <c r="L165" s="8">
        <v>0</v>
      </c>
      <c r="M165" s="8">
        <v>967.351</v>
      </c>
      <c r="N165" s="8">
        <v>447.41</v>
      </c>
      <c r="O165" s="8">
        <v>0</v>
      </c>
      <c r="P165" s="8">
        <v>0</v>
      </c>
      <c r="Q165" s="8">
        <v>5.1790000000000003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16.844000000000001</v>
      </c>
      <c r="X165" s="8">
        <v>50.652999999999999</v>
      </c>
      <c r="Y165" s="8">
        <v>0</v>
      </c>
      <c r="Z165" s="8">
        <v>399.61500000000001</v>
      </c>
      <c r="AA165" s="8">
        <v>0</v>
      </c>
      <c r="AB165" s="8">
        <v>136.23599999999999</v>
      </c>
      <c r="AC165" s="8">
        <v>0</v>
      </c>
      <c r="AD165" s="8">
        <v>21.699000000000002</v>
      </c>
      <c r="AE165" s="8">
        <v>0</v>
      </c>
      <c r="AF165" s="8">
        <v>1299.711</v>
      </c>
      <c r="AG165" s="8">
        <v>0</v>
      </c>
      <c r="AH165" s="8">
        <v>0</v>
      </c>
      <c r="AI165" s="8">
        <v>2838.886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L165" s="22"/>
    </row>
    <row r="166" spans="1:64" ht="15.75" x14ac:dyDescent="0.25">
      <c r="A166" s="22"/>
      <c r="B166" s="7" t="s">
        <v>301</v>
      </c>
      <c r="C166" s="7" t="s">
        <v>316</v>
      </c>
      <c r="D166" s="8">
        <v>6</v>
      </c>
      <c r="E166" s="8">
        <v>6</v>
      </c>
      <c r="F166" s="8">
        <v>582.98199999999997</v>
      </c>
      <c r="G166" s="8">
        <v>119.724</v>
      </c>
      <c r="H166" s="8">
        <v>8.0670000000000002</v>
      </c>
      <c r="I166" s="8">
        <v>0</v>
      </c>
      <c r="J166" s="8">
        <v>2.9119999999999999</v>
      </c>
      <c r="K166" s="8">
        <v>4.6609999999999996</v>
      </c>
      <c r="L166" s="8">
        <v>0</v>
      </c>
      <c r="M166" s="8">
        <v>1346.8420000000001</v>
      </c>
      <c r="N166" s="8">
        <v>71.807000000000002</v>
      </c>
      <c r="O166" s="8">
        <v>0</v>
      </c>
      <c r="P166" s="8">
        <v>0</v>
      </c>
      <c r="Q166" s="8">
        <v>2.5000000000000001E-2</v>
      </c>
      <c r="R166" s="8">
        <v>0</v>
      </c>
      <c r="S166" s="8">
        <v>0</v>
      </c>
      <c r="T166" s="8">
        <v>40.21</v>
      </c>
      <c r="U166" s="8">
        <v>0</v>
      </c>
      <c r="V166" s="8">
        <v>0</v>
      </c>
      <c r="W166" s="8">
        <v>1.2250000000000001</v>
      </c>
      <c r="X166" s="8">
        <v>15.179</v>
      </c>
      <c r="Y166" s="8">
        <v>0</v>
      </c>
      <c r="Z166" s="8">
        <v>278.73700000000002</v>
      </c>
      <c r="AA166" s="8">
        <v>0</v>
      </c>
      <c r="AB166" s="8">
        <v>50.768999999999998</v>
      </c>
      <c r="AC166" s="8">
        <v>0</v>
      </c>
      <c r="AD166" s="8">
        <v>24.786000000000001</v>
      </c>
      <c r="AE166" s="8">
        <v>0</v>
      </c>
      <c r="AF166" s="8">
        <v>789.39200000000005</v>
      </c>
      <c r="AG166" s="8">
        <v>858.49900000000002</v>
      </c>
      <c r="AH166" s="8">
        <v>0</v>
      </c>
      <c r="AI166" s="8">
        <v>2160.9949999999999</v>
      </c>
      <c r="AJ166" s="8">
        <v>1342.029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29.402000000000001</v>
      </c>
      <c r="AQ166" s="8">
        <v>0</v>
      </c>
      <c r="AR166" s="8">
        <v>345.70400000000001</v>
      </c>
      <c r="AS166" s="8">
        <v>0</v>
      </c>
      <c r="AT166" s="8">
        <v>0.377</v>
      </c>
      <c r="AU166" s="8">
        <v>0</v>
      </c>
      <c r="AV166" s="8">
        <v>3.266</v>
      </c>
      <c r="AW166" s="8">
        <v>0</v>
      </c>
      <c r="AX166" s="8">
        <v>0</v>
      </c>
      <c r="AY166" s="8">
        <v>0</v>
      </c>
      <c r="AZ166" s="8">
        <v>17.376000000000001</v>
      </c>
      <c r="BA166" s="8">
        <v>591.04499999999996</v>
      </c>
      <c r="BB166" s="8">
        <v>0</v>
      </c>
      <c r="BC166" s="8">
        <v>13.026999999999999</v>
      </c>
      <c r="BD166" s="8">
        <v>0.65100000000000002</v>
      </c>
      <c r="BE166" s="8">
        <v>768.29300000000001</v>
      </c>
      <c r="BF166" s="8">
        <v>3.6720000000000002</v>
      </c>
      <c r="BG166" s="8">
        <v>265.70600000000002</v>
      </c>
      <c r="BH166" s="8">
        <v>0</v>
      </c>
      <c r="BI166" s="8">
        <v>0.22600000000000001</v>
      </c>
      <c r="BL166" s="22"/>
    </row>
    <row r="167" spans="1:64" ht="15.75" x14ac:dyDescent="0.25">
      <c r="A167" s="22"/>
      <c r="B167" s="7" t="s">
        <v>317</v>
      </c>
      <c r="C167" s="7" t="s">
        <v>318</v>
      </c>
      <c r="D167" s="8">
        <v>6</v>
      </c>
      <c r="E167" s="8">
        <v>6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L167" s="22"/>
    </row>
    <row r="168" spans="1:64" ht="15.75" x14ac:dyDescent="0.25">
      <c r="A168" s="22"/>
      <c r="B168" s="7" t="s">
        <v>319</v>
      </c>
      <c r="C168" s="7" t="s">
        <v>320</v>
      </c>
      <c r="D168" s="8">
        <v>6</v>
      </c>
      <c r="E168" s="8">
        <v>6</v>
      </c>
      <c r="F168" s="8">
        <v>-246.40700000000001</v>
      </c>
      <c r="G168" s="8">
        <v>-30.599</v>
      </c>
      <c r="H168" s="8">
        <v>-8.1519999999999992</v>
      </c>
      <c r="I168" s="8">
        <v>0</v>
      </c>
      <c r="J168" s="8">
        <v>-2.1120000000000001</v>
      </c>
      <c r="K168" s="8">
        <v>-6.1340000000000003</v>
      </c>
      <c r="L168" s="8">
        <v>0</v>
      </c>
      <c r="M168" s="8">
        <v>-409.25700000000001</v>
      </c>
      <c r="N168" s="8">
        <v>-26.116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-9.7769999999999992</v>
      </c>
      <c r="U168" s="8">
        <v>0</v>
      </c>
      <c r="V168" s="8">
        <v>0</v>
      </c>
      <c r="W168" s="8">
        <v>-1.2070000000000001</v>
      </c>
      <c r="X168" s="8">
        <v>-5.2430000000000003</v>
      </c>
      <c r="Y168" s="8">
        <v>0</v>
      </c>
      <c r="Z168" s="8">
        <v>-112.42</v>
      </c>
      <c r="AA168" s="8">
        <v>0</v>
      </c>
      <c r="AB168" s="8">
        <v>-21.041</v>
      </c>
      <c r="AC168" s="8">
        <v>0</v>
      </c>
      <c r="AD168" s="8">
        <v>-6.0439999999999996</v>
      </c>
      <c r="AE168" s="8">
        <v>0</v>
      </c>
      <c r="AF168" s="8">
        <v>-338.36099999999999</v>
      </c>
      <c r="AG168" s="8">
        <v>-216.19499999999999</v>
      </c>
      <c r="AH168" s="8">
        <v>0</v>
      </c>
      <c r="AI168" s="8">
        <v>-789.28300000000002</v>
      </c>
      <c r="AJ168" s="8">
        <v>-312.53800000000001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-8.4060000000000006</v>
      </c>
      <c r="AQ168" s="8">
        <v>0</v>
      </c>
      <c r="AR168" s="8">
        <v>-88.736999999999995</v>
      </c>
      <c r="AS168" s="8">
        <v>0</v>
      </c>
      <c r="AT168" s="8">
        <v>-7.6999999999999999E-2</v>
      </c>
      <c r="AU168" s="8">
        <v>0</v>
      </c>
      <c r="AV168" s="8">
        <v>-0.46300000000000002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-3.9180000000000001</v>
      </c>
      <c r="BD168" s="8">
        <v>0</v>
      </c>
      <c r="BE168" s="8">
        <v>0</v>
      </c>
      <c r="BF168" s="8">
        <v>-1.198</v>
      </c>
      <c r="BG168" s="8">
        <v>0</v>
      </c>
      <c r="BH168" s="8">
        <v>0</v>
      </c>
      <c r="BI168" s="8">
        <v>0</v>
      </c>
      <c r="BL168" s="22"/>
    </row>
    <row r="169" spans="1:64" ht="15.75" x14ac:dyDescent="0.25">
      <c r="A169" s="22"/>
      <c r="B169" s="7" t="s">
        <v>305</v>
      </c>
      <c r="C169" s="7" t="s">
        <v>321</v>
      </c>
      <c r="D169" s="8">
        <v>6</v>
      </c>
      <c r="E169" s="8">
        <v>6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L169" s="22"/>
    </row>
    <row r="170" spans="1:64" ht="15.75" x14ac:dyDescent="0.25">
      <c r="A170" s="22"/>
      <c r="B170" s="7" t="s">
        <v>307</v>
      </c>
      <c r="C170" s="7" t="s">
        <v>322</v>
      </c>
      <c r="D170" s="8">
        <v>6</v>
      </c>
      <c r="E170" s="8">
        <v>6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L170" s="22"/>
    </row>
    <row r="171" spans="1:64" ht="15.75" x14ac:dyDescent="0.25">
      <c r="A171" s="22"/>
      <c r="B171" s="7" t="s">
        <v>323</v>
      </c>
      <c r="C171" s="7" t="s">
        <v>324</v>
      </c>
      <c r="D171" s="8">
        <v>4</v>
      </c>
      <c r="E171" s="8">
        <v>4</v>
      </c>
      <c r="F171" s="8">
        <v>1925.3140000000001</v>
      </c>
      <c r="G171" s="8">
        <v>27.942</v>
      </c>
      <c r="H171" s="8">
        <v>0</v>
      </c>
      <c r="I171" s="8">
        <v>0</v>
      </c>
      <c r="J171" s="8">
        <v>1.0409999999999999</v>
      </c>
      <c r="K171" s="8">
        <v>0</v>
      </c>
      <c r="L171" s="8">
        <v>0</v>
      </c>
      <c r="M171" s="8">
        <v>3036.6060000000002</v>
      </c>
      <c r="N171" s="8">
        <v>1000.27</v>
      </c>
      <c r="O171" s="8">
        <v>0</v>
      </c>
      <c r="P171" s="8">
        <v>0</v>
      </c>
      <c r="Q171" s="8">
        <v>4.0000000000000001E-3</v>
      </c>
      <c r="R171" s="8">
        <v>0</v>
      </c>
      <c r="S171" s="8">
        <v>0</v>
      </c>
      <c r="T171" s="8">
        <v>8.8260000000000005</v>
      </c>
      <c r="U171" s="8">
        <v>0</v>
      </c>
      <c r="V171" s="8">
        <v>0</v>
      </c>
      <c r="W171" s="8">
        <v>0</v>
      </c>
      <c r="X171" s="8">
        <v>3.153</v>
      </c>
      <c r="Y171" s="8">
        <v>0</v>
      </c>
      <c r="Z171" s="8">
        <v>342.54500000000002</v>
      </c>
      <c r="AA171" s="8">
        <v>0</v>
      </c>
      <c r="AB171" s="8">
        <v>6.351</v>
      </c>
      <c r="AC171" s="8">
        <v>0</v>
      </c>
      <c r="AD171" s="8">
        <v>5.1440000000000001</v>
      </c>
      <c r="AE171" s="8">
        <v>0</v>
      </c>
      <c r="AF171" s="8">
        <v>120.61199999999999</v>
      </c>
      <c r="AG171" s="8">
        <v>153.476</v>
      </c>
      <c r="AH171" s="8">
        <v>0</v>
      </c>
      <c r="AI171" s="8">
        <v>4805.8969999999999</v>
      </c>
      <c r="AJ171" s="8">
        <v>242.84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4.3600000000000003</v>
      </c>
      <c r="AQ171" s="8">
        <v>0</v>
      </c>
      <c r="AR171" s="8">
        <v>55.829000000000001</v>
      </c>
      <c r="AS171" s="8">
        <v>0</v>
      </c>
      <c r="AT171" s="8">
        <v>5.5E-2</v>
      </c>
      <c r="AU171" s="8">
        <v>0</v>
      </c>
      <c r="AV171" s="8">
        <v>0.42399999999999999</v>
      </c>
      <c r="AW171" s="8">
        <v>0</v>
      </c>
      <c r="AX171" s="8">
        <v>0</v>
      </c>
      <c r="AY171" s="8">
        <v>0</v>
      </c>
      <c r="AZ171" s="8">
        <v>2.4670000000000001</v>
      </c>
      <c r="BA171" s="8">
        <v>90.906999999999996</v>
      </c>
      <c r="BB171" s="8">
        <v>0</v>
      </c>
      <c r="BC171" s="8">
        <v>1.929</v>
      </c>
      <c r="BD171" s="8">
        <v>0</v>
      </c>
      <c r="BE171" s="8">
        <v>118.169</v>
      </c>
      <c r="BF171" s="8">
        <v>0.54300000000000004</v>
      </c>
      <c r="BG171" s="8">
        <v>40.866999999999997</v>
      </c>
      <c r="BH171" s="8">
        <v>0</v>
      </c>
      <c r="BI171" s="8">
        <v>0</v>
      </c>
      <c r="BL171" s="22"/>
    </row>
    <row r="172" spans="1:64" ht="15.75" x14ac:dyDescent="0.25">
      <c r="A172" s="22"/>
      <c r="B172" s="7" t="s">
        <v>325</v>
      </c>
      <c r="C172" s="7" t="s">
        <v>326</v>
      </c>
      <c r="D172" s="8">
        <v>4</v>
      </c>
      <c r="E172" s="8">
        <v>4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L172" s="22"/>
    </row>
    <row r="173" spans="1:64" ht="15.75" x14ac:dyDescent="0.25">
      <c r="A173" s="22"/>
      <c r="B173" s="7" t="s">
        <v>327</v>
      </c>
      <c r="C173" s="7" t="s">
        <v>328</v>
      </c>
      <c r="D173" s="8">
        <v>4</v>
      </c>
      <c r="E173" s="8">
        <v>4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L173" s="22"/>
    </row>
    <row r="174" spans="1:64" ht="15.75" x14ac:dyDescent="0.25">
      <c r="A174" s="22"/>
      <c r="B174" s="7" t="s">
        <v>329</v>
      </c>
      <c r="C174" s="7" t="s">
        <v>330</v>
      </c>
      <c r="D174" s="8">
        <v>4</v>
      </c>
      <c r="E174" s="8">
        <v>4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L174" s="22"/>
    </row>
    <row r="175" spans="1:64" ht="15.75" x14ac:dyDescent="0.25">
      <c r="A175" s="22"/>
      <c r="B175" s="7" t="s">
        <v>331</v>
      </c>
      <c r="C175" s="7" t="s">
        <v>332</v>
      </c>
      <c r="D175" s="8">
        <v>4</v>
      </c>
      <c r="E175" s="8">
        <v>4</v>
      </c>
      <c r="F175" s="8">
        <v>-222.52500000000001</v>
      </c>
      <c r="G175" s="8">
        <v>-16.751999999999999</v>
      </c>
      <c r="H175" s="8">
        <v>-38.981000000000002</v>
      </c>
      <c r="I175" s="8">
        <v>0</v>
      </c>
      <c r="J175" s="8">
        <v>-4.9249999999999998</v>
      </c>
      <c r="K175" s="8">
        <v>-24.484999999999999</v>
      </c>
      <c r="L175" s="8">
        <v>0</v>
      </c>
      <c r="M175" s="8">
        <v>-80.070999999999998</v>
      </c>
      <c r="N175" s="8">
        <v>-58.457999999999998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-5.1879999999999997</v>
      </c>
      <c r="U175" s="8">
        <v>0</v>
      </c>
      <c r="V175" s="8">
        <v>0</v>
      </c>
      <c r="W175" s="8">
        <v>-3.7240000000000002</v>
      </c>
      <c r="X175" s="8">
        <v>-5.3040000000000003</v>
      </c>
      <c r="Y175" s="8">
        <v>0</v>
      </c>
      <c r="Z175" s="8">
        <v>-50.441000000000003</v>
      </c>
      <c r="AA175" s="8">
        <v>0</v>
      </c>
      <c r="AB175" s="8">
        <v>-50.201000000000001</v>
      </c>
      <c r="AC175" s="8">
        <v>0</v>
      </c>
      <c r="AD175" s="8">
        <v>-2.3250000000000002</v>
      </c>
      <c r="AE175" s="8">
        <v>-1.3049999999999999</v>
      </c>
      <c r="AF175" s="8">
        <v>-143.18</v>
      </c>
      <c r="AG175" s="8">
        <v>0</v>
      </c>
      <c r="AH175" s="8">
        <v>-5.3929999999999998</v>
      </c>
      <c r="AI175" s="8">
        <v>-277.03500000000003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-3.609</v>
      </c>
      <c r="AQ175" s="8">
        <v>0</v>
      </c>
      <c r="AR175" s="8">
        <v>0</v>
      </c>
      <c r="AS175" s="8">
        <v>0</v>
      </c>
      <c r="AT175" s="8">
        <v>-0.13800000000000001</v>
      </c>
      <c r="AU175" s="8">
        <v>0</v>
      </c>
      <c r="AV175" s="8">
        <v>-2.4220000000000002</v>
      </c>
      <c r="AW175" s="8">
        <v>0</v>
      </c>
      <c r="AX175" s="8">
        <v>0</v>
      </c>
      <c r="AY175" s="8">
        <v>0</v>
      </c>
      <c r="AZ175" s="8">
        <v>-3.359</v>
      </c>
      <c r="BA175" s="8">
        <v>0</v>
      </c>
      <c r="BB175" s="8">
        <v>0</v>
      </c>
      <c r="BC175" s="8">
        <v>-1.7749999999999999</v>
      </c>
      <c r="BD175" s="8">
        <v>-1.393</v>
      </c>
      <c r="BE175" s="8">
        <v>0</v>
      </c>
      <c r="BF175" s="8">
        <v>-0.48699999999999999</v>
      </c>
      <c r="BG175" s="8">
        <v>0</v>
      </c>
      <c r="BH175" s="8">
        <v>0</v>
      </c>
      <c r="BI175" s="8">
        <v>-0.46400000000000002</v>
      </c>
      <c r="BL175" s="22"/>
    </row>
    <row r="176" spans="1:64" ht="15.75" x14ac:dyDescent="0.25">
      <c r="A176" s="22"/>
      <c r="B176" s="7" t="s">
        <v>333</v>
      </c>
      <c r="C176" s="7" t="s">
        <v>334</v>
      </c>
      <c r="D176" s="8">
        <v>4</v>
      </c>
      <c r="E176" s="8">
        <v>4</v>
      </c>
      <c r="F176" s="8">
        <v>-874.10199999999998</v>
      </c>
      <c r="G176" s="8">
        <v>-34.369999999999997</v>
      </c>
      <c r="H176" s="8">
        <v>0</v>
      </c>
      <c r="I176" s="8">
        <v>0</v>
      </c>
      <c r="J176" s="8">
        <v>-2.3330000000000002</v>
      </c>
      <c r="K176" s="8">
        <v>0</v>
      </c>
      <c r="L176" s="8">
        <v>0</v>
      </c>
      <c r="M176" s="8">
        <v>-1347.0070000000001</v>
      </c>
      <c r="N176" s="8">
        <v>-513.26099999999997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-9.9890000000000008</v>
      </c>
      <c r="U176" s="8">
        <v>0</v>
      </c>
      <c r="V176" s="8">
        <v>0</v>
      </c>
      <c r="W176" s="8">
        <v>0</v>
      </c>
      <c r="X176" s="8">
        <v>-3.5470000000000002</v>
      </c>
      <c r="Y176" s="8">
        <v>0</v>
      </c>
      <c r="Z176" s="8">
        <v>-142.65199999999999</v>
      </c>
      <c r="AA176" s="8">
        <v>0</v>
      </c>
      <c r="AB176" s="8">
        <v>0</v>
      </c>
      <c r="AC176" s="8">
        <v>0</v>
      </c>
      <c r="AD176" s="8">
        <v>-4.843</v>
      </c>
      <c r="AE176" s="8">
        <v>0</v>
      </c>
      <c r="AF176" s="8">
        <v>-0.17199999999999999</v>
      </c>
      <c r="AG176" s="8">
        <v>-71.424999999999997</v>
      </c>
      <c r="AH176" s="8">
        <v>0</v>
      </c>
      <c r="AI176" s="8">
        <v>-3113.0540000000001</v>
      </c>
      <c r="AJ176" s="8">
        <v>-121.411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-8.8620000000000001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L176" s="22"/>
    </row>
    <row r="177" spans="1:64" ht="15.75" x14ac:dyDescent="0.25">
      <c r="A177" s="22"/>
      <c r="B177" s="7" t="s">
        <v>335</v>
      </c>
      <c r="C177" s="7" t="s">
        <v>336</v>
      </c>
      <c r="D177" s="8">
        <v>4</v>
      </c>
      <c r="E177" s="8">
        <v>4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L177" s="22"/>
    </row>
    <row r="178" spans="1:64" ht="15.75" x14ac:dyDescent="0.25">
      <c r="A178" s="22"/>
      <c r="B178" s="7" t="s">
        <v>337</v>
      </c>
      <c r="C178" s="7" t="s">
        <v>338</v>
      </c>
      <c r="D178" s="8">
        <v>4</v>
      </c>
      <c r="E178" s="8">
        <v>4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L178" s="22"/>
    </row>
    <row r="179" spans="1:64" ht="15.75" x14ac:dyDescent="0.25">
      <c r="A179" s="22"/>
      <c r="B179" s="7" t="s">
        <v>339</v>
      </c>
      <c r="C179" s="7" t="s">
        <v>340</v>
      </c>
      <c r="D179" s="8">
        <v>4</v>
      </c>
      <c r="E179" s="8">
        <v>4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L179" s="22"/>
    </row>
    <row r="180" spans="1:64" ht="15.75" x14ac:dyDescent="0.25">
      <c r="A180" s="22"/>
      <c r="B180" s="7" t="s">
        <v>341</v>
      </c>
      <c r="C180" s="7" t="s">
        <v>342</v>
      </c>
      <c r="D180" s="8">
        <v>4</v>
      </c>
      <c r="E180" s="8">
        <v>4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L180" s="22"/>
    </row>
    <row r="181" spans="1:64" ht="15.75" x14ac:dyDescent="0.25">
      <c r="A181" s="22"/>
      <c r="B181" s="7" t="s">
        <v>323</v>
      </c>
      <c r="C181" s="7" t="s">
        <v>343</v>
      </c>
      <c r="D181" s="8">
        <v>6</v>
      </c>
      <c r="E181" s="8">
        <v>6</v>
      </c>
      <c r="F181" s="8">
        <v>1.9E-2</v>
      </c>
      <c r="G181" s="8">
        <v>4.0000000000000001E-3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4.7E-2</v>
      </c>
      <c r="N181" s="8">
        <v>2E-3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1E-3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0.01</v>
      </c>
      <c r="AA181" s="8">
        <v>0</v>
      </c>
      <c r="AB181" s="8">
        <v>1E-3</v>
      </c>
      <c r="AC181" s="8">
        <v>0</v>
      </c>
      <c r="AD181" s="8">
        <v>1E-3</v>
      </c>
      <c r="AE181" s="8">
        <v>0</v>
      </c>
      <c r="AF181" s="8">
        <v>2.8000000000000001E-2</v>
      </c>
      <c r="AG181" s="8">
        <v>0.03</v>
      </c>
      <c r="AH181" s="8">
        <v>0</v>
      </c>
      <c r="AI181" s="8">
        <v>7.4999999999999997E-2</v>
      </c>
      <c r="AJ181" s="8">
        <v>4.7E-2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1E-3</v>
      </c>
      <c r="AQ181" s="8">
        <v>0</v>
      </c>
      <c r="AR181" s="8">
        <v>1.2E-2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1E-3</v>
      </c>
      <c r="BA181" s="8">
        <v>2.1000000000000001E-2</v>
      </c>
      <c r="BB181" s="8">
        <v>0</v>
      </c>
      <c r="BC181" s="8">
        <v>0</v>
      </c>
      <c r="BD181" s="8">
        <v>0</v>
      </c>
      <c r="BE181" s="8">
        <v>2.7E-2</v>
      </c>
      <c r="BF181" s="8">
        <v>0</v>
      </c>
      <c r="BG181" s="8">
        <v>8.9999999999999993E-3</v>
      </c>
      <c r="BH181" s="8">
        <v>0</v>
      </c>
      <c r="BI181" s="8">
        <v>0</v>
      </c>
      <c r="BL181" s="22"/>
    </row>
    <row r="182" spans="1:64" ht="15.75" x14ac:dyDescent="0.25">
      <c r="A182" s="22"/>
      <c r="B182" s="7" t="s">
        <v>325</v>
      </c>
      <c r="C182" s="7" t="s">
        <v>344</v>
      </c>
      <c r="D182" s="8">
        <v>6</v>
      </c>
      <c r="E182" s="8">
        <v>6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L182" s="22"/>
    </row>
    <row r="183" spans="1:64" ht="15.75" x14ac:dyDescent="0.25">
      <c r="A183" s="22"/>
      <c r="B183" s="7" t="s">
        <v>327</v>
      </c>
      <c r="C183" s="7" t="s">
        <v>345</v>
      </c>
      <c r="D183" s="8">
        <v>6</v>
      </c>
      <c r="E183" s="8">
        <v>6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L183" s="22"/>
    </row>
    <row r="184" spans="1:64" ht="15.75" x14ac:dyDescent="0.25">
      <c r="A184" s="22"/>
      <c r="B184" s="7" t="s">
        <v>329</v>
      </c>
      <c r="C184" s="7" t="s">
        <v>346</v>
      </c>
      <c r="D184" s="8">
        <v>6</v>
      </c>
      <c r="E184" s="8">
        <v>6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L184" s="22"/>
    </row>
    <row r="185" spans="1:64" ht="15.75" x14ac:dyDescent="0.25">
      <c r="A185" s="22"/>
      <c r="B185" s="7" t="s">
        <v>331</v>
      </c>
      <c r="C185" s="7" t="s">
        <v>347</v>
      </c>
      <c r="D185" s="8">
        <v>6</v>
      </c>
      <c r="E185" s="8">
        <v>6</v>
      </c>
      <c r="F185" s="8">
        <v>91.037000000000006</v>
      </c>
      <c r="G185" s="8">
        <v>7.96</v>
      </c>
      <c r="H185" s="8">
        <v>11.154</v>
      </c>
      <c r="I185" s="8">
        <v>0</v>
      </c>
      <c r="J185" s="8">
        <v>1.9339999999999999</v>
      </c>
      <c r="K185" s="8">
        <v>6.7759999999999998</v>
      </c>
      <c r="L185" s="8">
        <v>0</v>
      </c>
      <c r="M185" s="8">
        <v>65.102999999999994</v>
      </c>
      <c r="N185" s="8">
        <v>30.111000000000001</v>
      </c>
      <c r="O185" s="8">
        <v>0</v>
      </c>
      <c r="P185" s="8">
        <v>0</v>
      </c>
      <c r="Q185" s="8">
        <v>0.34899999999999998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1.1339999999999999</v>
      </c>
      <c r="X185" s="8">
        <v>3.4089999999999998</v>
      </c>
      <c r="Y185" s="8">
        <v>0</v>
      </c>
      <c r="Z185" s="8">
        <v>26.893999999999998</v>
      </c>
      <c r="AA185" s="8">
        <v>0</v>
      </c>
      <c r="AB185" s="8">
        <v>9.1690000000000005</v>
      </c>
      <c r="AC185" s="8">
        <v>0</v>
      </c>
      <c r="AD185" s="8">
        <v>1.46</v>
      </c>
      <c r="AE185" s="8">
        <v>0</v>
      </c>
      <c r="AF185" s="8">
        <v>87.471999999999994</v>
      </c>
      <c r="AG185" s="8">
        <v>0</v>
      </c>
      <c r="AH185" s="8">
        <v>0</v>
      </c>
      <c r="AI185" s="8">
        <v>191.059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L185" s="22"/>
    </row>
    <row r="186" spans="1:64" ht="15.75" x14ac:dyDescent="0.25">
      <c r="A186" s="22"/>
      <c r="B186" s="7" t="s">
        <v>333</v>
      </c>
      <c r="C186" s="7" t="s">
        <v>348</v>
      </c>
      <c r="D186" s="8">
        <v>6</v>
      </c>
      <c r="E186" s="8">
        <v>6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L186" s="22"/>
    </row>
    <row r="187" spans="1:64" ht="15.75" x14ac:dyDescent="0.25">
      <c r="A187" s="22"/>
      <c r="B187" s="7" t="s">
        <v>335</v>
      </c>
      <c r="C187" s="7" t="s">
        <v>349</v>
      </c>
      <c r="D187" s="8">
        <v>6</v>
      </c>
      <c r="E187" s="8">
        <v>6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L187" s="22"/>
    </row>
    <row r="188" spans="1:64" ht="15.75" x14ac:dyDescent="0.25">
      <c r="A188" s="22"/>
      <c r="B188" s="7" t="s">
        <v>337</v>
      </c>
      <c r="C188" s="7" t="s">
        <v>350</v>
      </c>
      <c r="D188" s="8">
        <v>6</v>
      </c>
      <c r="E188" s="8">
        <v>6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L188" s="22"/>
    </row>
    <row r="189" spans="1:64" ht="15.75" x14ac:dyDescent="0.25">
      <c r="A189" s="22"/>
      <c r="B189" s="7" t="s">
        <v>339</v>
      </c>
      <c r="C189" s="7" t="s">
        <v>351</v>
      </c>
      <c r="D189" s="8">
        <v>6</v>
      </c>
      <c r="E189" s="8">
        <v>6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L189" s="22"/>
    </row>
    <row r="190" spans="1:64" ht="15.75" x14ac:dyDescent="0.25">
      <c r="A190" s="22"/>
      <c r="B190" s="7" t="s">
        <v>341</v>
      </c>
      <c r="C190" s="7" t="s">
        <v>352</v>
      </c>
      <c r="D190" s="8">
        <v>6</v>
      </c>
      <c r="E190" s="8">
        <v>6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L190" s="22"/>
    </row>
    <row r="191" spans="1:64" ht="15.75" x14ac:dyDescent="0.25">
      <c r="A191" s="22"/>
      <c r="B191" s="7" t="s">
        <v>353</v>
      </c>
      <c r="C191" s="7" t="s">
        <v>354</v>
      </c>
      <c r="D191" s="8">
        <v>6</v>
      </c>
      <c r="E191" s="8">
        <v>6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L191" s="22"/>
    </row>
    <row r="192" spans="1:64" ht="15.75" x14ac:dyDescent="0.25">
      <c r="A192" s="22"/>
      <c r="B192" s="7" t="s">
        <v>355</v>
      </c>
      <c r="C192" s="7" t="s">
        <v>356</v>
      </c>
      <c r="D192" s="8">
        <v>6</v>
      </c>
      <c r="E192" s="8">
        <v>6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L192" s="22"/>
    </row>
    <row r="193" spans="1:64" ht="15.75" x14ac:dyDescent="0.25">
      <c r="A193" s="22"/>
      <c r="B193" s="7" t="s">
        <v>357</v>
      </c>
      <c r="C193" s="7" t="s">
        <v>358</v>
      </c>
      <c r="D193" s="8">
        <v>6</v>
      </c>
      <c r="E193" s="8">
        <v>6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L193" s="22"/>
    </row>
    <row r="194" spans="1:64" ht="15.75" x14ac:dyDescent="0.25">
      <c r="A194" s="22"/>
      <c r="B194" s="7" t="s">
        <v>359</v>
      </c>
      <c r="C194" s="7" t="s">
        <v>360</v>
      </c>
      <c r="D194" s="8">
        <v>6</v>
      </c>
      <c r="E194" s="8">
        <v>6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L194" s="22"/>
    </row>
    <row r="195" spans="1:64" ht="15.75" x14ac:dyDescent="0.25">
      <c r="A195" s="22"/>
      <c r="B195" s="7" t="s">
        <v>361</v>
      </c>
      <c r="C195" s="7" t="s">
        <v>362</v>
      </c>
      <c r="D195" s="8">
        <v>6</v>
      </c>
      <c r="E195" s="8">
        <v>6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L195" s="22"/>
    </row>
    <row r="196" spans="1:64" ht="15.75" x14ac:dyDescent="0.25">
      <c r="A196" s="22"/>
      <c r="B196" s="7" t="s">
        <v>363</v>
      </c>
      <c r="C196" s="7" t="s">
        <v>364</v>
      </c>
      <c r="D196" s="8">
        <v>6</v>
      </c>
      <c r="E196" s="8">
        <v>6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L196" s="22"/>
    </row>
    <row r="197" spans="1:64" ht="15.75" x14ac:dyDescent="0.25">
      <c r="A197" s="22"/>
      <c r="B197" s="7" t="s">
        <v>365</v>
      </c>
      <c r="C197" s="7" t="s">
        <v>366</v>
      </c>
      <c r="D197" s="8">
        <v>6</v>
      </c>
      <c r="E197" s="8">
        <v>6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L197" s="22"/>
    </row>
    <row r="198" spans="1:64" ht="15.75" x14ac:dyDescent="0.25">
      <c r="A198" s="22"/>
      <c r="B198" s="7" t="s">
        <v>367</v>
      </c>
      <c r="C198" s="7" t="s">
        <v>368</v>
      </c>
      <c r="D198" s="8">
        <v>6</v>
      </c>
      <c r="E198" s="8">
        <v>6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L198" s="22"/>
    </row>
    <row r="199" spans="1:64" ht="15.75" x14ac:dyDescent="0.25">
      <c r="A199" s="22"/>
      <c r="B199" s="7" t="s">
        <v>369</v>
      </c>
      <c r="C199" s="7" t="s">
        <v>370</v>
      </c>
      <c r="D199" s="8">
        <v>6</v>
      </c>
      <c r="E199" s="8">
        <v>6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L199" s="22"/>
    </row>
    <row r="200" spans="1:64" ht="15.75" x14ac:dyDescent="0.25">
      <c r="A200" s="22"/>
      <c r="B200" s="7" t="s">
        <v>371</v>
      </c>
      <c r="C200" s="7" t="s">
        <v>372</v>
      </c>
      <c r="D200" s="8">
        <v>6</v>
      </c>
      <c r="E200" s="8">
        <v>6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L200" s="22"/>
    </row>
    <row r="201" spans="1:64" ht="15.75" x14ac:dyDescent="0.25">
      <c r="A201" s="22"/>
      <c r="B201" s="7" t="s">
        <v>373</v>
      </c>
      <c r="C201" s="7" t="s">
        <v>374</v>
      </c>
      <c r="D201" s="8">
        <v>3</v>
      </c>
      <c r="E201" s="8">
        <v>6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L201" s="22"/>
    </row>
    <row r="202" spans="1:64" ht="15.75" x14ac:dyDescent="0.25">
      <c r="A202" s="22"/>
      <c r="B202" s="7" t="s">
        <v>375</v>
      </c>
      <c r="C202" s="7" t="s">
        <v>376</v>
      </c>
      <c r="D202" s="8">
        <v>6</v>
      </c>
      <c r="E202" s="8">
        <v>6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L202" s="22"/>
    </row>
    <row r="203" spans="1:64" ht="15.75" x14ac:dyDescent="0.25">
      <c r="A203" s="22"/>
      <c r="B203" s="7" t="s">
        <v>377</v>
      </c>
      <c r="C203" s="7" t="s">
        <v>378</v>
      </c>
      <c r="D203" s="8">
        <v>6</v>
      </c>
      <c r="E203" s="8">
        <v>6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L203" s="22"/>
    </row>
    <row r="204" spans="1:64" ht="15.75" x14ac:dyDescent="0.25">
      <c r="A204" s="22"/>
      <c r="B204" s="7" t="s">
        <v>379</v>
      </c>
      <c r="C204" s="7" t="s">
        <v>380</v>
      </c>
      <c r="D204" s="8">
        <v>6</v>
      </c>
      <c r="E204" s="8">
        <v>6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L204" s="22"/>
    </row>
    <row r="205" spans="1:64" ht="15.75" x14ac:dyDescent="0.25">
      <c r="A205" s="22"/>
      <c r="B205" s="7" t="s">
        <v>381</v>
      </c>
      <c r="C205" s="7" t="s">
        <v>382</v>
      </c>
      <c r="D205" s="8">
        <v>6</v>
      </c>
      <c r="E205" s="8">
        <v>6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L205" s="22"/>
    </row>
    <row r="206" spans="1:64" ht="15.75" x14ac:dyDescent="0.25">
      <c r="A206" s="22"/>
      <c r="B206" s="7" t="s">
        <v>383</v>
      </c>
      <c r="C206" s="7" t="s">
        <v>384</v>
      </c>
      <c r="D206" s="8">
        <v>6</v>
      </c>
      <c r="E206" s="8">
        <v>6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L206" s="22"/>
    </row>
    <row r="207" spans="1:64" ht="15.75" x14ac:dyDescent="0.25">
      <c r="A207" s="22"/>
      <c r="B207" s="7" t="s">
        <v>385</v>
      </c>
      <c r="C207" s="7" t="s">
        <v>386</v>
      </c>
      <c r="D207" s="8">
        <v>6</v>
      </c>
      <c r="E207" s="8">
        <v>6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L207" s="22"/>
    </row>
    <row r="208" spans="1:64" ht="15.75" x14ac:dyDescent="0.25">
      <c r="A208" s="22"/>
      <c r="B208" s="7" t="s">
        <v>387</v>
      </c>
      <c r="C208" s="7" t="s">
        <v>388</v>
      </c>
      <c r="D208" s="8">
        <v>6</v>
      </c>
      <c r="E208" s="8">
        <v>6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L208" s="22"/>
    </row>
    <row r="209" spans="1:64" ht="15.75" x14ac:dyDescent="0.25">
      <c r="A209" s="22"/>
      <c r="B209" s="7" t="s">
        <v>389</v>
      </c>
      <c r="C209" s="7" t="s">
        <v>390</v>
      </c>
      <c r="D209" s="8">
        <v>6</v>
      </c>
      <c r="E209" s="8">
        <v>6</v>
      </c>
      <c r="F209" s="8">
        <v>156.273</v>
      </c>
      <c r="G209" s="8">
        <v>2.2930000000000001</v>
      </c>
      <c r="H209" s="8">
        <v>37.241</v>
      </c>
      <c r="I209" s="8">
        <v>0</v>
      </c>
      <c r="J209" s="8">
        <v>0.52</v>
      </c>
      <c r="K209" s="8">
        <v>58.451999999999998</v>
      </c>
      <c r="L209" s="8">
        <v>0</v>
      </c>
      <c r="M209" s="8">
        <v>469.43400000000003</v>
      </c>
      <c r="N209" s="8">
        <v>79.415000000000006</v>
      </c>
      <c r="O209" s="8">
        <v>0</v>
      </c>
      <c r="P209" s="8">
        <v>0</v>
      </c>
      <c r="Q209" s="8">
        <v>1E-3</v>
      </c>
      <c r="R209" s="8">
        <v>8.1859999999999999</v>
      </c>
      <c r="S209" s="8">
        <v>21.163</v>
      </c>
      <c r="T209" s="8">
        <v>0.81599999999999995</v>
      </c>
      <c r="U209" s="8">
        <v>0</v>
      </c>
      <c r="V209" s="8">
        <v>0</v>
      </c>
      <c r="W209" s="8">
        <v>0.68500000000000005</v>
      </c>
      <c r="X209" s="8">
        <v>1.607</v>
      </c>
      <c r="Y209" s="8">
        <v>0</v>
      </c>
      <c r="Z209" s="8">
        <v>6.923</v>
      </c>
      <c r="AA209" s="8">
        <v>0</v>
      </c>
      <c r="AB209" s="8">
        <v>6.657</v>
      </c>
      <c r="AC209" s="8">
        <v>0</v>
      </c>
      <c r="AD209" s="8">
        <v>0.44900000000000001</v>
      </c>
      <c r="AE209" s="8">
        <v>0</v>
      </c>
      <c r="AF209" s="8">
        <v>24.693000000000001</v>
      </c>
      <c r="AG209" s="8">
        <v>0</v>
      </c>
      <c r="AH209" s="8">
        <v>0</v>
      </c>
      <c r="AI209" s="8">
        <v>432.10300000000001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0.628</v>
      </c>
      <c r="AQ209" s="8">
        <v>0</v>
      </c>
      <c r="AR209" s="8">
        <v>0</v>
      </c>
      <c r="AS209" s="8">
        <v>0</v>
      </c>
      <c r="AT209" s="8">
        <v>3.0000000000000001E-3</v>
      </c>
      <c r="AU209" s="8">
        <v>0</v>
      </c>
      <c r="AV209" s="8">
        <v>0.16900000000000001</v>
      </c>
      <c r="AW209" s="8">
        <v>0</v>
      </c>
      <c r="AX209" s="8">
        <v>0</v>
      </c>
      <c r="AY209" s="8">
        <v>0</v>
      </c>
      <c r="AZ209" s="8">
        <v>0.78600000000000003</v>
      </c>
      <c r="BA209" s="8">
        <v>0</v>
      </c>
      <c r="BB209" s="8">
        <v>0</v>
      </c>
      <c r="BC209" s="8">
        <v>0.3</v>
      </c>
      <c r="BD209" s="8">
        <v>0.38500000000000001</v>
      </c>
      <c r="BE209" s="8">
        <v>0</v>
      </c>
      <c r="BF209" s="8">
        <v>9.0999999999999998E-2</v>
      </c>
      <c r="BG209" s="8">
        <v>0</v>
      </c>
      <c r="BH209" s="8">
        <v>0</v>
      </c>
      <c r="BI209" s="8">
        <v>0.13500000000000001</v>
      </c>
      <c r="BL209" s="22"/>
    </row>
    <row r="210" spans="1:64" ht="15.75" x14ac:dyDescent="0.25">
      <c r="A210" s="22"/>
      <c r="B210" s="7" t="s">
        <v>391</v>
      </c>
      <c r="C210" s="7" t="s">
        <v>392</v>
      </c>
      <c r="D210" s="8">
        <v>6</v>
      </c>
      <c r="E210" s="8">
        <v>6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L210" s="22"/>
    </row>
    <row r="211" spans="1:64" ht="15.75" x14ac:dyDescent="0.25">
      <c r="A211" s="22"/>
      <c r="B211" s="7" t="s">
        <v>393</v>
      </c>
      <c r="C211" s="7" t="s">
        <v>394</v>
      </c>
      <c r="D211" s="8">
        <v>6</v>
      </c>
      <c r="E211" s="8">
        <v>6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L211" s="22"/>
    </row>
    <row r="212" spans="1:64" ht="15.75" x14ac:dyDescent="0.25">
      <c r="A212" s="22"/>
      <c r="B212" s="7" t="s">
        <v>395</v>
      </c>
      <c r="C212" s="7" t="s">
        <v>396</v>
      </c>
      <c r="D212" s="8">
        <v>6</v>
      </c>
      <c r="E212" s="8">
        <v>6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L212" s="22"/>
    </row>
    <row r="213" spans="1:64" ht="15.75" x14ac:dyDescent="0.25">
      <c r="A213" s="22"/>
      <c r="B213" s="7" t="s">
        <v>353</v>
      </c>
      <c r="C213" s="7" t="s">
        <v>397</v>
      </c>
      <c r="D213" s="8">
        <v>6</v>
      </c>
      <c r="E213" s="8">
        <v>6</v>
      </c>
      <c r="F213" s="8">
        <v>1041.135</v>
      </c>
      <c r="G213" s="8">
        <v>91.03</v>
      </c>
      <c r="H213" s="8">
        <v>127.556</v>
      </c>
      <c r="I213" s="8">
        <v>4.0000000000000001E-3</v>
      </c>
      <c r="J213" s="8">
        <v>22.117000000000001</v>
      </c>
      <c r="K213" s="8">
        <v>77.498000000000005</v>
      </c>
      <c r="L213" s="8">
        <v>0</v>
      </c>
      <c r="M213" s="8">
        <v>744.54899999999998</v>
      </c>
      <c r="N213" s="8">
        <v>344.36099999999999</v>
      </c>
      <c r="O213" s="8">
        <v>0</v>
      </c>
      <c r="P213" s="8">
        <v>0</v>
      </c>
      <c r="Q213" s="8">
        <v>3.9860000000000002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12.965</v>
      </c>
      <c r="X213" s="8">
        <v>38.987000000000002</v>
      </c>
      <c r="Y213" s="8">
        <v>0</v>
      </c>
      <c r="Z213" s="8">
        <v>307.57400000000001</v>
      </c>
      <c r="AA213" s="8">
        <v>0</v>
      </c>
      <c r="AB213" s="8">
        <v>104.858</v>
      </c>
      <c r="AC213" s="8">
        <v>0</v>
      </c>
      <c r="AD213" s="8">
        <v>16.702000000000002</v>
      </c>
      <c r="AE213" s="8">
        <v>0</v>
      </c>
      <c r="AF213" s="8">
        <v>1000.357</v>
      </c>
      <c r="AG213" s="8">
        <v>0</v>
      </c>
      <c r="AH213" s="8">
        <v>0</v>
      </c>
      <c r="AI213" s="8">
        <v>2185.0279999999998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L213" s="22"/>
    </row>
    <row r="214" spans="1:64" ht="15.75" x14ac:dyDescent="0.25">
      <c r="A214" s="22"/>
      <c r="B214" s="7" t="s">
        <v>355</v>
      </c>
      <c r="C214" s="7" t="s">
        <v>398</v>
      </c>
      <c r="D214" s="8">
        <v>6</v>
      </c>
      <c r="E214" s="8">
        <v>6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L214" s="22"/>
    </row>
    <row r="215" spans="1:64" ht="15.75" x14ac:dyDescent="0.25">
      <c r="A215" s="22"/>
      <c r="B215" s="7" t="s">
        <v>357</v>
      </c>
      <c r="C215" s="7" t="s">
        <v>399</v>
      </c>
      <c r="D215" s="8">
        <v>6</v>
      </c>
      <c r="E215" s="8">
        <v>6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L215" s="22"/>
    </row>
    <row r="216" spans="1:64" ht="15.75" x14ac:dyDescent="0.25">
      <c r="A216" s="22"/>
      <c r="B216" s="7" t="s">
        <v>359</v>
      </c>
      <c r="C216" s="7" t="s">
        <v>400</v>
      </c>
      <c r="D216" s="8">
        <v>6</v>
      </c>
      <c r="E216" s="8">
        <v>6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L216" s="22"/>
    </row>
    <row r="217" spans="1:64" ht="15.75" x14ac:dyDescent="0.25">
      <c r="A217" s="22"/>
      <c r="B217" s="7" t="s">
        <v>361</v>
      </c>
      <c r="C217" s="7" t="s">
        <v>401</v>
      </c>
      <c r="D217" s="8">
        <v>6</v>
      </c>
      <c r="E217" s="8">
        <v>6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L217" s="22"/>
    </row>
    <row r="218" spans="1:64" ht="15.75" x14ac:dyDescent="0.25">
      <c r="A218" s="22"/>
      <c r="B218" s="7" t="s">
        <v>363</v>
      </c>
      <c r="C218" s="7" t="s">
        <v>402</v>
      </c>
      <c r="D218" s="8">
        <v>6</v>
      </c>
      <c r="E218" s="8">
        <v>6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-1E-3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-1E-3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L218" s="22"/>
    </row>
    <row r="219" spans="1:64" ht="15.75" x14ac:dyDescent="0.25">
      <c r="A219" s="22"/>
      <c r="B219" s="7" t="s">
        <v>365</v>
      </c>
      <c r="C219" s="7" t="s">
        <v>403</v>
      </c>
      <c r="D219" s="8">
        <v>6</v>
      </c>
      <c r="E219" s="8">
        <v>6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L219" s="22"/>
    </row>
    <row r="220" spans="1:64" ht="15.75" x14ac:dyDescent="0.25">
      <c r="A220" s="22"/>
      <c r="B220" s="7" t="s">
        <v>367</v>
      </c>
      <c r="C220" s="7" t="s">
        <v>404</v>
      </c>
      <c r="D220" s="8">
        <v>6</v>
      </c>
      <c r="E220" s="8">
        <v>6</v>
      </c>
      <c r="F220" s="8">
        <v>71635.434999999998</v>
      </c>
      <c r="G220" s="8">
        <v>14983.933000000001</v>
      </c>
      <c r="H220" s="8">
        <v>0</v>
      </c>
      <c r="I220" s="8">
        <v>0</v>
      </c>
      <c r="J220" s="8">
        <v>287.846</v>
      </c>
      <c r="K220" s="8">
        <v>0</v>
      </c>
      <c r="L220" s="8">
        <v>0</v>
      </c>
      <c r="M220" s="8">
        <v>174434.139</v>
      </c>
      <c r="N220" s="8">
        <v>7273.6490000000003</v>
      </c>
      <c r="O220" s="8">
        <v>0</v>
      </c>
      <c r="P220" s="8">
        <v>0</v>
      </c>
      <c r="Q220" s="8">
        <v>3.1320000000000001</v>
      </c>
      <c r="R220" s="8">
        <v>0</v>
      </c>
      <c r="S220" s="8">
        <v>0</v>
      </c>
      <c r="T220" s="8">
        <v>4954.5919999999996</v>
      </c>
      <c r="U220" s="8">
        <v>0</v>
      </c>
      <c r="V220" s="8">
        <v>0</v>
      </c>
      <c r="W220" s="8">
        <v>0</v>
      </c>
      <c r="X220" s="8">
        <v>1772.547</v>
      </c>
      <c r="Y220" s="8">
        <v>0</v>
      </c>
      <c r="Z220" s="8">
        <v>35687.669000000002</v>
      </c>
      <c r="AA220" s="8">
        <v>0</v>
      </c>
      <c r="AB220" s="8">
        <v>5398.5789999999997</v>
      </c>
      <c r="AC220" s="8">
        <v>0</v>
      </c>
      <c r="AD220" s="8">
        <v>3136.13</v>
      </c>
      <c r="AE220" s="8">
        <v>0</v>
      </c>
      <c r="AF220" s="8">
        <v>102472.81299999999</v>
      </c>
      <c r="AG220" s="8">
        <v>112230.549</v>
      </c>
      <c r="AH220" s="8">
        <v>0</v>
      </c>
      <c r="AI220" s="8">
        <v>278508.10399999999</v>
      </c>
      <c r="AJ220" s="8">
        <v>175441.8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3706.2779999999998</v>
      </c>
      <c r="AQ220" s="8">
        <v>0</v>
      </c>
      <c r="AR220" s="8">
        <v>45193.375</v>
      </c>
      <c r="AS220" s="8">
        <v>0</v>
      </c>
      <c r="AT220" s="8">
        <v>46.652999999999999</v>
      </c>
      <c r="AU220" s="8">
        <v>0</v>
      </c>
      <c r="AV220" s="8">
        <v>358.60500000000002</v>
      </c>
      <c r="AW220" s="8">
        <v>0</v>
      </c>
      <c r="AX220" s="8">
        <v>0</v>
      </c>
      <c r="AY220" s="8">
        <v>0</v>
      </c>
      <c r="AZ220" s="8">
        <v>2096.7350000000001</v>
      </c>
      <c r="BA220" s="8">
        <v>77266.763000000006</v>
      </c>
      <c r="BB220" s="8">
        <v>0</v>
      </c>
      <c r="BC220" s="8">
        <v>1639.4749999999999</v>
      </c>
      <c r="BD220" s="8">
        <v>0</v>
      </c>
      <c r="BE220" s="8">
        <v>100438.144</v>
      </c>
      <c r="BF220" s="8">
        <v>461.19299999999998</v>
      </c>
      <c r="BG220" s="8">
        <v>34735.296000000002</v>
      </c>
      <c r="BH220" s="8">
        <v>0</v>
      </c>
      <c r="BI220" s="8">
        <v>0</v>
      </c>
      <c r="BL220" s="22"/>
    </row>
    <row r="221" spans="1:64" ht="15.75" x14ac:dyDescent="0.25">
      <c r="A221" s="22"/>
      <c r="B221" s="7" t="s">
        <v>369</v>
      </c>
      <c r="C221" s="7" t="s">
        <v>405</v>
      </c>
      <c r="D221" s="8">
        <v>6</v>
      </c>
      <c r="E221" s="8">
        <v>6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L221" s="22"/>
    </row>
    <row r="222" spans="1:64" ht="15.75" x14ac:dyDescent="0.25">
      <c r="A222" s="22"/>
      <c r="B222" s="7" t="s">
        <v>371</v>
      </c>
      <c r="C222" s="7" t="s">
        <v>406</v>
      </c>
      <c r="D222" s="8">
        <v>6</v>
      </c>
      <c r="E222" s="8">
        <v>6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L222" s="22"/>
    </row>
    <row r="223" spans="1:64" ht="15.75" x14ac:dyDescent="0.25">
      <c r="A223" s="22"/>
      <c r="B223" s="7" t="s">
        <v>373</v>
      </c>
      <c r="C223" s="7" t="s">
        <v>407</v>
      </c>
      <c r="D223" s="8">
        <v>6</v>
      </c>
      <c r="E223" s="8">
        <v>6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L223" s="22"/>
    </row>
    <row r="224" spans="1:64" ht="15.75" x14ac:dyDescent="0.25">
      <c r="A224" s="22"/>
      <c r="B224" s="7" t="s">
        <v>375</v>
      </c>
      <c r="C224" s="7" t="s">
        <v>408</v>
      </c>
      <c r="D224" s="8">
        <v>6</v>
      </c>
      <c r="E224" s="8">
        <v>6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L224" s="22"/>
    </row>
    <row r="225" spans="1:64" ht="15.75" x14ac:dyDescent="0.25">
      <c r="A225" s="22"/>
      <c r="B225" s="7" t="s">
        <v>377</v>
      </c>
      <c r="C225" s="7" t="s">
        <v>409</v>
      </c>
      <c r="D225" s="8">
        <v>6</v>
      </c>
      <c r="E225" s="8">
        <v>6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L225" s="22"/>
    </row>
    <row r="226" spans="1:64" ht="15.75" x14ac:dyDescent="0.25">
      <c r="A226" s="22"/>
      <c r="B226" s="7" t="s">
        <v>379</v>
      </c>
      <c r="C226" s="7" t="s">
        <v>410</v>
      </c>
      <c r="D226" s="8">
        <v>6</v>
      </c>
      <c r="E226" s="8">
        <v>6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L226" s="22"/>
    </row>
    <row r="227" spans="1:64" ht="15.75" x14ac:dyDescent="0.25">
      <c r="A227" s="22"/>
      <c r="B227" s="7" t="s">
        <v>381</v>
      </c>
      <c r="C227" s="7" t="s">
        <v>411</v>
      </c>
      <c r="D227" s="8">
        <v>6</v>
      </c>
      <c r="E227" s="8">
        <v>6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L227" s="22"/>
    </row>
    <row r="228" spans="1:64" ht="15.75" x14ac:dyDescent="0.25">
      <c r="A228" s="22"/>
      <c r="B228" s="7" t="s">
        <v>383</v>
      </c>
      <c r="C228" s="7" t="s">
        <v>412</v>
      </c>
      <c r="D228" s="8">
        <v>6</v>
      </c>
      <c r="E228" s="8">
        <v>6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L228" s="22"/>
    </row>
    <row r="229" spans="1:64" ht="15.75" x14ac:dyDescent="0.25">
      <c r="A229" s="22"/>
      <c r="B229" s="7" t="s">
        <v>385</v>
      </c>
      <c r="C229" s="7" t="s">
        <v>413</v>
      </c>
      <c r="D229" s="8">
        <v>6</v>
      </c>
      <c r="E229" s="8">
        <v>6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L229" s="22"/>
    </row>
    <row r="230" spans="1:64" ht="15.75" x14ac:dyDescent="0.25">
      <c r="A230" s="22"/>
      <c r="B230" s="7" t="s">
        <v>387</v>
      </c>
      <c r="C230" s="7" t="s">
        <v>414</v>
      </c>
      <c r="D230" s="8">
        <v>6</v>
      </c>
      <c r="E230" s="8">
        <v>6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L230" s="22"/>
    </row>
    <row r="231" spans="1:64" ht="15.75" x14ac:dyDescent="0.25">
      <c r="A231" s="22"/>
      <c r="B231" s="7" t="s">
        <v>389</v>
      </c>
      <c r="C231" s="7" t="s">
        <v>415</v>
      </c>
      <c r="D231" s="8">
        <v>6</v>
      </c>
      <c r="E231" s="8">
        <v>6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L231" s="22"/>
    </row>
    <row r="232" spans="1:64" ht="15.75" x14ac:dyDescent="0.25">
      <c r="A232" s="22"/>
      <c r="B232" s="7" t="s">
        <v>391</v>
      </c>
      <c r="C232" s="7" t="s">
        <v>416</v>
      </c>
      <c r="D232" s="8">
        <v>6</v>
      </c>
      <c r="E232" s="8">
        <v>6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L232" s="22"/>
    </row>
    <row r="233" spans="1:64" ht="15.75" x14ac:dyDescent="0.25">
      <c r="A233" s="22"/>
      <c r="B233" s="7" t="s">
        <v>393</v>
      </c>
      <c r="C233" s="7" t="s">
        <v>417</v>
      </c>
      <c r="D233" s="8">
        <v>6</v>
      </c>
      <c r="E233" s="8">
        <v>6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L233" s="22"/>
    </row>
    <row r="234" spans="1:64" ht="15.75" x14ac:dyDescent="0.25">
      <c r="A234" s="22"/>
      <c r="B234" s="7" t="s">
        <v>395</v>
      </c>
      <c r="C234" s="7" t="s">
        <v>418</v>
      </c>
      <c r="D234" s="8">
        <v>6</v>
      </c>
      <c r="E234" s="8">
        <v>6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L234" s="22"/>
    </row>
    <row r="235" spans="1:64" ht="15.75" x14ac:dyDescent="0.25">
      <c r="A235" s="22"/>
      <c r="B235" s="7" t="s">
        <v>419</v>
      </c>
      <c r="C235" s="7" t="s">
        <v>420</v>
      </c>
      <c r="D235" s="8">
        <v>6</v>
      </c>
      <c r="E235" s="8">
        <v>6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L235" s="22"/>
    </row>
    <row r="236" spans="1:64" ht="15.75" x14ac:dyDescent="0.25">
      <c r="A236" s="22"/>
      <c r="B236" s="7" t="s">
        <v>421</v>
      </c>
      <c r="C236" s="7" t="s">
        <v>422</v>
      </c>
      <c r="D236" s="8">
        <v>6</v>
      </c>
      <c r="E236" s="8">
        <v>6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L236" s="22"/>
    </row>
    <row r="237" spans="1:64" ht="15.75" x14ac:dyDescent="0.25">
      <c r="A237" s="22"/>
      <c r="B237" s="7" t="s">
        <v>423</v>
      </c>
      <c r="C237" s="7" t="s">
        <v>424</v>
      </c>
      <c r="D237" s="8">
        <v>6</v>
      </c>
      <c r="E237" s="8">
        <v>6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L237" s="22"/>
    </row>
    <row r="238" spans="1:64" ht="15.75" x14ac:dyDescent="0.25">
      <c r="A238" s="22"/>
      <c r="B238" s="7" t="s">
        <v>425</v>
      </c>
      <c r="C238" s="7" t="s">
        <v>426</v>
      </c>
      <c r="D238" s="8">
        <v>6</v>
      </c>
      <c r="E238" s="8">
        <v>6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L238" s="22"/>
    </row>
    <row r="239" spans="1:64" ht="15.75" x14ac:dyDescent="0.25">
      <c r="A239" s="22"/>
      <c r="B239" s="7" t="s">
        <v>427</v>
      </c>
      <c r="C239" s="7" t="s">
        <v>428</v>
      </c>
      <c r="D239" s="8">
        <v>6</v>
      </c>
      <c r="E239" s="8">
        <v>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L239" s="22"/>
    </row>
    <row r="240" spans="1:64" ht="15.75" x14ac:dyDescent="0.25">
      <c r="A240" s="22"/>
      <c r="B240" s="7" t="s">
        <v>429</v>
      </c>
      <c r="C240" s="7" t="s">
        <v>430</v>
      </c>
      <c r="D240" s="8">
        <v>6</v>
      </c>
      <c r="E240" s="8">
        <v>6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L240" s="22"/>
    </row>
    <row r="241" spans="1:64" ht="15.75" x14ac:dyDescent="0.25">
      <c r="A241" s="22"/>
      <c r="B241" s="7" t="s">
        <v>431</v>
      </c>
      <c r="C241" s="7" t="s">
        <v>432</v>
      </c>
      <c r="D241" s="8">
        <v>6</v>
      </c>
      <c r="E241" s="8">
        <v>6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L241" s="22"/>
    </row>
    <row r="242" spans="1:64" ht="15.75" x14ac:dyDescent="0.25">
      <c r="A242" s="22"/>
      <c r="B242" s="7" t="s">
        <v>433</v>
      </c>
      <c r="C242" s="7" t="s">
        <v>434</v>
      </c>
      <c r="D242" s="8">
        <v>6</v>
      </c>
      <c r="E242" s="8">
        <v>6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L242" s="22"/>
    </row>
    <row r="243" spans="1:64" ht="15.75" x14ac:dyDescent="0.25">
      <c r="A243" s="22"/>
      <c r="B243" s="7" t="s">
        <v>435</v>
      </c>
      <c r="C243" s="7" t="s">
        <v>436</v>
      </c>
      <c r="D243" s="8">
        <v>6</v>
      </c>
      <c r="E243" s="8">
        <v>6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L243" s="22"/>
    </row>
    <row r="244" spans="1:64" ht="15.75" x14ac:dyDescent="0.25">
      <c r="A244" s="22"/>
      <c r="B244" s="7" t="s">
        <v>437</v>
      </c>
      <c r="C244" s="7" t="s">
        <v>438</v>
      </c>
      <c r="D244" s="8">
        <v>6</v>
      </c>
      <c r="E244" s="8">
        <v>6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L244" s="22"/>
    </row>
    <row r="245" spans="1:64" ht="15.75" x14ac:dyDescent="0.25">
      <c r="A245" s="22"/>
      <c r="B245" s="7" t="s">
        <v>439</v>
      </c>
      <c r="C245" s="7" t="s">
        <v>440</v>
      </c>
      <c r="D245" s="8">
        <v>6</v>
      </c>
      <c r="E245" s="8">
        <v>6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L245" s="22"/>
    </row>
    <row r="246" spans="1:64" ht="15.75" x14ac:dyDescent="0.25">
      <c r="A246" s="22"/>
      <c r="B246" s="7" t="s">
        <v>441</v>
      </c>
      <c r="C246" s="7" t="s">
        <v>442</v>
      </c>
      <c r="D246" s="8">
        <v>6</v>
      </c>
      <c r="E246" s="8">
        <v>6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L246" s="22"/>
    </row>
    <row r="247" spans="1:64" ht="15.75" x14ac:dyDescent="0.25">
      <c r="A247" s="22"/>
      <c r="B247" s="7" t="s">
        <v>443</v>
      </c>
      <c r="C247" s="7" t="s">
        <v>444</v>
      </c>
      <c r="D247" s="8">
        <v>6</v>
      </c>
      <c r="E247" s="8">
        <v>6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L247" s="22"/>
    </row>
    <row r="248" spans="1:64" ht="15.75" x14ac:dyDescent="0.25">
      <c r="A248" s="22"/>
      <c r="B248" s="7" t="s">
        <v>445</v>
      </c>
      <c r="C248" s="7" t="s">
        <v>446</v>
      </c>
      <c r="D248" s="8">
        <v>6</v>
      </c>
      <c r="E248" s="8">
        <v>6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L248" s="22"/>
    </row>
    <row r="249" spans="1:64" ht="15.75" x14ac:dyDescent="0.25">
      <c r="A249" s="22"/>
      <c r="B249" s="7" t="s">
        <v>447</v>
      </c>
      <c r="C249" s="7" t="s">
        <v>448</v>
      </c>
      <c r="D249" s="8">
        <v>6</v>
      </c>
      <c r="E249" s="8">
        <v>6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L249" s="22"/>
    </row>
    <row r="250" spans="1:64" ht="15.75" x14ac:dyDescent="0.25">
      <c r="A250" s="22"/>
      <c r="B250" s="7" t="s">
        <v>449</v>
      </c>
      <c r="C250" s="7" t="s">
        <v>450</v>
      </c>
      <c r="D250" s="8">
        <v>6</v>
      </c>
      <c r="E250" s="8">
        <v>6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L250" s="22"/>
    </row>
    <row r="251" spans="1:64" ht="15.75" x14ac:dyDescent="0.25">
      <c r="A251" s="22"/>
      <c r="B251" s="7" t="s">
        <v>451</v>
      </c>
      <c r="C251" s="7" t="s">
        <v>452</v>
      </c>
      <c r="D251" s="8">
        <v>6</v>
      </c>
      <c r="E251" s="8">
        <v>6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L251" s="22"/>
    </row>
    <row r="252" spans="1:64" ht="15.75" x14ac:dyDescent="0.25">
      <c r="A252" s="22"/>
      <c r="B252" s="7" t="s">
        <v>453</v>
      </c>
      <c r="C252" s="7" t="s">
        <v>454</v>
      </c>
      <c r="D252" s="8">
        <v>6</v>
      </c>
      <c r="E252" s="8">
        <v>6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L252" s="22"/>
    </row>
    <row r="253" spans="1:64" ht="15.75" x14ac:dyDescent="0.25">
      <c r="A253" s="22"/>
      <c r="B253" s="7" t="s">
        <v>455</v>
      </c>
      <c r="C253" s="7" t="s">
        <v>456</v>
      </c>
      <c r="D253" s="8">
        <v>6</v>
      </c>
      <c r="E253" s="8">
        <v>6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236.11600000000001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L253" s="22"/>
    </row>
    <row r="254" spans="1:64" ht="15.75" x14ac:dyDescent="0.25">
      <c r="A254" s="22"/>
      <c r="B254" s="7" t="s">
        <v>457</v>
      </c>
      <c r="C254" s="7" t="s">
        <v>458</v>
      </c>
      <c r="D254" s="8">
        <v>6</v>
      </c>
      <c r="E254" s="8">
        <v>6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6979.8130000000001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L254" s="22"/>
    </row>
    <row r="255" spans="1:64" ht="15.75" x14ac:dyDescent="0.25">
      <c r="A255" s="22"/>
      <c r="B255" s="7" t="s">
        <v>459</v>
      </c>
      <c r="C255" s="7" t="s">
        <v>460</v>
      </c>
      <c r="D255" s="8">
        <v>6</v>
      </c>
      <c r="E255" s="8">
        <v>6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L255" s="22"/>
    </row>
    <row r="256" spans="1:64" ht="15.75" x14ac:dyDescent="0.25">
      <c r="A256" s="22"/>
      <c r="B256" s="7" t="s">
        <v>461</v>
      </c>
      <c r="C256" s="7" t="s">
        <v>462</v>
      </c>
      <c r="D256" s="8">
        <v>6</v>
      </c>
      <c r="E256" s="8">
        <v>6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422.23399999999998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331.291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L256" s="22"/>
    </row>
    <row r="257" spans="1:64" ht="15.75" x14ac:dyDescent="0.25">
      <c r="A257" s="22"/>
      <c r="B257" s="7" t="s">
        <v>419</v>
      </c>
      <c r="C257" s="7" t="s">
        <v>463</v>
      </c>
      <c r="D257" s="8">
        <v>6</v>
      </c>
      <c r="E257" s="8">
        <v>6</v>
      </c>
      <c r="F257" s="8">
        <v>0</v>
      </c>
      <c r="G257" s="8">
        <v>0</v>
      </c>
      <c r="H257" s="8">
        <v>0</v>
      </c>
      <c r="I257" s="8">
        <v>0</v>
      </c>
      <c r="J257" s="8">
        <v>5.0000000000000001E-3</v>
      </c>
      <c r="K257" s="8">
        <v>0</v>
      </c>
      <c r="L257" s="8">
        <v>0</v>
      </c>
      <c r="M257" s="8">
        <v>3.2000000000000001E-2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3.6999999999999998E-2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L257" s="22"/>
    </row>
    <row r="258" spans="1:64" ht="15.75" x14ac:dyDescent="0.25">
      <c r="A258" s="22"/>
      <c r="B258" s="7" t="s">
        <v>421</v>
      </c>
      <c r="C258" s="7" t="s">
        <v>464</v>
      </c>
      <c r="D258" s="8">
        <v>6</v>
      </c>
      <c r="E258" s="8">
        <v>6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L258" s="22"/>
    </row>
    <row r="259" spans="1:64" ht="15.75" x14ac:dyDescent="0.25">
      <c r="A259" s="22"/>
      <c r="B259" s="7" t="s">
        <v>423</v>
      </c>
      <c r="C259" s="7" t="s">
        <v>465</v>
      </c>
      <c r="D259" s="8">
        <v>6</v>
      </c>
      <c r="E259" s="8">
        <v>6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L259" s="22"/>
    </row>
    <row r="260" spans="1:64" ht="15.75" x14ac:dyDescent="0.25">
      <c r="A260" s="22"/>
      <c r="B260" s="7" t="s">
        <v>425</v>
      </c>
      <c r="C260" s="7" t="s">
        <v>466</v>
      </c>
      <c r="D260" s="8">
        <v>6</v>
      </c>
      <c r="E260" s="8">
        <v>6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L260" s="22"/>
    </row>
    <row r="261" spans="1:64" ht="15.75" x14ac:dyDescent="0.25">
      <c r="A261" s="22"/>
      <c r="B261" s="7" t="s">
        <v>427</v>
      </c>
      <c r="C261" s="7" t="s">
        <v>467</v>
      </c>
      <c r="D261" s="8">
        <v>6</v>
      </c>
      <c r="E261" s="8">
        <v>6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L261" s="22"/>
    </row>
    <row r="262" spans="1:64" ht="15.75" x14ac:dyDescent="0.25">
      <c r="A262" s="22"/>
      <c r="B262" s="7" t="s">
        <v>429</v>
      </c>
      <c r="C262" s="7" t="s">
        <v>468</v>
      </c>
      <c r="D262" s="8">
        <v>6</v>
      </c>
      <c r="E262" s="8">
        <v>6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L262" s="22"/>
    </row>
    <row r="263" spans="1:64" ht="15.75" x14ac:dyDescent="0.25">
      <c r="A263" s="22"/>
      <c r="B263" s="7" t="s">
        <v>431</v>
      </c>
      <c r="C263" s="7" t="s">
        <v>469</v>
      </c>
      <c r="D263" s="8">
        <v>6</v>
      </c>
      <c r="E263" s="8">
        <v>6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L263" s="22"/>
    </row>
    <row r="264" spans="1:64" ht="15.75" x14ac:dyDescent="0.25">
      <c r="A264" s="22"/>
      <c r="B264" s="7" t="s">
        <v>433</v>
      </c>
      <c r="C264" s="7" t="s">
        <v>470</v>
      </c>
      <c r="D264" s="8">
        <v>6</v>
      </c>
      <c r="E264" s="8">
        <v>6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L264" s="22"/>
    </row>
    <row r="265" spans="1:64" ht="15.75" x14ac:dyDescent="0.25">
      <c r="A265" s="22"/>
      <c r="B265" s="7" t="s">
        <v>435</v>
      </c>
      <c r="C265" s="7" t="s">
        <v>471</v>
      </c>
      <c r="D265" s="8">
        <v>6</v>
      </c>
      <c r="E265" s="8">
        <v>6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L265" s="22"/>
    </row>
    <row r="266" spans="1:64" ht="15.75" x14ac:dyDescent="0.25">
      <c r="A266" s="22"/>
      <c r="B266" s="7" t="s">
        <v>437</v>
      </c>
      <c r="C266" s="7" t="s">
        <v>472</v>
      </c>
      <c r="D266" s="8">
        <v>6</v>
      </c>
      <c r="E266" s="8">
        <v>6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L266" s="22"/>
    </row>
    <row r="267" spans="1:64" ht="15.75" x14ac:dyDescent="0.25">
      <c r="A267" s="22"/>
      <c r="B267" s="7" t="s">
        <v>439</v>
      </c>
      <c r="C267" s="7" t="s">
        <v>473</v>
      </c>
      <c r="D267" s="8">
        <v>6</v>
      </c>
      <c r="E267" s="8">
        <v>6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L267" s="22"/>
    </row>
    <row r="268" spans="1:64" ht="15.75" x14ac:dyDescent="0.25">
      <c r="A268" s="22"/>
      <c r="B268" s="7" t="s">
        <v>441</v>
      </c>
      <c r="C268" s="7" t="s">
        <v>474</v>
      </c>
      <c r="D268" s="8">
        <v>6</v>
      </c>
      <c r="E268" s="8">
        <v>6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L268" s="22"/>
    </row>
    <row r="269" spans="1:64" ht="15.75" x14ac:dyDescent="0.25">
      <c r="A269" s="22"/>
      <c r="B269" s="7" t="s">
        <v>443</v>
      </c>
      <c r="C269" s="7" t="s">
        <v>475</v>
      </c>
      <c r="D269" s="8">
        <v>6</v>
      </c>
      <c r="E269" s="8">
        <v>6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244.60599999999999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331.82900000000001</v>
      </c>
      <c r="AZ269" s="8">
        <v>0</v>
      </c>
      <c r="BA269" s="8">
        <v>0</v>
      </c>
      <c r="BB269" s="8">
        <v>267.30500000000001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L269" s="22"/>
    </row>
    <row r="270" spans="1:64" ht="15.75" x14ac:dyDescent="0.25">
      <c r="A270" s="22"/>
      <c r="B270" s="7" t="s">
        <v>445</v>
      </c>
      <c r="C270" s="7" t="s">
        <v>476</v>
      </c>
      <c r="D270" s="8">
        <v>6</v>
      </c>
      <c r="E270" s="8">
        <v>6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L270" s="22"/>
    </row>
    <row r="271" spans="1:64" ht="15.75" x14ac:dyDescent="0.25">
      <c r="A271" s="22"/>
      <c r="B271" s="7" t="s">
        <v>447</v>
      </c>
      <c r="C271" s="7" t="s">
        <v>477</v>
      </c>
      <c r="D271" s="8">
        <v>6</v>
      </c>
      <c r="E271" s="8">
        <v>6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L271" s="22"/>
    </row>
    <row r="272" spans="1:64" ht="15.75" x14ac:dyDescent="0.25">
      <c r="A272" s="22"/>
      <c r="B272" s="7" t="s">
        <v>449</v>
      </c>
      <c r="C272" s="7" t="s">
        <v>478</v>
      </c>
      <c r="D272" s="8">
        <v>6</v>
      </c>
      <c r="E272" s="8">
        <v>6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L272" s="22"/>
    </row>
    <row r="273" spans="1:64" ht="15.75" x14ac:dyDescent="0.25">
      <c r="A273" s="22"/>
      <c r="B273" s="7" t="s">
        <v>451</v>
      </c>
      <c r="C273" s="7" t="s">
        <v>479</v>
      </c>
      <c r="D273" s="8">
        <v>6</v>
      </c>
      <c r="E273" s="8">
        <v>6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L273" s="22"/>
    </row>
    <row r="274" spans="1:64" ht="15.75" x14ac:dyDescent="0.25">
      <c r="A274" s="22"/>
      <c r="B274" s="7" t="s">
        <v>453</v>
      </c>
      <c r="C274" s="7" t="s">
        <v>480</v>
      </c>
      <c r="D274" s="8">
        <v>6</v>
      </c>
      <c r="E274" s="8">
        <v>6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L274" s="22"/>
    </row>
    <row r="275" spans="1:64" ht="15.75" x14ac:dyDescent="0.25">
      <c r="A275" s="22"/>
      <c r="B275" s="7" t="s">
        <v>455</v>
      </c>
      <c r="C275" s="7" t="s">
        <v>481</v>
      </c>
      <c r="D275" s="8">
        <v>6</v>
      </c>
      <c r="E275" s="8">
        <v>6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L275" s="22"/>
    </row>
    <row r="276" spans="1:64" ht="15.75" x14ac:dyDescent="0.25">
      <c r="A276" s="22"/>
      <c r="B276" s="7" t="s">
        <v>457</v>
      </c>
      <c r="C276" s="7" t="s">
        <v>482</v>
      </c>
      <c r="D276" s="8">
        <v>6</v>
      </c>
      <c r="E276" s="8">
        <v>6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L276" s="22"/>
    </row>
    <row r="277" spans="1:64" ht="15.75" x14ac:dyDescent="0.25">
      <c r="A277" s="22"/>
      <c r="B277" s="7" t="s">
        <v>459</v>
      </c>
      <c r="C277" s="7" t="s">
        <v>483</v>
      </c>
      <c r="D277" s="8">
        <v>6</v>
      </c>
      <c r="E277" s="8">
        <v>6</v>
      </c>
      <c r="F277" s="8">
        <v>2537.2159999999999</v>
      </c>
      <c r="G277" s="8">
        <v>1726.106</v>
      </c>
      <c r="H277" s="8">
        <v>126.447</v>
      </c>
      <c r="I277" s="8">
        <v>0</v>
      </c>
      <c r="J277" s="8">
        <v>131.38999999999999</v>
      </c>
      <c r="K277" s="8">
        <v>1354.4259999999999</v>
      </c>
      <c r="L277" s="8">
        <v>0</v>
      </c>
      <c r="M277" s="8">
        <v>3790.8609999999999</v>
      </c>
      <c r="N277" s="8">
        <v>203.44499999999999</v>
      </c>
      <c r="O277" s="8">
        <v>0</v>
      </c>
      <c r="P277" s="8">
        <v>0</v>
      </c>
      <c r="Q277" s="8">
        <v>5.0000000000000001E-3</v>
      </c>
      <c r="R277" s="8">
        <v>0</v>
      </c>
      <c r="S277" s="8">
        <v>0</v>
      </c>
      <c r="T277" s="8">
        <v>742.58699999999999</v>
      </c>
      <c r="U277" s="8">
        <v>0</v>
      </c>
      <c r="V277" s="8">
        <v>0</v>
      </c>
      <c r="W277" s="8">
        <v>274.38299999999998</v>
      </c>
      <c r="X277" s="8">
        <v>2.5659999999999998</v>
      </c>
      <c r="Y277" s="8">
        <v>0</v>
      </c>
      <c r="Z277" s="8">
        <v>102.876</v>
      </c>
      <c r="AA277" s="8">
        <v>0</v>
      </c>
      <c r="AB277" s="8">
        <v>3483.5479999999998</v>
      </c>
      <c r="AC277" s="8">
        <v>0</v>
      </c>
      <c r="AD277" s="8">
        <v>294.56</v>
      </c>
      <c r="AE277" s="8">
        <v>0</v>
      </c>
      <c r="AF277" s="8">
        <v>906.67399999999998</v>
      </c>
      <c r="AG277" s="8">
        <v>32.420999999999999</v>
      </c>
      <c r="AH277" s="8">
        <v>0</v>
      </c>
      <c r="AI277" s="8">
        <v>6153.134</v>
      </c>
      <c r="AJ277" s="8">
        <v>2.4E-2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831.80600000000004</v>
      </c>
      <c r="AQ277" s="8">
        <v>0</v>
      </c>
      <c r="AR277" s="8">
        <v>4.7759999999999998</v>
      </c>
      <c r="AS277" s="8">
        <v>0</v>
      </c>
      <c r="AT277" s="8">
        <v>2.6459999999999999</v>
      </c>
      <c r="AU277" s="8">
        <v>0</v>
      </c>
      <c r="AV277" s="8">
        <v>0.32400000000000001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378.66699999999997</v>
      </c>
      <c r="BD277" s="8">
        <v>0</v>
      </c>
      <c r="BE277" s="8">
        <v>0</v>
      </c>
      <c r="BF277" s="8">
        <v>112.366</v>
      </c>
      <c r="BG277" s="8">
        <v>0</v>
      </c>
      <c r="BH277" s="8">
        <v>0</v>
      </c>
      <c r="BI277" s="8">
        <v>0</v>
      </c>
      <c r="BL277" s="22"/>
    </row>
    <row r="278" spans="1:64" ht="15.75" x14ac:dyDescent="0.25">
      <c r="A278" s="22"/>
      <c r="B278" s="7" t="s">
        <v>461</v>
      </c>
      <c r="C278" s="7" t="s">
        <v>484</v>
      </c>
      <c r="D278" s="8">
        <v>6</v>
      </c>
      <c r="E278" s="8">
        <v>6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L278" s="22"/>
    </row>
    <row r="279" spans="1:64" ht="15.75" x14ac:dyDescent="0.25">
      <c r="A279" s="22"/>
      <c r="B279" s="7" t="s">
        <v>485</v>
      </c>
      <c r="C279" s="7" t="s">
        <v>486</v>
      </c>
      <c r="D279" s="8">
        <v>5</v>
      </c>
      <c r="E279" s="8">
        <v>5</v>
      </c>
      <c r="F279" s="8">
        <v>185624.35800000001</v>
      </c>
      <c r="G279" s="8">
        <v>0</v>
      </c>
      <c r="H279" s="8">
        <v>13971.562</v>
      </c>
      <c r="I279" s="8">
        <v>9.7569999999999997</v>
      </c>
      <c r="J279" s="8">
        <v>0</v>
      </c>
      <c r="K279" s="8">
        <v>45966.94</v>
      </c>
      <c r="L279" s="8">
        <v>9551.5409999999993</v>
      </c>
      <c r="M279" s="8">
        <v>100572.128</v>
      </c>
      <c r="N279" s="8">
        <v>201104.16500000001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3319.0079999999998</v>
      </c>
      <c r="W279" s="8">
        <v>14302.27</v>
      </c>
      <c r="X279" s="8">
        <v>10969.786</v>
      </c>
      <c r="Y279" s="8">
        <v>0</v>
      </c>
      <c r="Z279" s="8">
        <v>54491.264999999999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74311.137000000002</v>
      </c>
      <c r="AG279" s="8">
        <v>7592.8559999999998</v>
      </c>
      <c r="AH279" s="8">
        <v>26356.244999999999</v>
      </c>
      <c r="AI279" s="8">
        <v>550817.02</v>
      </c>
      <c r="AJ279" s="8">
        <v>151721.61199999999</v>
      </c>
      <c r="AK279" s="8">
        <v>1.1299999999999999</v>
      </c>
      <c r="AL279" s="8">
        <v>253.07499999999999</v>
      </c>
      <c r="AM279" s="8">
        <v>111.86</v>
      </c>
      <c r="AN279" s="8">
        <v>1072.7629999999999</v>
      </c>
      <c r="AO279" s="8">
        <v>107.855</v>
      </c>
      <c r="AP279" s="8">
        <v>0</v>
      </c>
      <c r="AQ279" s="8">
        <v>0</v>
      </c>
      <c r="AR279" s="8">
        <v>25671.973999999998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L279" s="22"/>
    </row>
    <row r="280" spans="1:64" ht="15.75" x14ac:dyDescent="0.25">
      <c r="A280" s="22"/>
      <c r="B280" s="7" t="s">
        <v>487</v>
      </c>
      <c r="C280" s="7" t="s">
        <v>488</v>
      </c>
      <c r="D280" s="8">
        <v>5</v>
      </c>
      <c r="E280" s="8">
        <v>5</v>
      </c>
      <c r="F280" s="8">
        <v>12533.144</v>
      </c>
      <c r="G280" s="8">
        <v>1095.8150000000001</v>
      </c>
      <c r="H280" s="8">
        <v>1535.5139999999999</v>
      </c>
      <c r="I280" s="8">
        <v>0</v>
      </c>
      <c r="J280" s="8">
        <v>266.24599999999998</v>
      </c>
      <c r="K280" s="8">
        <v>932.91399999999999</v>
      </c>
      <c r="L280" s="8">
        <v>0</v>
      </c>
      <c r="M280" s="8">
        <v>8962.85</v>
      </c>
      <c r="N280" s="8">
        <v>4145.4070000000002</v>
      </c>
      <c r="O280" s="8">
        <v>0</v>
      </c>
      <c r="P280" s="8">
        <v>0</v>
      </c>
      <c r="Q280" s="8">
        <v>47.982999999999997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156.06700000000001</v>
      </c>
      <c r="X280" s="8">
        <v>469.32100000000003</v>
      </c>
      <c r="Y280" s="8">
        <v>0</v>
      </c>
      <c r="Z280" s="8">
        <v>3702.569</v>
      </c>
      <c r="AA280" s="8">
        <v>0</v>
      </c>
      <c r="AB280" s="8">
        <v>1262.2750000000001</v>
      </c>
      <c r="AC280" s="8">
        <v>0</v>
      </c>
      <c r="AD280" s="8">
        <v>201.05</v>
      </c>
      <c r="AE280" s="8">
        <v>0</v>
      </c>
      <c r="AF280" s="8">
        <v>12042.273999999999</v>
      </c>
      <c r="AG280" s="8">
        <v>0</v>
      </c>
      <c r="AH280" s="8">
        <v>0</v>
      </c>
      <c r="AI280" s="8">
        <v>26303.294000000002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L280" s="22"/>
    </row>
    <row r="281" spans="1:64" ht="15.75" x14ac:dyDescent="0.25">
      <c r="A281" s="22"/>
      <c r="B281" s="7" t="s">
        <v>489</v>
      </c>
      <c r="C281" s="7" t="s">
        <v>490</v>
      </c>
      <c r="D281" s="8">
        <v>5</v>
      </c>
      <c r="E281" s="8">
        <v>5</v>
      </c>
      <c r="F281" s="8">
        <v>0</v>
      </c>
      <c r="G281" s="8">
        <v>0</v>
      </c>
      <c r="H281" s="8">
        <v>0</v>
      </c>
      <c r="I281" s="8">
        <v>2460.9229999999998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L281" s="22"/>
    </row>
    <row r="282" spans="1:64" ht="15.75" x14ac:dyDescent="0.25">
      <c r="A282" s="22"/>
      <c r="B282" s="7" t="s">
        <v>491</v>
      </c>
      <c r="C282" s="7" t="s">
        <v>492</v>
      </c>
      <c r="D282" s="8">
        <v>5</v>
      </c>
      <c r="E282" s="8">
        <v>5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L282" s="22"/>
    </row>
    <row r="283" spans="1:64" ht="15.75" x14ac:dyDescent="0.25">
      <c r="A283" s="22"/>
      <c r="B283" s="7" t="s">
        <v>493</v>
      </c>
      <c r="C283" s="7" t="s">
        <v>494</v>
      </c>
      <c r="D283" s="8">
        <v>5</v>
      </c>
      <c r="E283" s="8">
        <v>5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L283" s="22"/>
    </row>
    <row r="284" spans="1:64" ht="15.75" x14ac:dyDescent="0.25">
      <c r="A284" s="22"/>
      <c r="B284" s="7" t="s">
        <v>495</v>
      </c>
      <c r="C284" s="7" t="s">
        <v>496</v>
      </c>
      <c r="D284" s="8">
        <v>5</v>
      </c>
      <c r="E284" s="8">
        <v>5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L284" s="22"/>
    </row>
    <row r="285" spans="1:64" ht="15.75" x14ac:dyDescent="0.25">
      <c r="A285" s="22"/>
      <c r="B285" s="7" t="s">
        <v>497</v>
      </c>
      <c r="C285" s="7" t="s">
        <v>498</v>
      </c>
      <c r="D285" s="8">
        <v>5</v>
      </c>
      <c r="E285" s="8">
        <v>5</v>
      </c>
      <c r="F285" s="8">
        <v>44226.438999999998</v>
      </c>
      <c r="G285" s="8">
        <v>3866.8690000000001</v>
      </c>
      <c r="H285" s="8">
        <v>5418.46</v>
      </c>
      <c r="I285" s="8">
        <v>0</v>
      </c>
      <c r="J285" s="8">
        <v>939.50599999999997</v>
      </c>
      <c r="K285" s="8">
        <v>3292.0230000000001</v>
      </c>
      <c r="L285" s="8">
        <v>0</v>
      </c>
      <c r="M285" s="8">
        <v>38572.658000000003</v>
      </c>
      <c r="N285" s="8">
        <v>14628.143</v>
      </c>
      <c r="O285" s="8">
        <v>0</v>
      </c>
      <c r="P285" s="8">
        <v>0</v>
      </c>
      <c r="Q285" s="8">
        <v>169.32900000000001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550.72500000000002</v>
      </c>
      <c r="X285" s="8">
        <v>1656.1120000000001</v>
      </c>
      <c r="Y285" s="8">
        <v>0</v>
      </c>
      <c r="Z285" s="8">
        <v>13065.476000000001</v>
      </c>
      <c r="AA285" s="8">
        <v>0</v>
      </c>
      <c r="AB285" s="8">
        <v>4454.2629999999999</v>
      </c>
      <c r="AC285" s="8">
        <v>0</v>
      </c>
      <c r="AD285" s="8">
        <v>709.46799999999996</v>
      </c>
      <c r="AE285" s="8">
        <v>0</v>
      </c>
      <c r="AF285" s="8">
        <v>42494.288999999997</v>
      </c>
      <c r="AG285" s="8">
        <v>0</v>
      </c>
      <c r="AH285" s="8">
        <v>0</v>
      </c>
      <c r="AI285" s="8">
        <v>104778.527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L285" s="22"/>
    </row>
    <row r="286" spans="1:64" ht="15.75" x14ac:dyDescent="0.25">
      <c r="A286" s="22"/>
      <c r="B286" s="7" t="s">
        <v>499</v>
      </c>
      <c r="C286" s="7" t="s">
        <v>500</v>
      </c>
      <c r="D286" s="8">
        <v>5</v>
      </c>
      <c r="E286" s="8">
        <v>5</v>
      </c>
      <c r="F286" s="8">
        <v>206248.08300000001</v>
      </c>
      <c r="G286" s="8">
        <v>19057.486000000001</v>
      </c>
      <c r="H286" s="8">
        <v>28557.31</v>
      </c>
      <c r="I286" s="8">
        <v>0</v>
      </c>
      <c r="J286" s="8">
        <v>4969.482</v>
      </c>
      <c r="K286" s="8">
        <v>16823.178</v>
      </c>
      <c r="L286" s="8">
        <v>0</v>
      </c>
      <c r="M286" s="8">
        <v>153625.65100000001</v>
      </c>
      <c r="N286" s="8">
        <v>76098.457999999999</v>
      </c>
      <c r="O286" s="8">
        <v>0</v>
      </c>
      <c r="P286" s="8">
        <v>0</v>
      </c>
      <c r="Q286" s="8">
        <v>897.63499999999999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2377.3409999999999</v>
      </c>
      <c r="X286" s="8">
        <v>7232.384</v>
      </c>
      <c r="Y286" s="8">
        <v>0</v>
      </c>
      <c r="Z286" s="8">
        <v>56733.851000000002</v>
      </c>
      <c r="AA286" s="8">
        <v>0</v>
      </c>
      <c r="AB286" s="8">
        <v>19492.383000000002</v>
      </c>
      <c r="AC286" s="8">
        <v>0</v>
      </c>
      <c r="AD286" s="8">
        <v>3062.61</v>
      </c>
      <c r="AE286" s="8">
        <v>0</v>
      </c>
      <c r="AF286" s="8">
        <v>184418.95699999999</v>
      </c>
      <c r="AG286" s="8">
        <v>0</v>
      </c>
      <c r="AH286" s="8">
        <v>0</v>
      </c>
      <c r="AI286" s="8">
        <v>431666.94799999997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3.0000000000000001E-3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L286" s="22"/>
    </row>
    <row r="287" spans="1:64" ht="15.75" x14ac:dyDescent="0.25">
      <c r="A287" s="22"/>
      <c r="B287" s="7" t="s">
        <v>501</v>
      </c>
      <c r="C287" s="7" t="s">
        <v>502</v>
      </c>
      <c r="D287" s="8">
        <v>5</v>
      </c>
      <c r="E287" s="8">
        <v>5</v>
      </c>
      <c r="F287" s="8">
        <v>1037.133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3134.788</v>
      </c>
      <c r="N287" s="8">
        <v>152.03800000000001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1073.778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2256.8389999999999</v>
      </c>
      <c r="AG287" s="8">
        <v>0</v>
      </c>
      <c r="AH287" s="8">
        <v>0</v>
      </c>
      <c r="AI287" s="8">
        <v>6505.643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L287" s="22"/>
    </row>
    <row r="288" spans="1:64" ht="15.75" x14ac:dyDescent="0.25">
      <c r="A288" s="22"/>
      <c r="B288" s="7" t="s">
        <v>503</v>
      </c>
      <c r="C288" s="7" t="s">
        <v>504</v>
      </c>
      <c r="D288" s="8">
        <v>5</v>
      </c>
      <c r="E288" s="8">
        <v>5</v>
      </c>
      <c r="F288" s="8">
        <v>46941.785000000003</v>
      </c>
      <c r="G288" s="8">
        <v>4013.9850000000001</v>
      </c>
      <c r="H288" s="8">
        <v>5624.6049999999996</v>
      </c>
      <c r="I288" s="8">
        <v>0</v>
      </c>
      <c r="J288" s="8">
        <v>975.24599999999998</v>
      </c>
      <c r="K288" s="8">
        <v>3417.2719999999999</v>
      </c>
      <c r="L288" s="8">
        <v>0</v>
      </c>
      <c r="M288" s="8">
        <v>34000.673999999999</v>
      </c>
      <c r="N288" s="8">
        <v>15879.331</v>
      </c>
      <c r="O288" s="8">
        <v>0</v>
      </c>
      <c r="P288" s="8">
        <v>0</v>
      </c>
      <c r="Q288" s="8">
        <v>175.77199999999999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571.67600000000004</v>
      </c>
      <c r="X288" s="8">
        <v>1719.1220000000001</v>
      </c>
      <c r="Y288" s="8">
        <v>0</v>
      </c>
      <c r="Z288" s="8">
        <v>13562.557000000001</v>
      </c>
      <c r="AA288" s="8">
        <v>0</v>
      </c>
      <c r="AB288" s="8">
        <v>4623.732</v>
      </c>
      <c r="AC288" s="8">
        <v>0</v>
      </c>
      <c r="AD288" s="8">
        <v>736.45899999999995</v>
      </c>
      <c r="AE288" s="8">
        <v>0</v>
      </c>
      <c r="AF288" s="8">
        <v>44111.008999999998</v>
      </c>
      <c r="AG288" s="8">
        <v>0</v>
      </c>
      <c r="AH288" s="8">
        <v>0</v>
      </c>
      <c r="AI288" s="8">
        <v>97160.982999999993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L288" s="22"/>
    </row>
    <row r="289" spans="1:64" ht="15.75" x14ac:dyDescent="0.25">
      <c r="A289" s="22"/>
      <c r="B289" s="7" t="s">
        <v>505</v>
      </c>
      <c r="C289" s="7" t="s">
        <v>506</v>
      </c>
      <c r="D289" s="8">
        <v>5</v>
      </c>
      <c r="E289" s="8">
        <v>5</v>
      </c>
      <c r="F289" s="8">
        <v>42639.995000000003</v>
      </c>
      <c r="G289" s="8">
        <v>690.29700000000003</v>
      </c>
      <c r="H289" s="8">
        <v>967.28</v>
      </c>
      <c r="I289" s="8">
        <v>9985.4979999999996</v>
      </c>
      <c r="J289" s="8">
        <v>167.71700000000001</v>
      </c>
      <c r="K289" s="8">
        <v>587.67899999999997</v>
      </c>
      <c r="L289" s="8">
        <v>0</v>
      </c>
      <c r="M289" s="8">
        <v>62728.112999999998</v>
      </c>
      <c r="N289" s="8">
        <v>9906.1810000000005</v>
      </c>
      <c r="O289" s="8">
        <v>0</v>
      </c>
      <c r="P289" s="8">
        <v>0</v>
      </c>
      <c r="Q289" s="8">
        <v>30.225999999999999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98.313000000000002</v>
      </c>
      <c r="X289" s="8">
        <v>295.642</v>
      </c>
      <c r="Y289" s="8">
        <v>0</v>
      </c>
      <c r="Z289" s="8">
        <v>21329.279999999999</v>
      </c>
      <c r="AA289" s="8">
        <v>0</v>
      </c>
      <c r="AB289" s="8">
        <v>827.65700000000004</v>
      </c>
      <c r="AC289" s="8">
        <v>0</v>
      </c>
      <c r="AD289" s="8">
        <v>126.651</v>
      </c>
      <c r="AE289" s="8">
        <v>0</v>
      </c>
      <c r="AF289" s="8">
        <v>62170.063999999998</v>
      </c>
      <c r="AG289" s="8">
        <v>0</v>
      </c>
      <c r="AH289" s="8">
        <v>0</v>
      </c>
      <c r="AI289" s="8">
        <v>140578.03700000001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L289" s="22"/>
    </row>
    <row r="290" spans="1:64" ht="15.75" x14ac:dyDescent="0.25">
      <c r="A290" s="22"/>
      <c r="B290" s="7" t="s">
        <v>507</v>
      </c>
      <c r="C290" s="7" t="s">
        <v>508</v>
      </c>
      <c r="D290" s="8">
        <v>5</v>
      </c>
      <c r="E290" s="8">
        <v>5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L290" s="22"/>
    </row>
    <row r="291" spans="1:64" ht="15.75" x14ac:dyDescent="0.25">
      <c r="A291" s="22"/>
      <c r="B291" s="7" t="s">
        <v>509</v>
      </c>
      <c r="C291" s="7" t="s">
        <v>510</v>
      </c>
      <c r="D291" s="8">
        <v>5</v>
      </c>
      <c r="E291" s="8">
        <v>5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L291" s="22"/>
    </row>
    <row r="292" spans="1:64" ht="15.75" x14ac:dyDescent="0.25">
      <c r="A292" s="22"/>
      <c r="B292" s="7" t="s">
        <v>511</v>
      </c>
      <c r="C292" s="7" t="s">
        <v>512</v>
      </c>
      <c r="D292" s="8">
        <v>5</v>
      </c>
      <c r="E292" s="8">
        <v>5</v>
      </c>
      <c r="F292" s="8">
        <v>158303.073</v>
      </c>
      <c r="G292" s="8">
        <v>9552.4060000000009</v>
      </c>
      <c r="H292" s="8">
        <v>9530.5580000000009</v>
      </c>
      <c r="I292" s="8">
        <v>0</v>
      </c>
      <c r="J292" s="8">
        <v>1964.2059999999999</v>
      </c>
      <c r="K292" s="8">
        <v>5812.7610000000004</v>
      </c>
      <c r="L292" s="8">
        <v>0</v>
      </c>
      <c r="M292" s="8">
        <v>88238.134000000005</v>
      </c>
      <c r="N292" s="8">
        <v>25791.06</v>
      </c>
      <c r="O292" s="8">
        <v>0</v>
      </c>
      <c r="P292" s="8">
        <v>0</v>
      </c>
      <c r="Q292" s="8">
        <v>86.738</v>
      </c>
      <c r="R292" s="8">
        <v>0</v>
      </c>
      <c r="S292" s="8">
        <v>0.24199999999999999</v>
      </c>
      <c r="T292" s="8">
        <v>0</v>
      </c>
      <c r="U292" s="8">
        <v>0</v>
      </c>
      <c r="V292" s="8">
        <v>0</v>
      </c>
      <c r="W292" s="8">
        <v>1725.482</v>
      </c>
      <c r="X292" s="8">
        <v>4402.7560000000003</v>
      </c>
      <c r="Y292" s="8">
        <v>0</v>
      </c>
      <c r="Z292" s="8">
        <v>34746.807000000001</v>
      </c>
      <c r="AA292" s="8">
        <v>0</v>
      </c>
      <c r="AB292" s="8">
        <v>17613.731</v>
      </c>
      <c r="AC292" s="8">
        <v>0</v>
      </c>
      <c r="AD292" s="8">
        <v>3296.6030000000001</v>
      </c>
      <c r="AE292" s="8">
        <v>0</v>
      </c>
      <c r="AF292" s="8">
        <v>96604.558999999994</v>
      </c>
      <c r="AG292" s="8">
        <v>0</v>
      </c>
      <c r="AH292" s="8">
        <v>0</v>
      </c>
      <c r="AI292" s="8">
        <v>319388.245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L292" s="22"/>
    </row>
    <row r="293" spans="1:64" ht="15.75" x14ac:dyDescent="0.25">
      <c r="A293" s="22"/>
      <c r="B293" s="7" t="s">
        <v>513</v>
      </c>
      <c r="C293" s="7" t="s">
        <v>514</v>
      </c>
      <c r="D293" s="8">
        <v>5</v>
      </c>
      <c r="E293" s="8">
        <v>5</v>
      </c>
      <c r="F293" s="8">
        <v>169785.848</v>
      </c>
      <c r="G293" s="8">
        <v>9173.7029999999995</v>
      </c>
      <c r="H293" s="8">
        <v>8707.1769999999997</v>
      </c>
      <c r="I293" s="8">
        <v>0</v>
      </c>
      <c r="J293" s="8">
        <v>1845.116</v>
      </c>
      <c r="K293" s="8">
        <v>5314.2030000000004</v>
      </c>
      <c r="L293" s="8">
        <v>0</v>
      </c>
      <c r="M293" s="8">
        <v>104298.44899999999</v>
      </c>
      <c r="N293" s="8">
        <v>27267.213</v>
      </c>
      <c r="O293" s="8">
        <v>0</v>
      </c>
      <c r="P293" s="8">
        <v>0</v>
      </c>
      <c r="Q293" s="8">
        <v>44.988999999999997</v>
      </c>
      <c r="R293" s="8">
        <v>0</v>
      </c>
      <c r="S293" s="8">
        <v>0.26400000000000001</v>
      </c>
      <c r="T293" s="8">
        <v>0</v>
      </c>
      <c r="U293" s="8">
        <v>0</v>
      </c>
      <c r="V293" s="8">
        <v>0</v>
      </c>
      <c r="W293" s="8">
        <v>1699.261</v>
      </c>
      <c r="X293" s="8">
        <v>4264.232</v>
      </c>
      <c r="Y293" s="8">
        <v>0</v>
      </c>
      <c r="Z293" s="8">
        <v>33774.803999999996</v>
      </c>
      <c r="AA293" s="8">
        <v>0</v>
      </c>
      <c r="AB293" s="8">
        <v>17679.484</v>
      </c>
      <c r="AC293" s="8">
        <v>0</v>
      </c>
      <c r="AD293" s="8">
        <v>3344.3690000000001</v>
      </c>
      <c r="AE293" s="8">
        <v>0</v>
      </c>
      <c r="AF293" s="8">
        <v>96456.85</v>
      </c>
      <c r="AG293" s="8">
        <v>0</v>
      </c>
      <c r="AH293" s="8">
        <v>0</v>
      </c>
      <c r="AI293" s="8">
        <v>341972.17599999998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L293" s="22"/>
    </row>
    <row r="294" spans="1:64" ht="15.75" x14ac:dyDescent="0.25">
      <c r="A294" s="22"/>
      <c r="B294" s="7" t="s">
        <v>515</v>
      </c>
      <c r="C294" s="7" t="s">
        <v>516</v>
      </c>
      <c r="D294" s="8">
        <v>5</v>
      </c>
      <c r="E294" s="8">
        <v>5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L294" s="22"/>
    </row>
    <row r="295" spans="1:64" ht="15.75" x14ac:dyDescent="0.25">
      <c r="A295" s="22"/>
      <c r="B295" s="7" t="s">
        <v>517</v>
      </c>
      <c r="C295" s="7" t="s">
        <v>518</v>
      </c>
      <c r="D295" s="8">
        <v>5</v>
      </c>
      <c r="E295" s="8">
        <v>5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L295" s="22"/>
    </row>
    <row r="296" spans="1:64" ht="15.75" x14ac:dyDescent="0.25">
      <c r="A296" s="22"/>
      <c r="B296" s="7" t="s">
        <v>519</v>
      </c>
      <c r="C296" s="7" t="s">
        <v>520</v>
      </c>
      <c r="D296" s="8">
        <v>5</v>
      </c>
      <c r="E296" s="8">
        <v>5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L296" s="22"/>
    </row>
    <row r="297" spans="1:64" ht="15.75" x14ac:dyDescent="0.25">
      <c r="A297" s="22"/>
      <c r="B297" s="7" t="s">
        <v>521</v>
      </c>
      <c r="C297" s="7" t="s">
        <v>522</v>
      </c>
      <c r="D297" s="8">
        <v>5</v>
      </c>
      <c r="E297" s="8">
        <v>5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L297" s="22"/>
    </row>
    <row r="298" spans="1:64" ht="15.75" x14ac:dyDescent="0.25">
      <c r="A298" s="22"/>
      <c r="B298" s="7" t="s">
        <v>523</v>
      </c>
      <c r="C298" s="7" t="s">
        <v>524</v>
      </c>
      <c r="D298" s="8">
        <v>5</v>
      </c>
      <c r="E298" s="8">
        <v>5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L298" s="22"/>
    </row>
    <row r="299" spans="1:64" ht="15.75" x14ac:dyDescent="0.25">
      <c r="A299" s="22"/>
      <c r="B299" s="7" t="s">
        <v>525</v>
      </c>
      <c r="C299" s="7" t="s">
        <v>526</v>
      </c>
      <c r="D299" s="8">
        <v>5</v>
      </c>
      <c r="E299" s="8">
        <v>5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L299" s="22"/>
    </row>
    <row r="300" spans="1:64" ht="15.75" x14ac:dyDescent="0.25">
      <c r="A300" s="22"/>
      <c r="B300" s="7" t="s">
        <v>527</v>
      </c>
      <c r="C300" s="7" t="s">
        <v>528</v>
      </c>
      <c r="D300" s="8">
        <v>5</v>
      </c>
      <c r="E300" s="8">
        <v>5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L300" s="22"/>
    </row>
    <row r="301" spans="1:64" ht="15.75" x14ac:dyDescent="0.25">
      <c r="A301" s="22"/>
      <c r="B301" s="7" t="s">
        <v>529</v>
      </c>
      <c r="C301" s="7" t="s">
        <v>530</v>
      </c>
      <c r="D301" s="8">
        <v>5</v>
      </c>
      <c r="E301" s="8">
        <v>5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L301" s="22"/>
    </row>
    <row r="302" spans="1:64" ht="15.75" x14ac:dyDescent="0.25">
      <c r="A302" s="22"/>
      <c r="B302" s="7" t="s">
        <v>531</v>
      </c>
      <c r="C302" s="7" t="s">
        <v>532</v>
      </c>
      <c r="D302" s="8">
        <v>5</v>
      </c>
      <c r="E302" s="8">
        <v>5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L302" s="22"/>
    </row>
    <row r="303" spans="1:64" ht="15.75" x14ac:dyDescent="0.25">
      <c r="A303" s="22"/>
      <c r="B303" s="7" t="s">
        <v>533</v>
      </c>
      <c r="C303" s="7" t="s">
        <v>534</v>
      </c>
      <c r="D303" s="8">
        <v>5</v>
      </c>
      <c r="E303" s="8">
        <v>5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L303" s="22"/>
    </row>
    <row r="304" spans="1:64" ht="15.75" x14ac:dyDescent="0.25">
      <c r="A304" s="22"/>
      <c r="B304" s="7" t="s">
        <v>535</v>
      </c>
      <c r="C304" s="7" t="s">
        <v>536</v>
      </c>
      <c r="D304" s="8">
        <v>5</v>
      </c>
      <c r="E304" s="8">
        <v>5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L304" s="22"/>
    </row>
    <row r="305" spans="1:64" ht="15.75" x14ac:dyDescent="0.25">
      <c r="A305" s="22"/>
      <c r="B305" s="7" t="s">
        <v>537</v>
      </c>
      <c r="C305" s="7" t="s">
        <v>538</v>
      </c>
      <c r="D305" s="8">
        <v>5</v>
      </c>
      <c r="E305" s="8">
        <v>5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L305" s="22"/>
    </row>
    <row r="306" spans="1:64" ht="15.75" x14ac:dyDescent="0.25">
      <c r="A306" s="22"/>
      <c r="B306" s="7" t="s">
        <v>539</v>
      </c>
      <c r="C306" s="7" t="s">
        <v>540</v>
      </c>
      <c r="D306" s="8">
        <v>5</v>
      </c>
      <c r="E306" s="8">
        <v>5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L306" s="22"/>
    </row>
    <row r="307" spans="1:64" ht="15.75" x14ac:dyDescent="0.25">
      <c r="A307" s="22"/>
      <c r="B307" s="7" t="s">
        <v>541</v>
      </c>
      <c r="C307" s="7" t="s">
        <v>542</v>
      </c>
      <c r="D307" s="8">
        <v>5</v>
      </c>
      <c r="E307" s="8">
        <v>5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L307" s="22"/>
    </row>
    <row r="308" spans="1:64" ht="15.75" x14ac:dyDescent="0.25">
      <c r="A308" s="22"/>
      <c r="B308" s="7" t="s">
        <v>543</v>
      </c>
      <c r="C308" s="7" t="s">
        <v>544</v>
      </c>
      <c r="D308" s="8">
        <v>5</v>
      </c>
      <c r="E308" s="8">
        <v>5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L308" s="22"/>
    </row>
    <row r="309" spans="1:64" ht="15.75" x14ac:dyDescent="0.25">
      <c r="A309" s="22"/>
      <c r="B309" s="7" t="s">
        <v>545</v>
      </c>
      <c r="C309" s="7" t="s">
        <v>546</v>
      </c>
      <c r="D309" s="8">
        <v>5</v>
      </c>
      <c r="E309" s="8">
        <v>5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L309" s="22"/>
    </row>
    <row r="310" spans="1:64" ht="15.75" x14ac:dyDescent="0.25">
      <c r="A310" s="22"/>
      <c r="B310" s="7" t="s">
        <v>547</v>
      </c>
      <c r="C310" s="7" t="s">
        <v>548</v>
      </c>
      <c r="D310" s="8">
        <v>5</v>
      </c>
      <c r="E310" s="8">
        <v>5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L310" s="22"/>
    </row>
    <row r="311" spans="1:64" ht="15.75" x14ac:dyDescent="0.25">
      <c r="A311" s="22"/>
      <c r="B311" s="7" t="s">
        <v>549</v>
      </c>
      <c r="C311" s="7" t="s">
        <v>550</v>
      </c>
      <c r="D311" s="8">
        <v>5</v>
      </c>
      <c r="E311" s="8">
        <v>5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L311" s="22"/>
    </row>
    <row r="312" spans="1:64" ht="15.75" x14ac:dyDescent="0.25">
      <c r="A312" s="22"/>
      <c r="B312" s="7" t="s">
        <v>551</v>
      </c>
      <c r="C312" s="7" t="s">
        <v>552</v>
      </c>
      <c r="D312" s="8">
        <v>5</v>
      </c>
      <c r="E312" s="8">
        <v>5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L312" s="22"/>
    </row>
    <row r="313" spans="1:64" ht="15.75" x14ac:dyDescent="0.25">
      <c r="A313" s="22"/>
      <c r="B313" s="7" t="s">
        <v>553</v>
      </c>
      <c r="C313" s="7" t="s">
        <v>554</v>
      </c>
      <c r="D313" s="8">
        <v>5</v>
      </c>
      <c r="E313" s="8">
        <v>5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L313" s="22"/>
    </row>
    <row r="314" spans="1:64" ht="15.75" x14ac:dyDescent="0.25">
      <c r="A314" s="22"/>
      <c r="B314" s="7" t="s">
        <v>555</v>
      </c>
      <c r="C314" s="7" t="s">
        <v>556</v>
      </c>
      <c r="D314" s="8">
        <v>5</v>
      </c>
      <c r="E314" s="8">
        <v>5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L314" s="22"/>
    </row>
    <row r="315" spans="1:64" ht="15.75" x14ac:dyDescent="0.25">
      <c r="A315" s="22"/>
      <c r="B315" s="7" t="s">
        <v>557</v>
      </c>
      <c r="C315" s="7" t="s">
        <v>558</v>
      </c>
      <c r="D315" s="8">
        <v>5</v>
      </c>
      <c r="E315" s="8">
        <v>5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L315" s="22"/>
    </row>
    <row r="316" spans="1:64" ht="15.75" x14ac:dyDescent="0.25">
      <c r="A316" s="22"/>
      <c r="B316" s="7" t="s">
        <v>559</v>
      </c>
      <c r="C316" s="7" t="s">
        <v>560</v>
      </c>
      <c r="D316" s="8">
        <v>5</v>
      </c>
      <c r="E316" s="8">
        <v>5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L316" s="22"/>
    </row>
    <row r="317" spans="1:64" ht="15.75" x14ac:dyDescent="0.25">
      <c r="A317" s="22"/>
      <c r="B317" s="7" t="s">
        <v>561</v>
      </c>
      <c r="C317" s="7" t="s">
        <v>562</v>
      </c>
      <c r="D317" s="8">
        <v>5</v>
      </c>
      <c r="E317" s="8">
        <v>5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L317" s="22"/>
    </row>
    <row r="318" spans="1:64" ht="15.75" x14ac:dyDescent="0.25">
      <c r="A318" s="22"/>
      <c r="B318" s="7" t="s">
        <v>563</v>
      </c>
      <c r="C318" s="7" t="s">
        <v>564</v>
      </c>
      <c r="D318" s="8">
        <v>5</v>
      </c>
      <c r="E318" s="8">
        <v>5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L318" s="22"/>
    </row>
    <row r="319" spans="1:64" ht="15.75" x14ac:dyDescent="0.25">
      <c r="A319" s="22"/>
      <c r="B319" s="7" t="s">
        <v>565</v>
      </c>
      <c r="C319" s="7" t="s">
        <v>566</v>
      </c>
      <c r="D319" s="8">
        <v>5</v>
      </c>
      <c r="E319" s="8">
        <v>5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L319" s="22"/>
    </row>
    <row r="320" spans="1:64" ht="15.75" x14ac:dyDescent="0.25">
      <c r="A320" s="22"/>
      <c r="B320" s="7" t="s">
        <v>567</v>
      </c>
      <c r="C320" s="7" t="s">
        <v>568</v>
      </c>
      <c r="D320" s="8">
        <v>5</v>
      </c>
      <c r="E320" s="8">
        <v>5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L320" s="22"/>
    </row>
    <row r="321" spans="1:64" ht="15.75" x14ac:dyDescent="0.25">
      <c r="A321" s="22"/>
      <c r="B321" s="7" t="s">
        <v>569</v>
      </c>
      <c r="C321" s="7" t="s">
        <v>570</v>
      </c>
      <c r="D321" s="8">
        <v>5</v>
      </c>
      <c r="E321" s="8">
        <v>5</v>
      </c>
      <c r="F321" s="8">
        <v>-51592.650999999998</v>
      </c>
      <c r="G321" s="8">
        <v>-7078.2179999999998</v>
      </c>
      <c r="H321" s="8">
        <v>0</v>
      </c>
      <c r="I321" s="8">
        <v>0</v>
      </c>
      <c r="J321" s="8">
        <v>-196.03200000000001</v>
      </c>
      <c r="K321" s="8">
        <v>0</v>
      </c>
      <c r="L321" s="8">
        <v>0</v>
      </c>
      <c r="M321" s="8">
        <v>-108240.005</v>
      </c>
      <c r="N321" s="8">
        <v>-3067.1309999999999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-2280.047</v>
      </c>
      <c r="U321" s="8">
        <v>0</v>
      </c>
      <c r="V321" s="8">
        <v>0</v>
      </c>
      <c r="W321" s="8">
        <v>0</v>
      </c>
      <c r="X321" s="8">
        <v>-767.34199999999998</v>
      </c>
      <c r="Y321" s="8">
        <v>0</v>
      </c>
      <c r="Z321" s="8">
        <v>-25653.651999999998</v>
      </c>
      <c r="AA321" s="8">
        <v>0</v>
      </c>
      <c r="AB321" s="8">
        <v>-4379.259</v>
      </c>
      <c r="AC321" s="8">
        <v>0</v>
      </c>
      <c r="AD321" s="8">
        <v>-1451.847</v>
      </c>
      <c r="AE321" s="8">
        <v>0</v>
      </c>
      <c r="AF321" s="8">
        <v>-73675.948999999993</v>
      </c>
      <c r="AG321" s="8">
        <v>-67664.125</v>
      </c>
      <c r="AH321" s="8">
        <v>0</v>
      </c>
      <c r="AI321" s="8">
        <v>-190556.93700000001</v>
      </c>
      <c r="AJ321" s="8">
        <v>-97817.225999999995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-2376.9560000000001</v>
      </c>
      <c r="AQ321" s="8">
        <v>0</v>
      </c>
      <c r="AR321" s="8">
        <v>-27772.51</v>
      </c>
      <c r="AS321" s="8">
        <v>0</v>
      </c>
      <c r="AT321" s="8">
        <v>-23.08</v>
      </c>
      <c r="AU321" s="8">
        <v>0</v>
      </c>
      <c r="AV321" s="8">
        <v>-144.44499999999999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-1102.6659999999999</v>
      </c>
      <c r="BD321" s="8">
        <v>0</v>
      </c>
      <c r="BE321" s="8">
        <v>0</v>
      </c>
      <c r="BF321" s="8">
        <v>-329.63200000000001</v>
      </c>
      <c r="BG321" s="8">
        <v>0</v>
      </c>
      <c r="BH321" s="8">
        <v>0</v>
      </c>
      <c r="BI321" s="8">
        <v>0</v>
      </c>
      <c r="BL321" s="22"/>
    </row>
    <row r="322" spans="1:64" ht="15.75" x14ac:dyDescent="0.25">
      <c r="A322" s="22"/>
      <c r="B322" s="7" t="s">
        <v>571</v>
      </c>
      <c r="C322" s="7" t="s">
        <v>572</v>
      </c>
      <c r="D322" s="8">
        <v>5</v>
      </c>
      <c r="E322" s="8">
        <v>5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L322" s="22"/>
    </row>
    <row r="323" spans="1:64" ht="15.75" x14ac:dyDescent="0.25">
      <c r="A323" s="22"/>
      <c r="B323" s="7" t="s">
        <v>573</v>
      </c>
      <c r="C323" s="7" t="s">
        <v>574</v>
      </c>
      <c r="D323" s="8">
        <v>5</v>
      </c>
      <c r="E323" s="8">
        <v>5</v>
      </c>
      <c r="F323" s="8">
        <v>-50186.595999999998</v>
      </c>
      <c r="G323" s="8">
        <v>-6885.3140000000003</v>
      </c>
      <c r="H323" s="8">
        <v>0</v>
      </c>
      <c r="I323" s="8">
        <v>0</v>
      </c>
      <c r="J323" s="8">
        <v>-190.68799999999999</v>
      </c>
      <c r="K323" s="8">
        <v>0</v>
      </c>
      <c r="L323" s="8">
        <v>0</v>
      </c>
      <c r="M323" s="8">
        <v>-105290.133</v>
      </c>
      <c r="N323" s="8">
        <v>-2983.5419999999999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-2217.9079999999999</v>
      </c>
      <c r="U323" s="8">
        <v>0</v>
      </c>
      <c r="V323" s="8">
        <v>0</v>
      </c>
      <c r="W323" s="8">
        <v>0</v>
      </c>
      <c r="X323" s="8">
        <v>-746.428</v>
      </c>
      <c r="Y323" s="8">
        <v>0</v>
      </c>
      <c r="Z323" s="8">
        <v>-24954.510999999999</v>
      </c>
      <c r="AA323" s="8">
        <v>0</v>
      </c>
      <c r="AB323" s="8">
        <v>-4259.9110000000001</v>
      </c>
      <c r="AC323" s="8">
        <v>0</v>
      </c>
      <c r="AD323" s="8">
        <v>-1412.279</v>
      </c>
      <c r="AE323" s="8">
        <v>0</v>
      </c>
      <c r="AF323" s="8">
        <v>-71668.054999999993</v>
      </c>
      <c r="AG323" s="8">
        <v>-65820.072</v>
      </c>
      <c r="AH323" s="8">
        <v>0</v>
      </c>
      <c r="AI323" s="8">
        <v>-185363.68100000001</v>
      </c>
      <c r="AJ323" s="8">
        <v>-95151.407000000007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-2312.1750000000002</v>
      </c>
      <c r="AQ323" s="8">
        <v>0</v>
      </c>
      <c r="AR323" s="8">
        <v>-27015.625</v>
      </c>
      <c r="AS323" s="8">
        <v>0</v>
      </c>
      <c r="AT323" s="8">
        <v>-22.452000000000002</v>
      </c>
      <c r="AU323" s="8">
        <v>0</v>
      </c>
      <c r="AV323" s="8">
        <v>-140.50299999999999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-1072.614</v>
      </c>
      <c r="BD323" s="8">
        <v>0</v>
      </c>
      <c r="BE323" s="8">
        <v>0</v>
      </c>
      <c r="BF323" s="8">
        <v>-320.649</v>
      </c>
      <c r="BG323" s="8">
        <v>0</v>
      </c>
      <c r="BH323" s="8">
        <v>0</v>
      </c>
      <c r="BI323" s="8">
        <v>0</v>
      </c>
      <c r="BL323" s="22"/>
    </row>
    <row r="324" spans="1:64" ht="15.75" x14ac:dyDescent="0.25">
      <c r="A324" s="22"/>
      <c r="B324" s="7" t="s">
        <v>575</v>
      </c>
      <c r="C324" s="7" t="s">
        <v>576</v>
      </c>
      <c r="D324" s="8">
        <v>6</v>
      </c>
      <c r="E324" s="8">
        <v>6</v>
      </c>
      <c r="F324" s="8">
        <v>54.396000000000001</v>
      </c>
      <c r="G324" s="8">
        <v>0</v>
      </c>
      <c r="H324" s="8">
        <v>0</v>
      </c>
      <c r="I324" s="8">
        <v>0</v>
      </c>
      <c r="J324" s="8">
        <v>76.753</v>
      </c>
      <c r="K324" s="8">
        <v>0</v>
      </c>
      <c r="L324" s="8">
        <v>0</v>
      </c>
      <c r="M324" s="8">
        <v>16125.24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L324" s="22"/>
    </row>
    <row r="325" spans="1:64" ht="15.75" x14ac:dyDescent="0.25">
      <c r="A325" s="22"/>
      <c r="B325" s="7" t="s">
        <v>577</v>
      </c>
      <c r="C325" s="7" t="s">
        <v>578</v>
      </c>
      <c r="D325" s="8">
        <v>6</v>
      </c>
      <c r="E325" s="8">
        <v>6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L325" s="22"/>
    </row>
    <row r="326" spans="1:64" ht="15.75" x14ac:dyDescent="0.25">
      <c r="A326" s="22"/>
      <c r="B326" s="7" t="s">
        <v>579</v>
      </c>
      <c r="C326" s="7" t="s">
        <v>580</v>
      </c>
      <c r="D326" s="8">
        <v>6</v>
      </c>
      <c r="E326" s="8">
        <v>6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L326" s="22"/>
    </row>
    <row r="327" spans="1:64" ht="15.75" x14ac:dyDescent="0.25">
      <c r="A327" s="22"/>
      <c r="B327" s="7" t="s">
        <v>581</v>
      </c>
      <c r="C327" s="7" t="s">
        <v>582</v>
      </c>
      <c r="D327" s="8">
        <v>6</v>
      </c>
      <c r="E327" s="8">
        <v>6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L327" s="22"/>
    </row>
    <row r="328" spans="1:64" ht="15.75" x14ac:dyDescent="0.25">
      <c r="A328" s="22"/>
      <c r="B328" s="7" t="s">
        <v>583</v>
      </c>
      <c r="C328" s="7" t="s">
        <v>584</v>
      </c>
      <c r="D328" s="8">
        <v>6</v>
      </c>
      <c r="E328" s="8">
        <v>6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L328" s="22"/>
    </row>
    <row r="329" spans="1:64" ht="15.75" x14ac:dyDescent="0.25">
      <c r="A329" s="22"/>
      <c r="B329" s="7" t="s">
        <v>585</v>
      </c>
      <c r="C329" s="7" t="s">
        <v>586</v>
      </c>
      <c r="D329" s="8">
        <v>6</v>
      </c>
      <c r="E329" s="8">
        <v>6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L329" s="22"/>
    </row>
    <row r="330" spans="1:64" ht="15.75" x14ac:dyDescent="0.25">
      <c r="A330" s="22"/>
      <c r="B330" s="7" t="s">
        <v>587</v>
      </c>
      <c r="C330" s="7" t="s">
        <v>588</v>
      </c>
      <c r="D330" s="8">
        <v>6</v>
      </c>
      <c r="E330" s="8">
        <v>6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L330" s="22"/>
    </row>
    <row r="331" spans="1:64" ht="15.75" x14ac:dyDescent="0.25">
      <c r="A331" s="22"/>
      <c r="B331" s="7" t="s">
        <v>589</v>
      </c>
      <c r="C331" s="7" t="s">
        <v>590</v>
      </c>
      <c r="D331" s="8">
        <v>6</v>
      </c>
      <c r="E331" s="8">
        <v>6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L331" s="22"/>
    </row>
    <row r="332" spans="1:64" ht="15.75" x14ac:dyDescent="0.25">
      <c r="A332" s="22"/>
      <c r="B332" s="7" t="s">
        <v>591</v>
      </c>
      <c r="C332" s="7" t="s">
        <v>592</v>
      </c>
      <c r="D332" s="8">
        <v>6</v>
      </c>
      <c r="E332" s="8">
        <v>6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L332" s="22"/>
    </row>
    <row r="333" spans="1:64" ht="15.75" x14ac:dyDescent="0.25">
      <c r="A333" s="22"/>
      <c r="B333" s="7" t="s">
        <v>593</v>
      </c>
      <c r="C333" s="7" t="s">
        <v>594</v>
      </c>
      <c r="D333" s="8">
        <v>6</v>
      </c>
      <c r="E333" s="8">
        <v>6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L333" s="22"/>
    </row>
    <row r="334" spans="1:64" ht="15.75" x14ac:dyDescent="0.25">
      <c r="A334" s="22"/>
      <c r="B334" s="7" t="s">
        <v>595</v>
      </c>
      <c r="C334" s="7" t="s">
        <v>596</v>
      </c>
      <c r="D334" s="8">
        <v>6</v>
      </c>
      <c r="E334" s="8">
        <v>6</v>
      </c>
      <c r="F334" s="8">
        <v>51867.608</v>
      </c>
      <c r="G334" s="8">
        <v>3358.6390000000001</v>
      </c>
      <c r="H334" s="8">
        <v>2964.3960000000002</v>
      </c>
      <c r="I334" s="8">
        <v>2328.0929999999998</v>
      </c>
      <c r="J334" s="8">
        <v>627.91499999999996</v>
      </c>
      <c r="K334" s="8">
        <v>1858.5820000000001</v>
      </c>
      <c r="L334" s="8">
        <v>0</v>
      </c>
      <c r="M334" s="8">
        <v>29411.507000000001</v>
      </c>
      <c r="N334" s="8">
        <v>8084.5029999999997</v>
      </c>
      <c r="O334" s="8">
        <v>0</v>
      </c>
      <c r="P334" s="8">
        <v>0</v>
      </c>
      <c r="Q334" s="8">
        <v>21.535</v>
      </c>
      <c r="R334" s="8">
        <v>0</v>
      </c>
      <c r="S334" s="8">
        <v>7.9320000000000004</v>
      </c>
      <c r="T334" s="8">
        <v>7.2389999999999999</v>
      </c>
      <c r="U334" s="8">
        <v>0</v>
      </c>
      <c r="V334" s="8">
        <v>0</v>
      </c>
      <c r="W334" s="8">
        <v>553.14800000000002</v>
      </c>
      <c r="X334" s="8">
        <v>1402.39</v>
      </c>
      <c r="Y334" s="8">
        <v>5.1999999999999998E-2</v>
      </c>
      <c r="Z334" s="8">
        <v>11372.561</v>
      </c>
      <c r="AA334" s="8">
        <v>0</v>
      </c>
      <c r="AB334" s="8">
        <v>5755.4009999999998</v>
      </c>
      <c r="AC334" s="8">
        <v>0.47899999999999998</v>
      </c>
      <c r="AD334" s="8">
        <v>1075.1500000000001</v>
      </c>
      <c r="AE334" s="8">
        <v>0.33200000000000002</v>
      </c>
      <c r="AF334" s="8">
        <v>30692.78</v>
      </c>
      <c r="AG334" s="8">
        <v>345.7</v>
      </c>
      <c r="AH334" s="8">
        <v>1.2090000000000001</v>
      </c>
      <c r="AI334" s="8">
        <v>104505.15</v>
      </c>
      <c r="AJ334" s="8">
        <v>245.583</v>
      </c>
      <c r="AK334" s="8">
        <v>0</v>
      </c>
      <c r="AL334" s="8">
        <v>4.4939999999999998</v>
      </c>
      <c r="AM334" s="8">
        <v>11.792999999999999</v>
      </c>
      <c r="AN334" s="8">
        <v>0</v>
      </c>
      <c r="AO334" s="8">
        <v>10.425000000000001</v>
      </c>
      <c r="AP334" s="8">
        <v>5.1980000000000004</v>
      </c>
      <c r="AQ334" s="8">
        <v>17.866</v>
      </c>
      <c r="AR334" s="8">
        <v>61.347999999999999</v>
      </c>
      <c r="AS334" s="8">
        <v>4.3179999999999996</v>
      </c>
      <c r="AT334" s="8">
        <v>6.5000000000000002E-2</v>
      </c>
      <c r="AU334" s="8">
        <v>0</v>
      </c>
      <c r="AV334" s="8">
        <v>1.8029999999999999</v>
      </c>
      <c r="AW334" s="8">
        <v>11.488</v>
      </c>
      <c r="AX334" s="8">
        <v>25.876999999999999</v>
      </c>
      <c r="AY334" s="8">
        <v>0.27500000000000002</v>
      </c>
      <c r="AZ334" s="8">
        <v>7.78</v>
      </c>
      <c r="BA334" s="8">
        <v>104.887</v>
      </c>
      <c r="BB334" s="8">
        <v>0</v>
      </c>
      <c r="BC334" s="8">
        <v>2.3069999999999999</v>
      </c>
      <c r="BD334" s="8">
        <v>0</v>
      </c>
      <c r="BE334" s="8">
        <v>136.34100000000001</v>
      </c>
      <c r="BF334" s="8">
        <v>0.65600000000000003</v>
      </c>
      <c r="BG334" s="8">
        <v>47.152000000000001</v>
      </c>
      <c r="BH334" s="8">
        <v>0.30199999999999999</v>
      </c>
      <c r="BI334" s="8">
        <v>0</v>
      </c>
      <c r="BL334" s="22"/>
    </row>
    <row r="335" spans="1:64" ht="15.75" x14ac:dyDescent="0.25">
      <c r="A335" s="22"/>
      <c r="B335" s="7" t="s">
        <v>597</v>
      </c>
      <c r="C335" s="7" t="s">
        <v>598</v>
      </c>
      <c r="D335" s="8">
        <v>6</v>
      </c>
      <c r="E335" s="8">
        <v>6</v>
      </c>
      <c r="F335" s="8">
        <v>-43335.91</v>
      </c>
      <c r="G335" s="8">
        <v>-1974.6790000000001</v>
      </c>
      <c r="H335" s="8">
        <v>-901.12400000000002</v>
      </c>
      <c r="I335" s="8">
        <v>-8229.134</v>
      </c>
      <c r="J335" s="8">
        <v>-325.13</v>
      </c>
      <c r="K335" s="8">
        <v>-758.77099999999996</v>
      </c>
      <c r="L335" s="8">
        <v>0</v>
      </c>
      <c r="M335" s="8">
        <v>-20013.705000000002</v>
      </c>
      <c r="N335" s="8">
        <v>-3313.377</v>
      </c>
      <c r="O335" s="8">
        <v>-0.33300000000000002</v>
      </c>
      <c r="P335" s="8">
        <v>-8.6999999999999994E-2</v>
      </c>
      <c r="Q335" s="8">
        <v>-65.992000000000004</v>
      </c>
      <c r="R335" s="8">
        <v>0</v>
      </c>
      <c r="S335" s="8">
        <v>-128.46199999999999</v>
      </c>
      <c r="T335" s="8">
        <v>-26.36</v>
      </c>
      <c r="U335" s="8">
        <v>0</v>
      </c>
      <c r="V335" s="8">
        <v>0</v>
      </c>
      <c r="W335" s="8">
        <v>-90.596999999999994</v>
      </c>
      <c r="X335" s="8">
        <v>-240.97200000000001</v>
      </c>
      <c r="Y335" s="8">
        <v>-9.2370000000000001</v>
      </c>
      <c r="Z335" s="8">
        <v>-12112.49</v>
      </c>
      <c r="AA335" s="8">
        <v>-0.68700000000000006</v>
      </c>
      <c r="AB335" s="8">
        <v>-2435.3110000000001</v>
      </c>
      <c r="AC335" s="8">
        <v>-19.088999999999999</v>
      </c>
      <c r="AD335" s="8">
        <v>-170.548</v>
      </c>
      <c r="AE335" s="8">
        <v>0</v>
      </c>
      <c r="AF335" s="8">
        <v>-6648.2709999999997</v>
      </c>
      <c r="AG335" s="8">
        <v>-244.14400000000001</v>
      </c>
      <c r="AH335" s="8">
        <v>0</v>
      </c>
      <c r="AI335" s="8">
        <v>-43786.283000000003</v>
      </c>
      <c r="AJ335" s="8">
        <v>-705.66200000000003</v>
      </c>
      <c r="AK335" s="8">
        <v>-2.3820000000000001</v>
      </c>
      <c r="AL335" s="8">
        <v>-20.462</v>
      </c>
      <c r="AM335" s="8">
        <v>-0.73699999999999999</v>
      </c>
      <c r="AN335" s="8">
        <v>0</v>
      </c>
      <c r="AO335" s="8">
        <v>-57.707999999999998</v>
      </c>
      <c r="AP335" s="8">
        <v>-7.2</v>
      </c>
      <c r="AQ335" s="8">
        <v>0</v>
      </c>
      <c r="AR335" s="8">
        <v>-86.921999999999997</v>
      </c>
      <c r="AS335" s="8">
        <v>0</v>
      </c>
      <c r="AT335" s="8">
        <v>-1.5529999999999999</v>
      </c>
      <c r="AU335" s="8">
        <v>0</v>
      </c>
      <c r="AV335" s="8">
        <v>-0.84599999999999997</v>
      </c>
      <c r="AW335" s="8">
        <v>0</v>
      </c>
      <c r="AX335" s="8">
        <v>0</v>
      </c>
      <c r="AY335" s="8">
        <v>-77.543999999999997</v>
      </c>
      <c r="AZ335" s="8">
        <v>-3.4969999999999999</v>
      </c>
      <c r="BA335" s="8">
        <v>-128.863</v>
      </c>
      <c r="BB335" s="8">
        <v>0</v>
      </c>
      <c r="BC335" s="8">
        <v>-8.141</v>
      </c>
      <c r="BD335" s="8">
        <v>0</v>
      </c>
      <c r="BE335" s="8">
        <v>-167.50800000000001</v>
      </c>
      <c r="BF335" s="8">
        <v>-0.97</v>
      </c>
      <c r="BG335" s="8">
        <v>-57.930999999999997</v>
      </c>
      <c r="BH335" s="8">
        <v>-76.072999999999993</v>
      </c>
      <c r="BI335" s="8">
        <v>0</v>
      </c>
      <c r="BL335" s="22"/>
    </row>
    <row r="336" spans="1:64" ht="15.75" x14ac:dyDescent="0.25">
      <c r="A336" s="22"/>
      <c r="B336" s="7" t="s">
        <v>599</v>
      </c>
      <c r="C336" s="7" t="s">
        <v>600</v>
      </c>
      <c r="D336" s="8">
        <v>6</v>
      </c>
      <c r="E336" s="8">
        <v>6</v>
      </c>
      <c r="F336" s="8">
        <v>-1384.7239999999999</v>
      </c>
      <c r="G336" s="8">
        <v>0</v>
      </c>
      <c r="H336" s="8">
        <v>-30.027999999999999</v>
      </c>
      <c r="I336" s="8">
        <v>-1.5149999999999999</v>
      </c>
      <c r="J336" s="8">
        <v>33.408000000000001</v>
      </c>
      <c r="K336" s="8">
        <v>-29.103999999999999</v>
      </c>
      <c r="L336" s="8">
        <v>-16.457999999999998</v>
      </c>
      <c r="M336" s="8">
        <v>-2026.155</v>
      </c>
      <c r="N336" s="8">
        <v>-110.30200000000001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-9.99</v>
      </c>
      <c r="W336" s="8">
        <v>-24.13</v>
      </c>
      <c r="X336" s="8">
        <v>-29.571000000000002</v>
      </c>
      <c r="Y336" s="8">
        <v>-30.959</v>
      </c>
      <c r="Z336" s="8">
        <v>-699.29</v>
      </c>
      <c r="AA336" s="8">
        <v>-4.4870000000000001</v>
      </c>
      <c r="AB336" s="8">
        <v>-104.04300000000001</v>
      </c>
      <c r="AC336" s="8">
        <v>-99.576999999999998</v>
      </c>
      <c r="AD336" s="8">
        <v>-55.356999999999999</v>
      </c>
      <c r="AE336" s="8">
        <v>-9.3369999999999997</v>
      </c>
      <c r="AF336" s="8">
        <v>-1031.7950000000001</v>
      </c>
      <c r="AG336" s="8">
        <v>-194.137</v>
      </c>
      <c r="AH336" s="8">
        <v>-3.1240000000000001</v>
      </c>
      <c r="AI336" s="8">
        <v>-1926.5409999999999</v>
      </c>
      <c r="AJ336" s="8">
        <v>-490.95600000000002</v>
      </c>
      <c r="AK336" s="8">
        <v>-5.3570000000000002</v>
      </c>
      <c r="AL336" s="8">
        <v>-594.01199999999994</v>
      </c>
      <c r="AM336" s="8">
        <v>-224.84700000000001</v>
      </c>
      <c r="AN336" s="8">
        <v>-8.0449999999999999</v>
      </c>
      <c r="AO336" s="8">
        <v>-709.36800000000005</v>
      </c>
      <c r="AP336" s="8">
        <v>-2.8809999999999998</v>
      </c>
      <c r="AQ336" s="8">
        <v>-58.247</v>
      </c>
      <c r="AR336" s="8">
        <v>-455.70499999999998</v>
      </c>
      <c r="AS336" s="8">
        <v>-5.0140000000000002</v>
      </c>
      <c r="AT336" s="8">
        <v>0</v>
      </c>
      <c r="AU336" s="8">
        <v>0</v>
      </c>
      <c r="AV336" s="8">
        <v>-308.24</v>
      </c>
      <c r="AW336" s="8">
        <v>-18.408999999999999</v>
      </c>
      <c r="AX336" s="8">
        <v>-75.581999999999994</v>
      </c>
      <c r="AY336" s="8">
        <v>-20.689</v>
      </c>
      <c r="AZ336" s="8">
        <v>-8.2000000000000003E-2</v>
      </c>
      <c r="BA336" s="8">
        <v>-39.4</v>
      </c>
      <c r="BB336" s="8">
        <v>-6.1109999999999998</v>
      </c>
      <c r="BC336" s="8">
        <v>-25.597000000000001</v>
      </c>
      <c r="BD336" s="8">
        <v>-2.8479999999999999</v>
      </c>
      <c r="BE336" s="8">
        <v>-63.154000000000003</v>
      </c>
      <c r="BF336" s="8">
        <v>-6.0259999999999998</v>
      </c>
      <c r="BG336" s="8">
        <v>-193.28399999999999</v>
      </c>
      <c r="BH336" s="8">
        <v>-48.293999999999997</v>
      </c>
      <c r="BI336" s="8">
        <v>-2.3159999999999998</v>
      </c>
      <c r="BL336" s="22"/>
    </row>
    <row r="337" spans="1:64" ht="15.75" x14ac:dyDescent="0.25">
      <c r="A337" s="22"/>
      <c r="B337" s="7" t="s">
        <v>601</v>
      </c>
      <c r="C337" s="7" t="s">
        <v>602</v>
      </c>
      <c r="D337" s="8">
        <v>6</v>
      </c>
      <c r="E337" s="8">
        <v>6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L337" s="22"/>
    </row>
    <row r="338" spans="1:64" ht="15.75" x14ac:dyDescent="0.25">
      <c r="A338" s="22"/>
      <c r="B338" s="7" t="s">
        <v>603</v>
      </c>
      <c r="C338" s="7" t="s">
        <v>604</v>
      </c>
      <c r="D338" s="8">
        <v>6</v>
      </c>
      <c r="E338" s="8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L338" s="22"/>
    </row>
    <row r="339" spans="1:64" ht="15.75" x14ac:dyDescent="0.25">
      <c r="A339" s="22"/>
      <c r="B339" s="7" t="s">
        <v>605</v>
      </c>
      <c r="C339" s="7" t="s">
        <v>606</v>
      </c>
      <c r="D339" s="7"/>
      <c r="E339" s="7"/>
      <c r="F339">
        <v>10711155.094000001</v>
      </c>
      <c r="G339">
        <v>1092942.125</v>
      </c>
      <c r="H339">
        <v>1086522.9350000001</v>
      </c>
      <c r="I339">
        <v>1138235.179</v>
      </c>
      <c r="J339">
        <v>133552.136</v>
      </c>
      <c r="K339">
        <v>739998.01699999999</v>
      </c>
      <c r="L339">
        <v>247674.59899999999</v>
      </c>
      <c r="M339">
        <v>11534988.477</v>
      </c>
      <c r="N339">
        <v>2816877.41</v>
      </c>
      <c r="O339">
        <v>15798.42</v>
      </c>
      <c r="P339">
        <v>16570.013999999999</v>
      </c>
      <c r="Q339">
        <v>17013.249</v>
      </c>
      <c r="R339">
        <v>14930.058000000001</v>
      </c>
      <c r="S339">
        <v>17428.614000000001</v>
      </c>
      <c r="T339">
        <v>353367.837</v>
      </c>
      <c r="U339">
        <v>1022.806</v>
      </c>
      <c r="V339">
        <v>186132.29699999999</v>
      </c>
      <c r="W339">
        <v>144411.26999999999</v>
      </c>
      <c r="X339">
        <v>275693.27</v>
      </c>
      <c r="Y339">
        <v>226474.46299999999</v>
      </c>
      <c r="Z339">
        <v>3165732.6439999999</v>
      </c>
      <c r="AA339">
        <v>78384.044999999998</v>
      </c>
      <c r="AB339">
        <v>1576102.3829999999</v>
      </c>
      <c r="AC339">
        <v>554835.49800000002</v>
      </c>
      <c r="AD339">
        <v>205799.84899999999</v>
      </c>
      <c r="AE339">
        <v>71341.722999999998</v>
      </c>
      <c r="AF339">
        <v>9452827.8709999993</v>
      </c>
      <c r="AG339">
        <v>4318597.9720000001</v>
      </c>
      <c r="AH339">
        <v>380815.61499999999</v>
      </c>
      <c r="AI339">
        <v>24344392.261</v>
      </c>
      <c r="AJ339">
        <v>6627682.4359999998</v>
      </c>
      <c r="AK339">
        <v>401441.94300000003</v>
      </c>
      <c r="AL339">
        <v>9834742.4600000009</v>
      </c>
      <c r="AM339">
        <v>5024233.6009999998</v>
      </c>
      <c r="AN339">
        <v>49010.955999999998</v>
      </c>
      <c r="AO339">
        <v>3323108.0240000002</v>
      </c>
      <c r="AP339">
        <v>266982.21600000001</v>
      </c>
      <c r="AQ339">
        <v>134570.353</v>
      </c>
      <c r="AR339">
        <v>1740761.844</v>
      </c>
      <c r="AS339">
        <v>31898.974999999999</v>
      </c>
      <c r="AT339">
        <v>4017.893</v>
      </c>
      <c r="AU339">
        <v>0</v>
      </c>
      <c r="AV339">
        <v>81767.278999999995</v>
      </c>
      <c r="AW339">
        <v>84806.716</v>
      </c>
      <c r="AX339">
        <v>195719.87100000001</v>
      </c>
      <c r="AY339">
        <v>323336.46500000003</v>
      </c>
      <c r="AZ339">
        <v>140092.226</v>
      </c>
      <c r="BA339">
        <v>1160944.2560000001</v>
      </c>
      <c r="BB339">
        <v>247410.505</v>
      </c>
      <c r="BC339">
        <v>123784.92600000001</v>
      </c>
      <c r="BD339">
        <v>50965.194000000003</v>
      </c>
      <c r="BE339">
        <v>1476833.696</v>
      </c>
      <c r="BF339">
        <v>36110.199000000001</v>
      </c>
      <c r="BG339">
        <v>509875.31699999998</v>
      </c>
      <c r="BH339">
        <v>215083.348</v>
      </c>
      <c r="BI339">
        <v>17545.72</v>
      </c>
      <c r="BL339" s="22"/>
    </row>
    <row r="340" spans="1:64" x14ac:dyDescent="0.25">
      <c r="A340" s="22"/>
      <c r="BL340" s="22"/>
    </row>
    <row r="341" spans="1:64" ht="15.75" x14ac:dyDescent="0.25">
      <c r="A341" s="22"/>
      <c r="B341" s="7" t="s">
        <v>607</v>
      </c>
      <c r="F341">
        <f t="shared" ref="F341:AX341" si="0">SUM(F6:F338)-F339</f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>SUM(AN6:AN338)-AN339</f>
        <v>0</v>
      </c>
      <c r="AO341">
        <f>SUM(AO6:AO338)-AO339</f>
        <v>0</v>
      </c>
      <c r="AP341">
        <f>SUM(AP6:AP338)-AP339</f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 t="shared" si="0"/>
        <v>0</v>
      </c>
      <c r="AU341">
        <f t="shared" si="0"/>
        <v>0</v>
      </c>
      <c r="AV341">
        <f t="shared" si="0"/>
        <v>0</v>
      </c>
      <c r="AW341">
        <f t="shared" si="0"/>
        <v>0</v>
      </c>
      <c r="AX341">
        <f t="shared" si="0"/>
        <v>0</v>
      </c>
      <c r="AY341">
        <f>SUM(AY6:AY338)-AY339</f>
        <v>0</v>
      </c>
      <c r="AZ341">
        <f t="shared" ref="AZ341:BI341" si="1">SUM(AZ6:AZ338)-AZ339</f>
        <v>0</v>
      </c>
      <c r="BA341">
        <f t="shared" si="1"/>
        <v>0</v>
      </c>
      <c r="BB341">
        <f t="shared" si="1"/>
        <v>0</v>
      </c>
      <c r="BC341">
        <f t="shared" si="1"/>
        <v>0</v>
      </c>
      <c r="BD341">
        <f t="shared" si="1"/>
        <v>0</v>
      </c>
      <c r="BE341">
        <f t="shared" si="1"/>
        <v>0</v>
      </c>
      <c r="BF341">
        <f t="shared" si="1"/>
        <v>0</v>
      </c>
      <c r="BG341">
        <f t="shared" si="1"/>
        <v>0</v>
      </c>
      <c r="BH341">
        <f t="shared" si="1"/>
        <v>0</v>
      </c>
      <c r="BI341">
        <f t="shared" si="1"/>
        <v>0</v>
      </c>
      <c r="BL341" s="22"/>
    </row>
    <row r="342" spans="1:64" x14ac:dyDescent="0.25">
      <c r="A342" s="22"/>
      <c r="BL342" s="22"/>
    </row>
    <row r="343" spans="1:64" x14ac:dyDescent="0.25">
      <c r="A343" s="22"/>
      <c r="B343" t="s">
        <v>608</v>
      </c>
      <c r="E343">
        <v>1</v>
      </c>
      <c r="F343" s="17">
        <f t="shared" ref="F343:AX343" si="2">SUMIF($E$5:$E$337,$E$343,F5:F337)</f>
        <v>1477700.78</v>
      </c>
      <c r="G343" s="17">
        <f t="shared" si="2"/>
        <v>168723.49899999998</v>
      </c>
      <c r="H343" s="17">
        <f t="shared" si="2"/>
        <v>60553.144</v>
      </c>
      <c r="I343" s="17">
        <f t="shared" si="2"/>
        <v>15009.762999999999</v>
      </c>
      <c r="J343" s="17">
        <f t="shared" si="2"/>
        <v>12363.941000000001</v>
      </c>
      <c r="K343" s="17">
        <f t="shared" si="2"/>
        <v>31518.129000000001</v>
      </c>
      <c r="L343" s="17">
        <f t="shared" si="2"/>
        <v>19173.239000000001</v>
      </c>
      <c r="M343" s="17">
        <f t="shared" si="2"/>
        <v>2373230.6329999994</v>
      </c>
      <c r="N343" s="17">
        <f t="shared" si="2"/>
        <v>207817.736</v>
      </c>
      <c r="O343" s="17">
        <f>SUMIF($E$5:$E$337,$E$343,O5:O337)</f>
        <v>44.842000000000006</v>
      </c>
      <c r="P343" s="17">
        <f t="shared" si="2"/>
        <v>13037.984999999999</v>
      </c>
      <c r="Q343" s="17">
        <f t="shared" si="2"/>
        <v>944.51300000000003</v>
      </c>
      <c r="R343" s="17">
        <f t="shared" si="2"/>
        <v>6984.9080000000004</v>
      </c>
      <c r="S343" s="17">
        <f t="shared" si="2"/>
        <v>2399.4030000000002</v>
      </c>
      <c r="T343" s="17">
        <f t="shared" si="2"/>
        <v>52494.519</v>
      </c>
      <c r="U343" s="17">
        <f t="shared" si="2"/>
        <v>9.8480000000000008</v>
      </c>
      <c r="V343" s="17">
        <f t="shared" si="2"/>
        <v>14636.874</v>
      </c>
      <c r="W343" s="17">
        <f t="shared" si="2"/>
        <v>7896.1869999999999</v>
      </c>
      <c r="X343" s="17">
        <f t="shared" si="2"/>
        <v>27979.800999999999</v>
      </c>
      <c r="Y343" s="17">
        <f t="shared" si="2"/>
        <v>96249.646000000022</v>
      </c>
      <c r="Z343" s="17">
        <f t="shared" si="2"/>
        <v>588073.35800000001</v>
      </c>
      <c r="AA343" s="17">
        <f t="shared" si="2"/>
        <v>43439.395000000004</v>
      </c>
      <c r="AB343" s="17">
        <f t="shared" si="2"/>
        <v>161459.83600000001</v>
      </c>
      <c r="AC343" s="17">
        <f t="shared" si="2"/>
        <v>450778.26500000001</v>
      </c>
      <c r="AD343" s="17">
        <f t="shared" si="2"/>
        <v>36229.880999999994</v>
      </c>
      <c r="AE343" s="17">
        <f t="shared" si="2"/>
        <v>20980.123</v>
      </c>
      <c r="AF343" s="17">
        <f t="shared" si="2"/>
        <v>1801182.9539999999</v>
      </c>
      <c r="AG343" s="17">
        <f t="shared" si="2"/>
        <v>1322291.8250000002</v>
      </c>
      <c r="AH343" s="17">
        <f t="shared" si="2"/>
        <v>135276.90100000001</v>
      </c>
      <c r="AI343" s="17">
        <f t="shared" si="2"/>
        <v>4336600.5930000003</v>
      </c>
      <c r="AJ343" s="17">
        <f t="shared" si="2"/>
        <v>1904309.591</v>
      </c>
      <c r="AK343" s="17">
        <f t="shared" si="2"/>
        <v>218449.27599999998</v>
      </c>
      <c r="AL343" s="17">
        <f t="shared" si="2"/>
        <v>6009143.0760000004</v>
      </c>
      <c r="AM343" s="17">
        <f t="shared" si="2"/>
        <v>3076859.0950000002</v>
      </c>
      <c r="AN343" s="17">
        <f>SUMIF($E$5:$E$337,$E$343,AN5:AN337)</f>
        <v>3881.1770000000001</v>
      </c>
      <c r="AO343" s="17">
        <f>SUMIF($E$5:$E$337,$E$343,AO5:AO337)</f>
        <v>2035376.1930000002</v>
      </c>
      <c r="AP343" s="17">
        <f>SUMIF($E$5:$E$337,$E$343,AP5:AP337)</f>
        <v>51494.990000000005</v>
      </c>
      <c r="AQ343" s="17">
        <f t="shared" si="2"/>
        <v>14199.194</v>
      </c>
      <c r="AR343" s="17">
        <f t="shared" si="2"/>
        <v>524972.70900000003</v>
      </c>
      <c r="AS343" s="17">
        <f t="shared" si="2"/>
        <v>3010.62</v>
      </c>
      <c r="AT343" s="17">
        <f t="shared" si="2"/>
        <v>552.245</v>
      </c>
      <c r="AU343" s="17">
        <f t="shared" si="2"/>
        <v>0</v>
      </c>
      <c r="AV343" s="17">
        <f t="shared" si="2"/>
        <v>11498.431999999999</v>
      </c>
      <c r="AW343" s="17">
        <f t="shared" si="2"/>
        <v>8233.6990000000005</v>
      </c>
      <c r="AX343" s="17">
        <f t="shared" si="2"/>
        <v>20665.059000000001</v>
      </c>
      <c r="AY343" s="17">
        <f>SUMIF($E$5:$E$337,$E$343,AY5:AY337)</f>
        <v>146718.617</v>
      </c>
      <c r="AZ343" s="17">
        <f t="shared" ref="AZ343:BI343" si="3">SUMIF($E$5:$E$337,$E$343,AZ5:AZ337)</f>
        <v>5157.5780000000004</v>
      </c>
      <c r="BA343" s="17">
        <f t="shared" si="3"/>
        <v>20098.123</v>
      </c>
      <c r="BB343" s="17">
        <f t="shared" si="3"/>
        <v>105054.611</v>
      </c>
      <c r="BC343" s="17">
        <f t="shared" si="3"/>
        <v>23939.177</v>
      </c>
      <c r="BD343" s="17">
        <f t="shared" si="3"/>
        <v>2332.2799999999997</v>
      </c>
      <c r="BE343" s="17">
        <f t="shared" si="3"/>
        <v>26649.688000000002</v>
      </c>
      <c r="BF343" s="17">
        <f t="shared" si="3"/>
        <v>7106.1770000000006</v>
      </c>
      <c r="BG343" s="17">
        <f t="shared" si="3"/>
        <v>8570.5439999999999</v>
      </c>
      <c r="BH343" s="17">
        <f t="shared" si="3"/>
        <v>126000.80099999999</v>
      </c>
      <c r="BI343" s="17">
        <f t="shared" si="3"/>
        <v>815.81499999999994</v>
      </c>
      <c r="BL343" s="22"/>
    </row>
    <row r="344" spans="1:64" x14ac:dyDescent="0.25">
      <c r="A344" s="22"/>
      <c r="B344" t="s">
        <v>609</v>
      </c>
      <c r="E344">
        <v>2</v>
      </c>
      <c r="F344" s="17">
        <f t="shared" ref="F344:AX344" si="4">SUMIF($E$5:$E$337,$E$344,F5:F337)</f>
        <v>2473202.9079999998</v>
      </c>
      <c r="G344" s="17">
        <f t="shared" si="4"/>
        <v>198602.04600000003</v>
      </c>
      <c r="H344" s="17">
        <f t="shared" si="4"/>
        <v>397047.201</v>
      </c>
      <c r="I344" s="17">
        <f t="shared" si="4"/>
        <v>0</v>
      </c>
      <c r="J344" s="17">
        <f t="shared" si="4"/>
        <v>51065.555000000008</v>
      </c>
      <c r="K344" s="17">
        <f t="shared" si="4"/>
        <v>250572.34300000002</v>
      </c>
      <c r="L344" s="17">
        <f t="shared" si="4"/>
        <v>180056.209</v>
      </c>
      <c r="M344" s="17">
        <f t="shared" si="4"/>
        <v>1228315.3900000001</v>
      </c>
      <c r="N344" s="17">
        <f t="shared" si="4"/>
        <v>609206.45799999998</v>
      </c>
      <c r="O344" s="17">
        <f>SUMIF($E$5:$E$337,$E$344,O5:O337)</f>
        <v>12741.039000000001</v>
      </c>
      <c r="P344" s="17">
        <f t="shared" si="4"/>
        <v>145.55099999999999</v>
      </c>
      <c r="Q344" s="17">
        <f t="shared" si="4"/>
        <v>13231.696</v>
      </c>
      <c r="R344" s="17">
        <f t="shared" si="4"/>
        <v>2320.3580000000002</v>
      </c>
      <c r="S344" s="17">
        <f t="shared" si="4"/>
        <v>3222.1379999999999</v>
      </c>
      <c r="T344" s="17">
        <f t="shared" si="4"/>
        <v>61868.320000000007</v>
      </c>
      <c r="U344" s="17">
        <f t="shared" si="4"/>
        <v>1012.958</v>
      </c>
      <c r="V344" s="17">
        <f t="shared" si="4"/>
        <v>138299.86499999999</v>
      </c>
      <c r="W344" s="17">
        <f t="shared" si="4"/>
        <v>38379.828999999998</v>
      </c>
      <c r="X344" s="17">
        <f t="shared" si="4"/>
        <v>58488.727000000006</v>
      </c>
      <c r="Y344" s="17">
        <f t="shared" si="4"/>
        <v>31094.985000000001</v>
      </c>
      <c r="Z344" s="17">
        <f t="shared" si="4"/>
        <v>621037.13199999998</v>
      </c>
      <c r="AA344" s="17">
        <f t="shared" si="4"/>
        <v>329.57100000000003</v>
      </c>
      <c r="AB344" s="17">
        <f t="shared" si="4"/>
        <v>517172.446</v>
      </c>
      <c r="AC344" s="17">
        <f t="shared" si="4"/>
        <v>3671.7429999999999</v>
      </c>
      <c r="AD344" s="17">
        <f t="shared" si="4"/>
        <v>29647.817999999999</v>
      </c>
      <c r="AE344" s="17">
        <f t="shared" si="4"/>
        <v>12978.566000000001</v>
      </c>
      <c r="AF344" s="17">
        <f t="shared" si="4"/>
        <v>1801723.3459999999</v>
      </c>
      <c r="AG344" s="17">
        <f t="shared" si="4"/>
        <v>213860.171</v>
      </c>
      <c r="AH344" s="17">
        <f t="shared" si="4"/>
        <v>54353.089000000007</v>
      </c>
      <c r="AI344" s="17">
        <f t="shared" si="4"/>
        <v>3600764.8530000001</v>
      </c>
      <c r="AJ344" s="17">
        <f t="shared" si="4"/>
        <v>309162.47499999998</v>
      </c>
      <c r="AK344" s="17">
        <f t="shared" si="4"/>
        <v>1731.9259999999999</v>
      </c>
      <c r="AL344" s="17">
        <f t="shared" si="4"/>
        <v>1288666.93</v>
      </c>
      <c r="AM344" s="17">
        <f t="shared" si="4"/>
        <v>655953.25800000003</v>
      </c>
      <c r="AN344" s="17">
        <f>SUMIF($E$5:$E$337,$E$344,AN5:AN337)</f>
        <v>36234.745999999999</v>
      </c>
      <c r="AO344" s="17">
        <f>SUMIF($E$5:$E$337,$E$344,AO5:AO337)</f>
        <v>433955.16800000001</v>
      </c>
      <c r="AP344" s="17">
        <f>SUMIF($E$5:$E$337,$E$344,AP5:AP337)</f>
        <v>44363.540000000008</v>
      </c>
      <c r="AQ344" s="17">
        <f t="shared" si="4"/>
        <v>0</v>
      </c>
      <c r="AR344" s="17">
        <f t="shared" si="4"/>
        <v>87778.181000000011</v>
      </c>
      <c r="AS344" s="17">
        <f t="shared" si="4"/>
        <v>0</v>
      </c>
      <c r="AT344" s="17">
        <f t="shared" si="4"/>
        <v>1432.7179999999998</v>
      </c>
      <c r="AU344" s="17">
        <f t="shared" si="4"/>
        <v>0</v>
      </c>
      <c r="AV344" s="17">
        <f t="shared" si="4"/>
        <v>31965.593000000001</v>
      </c>
      <c r="AW344" s="17">
        <f t="shared" si="4"/>
        <v>0</v>
      </c>
      <c r="AX344" s="17">
        <f t="shared" si="4"/>
        <v>0</v>
      </c>
      <c r="AY344" s="17">
        <f>SUMIF($E$5:$E$337,$E$344,AY5:AY337)</f>
        <v>42183.065000000002</v>
      </c>
      <c r="AZ344" s="17">
        <f t="shared" ref="AZ344:BI344" si="5">SUMIF($E$5:$E$337,$E$344,AZ5:AZ337)</f>
        <v>32961.504000000001</v>
      </c>
      <c r="BA344" s="17">
        <f t="shared" si="5"/>
        <v>0</v>
      </c>
      <c r="BB344" s="17">
        <f t="shared" si="5"/>
        <v>33980.574000000001</v>
      </c>
      <c r="BC344" s="17">
        <f t="shared" si="5"/>
        <v>21592.859</v>
      </c>
      <c r="BD344" s="17">
        <f t="shared" si="5"/>
        <v>13668.845000000001</v>
      </c>
      <c r="BE344" s="17">
        <f t="shared" si="5"/>
        <v>0</v>
      </c>
      <c r="BF344" s="17">
        <f t="shared" si="5"/>
        <v>6059.2260000000015</v>
      </c>
      <c r="BG344" s="17">
        <f t="shared" si="5"/>
        <v>0</v>
      </c>
      <c r="BH344" s="17">
        <f t="shared" si="5"/>
        <v>14901.365</v>
      </c>
      <c r="BI344" s="17">
        <f t="shared" si="5"/>
        <v>4555.6910000000007</v>
      </c>
      <c r="BL344" s="22"/>
    </row>
    <row r="345" spans="1:64" x14ac:dyDescent="0.25">
      <c r="A345" s="22"/>
      <c r="B345" t="s">
        <v>610</v>
      </c>
      <c r="E345">
        <v>3</v>
      </c>
      <c r="F345" s="17">
        <f t="shared" ref="F345:AX345" si="6">SUMIF($E$5:$E$337,$E$345,F5:F337)</f>
        <v>2186659.446</v>
      </c>
      <c r="G345" s="17">
        <f t="shared" si="6"/>
        <v>283579.80400000006</v>
      </c>
      <c r="H345" s="17">
        <f t="shared" si="6"/>
        <v>480763.22899999993</v>
      </c>
      <c r="I345" s="17">
        <f t="shared" si="6"/>
        <v>40942.107000000004</v>
      </c>
      <c r="J345" s="17">
        <f t="shared" si="6"/>
        <v>41184.183999999987</v>
      </c>
      <c r="K345" s="17">
        <f t="shared" si="6"/>
        <v>326368.52799999993</v>
      </c>
      <c r="L345" s="17">
        <f t="shared" si="6"/>
        <v>27298.514000000003</v>
      </c>
      <c r="M345" s="17">
        <f t="shared" si="6"/>
        <v>1064544.986</v>
      </c>
      <c r="N345" s="17">
        <f t="shared" si="6"/>
        <v>946058.86500000011</v>
      </c>
      <c r="O345" s="17">
        <f>SUMIF($E$5:$E$337,$E$345,O5:O337)</f>
        <v>3012.8719999999998</v>
      </c>
      <c r="P345" s="17">
        <f t="shared" si="6"/>
        <v>0</v>
      </c>
      <c r="Q345" s="17">
        <f t="shared" si="6"/>
        <v>52.222000000000001</v>
      </c>
      <c r="R345" s="17">
        <f t="shared" si="6"/>
        <v>4458.5869999999995</v>
      </c>
      <c r="S345" s="17">
        <f t="shared" si="6"/>
        <v>11253.682000000001</v>
      </c>
      <c r="T345" s="17">
        <f t="shared" si="6"/>
        <v>120075.53099999999</v>
      </c>
      <c r="U345" s="17">
        <f t="shared" si="6"/>
        <v>0</v>
      </c>
      <c r="V345" s="17">
        <f t="shared" si="6"/>
        <v>20967.79</v>
      </c>
      <c r="W345" s="17">
        <f t="shared" si="6"/>
        <v>67850.38900000001</v>
      </c>
      <c r="X345" s="17">
        <f t="shared" si="6"/>
        <v>101234.37999999999</v>
      </c>
      <c r="Y345" s="17">
        <f t="shared" si="6"/>
        <v>0</v>
      </c>
      <c r="Z345" s="17">
        <f t="shared" si="6"/>
        <v>434476.4530000001</v>
      </c>
      <c r="AA345" s="17">
        <f t="shared" si="6"/>
        <v>4752.8680000000004</v>
      </c>
      <c r="AB345" s="17">
        <f t="shared" si="6"/>
        <v>587363.0360000002</v>
      </c>
      <c r="AC345" s="17">
        <f t="shared" si="6"/>
        <v>0</v>
      </c>
      <c r="AD345" s="17">
        <f t="shared" si="6"/>
        <v>50751.025999999998</v>
      </c>
      <c r="AE345" s="17">
        <f t="shared" si="6"/>
        <v>14282.668</v>
      </c>
      <c r="AF345" s="17">
        <f t="shared" si="6"/>
        <v>1254058.2770000002</v>
      </c>
      <c r="AG345" s="17">
        <f t="shared" si="6"/>
        <v>41009.16599999999</v>
      </c>
      <c r="AH345" s="17">
        <f t="shared" si="6"/>
        <v>58167.457000000002</v>
      </c>
      <c r="AI345" s="17">
        <f t="shared" si="6"/>
        <v>2771645.4550000005</v>
      </c>
      <c r="AJ345" s="17">
        <f t="shared" si="6"/>
        <v>63149.667000000001</v>
      </c>
      <c r="AK345" s="17">
        <f t="shared" si="6"/>
        <v>22597.954000000002</v>
      </c>
      <c r="AL345" s="17">
        <f t="shared" si="6"/>
        <v>0</v>
      </c>
      <c r="AM345" s="17">
        <f t="shared" si="6"/>
        <v>0</v>
      </c>
      <c r="AN345" s="17">
        <f>SUMIF($E$5:$E$337,$E$345,AN5:AN337)</f>
        <v>5493.59</v>
      </c>
      <c r="AO345" s="17">
        <f>SUMIF($E$5:$E$337,$E$345,AO5:AO337)</f>
        <v>0</v>
      </c>
      <c r="AP345" s="17">
        <f>SUMIF($E$5:$E$337,$E$345,AP5:AP337)</f>
        <v>75546.053</v>
      </c>
      <c r="AQ345" s="17">
        <f t="shared" si="6"/>
        <v>0</v>
      </c>
      <c r="AR345" s="17">
        <f t="shared" si="6"/>
        <v>16350.173999999997</v>
      </c>
      <c r="AS345" s="17">
        <f t="shared" si="6"/>
        <v>0</v>
      </c>
      <c r="AT345" s="17">
        <f t="shared" si="6"/>
        <v>907.98</v>
      </c>
      <c r="AU345" s="17">
        <f t="shared" si="6"/>
        <v>0</v>
      </c>
      <c r="AV345" s="17">
        <f t="shared" si="6"/>
        <v>25662.120000000003</v>
      </c>
      <c r="AW345" s="17">
        <f t="shared" si="6"/>
        <v>0</v>
      </c>
      <c r="AX345" s="17">
        <f t="shared" si="6"/>
        <v>0</v>
      </c>
      <c r="AY345" s="17">
        <f>SUMIF($E$5:$E$337,$E$345,AY5:AY337)</f>
        <v>0</v>
      </c>
      <c r="AZ345" s="17">
        <f t="shared" ref="AZ345:BI345" si="7">SUMIF($E$5:$E$337,$E$345,AZ5:AZ337)</f>
        <v>67661.985000000001</v>
      </c>
      <c r="BA345" s="17">
        <f t="shared" si="7"/>
        <v>27796.417000000001</v>
      </c>
      <c r="BB345" s="17">
        <f t="shared" si="7"/>
        <v>0</v>
      </c>
      <c r="BC345" s="17">
        <f t="shared" si="7"/>
        <v>35037.490999999995</v>
      </c>
      <c r="BD345" s="17">
        <f t="shared" si="7"/>
        <v>32628.215000000004</v>
      </c>
      <c r="BE345" s="17">
        <f t="shared" si="7"/>
        <v>36132.231</v>
      </c>
      <c r="BF345" s="17">
        <f t="shared" si="7"/>
        <v>10432.654999999999</v>
      </c>
      <c r="BG345" s="17">
        <f t="shared" si="7"/>
        <v>12495.888000000001</v>
      </c>
      <c r="BH345" s="17">
        <f t="shared" si="7"/>
        <v>13950.012000000001</v>
      </c>
      <c r="BI345" s="17">
        <f t="shared" si="7"/>
        <v>11359.862999999999</v>
      </c>
      <c r="BL345" s="22"/>
    </row>
    <row r="346" spans="1:64" x14ac:dyDescent="0.25">
      <c r="A346" s="22"/>
      <c r="B346" t="s">
        <v>611</v>
      </c>
      <c r="C346">
        <v>7</v>
      </c>
      <c r="E346">
        <v>4</v>
      </c>
      <c r="F346" s="17">
        <f t="shared" ref="F346:AX346" si="8">SUMIF($E$5:$E$337,$E$346,F5:F337)</f>
        <v>1873824.155</v>
      </c>
      <c r="G346" s="17">
        <f t="shared" si="8"/>
        <v>332770.25</v>
      </c>
      <c r="H346" s="17">
        <f t="shared" si="8"/>
        <v>2340.1349999999993</v>
      </c>
      <c r="I346" s="17">
        <f t="shared" si="8"/>
        <v>67577.606</v>
      </c>
      <c r="J346" s="17">
        <f t="shared" si="8"/>
        <v>7702.8069999999998</v>
      </c>
      <c r="K346" s="17">
        <f t="shared" si="8"/>
        <v>1498.6620000000003</v>
      </c>
      <c r="L346" s="17">
        <f t="shared" si="8"/>
        <v>0</v>
      </c>
      <c r="M346" s="17">
        <f t="shared" si="8"/>
        <v>4228935.3659999995</v>
      </c>
      <c r="N346" s="17">
        <f t="shared" si="8"/>
        <v>160787.22299999997</v>
      </c>
      <c r="O346" s="17">
        <f>SUMIF($E$5:$E$337,$E$346,O5:O337)</f>
        <v>0</v>
      </c>
      <c r="P346" s="17">
        <f t="shared" si="8"/>
        <v>3264.7150000000001</v>
      </c>
      <c r="Q346" s="17">
        <f t="shared" si="8"/>
        <v>41.162999999999997</v>
      </c>
      <c r="R346" s="17">
        <f t="shared" si="8"/>
        <v>1170.1949999999999</v>
      </c>
      <c r="S346" s="17">
        <f t="shared" si="8"/>
        <v>88.436999999999998</v>
      </c>
      <c r="T346" s="17">
        <f t="shared" si="8"/>
        <v>107039.49300000002</v>
      </c>
      <c r="U346" s="17">
        <f t="shared" si="8"/>
        <v>0</v>
      </c>
      <c r="V346" s="17">
        <f t="shared" si="8"/>
        <v>0</v>
      </c>
      <c r="W346" s="17">
        <f t="shared" si="8"/>
        <v>382.99500000000006</v>
      </c>
      <c r="X346" s="17">
        <f t="shared" si="8"/>
        <v>37632.904000000002</v>
      </c>
      <c r="Y346" s="17">
        <f t="shared" si="8"/>
        <v>91826.952000000005</v>
      </c>
      <c r="Z346" s="17">
        <f t="shared" si="8"/>
        <v>925130.47799999977</v>
      </c>
      <c r="AA346" s="17">
        <f t="shared" si="8"/>
        <v>29370.712</v>
      </c>
      <c r="AB346" s="17">
        <f t="shared" si="8"/>
        <v>151406.91099999999</v>
      </c>
      <c r="AC346" s="17">
        <f t="shared" si="8"/>
        <v>102969.8</v>
      </c>
      <c r="AD346" s="17">
        <f t="shared" si="8"/>
        <v>67543.506999999998</v>
      </c>
      <c r="AE346" s="17">
        <f t="shared" si="8"/>
        <v>22654.957999999999</v>
      </c>
      <c r="AF346" s="17">
        <f t="shared" si="8"/>
        <v>2670984.2030000002</v>
      </c>
      <c r="AG346" s="17">
        <f t="shared" si="8"/>
        <v>2676911.8499999996</v>
      </c>
      <c r="AH346" s="17">
        <f t="shared" si="8"/>
        <v>103106.136</v>
      </c>
      <c r="AI346" s="17">
        <f t="shared" si="8"/>
        <v>7190542.5219999999</v>
      </c>
      <c r="AJ346" s="17">
        <f t="shared" si="8"/>
        <v>4047345.3580000005</v>
      </c>
      <c r="AK346" s="17">
        <f t="shared" si="8"/>
        <v>156308.65800000002</v>
      </c>
      <c r="AL346" s="17">
        <f t="shared" si="8"/>
        <v>2008046.7180000001</v>
      </c>
      <c r="AM346" s="17">
        <f t="shared" si="8"/>
        <v>1022129.7320000001</v>
      </c>
      <c r="AN346" s="17">
        <f>SUMIF($E$5:$E$337,$E$346,AN5:AN337)</f>
        <v>0</v>
      </c>
      <c r="AO346" s="17">
        <f>SUMIF($E$5:$E$337,$E$346,AO5:AO337)</f>
        <v>676204.402</v>
      </c>
      <c r="AP346" s="17">
        <f>SUMIF($E$5:$E$337,$E$346,AP5:AP337)</f>
        <v>91036.853000000017</v>
      </c>
      <c r="AQ346" s="17">
        <f t="shared" si="8"/>
        <v>120411.54</v>
      </c>
      <c r="AR346" s="17">
        <f t="shared" si="8"/>
        <v>1085140.7529999998</v>
      </c>
      <c r="AS346" s="17">
        <f t="shared" si="8"/>
        <v>28889.050999999999</v>
      </c>
      <c r="AT346" s="17">
        <f t="shared" si="8"/>
        <v>1026.0280000000002</v>
      </c>
      <c r="AU346" s="17">
        <f t="shared" si="8"/>
        <v>0</v>
      </c>
      <c r="AV346" s="17">
        <f t="shared" si="8"/>
        <v>11304.540999999999</v>
      </c>
      <c r="AW346" s="17">
        <f t="shared" si="8"/>
        <v>76579.937999999995</v>
      </c>
      <c r="AX346" s="17">
        <f t="shared" si="8"/>
        <v>175104.51699999999</v>
      </c>
      <c r="AY346" s="17">
        <f>SUMIF($E$5:$E$337,$E$346,AY5:AY337)</f>
        <v>124571.28800000002</v>
      </c>
      <c r="AZ346" s="17">
        <f t="shared" ref="AZ346:BI346" si="9">SUMIF($E$5:$E$337,$E$346,AZ5:AZ337)</f>
        <v>27829.269</v>
      </c>
      <c r="BA346" s="17">
        <f t="shared" si="9"/>
        <v>1036993.1050000002</v>
      </c>
      <c r="BB346" s="17">
        <f t="shared" si="9"/>
        <v>100348.42000000001</v>
      </c>
      <c r="BC346" s="17">
        <f t="shared" si="9"/>
        <v>41185.206999999995</v>
      </c>
      <c r="BD346" s="17">
        <f t="shared" si="9"/>
        <v>186.661</v>
      </c>
      <c r="BE346" s="17">
        <f t="shared" si="9"/>
        <v>1314699.4170000001</v>
      </c>
      <c r="BF346" s="17">
        <f t="shared" si="9"/>
        <v>11933.023999999999</v>
      </c>
      <c r="BG346" s="17">
        <f t="shared" si="9"/>
        <v>454672.63299999997</v>
      </c>
      <c r="BH346" s="17">
        <f t="shared" si="9"/>
        <v>58971.248</v>
      </c>
      <c r="BI346" s="17">
        <f t="shared" si="9"/>
        <v>64.64200000000001</v>
      </c>
      <c r="BL346" s="22"/>
    </row>
    <row r="347" spans="1:64" x14ac:dyDescent="0.25">
      <c r="A347" s="22"/>
      <c r="B347" t="s">
        <v>612</v>
      </c>
      <c r="E347">
        <v>5</v>
      </c>
      <c r="F347" s="17">
        <f t="shared" ref="F347:AX347" si="10">SUMIF($E$5:$E$337,$E$347,F5:F337)</f>
        <v>765560.61099999992</v>
      </c>
      <c r="G347" s="17">
        <f t="shared" si="10"/>
        <v>33487.029000000002</v>
      </c>
      <c r="H347" s="17">
        <f t="shared" si="10"/>
        <v>74312.466</v>
      </c>
      <c r="I347" s="17">
        <f t="shared" si="10"/>
        <v>993172.26699999999</v>
      </c>
      <c r="J347" s="17">
        <f t="shared" si="10"/>
        <v>10740.799000000001</v>
      </c>
      <c r="K347" s="17">
        <f t="shared" si="10"/>
        <v>82146.969999999987</v>
      </c>
      <c r="L347" s="17">
        <f t="shared" si="10"/>
        <v>9551.5409999999993</v>
      </c>
      <c r="M347" s="17">
        <f t="shared" si="10"/>
        <v>380603.30700000003</v>
      </c>
      <c r="N347" s="17">
        <f t="shared" si="10"/>
        <v>368921.32299999997</v>
      </c>
      <c r="O347" s="17">
        <f>SUMIF($E$5:$E$337,$E$347,O5:O337)</f>
        <v>0</v>
      </c>
      <c r="P347" s="17">
        <f t="shared" si="10"/>
        <v>0</v>
      </c>
      <c r="Q347" s="17">
        <f t="shared" si="10"/>
        <v>1452.6720000000003</v>
      </c>
      <c r="R347" s="17">
        <f t="shared" si="10"/>
        <v>0</v>
      </c>
      <c r="S347" s="17">
        <f t="shared" si="10"/>
        <v>0.50600000000000001</v>
      </c>
      <c r="T347" s="17">
        <f t="shared" si="10"/>
        <v>-4497.9549999999999</v>
      </c>
      <c r="U347" s="17">
        <f t="shared" si="10"/>
        <v>0</v>
      </c>
      <c r="V347" s="17">
        <f t="shared" si="10"/>
        <v>3319.0079999999998</v>
      </c>
      <c r="W347" s="17">
        <f t="shared" si="10"/>
        <v>21481.134999999995</v>
      </c>
      <c r="X347" s="17">
        <f t="shared" si="10"/>
        <v>29495.585000000003</v>
      </c>
      <c r="Y347" s="17">
        <f t="shared" si="10"/>
        <v>0</v>
      </c>
      <c r="Z347" s="17">
        <f t="shared" si="10"/>
        <v>181872.22399999999</v>
      </c>
      <c r="AA347" s="17">
        <f t="shared" si="10"/>
        <v>0</v>
      </c>
      <c r="AB347" s="17">
        <f t="shared" si="10"/>
        <v>57314.354999999996</v>
      </c>
      <c r="AC347" s="17">
        <f t="shared" si="10"/>
        <v>0</v>
      </c>
      <c r="AD347" s="17">
        <f t="shared" si="10"/>
        <v>8613.0840000000007</v>
      </c>
      <c r="AE347" s="17">
        <f t="shared" si="10"/>
        <v>0</v>
      </c>
      <c r="AF347" s="17">
        <f t="shared" si="10"/>
        <v>469521.97399999999</v>
      </c>
      <c r="AG347" s="17">
        <f t="shared" si="10"/>
        <v>-125891.341</v>
      </c>
      <c r="AH347" s="17">
        <f t="shared" si="10"/>
        <v>26356.244999999999</v>
      </c>
      <c r="AI347" s="17">
        <f t="shared" si="10"/>
        <v>1643250.2549999997</v>
      </c>
      <c r="AJ347" s="17">
        <f t="shared" si="10"/>
        <v>-41247.021000000008</v>
      </c>
      <c r="AK347" s="17">
        <f t="shared" si="10"/>
        <v>1.1299999999999999</v>
      </c>
      <c r="AL347" s="17">
        <f t="shared" si="10"/>
        <v>253.07499999999999</v>
      </c>
      <c r="AM347" s="17">
        <f t="shared" si="10"/>
        <v>111.86</v>
      </c>
      <c r="AN347" s="17">
        <f>SUMIF($E$5:$E$337,$E$347,AN5:AN337)</f>
        <v>1072.7629999999999</v>
      </c>
      <c r="AO347" s="17">
        <f>SUMIF($E$5:$E$337,$E$347,AO5:AO337)</f>
        <v>107.855</v>
      </c>
      <c r="AP347" s="17">
        <f>SUMIF($E$5:$E$337,$E$347,AP5:AP337)</f>
        <v>-4689.1310000000003</v>
      </c>
      <c r="AQ347" s="17">
        <f t="shared" si="10"/>
        <v>0</v>
      </c>
      <c r="AR347" s="17">
        <f t="shared" si="10"/>
        <v>-29116.161</v>
      </c>
      <c r="AS347" s="17">
        <f t="shared" si="10"/>
        <v>0</v>
      </c>
      <c r="AT347" s="17">
        <f t="shared" si="10"/>
        <v>-45.531999999999996</v>
      </c>
      <c r="AU347" s="17">
        <f t="shared" si="10"/>
        <v>0</v>
      </c>
      <c r="AV347" s="17">
        <f t="shared" si="10"/>
        <v>-284.94499999999999</v>
      </c>
      <c r="AW347" s="17">
        <f t="shared" si="10"/>
        <v>0</v>
      </c>
      <c r="AX347" s="17">
        <f t="shared" si="10"/>
        <v>0</v>
      </c>
      <c r="AY347" s="17">
        <f>SUMIF($E$5:$E$337,$E$347,AY5:AY337)</f>
        <v>0</v>
      </c>
      <c r="AZ347" s="17">
        <f t="shared" ref="AZ347:BI347" si="11">SUMIF($E$5:$E$337,$E$347,AZ5:AZ337)</f>
        <v>0</v>
      </c>
      <c r="BA347" s="17">
        <f t="shared" si="11"/>
        <v>0</v>
      </c>
      <c r="BB347" s="17">
        <f t="shared" si="11"/>
        <v>0</v>
      </c>
      <c r="BC347" s="17">
        <f t="shared" si="11"/>
        <v>-2175.2799999999997</v>
      </c>
      <c r="BD347" s="17">
        <f t="shared" si="11"/>
        <v>0</v>
      </c>
      <c r="BE347" s="17">
        <f t="shared" si="11"/>
        <v>0</v>
      </c>
      <c r="BF347" s="17">
        <f t="shared" si="11"/>
        <v>-650.28099999999995</v>
      </c>
      <c r="BG347" s="17">
        <f t="shared" si="11"/>
        <v>0</v>
      </c>
      <c r="BH347" s="17">
        <f t="shared" si="11"/>
        <v>0</v>
      </c>
      <c r="BI347" s="17">
        <f t="shared" si="11"/>
        <v>0</v>
      </c>
      <c r="BL347" s="22"/>
    </row>
    <row r="348" spans="1:64" x14ac:dyDescent="0.25">
      <c r="A348" s="22"/>
      <c r="B348" t="s">
        <v>613</v>
      </c>
      <c r="C348">
        <v>7</v>
      </c>
      <c r="E348">
        <v>6</v>
      </c>
      <c r="F348" s="17">
        <f t="shared" ref="F348:AX348" si="12">SUMIF($E$5:$E$337,$E$348,F5:F337)+SUMIF($E$5:$E$337,$C$348,F5:F337)</f>
        <v>1934207.1940000008</v>
      </c>
      <c r="G348" s="17">
        <f t="shared" si="12"/>
        <v>75779.496999999988</v>
      </c>
      <c r="H348" s="17">
        <f t="shared" si="12"/>
        <v>71506.75999999998</v>
      </c>
      <c r="I348" s="17">
        <f t="shared" si="12"/>
        <v>21533.436000000002</v>
      </c>
      <c r="J348" s="17">
        <f t="shared" si="12"/>
        <v>10494.849999999997</v>
      </c>
      <c r="K348" s="17">
        <f t="shared" si="12"/>
        <v>47893.385000000002</v>
      </c>
      <c r="L348" s="17">
        <f t="shared" si="12"/>
        <v>11595.096</v>
      </c>
      <c r="M348" s="17">
        <f t="shared" si="12"/>
        <v>2259358.7950000009</v>
      </c>
      <c r="N348" s="17">
        <f t="shared" si="12"/>
        <v>524085.80499999982</v>
      </c>
      <c r="O348" s="17">
        <f>SUMIF($E$5:$E$337,$E$348,O5:O337)+SUMIF($E$5:$E$337,$C$348,O5:O337)</f>
        <v>-0.33300000000000002</v>
      </c>
      <c r="P348" s="17">
        <f t="shared" si="12"/>
        <v>121.76299999999996</v>
      </c>
      <c r="Q348" s="17">
        <f t="shared" si="12"/>
        <v>1290.9830000000004</v>
      </c>
      <c r="R348" s="17">
        <f t="shared" si="12"/>
        <v>-3.990000000000002</v>
      </c>
      <c r="S348" s="17">
        <f t="shared" si="12"/>
        <v>464.44799999999998</v>
      </c>
      <c r="T348" s="17">
        <f t="shared" si="12"/>
        <v>16387.929</v>
      </c>
      <c r="U348" s="17">
        <f t="shared" si="12"/>
        <v>0</v>
      </c>
      <c r="V348" s="17">
        <f t="shared" si="12"/>
        <v>8908.76</v>
      </c>
      <c r="W348" s="17">
        <f t="shared" si="12"/>
        <v>8420.7350000000006</v>
      </c>
      <c r="X348" s="17">
        <f t="shared" si="12"/>
        <v>20861.872999999996</v>
      </c>
      <c r="Y348" s="17">
        <f t="shared" si="12"/>
        <v>7302.8799999999992</v>
      </c>
      <c r="Z348" s="17">
        <f t="shared" si="12"/>
        <v>415142.99899999995</v>
      </c>
      <c r="AA348" s="17">
        <f t="shared" si="12"/>
        <v>491.49899999999997</v>
      </c>
      <c r="AB348" s="17">
        <f t="shared" si="12"/>
        <v>101385.79899999998</v>
      </c>
      <c r="AC348" s="17">
        <f t="shared" si="12"/>
        <v>-2584.3099999999995</v>
      </c>
      <c r="AD348" s="17">
        <f t="shared" si="12"/>
        <v>13014.532999999998</v>
      </c>
      <c r="AE348" s="17">
        <f t="shared" si="12"/>
        <v>445.40800000000002</v>
      </c>
      <c r="AF348" s="17">
        <f t="shared" si="12"/>
        <v>1455357.1169999999</v>
      </c>
      <c r="AG348" s="17">
        <f t="shared" si="12"/>
        <v>190416.30100000001</v>
      </c>
      <c r="AH348" s="17">
        <f t="shared" si="12"/>
        <v>3555.7870000000003</v>
      </c>
      <c r="AI348" s="17">
        <f t="shared" si="12"/>
        <v>4801588.5830000006</v>
      </c>
      <c r="AJ348" s="17">
        <f t="shared" si="12"/>
        <v>344962.36599999992</v>
      </c>
      <c r="AK348" s="17">
        <f t="shared" si="12"/>
        <v>2352.9990000000003</v>
      </c>
      <c r="AL348" s="17">
        <f t="shared" si="12"/>
        <v>528632.66099999985</v>
      </c>
      <c r="AM348" s="17">
        <f t="shared" si="12"/>
        <v>269179.65600000002</v>
      </c>
      <c r="AN348" s="17">
        <f>SUMIF($E$5:$E$337,$E$348,AN5:AN337)+SUMIF($E$5:$E$337,$C$348,AN5:AN337)</f>
        <v>2328.6799999999998</v>
      </c>
      <c r="AO348" s="17">
        <f>SUMIF($E$5:$E$337,$E$348,AO5:AO337)+SUMIF($E$5:$E$337,$C$348,AO5:AO337)</f>
        <v>177464.40599999999</v>
      </c>
      <c r="AP348" s="17">
        <f>SUMIF($E$5:$E$337,$E$348,AP5:AP337)+SUMIF($E$5:$E$337,$C$348,AP5:AP337)</f>
        <v>9229.9110000000001</v>
      </c>
      <c r="AQ348" s="17">
        <f t="shared" si="12"/>
        <v>-40.381</v>
      </c>
      <c r="AR348" s="17">
        <f t="shared" si="12"/>
        <v>55636.188000000002</v>
      </c>
      <c r="AS348" s="17">
        <f t="shared" si="12"/>
        <v>-0.69600000000000062</v>
      </c>
      <c r="AT348" s="17">
        <f t="shared" si="12"/>
        <v>144.45400000000001</v>
      </c>
      <c r="AU348" s="17">
        <f t="shared" si="12"/>
        <v>0</v>
      </c>
      <c r="AV348" s="17">
        <f t="shared" si="12"/>
        <v>1621.5380000000002</v>
      </c>
      <c r="AW348" s="17">
        <f t="shared" si="12"/>
        <v>-6.9209999999999994</v>
      </c>
      <c r="AX348" s="17">
        <f t="shared" si="12"/>
        <v>-49.704999999999998</v>
      </c>
      <c r="AY348" s="17">
        <f>SUMIF($E$5:$E$337,$E$348,AY5:AY337)+SUMIF($E$5:$E$337,$C$348,AY5:AY337)</f>
        <v>9863.494999999999</v>
      </c>
      <c r="AZ348" s="17">
        <f t="shared" ref="AZ348:BI348" si="13">SUMIF($E$5:$E$337,$E$348,AZ5:AZ337)+SUMIF($E$5:$E$337,$C$348,AZ5:AZ337)</f>
        <v>6481.8899999999994</v>
      </c>
      <c r="BA348" s="17">
        <f t="shared" si="13"/>
        <v>76056.611000000019</v>
      </c>
      <c r="BB348" s="17">
        <f t="shared" si="13"/>
        <v>8026.9000000000005</v>
      </c>
      <c r="BC348" s="17">
        <f t="shared" si="13"/>
        <v>4205.4719999999998</v>
      </c>
      <c r="BD348" s="17">
        <f t="shared" si="13"/>
        <v>2149.1930000000002</v>
      </c>
      <c r="BE348" s="17">
        <f t="shared" si="13"/>
        <v>99352.36</v>
      </c>
      <c r="BF348" s="17">
        <f t="shared" si="13"/>
        <v>1229.3979999999999</v>
      </c>
      <c r="BG348" s="17">
        <f t="shared" si="13"/>
        <v>34136.252000000008</v>
      </c>
      <c r="BH348" s="17">
        <f t="shared" si="13"/>
        <v>1259.9219999999998</v>
      </c>
      <c r="BI348" s="17">
        <f t="shared" si="13"/>
        <v>749.70899999999995</v>
      </c>
      <c r="BL348" s="22"/>
    </row>
    <row r="349" spans="1:64" x14ac:dyDescent="0.25">
      <c r="A349" s="22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L349" s="22"/>
    </row>
    <row r="350" spans="1:64" x14ac:dyDescent="0.25">
      <c r="A350" s="22"/>
      <c r="F350">
        <f t="shared" ref="F350:N350" si="14">SUM(F343:F349)</f>
        <v>10711155.094000001</v>
      </c>
      <c r="G350">
        <f t="shared" si="14"/>
        <v>1092942.1250000002</v>
      </c>
      <c r="H350">
        <f t="shared" si="14"/>
        <v>1086522.9349999998</v>
      </c>
      <c r="I350">
        <f t="shared" si="14"/>
        <v>1138235.179</v>
      </c>
      <c r="J350">
        <f t="shared" si="14"/>
        <v>133552.136</v>
      </c>
      <c r="K350">
        <f t="shared" si="14"/>
        <v>739998.01699999999</v>
      </c>
      <c r="L350">
        <f t="shared" si="14"/>
        <v>247674.59899999999</v>
      </c>
      <c r="M350" s="18">
        <f t="shared" si="14"/>
        <v>11534988.477000002</v>
      </c>
      <c r="N350">
        <f t="shared" si="14"/>
        <v>2816877.4099999997</v>
      </c>
      <c r="O350">
        <f>SUM(O343:O349)</f>
        <v>15798.42</v>
      </c>
      <c r="P350">
        <f t="shared" ref="P350:AM350" si="15">SUM(P343:P349)</f>
        <v>16570.013999999996</v>
      </c>
      <c r="Q350">
        <f t="shared" si="15"/>
        <v>17013.249000000003</v>
      </c>
      <c r="R350">
        <f t="shared" si="15"/>
        <v>14930.057999999999</v>
      </c>
      <c r="S350">
        <f t="shared" si="15"/>
        <v>17428.614000000005</v>
      </c>
      <c r="T350">
        <f t="shared" si="15"/>
        <v>353367.837</v>
      </c>
      <c r="U350">
        <f t="shared" si="15"/>
        <v>1022.8059999999999</v>
      </c>
      <c r="V350">
        <f t="shared" si="15"/>
        <v>186132.29700000002</v>
      </c>
      <c r="W350">
        <f t="shared" si="15"/>
        <v>144411.26999999996</v>
      </c>
      <c r="X350">
        <f t="shared" si="15"/>
        <v>275693.27</v>
      </c>
      <c r="Y350">
        <f t="shared" si="15"/>
        <v>226474.46300000005</v>
      </c>
      <c r="Z350">
        <f t="shared" si="15"/>
        <v>3165732.6439999994</v>
      </c>
      <c r="AA350">
        <f t="shared" si="15"/>
        <v>78384.044999999998</v>
      </c>
      <c r="AB350">
        <f t="shared" si="15"/>
        <v>1576102.3830000001</v>
      </c>
      <c r="AC350">
        <f t="shared" si="15"/>
        <v>554835.49800000002</v>
      </c>
      <c r="AD350">
        <f t="shared" si="15"/>
        <v>205799.84899999999</v>
      </c>
      <c r="AE350">
        <f t="shared" si="15"/>
        <v>71341.722999999998</v>
      </c>
      <c r="AF350">
        <f t="shared" si="15"/>
        <v>9452827.8709999993</v>
      </c>
      <c r="AG350">
        <f t="shared" si="15"/>
        <v>4318597.9720000001</v>
      </c>
      <c r="AH350">
        <f t="shared" si="15"/>
        <v>380815.61499999999</v>
      </c>
      <c r="AI350">
        <f t="shared" si="15"/>
        <v>24344392.261</v>
      </c>
      <c r="AJ350">
        <f t="shared" si="15"/>
        <v>6627682.4360000007</v>
      </c>
      <c r="AK350">
        <f t="shared" si="15"/>
        <v>401441.94300000003</v>
      </c>
      <c r="AL350">
        <f t="shared" si="15"/>
        <v>9834742.459999999</v>
      </c>
      <c r="AM350">
        <f t="shared" si="15"/>
        <v>5024233.6010000007</v>
      </c>
      <c r="AN350">
        <f>SUM(AN343:AN349)</f>
        <v>49010.956000000006</v>
      </c>
      <c r="AO350">
        <f>SUM(AO343:AO349)</f>
        <v>3323108.0240000002</v>
      </c>
      <c r="AP350">
        <f>SUM(AP343:AP349)</f>
        <v>266982.21600000007</v>
      </c>
      <c r="AQ350">
        <f>SUM(AQ343:AQ349)</f>
        <v>134570.353</v>
      </c>
      <c r="AR350">
        <f t="shared" ref="AR350:AX350" si="16">SUM(AR343:AR349)</f>
        <v>1740761.8439999998</v>
      </c>
      <c r="AS350">
        <f t="shared" si="16"/>
        <v>31898.974999999999</v>
      </c>
      <c r="AT350">
        <f t="shared" si="16"/>
        <v>4017.893</v>
      </c>
      <c r="AU350">
        <f t="shared" si="16"/>
        <v>0</v>
      </c>
      <c r="AV350">
        <f t="shared" si="16"/>
        <v>81767.278999999995</v>
      </c>
      <c r="AW350">
        <f t="shared" si="16"/>
        <v>84806.715999999986</v>
      </c>
      <c r="AX350">
        <f t="shared" si="16"/>
        <v>195719.87100000001</v>
      </c>
      <c r="AY350">
        <f>SUM(AY343:AY349)</f>
        <v>323336.46500000003</v>
      </c>
      <c r="AZ350">
        <f t="shared" ref="AZ350:BI350" si="17">SUM(AZ343:AZ349)</f>
        <v>140092.22600000002</v>
      </c>
      <c r="BA350">
        <f t="shared" si="17"/>
        <v>1160944.2560000003</v>
      </c>
      <c r="BB350">
        <f t="shared" si="17"/>
        <v>247410.505</v>
      </c>
      <c r="BC350">
        <f t="shared" si="17"/>
        <v>123784.92599999999</v>
      </c>
      <c r="BD350">
        <f t="shared" si="17"/>
        <v>50965.194000000003</v>
      </c>
      <c r="BE350">
        <f t="shared" si="17"/>
        <v>1476833.6960000002</v>
      </c>
      <c r="BF350">
        <f t="shared" si="17"/>
        <v>36110.199000000001</v>
      </c>
      <c r="BG350">
        <f t="shared" si="17"/>
        <v>509875.31699999992</v>
      </c>
      <c r="BH350">
        <f t="shared" si="17"/>
        <v>215083.34799999997</v>
      </c>
      <c r="BI350">
        <f t="shared" si="17"/>
        <v>17545.719999999998</v>
      </c>
      <c r="BL350" s="22"/>
    </row>
    <row r="351" spans="1:64" x14ac:dyDescent="0.25">
      <c r="A351" s="22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L351" s="22"/>
    </row>
    <row r="352" spans="1:64" x14ac:dyDescent="0.25">
      <c r="A352" s="22"/>
      <c r="B352" s="9"/>
      <c r="C352" s="9"/>
      <c r="D352" s="9"/>
      <c r="E352" s="9"/>
      <c r="F352" s="9">
        <f t="shared" ref="F352:AK352" si="18">F350-F338</f>
        <v>10711155.094000001</v>
      </c>
      <c r="G352" s="9">
        <f t="shared" si="18"/>
        <v>1092942.1250000002</v>
      </c>
      <c r="H352" s="9">
        <f t="shared" si="18"/>
        <v>1086522.9349999998</v>
      </c>
      <c r="I352" s="9">
        <f t="shared" si="18"/>
        <v>1138235.179</v>
      </c>
      <c r="J352" s="9">
        <f t="shared" si="18"/>
        <v>133552.136</v>
      </c>
      <c r="K352" s="9">
        <f t="shared" si="18"/>
        <v>739998.01699999999</v>
      </c>
      <c r="L352" s="9">
        <f t="shared" si="18"/>
        <v>247674.59899999999</v>
      </c>
      <c r="M352" s="19">
        <f t="shared" si="18"/>
        <v>11534988.477000002</v>
      </c>
      <c r="N352" s="9">
        <f t="shared" si="18"/>
        <v>2816877.4099999997</v>
      </c>
      <c r="O352" s="9">
        <f>O350-O338</f>
        <v>15798.42</v>
      </c>
      <c r="P352" s="9">
        <f t="shared" si="18"/>
        <v>16570.013999999996</v>
      </c>
      <c r="Q352" s="9">
        <f t="shared" si="18"/>
        <v>17013.249000000003</v>
      </c>
      <c r="R352" s="9">
        <f t="shared" si="18"/>
        <v>14930.057999999999</v>
      </c>
      <c r="S352" s="9">
        <f t="shared" si="18"/>
        <v>17428.614000000005</v>
      </c>
      <c r="T352" s="9">
        <f t="shared" si="18"/>
        <v>353367.837</v>
      </c>
      <c r="U352" s="9">
        <f t="shared" si="18"/>
        <v>1022.8059999999999</v>
      </c>
      <c r="V352" s="9">
        <f t="shared" si="18"/>
        <v>186132.29700000002</v>
      </c>
      <c r="W352" s="9">
        <f t="shared" si="18"/>
        <v>144411.26999999996</v>
      </c>
      <c r="X352" s="9">
        <f t="shared" si="18"/>
        <v>275693.27</v>
      </c>
      <c r="Y352" s="9">
        <f t="shared" si="18"/>
        <v>226474.46300000005</v>
      </c>
      <c r="Z352" s="9">
        <f t="shared" si="18"/>
        <v>3165732.6439999994</v>
      </c>
      <c r="AA352" s="9">
        <f t="shared" si="18"/>
        <v>78384.044999999998</v>
      </c>
      <c r="AB352" s="9">
        <f t="shared" si="18"/>
        <v>1576102.3830000001</v>
      </c>
      <c r="AC352" s="9">
        <f t="shared" si="18"/>
        <v>554835.49800000002</v>
      </c>
      <c r="AD352" s="9">
        <f t="shared" si="18"/>
        <v>205799.84899999999</v>
      </c>
      <c r="AE352" s="9">
        <f t="shared" si="18"/>
        <v>71341.722999999998</v>
      </c>
      <c r="AF352" s="9">
        <f t="shared" si="18"/>
        <v>9452827.8709999993</v>
      </c>
      <c r="AG352" s="9">
        <f t="shared" si="18"/>
        <v>4318597.9720000001</v>
      </c>
      <c r="AH352" s="9">
        <f t="shared" si="18"/>
        <v>380815.61499999999</v>
      </c>
      <c r="AI352" s="9">
        <f t="shared" si="18"/>
        <v>24344392.261</v>
      </c>
      <c r="AJ352" s="9">
        <f t="shared" si="18"/>
        <v>6627682.4360000007</v>
      </c>
      <c r="AK352" s="9">
        <f t="shared" si="18"/>
        <v>401441.94300000003</v>
      </c>
      <c r="AL352" s="9">
        <f>AL350-AL338</f>
        <v>9834742.459999999</v>
      </c>
      <c r="AM352" s="9">
        <f>AM350-AM338</f>
        <v>5024233.6010000007</v>
      </c>
      <c r="AN352" s="9">
        <f>AN350-AN338</f>
        <v>49010.956000000006</v>
      </c>
      <c r="AO352" s="9">
        <f>AO350-AO338</f>
        <v>3323108.0240000002</v>
      </c>
      <c r="AP352" s="9">
        <f>AP350-AP338</f>
        <v>266982.21600000007</v>
      </c>
      <c r="AQ352" s="9">
        <f t="shared" ref="AQ352:AX352" si="19">AQ350-AQ338</f>
        <v>134570.353</v>
      </c>
      <c r="AR352" s="9">
        <f t="shared" si="19"/>
        <v>1740761.8439999998</v>
      </c>
      <c r="AS352" s="9">
        <f t="shared" si="19"/>
        <v>31898.974999999999</v>
      </c>
      <c r="AT352" s="9">
        <f t="shared" si="19"/>
        <v>4017.893</v>
      </c>
      <c r="AU352" s="9">
        <f t="shared" si="19"/>
        <v>0</v>
      </c>
      <c r="AV352" s="9">
        <f t="shared" si="19"/>
        <v>81767.278999999995</v>
      </c>
      <c r="AW352" s="9">
        <f t="shared" si="19"/>
        <v>84806.715999999986</v>
      </c>
      <c r="AX352" s="9">
        <f t="shared" si="19"/>
        <v>195719.87100000001</v>
      </c>
      <c r="AY352" s="9">
        <f>AY350-AY338</f>
        <v>323336.46500000003</v>
      </c>
      <c r="AZ352" s="9">
        <f t="shared" ref="AZ352:BI352" si="20">AZ350-AZ338</f>
        <v>140092.22600000002</v>
      </c>
      <c r="BA352" s="9">
        <f t="shared" si="20"/>
        <v>1160944.2560000003</v>
      </c>
      <c r="BB352" s="9">
        <f t="shared" si="20"/>
        <v>247410.505</v>
      </c>
      <c r="BC352" s="9">
        <f t="shared" si="20"/>
        <v>123784.92599999999</v>
      </c>
      <c r="BD352" s="9">
        <f t="shared" si="20"/>
        <v>50965.194000000003</v>
      </c>
      <c r="BE352" s="9">
        <f t="shared" si="20"/>
        <v>1476833.6960000002</v>
      </c>
      <c r="BF352" s="9">
        <f t="shared" si="20"/>
        <v>36110.199000000001</v>
      </c>
      <c r="BG352" s="9">
        <f t="shared" si="20"/>
        <v>509875.31699999992</v>
      </c>
      <c r="BH352" s="9">
        <f t="shared" si="20"/>
        <v>215083.34799999997</v>
      </c>
      <c r="BI352" s="9">
        <f t="shared" si="20"/>
        <v>17545.719999999998</v>
      </c>
      <c r="BL352" s="22"/>
    </row>
    <row r="353" spans="1:64" x14ac:dyDescent="0.25">
      <c r="A353" s="22"/>
      <c r="F353" s="20">
        <f t="shared" ref="F353:N353" si="21">F3</f>
        <v>401</v>
      </c>
      <c r="G353" s="20">
        <f t="shared" si="21"/>
        <v>242</v>
      </c>
      <c r="H353" s="20">
        <f t="shared" si="21"/>
        <v>385</v>
      </c>
      <c r="I353" s="20">
        <f t="shared" si="21"/>
        <v>528</v>
      </c>
      <c r="J353" s="20">
        <f t="shared" si="21"/>
        <v>384</v>
      </c>
      <c r="K353" s="20">
        <f t="shared" si="21"/>
        <v>716</v>
      </c>
      <c r="L353" s="20">
        <f t="shared" si="21"/>
        <v>715</v>
      </c>
      <c r="M353" s="20">
        <f t="shared" si="21"/>
        <v>9916</v>
      </c>
      <c r="N353" s="20">
        <f t="shared" si="21"/>
        <v>1100</v>
      </c>
      <c r="O353" s="20">
        <f>O3</f>
        <v>801</v>
      </c>
      <c r="P353" s="20">
        <f t="shared" ref="P353:U353" si="22">P3</f>
        <v>804</v>
      </c>
      <c r="Q353" s="20">
        <f t="shared" si="22"/>
        <v>806</v>
      </c>
      <c r="R353" s="20">
        <f t="shared" si="22"/>
        <v>8765</v>
      </c>
      <c r="S353" s="20">
        <f t="shared" si="22"/>
        <v>8766</v>
      </c>
      <c r="T353" s="20">
        <f t="shared" si="22"/>
        <v>9418</v>
      </c>
      <c r="U353" s="20">
        <f t="shared" si="22"/>
        <v>9475</v>
      </c>
      <c r="V353" s="20">
        <f>V3</f>
        <v>9906</v>
      </c>
      <c r="W353" s="20">
        <f>W3</f>
        <v>7905</v>
      </c>
      <c r="X353" s="20">
        <f t="shared" ref="X353:AK353" si="23">X3</f>
        <v>7906</v>
      </c>
      <c r="Y353" s="20">
        <f t="shared" si="23"/>
        <v>7907</v>
      </c>
      <c r="Z353" s="20">
        <f t="shared" si="23"/>
        <v>7908</v>
      </c>
      <c r="AA353" s="20">
        <f t="shared" si="23"/>
        <v>7909</v>
      </c>
      <c r="AB353" s="20">
        <f t="shared" si="23"/>
        <v>11310</v>
      </c>
      <c r="AC353" s="20">
        <f t="shared" si="23"/>
        <v>11311</v>
      </c>
      <c r="AD353" s="20">
        <f t="shared" si="23"/>
        <v>11312</v>
      </c>
      <c r="AE353" s="20">
        <f t="shared" si="23"/>
        <v>11335</v>
      </c>
      <c r="AF353" s="20">
        <f t="shared" si="23"/>
        <v>9529</v>
      </c>
      <c r="AG353" s="20">
        <f t="shared" si="23"/>
        <v>961</v>
      </c>
      <c r="AH353" s="20">
        <f t="shared" si="23"/>
        <v>9528</v>
      </c>
      <c r="AI353" s="20">
        <f t="shared" si="23"/>
        <v>964</v>
      </c>
      <c r="AJ353" s="20">
        <f t="shared" si="23"/>
        <v>968</v>
      </c>
      <c r="AK353" s="20">
        <f t="shared" si="23"/>
        <v>8629</v>
      </c>
      <c r="AL353" s="20">
        <f>AL3</f>
        <v>13264</v>
      </c>
      <c r="AM353" s="20">
        <f>AM3</f>
        <v>13263</v>
      </c>
      <c r="AN353" s="20">
        <f>AN3</f>
        <v>13209</v>
      </c>
      <c r="AO353" s="20">
        <f>AO3</f>
        <v>13250</v>
      </c>
      <c r="AP353" s="20">
        <f>AP3</f>
        <v>14281</v>
      </c>
      <c r="AQ353" s="20">
        <f t="shared" ref="AQ353:AX353" si="24">AQ3</f>
        <v>2049</v>
      </c>
      <c r="AR353" s="20">
        <f t="shared" si="24"/>
        <v>7975</v>
      </c>
      <c r="AS353" s="20">
        <f t="shared" si="24"/>
        <v>8004</v>
      </c>
      <c r="AT353" s="20">
        <f t="shared" si="24"/>
        <v>1008</v>
      </c>
      <c r="AU353" s="20">
        <f t="shared" si="24"/>
        <v>9484</v>
      </c>
      <c r="AV353" s="20">
        <f t="shared" si="24"/>
        <v>682</v>
      </c>
      <c r="AW353" s="20">
        <f t="shared" si="24"/>
        <v>11352</v>
      </c>
      <c r="AX353" s="20">
        <f t="shared" si="24"/>
        <v>2058</v>
      </c>
      <c r="AY353" s="20">
        <f>AY3</f>
        <v>15007</v>
      </c>
      <c r="AZ353" s="20">
        <f t="shared" ref="AZ353:BI353" si="25">AZ3</f>
        <v>15208</v>
      </c>
      <c r="BA353" s="20">
        <f t="shared" si="25"/>
        <v>15209</v>
      </c>
      <c r="BB353" s="20">
        <f t="shared" si="25"/>
        <v>15210</v>
      </c>
      <c r="BC353" s="20">
        <f t="shared" si="25"/>
        <v>15211</v>
      </c>
      <c r="BD353" s="20">
        <f t="shared" si="25"/>
        <v>15212</v>
      </c>
      <c r="BE353" s="20">
        <f t="shared" si="25"/>
        <v>15232</v>
      </c>
      <c r="BF353" s="20">
        <f t="shared" si="25"/>
        <v>15214</v>
      </c>
      <c r="BG353" s="20">
        <f t="shared" si="25"/>
        <v>15233</v>
      </c>
      <c r="BH353" s="20">
        <f t="shared" si="25"/>
        <v>15234</v>
      </c>
      <c r="BI353" s="20">
        <f t="shared" si="25"/>
        <v>15215</v>
      </c>
      <c r="BL353" s="22"/>
    </row>
    <row r="354" spans="1:64" x14ac:dyDescent="0.25">
      <c r="A354" s="22"/>
      <c r="B354" t="s">
        <v>608</v>
      </c>
      <c r="F354" s="21">
        <f t="shared" ref="F354:AM354" si="26">F343/F350</f>
        <v>0.137959049890684</v>
      </c>
      <c r="G354" s="21">
        <f t="shared" si="26"/>
        <v>0.15437551096312621</v>
      </c>
      <c r="H354" s="21">
        <f t="shared" si="26"/>
        <v>5.5731123614063433E-2</v>
      </c>
      <c r="I354" s="21">
        <f t="shared" si="26"/>
        <v>1.3186873219985058E-2</v>
      </c>
      <c r="J354" s="21">
        <f t="shared" si="26"/>
        <v>9.257763574818452E-2</v>
      </c>
      <c r="K354" s="21">
        <f t="shared" si="26"/>
        <v>4.2592180351748159E-2</v>
      </c>
      <c r="L354" s="21">
        <f t="shared" si="26"/>
        <v>7.7413021268281132E-2</v>
      </c>
      <c r="M354" s="21">
        <f t="shared" si="26"/>
        <v>0.20574191623442564</v>
      </c>
      <c r="N354" s="21">
        <f t="shared" si="26"/>
        <v>7.3775924810302637E-2</v>
      </c>
      <c r="O354" s="21">
        <f>O343/O350</f>
        <v>2.8383851043332184E-3</v>
      </c>
      <c r="P354" s="21">
        <f t="shared" si="26"/>
        <v>0.78684212336815174</v>
      </c>
      <c r="Q354" s="21">
        <f t="shared" si="26"/>
        <v>5.5516321426906753E-2</v>
      </c>
      <c r="R354" s="21">
        <f t="shared" si="26"/>
        <v>0.46784198695008422</v>
      </c>
      <c r="S354" s="21">
        <f t="shared" si="26"/>
        <v>0.13767032765772422</v>
      </c>
      <c r="T354" s="21">
        <f t="shared" si="26"/>
        <v>0.14855488673124487</v>
      </c>
      <c r="U354" s="21">
        <f t="shared" si="26"/>
        <v>9.6284143816129375E-3</v>
      </c>
      <c r="V354" s="21">
        <f t="shared" si="26"/>
        <v>7.8636938542696849E-2</v>
      </c>
      <c r="W354" s="21">
        <f t="shared" si="26"/>
        <v>5.4678467961676414E-2</v>
      </c>
      <c r="X354" s="21">
        <f t="shared" si="26"/>
        <v>0.10148887928965403</v>
      </c>
      <c r="Y354" s="21">
        <f t="shared" si="26"/>
        <v>0.42499116556024247</v>
      </c>
      <c r="Z354" s="21">
        <f t="shared" si="26"/>
        <v>0.185762167602679</v>
      </c>
      <c r="AA354" s="21">
        <f t="shared" si="26"/>
        <v>0.55418669705040102</v>
      </c>
      <c r="AB354" s="21">
        <f t="shared" si="26"/>
        <v>0.10244247946169116</v>
      </c>
      <c r="AC354" s="21">
        <f t="shared" si="26"/>
        <v>0.81245390142647289</v>
      </c>
      <c r="AD354" s="21">
        <f t="shared" si="26"/>
        <v>0.17604425453198461</v>
      </c>
      <c r="AE354" s="21">
        <f t="shared" si="26"/>
        <v>0.29407928653475329</v>
      </c>
      <c r="AF354" s="21">
        <f t="shared" si="26"/>
        <v>0.1905443512333263</v>
      </c>
      <c r="AG354" s="21">
        <f t="shared" si="26"/>
        <v>0.30618544110222634</v>
      </c>
      <c r="AH354" s="21">
        <f t="shared" si="26"/>
        <v>0.35522939625256705</v>
      </c>
      <c r="AI354" s="21">
        <f t="shared" si="26"/>
        <v>0.17813550432915448</v>
      </c>
      <c r="AJ354" s="21">
        <f t="shared" si="26"/>
        <v>0.28732661973305201</v>
      </c>
      <c r="AK354" s="21">
        <f t="shared" si="26"/>
        <v>0.54416156510083447</v>
      </c>
      <c r="AL354" s="21">
        <f t="shared" si="26"/>
        <v>0.61101173726108948</v>
      </c>
      <c r="AM354" s="21">
        <f t="shared" si="26"/>
        <v>0.61240366976320448</v>
      </c>
      <c r="AN354" s="21">
        <f>AN343/AN350</f>
        <v>7.9189987642762971E-2</v>
      </c>
      <c r="AO354" s="21">
        <f>AO343/AO350</f>
        <v>0.612491733130611</v>
      </c>
      <c r="AP354" s="21">
        <f>AP343/AP350</f>
        <v>0.19287797805978205</v>
      </c>
      <c r="AQ354" s="21">
        <f>AQ343/AQ350</f>
        <v>0.1055150238031998</v>
      </c>
      <c r="AR354" s="21">
        <f t="shared" ref="AR354:AX354" si="27">AR343/AR350</f>
        <v>0.30157641081659653</v>
      </c>
      <c r="AS354" s="21">
        <f t="shared" si="27"/>
        <v>9.437983508874502E-2</v>
      </c>
      <c r="AT354" s="21">
        <f t="shared" si="27"/>
        <v>0.13744641781152458</v>
      </c>
      <c r="AU354" s="21" t="e">
        <f t="shared" si="27"/>
        <v>#DIV/0!</v>
      </c>
      <c r="AV354" s="21">
        <f t="shared" si="27"/>
        <v>0.14062387963282966</v>
      </c>
      <c r="AW354" s="21">
        <f t="shared" si="27"/>
        <v>9.7087817903478327E-2</v>
      </c>
      <c r="AX354" s="21">
        <f t="shared" si="27"/>
        <v>0.10558487952406222</v>
      </c>
      <c r="AY354" s="21">
        <f>AY343/AY350</f>
        <v>0.45376452359000086</v>
      </c>
      <c r="AZ354" s="21">
        <f t="shared" ref="AZ354:BI354" si="28">AZ343/AZ350</f>
        <v>3.6815590324048388E-2</v>
      </c>
      <c r="BA354" s="21">
        <f t="shared" si="28"/>
        <v>1.7311875997601728E-2</v>
      </c>
      <c r="BB354" s="21">
        <f t="shared" si="28"/>
        <v>0.42461661439961895</v>
      </c>
      <c r="BC354" s="21">
        <f t="shared" si="28"/>
        <v>0.19339331349602293</v>
      </c>
      <c r="BD354" s="21">
        <f t="shared" si="28"/>
        <v>4.5762211755732737E-2</v>
      </c>
      <c r="BE354" s="21">
        <f t="shared" si="28"/>
        <v>1.8045151645835686E-2</v>
      </c>
      <c r="BF354" s="21">
        <f t="shared" si="28"/>
        <v>0.19679141064827696</v>
      </c>
      <c r="BG354" s="21">
        <f t="shared" si="28"/>
        <v>1.6809097664164829E-2</v>
      </c>
      <c r="BH354" s="21">
        <f t="shared" si="28"/>
        <v>0.58582313401593511</v>
      </c>
      <c r="BI354" s="21">
        <f t="shared" si="28"/>
        <v>4.6496524508541116E-2</v>
      </c>
      <c r="BL354" s="22"/>
    </row>
    <row r="355" spans="1:64" x14ac:dyDescent="0.25">
      <c r="A355" s="22"/>
      <c r="B355" t="s">
        <v>609</v>
      </c>
      <c r="F355" s="21">
        <f t="shared" ref="F355:AM355" si="29">F344/F350</f>
        <v>0.23089973829110161</v>
      </c>
      <c r="G355" s="21">
        <f t="shared" si="29"/>
        <v>0.18171323207072834</v>
      </c>
      <c r="H355" s="21">
        <f t="shared" si="29"/>
        <v>0.36542919455262124</v>
      </c>
      <c r="I355" s="21">
        <f t="shared" si="29"/>
        <v>0</v>
      </c>
      <c r="J355" s="21">
        <f t="shared" si="29"/>
        <v>0.38236419520837922</v>
      </c>
      <c r="K355" s="21">
        <f t="shared" si="29"/>
        <v>0.33861218171345453</v>
      </c>
      <c r="L355" s="21">
        <f t="shared" si="29"/>
        <v>0.7269869810105154</v>
      </c>
      <c r="M355" s="21">
        <f t="shared" si="29"/>
        <v>0.10648605262581572</v>
      </c>
      <c r="N355" s="21">
        <f t="shared" si="29"/>
        <v>0.21627013509260243</v>
      </c>
      <c r="O355" s="21">
        <f>O344/O350</f>
        <v>0.80647552096981856</v>
      </c>
      <c r="P355" s="21">
        <f t="shared" si="29"/>
        <v>8.7839998203984634E-3</v>
      </c>
      <c r="Q355" s="21">
        <f t="shared" si="29"/>
        <v>0.77772893349177441</v>
      </c>
      <c r="R355" s="21">
        <f t="shared" si="29"/>
        <v>0.15541520334348335</v>
      </c>
      <c r="S355" s="21">
        <f t="shared" si="29"/>
        <v>0.1848763189086636</v>
      </c>
      <c r="T355" s="21">
        <f t="shared" si="29"/>
        <v>0.1750819217879187</v>
      </c>
      <c r="U355" s="21">
        <f t="shared" si="29"/>
        <v>0.99037158561838712</v>
      </c>
      <c r="V355" s="21">
        <f t="shared" si="29"/>
        <v>0.74301917092872916</v>
      </c>
      <c r="W355" s="21">
        <f t="shared" si="29"/>
        <v>0.26576754708964201</v>
      </c>
      <c r="X355" s="21">
        <f t="shared" si="29"/>
        <v>0.2121514500517187</v>
      </c>
      <c r="Y355" s="21">
        <f t="shared" si="29"/>
        <v>0.13730018205187219</v>
      </c>
      <c r="Z355" s="21">
        <f t="shared" si="29"/>
        <v>0.19617485171309371</v>
      </c>
      <c r="AA355" s="21">
        <f t="shared" si="29"/>
        <v>4.2045673963368446E-3</v>
      </c>
      <c r="AB355" s="21">
        <f t="shared" si="29"/>
        <v>0.32813378850147956</v>
      </c>
      <c r="AC355" s="21">
        <f t="shared" si="29"/>
        <v>6.6177146437735677E-3</v>
      </c>
      <c r="AD355" s="21">
        <f t="shared" si="29"/>
        <v>0.14406141765439293</v>
      </c>
      <c r="AE355" s="21">
        <f t="shared" si="29"/>
        <v>0.18192111788497176</v>
      </c>
      <c r="AF355" s="21">
        <f t="shared" si="29"/>
        <v>0.19060151846490764</v>
      </c>
      <c r="AG355" s="21">
        <f t="shared" si="29"/>
        <v>4.9520740848437557E-2</v>
      </c>
      <c r="AH355" s="21">
        <f t="shared" si="29"/>
        <v>0.14272809952921706</v>
      </c>
      <c r="AI355" s="21">
        <f t="shared" si="29"/>
        <v>0.14790941644365743</v>
      </c>
      <c r="AJ355" s="21">
        <f t="shared" si="29"/>
        <v>4.6647146719146146E-2</v>
      </c>
      <c r="AK355" s="21">
        <f t="shared" si="29"/>
        <v>4.3142626977570198E-3</v>
      </c>
      <c r="AL355" s="21">
        <f t="shared" si="29"/>
        <v>0.13103209720450576</v>
      </c>
      <c r="AM355" s="21">
        <f t="shared" si="29"/>
        <v>0.13055787411426134</v>
      </c>
      <c r="AN355" s="21">
        <f>AN344/AN350</f>
        <v>0.73931930648322786</v>
      </c>
      <c r="AO355" s="21">
        <f>AO344/AO350</f>
        <v>0.13058713856603776</v>
      </c>
      <c r="AP355" s="21">
        <f>AP344/AP350</f>
        <v>0.16616664834334882</v>
      </c>
      <c r="AQ355" s="21">
        <f>AQ344/AQ350</f>
        <v>0</v>
      </c>
      <c r="AR355" s="21">
        <f t="shared" ref="AR355:AX355" si="30">AR344/AR350</f>
        <v>5.0425152241560751E-2</v>
      </c>
      <c r="AS355" s="21">
        <f t="shared" si="30"/>
        <v>0</v>
      </c>
      <c r="AT355" s="21">
        <f t="shared" si="30"/>
        <v>0.35658440879336506</v>
      </c>
      <c r="AU355" s="21" t="e">
        <f t="shared" si="30"/>
        <v>#DIV/0!</v>
      </c>
      <c r="AV355" s="21">
        <f t="shared" si="30"/>
        <v>0.39093379883657375</v>
      </c>
      <c r="AW355" s="21">
        <f t="shared" si="30"/>
        <v>0</v>
      </c>
      <c r="AX355" s="21">
        <f t="shared" si="30"/>
        <v>0</v>
      </c>
      <c r="AY355" s="21">
        <f>AY344/AY350</f>
        <v>0.13046182403212703</v>
      </c>
      <c r="AZ355" s="21">
        <f t="shared" ref="AZ355:BI355" si="31">AZ344/AZ350</f>
        <v>0.23528431905993125</v>
      </c>
      <c r="BA355" s="21">
        <f t="shared" si="31"/>
        <v>0</v>
      </c>
      <c r="BB355" s="21">
        <f t="shared" si="31"/>
        <v>0.13734491185004452</v>
      </c>
      <c r="BC355" s="21">
        <f t="shared" si="31"/>
        <v>0.17443851765925039</v>
      </c>
      <c r="BD355" s="21">
        <f t="shared" si="31"/>
        <v>0.26819960697098494</v>
      </c>
      <c r="BE355" s="21">
        <f t="shared" si="31"/>
        <v>0</v>
      </c>
      <c r="BF355" s="21">
        <f t="shared" si="31"/>
        <v>0.16779818909333624</v>
      </c>
      <c r="BG355" s="21">
        <f t="shared" si="31"/>
        <v>0</v>
      </c>
      <c r="BH355" s="21">
        <f t="shared" si="31"/>
        <v>6.9281816275242297E-2</v>
      </c>
      <c r="BI355" s="21">
        <f t="shared" si="31"/>
        <v>0.25964685404759685</v>
      </c>
      <c r="BL355" s="22"/>
    </row>
    <row r="356" spans="1:64" x14ac:dyDescent="0.25">
      <c r="A356" s="22"/>
      <c r="B356" t="s">
        <v>610</v>
      </c>
      <c r="F356" s="21">
        <f t="shared" ref="F356:AM356" si="32">F345/F350</f>
        <v>0.20414786517514691</v>
      </c>
      <c r="G356" s="21">
        <f t="shared" si="32"/>
        <v>0.25946461163256929</v>
      </c>
      <c r="H356" s="21">
        <f t="shared" si="32"/>
        <v>0.44247867533509544</v>
      </c>
      <c r="I356" s="21">
        <f t="shared" si="32"/>
        <v>3.5969813405319115E-2</v>
      </c>
      <c r="J356" s="21">
        <f t="shared" si="32"/>
        <v>0.308375329916101</v>
      </c>
      <c r="K356" s="21">
        <f t="shared" si="32"/>
        <v>0.44103973321863638</v>
      </c>
      <c r="L356" s="21">
        <f t="shared" si="32"/>
        <v>0.11021927202151241</v>
      </c>
      <c r="M356" s="21">
        <f t="shared" si="32"/>
        <v>9.2288344121247437E-2</v>
      </c>
      <c r="N356" s="21">
        <f t="shared" si="32"/>
        <v>0.33585375836430176</v>
      </c>
      <c r="O356" s="21">
        <f>O345/O350</f>
        <v>0.19070717198302109</v>
      </c>
      <c r="P356" s="21">
        <f t="shared" si="32"/>
        <v>0</v>
      </c>
      <c r="Q356" s="21">
        <f t="shared" si="32"/>
        <v>3.0694901367751678E-3</v>
      </c>
      <c r="R356" s="21">
        <f t="shared" si="32"/>
        <v>0.29863159272388623</v>
      </c>
      <c r="S356" s="21">
        <f t="shared" si="32"/>
        <v>0.6457014883684955</v>
      </c>
      <c r="T356" s="21">
        <f t="shared" si="32"/>
        <v>0.33980322606440266</v>
      </c>
      <c r="U356" s="21">
        <f t="shared" si="32"/>
        <v>0</v>
      </c>
      <c r="V356" s="21">
        <f t="shared" si="32"/>
        <v>0.11264992877619728</v>
      </c>
      <c r="W356" s="21">
        <f t="shared" si="32"/>
        <v>0.46984137041381902</v>
      </c>
      <c r="X356" s="21">
        <f t="shared" si="32"/>
        <v>0.36719931538408601</v>
      </c>
      <c r="Y356" s="21">
        <f t="shared" si="32"/>
        <v>0</v>
      </c>
      <c r="Z356" s="21">
        <f t="shared" si="32"/>
        <v>0.13724357103353677</v>
      </c>
      <c r="AA356" s="21">
        <f t="shared" si="32"/>
        <v>6.0635656146604842E-2</v>
      </c>
      <c r="AB356" s="21">
        <f t="shared" si="32"/>
        <v>0.37266807177969996</v>
      </c>
      <c r="AC356" s="21">
        <f t="shared" si="32"/>
        <v>0</v>
      </c>
      <c r="AD356" s="21">
        <f t="shared" si="32"/>
        <v>0.24660380581717531</v>
      </c>
      <c r="AE356" s="21">
        <f t="shared" si="32"/>
        <v>0.20020077171390996</v>
      </c>
      <c r="AF356" s="21">
        <f t="shared" si="32"/>
        <v>0.13266488019392397</v>
      </c>
      <c r="AG356" s="21">
        <f t="shared" si="32"/>
        <v>9.4959443471900901E-3</v>
      </c>
      <c r="AH356" s="21">
        <f t="shared" si="32"/>
        <v>0.15274441149163487</v>
      </c>
      <c r="AI356" s="21">
        <f t="shared" si="32"/>
        <v>0.11385149505006165</v>
      </c>
      <c r="AJ356" s="21">
        <f t="shared" si="32"/>
        <v>9.5281672907238241E-3</v>
      </c>
      <c r="AK356" s="21">
        <f t="shared" si="32"/>
        <v>5.62919605039875E-2</v>
      </c>
      <c r="AL356" s="21">
        <f t="shared" si="32"/>
        <v>0</v>
      </c>
      <c r="AM356" s="21">
        <f t="shared" si="32"/>
        <v>0</v>
      </c>
      <c r="AN356" s="21">
        <f>AN345/AN350</f>
        <v>0.11208901944291802</v>
      </c>
      <c r="AO356" s="21">
        <f>AO345/AO350</f>
        <v>0</v>
      </c>
      <c r="AP356" s="21">
        <f>AP345/AP350</f>
        <v>0.2829628659610795</v>
      </c>
      <c r="AQ356" s="21">
        <f>AQ345/AQ350</f>
        <v>0</v>
      </c>
      <c r="AR356" s="21">
        <f t="shared" ref="AR356:AX356" si="33">AR345/AR350</f>
        <v>9.3925392817835671E-3</v>
      </c>
      <c r="AS356" s="21">
        <f t="shared" si="33"/>
        <v>0</v>
      </c>
      <c r="AT356" s="21">
        <f t="shared" si="33"/>
        <v>0.22598411655063985</v>
      </c>
      <c r="AU356" s="21" t="e">
        <f t="shared" si="33"/>
        <v>#DIV/0!</v>
      </c>
      <c r="AV356" s="21">
        <f t="shared" si="33"/>
        <v>0.31384338960331559</v>
      </c>
      <c r="AW356" s="21">
        <f t="shared" si="33"/>
        <v>0</v>
      </c>
      <c r="AX356" s="21">
        <f t="shared" si="33"/>
        <v>0</v>
      </c>
      <c r="AY356" s="21">
        <f>AY345/AY350</f>
        <v>0</v>
      </c>
      <c r="AZ356" s="21">
        <f t="shared" ref="AZ356:BI356" si="34">AZ345/AZ350</f>
        <v>0.48298172519580057</v>
      </c>
      <c r="BA356" s="21">
        <f t="shared" si="34"/>
        <v>2.3942938566035677E-2</v>
      </c>
      <c r="BB356" s="21">
        <f t="shared" si="34"/>
        <v>0</v>
      </c>
      <c r="BC356" s="21">
        <f t="shared" si="34"/>
        <v>0.28305135473442056</v>
      </c>
      <c r="BD356" s="21">
        <f t="shared" si="34"/>
        <v>0.64020584322704632</v>
      </c>
      <c r="BE356" s="21">
        <f t="shared" si="34"/>
        <v>2.4466012048522487E-2</v>
      </c>
      <c r="BF356" s="21">
        <f t="shared" si="34"/>
        <v>0.2889115897699705</v>
      </c>
      <c r="BG356" s="21">
        <f t="shared" si="34"/>
        <v>2.4507732740473104E-2</v>
      </c>
      <c r="BH356" s="21">
        <f t="shared" si="34"/>
        <v>6.4858633314560474E-2</v>
      </c>
      <c r="BI356" s="21">
        <f t="shared" si="34"/>
        <v>0.64744353608743332</v>
      </c>
      <c r="BL356" s="22"/>
    </row>
    <row r="357" spans="1:64" x14ac:dyDescent="0.25">
      <c r="A357" s="22"/>
      <c r="B357" t="s">
        <v>611</v>
      </c>
      <c r="F357" s="21">
        <f t="shared" ref="F357:AM357" si="35">F346/F350</f>
        <v>0.17494137080039557</v>
      </c>
      <c r="G357" s="21">
        <f t="shared" si="35"/>
        <v>0.30447197741600446</v>
      </c>
      <c r="H357" s="21">
        <f t="shared" si="35"/>
        <v>2.1537833437450631E-3</v>
      </c>
      <c r="I357" s="21">
        <f t="shared" si="35"/>
        <v>5.9370512567860106E-2</v>
      </c>
      <c r="J357" s="21">
        <f t="shared" si="35"/>
        <v>5.7676404366905819E-2</v>
      </c>
      <c r="K357" s="21">
        <f t="shared" si="35"/>
        <v>2.0252243459728085E-3</v>
      </c>
      <c r="L357" s="21">
        <f t="shared" si="35"/>
        <v>0</v>
      </c>
      <c r="M357" s="21">
        <f t="shared" si="35"/>
        <v>0.36661808327179646</v>
      </c>
      <c r="N357" s="21">
        <f t="shared" si="35"/>
        <v>5.7079950454783895E-2</v>
      </c>
      <c r="O357" s="21">
        <f>O346/O350</f>
        <v>0</v>
      </c>
      <c r="P357" s="21">
        <f t="shared" si="35"/>
        <v>0.19702548229591121</v>
      </c>
      <c r="Q357" s="21">
        <f t="shared" si="35"/>
        <v>2.4194673222028306E-3</v>
      </c>
      <c r="R357" s="21">
        <f t="shared" si="35"/>
        <v>7.837846309773211E-2</v>
      </c>
      <c r="S357" s="21">
        <f t="shared" si="35"/>
        <v>5.0742417039014104E-3</v>
      </c>
      <c r="T357" s="21">
        <f t="shared" si="35"/>
        <v>0.30291238135518261</v>
      </c>
      <c r="U357" s="21">
        <f t="shared" si="35"/>
        <v>0</v>
      </c>
      <c r="V357" s="21">
        <f t="shared" si="35"/>
        <v>0</v>
      </c>
      <c r="W357" s="21">
        <f t="shared" si="35"/>
        <v>2.6521129548961113E-3</v>
      </c>
      <c r="X357" s="21">
        <f t="shared" si="35"/>
        <v>0.13650280255299665</v>
      </c>
      <c r="Y357" s="21">
        <f t="shared" si="35"/>
        <v>0.40546272097794966</v>
      </c>
      <c r="Z357" s="21">
        <f t="shared" si="35"/>
        <v>0.29223266208326087</v>
      </c>
      <c r="AA357" s="21">
        <f t="shared" si="35"/>
        <v>0.37470268343513019</v>
      </c>
      <c r="AB357" s="21">
        <f t="shared" si="35"/>
        <v>9.6064134305670915E-2</v>
      </c>
      <c r="AC357" s="21">
        <f t="shared" si="35"/>
        <v>0.18558617891460147</v>
      </c>
      <c r="AD357" s="21">
        <f t="shared" si="35"/>
        <v>0.32819998327598388</v>
      </c>
      <c r="AE357" s="21">
        <f t="shared" si="35"/>
        <v>0.31755552077148458</v>
      </c>
      <c r="AF357" s="21">
        <f t="shared" si="35"/>
        <v>0.28255927638270228</v>
      </c>
      <c r="AG357" s="21">
        <f t="shared" si="35"/>
        <v>0.61985669130490662</v>
      </c>
      <c r="AH357" s="21">
        <f t="shared" si="35"/>
        <v>0.27075080941730817</v>
      </c>
      <c r="AI357" s="21">
        <f t="shared" si="35"/>
        <v>0.29536750989341115</v>
      </c>
      <c r="AJ357" s="21">
        <f t="shared" si="35"/>
        <v>0.61067279506570493</v>
      </c>
      <c r="AK357" s="21">
        <f t="shared" si="35"/>
        <v>0.38936802874133164</v>
      </c>
      <c r="AL357" s="21">
        <f t="shared" si="35"/>
        <v>0.20417888177216187</v>
      </c>
      <c r="AM357" s="21">
        <f t="shared" si="35"/>
        <v>0.20343992998187027</v>
      </c>
      <c r="AN357" s="21">
        <f>AN346/AN350</f>
        <v>0</v>
      </c>
      <c r="AO357" s="21">
        <f>AO346/AO350</f>
        <v>0.2034855313508761</v>
      </c>
      <c r="AP357" s="21">
        <f>AP346/AP350</f>
        <v>0.34098470813501675</v>
      </c>
      <c r="AQ357" s="21">
        <f>AQ346/AQ350</f>
        <v>0.89478504972042383</v>
      </c>
      <c r="AR357" s="21">
        <f t="shared" ref="AR357:AX357" si="36">AR346/AR350</f>
        <v>0.62337117322523294</v>
      </c>
      <c r="AS357" s="21">
        <f t="shared" si="36"/>
        <v>0.90564198379415017</v>
      </c>
      <c r="AT357" s="21">
        <f t="shared" si="36"/>
        <v>0.25536468990090083</v>
      </c>
      <c r="AU357" s="21" t="e">
        <f t="shared" si="36"/>
        <v>#DIV/0!</v>
      </c>
      <c r="AV357" s="21">
        <f t="shared" si="36"/>
        <v>0.13825262547870767</v>
      </c>
      <c r="AW357" s="21">
        <f t="shared" si="36"/>
        <v>0.90299379119927259</v>
      </c>
      <c r="AX357" s="21">
        <f t="shared" si="36"/>
        <v>0.89466908038172566</v>
      </c>
      <c r="AY357" s="21">
        <f>AY346/AY350</f>
        <v>0.38526829320039729</v>
      </c>
      <c r="AZ357" s="21">
        <f t="shared" ref="AZ357:BI357" si="37">AZ346/AZ350</f>
        <v>0.19864963099379973</v>
      </c>
      <c r="BA357" s="21">
        <f t="shared" si="37"/>
        <v>0.89323246972505799</v>
      </c>
      <c r="BB357" s="21">
        <f t="shared" si="37"/>
        <v>0.40559482306541517</v>
      </c>
      <c r="BC357" s="21">
        <f t="shared" si="37"/>
        <v>0.33271585103989154</v>
      </c>
      <c r="BD357" s="21">
        <f t="shared" si="37"/>
        <v>3.6625191694551382E-3</v>
      </c>
      <c r="BE357" s="21">
        <f t="shared" si="37"/>
        <v>0.89021493791810125</v>
      </c>
      <c r="BF357" s="21">
        <f t="shared" si="37"/>
        <v>0.33046131925221456</v>
      </c>
      <c r="BG357" s="21">
        <f t="shared" si="37"/>
        <v>0.89173297439695443</v>
      </c>
      <c r="BH357" s="21">
        <f t="shared" si="37"/>
        <v>0.27417858494559055</v>
      </c>
      <c r="BI357" s="21">
        <f t="shared" si="37"/>
        <v>3.6842033270791975E-3</v>
      </c>
      <c r="BL357" s="22"/>
    </row>
    <row r="358" spans="1:64" x14ac:dyDescent="0.25">
      <c r="A358" s="22"/>
      <c r="B358" t="s">
        <v>612</v>
      </c>
      <c r="F358" s="21">
        <f t="shared" ref="F358:AM358" si="38">F347/F350</f>
        <v>7.1473207537517514E-2</v>
      </c>
      <c r="G358" s="21">
        <f t="shared" si="38"/>
        <v>3.0639343322959572E-2</v>
      </c>
      <c r="H358" s="21">
        <f t="shared" si="38"/>
        <v>6.8394751372643614E-2</v>
      </c>
      <c r="I358" s="21">
        <f t="shared" si="38"/>
        <v>0.87255453470745348</v>
      </c>
      <c r="J358" s="21">
        <f t="shared" si="38"/>
        <v>8.0424015082768877E-2</v>
      </c>
      <c r="K358" s="21">
        <f t="shared" si="38"/>
        <v>0.11100971639495621</v>
      </c>
      <c r="L358" s="21">
        <f t="shared" si="38"/>
        <v>3.8564879234951339E-2</v>
      </c>
      <c r="M358" s="21">
        <f t="shared" si="38"/>
        <v>3.2995551556804559E-2</v>
      </c>
      <c r="N358" s="21">
        <f t="shared" si="38"/>
        <v>0.13096818544190747</v>
      </c>
      <c r="O358" s="21">
        <f>O347/O350</f>
        <v>0</v>
      </c>
      <c r="P358" s="21">
        <f t="shared" si="38"/>
        <v>0</v>
      </c>
      <c r="Q358" s="21">
        <f t="shared" si="38"/>
        <v>8.5384749262177956E-2</v>
      </c>
      <c r="R358" s="21">
        <f t="shared" si="38"/>
        <v>0</v>
      </c>
      <c r="S358" s="21">
        <f t="shared" si="38"/>
        <v>2.9032715969267542E-5</v>
      </c>
      <c r="T358" s="21">
        <f t="shared" si="38"/>
        <v>-1.2728818327628386E-2</v>
      </c>
      <c r="U358" s="21">
        <f t="shared" si="38"/>
        <v>0</v>
      </c>
      <c r="V358" s="21">
        <f t="shared" si="38"/>
        <v>1.7831445984895354E-2</v>
      </c>
      <c r="W358" s="21">
        <f t="shared" si="38"/>
        <v>0.1487497132322152</v>
      </c>
      <c r="X358" s="21">
        <f t="shared" si="38"/>
        <v>0.10698696054495636</v>
      </c>
      <c r="Y358" s="21">
        <f t="shared" si="38"/>
        <v>0</v>
      </c>
      <c r="Z358" s="21">
        <f t="shared" si="38"/>
        <v>5.7450279114599809E-2</v>
      </c>
      <c r="AA358" s="21">
        <f t="shared" si="38"/>
        <v>0</v>
      </c>
      <c r="AB358" s="21">
        <f t="shared" si="38"/>
        <v>3.63646141381413E-2</v>
      </c>
      <c r="AC358" s="21">
        <f t="shared" si="38"/>
        <v>0</v>
      </c>
      <c r="AD358" s="21">
        <f t="shared" si="38"/>
        <v>4.1851750824170919E-2</v>
      </c>
      <c r="AE358" s="21">
        <f t="shared" si="38"/>
        <v>0</v>
      </c>
      <c r="AF358" s="21">
        <f t="shared" si="38"/>
        <v>4.9670001443740452E-2</v>
      </c>
      <c r="AG358" s="21">
        <f t="shared" si="38"/>
        <v>-2.9150974880326277E-2</v>
      </c>
      <c r="AH358" s="21">
        <f t="shared" si="38"/>
        <v>6.9209990246854772E-2</v>
      </c>
      <c r="AI358" s="21">
        <f t="shared" si="38"/>
        <v>6.7500155164378683E-2</v>
      </c>
      <c r="AJ358" s="21">
        <f t="shared" si="38"/>
        <v>-6.2234455857383816E-3</v>
      </c>
      <c r="AK358" s="21">
        <f t="shared" si="38"/>
        <v>2.8148528565686018E-6</v>
      </c>
      <c r="AL358" s="21">
        <f t="shared" si="38"/>
        <v>2.5732753148271054E-5</v>
      </c>
      <c r="AM358" s="21">
        <f t="shared" si="38"/>
        <v>2.2264092174722108E-5</v>
      </c>
      <c r="AN358" s="21">
        <f>AN347/AN350</f>
        <v>2.1888228419784338E-2</v>
      </c>
      <c r="AO358" s="21">
        <f>AO347/AO350</f>
        <v>3.2456061982052495E-5</v>
      </c>
      <c r="AP358" s="21">
        <f>AP347/AP350</f>
        <v>-1.7563458234236842E-2</v>
      </c>
      <c r="AQ358" s="21">
        <f>AQ347/AQ350</f>
        <v>0</v>
      </c>
      <c r="AR358" s="21">
        <f t="shared" ref="AR358:AX358" si="39">AR347/AR350</f>
        <v>-1.6726102482287637E-2</v>
      </c>
      <c r="AS358" s="21">
        <f t="shared" si="39"/>
        <v>0</v>
      </c>
      <c r="AT358" s="21">
        <f t="shared" si="39"/>
        <v>-1.1332307754337906E-2</v>
      </c>
      <c r="AU358" s="21" t="e">
        <f t="shared" si="39"/>
        <v>#DIV/0!</v>
      </c>
      <c r="AV358" s="21">
        <f t="shared" si="39"/>
        <v>-3.484829182098624E-3</v>
      </c>
      <c r="AW358" s="21">
        <f t="shared" si="39"/>
        <v>0</v>
      </c>
      <c r="AX358" s="21">
        <f t="shared" si="39"/>
        <v>0</v>
      </c>
      <c r="AY358" s="21">
        <f>AY347/AY350</f>
        <v>0</v>
      </c>
      <c r="AZ358" s="21">
        <f t="shared" ref="AZ358:BI358" si="40">AZ347/AZ350</f>
        <v>0</v>
      </c>
      <c r="BA358" s="21">
        <f t="shared" si="40"/>
        <v>0</v>
      </c>
      <c r="BB358" s="21">
        <f t="shared" si="40"/>
        <v>0</v>
      </c>
      <c r="BC358" s="21">
        <f t="shared" si="40"/>
        <v>-1.7573060551815491E-2</v>
      </c>
      <c r="BD358" s="21">
        <f t="shared" si="40"/>
        <v>0</v>
      </c>
      <c r="BE358" s="21">
        <f t="shared" si="40"/>
        <v>0</v>
      </c>
      <c r="BF358" s="21">
        <f t="shared" si="40"/>
        <v>-1.800823639880799E-2</v>
      </c>
      <c r="BG358" s="21">
        <f t="shared" si="40"/>
        <v>0</v>
      </c>
      <c r="BH358" s="21">
        <f t="shared" si="40"/>
        <v>0</v>
      </c>
      <c r="BI358" s="21">
        <f t="shared" si="40"/>
        <v>0</v>
      </c>
      <c r="BL358" s="22"/>
    </row>
    <row r="359" spans="1:64" x14ac:dyDescent="0.25">
      <c r="A359" s="22"/>
      <c r="B359" t="s">
        <v>613</v>
      </c>
      <c r="F359" s="21">
        <f t="shared" ref="F359:N359" si="41">F348/F350</f>
        <v>0.18057876830515443</v>
      </c>
      <c r="G359" s="21">
        <f t="shared" si="41"/>
        <v>6.9335324594611975E-2</v>
      </c>
      <c r="H359" s="21">
        <f t="shared" si="41"/>
        <v>6.5812471781831264E-2</v>
      </c>
      <c r="I359" s="21">
        <f t="shared" si="41"/>
        <v>1.8918266099382262E-2</v>
      </c>
      <c r="J359" s="21">
        <f t="shared" si="41"/>
        <v>7.8582419677660539E-2</v>
      </c>
      <c r="K359" s="21">
        <f t="shared" si="41"/>
        <v>6.4720963975231846E-2</v>
      </c>
      <c r="L359" s="21">
        <f t="shared" si="41"/>
        <v>4.681584646473981E-2</v>
      </c>
      <c r="M359" s="21">
        <f t="shared" si="41"/>
        <v>0.19587005218990999</v>
      </c>
      <c r="N359" s="21">
        <f t="shared" si="41"/>
        <v>0.18605204583610185</v>
      </c>
      <c r="O359" s="21">
        <f>O348/O350</f>
        <v>-2.1078057172805888E-5</v>
      </c>
      <c r="P359" s="21">
        <f t="shared" ref="P359:AM359" si="42">P348/P350</f>
        <v>7.3483945155387309E-3</v>
      </c>
      <c r="Q359" s="21">
        <f t="shared" si="42"/>
        <v>7.5881038360162731E-2</v>
      </c>
      <c r="R359" s="21">
        <f t="shared" si="42"/>
        <v>-2.6724611518588889E-4</v>
      </c>
      <c r="S359" s="21">
        <f t="shared" si="42"/>
        <v>2.6648590645245791E-2</v>
      </c>
      <c r="T359" s="21">
        <f t="shared" si="42"/>
        <v>4.6376402388879551E-2</v>
      </c>
      <c r="U359" s="21">
        <f t="shared" si="42"/>
        <v>0</v>
      </c>
      <c r="V359" s="21">
        <f t="shared" si="42"/>
        <v>4.7862515767481233E-2</v>
      </c>
      <c r="W359" s="21">
        <f t="shared" si="42"/>
        <v>5.8310788347751552E-2</v>
      </c>
      <c r="X359" s="21">
        <f t="shared" si="42"/>
        <v>7.5670592176588114E-2</v>
      </c>
      <c r="Y359" s="21">
        <f t="shared" si="42"/>
        <v>3.2245931409935598E-2</v>
      </c>
      <c r="Z359" s="21">
        <f t="shared" si="42"/>
        <v>0.13113646845282997</v>
      </c>
      <c r="AA359" s="21">
        <f t="shared" si="42"/>
        <v>6.2703959715271138E-3</v>
      </c>
      <c r="AB359" s="21">
        <f t="shared" si="42"/>
        <v>6.4326911813317122E-2</v>
      </c>
      <c r="AC359" s="21">
        <f t="shared" si="42"/>
        <v>-4.6577949848479227E-3</v>
      </c>
      <c r="AD359" s="21">
        <f t="shared" si="42"/>
        <v>6.3238787896292378E-2</v>
      </c>
      <c r="AE359" s="21">
        <f t="shared" si="42"/>
        <v>6.2433030948803973E-3</v>
      </c>
      <c r="AF359" s="21">
        <f t="shared" si="42"/>
        <v>0.15395997228139943</v>
      </c>
      <c r="AG359" s="21">
        <f t="shared" si="42"/>
        <v>4.4092157277565637E-2</v>
      </c>
      <c r="AH359" s="21">
        <f t="shared" si="42"/>
        <v>9.337293062418147E-3</v>
      </c>
      <c r="AI359" s="21">
        <f t="shared" si="42"/>
        <v>0.19723591911933663</v>
      </c>
      <c r="AJ359" s="21">
        <f t="shared" si="42"/>
        <v>5.2048716777111419E-2</v>
      </c>
      <c r="AK359" s="21">
        <f t="shared" si="42"/>
        <v>5.8613681032328004E-3</v>
      </c>
      <c r="AL359" s="21">
        <f t="shared" si="42"/>
        <v>5.375155100909474E-2</v>
      </c>
      <c r="AM359" s="21">
        <f t="shared" si="42"/>
        <v>5.3576262048489087E-2</v>
      </c>
      <c r="AN359" s="21">
        <f>AN348/AN350</f>
        <v>4.7513458011306686E-2</v>
      </c>
      <c r="AO359" s="21">
        <f>AO348/AO350</f>
        <v>5.3403140890493056E-2</v>
      </c>
      <c r="AP359" s="21">
        <f>AP348/AP350</f>
        <v>3.4571257735009575E-2</v>
      </c>
      <c r="AQ359" s="21">
        <f>AQ348/AQ350</f>
        <v>-3.0007352362373604E-4</v>
      </c>
      <c r="AR359" s="21">
        <f t="shared" ref="AR359:AX359" si="43">AR348/AR350</f>
        <v>3.196082691711389E-2</v>
      </c>
      <c r="AS359" s="21">
        <f t="shared" si="43"/>
        <v>-2.1818882895140068E-5</v>
      </c>
      <c r="AT359" s="21">
        <f t="shared" si="43"/>
        <v>3.595267469790759E-2</v>
      </c>
      <c r="AU359" s="21" t="e">
        <f t="shared" si="43"/>
        <v>#DIV/0!</v>
      </c>
      <c r="AV359" s="21">
        <f t="shared" si="43"/>
        <v>1.9831135630672025E-2</v>
      </c>
      <c r="AW359" s="21">
        <f t="shared" si="43"/>
        <v>-8.1609102750777434E-5</v>
      </c>
      <c r="AX359" s="21">
        <f t="shared" si="43"/>
        <v>-2.5395990578800244E-4</v>
      </c>
      <c r="AY359" s="21">
        <f>AY348/AY350</f>
        <v>3.0505359177474767E-2</v>
      </c>
      <c r="AZ359" s="21">
        <f t="shared" ref="AZ359:BI359" si="44">AZ348/AZ350</f>
        <v>4.6268734426419912E-2</v>
      </c>
      <c r="BA359" s="21">
        <f t="shared" si="44"/>
        <v>6.551271571130457E-2</v>
      </c>
      <c r="BB359" s="21">
        <f t="shared" si="44"/>
        <v>3.2443650684921402E-2</v>
      </c>
      <c r="BC359" s="21">
        <f t="shared" si="44"/>
        <v>3.3974023622230058E-2</v>
      </c>
      <c r="BD359" s="21">
        <f t="shared" si="44"/>
        <v>4.2169818876780889E-2</v>
      </c>
      <c r="BE359" s="21">
        <f t="shared" si="44"/>
        <v>6.7273898387540568E-2</v>
      </c>
      <c r="BF359" s="21">
        <f t="shared" si="44"/>
        <v>3.4045727635009709E-2</v>
      </c>
      <c r="BG359" s="21">
        <f t="shared" si="44"/>
        <v>6.6950195198407711E-2</v>
      </c>
      <c r="BH359" s="21">
        <f t="shared" si="44"/>
        <v>5.8578314486717031E-3</v>
      </c>
      <c r="BI359" s="21">
        <f t="shared" si="44"/>
        <v>4.2728882029349609E-2</v>
      </c>
      <c r="BL359" s="22"/>
    </row>
    <row r="360" spans="1:64" x14ac:dyDescent="0.25">
      <c r="B360" s="22" t="s">
        <v>706</v>
      </c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</row>
  </sheetData>
  <mergeCells count="4">
    <mergeCell ref="B1:BK1"/>
    <mergeCell ref="A2:A359"/>
    <mergeCell ref="BL2:BL359"/>
    <mergeCell ref="B360:BK360"/>
  </mergeCells>
  <conditionalFormatting sqref="B17:B33">
    <cfRule type="cellIs" dxfId="3" priority="16" stopIfTrue="1" operator="lessThan">
      <formula>0</formula>
    </cfRule>
  </conditionalFormatting>
  <conditionalFormatting sqref="C23:C33">
    <cfRule type="cellIs" dxfId="2" priority="25" stopIfTrue="1" operator="lessThan">
      <formula>0</formula>
    </cfRule>
  </conditionalFormatting>
  <conditionalFormatting sqref="D16:E24">
    <cfRule type="cellIs" dxfId="1" priority="17" stopIfTrue="1" operator="lessThan">
      <formula>0</formula>
    </cfRule>
  </conditionalFormatting>
  <conditionalFormatting sqref="F15:BI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1C129CC6-605A-4607-AEFF-48A524ED4414}"/>
</file>

<file path=customXml/itemProps2.xml><?xml version="1.0" encoding="utf-8"?>
<ds:datastoreItem xmlns:ds="http://schemas.openxmlformats.org/officeDocument/2006/customXml" ds:itemID="{F0746662-2329-4372-9A59-BEABC747CCC6}"/>
</file>

<file path=customXml/itemProps3.xml><?xml version="1.0" encoding="utf-8"?>
<ds:datastoreItem xmlns:ds="http://schemas.openxmlformats.org/officeDocument/2006/customXml" ds:itemID="{98FD6DF1-2E79-4E9B-BAB7-9F8C1F124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6/2026</dc:title>
  <dc:creator>פרידמן אמיר</dc:creator>
  <cp:lastModifiedBy>Laxman Singh</cp:lastModifiedBy>
  <dcterms:created xsi:type="dcterms:W3CDTF">2026-07-16T13:09:13Z</dcterms:created>
  <dcterms:modified xsi:type="dcterms:W3CDTF">2026-07-19T09:34:13Z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