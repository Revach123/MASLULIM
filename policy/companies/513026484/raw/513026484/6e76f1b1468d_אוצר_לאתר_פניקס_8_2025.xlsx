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 Vivobook\Downloads\"/>
    </mc:Choice>
  </mc:AlternateContent>
  <xr:revisionPtr revIDLastSave="0" documentId="13_ncr:1_{763D1CFB-BCF0-462F-A921-5253BF647B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354" i="1" l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I351" i="1" s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BI344" i="1"/>
  <c r="BH344" i="1"/>
  <c r="BG344" i="1"/>
  <c r="BF344" i="1"/>
  <c r="BE344" i="1"/>
  <c r="BD344" i="1"/>
  <c r="BC344" i="1"/>
  <c r="BB344" i="1"/>
  <c r="BA344" i="1"/>
  <c r="AZ344" i="1"/>
  <c r="AZ351" i="1" s="1"/>
  <c r="AY344" i="1"/>
  <c r="AX344" i="1"/>
  <c r="AW344" i="1"/>
  <c r="AV344" i="1"/>
  <c r="AU344" i="1"/>
  <c r="AT344" i="1"/>
  <c r="AS344" i="1"/>
  <c r="AR344" i="1"/>
  <c r="AR351" i="1" s="1"/>
  <c r="AR355" i="1" s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L351" i="1" s="1"/>
  <c r="K344" i="1"/>
  <c r="J344" i="1"/>
  <c r="I344" i="1"/>
  <c r="H344" i="1"/>
  <c r="G344" i="1"/>
  <c r="F344" i="1"/>
  <c r="E344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H351" i="1" l="1"/>
  <c r="H355" i="1" s="1"/>
  <c r="X351" i="1"/>
  <c r="X355" i="1" s="1"/>
  <c r="AF351" i="1"/>
  <c r="AF357" i="1" s="1"/>
  <c r="O351" i="1"/>
  <c r="O360" i="1" s="1"/>
  <c r="BC351" i="1"/>
  <c r="BC353" i="1" s="1"/>
  <c r="J351" i="1"/>
  <c r="J359" i="1" s="1"/>
  <c r="X358" i="1"/>
  <c r="AR358" i="1"/>
  <c r="H358" i="1"/>
  <c r="M351" i="1"/>
  <c r="M360" i="1" s="1"/>
  <c r="AZ360" i="1"/>
  <c r="L359" i="1"/>
  <c r="AF359" i="1"/>
  <c r="AZ359" i="1"/>
  <c r="AI360" i="1"/>
  <c r="BC360" i="1"/>
  <c r="AG351" i="1"/>
  <c r="AG355" i="1" s="1"/>
  <c r="X356" i="1"/>
  <c r="M359" i="1"/>
  <c r="BF351" i="1"/>
  <c r="BF359" i="1" s="1"/>
  <c r="H357" i="1"/>
  <c r="H360" i="1"/>
  <c r="AR356" i="1"/>
  <c r="AI359" i="1"/>
  <c r="AB360" i="1"/>
  <c r="AO351" i="1"/>
  <c r="AO356" i="1" s="1"/>
  <c r="E351" i="1"/>
  <c r="E357" i="1" s="1"/>
  <c r="H356" i="1"/>
  <c r="BA351" i="1"/>
  <c r="BA359" i="1" s="1"/>
  <c r="U351" i="1"/>
  <c r="U356" i="1" s="1"/>
  <c r="L360" i="1"/>
  <c r="AA351" i="1"/>
  <c r="AA358" i="1" s="1"/>
  <c r="AI358" i="1"/>
  <c r="AF360" i="1"/>
  <c r="AU351" i="1"/>
  <c r="AU355" i="1" s="1"/>
  <c r="AZ357" i="1"/>
  <c r="AV351" i="1"/>
  <c r="AV353" i="1" s="1"/>
  <c r="AH351" i="1"/>
  <c r="AH356" i="1" s="1"/>
  <c r="X357" i="1"/>
  <c r="AR357" i="1"/>
  <c r="BI351" i="1"/>
  <c r="BI355" i="1" s="1"/>
  <c r="L357" i="1"/>
  <c r="O358" i="1"/>
  <c r="AB351" i="1"/>
  <c r="AB356" i="1" s="1"/>
  <c r="BB351" i="1"/>
  <c r="BB357" i="1" s="1"/>
  <c r="I351" i="1"/>
  <c r="I357" i="1" s="1"/>
  <c r="AC351" i="1"/>
  <c r="AC357" i="1" s="1"/>
  <c r="AW351" i="1"/>
  <c r="AW360" i="1" s="1"/>
  <c r="L356" i="1"/>
  <c r="AF356" i="1"/>
  <c r="AZ356" i="1"/>
  <c r="AI357" i="1"/>
  <c r="X360" i="1"/>
  <c r="M353" i="1"/>
  <c r="M356" i="1"/>
  <c r="O355" i="1"/>
  <c r="O353" i="1"/>
  <c r="AI355" i="1"/>
  <c r="AI353" i="1"/>
  <c r="M358" i="1"/>
  <c r="BF358" i="1"/>
  <c r="BF353" i="1"/>
  <c r="U359" i="1"/>
  <c r="U358" i="1"/>
  <c r="U355" i="1"/>
  <c r="U353" i="1"/>
  <c r="BG358" i="1"/>
  <c r="AO357" i="1"/>
  <c r="U360" i="1"/>
  <c r="AO359" i="1"/>
  <c r="BF360" i="1"/>
  <c r="I358" i="1"/>
  <c r="I353" i="1"/>
  <c r="AW358" i="1"/>
  <c r="I356" i="1"/>
  <c r="AB357" i="1"/>
  <c r="AA360" i="1"/>
  <c r="AA355" i="1"/>
  <c r="AO360" i="1"/>
  <c r="AB353" i="1"/>
  <c r="AB359" i="1"/>
  <c r="AB358" i="1"/>
  <c r="AB355" i="1"/>
  <c r="AC358" i="1"/>
  <c r="L358" i="1"/>
  <c r="L355" i="1"/>
  <c r="L353" i="1"/>
  <c r="AF358" i="1"/>
  <c r="AF355" i="1"/>
  <c r="AF353" i="1"/>
  <c r="AZ358" i="1"/>
  <c r="AZ355" i="1"/>
  <c r="AZ353" i="1"/>
  <c r="AX351" i="1"/>
  <c r="AX355" i="1" s="1"/>
  <c r="K351" i="1"/>
  <c r="K358" i="1" s="1"/>
  <c r="AE351" i="1"/>
  <c r="AE360" i="1" s="1"/>
  <c r="AY351" i="1"/>
  <c r="AY360" i="1" s="1"/>
  <c r="H359" i="1"/>
  <c r="X359" i="1"/>
  <c r="AR359" i="1"/>
  <c r="I355" i="1"/>
  <c r="AC355" i="1"/>
  <c r="AR360" i="1"/>
  <c r="N351" i="1"/>
  <c r="N357" i="1" s="1"/>
  <c r="P351" i="1"/>
  <c r="P357" i="1" s="1"/>
  <c r="AJ351" i="1"/>
  <c r="AJ355" i="1" s="1"/>
  <c r="BD351" i="1"/>
  <c r="BD359" i="1" s="1"/>
  <c r="M355" i="1"/>
  <c r="Q351" i="1"/>
  <c r="AK351" i="1"/>
  <c r="BE351" i="1"/>
  <c r="S351" i="1"/>
  <c r="S358" i="1" s="1"/>
  <c r="AM351" i="1"/>
  <c r="AM359" i="1" s="1"/>
  <c r="BG351" i="1"/>
  <c r="BG355" i="1" s="1"/>
  <c r="O356" i="1"/>
  <c r="AI356" i="1"/>
  <c r="BC356" i="1"/>
  <c r="AH357" i="1"/>
  <c r="R351" i="1"/>
  <c r="R360" i="1" s="1"/>
  <c r="T351" i="1"/>
  <c r="T358" i="1" s="1"/>
  <c r="AN351" i="1"/>
  <c r="AN357" i="1" s="1"/>
  <c r="BH351" i="1"/>
  <c r="BH355" i="1" s="1"/>
  <c r="AD351" i="1"/>
  <c r="AD356" i="1" s="1"/>
  <c r="AL351" i="1"/>
  <c r="AL355" i="1" s="1"/>
  <c r="F351" i="1"/>
  <c r="F355" i="1" s="1"/>
  <c r="V351" i="1"/>
  <c r="V356" i="1" s="1"/>
  <c r="AP351" i="1"/>
  <c r="AP355" i="1" s="1"/>
  <c r="G351" i="1"/>
  <c r="G355" i="1" s="1"/>
  <c r="W351" i="1"/>
  <c r="W355" i="1" s="1"/>
  <c r="AQ351" i="1"/>
  <c r="AQ355" i="1" s="1"/>
  <c r="Y351" i="1"/>
  <c r="Y355" i="1" s="1"/>
  <c r="AS351" i="1"/>
  <c r="AS360" i="1" s="1"/>
  <c r="H353" i="1"/>
  <c r="X353" i="1"/>
  <c r="AR353" i="1"/>
  <c r="Z351" i="1"/>
  <c r="Z358" i="1" s="1"/>
  <c r="AT351" i="1"/>
  <c r="AT359" i="1" s="1"/>
  <c r="BI358" i="1" l="1"/>
  <c r="J358" i="1"/>
  <c r="BI357" i="1"/>
  <c r="AC353" i="1"/>
  <c r="E353" i="1"/>
  <c r="J357" i="1"/>
  <c r="AO353" i="1"/>
  <c r="BC355" i="1"/>
  <c r="BC357" i="1"/>
  <c r="BC358" i="1"/>
  <c r="BC359" i="1"/>
  <c r="J356" i="1"/>
  <c r="BI359" i="1"/>
  <c r="BF356" i="1"/>
  <c r="BF357" i="1"/>
  <c r="J360" i="1"/>
  <c r="AO355" i="1"/>
  <c r="J353" i="1"/>
  <c r="BI356" i="1"/>
  <c r="J355" i="1"/>
  <c r="AU360" i="1"/>
  <c r="AW353" i="1"/>
  <c r="AO358" i="1"/>
  <c r="O357" i="1"/>
  <c r="O359" i="1"/>
  <c r="BI360" i="1"/>
  <c r="BI353" i="1"/>
  <c r="F359" i="1"/>
  <c r="BA356" i="1"/>
  <c r="E359" i="1"/>
  <c r="E360" i="1"/>
  <c r="AN355" i="1"/>
  <c r="R357" i="1"/>
  <c r="BB360" i="1"/>
  <c r="BF355" i="1"/>
  <c r="BA360" i="1"/>
  <c r="AU353" i="1"/>
  <c r="E356" i="1"/>
  <c r="E355" i="1"/>
  <c r="BA355" i="1"/>
  <c r="E358" i="1"/>
  <c r="N355" i="1"/>
  <c r="BB355" i="1"/>
  <c r="S356" i="1"/>
  <c r="T355" i="1"/>
  <c r="P358" i="1"/>
  <c r="R355" i="1"/>
  <c r="N360" i="1"/>
  <c r="AA356" i="1"/>
  <c r="BB359" i="1"/>
  <c r="Z355" i="1"/>
  <c r="AA359" i="1"/>
  <c r="P359" i="1"/>
  <c r="AV359" i="1"/>
  <c r="AH360" i="1"/>
  <c r="BG356" i="1"/>
  <c r="AC356" i="1"/>
  <c r="G358" i="1"/>
  <c r="Y356" i="1"/>
  <c r="AH359" i="1"/>
  <c r="W358" i="1"/>
  <c r="AW356" i="1"/>
  <c r="W357" i="1"/>
  <c r="AQ357" i="1"/>
  <c r="AH355" i="1"/>
  <c r="AM356" i="1"/>
  <c r="S355" i="1"/>
  <c r="AS355" i="1"/>
  <c r="F358" i="1"/>
  <c r="AY357" i="1"/>
  <c r="AC360" i="1"/>
  <c r="AV358" i="1"/>
  <c r="U357" i="1"/>
  <c r="AJ357" i="1"/>
  <c r="G357" i="1"/>
  <c r="AE357" i="1"/>
  <c r="BB358" i="1"/>
  <c r="AW359" i="1"/>
  <c r="AC359" i="1"/>
  <c r="AV355" i="1"/>
  <c r="F356" i="1"/>
  <c r="BG359" i="1"/>
  <c r="BA358" i="1"/>
  <c r="BA353" i="1"/>
  <c r="AH358" i="1"/>
  <c r="I360" i="1"/>
  <c r="AA353" i="1"/>
  <c r="AS356" i="1"/>
  <c r="Y359" i="1"/>
  <c r="S359" i="1"/>
  <c r="AG358" i="1"/>
  <c r="BA357" i="1"/>
  <c r="AV360" i="1"/>
  <c r="AV357" i="1"/>
  <c r="AG360" i="1"/>
  <c r="Y360" i="1"/>
  <c r="AT358" i="1"/>
  <c r="AG353" i="1"/>
  <c r="AG359" i="1"/>
  <c r="AH353" i="1"/>
  <c r="AM355" i="1"/>
  <c r="AG356" i="1"/>
  <c r="AM358" i="1"/>
  <c r="AV356" i="1"/>
  <c r="BB353" i="1"/>
  <c r="AG357" i="1"/>
  <c r="AU358" i="1"/>
  <c r="I359" i="1"/>
  <c r="AA357" i="1"/>
  <c r="AU357" i="1"/>
  <c r="AL359" i="1"/>
  <c r="AU356" i="1"/>
  <c r="AU359" i="1"/>
  <c r="BB356" i="1"/>
  <c r="AW355" i="1"/>
  <c r="AW357" i="1"/>
  <c r="M357" i="1"/>
  <c r="BE359" i="1"/>
  <c r="BE353" i="1"/>
  <c r="AK359" i="1"/>
  <c r="AK353" i="1"/>
  <c r="Q359" i="1"/>
  <c r="Q353" i="1"/>
  <c r="AK358" i="1"/>
  <c r="BD360" i="1"/>
  <c r="BD353" i="1"/>
  <c r="AK356" i="1"/>
  <c r="BH360" i="1"/>
  <c r="BH359" i="1"/>
  <c r="BH356" i="1"/>
  <c r="BH353" i="1"/>
  <c r="AN360" i="1"/>
  <c r="AN359" i="1"/>
  <c r="AN356" i="1"/>
  <c r="AN353" i="1"/>
  <c r="N356" i="1"/>
  <c r="N353" i="1"/>
  <c r="AJ358" i="1"/>
  <c r="BD357" i="1"/>
  <c r="AT355" i="1"/>
  <c r="N358" i="1"/>
  <c r="BD355" i="1"/>
  <c r="AK360" i="1"/>
  <c r="F357" i="1"/>
  <c r="F353" i="1"/>
  <c r="F360" i="1"/>
  <c r="AX358" i="1"/>
  <c r="BD358" i="1"/>
  <c r="AT353" i="1"/>
  <c r="AT356" i="1"/>
  <c r="AT360" i="1"/>
  <c r="AT357" i="1"/>
  <c r="Z353" i="1"/>
  <c r="Z360" i="1"/>
  <c r="Z356" i="1"/>
  <c r="Z357" i="1"/>
  <c r="T360" i="1"/>
  <c r="T359" i="1"/>
  <c r="T356" i="1"/>
  <c r="T353" i="1"/>
  <c r="R358" i="1"/>
  <c r="R353" i="1"/>
  <c r="N359" i="1"/>
  <c r="BE360" i="1"/>
  <c r="AS353" i="1"/>
  <c r="AS357" i="1"/>
  <c r="AS358" i="1"/>
  <c r="AX356" i="1"/>
  <c r="Y353" i="1"/>
  <c r="Y357" i="1"/>
  <c r="Y358" i="1"/>
  <c r="Z359" i="1"/>
  <c r="Q360" i="1"/>
  <c r="BH357" i="1"/>
  <c r="BD356" i="1"/>
  <c r="K359" i="1"/>
  <c r="K356" i="1"/>
  <c r="K353" i="1"/>
  <c r="Q357" i="1"/>
  <c r="Q358" i="1"/>
  <c r="AL358" i="1"/>
  <c r="AL353" i="1"/>
  <c r="AD360" i="1"/>
  <c r="AD357" i="1"/>
  <c r="AD353" i="1"/>
  <c r="AJ360" i="1"/>
  <c r="AJ353" i="1"/>
  <c r="P360" i="1"/>
  <c r="P353" i="1"/>
  <c r="AJ356" i="1"/>
  <c r="K357" i="1"/>
  <c r="AK357" i="1"/>
  <c r="AL356" i="1"/>
  <c r="R359" i="1"/>
  <c r="P356" i="1"/>
  <c r="AK355" i="1"/>
  <c r="AQ356" i="1"/>
  <c r="AQ353" i="1"/>
  <c r="AQ360" i="1"/>
  <c r="AQ359" i="1"/>
  <c r="AY355" i="1"/>
  <c r="AL360" i="1"/>
  <c r="AX359" i="1"/>
  <c r="W356" i="1"/>
  <c r="W353" i="1"/>
  <c r="W359" i="1"/>
  <c r="W360" i="1"/>
  <c r="BG360" i="1"/>
  <c r="BG357" i="1"/>
  <c r="BG353" i="1"/>
  <c r="AE355" i="1"/>
  <c r="AJ359" i="1"/>
  <c r="T357" i="1"/>
  <c r="AD359" i="1"/>
  <c r="BE357" i="1"/>
  <c r="BE355" i="1"/>
  <c r="AX360" i="1"/>
  <c r="AX357" i="1"/>
  <c r="AX353" i="1"/>
  <c r="AP358" i="1"/>
  <c r="AP357" i="1"/>
  <c r="AP353" i="1"/>
  <c r="AP360" i="1"/>
  <c r="V358" i="1"/>
  <c r="V357" i="1"/>
  <c r="V353" i="1"/>
  <c r="V360" i="1"/>
  <c r="AL357" i="1"/>
  <c r="AD358" i="1"/>
  <c r="Q355" i="1"/>
  <c r="BH358" i="1"/>
  <c r="AP356" i="1"/>
  <c r="V359" i="1"/>
  <c r="Q356" i="1"/>
  <c r="P355" i="1"/>
  <c r="G356" i="1"/>
  <c r="G353" i="1"/>
  <c r="G359" i="1"/>
  <c r="G360" i="1"/>
  <c r="AM360" i="1"/>
  <c r="AM357" i="1"/>
  <c r="AM353" i="1"/>
  <c r="AY359" i="1"/>
  <c r="AY356" i="1"/>
  <c r="AY353" i="1"/>
  <c r="K355" i="1"/>
  <c r="AN358" i="1"/>
  <c r="BE358" i="1"/>
  <c r="AD355" i="1"/>
  <c r="AP359" i="1"/>
  <c r="K360" i="1"/>
  <c r="AY358" i="1"/>
  <c r="R356" i="1"/>
  <c r="S360" i="1"/>
  <c r="S357" i="1"/>
  <c r="S353" i="1"/>
  <c r="AE356" i="1"/>
  <c r="AE359" i="1"/>
  <c r="AE353" i="1"/>
  <c r="AS359" i="1"/>
  <c r="V355" i="1"/>
  <c r="AQ358" i="1"/>
  <c r="AE358" i="1"/>
  <c r="BE356" i="1"/>
</calcChain>
</file>

<file path=xl/sharedStrings.xml><?xml version="1.0" encoding="utf-8"?>
<sst xmlns="http://schemas.openxmlformats.org/spreadsheetml/2006/main" count="765" uniqueCount="697">
  <si>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</si>
  <si>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</si>
  <si>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</si>
  <si>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</si>
  <si>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</si>
  <si>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</si>
  <si>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</si>
  <si>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</si>
  <si>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</si>
  <si>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</si>
  <si>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</si>
  <si>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</si>
  <si>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</si>
  <si>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</si>
  <si>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</si>
  <si>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</si>
  <si>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</si>
  <si>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</si>
  <si>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</si>
  <si>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</si>
  <si>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</si>
  <si>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</si>
  <si>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</si>
  <si>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</si>
  <si>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</si>
  <si>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</si>
  <si>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</si>
  <si>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</si>
  <si>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</si>
  <si>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</si>
  <si>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</si>
  <si>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</si>
  <si>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</si>
  <si>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</si>
  <si>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</si>
  <si>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</si>
  <si>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</si>
  <si>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</si>
  <si>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</si>
  <si>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</si>
  <si>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</si>
  <si>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</si>
  <si>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</si>
  <si>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</si>
  <si>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</si>
  <si>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</si>
  <si>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</si>
  <si>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</si>
  <si>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</si>
  <si>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</si>
  <si>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</si>
  <si>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</si>
  <si>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</si>
  <si>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</si>
  <si>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</si>
  <si>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</si>
  <si>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</si>
  <si>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</si>
  <si>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</si>
  <si>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</si>
  <si>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</si>
  <si>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</si>
  <si>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</si>
  <si>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</si>
  <si>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</si>
  <si>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</si>
  <si>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</si>
  <si>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</si>
  <si>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</si>
  <si>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</si>
  <si>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</si>
  <si>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</si>
  <si>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</si>
  <si>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</si>
  <si>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</si>
  <si>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</si>
  <si>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</si>
  <si>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</si>
  <si>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</si>
  <si>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</si>
  <si>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</si>
  <si>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</si>
  <si>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</si>
  <si>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</si>
  <si>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</si>
  <si>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</si>
  <si>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</si>
  <si>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</si>
  <si>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</si>
  <si>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</si>
  <si>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</si>
  <si>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</si>
  <si>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</si>
  <si>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</si>
  <si>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</si>
  <si>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</si>
  <si>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</si>
  <si>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</si>
  <si>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</si>
  <si>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</si>
  <si>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</si>
  <si>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</si>
  <si>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</si>
  <si>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</si>
  <si>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</si>
  <si>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</si>
  <si>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</si>
  <si>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</si>
  <si>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</si>
  <si>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</si>
  <si>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</si>
  <si>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</si>
  <si>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</si>
  <si>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</si>
  <si>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</si>
  <si>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</si>
  <si>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</si>
  <si>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</si>
  <si>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</si>
  <si>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</si>
  <si>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</si>
  <si>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</si>
  <si>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</si>
  <si>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</si>
  <si>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</si>
  <si>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</si>
  <si>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</si>
  <si>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</si>
  <si>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</si>
  <si>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</si>
  <si>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</si>
  <si>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</si>
  <si>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</si>
  <si>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</si>
  <si>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</si>
  <si>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</si>
  <si>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</si>
  <si>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</si>
  <si>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</si>
  <si>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</si>
  <si>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</si>
  <si>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</si>
  <si>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</si>
  <si>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</si>
  <si>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</si>
  <si>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</si>
  <si>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</si>
  <si>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</si>
  <si>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</si>
  <si>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</si>
  <si>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</si>
  <si>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</si>
  <si>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</si>
  <si>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</si>
  <si>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</si>
  <si>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</si>
  <si>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</si>
  <si>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</si>
  <si>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</si>
  <si>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</si>
  <si>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</si>
  <si>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</si>
  <si>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</si>
  <si>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</si>
  <si>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</si>
  <si>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</si>
  <si>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</si>
  <si>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</si>
  <si>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</si>
  <si>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</si>
  <si>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</si>
  <si>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</si>
  <si>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</si>
  <si>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</si>
  <si>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</si>
  <si>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</si>
  <si>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</si>
  <si>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</si>
  <si>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</si>
  <si>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</si>
  <si>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</si>
  <si>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</si>
  <si>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</si>
  <si>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</si>
  <si>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</si>
  <si>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</si>
  <si>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</si>
  <si>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</si>
  <si>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</si>
  <si>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</si>
  <si>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</si>
  <si>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</si>
  <si>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</si>
  <si>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</si>
  <si>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</si>
  <si>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</si>
  <si>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</si>
  <si>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</si>
  <si>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</si>
  <si>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</si>
  <si>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</si>
  <si>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</si>
  <si>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</si>
  <si>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</si>
  <si>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</si>
  <si>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</si>
  <si>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</si>
  <si>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</si>
  <si>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</si>
  <si>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</si>
  <si>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</si>
  <si>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</si>
  <si>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</si>
  <si>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</si>
  <si>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</si>
  <si>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</si>
  <si>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</si>
  <si>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</si>
  <si>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</si>
  <si>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</si>
  <si>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</si>
  <si>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</si>
  <si>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</si>
  <si>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</si>
  <si>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</si>
  <si>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</si>
  <si>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</si>
  <si>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</si>
  <si>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</si>
  <si>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</si>
  <si>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</si>
  <si>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</si>
  <si>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</si>
  <si>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</si>
  <si>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</si>
  <si>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</si>
  <si>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</si>
  <si>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</si>
  <si>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</si>
  <si>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</si>
  <si>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</si>
  <si>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</si>
  <si>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</si>
  <si>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</si>
  <si>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</si>
  <si>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</si>
  <si>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</si>
  <si>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</si>
  <si>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</si>
  <si>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</si>
  <si>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</si>
  <si>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</si>
  <si>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</si>
  <si>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</si>
  <si>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</si>
  <si>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</si>
  <si>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</si>
  <si>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</si>
  <si>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</si>
  <si>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</si>
  <si>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</si>
  <si>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</si>
  <si>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</si>
  <si>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</si>
  <si>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</si>
  <si>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</si>
  <si>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</si>
  <si>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</si>
  <si>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</si>
  <si>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</si>
  <si>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</si>
  <si>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</si>
  <si>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</si>
  <si>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</si>
  <si>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</si>
  <si>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</si>
  <si>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</si>
  <si>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</si>
  <si>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</si>
  <si>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</si>
  <si>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</si>
  <si>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</si>
  <si>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</si>
  <si>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</si>
  <si>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</si>
  <si>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</si>
  <si>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</si>
  <si>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</si>
  <si>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</si>
  <si>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</si>
  <si>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</si>
  <si>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</si>
  <si>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</si>
  <si>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</si>
  <si>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</si>
  <si>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</si>
  <si>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</si>
  <si>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</si>
  <si>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</si>
  <si>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</si>
  <si>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</si>
  <si>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</si>
  <si>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</si>
  <si>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</si>
  <si>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</si>
  <si>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</si>
  <si>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</si>
  <si>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</si>
  <si>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</si>
  <si>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</si>
  <si>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</si>
  <si>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</si>
  <si>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</si>
  <si>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</si>
  <si>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</si>
  <si>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</si>
  <si>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</si>
  <si>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</si>
  <si>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</si>
  <si>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</si>
  <si>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</si>
  <si>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</si>
  <si>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</si>
  <si>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</si>
  <si>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</si>
  <si>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</si>
  <si>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</si>
  <si>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</si>
  <si>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</si>
  <si>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</si>
  <si>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</si>
  <si>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</si>
  <si>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</si>
  <si>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</si>
  <si>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</si>
  <si>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</si>
  <si>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</si>
  <si>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</si>
  <si>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</si>
  <si>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</si>
  <si>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</si>
  <si>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</si>
  <si>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</si>
  <si>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</si>
  <si>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</si>
  <si>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</si>
  <si>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</si>
  <si>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</si>
  <si>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</si>
  <si>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</si>
  <si>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</si>
  <si>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</si>
  <si>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</si>
  <si>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</si>
  <si>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</si>
  <si>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</si>
  <si>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</si>
  <si>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</si>
  <si>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</si>
  <si>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</si>
  <si>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</si>
  <si>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</si>
  <si>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</si>
  <si>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</si>
  <si>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</si>
  <si>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</si>
  <si>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</si>
  <si>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</si>
  <si>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</si>
  <si>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</si>
  <si>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</si>
  <si>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</si>
  <si>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</si>
  <si>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</si>
  <si>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</si>
  <si>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</si>
  <si>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</si>
  <si>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</si>
  <si>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</si>
  <si>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</si>
  <si>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</si>
  <si>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</si>
  <si>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</si>
  <si>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</si>
  <si>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</si>
  <si>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</si>
  <si>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</si>
  <si>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</si>
  <si>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</si>
  <si>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</si>
  <si>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</si>
  <si>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</si>
  <si>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</si>
  <si>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</si>
  <si>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</si>
  <si>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</si>
  <si>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</si>
  <si>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</si>
  <si>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</si>
  <si>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</si>
  <si>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</si>
  <si>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</si>
  <si>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</si>
  <si>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</si>
  <si>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</si>
  <si>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</si>
  <si>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</si>
  <si>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</si>
  <si>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</si>
  <si>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</si>
  <si>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</si>
  <si>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</si>
  <si>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</si>
  <si>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</si>
  <si>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</si>
  <si>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</si>
  <si>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</si>
  <si>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</si>
  <si>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</si>
  <si>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</si>
  <si>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</si>
  <si>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</si>
  <si>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</si>
  <si>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</si>
  <si>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</si>
  <si>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</si>
  <si>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</si>
  <si>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</si>
  <si>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</si>
  <si>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</si>
  <si>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</si>
  <si>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</si>
  <si>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</si>
  <si>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</si>
  <si>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</si>
  <si>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</si>
  <si>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</si>
  <si>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</si>
  <si>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</si>
  <si>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</si>
  <si>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</si>
  <si>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</si>
  <si>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</si>
  <si>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</si>
  <si>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</si>
  <si>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</si>
  <si>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</si>
  <si>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</si>
  <si>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</si>
  <si>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</si>
  <si>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</si>
  <si>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</si>
  <si>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</si>
  <si>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</si>
  <si>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</si>
  <si>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</si>
  <si>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</si>
  <si>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</si>
  <si>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</si>
  <si>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</si>
  <si>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</si>
  <si>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</si>
  <si>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</si>
  <si>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</si>
  <si>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</si>
  <si>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</si>
  <si>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</si>
  <si>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</si>
  <si>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</si>
  <si>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</si>
  <si>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</si>
  <si>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</si>
  <si>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</si>
  <si>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</si>
  <si>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</si>
  <si>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</si>
  <si>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</si>
  <si>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</si>
  <si>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</si>
  <si>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</si>
  <si>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</si>
  <si>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</si>
  <si>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</si>
  <si>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</si>
  <si>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</si>
  <si>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</si>
  <si>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</si>
  <si>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</si>
  <si>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</si>
  <si>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</si>
  <si>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</si>
  <si>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</si>
  <si>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</si>
  <si>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</si>
  <si>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</si>
  <si>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</si>
  <si>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</si>
  <si>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</si>
  <si>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</si>
  <si>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</si>
  <si>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</si>
  <si>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</si>
  <si>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</si>
  <si>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</si>
  <si>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</si>
  <si>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</si>
  <si>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</si>
  <si>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</si>
  <si>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</si>
  <si>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</si>
  <si>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</si>
  <si>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</si>
  <si>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</si>
  <si>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</si>
  <si>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</si>
  <si>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</si>
  <si>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</si>
  <si>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</si>
  <si>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</si>
  <si>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</si>
  <si>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</si>
  <si>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</si>
  <si>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</si>
  <si>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</si>
  <si>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</si>
  <si>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</si>
  <si>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</si>
  <si>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</si>
  <si>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</si>
  <si>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</si>
  <si>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</si>
  <si>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</si>
  <si>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</si>
  <si>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</si>
  <si>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</si>
  <si>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</si>
  <si>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</si>
  <si>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</si>
  <si>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</si>
  <si>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</si>
  <si>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</si>
  <si>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</si>
  <si>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</si>
  <si>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</si>
  <si>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</si>
  <si>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</si>
  <si>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</si>
  <si>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</si>
  <si>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</si>
  <si>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</si>
  <si>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</si>
  <si>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</si>
  <si>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</si>
  <si>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</si>
  <si>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</si>
  <si>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</si>
  <si>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</si>
  <si>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</si>
  <si>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</si>
  <si>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</si>
  <si>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</si>
  <si>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</si>
  <si>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</si>
  <si>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</si>
  <si>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</si>
  <si>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</si>
  <si>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</si>
  <si>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</si>
  <si>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</si>
  <si>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</si>
  <si>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</si>
  <si>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</si>
  <si>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</si>
  <si>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</si>
  <si>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</si>
  <si>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</si>
  <si>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</si>
  <si>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</si>
  <si>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</si>
  <si>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</si>
  <si>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</si>
  <si>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</si>
  <si>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</si>
  <si>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</si>
  <si>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</si>
  <si>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</si>
  <si>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</si>
  <si>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</si>
  <si>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</si>
  <si>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</si>
  <si>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</si>
  <si>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</si>
  <si>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</si>
  <si>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</si>
  <si>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</si>
  <si>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</si>
  <si>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</si>
  <si>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</si>
  <si>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</si>
  <si>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</si>
  <si>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</si>
  <si>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</si>
  <si>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</si>
  <si>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</si>
  <si>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</si>
  <si>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</si>
  <si>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</si>
  <si>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</si>
  <si>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</si>
  <si>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</si>
  <si>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</si>
  <si>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</si>
  <si>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</si>
  <si>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</si>
  <si>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</si>
  <si>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</si>
  <si>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</si>
  <si>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</si>
  <si>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</si>
  <si>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</si>
  <si>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השתלמות שקלי טווח קצר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</si>
  <si>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</si>
  <si>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</si>
  <si>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</si>
  <si>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</si>
  <si>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</si>
  <si>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</si>
  <si>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</si>
  <si>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</si>
  <si>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</si>
  <si>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</si>
  <si>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</si>
  <si>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</si>
  <si>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</si>
  <si>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</si>
  <si>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</si>
  <si>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</si>
  <si>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</si>
  <si>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</si>
  <si>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</si>
  <si>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</si>
  <si>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</si>
  <si>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</si>
  <si>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</si>
  <si>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</si>
  <si>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</si>
  <si>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</si>
  <si>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</si>
  <si>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</si>
  <si>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</si>
  <si>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</si>
  <si>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</si>
  <si>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</si>
  <si>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</si>
  <si>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</si>
  <si>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</si>
  <si>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</si>
  <si>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</si>
  <si>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</si>
  <si>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השתלמות פאסיבי מדדי מניות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</si>
  <si>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</si>
  <si>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</si>
  <si>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</si>
  <si>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</si>
  <si>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</si>
  <si>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</si>
  <si>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513026484-00000000000399-0715-000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</si>
  <si>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</si>
  <si>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</si>
  <si>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</si>
  <si>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</si>
  <si>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</si>
  <si>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</si>
  <si>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</si>
  <si>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</si>
  <si>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</si>
  <si>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</si>
  <si>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</si>
  <si>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</si>
  <si>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</si>
  <si>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</si>
  <si>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</si>
  <si>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</si>
  <si>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</si>
  <si>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</si>
  <si>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</si>
  <si>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</si>
  <si>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</si>
  <si>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</si>
  <si>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</si>
  <si>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</si>
  <si>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</si>
  <si>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</si>
  <si>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513026484-00000000000102-8626-000</t>
  </si>
  <si>
    <t>תחילת מידע טבלה</t>
  </si>
  <si>
    <t>סיום מידע טבלה צד שמאל</t>
  </si>
  <si>
    <t>סיום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</si>
</sst>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  <numFmt numFmtId="168" formatCode="_ * #,##0.0000_ ;_ * \-#,##0.000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2</xdr:row>
      <xdr:rowOff>0</xdr:rowOff>
    </xdr:from>
    <xdr:to>
      <xdr:col>3</xdr:col>
      <xdr:colOff>257175</xdr:colOff>
      <xdr:row>5</xdr:row>
      <xdr:rowOff>31623</xdr:rowOff>
    </xdr:to>
    <xdr:sp macro="[1]!Module1.מאקרו1"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29106085" y="0"/>
          <a:ext cx="899160" cy="603123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3</xdr:col>
      <xdr:colOff>114784</xdr:colOff>
      <xdr:row>0</xdr:row>
      <xdr:rowOff>1</xdr:rowOff>
    </xdr:from>
    <xdr:to>
      <xdr:col>3</xdr:col>
      <xdr:colOff>449580</xdr:colOff>
      <xdr:row>1</xdr:row>
      <xdr:rowOff>137161</xdr:rowOff>
    </xdr:to>
    <xdr:pic>
      <xdr:nvPicPr>
        <xdr:cNvPr id="3" name="תמונה 2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9972401F-19DF-4CEE-9B8C-4CC98F2F4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5853060" y="1"/>
          <a:ext cx="334796" cy="312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EMEL\QPRO\KOPEL\&#1502;&#1511;&#1512;&#1493;\&#1488;&#1493;&#1510;&#1512;%20&#1500;&#1488;&#1514;&#1512;%20&#1502;&#1511;&#1512;&#1493;%20&#1513;&#1512;&#1493;&#150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225"/>
      <sheetName val="גיליון227"/>
      <sheetName val="גיליון229"/>
      <sheetName val="גיליון231"/>
      <sheetName val="גיליון233"/>
      <sheetName val="גיליון235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J361"/>
  <sheetViews>
    <sheetView rightToLeft="1" tabSelected="1" workbookViewId="0">
      <selection activeCell="A361" sqref="A361:BI361"/>
    </sheetView>
  </sheetViews>
  <sheetFormatPr defaultRowHeight="13.8" x14ac:dyDescent="0.25"/>
  <cols>
    <col min="5" max="5" width="33.19921875" bestFit="1" customWidth="1"/>
  </cols>
  <sheetData>
    <row r="2" spans="1:62" x14ac:dyDescent="0.25">
      <c r="A2" s="21" t="s">
        <v>694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 t="s">
        <v>695</v>
      </c>
    </row>
    <row r="3" spans="1:62" ht="15.6" x14ac:dyDescent="0.3">
      <c r="A3" s="1"/>
      <c r="B3" s="2"/>
      <c r="C3" s="2"/>
      <c r="D3" s="2"/>
      <c r="E3">
        <v>6</v>
      </c>
      <c r="F3">
        <v>10</v>
      </c>
      <c r="G3">
        <v>30</v>
      </c>
      <c r="H3">
        <v>50</v>
      </c>
      <c r="I3">
        <v>93</v>
      </c>
      <c r="J3">
        <v>99</v>
      </c>
      <c r="K3">
        <v>102</v>
      </c>
      <c r="L3">
        <v>122</v>
      </c>
      <c r="M3">
        <v>142</v>
      </c>
      <c r="N3">
        <v>164</v>
      </c>
      <c r="O3">
        <v>167</v>
      </c>
      <c r="P3">
        <v>169</v>
      </c>
      <c r="Q3">
        <v>425</v>
      </c>
      <c r="R3">
        <v>426</v>
      </c>
      <c r="S3">
        <v>499</v>
      </c>
      <c r="T3">
        <v>519</v>
      </c>
      <c r="U3">
        <v>526</v>
      </c>
      <c r="V3">
        <v>570</v>
      </c>
      <c r="W3">
        <v>571</v>
      </c>
      <c r="X3">
        <v>572</v>
      </c>
      <c r="Y3">
        <v>573</v>
      </c>
      <c r="Z3">
        <v>574</v>
      </c>
      <c r="AA3">
        <v>628</v>
      </c>
      <c r="AB3">
        <v>629</v>
      </c>
      <c r="AC3">
        <v>631</v>
      </c>
      <c r="AD3">
        <v>632</v>
      </c>
      <c r="AE3">
        <v>658</v>
      </c>
      <c r="AF3">
        <v>660</v>
      </c>
      <c r="AG3">
        <v>662</v>
      </c>
      <c r="AH3">
        <v>664</v>
      </c>
      <c r="AI3">
        <v>666</v>
      </c>
      <c r="AJ3">
        <v>726</v>
      </c>
      <c r="AK3">
        <v>737</v>
      </c>
      <c r="AL3">
        <v>827</v>
      </c>
      <c r="AM3">
        <v>575</v>
      </c>
      <c r="AN3">
        <v>576</v>
      </c>
      <c r="AO3">
        <v>359</v>
      </c>
      <c r="AP3" s="9">
        <v>828</v>
      </c>
      <c r="AQ3" s="9">
        <v>844</v>
      </c>
      <c r="AR3" s="9">
        <v>839</v>
      </c>
      <c r="AS3" s="9">
        <v>857</v>
      </c>
      <c r="AT3" s="9">
        <v>851</v>
      </c>
      <c r="AU3" s="9">
        <v>849</v>
      </c>
      <c r="AV3" s="9">
        <v>846</v>
      </c>
      <c r="AW3" s="9">
        <v>834</v>
      </c>
      <c r="AX3" s="9">
        <v>506</v>
      </c>
      <c r="AY3" s="9">
        <v>521</v>
      </c>
      <c r="AZ3" s="9">
        <v>522</v>
      </c>
      <c r="BA3" s="9">
        <v>528</v>
      </c>
      <c r="BB3" s="9">
        <v>548</v>
      </c>
      <c r="BC3" s="9">
        <v>551</v>
      </c>
      <c r="BD3" s="9">
        <v>555</v>
      </c>
      <c r="BE3" s="9">
        <v>558</v>
      </c>
      <c r="BF3" s="9">
        <v>558</v>
      </c>
      <c r="BG3" s="9">
        <v>578</v>
      </c>
      <c r="BH3" s="9">
        <v>580</v>
      </c>
      <c r="BI3" s="9">
        <v>577</v>
      </c>
      <c r="BJ3" s="21"/>
    </row>
    <row r="4" spans="1:62" x14ac:dyDescent="0.25">
      <c r="E4" s="10">
        <v>401</v>
      </c>
      <c r="F4" s="10">
        <v>242</v>
      </c>
      <c r="G4" s="10">
        <v>385</v>
      </c>
      <c r="H4" s="10">
        <v>528</v>
      </c>
      <c r="I4" s="10">
        <v>384</v>
      </c>
      <c r="J4" s="10">
        <v>716</v>
      </c>
      <c r="K4" s="10">
        <v>715</v>
      </c>
      <c r="L4" s="10">
        <v>9916</v>
      </c>
      <c r="M4" s="10">
        <v>1100</v>
      </c>
      <c r="N4" s="10">
        <v>801</v>
      </c>
      <c r="O4" s="10">
        <v>804</v>
      </c>
      <c r="P4" s="10">
        <v>806</v>
      </c>
      <c r="Q4" s="10">
        <v>8765</v>
      </c>
      <c r="R4" s="10">
        <v>8766</v>
      </c>
      <c r="S4" s="10">
        <v>9418</v>
      </c>
      <c r="T4" s="10">
        <v>9475</v>
      </c>
      <c r="U4" s="10">
        <v>9906</v>
      </c>
      <c r="V4" s="10">
        <v>7905</v>
      </c>
      <c r="W4" s="10">
        <v>7906</v>
      </c>
      <c r="X4" s="10">
        <v>7907</v>
      </c>
      <c r="Y4" s="10">
        <v>7908</v>
      </c>
      <c r="Z4" s="10">
        <v>7909</v>
      </c>
      <c r="AA4" s="10">
        <v>11310</v>
      </c>
      <c r="AB4" s="10">
        <v>11311</v>
      </c>
      <c r="AC4" s="10">
        <v>11312</v>
      </c>
      <c r="AD4" s="10">
        <v>11335</v>
      </c>
      <c r="AE4" s="10">
        <v>9529</v>
      </c>
      <c r="AF4" s="10">
        <v>961</v>
      </c>
      <c r="AG4" s="10">
        <v>9528</v>
      </c>
      <c r="AH4" s="10">
        <v>964</v>
      </c>
      <c r="AI4" s="10">
        <v>968</v>
      </c>
      <c r="AJ4" s="10">
        <v>8629</v>
      </c>
      <c r="AK4" s="10">
        <v>13264</v>
      </c>
      <c r="AL4" s="10">
        <v>13263</v>
      </c>
      <c r="AM4" s="10">
        <v>13209</v>
      </c>
      <c r="AN4" s="10">
        <v>13250</v>
      </c>
      <c r="AO4" s="10">
        <v>14281</v>
      </c>
      <c r="AP4" s="11">
        <v>2049</v>
      </c>
      <c r="AQ4" s="12">
        <v>7975</v>
      </c>
      <c r="AR4" s="12">
        <v>8004</v>
      </c>
      <c r="AS4" s="11">
        <v>1008</v>
      </c>
      <c r="AT4" s="11">
        <v>9484</v>
      </c>
      <c r="AU4" s="11">
        <v>682</v>
      </c>
      <c r="AV4" s="11">
        <v>11352</v>
      </c>
      <c r="AW4" s="11">
        <v>2058</v>
      </c>
      <c r="AX4" s="11">
        <v>15007</v>
      </c>
      <c r="AY4" s="11">
        <v>15208</v>
      </c>
      <c r="AZ4" s="11">
        <v>15209</v>
      </c>
      <c r="BA4" s="11">
        <v>15210</v>
      </c>
      <c r="BB4" s="11">
        <v>15211</v>
      </c>
      <c r="BC4" s="11">
        <v>15212</v>
      </c>
      <c r="BD4" s="11">
        <v>15232</v>
      </c>
      <c r="BE4" s="11">
        <v>15214</v>
      </c>
      <c r="BF4" s="11">
        <v>15214</v>
      </c>
      <c r="BG4" s="11">
        <v>15233</v>
      </c>
      <c r="BH4" s="11">
        <v>15234</v>
      </c>
      <c r="BI4" s="11">
        <v>15215</v>
      </c>
      <c r="BJ4" s="21"/>
    </row>
    <row r="5" spans="1:62" ht="15.6" x14ac:dyDescent="0.3">
      <c r="A5" s="3">
        <v>45870</v>
      </c>
      <c r="B5" s="2"/>
      <c r="C5" s="2"/>
      <c r="D5" s="2"/>
      <c r="E5" t="s">
        <v>614</v>
      </c>
      <c r="F5" t="s">
        <v>615</v>
      </c>
      <c r="G5" t="s">
        <v>616</v>
      </c>
      <c r="H5" t="s">
        <v>617</v>
      </c>
      <c r="I5" t="s">
        <v>618</v>
      </c>
      <c r="J5" t="s">
        <v>619</v>
      </c>
      <c r="K5" t="s">
        <v>620</v>
      </c>
      <c r="L5" t="s">
        <v>621</v>
      </c>
      <c r="M5" t="s">
        <v>622</v>
      </c>
      <c r="N5" t="s">
        <v>623</v>
      </c>
      <c r="O5" t="s">
        <v>624</v>
      </c>
      <c r="P5" t="s">
        <v>625</v>
      </c>
      <c r="Q5" t="s">
        <v>626</v>
      </c>
      <c r="R5" t="s">
        <v>627</v>
      </c>
      <c r="S5" t="s">
        <v>628</v>
      </c>
      <c r="T5" t="s">
        <v>629</v>
      </c>
      <c r="U5" t="s">
        <v>630</v>
      </c>
      <c r="V5" t="s">
        <v>631</v>
      </c>
      <c r="W5" t="s">
        <v>632</v>
      </c>
      <c r="X5" t="s">
        <v>633</v>
      </c>
      <c r="Y5" t="s">
        <v>634</v>
      </c>
      <c r="Z5" t="s">
        <v>635</v>
      </c>
      <c r="AA5" t="s">
        <v>636</v>
      </c>
      <c r="AB5" t="s">
        <v>637</v>
      </c>
      <c r="AC5" t="s">
        <v>638</v>
      </c>
      <c r="AD5" t="s">
        <v>639</v>
      </c>
      <c r="AE5" t="s">
        <v>640</v>
      </c>
      <c r="AF5" t="s">
        <v>641</v>
      </c>
      <c r="AG5" t="s">
        <v>642</v>
      </c>
      <c r="AH5" t="s">
        <v>643</v>
      </c>
      <c r="AI5" t="s">
        <v>644</v>
      </c>
      <c r="AJ5" t="s">
        <v>645</v>
      </c>
      <c r="AK5" t="s">
        <v>646</v>
      </c>
      <c r="AL5" t="s">
        <v>647</v>
      </c>
      <c r="AM5" t="s">
        <v>648</v>
      </c>
      <c r="AN5" t="s">
        <v>649</v>
      </c>
      <c r="AO5" t="s">
        <v>650</v>
      </c>
      <c r="AP5" s="13" t="s">
        <v>651</v>
      </c>
      <c r="AQ5" s="14" t="s">
        <v>652</v>
      </c>
      <c r="AR5" s="13" t="s">
        <v>653</v>
      </c>
      <c r="AS5" s="13" t="s">
        <v>654</v>
      </c>
      <c r="AT5" s="13" t="s">
        <v>655</v>
      </c>
      <c r="AU5" s="13" t="s">
        <v>656</v>
      </c>
      <c r="AV5" s="13" t="s">
        <v>657</v>
      </c>
      <c r="AW5" s="13" t="s">
        <v>658</v>
      </c>
      <c r="AX5" s="13" t="s">
        <v>659</v>
      </c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21"/>
    </row>
    <row r="6" spans="1:62" ht="15.6" x14ac:dyDescent="0.3">
      <c r="A6" s="4"/>
      <c r="B6" s="5"/>
      <c r="C6" s="5"/>
      <c r="D6" s="6" t="s">
        <v>0</v>
      </c>
      <c r="E6" s="15" t="s">
        <v>660</v>
      </c>
      <c r="F6" s="15" t="s">
        <v>661</v>
      </c>
      <c r="G6" s="15" t="s">
        <v>662</v>
      </c>
      <c r="H6" s="15" t="s">
        <v>663</v>
      </c>
      <c r="I6" s="15" t="s">
        <v>664</v>
      </c>
      <c r="J6" s="15" t="s">
        <v>665</v>
      </c>
      <c r="K6" s="15" t="s">
        <v>666</v>
      </c>
      <c r="L6" s="15" t="s">
        <v>667</v>
      </c>
      <c r="M6" s="15" t="s">
        <v>668</v>
      </c>
      <c r="N6" s="15" t="s">
        <v>669</v>
      </c>
      <c r="O6" s="15" t="s">
        <v>670</v>
      </c>
      <c r="P6" s="15" t="s">
        <v>671</v>
      </c>
      <c r="Q6" s="15" t="s">
        <v>672</v>
      </c>
      <c r="R6" s="15" t="s">
        <v>673</v>
      </c>
      <c r="S6" s="15" t="s">
        <v>674</v>
      </c>
      <c r="T6" s="15" t="s">
        <v>675</v>
      </c>
      <c r="U6" s="15" t="s">
        <v>676</v>
      </c>
      <c r="V6" s="15" t="s">
        <v>677</v>
      </c>
      <c r="W6" s="15" t="s">
        <v>678</v>
      </c>
      <c r="X6" s="15" t="s">
        <v>679</v>
      </c>
      <c r="Y6" s="15" t="s">
        <v>680</v>
      </c>
      <c r="Z6" s="15" t="s">
        <v>681</v>
      </c>
      <c r="AA6" s="15" t="s">
        <v>682</v>
      </c>
      <c r="AB6" s="15" t="s">
        <v>683</v>
      </c>
      <c r="AC6" s="15" t="s">
        <v>684</v>
      </c>
      <c r="AD6" s="15" t="s">
        <v>685</v>
      </c>
      <c r="AE6" s="15" t="s">
        <v>686</v>
      </c>
      <c r="AF6" s="15" t="s">
        <v>687</v>
      </c>
      <c r="AG6" s="15" t="s">
        <v>688</v>
      </c>
      <c r="AH6" s="15" t="s">
        <v>689</v>
      </c>
      <c r="AI6" s="15" t="s">
        <v>690</v>
      </c>
      <c r="AJ6" s="15" t="s">
        <v>691</v>
      </c>
      <c r="AK6" s="15" t="s">
        <v>692</v>
      </c>
      <c r="AL6" s="15" t="s">
        <v>693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21"/>
    </row>
    <row r="7" spans="1:62" ht="15.6" x14ac:dyDescent="0.3">
      <c r="A7" s="5" t="s">
        <v>1</v>
      </c>
      <c r="B7" s="5" t="s">
        <v>2</v>
      </c>
      <c r="C7" s="7">
        <v>1</v>
      </c>
      <c r="D7" s="7">
        <v>1</v>
      </c>
      <c r="E7" s="7">
        <v>219143.88699999999</v>
      </c>
      <c r="F7" s="7">
        <v>28811.807000000001</v>
      </c>
      <c r="G7" s="7">
        <v>22980.912</v>
      </c>
      <c r="H7" s="7">
        <v>12.053000000000001</v>
      </c>
      <c r="I7" s="7">
        <v>3269.7289999999998</v>
      </c>
      <c r="J7" s="7">
        <v>15367.784</v>
      </c>
      <c r="K7" s="7">
        <v>-40.945</v>
      </c>
      <c r="L7" s="7">
        <v>249602.13099999999</v>
      </c>
      <c r="M7" s="7">
        <v>56874.233</v>
      </c>
      <c r="N7" s="7">
        <v>3.0259999999999998</v>
      </c>
      <c r="O7" s="7">
        <v>2409.1190000000001</v>
      </c>
      <c r="P7" s="7">
        <v>169.86500000000001</v>
      </c>
      <c r="Q7" s="7">
        <v>1514.739</v>
      </c>
      <c r="R7" s="7">
        <v>380.55900000000003</v>
      </c>
      <c r="S7" s="7">
        <v>8159.6790000000001</v>
      </c>
      <c r="T7" s="7">
        <v>2.1680000000000001</v>
      </c>
      <c r="U7" s="7">
        <v>-32.188000000000002</v>
      </c>
      <c r="V7" s="7">
        <v>2462.4479999999999</v>
      </c>
      <c r="W7" s="7">
        <v>6502.3019999999997</v>
      </c>
      <c r="X7" s="7">
        <v>20156.169999999998</v>
      </c>
      <c r="Y7" s="7">
        <v>66360.081000000006</v>
      </c>
      <c r="Z7" s="7">
        <v>7004.1130000000003</v>
      </c>
      <c r="AA7" s="7">
        <v>31006.838</v>
      </c>
      <c r="AB7" s="7">
        <v>80221.31</v>
      </c>
      <c r="AC7" s="7">
        <v>5386.5529999999999</v>
      </c>
      <c r="AD7" s="7">
        <v>2793.4830000000002</v>
      </c>
      <c r="AE7" s="7">
        <v>207890.34899999999</v>
      </c>
      <c r="AF7" s="7">
        <v>61395.41</v>
      </c>
      <c r="AG7" s="7">
        <v>17746.152999999998</v>
      </c>
      <c r="AH7" s="7">
        <v>516894.75199999998</v>
      </c>
      <c r="AI7" s="7">
        <v>94949.14</v>
      </c>
      <c r="AJ7" s="7">
        <v>32619.934000000001</v>
      </c>
      <c r="AK7" s="7">
        <v>152585.73000000001</v>
      </c>
      <c r="AL7" s="7">
        <v>82737.498999999996</v>
      </c>
      <c r="AM7" s="7">
        <v>-6.931</v>
      </c>
      <c r="AN7" s="7">
        <v>54642.237000000001</v>
      </c>
      <c r="AO7" s="7">
        <v>4877.3230000000003</v>
      </c>
      <c r="AP7" s="7">
        <v>1939.499</v>
      </c>
      <c r="AQ7" s="7">
        <v>31309.796999999999</v>
      </c>
      <c r="AR7" s="7">
        <v>1061.6579999999999</v>
      </c>
      <c r="AS7" s="7">
        <v>201.82300000000001</v>
      </c>
      <c r="AT7" s="7">
        <v>0</v>
      </c>
      <c r="AU7" s="7">
        <v>6669.9849999999997</v>
      </c>
      <c r="AV7" s="7">
        <v>2685.77</v>
      </c>
      <c r="AW7" s="7">
        <v>5121.6760000000004</v>
      </c>
      <c r="AX7" s="7">
        <v>22557.834999999999</v>
      </c>
      <c r="AY7" s="7">
        <v>2997.9070000000002</v>
      </c>
      <c r="AZ7" s="7">
        <v>21275.907999999999</v>
      </c>
      <c r="BA7" s="7">
        <v>19948.775000000001</v>
      </c>
      <c r="BB7" s="7">
        <v>2996.922</v>
      </c>
      <c r="BC7" s="7">
        <v>1154.201</v>
      </c>
      <c r="BD7" s="7">
        <v>18940.103999999999</v>
      </c>
      <c r="BE7" s="7">
        <v>617.93100000000004</v>
      </c>
      <c r="BF7" s="7">
        <v>617.93100000000004</v>
      </c>
      <c r="BG7" s="7">
        <v>5817.4790000000003</v>
      </c>
      <c r="BH7" s="7">
        <v>24055.881000000001</v>
      </c>
      <c r="BI7" s="7">
        <v>744.18799999999999</v>
      </c>
      <c r="BJ7" s="21"/>
    </row>
    <row r="8" spans="1:62" ht="15.6" x14ac:dyDescent="0.3">
      <c r="A8" s="5" t="s">
        <v>3</v>
      </c>
      <c r="B8" s="5" t="s">
        <v>4</v>
      </c>
      <c r="C8" s="7">
        <v>1</v>
      </c>
      <c r="D8" s="7">
        <v>1</v>
      </c>
      <c r="E8" s="7">
        <v>72227.353000000003</v>
      </c>
      <c r="F8" s="7">
        <v>14802.415999999999</v>
      </c>
      <c r="G8" s="7">
        <v>9124.8580000000002</v>
      </c>
      <c r="H8" s="7">
        <v>657.12300000000005</v>
      </c>
      <c r="I8" s="7">
        <v>3480.386</v>
      </c>
      <c r="J8" s="7">
        <v>5154.6440000000002</v>
      </c>
      <c r="K8" s="7">
        <v>0</v>
      </c>
      <c r="L8" s="7">
        <v>116878.802</v>
      </c>
      <c r="M8" s="7">
        <v>23082.184000000001</v>
      </c>
      <c r="N8" s="7">
        <v>0</v>
      </c>
      <c r="O8" s="7">
        <v>-14.148999999999999</v>
      </c>
      <c r="P8" s="7">
        <v>380.71300000000002</v>
      </c>
      <c r="Q8" s="7">
        <v>62.518000000000001</v>
      </c>
      <c r="R8" s="7">
        <v>271.45100000000002</v>
      </c>
      <c r="S8" s="7">
        <v>3026.1320000000001</v>
      </c>
      <c r="T8" s="7">
        <v>0</v>
      </c>
      <c r="U8" s="7">
        <v>0</v>
      </c>
      <c r="V8" s="7">
        <v>814.08600000000001</v>
      </c>
      <c r="W8" s="7">
        <v>3645.1529999999998</v>
      </c>
      <c r="X8" s="7">
        <v>833.45500000000004</v>
      </c>
      <c r="Y8" s="7">
        <v>28882.829000000002</v>
      </c>
      <c r="Z8" s="7">
        <v>66.025999999999996</v>
      </c>
      <c r="AA8" s="7">
        <v>18893.157999999999</v>
      </c>
      <c r="AB8" s="7">
        <v>1622.068</v>
      </c>
      <c r="AC8" s="7">
        <v>2275.63</v>
      </c>
      <c r="AD8" s="7">
        <v>499.10899999999998</v>
      </c>
      <c r="AE8" s="7">
        <v>66567.627999999997</v>
      </c>
      <c r="AF8" s="7">
        <v>26780.138999999999</v>
      </c>
      <c r="AG8" s="7">
        <v>2436.1060000000002</v>
      </c>
      <c r="AH8" s="7">
        <v>209270.00200000001</v>
      </c>
      <c r="AI8" s="7">
        <v>43703.546000000002</v>
      </c>
      <c r="AJ8" s="7">
        <v>-1834.7239999999999</v>
      </c>
      <c r="AK8" s="7">
        <v>143894.30600000001</v>
      </c>
      <c r="AL8" s="7">
        <v>76454.599000000002</v>
      </c>
      <c r="AM8" s="7">
        <v>0</v>
      </c>
      <c r="AN8" s="7">
        <v>50210.542000000001</v>
      </c>
      <c r="AO8" s="7">
        <v>1843.3240000000001</v>
      </c>
      <c r="AP8" s="7">
        <v>5124.6319999999996</v>
      </c>
      <c r="AQ8" s="7">
        <v>9297.3070000000007</v>
      </c>
      <c r="AR8" s="7">
        <v>1645.0450000000001</v>
      </c>
      <c r="AS8" s="7">
        <v>44.271999999999998</v>
      </c>
      <c r="AT8" s="7">
        <v>0</v>
      </c>
      <c r="AU8" s="7">
        <v>3484.3609999999999</v>
      </c>
      <c r="AV8" s="7">
        <v>5033.7280000000001</v>
      </c>
      <c r="AW8" s="7">
        <v>8868.1980000000003</v>
      </c>
      <c r="AX8" s="7">
        <v>905.14099999999996</v>
      </c>
      <c r="AY8" s="7">
        <v>280.58999999999997</v>
      </c>
      <c r="AZ8" s="7">
        <v>475.34800000000001</v>
      </c>
      <c r="BA8" s="7">
        <v>639.60299999999995</v>
      </c>
      <c r="BB8" s="7">
        <v>597.81799999999998</v>
      </c>
      <c r="BC8" s="7">
        <v>240.39400000000001</v>
      </c>
      <c r="BD8" s="7">
        <v>566.79100000000005</v>
      </c>
      <c r="BE8" s="7">
        <v>170.732</v>
      </c>
      <c r="BF8" s="7">
        <v>170.732</v>
      </c>
      <c r="BG8" s="7">
        <v>192.60300000000001</v>
      </c>
      <c r="BH8" s="7">
        <v>1605.655</v>
      </c>
      <c r="BI8" s="7">
        <v>49.74</v>
      </c>
      <c r="BJ8" s="21"/>
    </row>
    <row r="9" spans="1:62" ht="15.6" x14ac:dyDescent="0.3">
      <c r="A9" s="5" t="s">
        <v>5</v>
      </c>
      <c r="B9" s="5" t="s">
        <v>6</v>
      </c>
      <c r="C9" s="7">
        <v>1</v>
      </c>
      <c r="D9" s="7">
        <v>1</v>
      </c>
      <c r="E9" s="7">
        <v>104479.573</v>
      </c>
      <c r="F9" s="7">
        <v>10157.395</v>
      </c>
      <c r="G9" s="7">
        <v>7082.7150000000001</v>
      </c>
      <c r="H9" s="7">
        <v>20531.079000000002</v>
      </c>
      <c r="I9" s="7">
        <v>982.64300000000003</v>
      </c>
      <c r="J9" s="7">
        <v>2965.616</v>
      </c>
      <c r="K9" s="7">
        <v>2736.3580000000002</v>
      </c>
      <c r="L9" s="7">
        <v>125013.482</v>
      </c>
      <c r="M9" s="7">
        <v>5546.5770000000002</v>
      </c>
      <c r="N9" s="7">
        <v>5738.4049999999997</v>
      </c>
      <c r="O9" s="7">
        <v>1010.078</v>
      </c>
      <c r="P9" s="7">
        <v>382.137</v>
      </c>
      <c r="Q9" s="7">
        <v>415.666</v>
      </c>
      <c r="R9" s="7">
        <v>508.22699999999998</v>
      </c>
      <c r="S9" s="7">
        <v>4183.1149999999998</v>
      </c>
      <c r="T9" s="7">
        <v>31.765000000000001</v>
      </c>
      <c r="U9" s="7">
        <v>2401.8980000000001</v>
      </c>
      <c r="V9" s="7">
        <v>2543.038</v>
      </c>
      <c r="W9" s="7">
        <v>2895.8330000000001</v>
      </c>
      <c r="X9" s="7">
        <v>12886.206</v>
      </c>
      <c r="Y9" s="7">
        <v>38050.322999999997</v>
      </c>
      <c r="Z9" s="7">
        <v>12359.771000000001</v>
      </c>
      <c r="AA9" s="7">
        <v>34382.404000000002</v>
      </c>
      <c r="AB9" s="7">
        <v>42634.555</v>
      </c>
      <c r="AC9" s="7">
        <v>3379.1889999999999</v>
      </c>
      <c r="AD9" s="7">
        <v>3571.8829999999998</v>
      </c>
      <c r="AE9" s="7">
        <v>137167.60999999999</v>
      </c>
      <c r="AF9" s="7">
        <v>43850.444000000003</v>
      </c>
      <c r="AG9" s="7">
        <v>14648.731</v>
      </c>
      <c r="AH9" s="7">
        <v>129672.493</v>
      </c>
      <c r="AI9" s="7">
        <v>58788.921999999999</v>
      </c>
      <c r="AJ9" s="7">
        <v>68517.145999999993</v>
      </c>
      <c r="AK9" s="7">
        <v>284695.571</v>
      </c>
      <c r="AL9" s="7">
        <v>147898.42800000001</v>
      </c>
      <c r="AM9" s="7">
        <v>348.15300000000002</v>
      </c>
      <c r="AN9" s="7">
        <v>99488.71</v>
      </c>
      <c r="AO9" s="7">
        <v>3396.8440000000001</v>
      </c>
      <c r="AP9" s="7">
        <v>0</v>
      </c>
      <c r="AQ9" s="7">
        <v>5373.3069999999998</v>
      </c>
      <c r="AR9" s="7">
        <v>0</v>
      </c>
      <c r="AS9" s="7">
        <v>21.257999999999999</v>
      </c>
      <c r="AT9" s="7">
        <v>0</v>
      </c>
      <c r="AU9" s="7">
        <v>313.00099999999998</v>
      </c>
      <c r="AV9" s="7">
        <v>0</v>
      </c>
      <c r="AW9" s="7">
        <v>0</v>
      </c>
      <c r="AX9" s="7">
        <v>14823.844999999999</v>
      </c>
      <c r="AY9" s="7">
        <v>309.05399999999997</v>
      </c>
      <c r="AZ9" s="7">
        <v>3441.5949999999998</v>
      </c>
      <c r="BA9" s="7">
        <v>7180.9030000000002</v>
      </c>
      <c r="BB9" s="7">
        <v>325.42099999999999</v>
      </c>
      <c r="BC9" s="7">
        <v>109.53</v>
      </c>
      <c r="BD9" s="7">
        <v>4186.0929999999998</v>
      </c>
      <c r="BE9" s="7">
        <v>82.253</v>
      </c>
      <c r="BF9" s="7">
        <v>82.253</v>
      </c>
      <c r="BG9" s="7">
        <v>1387.998</v>
      </c>
      <c r="BH9" s="7">
        <v>35214.860999999997</v>
      </c>
      <c r="BI9" s="7">
        <v>47.332999999999998</v>
      </c>
      <c r="BJ9" s="21"/>
    </row>
    <row r="10" spans="1:62" ht="15.6" x14ac:dyDescent="0.3">
      <c r="A10" s="5" t="s">
        <v>7</v>
      </c>
      <c r="B10" s="5" t="s">
        <v>8</v>
      </c>
      <c r="C10" s="7">
        <v>1</v>
      </c>
      <c r="D10" s="7">
        <v>1</v>
      </c>
      <c r="E10" s="7">
        <v>490168.28200000001</v>
      </c>
      <c r="F10" s="7">
        <v>100703.65</v>
      </c>
      <c r="G10" s="7">
        <v>0</v>
      </c>
      <c r="H10" s="7">
        <v>0</v>
      </c>
      <c r="I10" s="7">
        <v>2019.328</v>
      </c>
      <c r="J10" s="7">
        <v>0</v>
      </c>
      <c r="K10" s="7">
        <v>0</v>
      </c>
      <c r="L10" s="7">
        <v>1164694.8160000001</v>
      </c>
      <c r="M10" s="7">
        <v>40302.262999999999</v>
      </c>
      <c r="N10" s="7">
        <v>0</v>
      </c>
      <c r="O10" s="7">
        <v>6666.9290000000001</v>
      </c>
      <c r="P10" s="7">
        <v>0</v>
      </c>
      <c r="Q10" s="7">
        <v>4012.9780000000001</v>
      </c>
      <c r="R10" s="7">
        <v>1287.6679999999999</v>
      </c>
      <c r="S10" s="7">
        <v>31587.635999999999</v>
      </c>
      <c r="T10" s="7">
        <v>0</v>
      </c>
      <c r="U10" s="7">
        <v>0</v>
      </c>
      <c r="V10" s="7">
        <v>0</v>
      </c>
      <c r="W10" s="7">
        <v>9363.5939999999991</v>
      </c>
      <c r="X10" s="7">
        <v>21228.055</v>
      </c>
      <c r="Y10" s="7">
        <v>239564.19899999999</v>
      </c>
      <c r="Z10" s="7">
        <v>48006.485999999997</v>
      </c>
      <c r="AA10" s="7">
        <v>553.875</v>
      </c>
      <c r="AB10" s="7">
        <v>195219.49299999999</v>
      </c>
      <c r="AC10" s="7">
        <v>18245.438999999998</v>
      </c>
      <c r="AD10" s="7">
        <v>11892.953</v>
      </c>
      <c r="AE10" s="7">
        <v>651052.08499999996</v>
      </c>
      <c r="AF10" s="7">
        <v>397784.07799999998</v>
      </c>
      <c r="AG10" s="7">
        <v>64463.07</v>
      </c>
      <c r="AH10" s="7">
        <v>1954030.676</v>
      </c>
      <c r="AI10" s="7">
        <v>604573.06900000002</v>
      </c>
      <c r="AJ10" s="7">
        <v>242114.05900000001</v>
      </c>
      <c r="AK10" s="7">
        <v>7408166.8530000001</v>
      </c>
      <c r="AL10" s="7">
        <v>4017050.9649999999</v>
      </c>
      <c r="AM10" s="7">
        <v>0</v>
      </c>
      <c r="AN10" s="7">
        <v>2652979.0389999999</v>
      </c>
      <c r="AO10" s="7">
        <v>20999.775000000001</v>
      </c>
      <c r="AP10" s="7">
        <v>0</v>
      </c>
      <c r="AQ10" s="7">
        <v>147704.02299999999</v>
      </c>
      <c r="AR10" s="7">
        <v>0</v>
      </c>
      <c r="AS10" s="7">
        <v>326.62099999999998</v>
      </c>
      <c r="AT10" s="7">
        <v>0</v>
      </c>
      <c r="AU10" s="7">
        <v>2060.9589999999998</v>
      </c>
      <c r="AV10" s="7">
        <v>0</v>
      </c>
      <c r="AW10" s="7">
        <v>0</v>
      </c>
      <c r="AX10" s="7">
        <v>23757.45</v>
      </c>
      <c r="AY10" s="7">
        <v>0</v>
      </c>
      <c r="AZ10" s="7">
        <v>0</v>
      </c>
      <c r="BA10" s="7">
        <v>17368.602999999999</v>
      </c>
      <c r="BB10" s="7">
        <v>7409.9049999999997</v>
      </c>
      <c r="BC10" s="7">
        <v>0</v>
      </c>
      <c r="BD10" s="7">
        <v>0</v>
      </c>
      <c r="BE10" s="7">
        <v>1987.4380000000001</v>
      </c>
      <c r="BF10" s="7">
        <v>1987.4380000000001</v>
      </c>
      <c r="BG10" s="7">
        <v>0</v>
      </c>
      <c r="BH10" s="7">
        <v>150703.886</v>
      </c>
      <c r="BI10" s="7">
        <v>0</v>
      </c>
      <c r="BJ10" s="21"/>
    </row>
    <row r="11" spans="1:62" ht="15.6" x14ac:dyDescent="0.3">
      <c r="A11" s="5" t="s">
        <v>9</v>
      </c>
      <c r="B11" s="5" t="s">
        <v>10</v>
      </c>
      <c r="C11" s="7">
        <v>1</v>
      </c>
      <c r="D11" s="7">
        <v>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21"/>
    </row>
    <row r="12" spans="1:62" ht="15.6" x14ac:dyDescent="0.3">
      <c r="A12" s="5" t="s">
        <v>11</v>
      </c>
      <c r="B12" s="5" t="s">
        <v>12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21"/>
    </row>
    <row r="13" spans="1:62" ht="15.6" x14ac:dyDescent="0.3">
      <c r="A13" s="5" t="s">
        <v>13</v>
      </c>
      <c r="B13" s="5" t="s">
        <v>14</v>
      </c>
      <c r="C13" s="7">
        <v>1</v>
      </c>
      <c r="D13" s="7">
        <v>1</v>
      </c>
      <c r="E13" s="7">
        <v>49721.394999999997</v>
      </c>
      <c r="F13" s="7">
        <v>9920.3050000000003</v>
      </c>
      <c r="G13" s="7">
        <v>3487.8429999999998</v>
      </c>
      <c r="H13" s="7">
        <v>0.08</v>
      </c>
      <c r="I13" s="7">
        <v>735.34900000000005</v>
      </c>
      <c r="J13" s="7">
        <v>4413.9970000000003</v>
      </c>
      <c r="K13" s="7">
        <v>0</v>
      </c>
      <c r="L13" s="7">
        <v>71820.111000000004</v>
      </c>
      <c r="M13" s="7">
        <v>14307.47</v>
      </c>
      <c r="N13" s="7">
        <v>0</v>
      </c>
      <c r="O13" s="7">
        <v>16.350000000000001</v>
      </c>
      <c r="P13" s="7">
        <v>68.016999999999996</v>
      </c>
      <c r="Q13" s="7">
        <v>21.869</v>
      </c>
      <c r="R13" s="7">
        <v>27.635999999999999</v>
      </c>
      <c r="S13" s="7">
        <v>2879.6350000000002</v>
      </c>
      <c r="T13" s="7">
        <v>0</v>
      </c>
      <c r="U13" s="7">
        <v>0</v>
      </c>
      <c r="V13" s="7">
        <v>518.29499999999996</v>
      </c>
      <c r="W13" s="7">
        <v>1218.5630000000001</v>
      </c>
      <c r="X13" s="7">
        <v>918.14300000000003</v>
      </c>
      <c r="Y13" s="7">
        <v>21317.607</v>
      </c>
      <c r="Z13" s="7">
        <v>763.64099999999996</v>
      </c>
      <c r="AA13" s="7">
        <v>8015.3010000000004</v>
      </c>
      <c r="AB13" s="7">
        <v>378.52</v>
      </c>
      <c r="AC13" s="7">
        <v>1503.511</v>
      </c>
      <c r="AD13" s="7">
        <v>105.294</v>
      </c>
      <c r="AE13" s="7">
        <v>45225.724000000002</v>
      </c>
      <c r="AF13" s="7">
        <v>22038.378000000001</v>
      </c>
      <c r="AG13" s="7">
        <v>400.24</v>
      </c>
      <c r="AH13" s="7">
        <v>143829.06899999999</v>
      </c>
      <c r="AI13" s="7">
        <v>32843.96</v>
      </c>
      <c r="AJ13" s="7">
        <v>4069.1880000000001</v>
      </c>
      <c r="AK13" s="7">
        <v>169393.49299999999</v>
      </c>
      <c r="AL13" s="7">
        <v>91852.993000000002</v>
      </c>
      <c r="AM13" s="7">
        <v>0</v>
      </c>
      <c r="AN13" s="7">
        <v>60662.428</v>
      </c>
      <c r="AO13" s="7">
        <v>1619.558</v>
      </c>
      <c r="AP13" s="7">
        <v>0</v>
      </c>
      <c r="AQ13" s="7">
        <v>6861.4260000000004</v>
      </c>
      <c r="AR13" s="7">
        <v>0</v>
      </c>
      <c r="AS13" s="7">
        <v>18.716999999999999</v>
      </c>
      <c r="AT13" s="7">
        <v>0</v>
      </c>
      <c r="AU13" s="7">
        <v>122.40300000000001</v>
      </c>
      <c r="AV13" s="7">
        <v>0</v>
      </c>
      <c r="AW13" s="7">
        <v>0</v>
      </c>
      <c r="AX13" s="7">
        <v>1027.518</v>
      </c>
      <c r="AY13" s="7">
        <v>23.629000000000001</v>
      </c>
      <c r="AZ13" s="7">
        <v>0.53200000000000003</v>
      </c>
      <c r="BA13" s="7">
        <v>751.19799999999998</v>
      </c>
      <c r="BB13" s="7">
        <v>564.26599999999996</v>
      </c>
      <c r="BC13" s="7">
        <v>14.326000000000001</v>
      </c>
      <c r="BD13" s="7">
        <v>0.64700000000000002</v>
      </c>
      <c r="BE13" s="7">
        <v>149.464</v>
      </c>
      <c r="BF13" s="7">
        <v>149.464</v>
      </c>
      <c r="BG13" s="7">
        <v>0.215</v>
      </c>
      <c r="BH13" s="7">
        <v>2413.1289999999999</v>
      </c>
      <c r="BI13" s="7">
        <v>6.5890000000000004</v>
      </c>
      <c r="BJ13" s="21"/>
    </row>
    <row r="14" spans="1:62" ht="15.6" x14ac:dyDescent="0.3">
      <c r="A14" s="5" t="s">
        <v>3</v>
      </c>
      <c r="B14" s="5" t="s">
        <v>15</v>
      </c>
      <c r="C14" s="7">
        <v>1</v>
      </c>
      <c r="D14" s="7">
        <v>1</v>
      </c>
      <c r="E14" s="7">
        <v>30.422999999999998</v>
      </c>
      <c r="F14" s="7">
        <v>4.2089999999999996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135.62100000000001</v>
      </c>
      <c r="M14" s="7">
        <v>10.066000000000001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9.2910000000000004</v>
      </c>
      <c r="AF14" s="7">
        <v>1.383</v>
      </c>
      <c r="AG14" s="7">
        <v>0</v>
      </c>
      <c r="AH14" s="7">
        <v>87.082999999999998</v>
      </c>
      <c r="AI14" s="7">
        <v>0.93799999999999994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21"/>
    </row>
    <row r="15" spans="1:62" ht="15.6" x14ac:dyDescent="0.3">
      <c r="A15" s="5" t="s">
        <v>16</v>
      </c>
      <c r="B15" s="5" t="s">
        <v>17</v>
      </c>
      <c r="C15" s="7">
        <v>1</v>
      </c>
      <c r="D15" s="7">
        <v>1</v>
      </c>
      <c r="E15" s="7">
        <v>10730.438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10041.046</v>
      </c>
      <c r="M15" s="7">
        <v>11136.236999999999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12612.324000000001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21"/>
    </row>
    <row r="16" spans="1:62" ht="15.6" x14ac:dyDescent="0.3">
      <c r="A16" s="5" t="s">
        <v>18</v>
      </c>
      <c r="B16" s="5" t="s">
        <v>19</v>
      </c>
      <c r="C16" s="7">
        <v>2</v>
      </c>
      <c r="D16" s="7">
        <v>2</v>
      </c>
      <c r="E16" s="7">
        <v>1328535.355</v>
      </c>
      <c r="F16" s="7">
        <v>96171.156000000003</v>
      </c>
      <c r="G16" s="7">
        <v>236231.753</v>
      </c>
      <c r="H16" s="7">
        <v>0</v>
      </c>
      <c r="I16" s="7">
        <v>33380.26</v>
      </c>
      <c r="J16" s="7">
        <v>160425.09</v>
      </c>
      <c r="K16" s="7">
        <v>0</v>
      </c>
      <c r="L16" s="7">
        <v>352962.52600000001</v>
      </c>
      <c r="M16" s="7">
        <v>381041.82299999997</v>
      </c>
      <c r="N16" s="7">
        <v>0</v>
      </c>
      <c r="O16" s="7">
        <v>0</v>
      </c>
      <c r="P16" s="7">
        <v>15580.049000000001</v>
      </c>
      <c r="Q16" s="7">
        <v>751.89700000000005</v>
      </c>
      <c r="R16" s="7">
        <v>1342.5550000000001</v>
      </c>
      <c r="S16" s="7">
        <v>29716.348999999998</v>
      </c>
      <c r="T16" s="7">
        <v>0</v>
      </c>
      <c r="U16" s="7">
        <v>0</v>
      </c>
      <c r="V16" s="7">
        <v>19279.491000000002</v>
      </c>
      <c r="W16" s="7">
        <v>33082.665000000001</v>
      </c>
      <c r="X16" s="7">
        <v>0</v>
      </c>
      <c r="Y16" s="7">
        <v>232681.54699999999</v>
      </c>
      <c r="Z16" s="7">
        <v>0</v>
      </c>
      <c r="AA16" s="7">
        <v>360259.125</v>
      </c>
      <c r="AB16" s="7">
        <v>0</v>
      </c>
      <c r="AC16" s="7">
        <v>13631.914000000001</v>
      </c>
      <c r="AD16" s="7">
        <v>7383.8109999999997</v>
      </c>
      <c r="AE16" s="7">
        <v>578320.799</v>
      </c>
      <c r="AF16" s="7">
        <v>0</v>
      </c>
      <c r="AG16" s="7">
        <v>26978.598000000002</v>
      </c>
      <c r="AH16" s="7">
        <v>1392660.4010000001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16327.571</v>
      </c>
      <c r="AP16" s="7">
        <v>0</v>
      </c>
      <c r="AQ16" s="7">
        <v>0</v>
      </c>
      <c r="AR16" s="7">
        <v>0</v>
      </c>
      <c r="AS16" s="7">
        <v>842.59500000000003</v>
      </c>
      <c r="AT16" s="7">
        <v>0</v>
      </c>
      <c r="AU16" s="7">
        <v>19861.383999999998</v>
      </c>
      <c r="AV16" s="7">
        <v>0</v>
      </c>
      <c r="AW16" s="7">
        <v>0</v>
      </c>
      <c r="AX16" s="7">
        <v>0</v>
      </c>
      <c r="AY16" s="7">
        <v>9747.2800000000007</v>
      </c>
      <c r="AZ16" s="7">
        <v>0</v>
      </c>
      <c r="BA16" s="7">
        <v>0</v>
      </c>
      <c r="BB16" s="7">
        <v>6102.7250000000004</v>
      </c>
      <c r="BC16" s="7">
        <v>5190.8670000000002</v>
      </c>
      <c r="BD16" s="7">
        <v>0</v>
      </c>
      <c r="BE16" s="7">
        <v>1407.883</v>
      </c>
      <c r="BF16" s="7">
        <v>1407.883</v>
      </c>
      <c r="BG16" s="7">
        <v>0</v>
      </c>
      <c r="BH16" s="7">
        <v>0</v>
      </c>
      <c r="BI16" s="7">
        <v>2100.7460000000001</v>
      </c>
      <c r="BJ16" s="21"/>
    </row>
    <row r="17" spans="1:62" ht="15.6" x14ac:dyDescent="0.3">
      <c r="A17" s="5" t="s">
        <v>20</v>
      </c>
      <c r="B17" s="5" t="s">
        <v>21</v>
      </c>
      <c r="C17" s="7">
        <v>2</v>
      </c>
      <c r="D17" s="7">
        <v>2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21"/>
    </row>
    <row r="18" spans="1:62" ht="15.6" x14ac:dyDescent="0.3">
      <c r="A18" s="5" t="s">
        <v>22</v>
      </c>
      <c r="B18" s="5" t="s">
        <v>23</v>
      </c>
      <c r="C18" s="7">
        <v>2</v>
      </c>
      <c r="D18" s="7">
        <v>2</v>
      </c>
      <c r="E18" s="7">
        <v>537587.27899999998</v>
      </c>
      <c r="F18" s="7">
        <v>41862.932000000001</v>
      </c>
      <c r="G18" s="7">
        <v>92180.813999999998</v>
      </c>
      <c r="H18" s="7">
        <v>0</v>
      </c>
      <c r="I18" s="7">
        <v>13112.367</v>
      </c>
      <c r="J18" s="7">
        <v>62600.033000000003</v>
      </c>
      <c r="K18" s="7">
        <v>104953.799</v>
      </c>
      <c r="L18" s="7">
        <v>187869.69</v>
      </c>
      <c r="M18" s="7">
        <v>150422.81099999999</v>
      </c>
      <c r="N18" s="7">
        <v>7139.1660000000002</v>
      </c>
      <c r="O18" s="7">
        <v>0</v>
      </c>
      <c r="P18" s="7">
        <v>0</v>
      </c>
      <c r="Q18" s="7">
        <v>1167.3130000000001</v>
      </c>
      <c r="R18" s="7">
        <v>2084.3049999999998</v>
      </c>
      <c r="S18" s="7">
        <v>12955.68</v>
      </c>
      <c r="T18" s="7">
        <v>0</v>
      </c>
      <c r="U18" s="7">
        <v>82659.706999999995</v>
      </c>
      <c r="V18" s="7">
        <v>7523.1170000000002</v>
      </c>
      <c r="W18" s="7">
        <v>13312.438</v>
      </c>
      <c r="X18" s="7">
        <v>0</v>
      </c>
      <c r="Y18" s="7">
        <v>100895.35</v>
      </c>
      <c r="Z18" s="7">
        <v>0</v>
      </c>
      <c r="AA18" s="7">
        <v>140577.967</v>
      </c>
      <c r="AB18" s="7">
        <v>0</v>
      </c>
      <c r="AC18" s="7">
        <v>6104.8879999999999</v>
      </c>
      <c r="AD18" s="7">
        <v>2881.2629999999999</v>
      </c>
      <c r="AE18" s="7">
        <v>250759.48699999999</v>
      </c>
      <c r="AF18" s="7">
        <v>17125.994999999999</v>
      </c>
      <c r="AG18" s="7">
        <v>10527.413</v>
      </c>
      <c r="AH18" s="7">
        <v>627809.74899999995</v>
      </c>
      <c r="AI18" s="7">
        <v>26029.023000000001</v>
      </c>
      <c r="AJ18" s="7">
        <v>0</v>
      </c>
      <c r="AK18" s="7">
        <v>0</v>
      </c>
      <c r="AL18" s="7">
        <v>0</v>
      </c>
      <c r="AM18" s="7">
        <v>17865.368999999999</v>
      </c>
      <c r="AN18" s="7">
        <v>0</v>
      </c>
      <c r="AO18" s="7">
        <v>7275.3530000000001</v>
      </c>
      <c r="AP18" s="7">
        <v>0</v>
      </c>
      <c r="AQ18" s="7">
        <v>6359.1840000000002</v>
      </c>
      <c r="AR18" s="7">
        <v>0</v>
      </c>
      <c r="AS18" s="7">
        <v>342.85399999999998</v>
      </c>
      <c r="AT18" s="7">
        <v>0</v>
      </c>
      <c r="AU18" s="7">
        <v>10119.597</v>
      </c>
      <c r="AV18" s="7">
        <v>0</v>
      </c>
      <c r="AW18" s="7">
        <v>0</v>
      </c>
      <c r="AX18" s="7">
        <v>0</v>
      </c>
      <c r="AY18" s="7">
        <v>3803.52</v>
      </c>
      <c r="AZ18" s="7">
        <v>0</v>
      </c>
      <c r="BA18" s="7">
        <v>0</v>
      </c>
      <c r="BB18" s="7">
        <v>2700.3879999999999</v>
      </c>
      <c r="BC18" s="7">
        <v>2025.546</v>
      </c>
      <c r="BD18" s="7">
        <v>0</v>
      </c>
      <c r="BE18" s="7">
        <v>634.94100000000003</v>
      </c>
      <c r="BF18" s="7">
        <v>634.94100000000003</v>
      </c>
      <c r="BG18" s="7">
        <v>0</v>
      </c>
      <c r="BH18" s="7">
        <v>0</v>
      </c>
      <c r="BI18" s="7">
        <v>819.73900000000003</v>
      </c>
      <c r="BJ18" s="21"/>
    </row>
    <row r="19" spans="1:62" ht="15.6" x14ac:dyDescent="0.3">
      <c r="A19" s="5" t="s">
        <v>24</v>
      </c>
      <c r="B19" s="5" t="s">
        <v>25</v>
      </c>
      <c r="C19" s="7">
        <v>2</v>
      </c>
      <c r="D19" s="7">
        <v>2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7.016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21"/>
    </row>
    <row r="20" spans="1:62" ht="15.6" x14ac:dyDescent="0.3">
      <c r="A20" s="5" t="s">
        <v>26</v>
      </c>
      <c r="B20" s="5" t="s">
        <v>27</v>
      </c>
      <c r="C20" s="7">
        <v>2</v>
      </c>
      <c r="D20" s="7">
        <v>2</v>
      </c>
      <c r="E20" s="7">
        <v>83300.941000000006</v>
      </c>
      <c r="F20" s="7">
        <v>18728.449000000001</v>
      </c>
      <c r="G20" s="7">
        <v>0</v>
      </c>
      <c r="H20" s="7">
        <v>0</v>
      </c>
      <c r="I20" s="7">
        <v>384.43599999999998</v>
      </c>
      <c r="J20" s="7">
        <v>0</v>
      </c>
      <c r="K20" s="7">
        <v>77688.490999999995</v>
      </c>
      <c r="L20" s="7">
        <v>216904.549</v>
      </c>
      <c r="M20" s="7">
        <v>7718.14</v>
      </c>
      <c r="N20" s="7">
        <v>0</v>
      </c>
      <c r="O20" s="7">
        <v>0</v>
      </c>
      <c r="P20" s="7">
        <v>0.105</v>
      </c>
      <c r="Q20" s="7">
        <v>0</v>
      </c>
      <c r="R20" s="7">
        <v>0</v>
      </c>
      <c r="S20" s="7">
        <v>5880.9650000000001</v>
      </c>
      <c r="T20" s="7">
        <v>962.95399999999995</v>
      </c>
      <c r="U20" s="7">
        <v>61186.046000000002</v>
      </c>
      <c r="V20" s="7">
        <v>0</v>
      </c>
      <c r="W20" s="7">
        <v>1751.2470000000001</v>
      </c>
      <c r="X20" s="7">
        <v>0</v>
      </c>
      <c r="Y20" s="7">
        <v>43660.91</v>
      </c>
      <c r="Z20" s="7">
        <v>0</v>
      </c>
      <c r="AA20" s="7">
        <v>0</v>
      </c>
      <c r="AB20" s="7">
        <v>0</v>
      </c>
      <c r="AC20" s="7">
        <v>3399.7939999999999</v>
      </c>
      <c r="AD20" s="7">
        <v>0</v>
      </c>
      <c r="AE20" s="7">
        <v>108427.984</v>
      </c>
      <c r="AF20" s="7">
        <v>73859.122000000003</v>
      </c>
      <c r="AG20" s="7">
        <v>0</v>
      </c>
      <c r="AH20" s="7">
        <v>363350.77500000002</v>
      </c>
      <c r="AI20" s="7">
        <v>112640.99099999999</v>
      </c>
      <c r="AJ20" s="7">
        <v>0</v>
      </c>
      <c r="AK20" s="7">
        <v>0</v>
      </c>
      <c r="AL20" s="7">
        <v>0</v>
      </c>
      <c r="AM20" s="7">
        <v>13224.233</v>
      </c>
      <c r="AN20" s="7">
        <v>0</v>
      </c>
      <c r="AO20" s="7">
        <v>3889.6419999999998</v>
      </c>
      <c r="AP20" s="7">
        <v>0</v>
      </c>
      <c r="AQ20" s="7">
        <v>27422.062999999998</v>
      </c>
      <c r="AR20" s="7">
        <v>0</v>
      </c>
      <c r="AS20" s="7">
        <v>60.652999999999999</v>
      </c>
      <c r="AT20" s="7">
        <v>0</v>
      </c>
      <c r="AU20" s="7">
        <v>383.57299999999998</v>
      </c>
      <c r="AV20" s="7">
        <v>0</v>
      </c>
      <c r="AW20" s="7">
        <v>0</v>
      </c>
      <c r="AX20" s="7">
        <v>0</v>
      </c>
      <c r="AY20" s="7">
        <v>31.547999999999998</v>
      </c>
      <c r="AZ20" s="7">
        <v>910.88300000000004</v>
      </c>
      <c r="BA20" s="7">
        <v>0</v>
      </c>
      <c r="BB20" s="7">
        <v>1372.5640000000001</v>
      </c>
      <c r="BC20" s="7">
        <v>0</v>
      </c>
      <c r="BD20" s="7">
        <v>1107.9290000000001</v>
      </c>
      <c r="BE20" s="7">
        <v>367.524</v>
      </c>
      <c r="BF20" s="7">
        <v>367.524</v>
      </c>
      <c r="BG20" s="7">
        <v>367.36</v>
      </c>
      <c r="BH20" s="7">
        <v>0</v>
      </c>
      <c r="BI20" s="7">
        <v>0</v>
      </c>
      <c r="BJ20" s="21"/>
    </row>
    <row r="21" spans="1:62" ht="15.6" x14ac:dyDescent="0.3">
      <c r="A21" s="5" t="s">
        <v>28</v>
      </c>
      <c r="B21" s="5" t="s">
        <v>29</v>
      </c>
      <c r="C21" s="7">
        <v>6</v>
      </c>
      <c r="D21" s="7">
        <v>6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21"/>
    </row>
    <row r="22" spans="1:62" ht="15.6" x14ac:dyDescent="0.3">
      <c r="A22" s="5" t="s">
        <v>30</v>
      </c>
      <c r="B22" s="5" t="s">
        <v>31</v>
      </c>
      <c r="C22" s="7">
        <v>5</v>
      </c>
      <c r="D22" s="7">
        <v>5</v>
      </c>
      <c r="E22" s="7">
        <v>0</v>
      </c>
      <c r="F22" s="7">
        <v>0</v>
      </c>
      <c r="G22" s="7">
        <v>0</v>
      </c>
      <c r="H22" s="7">
        <v>975811.995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21"/>
    </row>
    <row r="23" spans="1:62" ht="15.6" x14ac:dyDescent="0.3">
      <c r="A23" s="5" t="s">
        <v>32</v>
      </c>
      <c r="B23" s="5" t="s">
        <v>33</v>
      </c>
      <c r="C23" s="7">
        <v>2</v>
      </c>
      <c r="D23" s="7">
        <v>2</v>
      </c>
      <c r="E23" s="7">
        <v>6587.2240000000002</v>
      </c>
      <c r="F23" s="7">
        <v>0</v>
      </c>
      <c r="G23" s="7">
        <v>1686.4680000000001</v>
      </c>
      <c r="H23" s="7">
        <v>0</v>
      </c>
      <c r="I23" s="7">
        <v>0</v>
      </c>
      <c r="J23" s="7">
        <v>1293.981</v>
      </c>
      <c r="K23" s="7">
        <v>0</v>
      </c>
      <c r="L23" s="7">
        <v>4114.9830000000002</v>
      </c>
      <c r="M23" s="7">
        <v>2255.7339999999999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766.577</v>
      </c>
      <c r="AF23" s="7">
        <v>0</v>
      </c>
      <c r="AG23" s="7">
        <v>0</v>
      </c>
      <c r="AH23" s="7">
        <v>3869.6779999999999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21"/>
    </row>
    <row r="24" spans="1:62" ht="15.6" x14ac:dyDescent="0.3">
      <c r="A24" s="5" t="s">
        <v>34</v>
      </c>
      <c r="B24" s="5" t="s">
        <v>35</v>
      </c>
      <c r="C24" s="7">
        <v>2</v>
      </c>
      <c r="D24" s="7">
        <v>2</v>
      </c>
      <c r="E24" s="7">
        <v>42315.506999999998</v>
      </c>
      <c r="F24" s="7">
        <v>8707.0339999999997</v>
      </c>
      <c r="G24" s="7">
        <v>6391.4430000000002</v>
      </c>
      <c r="H24" s="7">
        <v>0</v>
      </c>
      <c r="I24" s="7">
        <v>1326.1469999999999</v>
      </c>
      <c r="J24" s="7">
        <v>5034.8029999999999</v>
      </c>
      <c r="K24" s="7">
        <v>0</v>
      </c>
      <c r="L24" s="7">
        <v>51177.84</v>
      </c>
      <c r="M24" s="7">
        <v>22910.201000000001</v>
      </c>
      <c r="N24" s="7">
        <v>0</v>
      </c>
      <c r="O24" s="7">
        <v>158.93899999999999</v>
      </c>
      <c r="P24" s="7">
        <v>0</v>
      </c>
      <c r="Q24" s="7">
        <v>56.802999999999997</v>
      </c>
      <c r="R24" s="7">
        <v>0</v>
      </c>
      <c r="S24" s="7">
        <v>2559.1039999999998</v>
      </c>
      <c r="T24" s="7">
        <v>0</v>
      </c>
      <c r="U24" s="7">
        <v>0</v>
      </c>
      <c r="V24" s="7">
        <v>783.01900000000001</v>
      </c>
      <c r="W24" s="7">
        <v>2035.0450000000001</v>
      </c>
      <c r="X24" s="7">
        <v>2119.2559999999999</v>
      </c>
      <c r="Y24" s="7">
        <v>14363.511</v>
      </c>
      <c r="Z24" s="7">
        <v>209.477</v>
      </c>
      <c r="AA24" s="7">
        <v>6115.4769999999999</v>
      </c>
      <c r="AB24" s="7">
        <v>3408.616</v>
      </c>
      <c r="AC24" s="7">
        <v>1412.1379999999999</v>
      </c>
      <c r="AD24" s="7">
        <v>221.04499999999999</v>
      </c>
      <c r="AE24" s="7">
        <v>36319.377</v>
      </c>
      <c r="AF24" s="7">
        <v>8509.2119999999995</v>
      </c>
      <c r="AG24" s="7">
        <v>1629.376</v>
      </c>
      <c r="AH24" s="7">
        <v>117231.853</v>
      </c>
      <c r="AI24" s="7">
        <v>12932.766</v>
      </c>
      <c r="AJ24" s="7">
        <v>448.54</v>
      </c>
      <c r="AK24" s="7">
        <v>795997.98499999999</v>
      </c>
      <c r="AL24" s="7">
        <v>431626.951</v>
      </c>
      <c r="AM24" s="7">
        <v>0</v>
      </c>
      <c r="AN24" s="7">
        <v>285059.18</v>
      </c>
      <c r="AO24" s="7">
        <v>928.79600000000005</v>
      </c>
      <c r="AP24" s="7">
        <v>0</v>
      </c>
      <c r="AQ24" s="7">
        <v>3159.6210000000001</v>
      </c>
      <c r="AR24" s="7">
        <v>0</v>
      </c>
      <c r="AS24" s="7">
        <v>9.423</v>
      </c>
      <c r="AT24" s="7">
        <v>0</v>
      </c>
      <c r="AU24" s="7">
        <v>138.59800000000001</v>
      </c>
      <c r="AV24" s="7">
        <v>0</v>
      </c>
      <c r="AW24" s="7">
        <v>0</v>
      </c>
      <c r="AX24" s="7">
        <v>2371.7730000000001</v>
      </c>
      <c r="AY24" s="7">
        <v>0</v>
      </c>
      <c r="AZ24" s="7">
        <v>0</v>
      </c>
      <c r="BA24" s="7">
        <v>1733.9559999999999</v>
      </c>
      <c r="BB24" s="7">
        <v>334.76499999999999</v>
      </c>
      <c r="BC24" s="7">
        <v>0</v>
      </c>
      <c r="BD24" s="7">
        <v>0</v>
      </c>
      <c r="BE24" s="7">
        <v>114.739</v>
      </c>
      <c r="BF24" s="7">
        <v>114.739</v>
      </c>
      <c r="BG24" s="7">
        <v>0</v>
      </c>
      <c r="BH24" s="7">
        <v>26471.892</v>
      </c>
      <c r="BI24" s="7">
        <v>0</v>
      </c>
      <c r="BJ24" s="21"/>
    </row>
    <row r="25" spans="1:62" ht="15.6" x14ac:dyDescent="0.3">
      <c r="A25" s="5" t="s">
        <v>36</v>
      </c>
      <c r="B25" s="5" t="s">
        <v>37</v>
      </c>
      <c r="C25" s="7">
        <v>6</v>
      </c>
      <c r="D25" s="7">
        <v>6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21"/>
    </row>
    <row r="26" spans="1:62" ht="15.6" x14ac:dyDescent="0.3">
      <c r="A26" s="5" t="s">
        <v>38</v>
      </c>
      <c r="B26" s="5" t="s">
        <v>39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21"/>
    </row>
    <row r="27" spans="1:62" ht="15.6" x14ac:dyDescent="0.3">
      <c r="A27" s="5" t="s">
        <v>40</v>
      </c>
      <c r="B27" s="5" t="s">
        <v>41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21"/>
    </row>
    <row r="28" spans="1:62" ht="15.6" x14ac:dyDescent="0.3">
      <c r="A28" s="5" t="s">
        <v>42</v>
      </c>
      <c r="B28" s="5" t="s">
        <v>43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21"/>
    </row>
    <row r="29" spans="1:62" ht="15.6" x14ac:dyDescent="0.3">
      <c r="A29" s="5" t="s">
        <v>44</v>
      </c>
      <c r="B29" s="5" t="s">
        <v>45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21"/>
    </row>
    <row r="30" spans="1:62" ht="15.6" x14ac:dyDescent="0.3">
      <c r="A30" s="5" t="s">
        <v>46</v>
      </c>
      <c r="B30" s="5" t="s">
        <v>47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21"/>
    </row>
    <row r="31" spans="1:62" ht="15.6" x14ac:dyDescent="0.3">
      <c r="A31" s="5" t="s">
        <v>48</v>
      </c>
      <c r="B31" s="5" t="s">
        <v>49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21"/>
    </row>
    <row r="32" spans="1:62" ht="15.6" x14ac:dyDescent="0.3">
      <c r="A32" s="5" t="s">
        <v>50</v>
      </c>
      <c r="B32" s="5" t="s">
        <v>51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4715.8789999999999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3714.1410000000001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24.689</v>
      </c>
      <c r="AI32" s="7">
        <v>0</v>
      </c>
      <c r="AJ32" s="7">
        <v>0</v>
      </c>
      <c r="AK32" s="7">
        <v>0</v>
      </c>
      <c r="AL32" s="7">
        <v>0</v>
      </c>
      <c r="AM32" s="7">
        <v>802.74300000000005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21"/>
    </row>
    <row r="33" spans="1:62" ht="15.6" x14ac:dyDescent="0.3">
      <c r="A33" s="5" t="s">
        <v>52</v>
      </c>
      <c r="B33" s="5" t="s">
        <v>53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21"/>
    </row>
    <row r="34" spans="1:62" ht="15.6" x14ac:dyDescent="0.3">
      <c r="A34" s="5" t="s">
        <v>54</v>
      </c>
      <c r="B34" s="5" t="s">
        <v>55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21"/>
    </row>
    <row r="35" spans="1:62" ht="15.6" x14ac:dyDescent="0.3">
      <c r="A35" s="5" t="s">
        <v>56</v>
      </c>
      <c r="B35" s="5" t="s">
        <v>57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4719.9030000000002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3717.31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24.71</v>
      </c>
      <c r="AI35" s="7">
        <v>0</v>
      </c>
      <c r="AJ35" s="7">
        <v>0</v>
      </c>
      <c r="AK35" s="7">
        <v>0</v>
      </c>
      <c r="AL35" s="7">
        <v>0</v>
      </c>
      <c r="AM35" s="7">
        <v>803.428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21"/>
    </row>
    <row r="36" spans="1:62" ht="15.6" x14ac:dyDescent="0.3">
      <c r="A36" s="5" t="s">
        <v>58</v>
      </c>
      <c r="B36" s="5" t="s">
        <v>59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21"/>
    </row>
    <row r="37" spans="1:62" ht="15.6" x14ac:dyDescent="0.3">
      <c r="A37" s="5" t="s">
        <v>60</v>
      </c>
      <c r="B37" s="5" t="s">
        <v>61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21"/>
    </row>
    <row r="38" spans="1:62" ht="15.6" x14ac:dyDescent="0.3">
      <c r="A38" s="5" t="s">
        <v>62</v>
      </c>
      <c r="B38" s="5" t="s">
        <v>63</v>
      </c>
      <c r="C38" s="7">
        <v>6</v>
      </c>
      <c r="D38" s="7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21"/>
    </row>
    <row r="39" spans="1:62" ht="15.6" x14ac:dyDescent="0.3">
      <c r="A39" s="5" t="s">
        <v>64</v>
      </c>
      <c r="B39" s="5" t="s">
        <v>65</v>
      </c>
      <c r="C39" s="7">
        <v>6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21"/>
    </row>
    <row r="40" spans="1:62" ht="15.6" x14ac:dyDescent="0.3">
      <c r="A40" s="5" t="s">
        <v>66</v>
      </c>
      <c r="B40" s="5" t="s">
        <v>67</v>
      </c>
      <c r="C40" s="7">
        <v>6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21"/>
    </row>
    <row r="41" spans="1:62" ht="15.6" x14ac:dyDescent="0.3">
      <c r="A41" s="5" t="s">
        <v>68</v>
      </c>
      <c r="B41" s="5" t="s">
        <v>69</v>
      </c>
      <c r="C41" s="7">
        <v>6</v>
      </c>
      <c r="D41" s="7">
        <v>6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21"/>
    </row>
    <row r="42" spans="1:62" ht="15.6" x14ac:dyDescent="0.3">
      <c r="A42" s="5" t="s">
        <v>70</v>
      </c>
      <c r="B42" s="5" t="s">
        <v>71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21"/>
    </row>
    <row r="43" spans="1:62" ht="15.6" x14ac:dyDescent="0.3">
      <c r="A43" s="5" t="s">
        <v>72</v>
      </c>
      <c r="B43" s="5" t="s">
        <v>73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21"/>
    </row>
    <row r="44" spans="1:62" ht="15.6" x14ac:dyDescent="0.3">
      <c r="A44" s="5" t="s">
        <v>74</v>
      </c>
      <c r="B44" s="5" t="s">
        <v>75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21"/>
    </row>
    <row r="45" spans="1:62" ht="15.6" x14ac:dyDescent="0.3">
      <c r="A45" s="5" t="s">
        <v>76</v>
      </c>
      <c r="B45" s="5" t="s">
        <v>77</v>
      </c>
      <c r="C45" s="7">
        <v>6</v>
      </c>
      <c r="D45" s="7">
        <v>6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21"/>
    </row>
    <row r="46" spans="1:62" ht="15.6" x14ac:dyDescent="0.3">
      <c r="A46" s="5" t="s">
        <v>78</v>
      </c>
      <c r="B46" s="5" t="s">
        <v>79</v>
      </c>
      <c r="C46" s="7">
        <v>6</v>
      </c>
      <c r="D46" s="7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21"/>
    </row>
    <row r="47" spans="1:62" ht="15.6" x14ac:dyDescent="0.3">
      <c r="A47" s="5" t="s">
        <v>80</v>
      </c>
      <c r="B47" s="5" t="s">
        <v>81</v>
      </c>
      <c r="C47" s="7">
        <v>6</v>
      </c>
      <c r="D47" s="7">
        <v>6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21"/>
    </row>
    <row r="48" spans="1:62" ht="15.6" x14ac:dyDescent="0.3">
      <c r="A48" s="5" t="s">
        <v>82</v>
      </c>
      <c r="B48" s="5" t="s">
        <v>83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21"/>
    </row>
    <row r="49" spans="1:62" ht="15.6" x14ac:dyDescent="0.3">
      <c r="A49" s="5" t="s">
        <v>84</v>
      </c>
      <c r="B49" s="5" t="s">
        <v>85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21"/>
    </row>
    <row r="50" spans="1:62" ht="15.6" x14ac:dyDescent="0.3">
      <c r="A50" s="5" t="s">
        <v>86</v>
      </c>
      <c r="B50" s="5" t="s">
        <v>87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21"/>
    </row>
    <row r="51" spans="1:62" ht="15.6" x14ac:dyDescent="0.3">
      <c r="A51" s="5" t="s">
        <v>88</v>
      </c>
      <c r="B51" s="5" t="s">
        <v>89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21"/>
    </row>
    <row r="52" spans="1:62" ht="15.6" x14ac:dyDescent="0.3">
      <c r="A52" s="5" t="s">
        <v>90</v>
      </c>
      <c r="B52" s="5" t="s">
        <v>91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21"/>
    </row>
    <row r="53" spans="1:62" ht="15.6" x14ac:dyDescent="0.3">
      <c r="A53" s="5" t="s">
        <v>92</v>
      </c>
      <c r="B53" s="5" t="s">
        <v>93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21"/>
    </row>
    <row r="54" spans="1:62" ht="15.6" x14ac:dyDescent="0.3">
      <c r="A54" s="5" t="s">
        <v>94</v>
      </c>
      <c r="B54" s="5" t="s">
        <v>95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21"/>
    </row>
    <row r="55" spans="1:62" ht="15.6" x14ac:dyDescent="0.3">
      <c r="A55" s="5" t="s">
        <v>96</v>
      </c>
      <c r="B55" s="5" t="s">
        <v>97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21"/>
    </row>
    <row r="56" spans="1:62" ht="15.6" x14ac:dyDescent="0.3">
      <c r="A56" s="5" t="s">
        <v>98</v>
      </c>
      <c r="B56" s="5" t="s">
        <v>99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21"/>
    </row>
    <row r="57" spans="1:62" ht="15.6" x14ac:dyDescent="0.3">
      <c r="A57" s="5" t="s">
        <v>100</v>
      </c>
      <c r="B57" s="5" t="s">
        <v>101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21"/>
    </row>
    <row r="58" spans="1:62" ht="15.6" x14ac:dyDescent="0.3">
      <c r="A58" s="5" t="s">
        <v>102</v>
      </c>
      <c r="B58" s="5" t="s">
        <v>103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21"/>
    </row>
    <row r="59" spans="1:62" ht="15.6" x14ac:dyDescent="0.3">
      <c r="A59" s="5" t="s">
        <v>104</v>
      </c>
      <c r="B59" s="5" t="s">
        <v>105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21"/>
    </row>
    <row r="60" spans="1:62" ht="15.6" x14ac:dyDescent="0.3">
      <c r="A60" s="5" t="s">
        <v>106</v>
      </c>
      <c r="B60" s="5" t="s">
        <v>107</v>
      </c>
      <c r="C60" s="7">
        <v>6</v>
      </c>
      <c r="D60" s="7">
        <v>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21"/>
    </row>
    <row r="61" spans="1:62" ht="15.6" x14ac:dyDescent="0.3">
      <c r="A61" s="5" t="s">
        <v>108</v>
      </c>
      <c r="B61" s="5" t="s">
        <v>109</v>
      </c>
      <c r="C61" s="7">
        <v>6</v>
      </c>
      <c r="D61" s="7">
        <v>6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21"/>
    </row>
    <row r="62" spans="1:62" ht="15.6" x14ac:dyDescent="0.3">
      <c r="A62" s="5" t="s">
        <v>110</v>
      </c>
      <c r="B62" s="5" t="s">
        <v>111</v>
      </c>
      <c r="C62" s="7">
        <v>3</v>
      </c>
      <c r="D62" s="7">
        <v>3</v>
      </c>
      <c r="E62" s="7">
        <v>984559.80900000001</v>
      </c>
      <c r="F62" s="7">
        <v>106369.409</v>
      </c>
      <c r="G62" s="7">
        <v>236992.95800000001</v>
      </c>
      <c r="H62" s="7">
        <v>0</v>
      </c>
      <c r="I62" s="7">
        <v>21591.642</v>
      </c>
      <c r="J62" s="7">
        <v>166028.74299999999</v>
      </c>
      <c r="K62" s="7">
        <v>0</v>
      </c>
      <c r="L62" s="7">
        <v>365492.43</v>
      </c>
      <c r="M62" s="7">
        <v>562483.35400000005</v>
      </c>
      <c r="N62" s="7">
        <v>0</v>
      </c>
      <c r="O62" s="7">
        <v>0</v>
      </c>
      <c r="P62" s="7">
        <v>33.133000000000003</v>
      </c>
      <c r="Q62" s="7">
        <v>1581.6320000000001</v>
      </c>
      <c r="R62" s="7">
        <v>4669.1949999999997</v>
      </c>
      <c r="S62" s="7">
        <v>42791.892999999996</v>
      </c>
      <c r="T62" s="7">
        <v>0</v>
      </c>
      <c r="U62" s="7">
        <v>0</v>
      </c>
      <c r="V62" s="7">
        <v>25426.01</v>
      </c>
      <c r="W62" s="7">
        <v>52407.154999999999</v>
      </c>
      <c r="X62" s="7">
        <v>0</v>
      </c>
      <c r="Y62" s="7">
        <v>159334.89300000001</v>
      </c>
      <c r="Z62" s="7">
        <v>0</v>
      </c>
      <c r="AA62" s="7">
        <v>318634.40700000001</v>
      </c>
      <c r="AB62" s="7">
        <v>0</v>
      </c>
      <c r="AC62" s="7">
        <v>19370.206999999999</v>
      </c>
      <c r="AD62" s="7">
        <v>226.05199999999999</v>
      </c>
      <c r="AE62" s="7">
        <v>366302.88699999999</v>
      </c>
      <c r="AF62" s="7">
        <v>0</v>
      </c>
      <c r="AG62" s="7">
        <v>5.9450000000000003</v>
      </c>
      <c r="AH62" s="7">
        <v>1104037.344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19348.16</v>
      </c>
      <c r="AP62" s="7">
        <v>0</v>
      </c>
      <c r="AQ62" s="7">
        <v>0</v>
      </c>
      <c r="AR62" s="7">
        <v>0</v>
      </c>
      <c r="AS62" s="7">
        <v>275.565</v>
      </c>
      <c r="AT62" s="7">
        <v>0</v>
      </c>
      <c r="AU62" s="7">
        <v>10384.439</v>
      </c>
      <c r="AV62" s="7">
        <v>0</v>
      </c>
      <c r="AW62" s="7">
        <v>0</v>
      </c>
      <c r="AX62" s="7">
        <v>0</v>
      </c>
      <c r="AY62" s="7">
        <v>13558.876</v>
      </c>
      <c r="AZ62" s="7">
        <v>0</v>
      </c>
      <c r="BA62" s="7">
        <v>0</v>
      </c>
      <c r="BB62" s="7">
        <v>7015.4560000000001</v>
      </c>
      <c r="BC62" s="7">
        <v>8627.6170000000002</v>
      </c>
      <c r="BD62" s="7">
        <v>0</v>
      </c>
      <c r="BE62" s="7">
        <v>1833.463</v>
      </c>
      <c r="BF62" s="7">
        <v>1833.463</v>
      </c>
      <c r="BG62" s="7">
        <v>0</v>
      </c>
      <c r="BH62" s="7">
        <v>0</v>
      </c>
      <c r="BI62" s="7">
        <v>3991.386</v>
      </c>
      <c r="BJ62" s="21"/>
    </row>
    <row r="63" spans="1:62" ht="15.6" x14ac:dyDescent="0.3">
      <c r="A63" s="5" t="s">
        <v>112</v>
      </c>
      <c r="B63" s="5" t="s">
        <v>113</v>
      </c>
      <c r="C63" s="7">
        <v>3</v>
      </c>
      <c r="D63" s="7">
        <v>3</v>
      </c>
      <c r="E63" s="7">
        <v>5803.3370000000004</v>
      </c>
      <c r="F63" s="7">
        <v>793.06600000000003</v>
      </c>
      <c r="G63" s="7">
        <v>1232.0509999999999</v>
      </c>
      <c r="H63" s="7">
        <v>0</v>
      </c>
      <c r="I63" s="7">
        <v>121.908</v>
      </c>
      <c r="J63" s="7">
        <v>730.79399999999998</v>
      </c>
      <c r="K63" s="7">
        <v>0</v>
      </c>
      <c r="L63" s="7">
        <v>2301.7269999999999</v>
      </c>
      <c r="M63" s="7">
        <v>3008.1880000000001</v>
      </c>
      <c r="N63" s="7">
        <v>0</v>
      </c>
      <c r="O63" s="7">
        <v>0</v>
      </c>
      <c r="P63" s="7">
        <v>0.11</v>
      </c>
      <c r="Q63" s="7">
        <v>146.69399999999999</v>
      </c>
      <c r="R63" s="7">
        <v>433.06200000000001</v>
      </c>
      <c r="S63" s="7">
        <v>343.81400000000002</v>
      </c>
      <c r="T63" s="7">
        <v>0</v>
      </c>
      <c r="U63" s="7">
        <v>0</v>
      </c>
      <c r="V63" s="7">
        <v>162.08799999999999</v>
      </c>
      <c r="W63" s="7">
        <v>238.29900000000001</v>
      </c>
      <c r="X63" s="7">
        <v>0</v>
      </c>
      <c r="Y63" s="7">
        <v>891.95</v>
      </c>
      <c r="Z63" s="7">
        <v>0</v>
      </c>
      <c r="AA63" s="7">
        <v>1913.328</v>
      </c>
      <c r="AB63" s="7">
        <v>0</v>
      </c>
      <c r="AC63" s="7">
        <v>128.89500000000001</v>
      </c>
      <c r="AD63" s="7">
        <v>0</v>
      </c>
      <c r="AE63" s="7">
        <v>1024.6310000000001</v>
      </c>
      <c r="AF63" s="7">
        <v>0</v>
      </c>
      <c r="AG63" s="7">
        <v>0</v>
      </c>
      <c r="AH63" s="7">
        <v>5520.6059999999998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120.374</v>
      </c>
      <c r="AP63" s="7">
        <v>0</v>
      </c>
      <c r="AQ63" s="7">
        <v>0</v>
      </c>
      <c r="AR63" s="7">
        <v>0</v>
      </c>
      <c r="AS63" s="7">
        <v>2.988</v>
      </c>
      <c r="AT63" s="7">
        <v>0</v>
      </c>
      <c r="AU63" s="7">
        <v>85.39</v>
      </c>
      <c r="AV63" s="7">
        <v>0</v>
      </c>
      <c r="AW63" s="7">
        <v>0</v>
      </c>
      <c r="AX63" s="7">
        <v>0</v>
      </c>
      <c r="AY63" s="7">
        <v>85.728999999999999</v>
      </c>
      <c r="AZ63" s="7">
        <v>0</v>
      </c>
      <c r="BA63" s="7">
        <v>0</v>
      </c>
      <c r="BB63" s="7">
        <v>42.731999999999999</v>
      </c>
      <c r="BC63" s="7">
        <v>53.505000000000003</v>
      </c>
      <c r="BD63" s="7">
        <v>0</v>
      </c>
      <c r="BE63" s="7">
        <v>10.944000000000001</v>
      </c>
      <c r="BF63" s="7">
        <v>10.944000000000001</v>
      </c>
      <c r="BG63" s="7">
        <v>0</v>
      </c>
      <c r="BH63" s="7">
        <v>0</v>
      </c>
      <c r="BI63" s="7">
        <v>25.152000000000001</v>
      </c>
      <c r="BJ63" s="21"/>
    </row>
    <row r="64" spans="1:62" ht="15.6" x14ac:dyDescent="0.3">
      <c r="A64" s="5" t="s">
        <v>114</v>
      </c>
      <c r="B64" s="5" t="s">
        <v>115</v>
      </c>
      <c r="C64" s="7">
        <v>3</v>
      </c>
      <c r="D64" s="7">
        <v>3</v>
      </c>
      <c r="E64" s="7">
        <v>163264.022</v>
      </c>
      <c r="F64" s="7">
        <v>21063.707999999999</v>
      </c>
      <c r="G64" s="7">
        <v>35899.307000000001</v>
      </c>
      <c r="H64" s="7">
        <v>0</v>
      </c>
      <c r="I64" s="7">
        <v>3469.8780000000002</v>
      </c>
      <c r="J64" s="7">
        <v>22420.726999999999</v>
      </c>
      <c r="K64" s="7">
        <v>17673.603999999999</v>
      </c>
      <c r="L64" s="7">
        <v>63646.982000000004</v>
      </c>
      <c r="M64" s="7">
        <v>86936.644</v>
      </c>
      <c r="N64" s="7">
        <v>0</v>
      </c>
      <c r="O64" s="7">
        <v>0</v>
      </c>
      <c r="P64" s="7">
        <v>3.7269999999999999</v>
      </c>
      <c r="Q64" s="7">
        <v>604.178</v>
      </c>
      <c r="R64" s="7">
        <v>1783.615</v>
      </c>
      <c r="S64" s="7">
        <v>8984.5859999999993</v>
      </c>
      <c r="T64" s="7">
        <v>0</v>
      </c>
      <c r="U64" s="7">
        <v>13919.41</v>
      </c>
      <c r="V64" s="7">
        <v>4468.2209999999995</v>
      </c>
      <c r="W64" s="7">
        <v>7234.3320000000003</v>
      </c>
      <c r="X64" s="7">
        <v>0</v>
      </c>
      <c r="Y64" s="7">
        <v>25447.728999999999</v>
      </c>
      <c r="Z64" s="7">
        <v>0</v>
      </c>
      <c r="AA64" s="7">
        <v>53562.97</v>
      </c>
      <c r="AB64" s="7">
        <v>0</v>
      </c>
      <c r="AC64" s="7">
        <v>3515.6239999999998</v>
      </c>
      <c r="AD64" s="7">
        <v>0</v>
      </c>
      <c r="AE64" s="7">
        <v>37346.614999999998</v>
      </c>
      <c r="AF64" s="7">
        <v>0</v>
      </c>
      <c r="AG64" s="7">
        <v>0</v>
      </c>
      <c r="AH64" s="7">
        <v>162815.49400000001</v>
      </c>
      <c r="AI64" s="7">
        <v>0</v>
      </c>
      <c r="AJ64" s="7">
        <v>0</v>
      </c>
      <c r="AK64" s="7">
        <v>0</v>
      </c>
      <c r="AL64" s="7">
        <v>0</v>
      </c>
      <c r="AM64" s="7">
        <v>3008.4229999999998</v>
      </c>
      <c r="AN64" s="7">
        <v>0</v>
      </c>
      <c r="AO64" s="7">
        <v>3338.9169999999999</v>
      </c>
      <c r="AP64" s="7">
        <v>0</v>
      </c>
      <c r="AQ64" s="7">
        <v>0</v>
      </c>
      <c r="AR64" s="7">
        <v>0</v>
      </c>
      <c r="AS64" s="7">
        <v>73.826999999999998</v>
      </c>
      <c r="AT64" s="7">
        <v>0</v>
      </c>
      <c r="AU64" s="7">
        <v>2320.4140000000002</v>
      </c>
      <c r="AV64" s="7">
        <v>0</v>
      </c>
      <c r="AW64" s="7">
        <v>0</v>
      </c>
      <c r="AX64" s="7">
        <v>0</v>
      </c>
      <c r="AY64" s="7">
        <v>2368.174</v>
      </c>
      <c r="AZ64" s="7">
        <v>0</v>
      </c>
      <c r="BA64" s="7">
        <v>0</v>
      </c>
      <c r="BB64" s="7">
        <v>1191.809</v>
      </c>
      <c r="BC64" s="7">
        <v>1485.3240000000001</v>
      </c>
      <c r="BD64" s="7">
        <v>0</v>
      </c>
      <c r="BE64" s="7">
        <v>306.85199999999998</v>
      </c>
      <c r="BF64" s="7">
        <v>306.85199999999998</v>
      </c>
      <c r="BG64" s="7">
        <v>0</v>
      </c>
      <c r="BH64" s="7">
        <v>0</v>
      </c>
      <c r="BI64" s="7">
        <v>695.37900000000002</v>
      </c>
      <c r="BJ64" s="21"/>
    </row>
    <row r="65" spans="1:62" ht="15.6" x14ac:dyDescent="0.3">
      <c r="A65" s="5" t="s">
        <v>116</v>
      </c>
      <c r="B65" s="5" t="s">
        <v>117</v>
      </c>
      <c r="C65" s="7">
        <v>3</v>
      </c>
      <c r="D65" s="7">
        <v>3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21"/>
    </row>
    <row r="66" spans="1:62" ht="15.6" x14ac:dyDescent="0.3">
      <c r="A66" s="5" t="s">
        <v>118</v>
      </c>
      <c r="B66" s="5" t="s">
        <v>119</v>
      </c>
      <c r="C66" s="7">
        <v>3</v>
      </c>
      <c r="D66" s="7">
        <v>3</v>
      </c>
      <c r="E66" s="7">
        <v>179815.682</v>
      </c>
      <c r="F66" s="7">
        <v>24923.162</v>
      </c>
      <c r="G66" s="7">
        <v>38177.942000000003</v>
      </c>
      <c r="H66" s="7">
        <v>3485.9290000000001</v>
      </c>
      <c r="I66" s="7">
        <v>3733.32</v>
      </c>
      <c r="J66" s="7">
        <v>22540.307000000001</v>
      </c>
      <c r="K66" s="7">
        <v>0</v>
      </c>
      <c r="L66" s="7">
        <v>74893.66</v>
      </c>
      <c r="M66" s="7">
        <v>92938.28</v>
      </c>
      <c r="N66" s="7">
        <v>0</v>
      </c>
      <c r="O66" s="7">
        <v>0</v>
      </c>
      <c r="P66" s="7">
        <v>3.2069999999999999</v>
      </c>
      <c r="Q66" s="7">
        <v>507.35199999999998</v>
      </c>
      <c r="R66" s="7">
        <v>1497.7719999999999</v>
      </c>
      <c r="S66" s="7">
        <v>10726.196</v>
      </c>
      <c r="T66" s="7">
        <v>0</v>
      </c>
      <c r="U66" s="7">
        <v>0</v>
      </c>
      <c r="V66" s="7">
        <v>4999.5479999999998</v>
      </c>
      <c r="W66" s="7">
        <v>7186.5450000000001</v>
      </c>
      <c r="X66" s="7">
        <v>0</v>
      </c>
      <c r="Y66" s="7">
        <v>27456.977999999999</v>
      </c>
      <c r="Z66" s="7">
        <v>0</v>
      </c>
      <c r="AA66" s="7">
        <v>58916.15</v>
      </c>
      <c r="AB66" s="7">
        <v>0</v>
      </c>
      <c r="AC66" s="7">
        <v>3984.982</v>
      </c>
      <c r="AD66" s="7">
        <v>0</v>
      </c>
      <c r="AE66" s="7">
        <v>30329.51</v>
      </c>
      <c r="AF66" s="7">
        <v>0</v>
      </c>
      <c r="AG66" s="7">
        <v>0</v>
      </c>
      <c r="AH66" s="7">
        <v>171012.174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3707.8159999999998</v>
      </c>
      <c r="AP66" s="7">
        <v>0</v>
      </c>
      <c r="AQ66" s="7">
        <v>0</v>
      </c>
      <c r="AR66" s="7">
        <v>0</v>
      </c>
      <c r="AS66" s="7">
        <v>94.281999999999996</v>
      </c>
      <c r="AT66" s="7">
        <v>0</v>
      </c>
      <c r="AU66" s="7">
        <v>2730.0360000000001</v>
      </c>
      <c r="AV66" s="7">
        <v>0</v>
      </c>
      <c r="AW66" s="7">
        <v>0</v>
      </c>
      <c r="AX66" s="7">
        <v>0</v>
      </c>
      <c r="AY66" s="7">
        <v>2643.0749999999998</v>
      </c>
      <c r="AZ66" s="7">
        <v>0</v>
      </c>
      <c r="BA66" s="7">
        <v>0</v>
      </c>
      <c r="BB66" s="7">
        <v>1314.662</v>
      </c>
      <c r="BC66" s="7">
        <v>1647.77</v>
      </c>
      <c r="BD66" s="7">
        <v>0</v>
      </c>
      <c r="BE66" s="7">
        <v>336.28399999999999</v>
      </c>
      <c r="BF66" s="7">
        <v>336.28399999999999</v>
      </c>
      <c r="BG66" s="7">
        <v>0</v>
      </c>
      <c r="BH66" s="7">
        <v>0</v>
      </c>
      <c r="BI66" s="7">
        <v>775.29</v>
      </c>
      <c r="BJ66" s="21"/>
    </row>
    <row r="67" spans="1:62" ht="15.6" x14ac:dyDescent="0.3">
      <c r="A67" s="5" t="s">
        <v>120</v>
      </c>
      <c r="B67" s="5" t="s">
        <v>121</v>
      </c>
      <c r="C67" s="7">
        <v>3</v>
      </c>
      <c r="D67" s="7">
        <v>3</v>
      </c>
      <c r="E67" s="7">
        <v>22915.962</v>
      </c>
      <c r="F67" s="7">
        <v>3171.1030000000001</v>
      </c>
      <c r="G67" s="7">
        <v>4825.88</v>
      </c>
      <c r="H67" s="7">
        <v>0</v>
      </c>
      <c r="I67" s="7">
        <v>480.11200000000002</v>
      </c>
      <c r="J67" s="7">
        <v>2826.819</v>
      </c>
      <c r="K67" s="7">
        <v>0</v>
      </c>
      <c r="L67" s="7">
        <v>9123.99</v>
      </c>
      <c r="M67" s="7">
        <v>11805.561</v>
      </c>
      <c r="N67" s="7">
        <v>0</v>
      </c>
      <c r="O67" s="7">
        <v>0</v>
      </c>
      <c r="P67" s="7">
        <v>0.41199999999999998</v>
      </c>
      <c r="Q67" s="7">
        <v>53.414999999999999</v>
      </c>
      <c r="R67" s="7">
        <v>157.68899999999999</v>
      </c>
      <c r="S67" s="7">
        <v>1379.4079999999999</v>
      </c>
      <c r="T67" s="7">
        <v>0</v>
      </c>
      <c r="U67" s="7">
        <v>0</v>
      </c>
      <c r="V67" s="7">
        <v>642.95100000000002</v>
      </c>
      <c r="W67" s="7">
        <v>924.20299999999997</v>
      </c>
      <c r="X67" s="7">
        <v>0</v>
      </c>
      <c r="Y67" s="7">
        <v>3510.8670000000002</v>
      </c>
      <c r="Z67" s="7">
        <v>0</v>
      </c>
      <c r="AA67" s="7">
        <v>7563.63</v>
      </c>
      <c r="AB67" s="7">
        <v>0</v>
      </c>
      <c r="AC67" s="7">
        <v>512.476</v>
      </c>
      <c r="AD67" s="7">
        <v>0</v>
      </c>
      <c r="AE67" s="7">
        <v>3776.3609999999999</v>
      </c>
      <c r="AF67" s="7">
        <v>0</v>
      </c>
      <c r="AG67" s="7">
        <v>0</v>
      </c>
      <c r="AH67" s="7">
        <v>21564.931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476.83199999999999</v>
      </c>
      <c r="AP67" s="7">
        <v>0</v>
      </c>
      <c r="AQ67" s="7">
        <v>0</v>
      </c>
      <c r="AR67" s="7">
        <v>0</v>
      </c>
      <c r="AS67" s="7">
        <v>12.125</v>
      </c>
      <c r="AT67" s="7">
        <v>0</v>
      </c>
      <c r="AU67" s="7">
        <v>360.22500000000002</v>
      </c>
      <c r="AV67" s="7">
        <v>0</v>
      </c>
      <c r="AW67" s="7">
        <v>0</v>
      </c>
      <c r="AX67" s="7">
        <v>0</v>
      </c>
      <c r="AY67" s="7">
        <v>339.904</v>
      </c>
      <c r="AZ67" s="7">
        <v>0</v>
      </c>
      <c r="BA67" s="7">
        <v>0</v>
      </c>
      <c r="BB67" s="7">
        <v>169.06800000000001</v>
      </c>
      <c r="BC67" s="7">
        <v>211.90600000000001</v>
      </c>
      <c r="BD67" s="7">
        <v>0</v>
      </c>
      <c r="BE67" s="7">
        <v>43.247</v>
      </c>
      <c r="BF67" s="7">
        <v>43.247</v>
      </c>
      <c r="BG67" s="7">
        <v>0</v>
      </c>
      <c r="BH67" s="7">
        <v>0</v>
      </c>
      <c r="BI67" s="7">
        <v>99.703999999999994</v>
      </c>
      <c r="BJ67" s="21"/>
    </row>
    <row r="68" spans="1:62" ht="15.6" x14ac:dyDescent="0.3">
      <c r="A68" s="5" t="s">
        <v>122</v>
      </c>
      <c r="B68" s="5" t="s">
        <v>123</v>
      </c>
      <c r="C68" s="7">
        <v>3</v>
      </c>
      <c r="D68" s="7">
        <v>3</v>
      </c>
      <c r="E68" s="7">
        <v>162486.28</v>
      </c>
      <c r="F68" s="7">
        <v>22484.796999999999</v>
      </c>
      <c r="G68" s="7">
        <v>34218.040999999997</v>
      </c>
      <c r="H68" s="7">
        <v>0</v>
      </c>
      <c r="I68" s="7">
        <v>3404.2449999999999</v>
      </c>
      <c r="J68" s="7">
        <v>20043.643</v>
      </c>
      <c r="K68" s="7">
        <v>3659.8649999999998</v>
      </c>
      <c r="L68" s="7">
        <v>64693.911999999997</v>
      </c>
      <c r="M68" s="7">
        <v>83707.664000000004</v>
      </c>
      <c r="N68" s="7">
        <v>0</v>
      </c>
      <c r="O68" s="7">
        <v>0</v>
      </c>
      <c r="P68" s="7">
        <v>2.9249999999999998</v>
      </c>
      <c r="Q68" s="7">
        <v>808.43</v>
      </c>
      <c r="R68" s="7">
        <v>2386.596</v>
      </c>
      <c r="S68" s="7">
        <v>9780.7309999999998</v>
      </c>
      <c r="T68" s="7">
        <v>0</v>
      </c>
      <c r="U68" s="7">
        <v>2882.4430000000002</v>
      </c>
      <c r="V68" s="7">
        <v>4558.8609999999999</v>
      </c>
      <c r="W68" s="7">
        <v>6553.0839999999998</v>
      </c>
      <c r="X68" s="7">
        <v>0</v>
      </c>
      <c r="Y68" s="7">
        <v>24893.9</v>
      </c>
      <c r="Z68" s="7">
        <v>0</v>
      </c>
      <c r="AA68" s="7">
        <v>53630.133999999998</v>
      </c>
      <c r="AB68" s="7">
        <v>0</v>
      </c>
      <c r="AC68" s="7">
        <v>3633.7240000000002</v>
      </c>
      <c r="AD68" s="7">
        <v>0</v>
      </c>
      <c r="AE68" s="7">
        <v>26776.394</v>
      </c>
      <c r="AF68" s="7">
        <v>0</v>
      </c>
      <c r="AG68" s="7">
        <v>0</v>
      </c>
      <c r="AH68" s="7">
        <v>152925.91899999999</v>
      </c>
      <c r="AI68" s="7">
        <v>0</v>
      </c>
      <c r="AJ68" s="7">
        <v>0</v>
      </c>
      <c r="AK68" s="7">
        <v>0</v>
      </c>
      <c r="AL68" s="7">
        <v>0</v>
      </c>
      <c r="AM68" s="7">
        <v>622.98699999999997</v>
      </c>
      <c r="AN68" s="7">
        <v>0</v>
      </c>
      <c r="AO68" s="7">
        <v>3380.989</v>
      </c>
      <c r="AP68" s="7">
        <v>0</v>
      </c>
      <c r="AQ68" s="7">
        <v>0</v>
      </c>
      <c r="AR68" s="7">
        <v>0</v>
      </c>
      <c r="AS68" s="7">
        <v>85.971999999999994</v>
      </c>
      <c r="AT68" s="7">
        <v>0</v>
      </c>
      <c r="AU68" s="7">
        <v>2507.8420000000001</v>
      </c>
      <c r="AV68" s="7">
        <v>0</v>
      </c>
      <c r="AW68" s="7">
        <v>0</v>
      </c>
      <c r="AX68" s="7">
        <v>0</v>
      </c>
      <c r="AY68" s="7">
        <v>2410.1</v>
      </c>
      <c r="AZ68" s="7">
        <v>0</v>
      </c>
      <c r="BA68" s="7">
        <v>0</v>
      </c>
      <c r="BB68" s="7">
        <v>1198.7809999999999</v>
      </c>
      <c r="BC68" s="7">
        <v>1502.527</v>
      </c>
      <c r="BD68" s="7">
        <v>0</v>
      </c>
      <c r="BE68" s="7">
        <v>306.642</v>
      </c>
      <c r="BF68" s="7">
        <v>306.642</v>
      </c>
      <c r="BG68" s="7">
        <v>0</v>
      </c>
      <c r="BH68" s="7">
        <v>0</v>
      </c>
      <c r="BI68" s="7">
        <v>706.952</v>
      </c>
      <c r="BJ68" s="21"/>
    </row>
    <row r="69" spans="1:62" ht="15.6" x14ac:dyDescent="0.3">
      <c r="A69" s="5" t="s">
        <v>124</v>
      </c>
      <c r="B69" s="5" t="s">
        <v>125</v>
      </c>
      <c r="C69" s="7">
        <v>3</v>
      </c>
      <c r="D69" s="7">
        <v>3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21"/>
    </row>
    <row r="70" spans="1:62" ht="15.6" x14ac:dyDescent="0.3">
      <c r="A70" s="5" t="s">
        <v>126</v>
      </c>
      <c r="B70" s="5" t="s">
        <v>127</v>
      </c>
      <c r="C70" s="7">
        <v>3</v>
      </c>
      <c r="D70" s="7">
        <v>3</v>
      </c>
      <c r="E70" s="7">
        <v>48918.063999999998</v>
      </c>
      <c r="F70" s="7">
        <v>6769.2650000000003</v>
      </c>
      <c r="G70" s="7">
        <v>10301.672</v>
      </c>
      <c r="H70" s="7">
        <v>24821.846000000001</v>
      </c>
      <c r="I70" s="7">
        <v>1024.8810000000001</v>
      </c>
      <c r="J70" s="7">
        <v>6034.3320000000003</v>
      </c>
      <c r="K70" s="7">
        <v>0</v>
      </c>
      <c r="L70" s="7">
        <v>19476.726999999999</v>
      </c>
      <c r="M70" s="7">
        <v>25201</v>
      </c>
      <c r="N70" s="7">
        <v>0</v>
      </c>
      <c r="O70" s="7">
        <v>0</v>
      </c>
      <c r="P70" s="7">
        <v>0.88100000000000001</v>
      </c>
      <c r="Q70" s="7">
        <v>0</v>
      </c>
      <c r="R70" s="7">
        <v>0</v>
      </c>
      <c r="S70" s="7">
        <v>2944.5839999999998</v>
      </c>
      <c r="T70" s="7">
        <v>0</v>
      </c>
      <c r="U70" s="7">
        <v>0</v>
      </c>
      <c r="V70" s="7">
        <v>1372.489</v>
      </c>
      <c r="W70" s="7">
        <v>1972.8689999999999</v>
      </c>
      <c r="X70" s="7">
        <v>0</v>
      </c>
      <c r="Y70" s="7">
        <v>7494.549</v>
      </c>
      <c r="Z70" s="7">
        <v>0</v>
      </c>
      <c r="AA70" s="7">
        <v>16145.87</v>
      </c>
      <c r="AB70" s="7">
        <v>0</v>
      </c>
      <c r="AC70" s="7">
        <v>1093.9680000000001</v>
      </c>
      <c r="AD70" s="7">
        <v>0</v>
      </c>
      <c r="AE70" s="7">
        <v>8061.2920000000004</v>
      </c>
      <c r="AF70" s="7">
        <v>0</v>
      </c>
      <c r="AG70" s="7">
        <v>0</v>
      </c>
      <c r="AH70" s="7">
        <v>46034.057000000001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1017.879</v>
      </c>
      <c r="AP70" s="7">
        <v>0</v>
      </c>
      <c r="AQ70" s="7">
        <v>0</v>
      </c>
      <c r="AR70" s="7">
        <v>0</v>
      </c>
      <c r="AS70" s="7">
        <v>25.882999999999999</v>
      </c>
      <c r="AT70" s="7">
        <v>0</v>
      </c>
      <c r="AU70" s="7">
        <v>733.18799999999999</v>
      </c>
      <c r="AV70" s="7">
        <v>0</v>
      </c>
      <c r="AW70" s="7">
        <v>0</v>
      </c>
      <c r="AX70" s="7">
        <v>0</v>
      </c>
      <c r="AY70" s="7">
        <v>725.58399999999995</v>
      </c>
      <c r="AZ70" s="7">
        <v>0</v>
      </c>
      <c r="BA70" s="7">
        <v>0</v>
      </c>
      <c r="BB70" s="7">
        <v>360.90499999999997</v>
      </c>
      <c r="BC70" s="7">
        <v>452.35</v>
      </c>
      <c r="BD70" s="7">
        <v>0</v>
      </c>
      <c r="BE70" s="7">
        <v>92.317999999999998</v>
      </c>
      <c r="BF70" s="7">
        <v>92.317999999999998</v>
      </c>
      <c r="BG70" s="7">
        <v>0</v>
      </c>
      <c r="BH70" s="7">
        <v>0</v>
      </c>
      <c r="BI70" s="7">
        <v>212.83500000000001</v>
      </c>
      <c r="BJ70" s="21"/>
    </row>
    <row r="71" spans="1:62" ht="15.6" x14ac:dyDescent="0.3">
      <c r="A71" s="5" t="s">
        <v>128</v>
      </c>
      <c r="B71" s="5" t="s">
        <v>129</v>
      </c>
      <c r="C71" s="7">
        <v>3</v>
      </c>
      <c r="D71" s="7">
        <v>3</v>
      </c>
      <c r="E71" s="7">
        <v>19797.668000000001</v>
      </c>
      <c r="F71" s="7">
        <v>2739.5949999999998</v>
      </c>
      <c r="G71" s="7">
        <v>4169.1980000000003</v>
      </c>
      <c r="H71" s="7">
        <v>3096.9</v>
      </c>
      <c r="I71" s="7">
        <v>414.78</v>
      </c>
      <c r="J71" s="7">
        <v>2442.1590000000001</v>
      </c>
      <c r="K71" s="7">
        <v>0</v>
      </c>
      <c r="L71" s="7">
        <v>7882.442</v>
      </c>
      <c r="M71" s="7">
        <v>10199.117</v>
      </c>
      <c r="N71" s="7">
        <v>0</v>
      </c>
      <c r="O71" s="7">
        <v>0</v>
      </c>
      <c r="P71" s="7">
        <v>0.35599999999999998</v>
      </c>
      <c r="Q71" s="7">
        <v>0</v>
      </c>
      <c r="R71" s="7">
        <v>0</v>
      </c>
      <c r="S71" s="7">
        <v>1191.7049999999999</v>
      </c>
      <c r="T71" s="7">
        <v>0</v>
      </c>
      <c r="U71" s="7">
        <v>0</v>
      </c>
      <c r="V71" s="7">
        <v>555.46100000000001</v>
      </c>
      <c r="W71" s="7">
        <v>798.44200000000001</v>
      </c>
      <c r="X71" s="7">
        <v>0</v>
      </c>
      <c r="Y71" s="7">
        <v>3033.125</v>
      </c>
      <c r="Z71" s="7">
        <v>0</v>
      </c>
      <c r="AA71" s="7">
        <v>6534.4080000000004</v>
      </c>
      <c r="AB71" s="7">
        <v>0</v>
      </c>
      <c r="AC71" s="7">
        <v>442.74099999999999</v>
      </c>
      <c r="AD71" s="7">
        <v>0</v>
      </c>
      <c r="AE71" s="7">
        <v>3262.4920000000002</v>
      </c>
      <c r="AF71" s="7">
        <v>0</v>
      </c>
      <c r="AG71" s="7">
        <v>0</v>
      </c>
      <c r="AH71" s="7">
        <v>18630.48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411.947</v>
      </c>
      <c r="AP71" s="7">
        <v>0</v>
      </c>
      <c r="AQ71" s="7">
        <v>0</v>
      </c>
      <c r="AR71" s="7">
        <v>0</v>
      </c>
      <c r="AS71" s="7">
        <v>10.475</v>
      </c>
      <c r="AT71" s="7">
        <v>0</v>
      </c>
      <c r="AU71" s="7">
        <v>296.72899999999998</v>
      </c>
      <c r="AV71" s="7">
        <v>0</v>
      </c>
      <c r="AW71" s="7">
        <v>0</v>
      </c>
      <c r="AX71" s="7">
        <v>0</v>
      </c>
      <c r="AY71" s="7">
        <v>293.65199999999999</v>
      </c>
      <c r="AZ71" s="7">
        <v>0</v>
      </c>
      <c r="BA71" s="7">
        <v>0</v>
      </c>
      <c r="BB71" s="7">
        <v>146.06200000000001</v>
      </c>
      <c r="BC71" s="7">
        <v>183.071</v>
      </c>
      <c r="BD71" s="7">
        <v>0</v>
      </c>
      <c r="BE71" s="7">
        <v>37.362000000000002</v>
      </c>
      <c r="BF71" s="7">
        <v>37.362000000000002</v>
      </c>
      <c r="BG71" s="7">
        <v>0</v>
      </c>
      <c r="BH71" s="7">
        <v>0</v>
      </c>
      <c r="BI71" s="7">
        <v>86.135999999999996</v>
      </c>
      <c r="BJ71" s="21"/>
    </row>
    <row r="72" spans="1:62" ht="15.6" x14ac:dyDescent="0.3">
      <c r="A72" s="5" t="s">
        <v>130</v>
      </c>
      <c r="B72" s="5" t="s">
        <v>131</v>
      </c>
      <c r="C72" s="7">
        <v>3</v>
      </c>
      <c r="D72" s="7">
        <v>3</v>
      </c>
      <c r="E72" s="7">
        <v>66767.266000000003</v>
      </c>
      <c r="F72" s="7">
        <v>9239.232</v>
      </c>
      <c r="G72" s="7">
        <v>14060.540999999999</v>
      </c>
      <c r="H72" s="7">
        <v>23308.378000000001</v>
      </c>
      <c r="I72" s="7">
        <v>1398.8389999999999</v>
      </c>
      <c r="J72" s="7">
        <v>8236.1370000000006</v>
      </c>
      <c r="K72" s="7">
        <v>5505.3220000000001</v>
      </c>
      <c r="L72" s="7">
        <v>26583.386999999999</v>
      </c>
      <c r="M72" s="7">
        <v>34396.330999999998</v>
      </c>
      <c r="N72" s="7">
        <v>0</v>
      </c>
      <c r="O72" s="7">
        <v>0</v>
      </c>
      <c r="P72" s="7">
        <v>1.202</v>
      </c>
      <c r="Q72" s="7">
        <v>2.1459999999999999</v>
      </c>
      <c r="R72" s="7">
        <v>6.3360000000000003</v>
      </c>
      <c r="S72" s="7">
        <v>4019.002</v>
      </c>
      <c r="T72" s="7">
        <v>0</v>
      </c>
      <c r="U72" s="7">
        <v>4335.8919999999998</v>
      </c>
      <c r="V72" s="7">
        <v>1873.2819999999999</v>
      </c>
      <c r="W72" s="7">
        <v>2692.7289999999998</v>
      </c>
      <c r="X72" s="7">
        <v>0</v>
      </c>
      <c r="Y72" s="7">
        <v>10229.156999999999</v>
      </c>
      <c r="Z72" s="7">
        <v>0</v>
      </c>
      <c r="AA72" s="7">
        <v>22037.168000000001</v>
      </c>
      <c r="AB72" s="7">
        <v>0</v>
      </c>
      <c r="AC72" s="7">
        <v>1493.134</v>
      </c>
      <c r="AD72" s="7">
        <v>0</v>
      </c>
      <c r="AE72" s="7">
        <v>11002.692999999999</v>
      </c>
      <c r="AF72" s="7">
        <v>7.8650000000000002</v>
      </c>
      <c r="AG72" s="7">
        <v>0</v>
      </c>
      <c r="AH72" s="7">
        <v>62859.764999999999</v>
      </c>
      <c r="AI72" s="7">
        <v>27.297000000000001</v>
      </c>
      <c r="AJ72" s="7">
        <v>0</v>
      </c>
      <c r="AK72" s="7">
        <v>0</v>
      </c>
      <c r="AL72" s="7">
        <v>0</v>
      </c>
      <c r="AM72" s="7">
        <v>937.12300000000005</v>
      </c>
      <c r="AN72" s="7">
        <v>0</v>
      </c>
      <c r="AO72" s="7">
        <v>1389.2829999999999</v>
      </c>
      <c r="AP72" s="7">
        <v>0</v>
      </c>
      <c r="AQ72" s="7">
        <v>0</v>
      </c>
      <c r="AR72" s="7">
        <v>0</v>
      </c>
      <c r="AS72" s="7">
        <v>35.326999999999998</v>
      </c>
      <c r="AT72" s="7">
        <v>0</v>
      </c>
      <c r="AU72" s="7">
        <v>1000.713</v>
      </c>
      <c r="AV72" s="7">
        <v>0</v>
      </c>
      <c r="AW72" s="7">
        <v>0</v>
      </c>
      <c r="AX72" s="7">
        <v>0</v>
      </c>
      <c r="AY72" s="7">
        <v>990.33500000000004</v>
      </c>
      <c r="AZ72" s="7">
        <v>0</v>
      </c>
      <c r="BA72" s="7">
        <v>0</v>
      </c>
      <c r="BB72" s="7">
        <v>492.59100000000001</v>
      </c>
      <c r="BC72" s="7">
        <v>617.404</v>
      </c>
      <c r="BD72" s="7">
        <v>0</v>
      </c>
      <c r="BE72" s="7">
        <v>126.002</v>
      </c>
      <c r="BF72" s="7">
        <v>126.002</v>
      </c>
      <c r="BG72" s="7">
        <v>0</v>
      </c>
      <c r="BH72" s="7">
        <v>0</v>
      </c>
      <c r="BI72" s="7">
        <v>290.49400000000003</v>
      </c>
      <c r="BJ72" s="21"/>
    </row>
    <row r="73" spans="1:62" ht="15.6" x14ac:dyDescent="0.3">
      <c r="A73" s="5" t="s">
        <v>132</v>
      </c>
      <c r="B73" s="5" t="s">
        <v>133</v>
      </c>
      <c r="C73" s="7">
        <v>3</v>
      </c>
      <c r="D73" s="7">
        <v>3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21"/>
    </row>
    <row r="74" spans="1:62" ht="15.6" x14ac:dyDescent="0.3">
      <c r="A74" s="5" t="s">
        <v>134</v>
      </c>
      <c r="B74" s="5" t="s">
        <v>135</v>
      </c>
      <c r="C74" s="7">
        <v>6</v>
      </c>
      <c r="D74" s="7">
        <v>6</v>
      </c>
      <c r="E74" s="7">
        <v>61372.656999999999</v>
      </c>
      <c r="F74" s="7">
        <v>5991.9530000000004</v>
      </c>
      <c r="G74" s="7">
        <v>15322.055</v>
      </c>
      <c r="H74" s="7">
        <v>1901.412</v>
      </c>
      <c r="I74" s="7">
        <v>1282.9449999999999</v>
      </c>
      <c r="J74" s="7">
        <v>11514.27</v>
      </c>
      <c r="K74" s="7">
        <v>0</v>
      </c>
      <c r="L74" s="7">
        <v>26078.865000000002</v>
      </c>
      <c r="M74" s="7">
        <v>34365.911999999997</v>
      </c>
      <c r="N74" s="7">
        <v>0</v>
      </c>
      <c r="O74" s="7">
        <v>0</v>
      </c>
      <c r="P74" s="7">
        <v>33.412999999999997</v>
      </c>
      <c r="Q74" s="7">
        <v>0</v>
      </c>
      <c r="R74" s="7">
        <v>125.508</v>
      </c>
      <c r="S74" s="7">
        <v>1849.38</v>
      </c>
      <c r="T74" s="7">
        <v>0</v>
      </c>
      <c r="U74" s="7">
        <v>0</v>
      </c>
      <c r="V74" s="7">
        <v>1339.1479999999999</v>
      </c>
      <c r="W74" s="7">
        <v>3174.7440000000001</v>
      </c>
      <c r="X74" s="7">
        <v>0</v>
      </c>
      <c r="Y74" s="7">
        <v>10462.93</v>
      </c>
      <c r="Z74" s="7">
        <v>0</v>
      </c>
      <c r="AA74" s="7">
        <v>16765.752</v>
      </c>
      <c r="AB74" s="7">
        <v>0</v>
      </c>
      <c r="AC74" s="7">
        <v>1052.03</v>
      </c>
      <c r="AD74" s="7">
        <v>0</v>
      </c>
      <c r="AE74" s="7">
        <v>34836.589999999997</v>
      </c>
      <c r="AF74" s="7">
        <v>0</v>
      </c>
      <c r="AG74" s="7">
        <v>0</v>
      </c>
      <c r="AH74" s="7">
        <v>81873.998999999996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956.15899999999999</v>
      </c>
      <c r="AP74" s="7">
        <v>0</v>
      </c>
      <c r="AQ74" s="7">
        <v>0</v>
      </c>
      <c r="AR74" s="7">
        <v>0</v>
      </c>
      <c r="AS74" s="7">
        <v>9.2609999999999992</v>
      </c>
      <c r="AT74" s="7">
        <v>0</v>
      </c>
      <c r="AU74" s="7">
        <v>415.20299999999997</v>
      </c>
      <c r="AV74" s="7">
        <v>0</v>
      </c>
      <c r="AW74" s="7">
        <v>0</v>
      </c>
      <c r="AX74" s="7">
        <v>0</v>
      </c>
      <c r="AY74" s="7">
        <v>665.36500000000001</v>
      </c>
      <c r="AZ74" s="7">
        <v>0</v>
      </c>
      <c r="BA74" s="7">
        <v>0</v>
      </c>
      <c r="BB74" s="7">
        <v>349.82</v>
      </c>
      <c r="BC74" s="7">
        <v>426.95299999999997</v>
      </c>
      <c r="BD74" s="7">
        <v>0</v>
      </c>
      <c r="BE74" s="7">
        <v>92.191000000000003</v>
      </c>
      <c r="BF74" s="7">
        <v>92.191000000000003</v>
      </c>
      <c r="BG74" s="7">
        <v>0</v>
      </c>
      <c r="BH74" s="7">
        <v>0</v>
      </c>
      <c r="BI74" s="7">
        <v>196.15700000000001</v>
      </c>
      <c r="BJ74" s="21"/>
    </row>
    <row r="75" spans="1:62" ht="15.6" x14ac:dyDescent="0.3">
      <c r="A75" s="5" t="s">
        <v>136</v>
      </c>
      <c r="B75" s="5" t="s">
        <v>137</v>
      </c>
      <c r="C75" s="7">
        <v>6</v>
      </c>
      <c r="D75" s="7">
        <v>6</v>
      </c>
      <c r="E75" s="7">
        <v>767.55399999999997</v>
      </c>
      <c r="F75" s="7">
        <v>68.587000000000003</v>
      </c>
      <c r="G75" s="7">
        <v>97.019000000000005</v>
      </c>
      <c r="H75" s="7">
        <v>0</v>
      </c>
      <c r="I75" s="7">
        <v>16.917000000000002</v>
      </c>
      <c r="J75" s="7">
        <v>58.984000000000002</v>
      </c>
      <c r="K75" s="7">
        <v>0</v>
      </c>
      <c r="L75" s="7">
        <v>555.52800000000002</v>
      </c>
      <c r="M75" s="7">
        <v>262.45999999999998</v>
      </c>
      <c r="N75" s="7">
        <v>0</v>
      </c>
      <c r="O75" s="7">
        <v>0</v>
      </c>
      <c r="P75" s="7">
        <v>3.0670000000000002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9.3620000000000001</v>
      </c>
      <c r="W75" s="7">
        <v>27.777000000000001</v>
      </c>
      <c r="X75" s="7">
        <v>0</v>
      </c>
      <c r="Y75" s="7">
        <v>219.38499999999999</v>
      </c>
      <c r="Z75" s="7">
        <v>0</v>
      </c>
      <c r="AA75" s="7">
        <v>76.393000000000001</v>
      </c>
      <c r="AB75" s="7">
        <v>0</v>
      </c>
      <c r="AC75" s="7">
        <v>12.042</v>
      </c>
      <c r="AD75" s="7">
        <v>0</v>
      </c>
      <c r="AE75" s="7">
        <v>706.851</v>
      </c>
      <c r="AF75" s="7">
        <v>0</v>
      </c>
      <c r="AG75" s="7">
        <v>0</v>
      </c>
      <c r="AH75" s="7">
        <v>1611.7850000000001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21"/>
    </row>
    <row r="76" spans="1:62" ht="15.6" x14ac:dyDescent="0.3">
      <c r="A76" s="5" t="s">
        <v>138</v>
      </c>
      <c r="B76" s="5" t="s">
        <v>139</v>
      </c>
      <c r="C76" s="7">
        <v>6</v>
      </c>
      <c r="D76" s="7">
        <v>6</v>
      </c>
      <c r="E76" s="7">
        <v>10107.94</v>
      </c>
      <c r="F76" s="7">
        <v>1791.693</v>
      </c>
      <c r="G76" s="7">
        <v>1217.8399999999999</v>
      </c>
      <c r="H76" s="7">
        <v>0</v>
      </c>
      <c r="I76" s="7">
        <v>136.19</v>
      </c>
      <c r="J76" s="7">
        <v>1367.3630000000001</v>
      </c>
      <c r="K76" s="7">
        <v>0</v>
      </c>
      <c r="L76" s="7">
        <v>17797.328000000001</v>
      </c>
      <c r="M76" s="7">
        <v>4172.3909999999996</v>
      </c>
      <c r="N76" s="7">
        <v>0</v>
      </c>
      <c r="O76" s="7">
        <v>0</v>
      </c>
      <c r="P76" s="7">
        <v>6.4329999999999998</v>
      </c>
      <c r="Q76" s="7">
        <v>0</v>
      </c>
      <c r="R76" s="7">
        <v>252.01499999999999</v>
      </c>
      <c r="S76" s="7">
        <v>290.726</v>
      </c>
      <c r="T76" s="7">
        <v>0</v>
      </c>
      <c r="U76" s="7">
        <v>0</v>
      </c>
      <c r="V76" s="7">
        <v>154.87799999999999</v>
      </c>
      <c r="W76" s="7">
        <v>252.256</v>
      </c>
      <c r="X76" s="7">
        <v>0</v>
      </c>
      <c r="Y76" s="7">
        <v>1193.8579999999999</v>
      </c>
      <c r="Z76" s="7">
        <v>0</v>
      </c>
      <c r="AA76" s="7">
        <v>1752.1769999999999</v>
      </c>
      <c r="AB76" s="7">
        <v>0</v>
      </c>
      <c r="AC76" s="7">
        <v>132.92599999999999</v>
      </c>
      <c r="AD76" s="7">
        <v>0</v>
      </c>
      <c r="AE76" s="7">
        <v>3906.79</v>
      </c>
      <c r="AF76" s="7">
        <v>0</v>
      </c>
      <c r="AG76" s="7">
        <v>0</v>
      </c>
      <c r="AH76" s="7">
        <v>17524.937999999998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100.498</v>
      </c>
      <c r="AP76" s="7">
        <v>0</v>
      </c>
      <c r="AQ76" s="7">
        <v>0</v>
      </c>
      <c r="AR76" s="7">
        <v>0</v>
      </c>
      <c r="AS76" s="7">
        <v>2.5550000000000002</v>
      </c>
      <c r="AT76" s="7">
        <v>0</v>
      </c>
      <c r="AU76" s="7">
        <v>72.388999999999996</v>
      </c>
      <c r="AV76" s="7">
        <v>0</v>
      </c>
      <c r="AW76" s="7">
        <v>0</v>
      </c>
      <c r="AX76" s="7">
        <v>0</v>
      </c>
      <c r="AY76" s="7">
        <v>71.638999999999996</v>
      </c>
      <c r="AZ76" s="7">
        <v>0</v>
      </c>
      <c r="BA76" s="7">
        <v>0</v>
      </c>
      <c r="BB76" s="7">
        <v>35.633000000000003</v>
      </c>
      <c r="BC76" s="7">
        <v>44.661999999999999</v>
      </c>
      <c r="BD76" s="7">
        <v>0</v>
      </c>
      <c r="BE76" s="7">
        <v>9.1150000000000002</v>
      </c>
      <c r="BF76" s="7">
        <v>9.1150000000000002</v>
      </c>
      <c r="BG76" s="7">
        <v>0</v>
      </c>
      <c r="BH76" s="7">
        <v>0</v>
      </c>
      <c r="BI76" s="7">
        <v>21.013999999999999</v>
      </c>
      <c r="BJ76" s="21"/>
    </row>
    <row r="77" spans="1:62" ht="15.6" x14ac:dyDescent="0.3">
      <c r="A77" s="5" t="s">
        <v>140</v>
      </c>
      <c r="B77" s="5" t="s">
        <v>141</v>
      </c>
      <c r="C77" s="7">
        <v>6</v>
      </c>
      <c r="D77" s="7">
        <v>6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21"/>
    </row>
    <row r="78" spans="1:62" ht="15.6" x14ac:dyDescent="0.3">
      <c r="A78" s="5" t="s">
        <v>142</v>
      </c>
      <c r="B78" s="5" t="s">
        <v>143</v>
      </c>
      <c r="C78" s="7">
        <v>6</v>
      </c>
      <c r="D78" s="7">
        <v>6</v>
      </c>
      <c r="E78" s="7">
        <v>9279.5130000000008</v>
      </c>
      <c r="F78" s="7">
        <v>1175.444</v>
      </c>
      <c r="G78" s="7">
        <v>1767.577</v>
      </c>
      <c r="H78" s="7">
        <v>5603.85</v>
      </c>
      <c r="I78" s="7">
        <v>196.82900000000001</v>
      </c>
      <c r="J78" s="7">
        <v>1041.5999999999999</v>
      </c>
      <c r="K78" s="7">
        <v>0</v>
      </c>
      <c r="L78" s="7">
        <v>4416.3310000000001</v>
      </c>
      <c r="M78" s="7">
        <v>4396.5680000000002</v>
      </c>
      <c r="N78" s="7">
        <v>0</v>
      </c>
      <c r="O78" s="7">
        <v>0</v>
      </c>
      <c r="P78" s="7">
        <v>8.984</v>
      </c>
      <c r="Q78" s="7">
        <v>0</v>
      </c>
      <c r="R78" s="7">
        <v>0</v>
      </c>
      <c r="S78" s="7">
        <v>425.15800000000002</v>
      </c>
      <c r="T78" s="7">
        <v>0</v>
      </c>
      <c r="U78" s="7">
        <v>0</v>
      </c>
      <c r="V78" s="7">
        <v>225.20099999999999</v>
      </c>
      <c r="W78" s="7">
        <v>365.065</v>
      </c>
      <c r="X78" s="7">
        <v>0</v>
      </c>
      <c r="Y78" s="7">
        <v>1715.6130000000001</v>
      </c>
      <c r="Z78" s="7">
        <v>0</v>
      </c>
      <c r="AA78" s="7">
        <v>2551.84</v>
      </c>
      <c r="AB78" s="7">
        <v>0</v>
      </c>
      <c r="AC78" s="7">
        <v>192.72800000000001</v>
      </c>
      <c r="AD78" s="7">
        <v>0</v>
      </c>
      <c r="AE78" s="7">
        <v>3205.0610000000001</v>
      </c>
      <c r="AF78" s="7">
        <v>0</v>
      </c>
      <c r="AG78" s="7">
        <v>0</v>
      </c>
      <c r="AH78" s="7">
        <v>11300.923000000001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146.96799999999999</v>
      </c>
      <c r="AP78" s="7">
        <v>0</v>
      </c>
      <c r="AQ78" s="7">
        <v>0</v>
      </c>
      <c r="AR78" s="7">
        <v>0</v>
      </c>
      <c r="AS78" s="7">
        <v>3.7370000000000001</v>
      </c>
      <c r="AT78" s="7">
        <v>0</v>
      </c>
      <c r="AU78" s="7">
        <v>105.86199999999999</v>
      </c>
      <c r="AV78" s="7">
        <v>0</v>
      </c>
      <c r="AW78" s="7">
        <v>0</v>
      </c>
      <c r="AX78" s="7">
        <v>0</v>
      </c>
      <c r="AY78" s="7">
        <v>104.765</v>
      </c>
      <c r="AZ78" s="7">
        <v>0</v>
      </c>
      <c r="BA78" s="7">
        <v>0</v>
      </c>
      <c r="BB78" s="7">
        <v>52.11</v>
      </c>
      <c r="BC78" s="7">
        <v>65.313000000000002</v>
      </c>
      <c r="BD78" s="7">
        <v>0</v>
      </c>
      <c r="BE78" s="7">
        <v>13.329000000000001</v>
      </c>
      <c r="BF78" s="7">
        <v>13.329000000000001</v>
      </c>
      <c r="BG78" s="7">
        <v>0</v>
      </c>
      <c r="BH78" s="7">
        <v>0</v>
      </c>
      <c r="BI78" s="7">
        <v>30.73</v>
      </c>
      <c r="BJ78" s="21"/>
    </row>
    <row r="79" spans="1:62" ht="15.6" x14ac:dyDescent="0.3">
      <c r="A79" s="5" t="s">
        <v>144</v>
      </c>
      <c r="B79" s="5" t="s">
        <v>145</v>
      </c>
      <c r="C79" s="7">
        <v>6</v>
      </c>
      <c r="D79" s="7">
        <v>6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21"/>
    </row>
    <row r="80" spans="1:62" ht="15.6" x14ac:dyDescent="0.3">
      <c r="A80" s="5" t="s">
        <v>146</v>
      </c>
      <c r="B80" s="5" t="s">
        <v>147</v>
      </c>
      <c r="C80" s="7">
        <v>6</v>
      </c>
      <c r="D80" s="7">
        <v>6</v>
      </c>
      <c r="E80" s="7">
        <v>10603.549000000001</v>
      </c>
      <c r="F80" s="7">
        <v>1363.9480000000001</v>
      </c>
      <c r="G80" s="7">
        <v>2060.7510000000002</v>
      </c>
      <c r="H80" s="7">
        <v>0</v>
      </c>
      <c r="I80" s="7">
        <v>191.535</v>
      </c>
      <c r="J80" s="7">
        <v>1406.194</v>
      </c>
      <c r="K80" s="7">
        <v>0</v>
      </c>
      <c r="L80" s="7">
        <v>10511.406999999999</v>
      </c>
      <c r="M80" s="7">
        <v>4242.9979999999996</v>
      </c>
      <c r="N80" s="7">
        <v>0</v>
      </c>
      <c r="O80" s="7">
        <v>0</v>
      </c>
      <c r="P80" s="7">
        <v>20.754999999999999</v>
      </c>
      <c r="Q80" s="7">
        <v>0</v>
      </c>
      <c r="R80" s="7">
        <v>101.343</v>
      </c>
      <c r="S80" s="7">
        <v>222.476</v>
      </c>
      <c r="T80" s="7">
        <v>0</v>
      </c>
      <c r="U80" s="7">
        <v>0</v>
      </c>
      <c r="V80" s="7">
        <v>166.83799999999999</v>
      </c>
      <c r="W80" s="7">
        <v>336.40499999999997</v>
      </c>
      <c r="X80" s="7">
        <v>0</v>
      </c>
      <c r="Y80" s="7">
        <v>2205.172</v>
      </c>
      <c r="Z80" s="7">
        <v>0</v>
      </c>
      <c r="AA80" s="7">
        <v>1815.184</v>
      </c>
      <c r="AB80" s="7">
        <v>0</v>
      </c>
      <c r="AC80" s="7">
        <v>163.876</v>
      </c>
      <c r="AD80" s="7">
        <v>0</v>
      </c>
      <c r="AE80" s="7">
        <v>6394.6769999999997</v>
      </c>
      <c r="AF80" s="7">
        <v>0</v>
      </c>
      <c r="AG80" s="7">
        <v>0</v>
      </c>
      <c r="AH80" s="7">
        <v>18540.794999999998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76.905000000000001</v>
      </c>
      <c r="AP80" s="7">
        <v>0</v>
      </c>
      <c r="AQ80" s="7">
        <v>0</v>
      </c>
      <c r="AR80" s="7">
        <v>0</v>
      </c>
      <c r="AS80" s="7">
        <v>1.956</v>
      </c>
      <c r="AT80" s="7">
        <v>0</v>
      </c>
      <c r="AU80" s="7">
        <v>55.396000000000001</v>
      </c>
      <c r="AV80" s="7">
        <v>0</v>
      </c>
      <c r="AW80" s="7">
        <v>0</v>
      </c>
      <c r="AX80" s="7">
        <v>0</v>
      </c>
      <c r="AY80" s="7">
        <v>54.820999999999998</v>
      </c>
      <c r="AZ80" s="7">
        <v>0</v>
      </c>
      <c r="BA80" s="7">
        <v>0</v>
      </c>
      <c r="BB80" s="7">
        <v>27.268000000000001</v>
      </c>
      <c r="BC80" s="7">
        <v>34.177</v>
      </c>
      <c r="BD80" s="7">
        <v>0</v>
      </c>
      <c r="BE80" s="7">
        <v>6.9749999999999996</v>
      </c>
      <c r="BF80" s="7">
        <v>6.9749999999999996</v>
      </c>
      <c r="BG80" s="7">
        <v>0</v>
      </c>
      <c r="BH80" s="7">
        <v>0</v>
      </c>
      <c r="BI80" s="7">
        <v>16.081</v>
      </c>
      <c r="BJ80" s="21"/>
    </row>
    <row r="81" spans="1:62" ht="15.6" x14ac:dyDescent="0.3">
      <c r="A81" s="5" t="s">
        <v>148</v>
      </c>
      <c r="B81" s="5" t="s">
        <v>149</v>
      </c>
      <c r="C81" s="7">
        <v>6</v>
      </c>
      <c r="D81" s="7">
        <v>6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21"/>
    </row>
    <row r="82" spans="1:62" ht="15.6" x14ac:dyDescent="0.3">
      <c r="A82" s="5" t="s">
        <v>150</v>
      </c>
      <c r="B82" s="5" t="s">
        <v>151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21"/>
    </row>
    <row r="83" spans="1:62" ht="15.6" x14ac:dyDescent="0.3">
      <c r="A83" s="5" t="s">
        <v>152</v>
      </c>
      <c r="B83" s="5" t="s">
        <v>153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21"/>
    </row>
    <row r="84" spans="1:62" ht="15.6" x14ac:dyDescent="0.3">
      <c r="A84" s="5" t="s">
        <v>154</v>
      </c>
      <c r="B84" s="5" t="s">
        <v>155</v>
      </c>
      <c r="C84" s="7">
        <v>6</v>
      </c>
      <c r="D84" s="7">
        <v>6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21"/>
    </row>
    <row r="85" spans="1:62" ht="15.6" x14ac:dyDescent="0.3">
      <c r="A85" s="5" t="s">
        <v>156</v>
      </c>
      <c r="B85" s="5" t="s">
        <v>157</v>
      </c>
      <c r="C85" s="7">
        <v>6</v>
      </c>
      <c r="D85" s="7">
        <v>6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21"/>
    </row>
    <row r="86" spans="1:62" ht="15.6" x14ac:dyDescent="0.3">
      <c r="A86" s="5" t="s">
        <v>158</v>
      </c>
      <c r="B86" s="5" t="s">
        <v>159</v>
      </c>
      <c r="C86" s="7">
        <v>6</v>
      </c>
      <c r="D86" s="7">
        <v>6</v>
      </c>
      <c r="E86" s="7">
        <v>14339.934999999999</v>
      </c>
      <c r="F86" s="7">
        <v>1984.896</v>
      </c>
      <c r="G86" s="7">
        <v>3020.0439999999999</v>
      </c>
      <c r="H86" s="7">
        <v>2379.5700000000002</v>
      </c>
      <c r="I86" s="7">
        <v>300.483</v>
      </c>
      <c r="J86" s="7">
        <v>1768.98</v>
      </c>
      <c r="K86" s="7">
        <v>0</v>
      </c>
      <c r="L86" s="7">
        <v>5725.9340000000002</v>
      </c>
      <c r="M86" s="7">
        <v>7389.22</v>
      </c>
      <c r="N86" s="7">
        <v>0</v>
      </c>
      <c r="O86" s="7">
        <v>0</v>
      </c>
      <c r="P86" s="7">
        <v>0.28100000000000003</v>
      </c>
      <c r="Q86" s="7">
        <v>0</v>
      </c>
      <c r="R86" s="7">
        <v>0</v>
      </c>
      <c r="S86" s="7">
        <v>862.92899999999997</v>
      </c>
      <c r="T86" s="7">
        <v>0</v>
      </c>
      <c r="U86" s="7">
        <v>0</v>
      </c>
      <c r="V86" s="7">
        <v>402.22699999999998</v>
      </c>
      <c r="W86" s="7">
        <v>578.20299999999997</v>
      </c>
      <c r="X86" s="7">
        <v>0</v>
      </c>
      <c r="Y86" s="7">
        <v>2196.44</v>
      </c>
      <c r="Z86" s="7">
        <v>0</v>
      </c>
      <c r="AA86" s="7">
        <v>4731.7550000000001</v>
      </c>
      <c r="AB86" s="7">
        <v>0</v>
      </c>
      <c r="AC86" s="7">
        <v>320.608</v>
      </c>
      <c r="AD86" s="7">
        <v>0</v>
      </c>
      <c r="AE86" s="7">
        <v>2362.6880000000001</v>
      </c>
      <c r="AF86" s="7">
        <v>0</v>
      </c>
      <c r="AG86" s="7">
        <v>0</v>
      </c>
      <c r="AH86" s="7">
        <v>13517.212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298.29599999999999</v>
      </c>
      <c r="AP86" s="7">
        <v>0</v>
      </c>
      <c r="AQ86" s="7">
        <v>0</v>
      </c>
      <c r="AR86" s="7">
        <v>0</v>
      </c>
      <c r="AS86" s="7">
        <v>7.585</v>
      </c>
      <c r="AT86" s="7">
        <v>0</v>
      </c>
      <c r="AU86" s="7">
        <v>214.86500000000001</v>
      </c>
      <c r="AV86" s="7">
        <v>0</v>
      </c>
      <c r="AW86" s="7">
        <v>0</v>
      </c>
      <c r="AX86" s="7">
        <v>0</v>
      </c>
      <c r="AY86" s="7">
        <v>212.637</v>
      </c>
      <c r="AZ86" s="7">
        <v>0</v>
      </c>
      <c r="BA86" s="7">
        <v>0</v>
      </c>
      <c r="BB86" s="7">
        <v>105.765</v>
      </c>
      <c r="BC86" s="7">
        <v>132.56399999999999</v>
      </c>
      <c r="BD86" s="7">
        <v>0</v>
      </c>
      <c r="BE86" s="7">
        <v>27.053999999999998</v>
      </c>
      <c r="BF86" s="7">
        <v>27.053999999999998</v>
      </c>
      <c r="BG86" s="7">
        <v>0</v>
      </c>
      <c r="BH86" s="7">
        <v>0</v>
      </c>
      <c r="BI86" s="7">
        <v>62.372999999999998</v>
      </c>
      <c r="BJ86" s="21"/>
    </row>
    <row r="87" spans="1:62" ht="15.6" x14ac:dyDescent="0.3">
      <c r="A87" s="5" t="s">
        <v>160</v>
      </c>
      <c r="B87" s="5" t="s">
        <v>161</v>
      </c>
      <c r="C87" s="7">
        <v>6</v>
      </c>
      <c r="D87" s="7">
        <v>6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21"/>
    </row>
    <row r="88" spans="1:62" ht="15.6" x14ac:dyDescent="0.3">
      <c r="A88" s="5" t="s">
        <v>162</v>
      </c>
      <c r="B88" s="5" t="s">
        <v>163</v>
      </c>
      <c r="C88" s="7">
        <v>6</v>
      </c>
      <c r="D88" s="7">
        <v>6</v>
      </c>
      <c r="E88" s="7">
        <v>42493.366999999998</v>
      </c>
      <c r="F88" s="7">
        <v>6271.5889999999999</v>
      </c>
      <c r="G88" s="7">
        <v>8477.3389999999999</v>
      </c>
      <c r="H88" s="7">
        <v>5800.9049999999997</v>
      </c>
      <c r="I88" s="7">
        <v>1034.598</v>
      </c>
      <c r="J88" s="7">
        <v>5194.9009999999998</v>
      </c>
      <c r="K88" s="7">
        <v>0</v>
      </c>
      <c r="L88" s="7">
        <v>27385.276000000002</v>
      </c>
      <c r="M88" s="7">
        <v>20864.242999999999</v>
      </c>
      <c r="N88" s="7">
        <v>0</v>
      </c>
      <c r="O88" s="7">
        <v>0</v>
      </c>
      <c r="P88" s="7">
        <v>71.465000000000003</v>
      </c>
      <c r="Q88" s="7">
        <v>0</v>
      </c>
      <c r="R88" s="7">
        <v>111.181</v>
      </c>
      <c r="S88" s="7">
        <v>2297.33</v>
      </c>
      <c r="T88" s="7">
        <v>0</v>
      </c>
      <c r="U88" s="7">
        <v>0</v>
      </c>
      <c r="V88" s="7">
        <v>1078.001</v>
      </c>
      <c r="W88" s="7">
        <v>1560.5740000000001</v>
      </c>
      <c r="X88" s="7">
        <v>0</v>
      </c>
      <c r="Y88" s="7">
        <v>6124.366</v>
      </c>
      <c r="Z88" s="7">
        <v>0</v>
      </c>
      <c r="AA88" s="7">
        <v>12655.579</v>
      </c>
      <c r="AB88" s="7">
        <v>0</v>
      </c>
      <c r="AC88" s="7">
        <v>862.76300000000003</v>
      </c>
      <c r="AD88" s="7">
        <v>0</v>
      </c>
      <c r="AE88" s="7">
        <v>7960.9809999999998</v>
      </c>
      <c r="AF88" s="7">
        <v>0</v>
      </c>
      <c r="AG88" s="7">
        <v>0</v>
      </c>
      <c r="AH88" s="7">
        <v>48958.913999999997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794.13800000000003</v>
      </c>
      <c r="AP88" s="7">
        <v>0</v>
      </c>
      <c r="AQ88" s="7">
        <v>0</v>
      </c>
      <c r="AR88" s="7">
        <v>0</v>
      </c>
      <c r="AS88" s="7">
        <v>20.193000000000001</v>
      </c>
      <c r="AT88" s="7">
        <v>0</v>
      </c>
      <c r="AU88" s="7">
        <v>572.02499999999998</v>
      </c>
      <c r="AV88" s="7">
        <v>0</v>
      </c>
      <c r="AW88" s="7">
        <v>0</v>
      </c>
      <c r="AX88" s="7">
        <v>0</v>
      </c>
      <c r="AY88" s="7">
        <v>566.09199999999998</v>
      </c>
      <c r="AZ88" s="7">
        <v>0</v>
      </c>
      <c r="BA88" s="7">
        <v>0</v>
      </c>
      <c r="BB88" s="7">
        <v>281.57400000000001</v>
      </c>
      <c r="BC88" s="7">
        <v>352.91800000000001</v>
      </c>
      <c r="BD88" s="7">
        <v>0</v>
      </c>
      <c r="BE88" s="7">
        <v>72.025000000000006</v>
      </c>
      <c r="BF88" s="7">
        <v>72.025000000000006</v>
      </c>
      <c r="BG88" s="7">
        <v>0</v>
      </c>
      <c r="BH88" s="7">
        <v>0</v>
      </c>
      <c r="BI88" s="7">
        <v>166.05099999999999</v>
      </c>
      <c r="BJ88" s="21"/>
    </row>
    <row r="89" spans="1:62" ht="15.6" x14ac:dyDescent="0.3">
      <c r="A89" s="5" t="s">
        <v>164</v>
      </c>
      <c r="B89" s="5" t="s">
        <v>165</v>
      </c>
      <c r="C89" s="7">
        <v>6</v>
      </c>
      <c r="D89" s="7">
        <v>6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21"/>
    </row>
    <row r="90" spans="1:62" ht="15.6" x14ac:dyDescent="0.3">
      <c r="A90" s="5" t="s">
        <v>166</v>
      </c>
      <c r="B90" s="5" t="s">
        <v>167</v>
      </c>
      <c r="C90" s="7">
        <v>3</v>
      </c>
      <c r="D90" s="7">
        <v>3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21"/>
    </row>
    <row r="91" spans="1:62" ht="15.6" x14ac:dyDescent="0.3">
      <c r="A91" s="5" t="s">
        <v>168</v>
      </c>
      <c r="B91" s="5" t="s">
        <v>169</v>
      </c>
      <c r="C91" s="7">
        <v>3</v>
      </c>
      <c r="D91" s="7">
        <v>3</v>
      </c>
      <c r="E91" s="7">
        <v>61704.351999999999</v>
      </c>
      <c r="F91" s="7">
        <v>8455.9660000000003</v>
      </c>
      <c r="G91" s="7">
        <v>13985.005999999999</v>
      </c>
      <c r="H91" s="7">
        <v>0</v>
      </c>
      <c r="I91" s="7">
        <v>1245.213</v>
      </c>
      <c r="J91" s="7">
        <v>8867.018</v>
      </c>
      <c r="K91" s="7">
        <v>0</v>
      </c>
      <c r="L91" s="7">
        <v>24611.841</v>
      </c>
      <c r="M91" s="7">
        <v>32421.223000000002</v>
      </c>
      <c r="N91" s="7">
        <v>0</v>
      </c>
      <c r="O91" s="7">
        <v>0</v>
      </c>
      <c r="P91" s="7">
        <v>1.07</v>
      </c>
      <c r="Q91" s="7">
        <v>0</v>
      </c>
      <c r="R91" s="7">
        <v>133.51400000000001</v>
      </c>
      <c r="S91" s="7">
        <v>3577.6190000000001</v>
      </c>
      <c r="T91" s="7">
        <v>0</v>
      </c>
      <c r="U91" s="7">
        <v>0</v>
      </c>
      <c r="V91" s="7">
        <v>1667.5509999999999</v>
      </c>
      <c r="W91" s="7">
        <v>2397.0030000000002</v>
      </c>
      <c r="X91" s="7">
        <v>0</v>
      </c>
      <c r="Y91" s="7">
        <v>9105.7510000000002</v>
      </c>
      <c r="Z91" s="7">
        <v>0</v>
      </c>
      <c r="AA91" s="7">
        <v>19616.958999999999</v>
      </c>
      <c r="AB91" s="7">
        <v>0</v>
      </c>
      <c r="AC91" s="7">
        <v>1329.152</v>
      </c>
      <c r="AD91" s="7">
        <v>0</v>
      </c>
      <c r="AE91" s="7">
        <v>13955.507</v>
      </c>
      <c r="AF91" s="7">
        <v>0</v>
      </c>
      <c r="AG91" s="7">
        <v>0</v>
      </c>
      <c r="AH91" s="7">
        <v>60381.053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1236.7059999999999</v>
      </c>
      <c r="AP91" s="7">
        <v>0</v>
      </c>
      <c r="AQ91" s="7">
        <v>0</v>
      </c>
      <c r="AR91" s="7">
        <v>0</v>
      </c>
      <c r="AS91" s="7">
        <v>31.446999999999999</v>
      </c>
      <c r="AT91" s="7">
        <v>0</v>
      </c>
      <c r="AU91" s="7">
        <v>890.81100000000004</v>
      </c>
      <c r="AV91" s="7">
        <v>0</v>
      </c>
      <c r="AW91" s="7">
        <v>0</v>
      </c>
      <c r="AX91" s="7">
        <v>0</v>
      </c>
      <c r="AY91" s="7">
        <v>881.572</v>
      </c>
      <c r="AZ91" s="7">
        <v>0</v>
      </c>
      <c r="BA91" s="7">
        <v>0</v>
      </c>
      <c r="BB91" s="7">
        <v>438.49299999999999</v>
      </c>
      <c r="BC91" s="7">
        <v>549.59799999999996</v>
      </c>
      <c r="BD91" s="7">
        <v>0</v>
      </c>
      <c r="BE91" s="7">
        <v>112.164</v>
      </c>
      <c r="BF91" s="7">
        <v>112.164</v>
      </c>
      <c r="BG91" s="7">
        <v>0</v>
      </c>
      <c r="BH91" s="7">
        <v>0</v>
      </c>
      <c r="BI91" s="7">
        <v>258.58999999999997</v>
      </c>
      <c r="BJ91" s="21"/>
    </row>
    <row r="92" spans="1:62" ht="15.6" x14ac:dyDescent="0.3">
      <c r="A92" s="5" t="s">
        <v>170</v>
      </c>
      <c r="B92" s="5" t="s">
        <v>171</v>
      </c>
      <c r="C92" s="7">
        <v>3</v>
      </c>
      <c r="D92" s="7">
        <v>3</v>
      </c>
      <c r="E92" s="7">
        <v>75681.555999999997</v>
      </c>
      <c r="F92" s="7">
        <v>10472.788</v>
      </c>
      <c r="G92" s="7">
        <v>15937.804</v>
      </c>
      <c r="H92" s="7">
        <v>0</v>
      </c>
      <c r="I92" s="7">
        <v>1585.6020000000001</v>
      </c>
      <c r="J92" s="7">
        <v>9335.7669999999998</v>
      </c>
      <c r="K92" s="7">
        <v>0</v>
      </c>
      <c r="L92" s="7">
        <v>30132.611000000001</v>
      </c>
      <c r="M92" s="7">
        <v>38988.684000000001</v>
      </c>
      <c r="N92" s="7">
        <v>0</v>
      </c>
      <c r="O92" s="7">
        <v>0</v>
      </c>
      <c r="P92" s="7">
        <v>1.3620000000000001</v>
      </c>
      <c r="Q92" s="7">
        <v>0</v>
      </c>
      <c r="R92" s="7">
        <v>0</v>
      </c>
      <c r="S92" s="7">
        <v>4555.5910000000003</v>
      </c>
      <c r="T92" s="7">
        <v>0</v>
      </c>
      <c r="U92" s="7">
        <v>0</v>
      </c>
      <c r="V92" s="7">
        <v>2123.39</v>
      </c>
      <c r="W92" s="7">
        <v>3052.2429999999999</v>
      </c>
      <c r="X92" s="7">
        <v>0</v>
      </c>
      <c r="Y92" s="7">
        <v>11594.880999999999</v>
      </c>
      <c r="Z92" s="7">
        <v>0</v>
      </c>
      <c r="AA92" s="7">
        <v>24979.413</v>
      </c>
      <c r="AB92" s="7">
        <v>0</v>
      </c>
      <c r="AC92" s="7">
        <v>1692.4870000000001</v>
      </c>
      <c r="AD92" s="7">
        <v>0</v>
      </c>
      <c r="AE92" s="7">
        <v>12471.694</v>
      </c>
      <c r="AF92" s="7">
        <v>0</v>
      </c>
      <c r="AG92" s="7">
        <v>0</v>
      </c>
      <c r="AH92" s="7">
        <v>71219.683000000005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1574.77</v>
      </c>
      <c r="AP92" s="7">
        <v>0</v>
      </c>
      <c r="AQ92" s="7">
        <v>0</v>
      </c>
      <c r="AR92" s="7">
        <v>0</v>
      </c>
      <c r="AS92" s="7">
        <v>40.042999999999999</v>
      </c>
      <c r="AT92" s="7">
        <v>0</v>
      </c>
      <c r="AU92" s="7">
        <v>1134.3209999999999</v>
      </c>
      <c r="AV92" s="7">
        <v>0</v>
      </c>
      <c r="AW92" s="7">
        <v>0</v>
      </c>
      <c r="AX92" s="7">
        <v>0</v>
      </c>
      <c r="AY92" s="7">
        <v>1122.557</v>
      </c>
      <c r="AZ92" s="7">
        <v>0</v>
      </c>
      <c r="BA92" s="7">
        <v>0</v>
      </c>
      <c r="BB92" s="7">
        <v>558.35900000000004</v>
      </c>
      <c r="BC92" s="7">
        <v>699.83500000000004</v>
      </c>
      <c r="BD92" s="7">
        <v>0</v>
      </c>
      <c r="BE92" s="7">
        <v>142.82499999999999</v>
      </c>
      <c r="BF92" s="7">
        <v>142.82499999999999</v>
      </c>
      <c r="BG92" s="7">
        <v>0</v>
      </c>
      <c r="BH92" s="7">
        <v>0</v>
      </c>
      <c r="BI92" s="7">
        <v>329.27800000000002</v>
      </c>
      <c r="BJ92" s="21"/>
    </row>
    <row r="93" spans="1:62" ht="15.6" x14ac:dyDescent="0.3">
      <c r="A93" s="5" t="s">
        <v>172</v>
      </c>
      <c r="B93" s="5" t="s">
        <v>173</v>
      </c>
      <c r="C93" s="7">
        <v>3</v>
      </c>
      <c r="D93" s="7">
        <v>3</v>
      </c>
      <c r="E93" s="7">
        <v>6149.4949999999999</v>
      </c>
      <c r="F93" s="7">
        <v>2243.223</v>
      </c>
      <c r="G93" s="7">
        <v>4935.9679999999998</v>
      </c>
      <c r="H93" s="7">
        <v>0</v>
      </c>
      <c r="I93" s="7">
        <v>109.761</v>
      </c>
      <c r="J93" s="7">
        <v>1657.0170000000001</v>
      </c>
      <c r="K93" s="7">
        <v>0</v>
      </c>
      <c r="L93" s="7">
        <v>14742.127</v>
      </c>
      <c r="M93" s="7">
        <v>4692.7870000000003</v>
      </c>
      <c r="N93" s="7">
        <v>0</v>
      </c>
      <c r="O93" s="7">
        <v>0</v>
      </c>
      <c r="P93" s="7">
        <v>0.191</v>
      </c>
      <c r="Q93" s="7">
        <v>0</v>
      </c>
      <c r="R93" s="7">
        <v>0</v>
      </c>
      <c r="S93" s="7">
        <v>889.73599999999999</v>
      </c>
      <c r="T93" s="7">
        <v>0</v>
      </c>
      <c r="U93" s="7">
        <v>0</v>
      </c>
      <c r="V93" s="7">
        <v>385.12299999999999</v>
      </c>
      <c r="W93" s="7">
        <v>276.00400000000002</v>
      </c>
      <c r="X93" s="7">
        <v>0</v>
      </c>
      <c r="Y93" s="7">
        <v>4190.0050000000001</v>
      </c>
      <c r="Z93" s="7">
        <v>0</v>
      </c>
      <c r="AA93" s="7">
        <v>3550.529</v>
      </c>
      <c r="AB93" s="7">
        <v>0</v>
      </c>
      <c r="AC93" s="7">
        <v>897.26800000000003</v>
      </c>
      <c r="AD93" s="7">
        <v>0</v>
      </c>
      <c r="AE93" s="7">
        <v>17813.784</v>
      </c>
      <c r="AF93" s="7">
        <v>2117.348</v>
      </c>
      <c r="AG93" s="7">
        <v>0</v>
      </c>
      <c r="AH93" s="7">
        <v>26542.812999999998</v>
      </c>
      <c r="AI93" s="7">
        <v>3608.549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813.81</v>
      </c>
      <c r="AP93" s="7">
        <v>0</v>
      </c>
      <c r="AQ93" s="7">
        <v>783.04</v>
      </c>
      <c r="AR93" s="7">
        <v>0</v>
      </c>
      <c r="AS93" s="7">
        <v>3.9049999999999998</v>
      </c>
      <c r="AT93" s="7">
        <v>0</v>
      </c>
      <c r="AU93" s="7">
        <v>280.52800000000002</v>
      </c>
      <c r="AV93" s="7">
        <v>0</v>
      </c>
      <c r="AW93" s="7">
        <v>0</v>
      </c>
      <c r="AX93" s="7">
        <v>0</v>
      </c>
      <c r="AY93" s="7">
        <v>57.664999999999999</v>
      </c>
      <c r="AZ93" s="7">
        <v>921.79899999999998</v>
      </c>
      <c r="BA93" s="7">
        <v>0</v>
      </c>
      <c r="BB93" s="7">
        <v>282.65600000000001</v>
      </c>
      <c r="BC93" s="7">
        <v>16.61</v>
      </c>
      <c r="BD93" s="7">
        <v>1121.2059999999999</v>
      </c>
      <c r="BE93" s="7">
        <v>71.322000000000003</v>
      </c>
      <c r="BF93" s="7">
        <v>71.322000000000003</v>
      </c>
      <c r="BG93" s="7">
        <v>371.762</v>
      </c>
      <c r="BH93" s="7">
        <v>0</v>
      </c>
      <c r="BI93" s="7">
        <v>7.5960000000000001</v>
      </c>
      <c r="BJ93" s="21"/>
    </row>
    <row r="94" spans="1:62" ht="15.6" x14ac:dyDescent="0.3">
      <c r="A94" s="5" t="s">
        <v>174</v>
      </c>
      <c r="B94" s="5" t="s">
        <v>175</v>
      </c>
      <c r="C94" s="7">
        <v>3</v>
      </c>
      <c r="D94" s="7">
        <v>3</v>
      </c>
      <c r="E94" s="7">
        <v>18134.217000000001</v>
      </c>
      <c r="F94" s="7">
        <v>13497.055</v>
      </c>
      <c r="G94" s="7">
        <v>22534.482</v>
      </c>
      <c r="H94" s="7">
        <v>0.23</v>
      </c>
      <c r="I94" s="7">
        <v>706.30600000000004</v>
      </c>
      <c r="J94" s="7">
        <v>10120.303</v>
      </c>
      <c r="K94" s="7">
        <v>0</v>
      </c>
      <c r="L94" s="7">
        <v>57957.286999999997</v>
      </c>
      <c r="M94" s="7">
        <v>19712.903999999999</v>
      </c>
      <c r="N94" s="7">
        <v>0</v>
      </c>
      <c r="O94" s="7">
        <v>0</v>
      </c>
      <c r="P94" s="7">
        <v>0.187</v>
      </c>
      <c r="Q94" s="7">
        <v>0</v>
      </c>
      <c r="R94" s="7">
        <v>0</v>
      </c>
      <c r="S94" s="7">
        <v>5533.7780000000002</v>
      </c>
      <c r="T94" s="7">
        <v>0</v>
      </c>
      <c r="U94" s="7">
        <v>0</v>
      </c>
      <c r="V94" s="7">
        <v>2347.6790000000001</v>
      </c>
      <c r="W94" s="7">
        <v>576.02</v>
      </c>
      <c r="X94" s="7">
        <v>0</v>
      </c>
      <c r="Y94" s="7">
        <v>15072.941999999999</v>
      </c>
      <c r="Z94" s="7">
        <v>0</v>
      </c>
      <c r="AA94" s="7">
        <v>27200.394</v>
      </c>
      <c r="AB94" s="7">
        <v>0</v>
      </c>
      <c r="AC94" s="7">
        <v>4791.1509999999998</v>
      </c>
      <c r="AD94" s="7">
        <v>0</v>
      </c>
      <c r="AE94" s="7">
        <v>75711.528999999995</v>
      </c>
      <c r="AF94" s="7">
        <v>3542.5749999999998</v>
      </c>
      <c r="AG94" s="7">
        <v>0</v>
      </c>
      <c r="AH94" s="7">
        <v>98515.72</v>
      </c>
      <c r="AI94" s="7">
        <v>5879.8959999999997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5253.268</v>
      </c>
      <c r="AP94" s="7">
        <v>0</v>
      </c>
      <c r="AQ94" s="7">
        <v>1289.529</v>
      </c>
      <c r="AR94" s="7">
        <v>0</v>
      </c>
      <c r="AS94" s="7">
        <v>19.484000000000002</v>
      </c>
      <c r="AT94" s="7">
        <v>0</v>
      </c>
      <c r="AU94" s="7">
        <v>20.309999999999999</v>
      </c>
      <c r="AV94" s="7">
        <v>0</v>
      </c>
      <c r="AW94" s="7">
        <v>0</v>
      </c>
      <c r="AX94" s="7">
        <v>0</v>
      </c>
      <c r="AY94" s="7">
        <v>52.02</v>
      </c>
      <c r="AZ94" s="7">
        <v>1501.9939999999999</v>
      </c>
      <c r="BA94" s="7">
        <v>0</v>
      </c>
      <c r="BB94" s="7">
        <v>1805.6859999999999</v>
      </c>
      <c r="BC94" s="7">
        <v>0</v>
      </c>
      <c r="BD94" s="7">
        <v>1826.91</v>
      </c>
      <c r="BE94" s="7">
        <v>455.91500000000002</v>
      </c>
      <c r="BF94" s="7">
        <v>455.91500000000002</v>
      </c>
      <c r="BG94" s="7">
        <v>605.755</v>
      </c>
      <c r="BH94" s="7">
        <v>0</v>
      </c>
      <c r="BI94" s="7">
        <v>0</v>
      </c>
      <c r="BJ94" s="21"/>
    </row>
    <row r="95" spans="1:62" ht="15.6" x14ac:dyDescent="0.3">
      <c r="A95" s="5" t="s">
        <v>176</v>
      </c>
      <c r="B95" s="5" t="s">
        <v>177</v>
      </c>
      <c r="C95" s="7">
        <v>3</v>
      </c>
      <c r="D95" s="7">
        <v>3</v>
      </c>
      <c r="E95" s="7">
        <v>59013.805</v>
      </c>
      <c r="F95" s="7">
        <v>31040.107</v>
      </c>
      <c r="G95" s="7">
        <v>2648.183</v>
      </c>
      <c r="H95" s="7">
        <v>2041.17</v>
      </c>
      <c r="I95" s="7">
        <v>2529.87</v>
      </c>
      <c r="J95" s="7">
        <v>20242.695</v>
      </c>
      <c r="K95" s="7">
        <v>0</v>
      </c>
      <c r="L95" s="7">
        <v>105489.92</v>
      </c>
      <c r="M95" s="7">
        <v>18867.728999999999</v>
      </c>
      <c r="N95" s="7">
        <v>0</v>
      </c>
      <c r="O95" s="7">
        <v>0</v>
      </c>
      <c r="P95" s="7">
        <v>0.79300000000000004</v>
      </c>
      <c r="Q95" s="7">
        <v>0</v>
      </c>
      <c r="R95" s="7">
        <v>0</v>
      </c>
      <c r="S95" s="7">
        <v>12157.424000000001</v>
      </c>
      <c r="T95" s="7">
        <v>0</v>
      </c>
      <c r="U95" s="7">
        <v>0</v>
      </c>
      <c r="V95" s="7">
        <v>3572.0619999999999</v>
      </c>
      <c r="W95" s="7">
        <v>475.55</v>
      </c>
      <c r="X95" s="7">
        <v>0</v>
      </c>
      <c r="Y95" s="7">
        <v>11160.757</v>
      </c>
      <c r="Z95" s="7">
        <v>0</v>
      </c>
      <c r="AA95" s="7">
        <v>67506.48</v>
      </c>
      <c r="AB95" s="7">
        <v>0</v>
      </c>
      <c r="AC95" s="7">
        <v>5361.982</v>
      </c>
      <c r="AD95" s="7">
        <v>0</v>
      </c>
      <c r="AE95" s="7">
        <v>38709.349000000002</v>
      </c>
      <c r="AF95" s="7">
        <v>14790.808000000001</v>
      </c>
      <c r="AG95" s="7">
        <v>0</v>
      </c>
      <c r="AH95" s="7">
        <v>175725.88</v>
      </c>
      <c r="AI95" s="7">
        <v>24366.307000000001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9917.7080000000005</v>
      </c>
      <c r="AP95" s="7">
        <v>0</v>
      </c>
      <c r="AQ95" s="7">
        <v>5360.06</v>
      </c>
      <c r="AR95" s="7">
        <v>0</v>
      </c>
      <c r="AS95" s="7">
        <v>49.777999999999999</v>
      </c>
      <c r="AT95" s="7">
        <v>0</v>
      </c>
      <c r="AU95" s="7">
        <v>85.296000000000006</v>
      </c>
      <c r="AV95" s="7">
        <v>0</v>
      </c>
      <c r="AW95" s="7">
        <v>0</v>
      </c>
      <c r="AX95" s="7">
        <v>0</v>
      </c>
      <c r="AY95" s="7">
        <v>215.571</v>
      </c>
      <c r="AZ95" s="7">
        <v>6224.2470000000003</v>
      </c>
      <c r="BA95" s="7">
        <v>0</v>
      </c>
      <c r="BB95" s="7">
        <v>3380.1019999999999</v>
      </c>
      <c r="BC95" s="7">
        <v>0</v>
      </c>
      <c r="BD95" s="7">
        <v>7570.6959999999999</v>
      </c>
      <c r="BE95" s="7">
        <v>857.81200000000001</v>
      </c>
      <c r="BF95" s="7">
        <v>857.81200000000001</v>
      </c>
      <c r="BG95" s="7">
        <v>2510.2440000000001</v>
      </c>
      <c r="BH95" s="7">
        <v>0</v>
      </c>
      <c r="BI95" s="7">
        <v>0</v>
      </c>
      <c r="BJ95" s="21"/>
    </row>
    <row r="96" spans="1:62" ht="15.6" x14ac:dyDescent="0.3">
      <c r="A96" s="5" t="s">
        <v>178</v>
      </c>
      <c r="B96" s="5" t="s">
        <v>179</v>
      </c>
      <c r="C96" s="7">
        <v>6</v>
      </c>
      <c r="D96" s="7">
        <v>6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21"/>
    </row>
    <row r="97" spans="1:62" ht="15.6" x14ac:dyDescent="0.3">
      <c r="A97" s="5" t="s">
        <v>180</v>
      </c>
      <c r="B97" s="5" t="s">
        <v>181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21"/>
    </row>
    <row r="98" spans="1:62" ht="15.6" x14ac:dyDescent="0.3">
      <c r="A98" s="5" t="s">
        <v>182</v>
      </c>
      <c r="B98" s="5" t="s">
        <v>183</v>
      </c>
      <c r="C98" s="7">
        <v>6</v>
      </c>
      <c r="D98" s="7">
        <v>6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21"/>
    </row>
    <row r="99" spans="1:62" ht="15.6" x14ac:dyDescent="0.3">
      <c r="A99" s="5" t="s">
        <v>184</v>
      </c>
      <c r="B99" s="5" t="s">
        <v>185</v>
      </c>
      <c r="C99" s="7">
        <v>6</v>
      </c>
      <c r="D99" s="7">
        <v>6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21"/>
    </row>
    <row r="100" spans="1:62" ht="15.6" x14ac:dyDescent="0.3">
      <c r="A100" s="5" t="s">
        <v>186</v>
      </c>
      <c r="B100" s="5" t="s">
        <v>187</v>
      </c>
      <c r="C100" s="7">
        <v>6</v>
      </c>
      <c r="D100" s="7">
        <v>6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21"/>
    </row>
    <row r="101" spans="1:62" ht="15.6" x14ac:dyDescent="0.3">
      <c r="A101" s="5" t="s">
        <v>188</v>
      </c>
      <c r="B101" s="5" t="s">
        <v>189</v>
      </c>
      <c r="C101" s="7">
        <v>6</v>
      </c>
      <c r="D101" s="7">
        <v>6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21"/>
    </row>
    <row r="102" spans="1:62" ht="15.6" x14ac:dyDescent="0.3">
      <c r="A102" s="5" t="s">
        <v>190</v>
      </c>
      <c r="B102" s="5" t="s">
        <v>191</v>
      </c>
      <c r="C102" s="7">
        <v>6</v>
      </c>
      <c r="D102" s="7">
        <v>6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21"/>
    </row>
    <row r="103" spans="1:62" ht="15.6" x14ac:dyDescent="0.3">
      <c r="A103" s="5" t="s">
        <v>192</v>
      </c>
      <c r="B103" s="5" t="s">
        <v>193</v>
      </c>
      <c r="C103" s="7">
        <v>6</v>
      </c>
      <c r="D103" s="7">
        <v>6</v>
      </c>
      <c r="E103" s="7">
        <v>26907.751</v>
      </c>
      <c r="F103" s="7">
        <v>0.375</v>
      </c>
      <c r="G103" s="7">
        <v>2.5999999999999999E-2</v>
      </c>
      <c r="H103" s="7">
        <v>1683.748</v>
      </c>
      <c r="I103" s="7">
        <v>3.3000000000000002E-2</v>
      </c>
      <c r="J103" s="7">
        <v>0.27900000000000003</v>
      </c>
      <c r="K103" s="7">
        <v>0</v>
      </c>
      <c r="L103" s="7">
        <v>21607.933000000001</v>
      </c>
      <c r="M103" s="7">
        <v>20026.964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0.15</v>
      </c>
      <c r="T103" s="7">
        <v>0</v>
      </c>
      <c r="U103" s="7">
        <v>0</v>
      </c>
      <c r="V103" s="7">
        <v>4.9000000000000002E-2</v>
      </c>
      <c r="W103" s="7">
        <v>0</v>
      </c>
      <c r="X103" s="7">
        <v>0</v>
      </c>
      <c r="Y103" s="7">
        <v>2.1999999999999999E-2</v>
      </c>
      <c r="Z103" s="7">
        <v>0</v>
      </c>
      <c r="AA103" s="7">
        <v>0.93300000000000005</v>
      </c>
      <c r="AB103" s="7">
        <v>0</v>
      </c>
      <c r="AC103" s="7">
        <v>6.3E-2</v>
      </c>
      <c r="AD103" s="7">
        <v>0</v>
      </c>
      <c r="AE103" s="7">
        <v>0.192</v>
      </c>
      <c r="AF103" s="7">
        <v>7.0000000000000001E-3</v>
      </c>
      <c r="AG103" s="7">
        <v>0</v>
      </c>
      <c r="AH103" s="7">
        <v>13432.366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0.127</v>
      </c>
      <c r="AP103" s="7">
        <v>0</v>
      </c>
      <c r="AQ103" s="7">
        <v>1E-3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4.2999999999999997E-2</v>
      </c>
      <c r="BC103" s="7">
        <v>0</v>
      </c>
      <c r="BD103" s="7">
        <v>0</v>
      </c>
      <c r="BE103" s="7">
        <v>1.0999999999999999E-2</v>
      </c>
      <c r="BF103" s="7">
        <v>1.0999999999999999E-2</v>
      </c>
      <c r="BG103" s="7">
        <v>0</v>
      </c>
      <c r="BH103" s="7">
        <v>0</v>
      </c>
      <c r="BI103" s="7">
        <v>0</v>
      </c>
      <c r="BJ103" s="21"/>
    </row>
    <row r="104" spans="1:62" ht="15.6" x14ac:dyDescent="0.3">
      <c r="A104" s="5" t="s">
        <v>194</v>
      </c>
      <c r="B104" s="5" t="s">
        <v>195</v>
      </c>
      <c r="C104" s="7">
        <v>4</v>
      </c>
      <c r="D104" s="7">
        <v>4</v>
      </c>
      <c r="E104" s="7">
        <v>434882.51</v>
      </c>
      <c r="F104" s="7">
        <v>86413.790999999997</v>
      </c>
      <c r="G104" s="7">
        <v>0</v>
      </c>
      <c r="H104" s="7">
        <v>9039.8829999999998</v>
      </c>
      <c r="I104" s="7">
        <v>2930.6469999999999</v>
      </c>
      <c r="J104" s="7">
        <v>0</v>
      </c>
      <c r="K104" s="7">
        <v>0</v>
      </c>
      <c r="L104" s="7">
        <v>1002928.1040000001</v>
      </c>
      <c r="M104" s="7">
        <v>65116.072999999997</v>
      </c>
      <c r="N104" s="7">
        <v>0</v>
      </c>
      <c r="O104" s="7">
        <v>115.373</v>
      </c>
      <c r="P104" s="7">
        <v>15.237</v>
      </c>
      <c r="Q104" s="7">
        <v>123.863</v>
      </c>
      <c r="R104" s="7">
        <v>0</v>
      </c>
      <c r="S104" s="7">
        <v>26519.897000000001</v>
      </c>
      <c r="T104" s="7">
        <v>0</v>
      </c>
      <c r="U104" s="7">
        <v>0</v>
      </c>
      <c r="V104" s="7">
        <v>0</v>
      </c>
      <c r="W104" s="7">
        <v>9018.0869999999995</v>
      </c>
      <c r="X104" s="7">
        <v>0</v>
      </c>
      <c r="Y104" s="7">
        <v>194820.163</v>
      </c>
      <c r="Z104" s="7">
        <v>0</v>
      </c>
      <c r="AA104" s="7">
        <v>0</v>
      </c>
      <c r="AB104" s="7">
        <v>6983.78</v>
      </c>
      <c r="AC104" s="7">
        <v>15736.439</v>
      </c>
      <c r="AD104" s="7">
        <v>0</v>
      </c>
      <c r="AE104" s="7">
        <v>483627.34299999999</v>
      </c>
      <c r="AF104" s="7">
        <v>304835.33500000002</v>
      </c>
      <c r="AG104" s="7">
        <v>0</v>
      </c>
      <c r="AH104" s="7">
        <v>1714138.6580000001</v>
      </c>
      <c r="AI104" s="7">
        <v>519524.05699999997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14704.819</v>
      </c>
      <c r="AP104" s="7">
        <v>0</v>
      </c>
      <c r="AQ104" s="7">
        <v>112734.553</v>
      </c>
      <c r="AR104" s="7">
        <v>0</v>
      </c>
      <c r="AS104" s="7">
        <v>251.32499999999999</v>
      </c>
      <c r="AT104" s="7">
        <v>0</v>
      </c>
      <c r="AU104" s="7">
        <v>1710.665</v>
      </c>
      <c r="AV104" s="7">
        <v>0</v>
      </c>
      <c r="AW104" s="7">
        <v>0</v>
      </c>
      <c r="AX104" s="7">
        <v>0</v>
      </c>
      <c r="AY104" s="7">
        <v>4596.3410000000003</v>
      </c>
      <c r="AZ104" s="7">
        <v>132711.742</v>
      </c>
      <c r="BA104" s="7">
        <v>0</v>
      </c>
      <c r="BB104" s="7">
        <v>5200.1229999999996</v>
      </c>
      <c r="BC104" s="7">
        <v>0</v>
      </c>
      <c r="BD104" s="7">
        <v>161420.37599999999</v>
      </c>
      <c r="BE104" s="7">
        <v>1304.886</v>
      </c>
      <c r="BF104" s="7">
        <v>1304.886</v>
      </c>
      <c r="BG104" s="7">
        <v>53522.745000000003</v>
      </c>
      <c r="BH104" s="7">
        <v>0</v>
      </c>
      <c r="BI104" s="7">
        <v>0</v>
      </c>
      <c r="BJ104" s="21"/>
    </row>
    <row r="105" spans="1:62" ht="15.6" x14ac:dyDescent="0.3">
      <c r="A105" s="5" t="s">
        <v>196</v>
      </c>
      <c r="B105" s="5" t="s">
        <v>197</v>
      </c>
      <c r="C105" s="7">
        <v>4</v>
      </c>
      <c r="D105" s="7">
        <v>4</v>
      </c>
      <c r="E105" s="7">
        <v>217631.54</v>
      </c>
      <c r="F105" s="7">
        <v>41238.417999999998</v>
      </c>
      <c r="G105" s="7">
        <v>0</v>
      </c>
      <c r="H105" s="7">
        <v>3424.645</v>
      </c>
      <c r="I105" s="7">
        <v>1481.7539999999999</v>
      </c>
      <c r="J105" s="7">
        <v>0</v>
      </c>
      <c r="K105" s="7">
        <v>0</v>
      </c>
      <c r="L105" s="7">
        <v>500641.45299999998</v>
      </c>
      <c r="M105" s="7">
        <v>32923.103999999999</v>
      </c>
      <c r="N105" s="7">
        <v>0</v>
      </c>
      <c r="O105" s="7">
        <v>21.928000000000001</v>
      </c>
      <c r="P105" s="7">
        <v>7.7039999999999997</v>
      </c>
      <c r="Q105" s="7">
        <v>23.542000000000002</v>
      </c>
      <c r="R105" s="7">
        <v>0</v>
      </c>
      <c r="S105" s="7">
        <v>13408.63</v>
      </c>
      <c r="T105" s="7">
        <v>0</v>
      </c>
      <c r="U105" s="7">
        <v>0</v>
      </c>
      <c r="V105" s="7">
        <v>0</v>
      </c>
      <c r="W105" s="7">
        <v>4559.6030000000001</v>
      </c>
      <c r="X105" s="7">
        <v>0</v>
      </c>
      <c r="Y105" s="7">
        <v>98502.324999999997</v>
      </c>
      <c r="Z105" s="7">
        <v>0</v>
      </c>
      <c r="AA105" s="7">
        <v>0</v>
      </c>
      <c r="AB105" s="7">
        <v>1327.3779999999999</v>
      </c>
      <c r="AC105" s="7">
        <v>7956.4440000000004</v>
      </c>
      <c r="AD105" s="7">
        <v>0</v>
      </c>
      <c r="AE105" s="7">
        <v>242894.42600000001</v>
      </c>
      <c r="AF105" s="7">
        <v>154126.70199999999</v>
      </c>
      <c r="AG105" s="7">
        <v>0</v>
      </c>
      <c r="AH105" s="7">
        <v>859798.71200000006</v>
      </c>
      <c r="AI105" s="7">
        <v>262674.69799999997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7434.8509999999997</v>
      </c>
      <c r="AP105" s="7">
        <v>0</v>
      </c>
      <c r="AQ105" s="7">
        <v>56999.313999999998</v>
      </c>
      <c r="AR105" s="7">
        <v>0</v>
      </c>
      <c r="AS105" s="7">
        <v>127.072</v>
      </c>
      <c r="AT105" s="7">
        <v>0</v>
      </c>
      <c r="AU105" s="7">
        <v>864.923</v>
      </c>
      <c r="AV105" s="7">
        <v>0</v>
      </c>
      <c r="AW105" s="7">
        <v>0</v>
      </c>
      <c r="AX105" s="7">
        <v>0</v>
      </c>
      <c r="AY105" s="7">
        <v>2323.94</v>
      </c>
      <c r="AZ105" s="7">
        <v>67099.909</v>
      </c>
      <c r="BA105" s="7">
        <v>0</v>
      </c>
      <c r="BB105" s="7">
        <v>2629.2159999999999</v>
      </c>
      <c r="BC105" s="7">
        <v>0</v>
      </c>
      <c r="BD105" s="7">
        <v>81615.178</v>
      </c>
      <c r="BE105" s="7">
        <v>659.75900000000001</v>
      </c>
      <c r="BF105" s="7">
        <v>659.75900000000001</v>
      </c>
      <c r="BG105" s="7">
        <v>27061.442999999999</v>
      </c>
      <c r="BH105" s="7">
        <v>0</v>
      </c>
      <c r="BI105" s="7">
        <v>0</v>
      </c>
      <c r="BJ105" s="21"/>
    </row>
    <row r="106" spans="1:62" ht="15.6" x14ac:dyDescent="0.3">
      <c r="A106" s="5" t="s">
        <v>198</v>
      </c>
      <c r="B106" s="5" t="s">
        <v>199</v>
      </c>
      <c r="C106" s="7">
        <v>4</v>
      </c>
      <c r="D106" s="7">
        <v>4</v>
      </c>
      <c r="E106" s="7">
        <v>103899.83199999999</v>
      </c>
      <c r="F106" s="7">
        <v>19260.129000000001</v>
      </c>
      <c r="G106" s="7">
        <v>338.65600000000001</v>
      </c>
      <c r="H106" s="7">
        <v>4002.9850000000001</v>
      </c>
      <c r="I106" s="7">
        <v>709.75</v>
      </c>
      <c r="J106" s="7">
        <v>198.37200000000001</v>
      </c>
      <c r="K106" s="7">
        <v>0</v>
      </c>
      <c r="L106" s="7">
        <v>230577.96599999999</v>
      </c>
      <c r="M106" s="7">
        <v>16506.644</v>
      </c>
      <c r="N106" s="7">
        <v>0</v>
      </c>
      <c r="O106" s="7">
        <v>120.80200000000001</v>
      </c>
      <c r="P106" s="7">
        <v>3.544</v>
      </c>
      <c r="Q106" s="7">
        <v>129.691</v>
      </c>
      <c r="R106" s="7">
        <v>0</v>
      </c>
      <c r="S106" s="7">
        <v>6214.5590000000002</v>
      </c>
      <c r="T106" s="7">
        <v>0</v>
      </c>
      <c r="U106" s="7">
        <v>0</v>
      </c>
      <c r="V106" s="7">
        <v>45.119</v>
      </c>
      <c r="W106" s="7">
        <v>2145.1990000000001</v>
      </c>
      <c r="X106" s="7">
        <v>0</v>
      </c>
      <c r="Y106" s="7">
        <v>45188.582999999999</v>
      </c>
      <c r="Z106" s="7">
        <v>0</v>
      </c>
      <c r="AA106" s="7">
        <v>530.77800000000002</v>
      </c>
      <c r="AB106" s="7">
        <v>7312.41</v>
      </c>
      <c r="AC106" s="7">
        <v>3666.1329999999998</v>
      </c>
      <c r="AD106" s="7">
        <v>0</v>
      </c>
      <c r="AE106" s="7">
        <v>116049.747</v>
      </c>
      <c r="AF106" s="7">
        <v>70323.56</v>
      </c>
      <c r="AG106" s="7">
        <v>0</v>
      </c>
      <c r="AH106" s="7">
        <v>395805.85399999999</v>
      </c>
      <c r="AI106" s="7">
        <v>119855.174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3425.652</v>
      </c>
      <c r="AP106" s="7">
        <v>0</v>
      </c>
      <c r="AQ106" s="7">
        <v>26006.239000000001</v>
      </c>
      <c r="AR106" s="7">
        <v>0</v>
      </c>
      <c r="AS106" s="7">
        <v>58.828000000000003</v>
      </c>
      <c r="AT106" s="7">
        <v>0</v>
      </c>
      <c r="AU106" s="7">
        <v>418.72800000000001</v>
      </c>
      <c r="AV106" s="7">
        <v>0</v>
      </c>
      <c r="AW106" s="7">
        <v>0</v>
      </c>
      <c r="AX106" s="7">
        <v>0</v>
      </c>
      <c r="AY106" s="7">
        <v>1084.163</v>
      </c>
      <c r="AZ106" s="7">
        <v>30614.688999999998</v>
      </c>
      <c r="BA106" s="7">
        <v>0</v>
      </c>
      <c r="BB106" s="7">
        <v>1211.4580000000001</v>
      </c>
      <c r="BC106" s="7">
        <v>14.871</v>
      </c>
      <c r="BD106" s="7">
        <v>37237.358</v>
      </c>
      <c r="BE106" s="7">
        <v>304.053</v>
      </c>
      <c r="BF106" s="7">
        <v>304.053</v>
      </c>
      <c r="BG106" s="7">
        <v>12346.927</v>
      </c>
      <c r="BH106" s="7">
        <v>0</v>
      </c>
      <c r="BI106" s="7">
        <v>6.9969999999999999</v>
      </c>
      <c r="BJ106" s="21"/>
    </row>
    <row r="107" spans="1:62" ht="15.6" x14ac:dyDescent="0.3">
      <c r="A107" s="5" t="s">
        <v>200</v>
      </c>
      <c r="B107" s="5" t="s">
        <v>201</v>
      </c>
      <c r="C107" s="7">
        <v>4</v>
      </c>
      <c r="D107" s="7">
        <v>4</v>
      </c>
      <c r="E107" s="7">
        <v>446.38799999999998</v>
      </c>
      <c r="F107" s="7">
        <v>79.212999999999994</v>
      </c>
      <c r="G107" s="7">
        <v>1.2929999999999999</v>
      </c>
      <c r="H107" s="7">
        <v>0</v>
      </c>
      <c r="I107" s="7">
        <v>2.944</v>
      </c>
      <c r="J107" s="7">
        <v>0.75700000000000001</v>
      </c>
      <c r="K107" s="7">
        <v>0</v>
      </c>
      <c r="L107" s="7">
        <v>953.91200000000003</v>
      </c>
      <c r="M107" s="7">
        <v>65.724000000000004</v>
      </c>
      <c r="N107" s="7">
        <v>0</v>
      </c>
      <c r="O107" s="7">
        <v>1.3360000000000001</v>
      </c>
      <c r="P107" s="7">
        <v>1.4999999999999999E-2</v>
      </c>
      <c r="Q107" s="7">
        <v>1.4339999999999999</v>
      </c>
      <c r="R107" s="7">
        <v>0</v>
      </c>
      <c r="S107" s="7">
        <v>25.849</v>
      </c>
      <c r="T107" s="7">
        <v>0</v>
      </c>
      <c r="U107" s="7">
        <v>0</v>
      </c>
      <c r="V107" s="7">
        <v>0.17199999999999999</v>
      </c>
      <c r="W107" s="7">
        <v>8.9120000000000008</v>
      </c>
      <c r="X107" s="7">
        <v>0</v>
      </c>
      <c r="Y107" s="7">
        <v>188.119</v>
      </c>
      <c r="Z107" s="7">
        <v>0</v>
      </c>
      <c r="AA107" s="7">
        <v>2.0259999999999998</v>
      </c>
      <c r="AB107" s="7">
        <v>80.855999999999995</v>
      </c>
      <c r="AC107" s="7">
        <v>15.257</v>
      </c>
      <c r="AD107" s="7">
        <v>0</v>
      </c>
      <c r="AE107" s="7">
        <v>520.53700000000003</v>
      </c>
      <c r="AF107" s="7">
        <v>292.87900000000002</v>
      </c>
      <c r="AG107" s="7">
        <v>0</v>
      </c>
      <c r="AH107" s="7">
        <v>1639.6089999999999</v>
      </c>
      <c r="AI107" s="7">
        <v>499.14800000000002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14.256</v>
      </c>
      <c r="AP107" s="7">
        <v>0</v>
      </c>
      <c r="AQ107" s="7">
        <v>108.313</v>
      </c>
      <c r="AR107" s="7">
        <v>0</v>
      </c>
      <c r="AS107" s="7">
        <v>0.245</v>
      </c>
      <c r="AT107" s="7">
        <v>0</v>
      </c>
      <c r="AU107" s="7">
        <v>1.736</v>
      </c>
      <c r="AV107" s="7">
        <v>0</v>
      </c>
      <c r="AW107" s="7">
        <v>0</v>
      </c>
      <c r="AX107" s="7">
        <v>0</v>
      </c>
      <c r="AY107" s="7">
        <v>4.5069999999999997</v>
      </c>
      <c r="AZ107" s="7">
        <v>127.50700000000001</v>
      </c>
      <c r="BA107" s="7">
        <v>0</v>
      </c>
      <c r="BB107" s="7">
        <v>5.0410000000000004</v>
      </c>
      <c r="BC107" s="7">
        <v>5.7000000000000002E-2</v>
      </c>
      <c r="BD107" s="7">
        <v>155.089</v>
      </c>
      <c r="BE107" s="7">
        <v>1.2649999999999999</v>
      </c>
      <c r="BF107" s="7">
        <v>1.2649999999999999</v>
      </c>
      <c r="BG107" s="7">
        <v>51.423999999999999</v>
      </c>
      <c r="BH107" s="7">
        <v>0</v>
      </c>
      <c r="BI107" s="7">
        <v>2.7E-2</v>
      </c>
      <c r="BJ107" s="21"/>
    </row>
    <row r="108" spans="1:62" ht="15.6" x14ac:dyDescent="0.3">
      <c r="A108" s="5" t="s">
        <v>202</v>
      </c>
      <c r="B108" s="5" t="s">
        <v>203</v>
      </c>
      <c r="C108" s="7">
        <v>4</v>
      </c>
      <c r="D108" s="7">
        <v>4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21"/>
    </row>
    <row r="109" spans="1:62" ht="15.6" x14ac:dyDescent="0.3">
      <c r="A109" s="5" t="s">
        <v>204</v>
      </c>
      <c r="B109" s="5" t="s">
        <v>205</v>
      </c>
      <c r="C109" s="7">
        <v>4</v>
      </c>
      <c r="D109" s="7">
        <v>4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21"/>
    </row>
    <row r="110" spans="1:62" ht="15.6" x14ac:dyDescent="0.3">
      <c r="A110" s="5" t="s">
        <v>206</v>
      </c>
      <c r="B110" s="5" t="s">
        <v>207</v>
      </c>
      <c r="C110" s="7">
        <v>6</v>
      </c>
      <c r="D110" s="7">
        <v>6</v>
      </c>
      <c r="E110" s="7">
        <v>94096.967999999993</v>
      </c>
      <c r="F110" s="7">
        <v>566.83299999999997</v>
      </c>
      <c r="G110" s="7">
        <v>0</v>
      </c>
      <c r="H110" s="7">
        <v>9969.5020000000004</v>
      </c>
      <c r="I110" s="7">
        <v>4.1000000000000002E-2</v>
      </c>
      <c r="J110" s="7">
        <v>0</v>
      </c>
      <c r="K110" s="7">
        <v>0</v>
      </c>
      <c r="L110" s="7">
        <v>136971.91899999999</v>
      </c>
      <c r="M110" s="7">
        <v>21916.206999999999</v>
      </c>
      <c r="N110" s="7">
        <v>0</v>
      </c>
      <c r="O110" s="7">
        <v>0</v>
      </c>
      <c r="P110" s="7">
        <v>0</v>
      </c>
      <c r="Q110" s="7">
        <v>0</v>
      </c>
      <c r="R110" s="7">
        <v>2E-3</v>
      </c>
      <c r="S110" s="7">
        <v>0.372</v>
      </c>
      <c r="T110" s="7">
        <v>0</v>
      </c>
      <c r="U110" s="7">
        <v>0</v>
      </c>
      <c r="V110" s="7">
        <v>0</v>
      </c>
      <c r="W110" s="7">
        <v>0.127</v>
      </c>
      <c r="X110" s="7">
        <v>0</v>
      </c>
      <c r="Y110" s="7">
        <v>35064.561000000002</v>
      </c>
      <c r="Z110" s="7">
        <v>0</v>
      </c>
      <c r="AA110" s="7">
        <v>0</v>
      </c>
      <c r="AB110" s="7">
        <v>0</v>
      </c>
      <c r="AC110" s="7">
        <v>0.221</v>
      </c>
      <c r="AD110" s="7">
        <v>0</v>
      </c>
      <c r="AE110" s="7">
        <v>114103.71799999999</v>
      </c>
      <c r="AF110" s="7">
        <v>6328.4319999999998</v>
      </c>
      <c r="AG110" s="7">
        <v>0</v>
      </c>
      <c r="AH110" s="7">
        <v>328690.18199999997</v>
      </c>
      <c r="AI110" s="7">
        <v>7748.6729999999998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0.20599999999999999</v>
      </c>
      <c r="AP110" s="7">
        <v>0</v>
      </c>
      <c r="AQ110" s="7">
        <v>1.5820000000000001</v>
      </c>
      <c r="AR110" s="7">
        <v>0</v>
      </c>
      <c r="AS110" s="7">
        <v>8.9999999999999993E-3</v>
      </c>
      <c r="AT110" s="7">
        <v>0</v>
      </c>
      <c r="AU110" s="7">
        <v>2.4E-2</v>
      </c>
      <c r="AV110" s="7">
        <v>0</v>
      </c>
      <c r="AW110" s="7">
        <v>0</v>
      </c>
      <c r="AX110" s="7">
        <v>0</v>
      </c>
      <c r="AY110" s="7">
        <v>6.5000000000000002E-2</v>
      </c>
      <c r="AZ110" s="7">
        <v>1.8620000000000001</v>
      </c>
      <c r="BA110" s="7">
        <v>0</v>
      </c>
      <c r="BB110" s="7">
        <v>7.2999999999999995E-2</v>
      </c>
      <c r="BC110" s="7">
        <v>0</v>
      </c>
      <c r="BD110" s="7">
        <v>2.2650000000000001</v>
      </c>
      <c r="BE110" s="7">
        <v>1.7999999999999999E-2</v>
      </c>
      <c r="BF110" s="7">
        <v>1.7999999999999999E-2</v>
      </c>
      <c r="BG110" s="7">
        <v>0.751</v>
      </c>
      <c r="BH110" s="7">
        <v>0</v>
      </c>
      <c r="BI110" s="7">
        <v>0</v>
      </c>
      <c r="BJ110" s="21"/>
    </row>
    <row r="111" spans="1:62" ht="15.6" x14ac:dyDescent="0.3">
      <c r="A111" s="5" t="s">
        <v>208</v>
      </c>
      <c r="B111" s="5" t="s">
        <v>209</v>
      </c>
      <c r="C111" s="7">
        <v>4</v>
      </c>
      <c r="D111" s="7">
        <v>4</v>
      </c>
      <c r="E111" s="7">
        <v>104558.848</v>
      </c>
      <c r="F111" s="7">
        <v>19885.643</v>
      </c>
      <c r="G111" s="7">
        <v>0</v>
      </c>
      <c r="H111" s="7">
        <v>0</v>
      </c>
      <c r="I111" s="7">
        <v>711.18899999999996</v>
      </c>
      <c r="J111" s="7">
        <v>0</v>
      </c>
      <c r="K111" s="7">
        <v>0</v>
      </c>
      <c r="L111" s="7">
        <v>241633.42600000001</v>
      </c>
      <c r="M111" s="7">
        <v>15798.852999999999</v>
      </c>
      <c r="N111" s="7">
        <v>0</v>
      </c>
      <c r="O111" s="7">
        <v>0</v>
      </c>
      <c r="P111" s="7">
        <v>3.6789999999999998</v>
      </c>
      <c r="Q111" s="7">
        <v>0</v>
      </c>
      <c r="R111" s="7">
        <v>0</v>
      </c>
      <c r="S111" s="7">
        <v>6458.97</v>
      </c>
      <c r="T111" s="7">
        <v>0</v>
      </c>
      <c r="U111" s="7">
        <v>0</v>
      </c>
      <c r="V111" s="7">
        <v>0</v>
      </c>
      <c r="W111" s="7">
        <v>2193.96</v>
      </c>
      <c r="X111" s="7">
        <v>0</v>
      </c>
      <c r="Y111" s="7">
        <v>47468.029000000002</v>
      </c>
      <c r="Z111" s="7">
        <v>0</v>
      </c>
      <c r="AA111" s="7">
        <v>0</v>
      </c>
      <c r="AB111" s="7">
        <v>9.8469999999999995</v>
      </c>
      <c r="AC111" s="7">
        <v>3831.7669999999998</v>
      </c>
      <c r="AD111" s="7">
        <v>0</v>
      </c>
      <c r="AE111" s="7">
        <v>116621.186</v>
      </c>
      <c r="AF111" s="7">
        <v>74328.554000000004</v>
      </c>
      <c r="AG111" s="7">
        <v>0</v>
      </c>
      <c r="AH111" s="7">
        <v>415103.12800000003</v>
      </c>
      <c r="AI111" s="7">
        <v>126530.753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3587.4859999999999</v>
      </c>
      <c r="AP111" s="7">
        <v>0</v>
      </c>
      <c r="AQ111" s="7">
        <v>27490.057000000001</v>
      </c>
      <c r="AR111" s="7">
        <v>0</v>
      </c>
      <c r="AS111" s="7">
        <v>61.258000000000003</v>
      </c>
      <c r="AT111" s="7">
        <v>0</v>
      </c>
      <c r="AU111" s="7">
        <v>537.303</v>
      </c>
      <c r="AV111" s="7">
        <v>0</v>
      </c>
      <c r="AW111" s="7">
        <v>0</v>
      </c>
      <c r="AX111" s="7">
        <v>0</v>
      </c>
      <c r="AY111" s="7">
        <v>1109.865</v>
      </c>
      <c r="AZ111" s="7">
        <v>32045.506000000001</v>
      </c>
      <c r="BA111" s="7">
        <v>0</v>
      </c>
      <c r="BB111" s="7">
        <v>1268.6279999999999</v>
      </c>
      <c r="BC111" s="7">
        <v>0</v>
      </c>
      <c r="BD111" s="7">
        <v>38977.694000000003</v>
      </c>
      <c r="BE111" s="7">
        <v>318.56599999999997</v>
      </c>
      <c r="BF111" s="7">
        <v>318.56599999999997</v>
      </c>
      <c r="BG111" s="7">
        <v>12923.976000000001</v>
      </c>
      <c r="BH111" s="7">
        <v>0</v>
      </c>
      <c r="BI111" s="7">
        <v>0</v>
      </c>
      <c r="BJ111" s="21"/>
    </row>
    <row r="112" spans="1:62" ht="15.6" x14ac:dyDescent="0.3">
      <c r="A112" s="5" t="s">
        <v>210</v>
      </c>
      <c r="B112" s="5" t="s">
        <v>211</v>
      </c>
      <c r="C112" s="7">
        <v>4</v>
      </c>
      <c r="D112" s="7">
        <v>4</v>
      </c>
      <c r="E112" s="7">
        <v>152322.62599999999</v>
      </c>
      <c r="F112" s="7">
        <v>37263.584999999999</v>
      </c>
      <c r="G112" s="7">
        <v>0</v>
      </c>
      <c r="H112" s="7">
        <v>0</v>
      </c>
      <c r="I112" s="7">
        <v>937.49900000000002</v>
      </c>
      <c r="J112" s="7">
        <v>0</v>
      </c>
      <c r="K112" s="7">
        <v>0</v>
      </c>
      <c r="L112" s="7">
        <v>394970.21899999998</v>
      </c>
      <c r="M112" s="7">
        <v>19195.539000000001</v>
      </c>
      <c r="N112" s="7">
        <v>0</v>
      </c>
      <c r="O112" s="7">
        <v>0</v>
      </c>
      <c r="P112" s="7">
        <v>0.40600000000000003</v>
      </c>
      <c r="Q112" s="7">
        <v>0</v>
      </c>
      <c r="R112" s="7">
        <v>0</v>
      </c>
      <c r="S112" s="7">
        <v>11638.259</v>
      </c>
      <c r="T112" s="7">
        <v>0</v>
      </c>
      <c r="U112" s="7">
        <v>0</v>
      </c>
      <c r="V112" s="7">
        <v>0</v>
      </c>
      <c r="W112" s="7">
        <v>3536.152</v>
      </c>
      <c r="X112" s="7">
        <v>77087.611999999994</v>
      </c>
      <c r="Y112" s="7">
        <v>79362.341</v>
      </c>
      <c r="Z112" s="7">
        <v>0</v>
      </c>
      <c r="AA112" s="7">
        <v>0</v>
      </c>
      <c r="AB112" s="7">
        <v>0</v>
      </c>
      <c r="AC112" s="7">
        <v>6645.884</v>
      </c>
      <c r="AD112" s="7">
        <v>0</v>
      </c>
      <c r="AE112" s="7">
        <v>197010.997</v>
      </c>
      <c r="AF112" s="7">
        <v>140640.13399999999</v>
      </c>
      <c r="AG112" s="7">
        <v>0</v>
      </c>
      <c r="AH112" s="7">
        <v>769930.23800000001</v>
      </c>
      <c r="AI112" s="7">
        <v>216468.383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7030.7730000000001</v>
      </c>
      <c r="AP112" s="7">
        <v>67982.114000000001</v>
      </c>
      <c r="AQ112" s="7">
        <v>50538.764999999999</v>
      </c>
      <c r="AR112" s="7">
        <v>21812.460999999999</v>
      </c>
      <c r="AS112" s="7">
        <v>109.95699999999999</v>
      </c>
      <c r="AT112" s="7">
        <v>0</v>
      </c>
      <c r="AU112" s="7">
        <v>697.15</v>
      </c>
      <c r="AV112" s="7">
        <v>66986.751000000004</v>
      </c>
      <c r="AW112" s="7">
        <v>102644.731</v>
      </c>
      <c r="AX112" s="7">
        <v>86272.864000000001</v>
      </c>
      <c r="AY112" s="7">
        <v>122.61199999999999</v>
      </c>
      <c r="AZ112" s="7">
        <v>3540.2289999999998</v>
      </c>
      <c r="BA112" s="7">
        <v>63072.387000000002</v>
      </c>
      <c r="BB112" s="7">
        <v>2481.1579999999999</v>
      </c>
      <c r="BC112" s="7">
        <v>0</v>
      </c>
      <c r="BD112" s="7">
        <v>4306.0630000000001</v>
      </c>
      <c r="BE112" s="7">
        <v>663.08399999999995</v>
      </c>
      <c r="BF112" s="7">
        <v>663.08399999999995</v>
      </c>
      <c r="BG112" s="7">
        <v>1427.777</v>
      </c>
      <c r="BH112" s="7">
        <v>0</v>
      </c>
      <c r="BI112" s="7">
        <v>0</v>
      </c>
      <c r="BJ112" s="21"/>
    </row>
    <row r="113" spans="1:62" ht="15.6" x14ac:dyDescent="0.3">
      <c r="A113" s="5" t="s">
        <v>212</v>
      </c>
      <c r="B113" s="5" t="s">
        <v>213</v>
      </c>
      <c r="C113" s="7">
        <v>4</v>
      </c>
      <c r="D113" s="7">
        <v>4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21"/>
    </row>
    <row r="114" spans="1:62" ht="15.6" x14ac:dyDescent="0.3">
      <c r="A114" s="5" t="s">
        <v>214</v>
      </c>
      <c r="B114" s="5" t="s">
        <v>215</v>
      </c>
      <c r="C114" s="7">
        <v>6</v>
      </c>
      <c r="D114" s="7">
        <v>6</v>
      </c>
      <c r="E114" s="7">
        <v>0.66600000000000004</v>
      </c>
      <c r="F114" s="7">
        <v>38.651000000000003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-0.21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323.87</v>
      </c>
      <c r="AF114" s="7">
        <v>21.658000000000001</v>
      </c>
      <c r="AG114" s="7">
        <v>0</v>
      </c>
      <c r="AH114" s="7">
        <v>270.44600000000003</v>
      </c>
      <c r="AI114" s="7">
        <v>11.329000000000001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21"/>
    </row>
    <row r="115" spans="1:62" ht="15.6" x14ac:dyDescent="0.3">
      <c r="A115" s="5" t="s">
        <v>216</v>
      </c>
      <c r="B115" s="5" t="s">
        <v>217</v>
      </c>
      <c r="C115" s="7">
        <v>6</v>
      </c>
      <c r="D115" s="7">
        <v>6</v>
      </c>
      <c r="E115" s="7">
        <v>87664.962</v>
      </c>
      <c r="F115" s="7">
        <v>847.82399999999996</v>
      </c>
      <c r="G115" s="7">
        <v>0</v>
      </c>
      <c r="H115" s="7">
        <v>0</v>
      </c>
      <c r="I115" s="7">
        <v>79.483000000000004</v>
      </c>
      <c r="J115" s="7">
        <v>0</v>
      </c>
      <c r="K115" s="7">
        <v>0</v>
      </c>
      <c r="L115" s="7">
        <v>179999.05100000001</v>
      </c>
      <c r="M115" s="7">
        <v>38529.756000000001</v>
      </c>
      <c r="N115" s="7">
        <v>0</v>
      </c>
      <c r="O115" s="7">
        <v>0</v>
      </c>
      <c r="P115" s="7">
        <v>26.494</v>
      </c>
      <c r="Q115" s="7">
        <v>0</v>
      </c>
      <c r="R115" s="7">
        <v>26.494</v>
      </c>
      <c r="S115" s="7">
        <v>0</v>
      </c>
      <c r="T115" s="7">
        <v>0</v>
      </c>
      <c r="U115" s="7">
        <v>0</v>
      </c>
      <c r="V115" s="7">
        <v>0</v>
      </c>
      <c r="W115" s="7">
        <v>264.94499999999999</v>
      </c>
      <c r="X115" s="7">
        <v>0</v>
      </c>
      <c r="Y115" s="7">
        <v>19883.644</v>
      </c>
      <c r="Z115" s="7">
        <v>0</v>
      </c>
      <c r="AA115" s="7">
        <v>2490.4839999999999</v>
      </c>
      <c r="AB115" s="7">
        <v>0</v>
      </c>
      <c r="AC115" s="7">
        <v>211.95599999999999</v>
      </c>
      <c r="AD115" s="7">
        <v>0</v>
      </c>
      <c r="AE115" s="7">
        <v>54824.644</v>
      </c>
      <c r="AF115" s="7">
        <v>28.305</v>
      </c>
      <c r="AG115" s="7">
        <v>0</v>
      </c>
      <c r="AH115" s="7">
        <v>289455.15600000002</v>
      </c>
      <c r="AI115" s="7">
        <v>4025.3629999999998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21"/>
    </row>
    <row r="116" spans="1:62" ht="15.6" x14ac:dyDescent="0.3">
      <c r="A116" s="5" t="s">
        <v>218</v>
      </c>
      <c r="B116" s="5" t="s">
        <v>219</v>
      </c>
      <c r="C116" s="7">
        <v>4</v>
      </c>
      <c r="D116" s="7">
        <v>4</v>
      </c>
      <c r="E116" s="7">
        <v>48598.038999999997</v>
      </c>
      <c r="F116" s="7">
        <v>8990.15</v>
      </c>
      <c r="G116" s="7">
        <v>0</v>
      </c>
      <c r="H116" s="7">
        <v>27917.326000000001</v>
      </c>
      <c r="I116" s="7">
        <v>323.029</v>
      </c>
      <c r="J116" s="7">
        <v>0</v>
      </c>
      <c r="K116" s="7">
        <v>0</v>
      </c>
      <c r="L116" s="7">
        <v>109147.34299999999</v>
      </c>
      <c r="M116" s="7">
        <v>7177.3770000000004</v>
      </c>
      <c r="N116" s="7">
        <v>0</v>
      </c>
      <c r="O116" s="7">
        <v>60.694000000000003</v>
      </c>
      <c r="P116" s="7">
        <v>1.679</v>
      </c>
      <c r="Q116" s="7">
        <v>65.16</v>
      </c>
      <c r="R116" s="7">
        <v>0</v>
      </c>
      <c r="S116" s="7">
        <v>2923.1379999999999</v>
      </c>
      <c r="T116" s="7">
        <v>0</v>
      </c>
      <c r="U116" s="7">
        <v>0</v>
      </c>
      <c r="V116" s="7">
        <v>0</v>
      </c>
      <c r="W116" s="7">
        <v>994.01300000000003</v>
      </c>
      <c r="X116" s="7">
        <v>0</v>
      </c>
      <c r="Y116" s="7">
        <v>21473.924999999999</v>
      </c>
      <c r="Z116" s="7">
        <v>0</v>
      </c>
      <c r="AA116" s="7">
        <v>0</v>
      </c>
      <c r="AB116" s="7">
        <v>3673.92</v>
      </c>
      <c r="AC116" s="7">
        <v>1734.539</v>
      </c>
      <c r="AD116" s="7">
        <v>11521.521000000001</v>
      </c>
      <c r="AE116" s="7">
        <v>55456.504000000001</v>
      </c>
      <c r="AF116" s="7">
        <v>33600.275000000001</v>
      </c>
      <c r="AG116" s="7">
        <v>53339.635000000002</v>
      </c>
      <c r="AH116" s="7">
        <v>187439.77</v>
      </c>
      <c r="AI116" s="7">
        <v>57264.2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1620.829</v>
      </c>
      <c r="AP116" s="7">
        <v>0</v>
      </c>
      <c r="AQ116" s="7">
        <v>12426.092000000001</v>
      </c>
      <c r="AR116" s="7">
        <v>0</v>
      </c>
      <c r="AS116" s="7">
        <v>27.702000000000002</v>
      </c>
      <c r="AT116" s="7">
        <v>0</v>
      </c>
      <c r="AU116" s="7">
        <v>2677.9079999999999</v>
      </c>
      <c r="AV116" s="7">
        <v>0</v>
      </c>
      <c r="AW116" s="7">
        <v>0</v>
      </c>
      <c r="AX116" s="7">
        <v>0</v>
      </c>
      <c r="AY116" s="7">
        <v>506.62900000000002</v>
      </c>
      <c r="AZ116" s="7">
        <v>34546.898000000001</v>
      </c>
      <c r="BA116" s="7">
        <v>0</v>
      </c>
      <c r="BB116" s="7">
        <v>573.17999999999995</v>
      </c>
      <c r="BC116" s="7">
        <v>0</v>
      </c>
      <c r="BD116" s="7">
        <v>17792.455000000002</v>
      </c>
      <c r="BE116" s="7">
        <v>143.83000000000001</v>
      </c>
      <c r="BF116" s="7">
        <v>143.83000000000001</v>
      </c>
      <c r="BG116" s="7">
        <v>5899.51</v>
      </c>
      <c r="BH116" s="7">
        <v>0</v>
      </c>
      <c r="BI116" s="7">
        <v>0</v>
      </c>
      <c r="BJ116" s="21"/>
    </row>
    <row r="117" spans="1:62" ht="15.6" x14ac:dyDescent="0.3">
      <c r="A117" s="5" t="s">
        <v>220</v>
      </c>
      <c r="B117" s="5" t="s">
        <v>221</v>
      </c>
      <c r="C117" s="7">
        <v>4</v>
      </c>
      <c r="D117" s="7">
        <v>4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306.89299999999997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678336.92</v>
      </c>
      <c r="AL117" s="7">
        <v>367825.67599999998</v>
      </c>
      <c r="AM117" s="7">
        <v>0</v>
      </c>
      <c r="AN117" s="7">
        <v>242922.93400000001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1702.9179999999999</v>
      </c>
      <c r="AV117" s="7">
        <v>0</v>
      </c>
      <c r="AW117" s="7">
        <v>0</v>
      </c>
      <c r="AX117" s="7">
        <v>343.46100000000001</v>
      </c>
      <c r="AY117" s="7">
        <v>0</v>
      </c>
      <c r="AZ117" s="7">
        <v>0</v>
      </c>
      <c r="BA117" s="7">
        <v>251.09700000000001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21"/>
    </row>
    <row r="118" spans="1:62" ht="15.6" x14ac:dyDescent="0.3">
      <c r="A118" s="5" t="s">
        <v>222</v>
      </c>
      <c r="B118" s="5" t="s">
        <v>223</v>
      </c>
      <c r="C118" s="7">
        <v>4</v>
      </c>
      <c r="D118" s="7">
        <v>3</v>
      </c>
      <c r="E118" s="7">
        <v>27818.884999999998</v>
      </c>
      <c r="F118" s="7">
        <v>3849.5680000000002</v>
      </c>
      <c r="G118" s="7">
        <v>5858.3879999999999</v>
      </c>
      <c r="H118" s="7">
        <v>0</v>
      </c>
      <c r="I118" s="7">
        <v>582.83299999999997</v>
      </c>
      <c r="J118" s="7">
        <v>3431.6239999999998</v>
      </c>
      <c r="K118" s="7">
        <v>11924.281000000001</v>
      </c>
      <c r="L118" s="7">
        <v>11076.089</v>
      </c>
      <c r="M118" s="7">
        <v>14331.388000000001</v>
      </c>
      <c r="N118" s="7">
        <v>2263.7559999999999</v>
      </c>
      <c r="O118" s="7">
        <v>0</v>
      </c>
      <c r="P118" s="7">
        <v>0.501</v>
      </c>
      <c r="Q118" s="7">
        <v>0</v>
      </c>
      <c r="R118" s="7">
        <v>0</v>
      </c>
      <c r="S118" s="7">
        <v>1674.5350000000001</v>
      </c>
      <c r="T118" s="7">
        <v>0</v>
      </c>
      <c r="U118" s="7">
        <v>9391.348</v>
      </c>
      <c r="V118" s="7">
        <v>780.51199999999994</v>
      </c>
      <c r="W118" s="7">
        <v>1121.9380000000001</v>
      </c>
      <c r="X118" s="7">
        <v>0</v>
      </c>
      <c r="Y118" s="7">
        <v>4262.0249999999996</v>
      </c>
      <c r="Z118" s="7">
        <v>0</v>
      </c>
      <c r="AA118" s="7">
        <v>9181.8860000000004</v>
      </c>
      <c r="AB118" s="7">
        <v>0</v>
      </c>
      <c r="AC118" s="7">
        <v>622.12099999999998</v>
      </c>
      <c r="AD118" s="7">
        <v>11554.83</v>
      </c>
      <c r="AE118" s="7">
        <v>4584.3220000000001</v>
      </c>
      <c r="AF118" s="7">
        <v>0</v>
      </c>
      <c r="AG118" s="7">
        <v>47969.434999999998</v>
      </c>
      <c r="AH118" s="7">
        <v>26241.223999999998</v>
      </c>
      <c r="AI118" s="7">
        <v>0</v>
      </c>
      <c r="AJ118" s="7">
        <v>0</v>
      </c>
      <c r="AK118" s="7">
        <v>0</v>
      </c>
      <c r="AL118" s="7">
        <v>0</v>
      </c>
      <c r="AM118" s="7">
        <v>2029.7660000000001</v>
      </c>
      <c r="AN118" s="7">
        <v>0</v>
      </c>
      <c r="AO118" s="7">
        <v>578.851</v>
      </c>
      <c r="AP118" s="7">
        <v>0</v>
      </c>
      <c r="AQ118" s="7">
        <v>0</v>
      </c>
      <c r="AR118" s="7">
        <v>0</v>
      </c>
      <c r="AS118" s="7">
        <v>60.024999999999999</v>
      </c>
      <c r="AT118" s="7">
        <v>0</v>
      </c>
      <c r="AU118" s="7">
        <v>2655.2710000000002</v>
      </c>
      <c r="AV118" s="7">
        <v>0</v>
      </c>
      <c r="AW118" s="7">
        <v>0</v>
      </c>
      <c r="AX118" s="7">
        <v>0</v>
      </c>
      <c r="AY118" s="7">
        <v>412.62700000000001</v>
      </c>
      <c r="AZ118" s="7">
        <v>0</v>
      </c>
      <c r="BA118" s="7">
        <v>0</v>
      </c>
      <c r="BB118" s="7">
        <v>205.24</v>
      </c>
      <c r="BC118" s="7">
        <v>257.24400000000003</v>
      </c>
      <c r="BD118" s="7">
        <v>0</v>
      </c>
      <c r="BE118" s="7">
        <v>52.499000000000002</v>
      </c>
      <c r="BF118" s="7">
        <v>52.499000000000002</v>
      </c>
      <c r="BG118" s="7">
        <v>0</v>
      </c>
      <c r="BH118" s="7">
        <v>0</v>
      </c>
      <c r="BI118" s="7">
        <v>121.035</v>
      </c>
      <c r="BJ118" s="21"/>
    </row>
    <row r="119" spans="1:62" ht="15.6" x14ac:dyDescent="0.3">
      <c r="A119" s="5" t="s">
        <v>224</v>
      </c>
      <c r="B119" s="5" t="s">
        <v>225</v>
      </c>
      <c r="C119" s="7">
        <v>4</v>
      </c>
      <c r="D119" s="7">
        <v>3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21"/>
    </row>
    <row r="120" spans="1:62" ht="15.6" x14ac:dyDescent="0.3">
      <c r="A120" s="5" t="s">
        <v>226</v>
      </c>
      <c r="B120" s="5" t="s">
        <v>227</v>
      </c>
      <c r="C120" s="7">
        <v>4</v>
      </c>
      <c r="D120" s="7">
        <v>4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21"/>
    </row>
    <row r="121" spans="1:62" ht="15.6" x14ac:dyDescent="0.3">
      <c r="A121" s="5" t="s">
        <v>228</v>
      </c>
      <c r="B121" s="5" t="s">
        <v>229</v>
      </c>
      <c r="C121" s="7">
        <v>4</v>
      </c>
      <c r="D121" s="7">
        <v>6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21"/>
    </row>
    <row r="122" spans="1:62" ht="15.6" x14ac:dyDescent="0.3">
      <c r="A122" s="5" t="s">
        <v>230</v>
      </c>
      <c r="B122" s="5" t="s">
        <v>231</v>
      </c>
      <c r="C122" s="7">
        <v>4</v>
      </c>
      <c r="D122" s="7">
        <v>4</v>
      </c>
      <c r="E122" s="7">
        <v>328194.64500000002</v>
      </c>
      <c r="F122" s="7">
        <v>74287.86</v>
      </c>
      <c r="G122" s="7">
        <v>0</v>
      </c>
      <c r="H122" s="7">
        <v>0</v>
      </c>
      <c r="I122" s="7">
        <v>1493.4559999999999</v>
      </c>
      <c r="J122" s="7">
        <v>0</v>
      </c>
      <c r="K122" s="7">
        <v>0</v>
      </c>
      <c r="L122" s="7">
        <v>858177.13100000005</v>
      </c>
      <c r="M122" s="7">
        <v>29814.328000000001</v>
      </c>
      <c r="N122" s="7">
        <v>0</v>
      </c>
      <c r="O122" s="7">
        <v>2025.644</v>
      </c>
      <c r="P122" s="7">
        <v>0</v>
      </c>
      <c r="Q122" s="7">
        <v>614.37</v>
      </c>
      <c r="R122" s="7">
        <v>0</v>
      </c>
      <c r="S122" s="7">
        <v>23299.971000000001</v>
      </c>
      <c r="T122" s="7">
        <v>0</v>
      </c>
      <c r="U122" s="7">
        <v>0</v>
      </c>
      <c r="V122" s="7">
        <v>0</v>
      </c>
      <c r="W122" s="7">
        <v>6908.22</v>
      </c>
      <c r="X122" s="7">
        <v>94252.334000000003</v>
      </c>
      <c r="Y122" s="7">
        <v>172867.345</v>
      </c>
      <c r="Z122" s="7">
        <v>38223.586000000003</v>
      </c>
      <c r="AA122" s="7">
        <v>0</v>
      </c>
      <c r="AB122" s="7">
        <v>46413.483999999997</v>
      </c>
      <c r="AC122" s="7">
        <v>13456.222</v>
      </c>
      <c r="AD122" s="7">
        <v>7512.652</v>
      </c>
      <c r="AE122" s="7">
        <v>442745.06599999999</v>
      </c>
      <c r="AF122" s="7">
        <v>293290.59299999999</v>
      </c>
      <c r="AG122" s="7">
        <v>32300.170999999998</v>
      </c>
      <c r="AH122" s="7">
        <v>1437414.226</v>
      </c>
      <c r="AI122" s="7">
        <v>445788.908</v>
      </c>
      <c r="AJ122" s="7">
        <v>213053.05100000001</v>
      </c>
      <c r="AK122" s="7">
        <v>1617316.3670000001</v>
      </c>
      <c r="AL122" s="7">
        <v>876983.79399999999</v>
      </c>
      <c r="AM122" s="7">
        <v>0</v>
      </c>
      <c r="AN122" s="7">
        <v>579185.98600000003</v>
      </c>
      <c r="AO122" s="7">
        <v>15474.630999999999</v>
      </c>
      <c r="AP122" s="7">
        <v>0</v>
      </c>
      <c r="AQ122" s="7">
        <v>108862.954</v>
      </c>
      <c r="AR122" s="7">
        <v>0</v>
      </c>
      <c r="AS122" s="7">
        <v>240.68600000000001</v>
      </c>
      <c r="AT122" s="7">
        <v>0</v>
      </c>
      <c r="AU122" s="7">
        <v>1518.7090000000001</v>
      </c>
      <c r="AV122" s="7">
        <v>0</v>
      </c>
      <c r="AW122" s="7">
        <v>0</v>
      </c>
      <c r="AX122" s="7">
        <v>105482.821</v>
      </c>
      <c r="AY122" s="7">
        <v>0</v>
      </c>
      <c r="AZ122" s="7">
        <v>0</v>
      </c>
      <c r="BA122" s="7">
        <v>77116.406000000003</v>
      </c>
      <c r="BB122" s="7">
        <v>5460.3230000000003</v>
      </c>
      <c r="BC122" s="7">
        <v>0</v>
      </c>
      <c r="BD122" s="7">
        <v>0</v>
      </c>
      <c r="BE122" s="7">
        <v>1464.5329999999999</v>
      </c>
      <c r="BF122" s="7">
        <v>1464.5329999999999</v>
      </c>
      <c r="BG122" s="7">
        <v>0</v>
      </c>
      <c r="BH122" s="7">
        <v>94883.027000000002</v>
      </c>
      <c r="BI122" s="7">
        <v>0</v>
      </c>
      <c r="BJ122" s="21"/>
    </row>
    <row r="123" spans="1:62" ht="15.6" x14ac:dyDescent="0.3">
      <c r="A123" s="5" t="s">
        <v>232</v>
      </c>
      <c r="B123" s="5" t="s">
        <v>233</v>
      </c>
      <c r="C123" s="7">
        <v>4</v>
      </c>
      <c r="D123" s="7">
        <v>3</v>
      </c>
      <c r="E123" s="7">
        <v>962.34100000000001</v>
      </c>
      <c r="F123" s="7">
        <v>670.83</v>
      </c>
      <c r="G123" s="7">
        <v>45.88</v>
      </c>
      <c r="H123" s="7">
        <v>3.1E-2</v>
      </c>
      <c r="I123" s="7">
        <v>59.365000000000002</v>
      </c>
      <c r="J123" s="7">
        <v>498.27300000000002</v>
      </c>
      <c r="K123" s="7">
        <v>0</v>
      </c>
      <c r="L123" s="7">
        <v>1437.835</v>
      </c>
      <c r="M123" s="7">
        <v>336.14600000000002</v>
      </c>
      <c r="N123" s="7">
        <v>0</v>
      </c>
      <c r="O123" s="7">
        <v>0</v>
      </c>
      <c r="P123" s="7">
        <v>2E-3</v>
      </c>
      <c r="Q123" s="7">
        <v>255.42599999999999</v>
      </c>
      <c r="R123" s="7">
        <v>413.92099999999999</v>
      </c>
      <c r="S123" s="7">
        <v>268.84100000000001</v>
      </c>
      <c r="T123" s="7">
        <v>0</v>
      </c>
      <c r="U123" s="7">
        <v>0</v>
      </c>
      <c r="V123" s="7">
        <v>87.415000000000006</v>
      </c>
      <c r="W123" s="7">
        <v>0.88700000000000001</v>
      </c>
      <c r="X123" s="7">
        <v>0</v>
      </c>
      <c r="Y123" s="7">
        <v>39.020000000000003</v>
      </c>
      <c r="Z123" s="7">
        <v>8186.7960000000003</v>
      </c>
      <c r="AA123" s="7">
        <v>1667.6279999999999</v>
      </c>
      <c r="AB123" s="7">
        <v>0</v>
      </c>
      <c r="AC123" s="7">
        <v>111.723</v>
      </c>
      <c r="AD123" s="7">
        <v>1731.21</v>
      </c>
      <c r="AE123" s="7">
        <v>343.89299999999997</v>
      </c>
      <c r="AF123" s="7">
        <v>12.297000000000001</v>
      </c>
      <c r="AG123" s="7">
        <v>6006.59</v>
      </c>
      <c r="AH123" s="7">
        <v>2333.8220000000001</v>
      </c>
      <c r="AI123" s="7">
        <v>8.9999999999999993E-3</v>
      </c>
      <c r="AJ123" s="7">
        <v>42001.868000000002</v>
      </c>
      <c r="AK123" s="7">
        <v>0</v>
      </c>
      <c r="AL123" s="7">
        <v>0</v>
      </c>
      <c r="AM123" s="7">
        <v>0</v>
      </c>
      <c r="AN123" s="7">
        <v>0</v>
      </c>
      <c r="AO123" s="7">
        <v>226.71700000000001</v>
      </c>
      <c r="AP123" s="7">
        <v>0</v>
      </c>
      <c r="AQ123" s="7">
        <v>1.8120000000000001</v>
      </c>
      <c r="AR123" s="7">
        <v>0</v>
      </c>
      <c r="AS123" s="7">
        <v>0.93700000000000006</v>
      </c>
      <c r="AT123" s="7">
        <v>0</v>
      </c>
      <c r="AU123" s="7">
        <v>44.701000000000001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77.034999999999997</v>
      </c>
      <c r="BC123" s="7">
        <v>0</v>
      </c>
      <c r="BD123" s="7">
        <v>0</v>
      </c>
      <c r="BE123" s="7">
        <v>19.57</v>
      </c>
      <c r="BF123" s="7">
        <v>19.57</v>
      </c>
      <c r="BG123" s="7">
        <v>0</v>
      </c>
      <c r="BH123" s="7">
        <v>26307.936000000002</v>
      </c>
      <c r="BI123" s="7">
        <v>0</v>
      </c>
      <c r="BJ123" s="21"/>
    </row>
    <row r="124" spans="1:62" ht="15.6" x14ac:dyDescent="0.3">
      <c r="A124" s="5" t="s">
        <v>234</v>
      </c>
      <c r="B124" s="5" t="s">
        <v>235</v>
      </c>
      <c r="C124" s="7">
        <v>4</v>
      </c>
      <c r="D124" s="7">
        <v>4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21"/>
    </row>
    <row r="125" spans="1:62" ht="15.6" x14ac:dyDescent="0.3">
      <c r="A125" s="5" t="s">
        <v>228</v>
      </c>
      <c r="B125" s="5" t="s">
        <v>236</v>
      </c>
      <c r="C125" s="7">
        <v>4</v>
      </c>
      <c r="D125" s="7">
        <v>6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21"/>
    </row>
    <row r="126" spans="1:62" ht="15.6" x14ac:dyDescent="0.3">
      <c r="A126" s="5" t="s">
        <v>237</v>
      </c>
      <c r="B126" s="5" t="s">
        <v>238</v>
      </c>
      <c r="C126" s="7">
        <v>4</v>
      </c>
      <c r="D126" s="7">
        <v>4</v>
      </c>
      <c r="E126" s="7">
        <v>28.265999999999998</v>
      </c>
      <c r="F126" s="7">
        <v>3.327</v>
      </c>
      <c r="G126" s="7">
        <v>6.5330000000000004</v>
      </c>
      <c r="H126" s="7">
        <v>0</v>
      </c>
      <c r="I126" s="7">
        <v>0.61099999999999999</v>
      </c>
      <c r="J126" s="7">
        <v>4.359</v>
      </c>
      <c r="K126" s="7">
        <v>0</v>
      </c>
      <c r="L126" s="7">
        <v>10.734999999999999</v>
      </c>
      <c r="M126" s="7">
        <v>15.643000000000001</v>
      </c>
      <c r="N126" s="7">
        <v>0</v>
      </c>
      <c r="O126" s="7">
        <v>0</v>
      </c>
      <c r="P126" s="7">
        <v>0</v>
      </c>
      <c r="Q126" s="7">
        <v>0</v>
      </c>
      <c r="R126" s="7">
        <v>95.278999999999996</v>
      </c>
      <c r="S126" s="7">
        <v>1.379</v>
      </c>
      <c r="T126" s="7">
        <v>0</v>
      </c>
      <c r="U126" s="7">
        <v>0</v>
      </c>
      <c r="V126" s="7">
        <v>0.75</v>
      </c>
      <c r="W126" s="7">
        <v>1.389</v>
      </c>
      <c r="X126" s="7">
        <v>0</v>
      </c>
      <c r="Y126" s="7">
        <v>4.4969999999999999</v>
      </c>
      <c r="Z126" s="7">
        <v>0</v>
      </c>
      <c r="AA126" s="7">
        <v>9.2059999999999995</v>
      </c>
      <c r="AB126" s="7">
        <v>0</v>
      </c>
      <c r="AC126" s="7">
        <v>0.57999999999999996</v>
      </c>
      <c r="AD126" s="7">
        <v>0</v>
      </c>
      <c r="AE126" s="7">
        <v>8.6519999999999992</v>
      </c>
      <c r="AF126" s="7">
        <v>0</v>
      </c>
      <c r="AG126" s="7">
        <v>0</v>
      </c>
      <c r="AH126" s="7">
        <v>30.074000000000002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0.56599999999999995</v>
      </c>
      <c r="AP126" s="7">
        <v>0</v>
      </c>
      <c r="AQ126" s="7">
        <v>0</v>
      </c>
      <c r="AR126" s="7">
        <v>0</v>
      </c>
      <c r="AS126" s="7">
        <v>0.01</v>
      </c>
      <c r="AT126" s="7">
        <v>0</v>
      </c>
      <c r="AU126" s="7">
        <v>0.33100000000000002</v>
      </c>
      <c r="AV126" s="7">
        <v>0</v>
      </c>
      <c r="AW126" s="7">
        <v>0</v>
      </c>
      <c r="AX126" s="7">
        <v>0</v>
      </c>
      <c r="AY126" s="7">
        <v>0.39900000000000002</v>
      </c>
      <c r="AZ126" s="7">
        <v>0</v>
      </c>
      <c r="BA126" s="7">
        <v>0</v>
      </c>
      <c r="BB126" s="7">
        <v>0.20399999999999999</v>
      </c>
      <c r="BC126" s="7">
        <v>0.252</v>
      </c>
      <c r="BD126" s="7">
        <v>0</v>
      </c>
      <c r="BE126" s="7">
        <v>5.2999999999999999E-2</v>
      </c>
      <c r="BF126" s="7">
        <v>5.2999999999999999E-2</v>
      </c>
      <c r="BG126" s="7">
        <v>0</v>
      </c>
      <c r="BH126" s="7">
        <v>0</v>
      </c>
      <c r="BI126" s="7">
        <v>0.11700000000000001</v>
      </c>
      <c r="BJ126" s="21"/>
    </row>
    <row r="127" spans="1:62" ht="15.6" x14ac:dyDescent="0.3">
      <c r="A127" s="5" t="s">
        <v>239</v>
      </c>
      <c r="B127" s="5" t="s">
        <v>240</v>
      </c>
      <c r="C127" s="7">
        <v>4</v>
      </c>
      <c r="D127" s="7">
        <v>3</v>
      </c>
      <c r="E127" s="7">
        <v>2487.0079999999998</v>
      </c>
      <c r="F127" s="7">
        <v>1733.6469999999999</v>
      </c>
      <c r="G127" s="7">
        <v>118.57</v>
      </c>
      <c r="H127" s="7">
        <v>7.9000000000000001E-2</v>
      </c>
      <c r="I127" s="7">
        <v>153.41999999999999</v>
      </c>
      <c r="J127" s="7">
        <v>1287.702</v>
      </c>
      <c r="K127" s="7">
        <v>0</v>
      </c>
      <c r="L127" s="7">
        <v>3715.8440000000001</v>
      </c>
      <c r="M127" s="7">
        <v>868.71199999999999</v>
      </c>
      <c r="N127" s="7">
        <v>0</v>
      </c>
      <c r="O127" s="7">
        <v>0</v>
      </c>
      <c r="P127" s="7">
        <v>5.0000000000000001E-3</v>
      </c>
      <c r="Q127" s="7">
        <v>0</v>
      </c>
      <c r="R127" s="7">
        <v>0</v>
      </c>
      <c r="S127" s="7">
        <v>694.774</v>
      </c>
      <c r="T127" s="7">
        <v>0</v>
      </c>
      <c r="U127" s="7">
        <v>0</v>
      </c>
      <c r="V127" s="7">
        <v>225.90899999999999</v>
      </c>
      <c r="W127" s="7">
        <v>2.2930000000000001</v>
      </c>
      <c r="X127" s="7">
        <v>0</v>
      </c>
      <c r="Y127" s="7">
        <v>100.84</v>
      </c>
      <c r="Z127" s="7">
        <v>0</v>
      </c>
      <c r="AA127" s="7">
        <v>4309.7049999999999</v>
      </c>
      <c r="AB127" s="7">
        <v>0</v>
      </c>
      <c r="AC127" s="7">
        <v>288.73</v>
      </c>
      <c r="AD127" s="7">
        <v>0</v>
      </c>
      <c r="AE127" s="7">
        <v>888.73299999999995</v>
      </c>
      <c r="AF127" s="7">
        <v>31.78</v>
      </c>
      <c r="AG127" s="7">
        <v>0</v>
      </c>
      <c r="AH127" s="7">
        <v>6031.3710000000001</v>
      </c>
      <c r="AI127" s="7">
        <v>2.4E-2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585.91200000000003</v>
      </c>
      <c r="AP127" s="7">
        <v>0</v>
      </c>
      <c r="AQ127" s="7">
        <v>4.6820000000000004</v>
      </c>
      <c r="AR127" s="7">
        <v>0</v>
      </c>
      <c r="AS127" s="7">
        <v>2.4220000000000002</v>
      </c>
      <c r="AT127" s="7">
        <v>0</v>
      </c>
      <c r="AU127" s="7">
        <v>0.32600000000000001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199.084</v>
      </c>
      <c r="BC127" s="7">
        <v>0</v>
      </c>
      <c r="BD127" s="7">
        <v>0</v>
      </c>
      <c r="BE127" s="7">
        <v>50.573999999999998</v>
      </c>
      <c r="BF127" s="7">
        <v>50.573999999999998</v>
      </c>
      <c r="BG127" s="7">
        <v>0</v>
      </c>
      <c r="BH127" s="7">
        <v>0</v>
      </c>
      <c r="BI127" s="7">
        <v>0</v>
      </c>
      <c r="BJ127" s="21"/>
    </row>
    <row r="128" spans="1:62" ht="15.6" x14ac:dyDescent="0.3">
      <c r="A128" s="5" t="s">
        <v>241</v>
      </c>
      <c r="B128" s="5" t="s">
        <v>242</v>
      </c>
      <c r="C128" s="7">
        <v>2</v>
      </c>
      <c r="D128" s="7">
        <v>2</v>
      </c>
      <c r="E128" s="7">
        <v>56262.535000000003</v>
      </c>
      <c r="F128" s="7">
        <v>11244.214</v>
      </c>
      <c r="G128" s="7">
        <v>10967.294</v>
      </c>
      <c r="H128" s="7">
        <v>0</v>
      </c>
      <c r="I128" s="7">
        <v>2201.4580000000001</v>
      </c>
      <c r="J128" s="7">
        <v>8639.3889999999992</v>
      </c>
      <c r="K128" s="7">
        <v>0</v>
      </c>
      <c r="L128" s="7">
        <v>45070.423000000003</v>
      </c>
      <c r="M128" s="7">
        <v>37833.035000000003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3231.7809999999999</v>
      </c>
      <c r="T128" s="7">
        <v>0</v>
      </c>
      <c r="U128" s="7">
        <v>0</v>
      </c>
      <c r="V128" s="7">
        <v>1343.6079999999999</v>
      </c>
      <c r="W128" s="7">
        <v>3148.297</v>
      </c>
      <c r="X128" s="7">
        <v>0</v>
      </c>
      <c r="Y128" s="7">
        <v>16035.906000000001</v>
      </c>
      <c r="Z128" s="7">
        <v>0</v>
      </c>
      <c r="AA128" s="7">
        <v>10493.754000000001</v>
      </c>
      <c r="AB128" s="7">
        <v>0</v>
      </c>
      <c r="AC128" s="7">
        <v>1753.4090000000001</v>
      </c>
      <c r="AD128" s="7">
        <v>0</v>
      </c>
      <c r="AE128" s="7">
        <v>40854.351999999999</v>
      </c>
      <c r="AF128" s="7">
        <v>0</v>
      </c>
      <c r="AG128" s="7">
        <v>0</v>
      </c>
      <c r="AH128" s="7">
        <v>129694.391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822.92399999999998</v>
      </c>
      <c r="AP128" s="7">
        <v>0</v>
      </c>
      <c r="AQ128" s="7">
        <v>0</v>
      </c>
      <c r="AR128" s="7">
        <v>0</v>
      </c>
      <c r="AS128" s="7">
        <v>4.18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302.44299999999998</v>
      </c>
      <c r="BC128" s="7">
        <v>0</v>
      </c>
      <c r="BD128" s="7">
        <v>0</v>
      </c>
      <c r="BE128" s="7">
        <v>123.932</v>
      </c>
      <c r="BF128" s="7">
        <v>123.932</v>
      </c>
      <c r="BG128" s="7">
        <v>0</v>
      </c>
      <c r="BH128" s="7">
        <v>0</v>
      </c>
      <c r="BI128" s="7">
        <v>0</v>
      </c>
      <c r="BJ128" s="21"/>
    </row>
    <row r="129" spans="1:62" ht="15.6" x14ac:dyDescent="0.3">
      <c r="A129" s="5" t="s">
        <v>243</v>
      </c>
      <c r="B129" s="5" t="s">
        <v>244</v>
      </c>
      <c r="C129" s="7">
        <v>4</v>
      </c>
      <c r="D129" s="7">
        <v>4</v>
      </c>
      <c r="E129" s="7">
        <v>25776.429</v>
      </c>
      <c r="F129" s="7">
        <v>5828.3339999999998</v>
      </c>
      <c r="G129" s="7">
        <v>0</v>
      </c>
      <c r="H129" s="7">
        <v>0</v>
      </c>
      <c r="I129" s="7">
        <v>116.871</v>
      </c>
      <c r="J129" s="7">
        <v>0</v>
      </c>
      <c r="K129" s="7">
        <v>0</v>
      </c>
      <c r="L129" s="7">
        <v>67400.861999999994</v>
      </c>
      <c r="M129" s="7">
        <v>2332.538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1828.1690000000001</v>
      </c>
      <c r="T129" s="7">
        <v>0</v>
      </c>
      <c r="U129" s="7">
        <v>0</v>
      </c>
      <c r="V129" s="7">
        <v>0</v>
      </c>
      <c r="W129" s="7">
        <v>541.928</v>
      </c>
      <c r="X129" s="7">
        <v>0</v>
      </c>
      <c r="Y129" s="7">
        <v>13577.072</v>
      </c>
      <c r="Z129" s="7">
        <v>0</v>
      </c>
      <c r="AA129" s="7">
        <v>0</v>
      </c>
      <c r="AB129" s="7">
        <v>0</v>
      </c>
      <c r="AC129" s="7">
        <v>1055.9749999999999</v>
      </c>
      <c r="AD129" s="7">
        <v>0</v>
      </c>
      <c r="AE129" s="7">
        <v>33729.25</v>
      </c>
      <c r="AF129" s="7">
        <v>23022.156999999999</v>
      </c>
      <c r="AG129" s="7">
        <v>0</v>
      </c>
      <c r="AH129" s="7">
        <v>112684.969</v>
      </c>
      <c r="AI129" s="7">
        <v>34990.33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1215.386</v>
      </c>
      <c r="AP129" s="7">
        <v>0</v>
      </c>
      <c r="AQ129" s="7">
        <v>8548.5319999999992</v>
      </c>
      <c r="AR129" s="7">
        <v>0</v>
      </c>
      <c r="AS129" s="7">
        <v>18.902999999999999</v>
      </c>
      <c r="AT129" s="7">
        <v>0</v>
      </c>
      <c r="AU129" s="7">
        <v>119.27800000000001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428.85599999999999</v>
      </c>
      <c r="BC129" s="7">
        <v>0</v>
      </c>
      <c r="BD129" s="7">
        <v>0</v>
      </c>
      <c r="BE129" s="7">
        <v>115.026</v>
      </c>
      <c r="BF129" s="7">
        <v>115.026</v>
      </c>
      <c r="BG129" s="7">
        <v>0</v>
      </c>
      <c r="BH129" s="7">
        <v>0</v>
      </c>
      <c r="BI129" s="7">
        <v>0</v>
      </c>
      <c r="BJ129" s="21"/>
    </row>
    <row r="130" spans="1:62" ht="15.6" x14ac:dyDescent="0.3">
      <c r="A130" s="5" t="s">
        <v>245</v>
      </c>
      <c r="B130" s="5" t="s">
        <v>246</v>
      </c>
      <c r="C130" s="7">
        <v>4</v>
      </c>
      <c r="D130" s="7">
        <v>6</v>
      </c>
      <c r="E130" s="7">
        <v>1814.9059999999999</v>
      </c>
      <c r="F130" s="7">
        <v>584.92399999999998</v>
      </c>
      <c r="G130" s="7">
        <v>17.670000000000002</v>
      </c>
      <c r="H130" s="7">
        <v>1.2E-2</v>
      </c>
      <c r="I130" s="7">
        <v>29.411999999999999</v>
      </c>
      <c r="J130" s="7">
        <v>191.899</v>
      </c>
      <c r="K130" s="7">
        <v>0</v>
      </c>
      <c r="L130" s="7">
        <v>4330.2939999999999</v>
      </c>
      <c r="M130" s="7">
        <v>260.154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205.97300000000001</v>
      </c>
      <c r="T130" s="7">
        <v>0</v>
      </c>
      <c r="U130" s="7">
        <v>0</v>
      </c>
      <c r="V130" s="7">
        <v>33.665999999999997</v>
      </c>
      <c r="W130" s="7">
        <v>30.707000000000001</v>
      </c>
      <c r="X130" s="7">
        <v>0</v>
      </c>
      <c r="Y130" s="7">
        <v>775.76499999999999</v>
      </c>
      <c r="Z130" s="7">
        <v>0</v>
      </c>
      <c r="AA130" s="7">
        <v>642.25199999999995</v>
      </c>
      <c r="AB130" s="7">
        <v>0</v>
      </c>
      <c r="AC130" s="7">
        <v>102.19499999999999</v>
      </c>
      <c r="AD130" s="7">
        <v>0</v>
      </c>
      <c r="AE130" s="7">
        <v>2022.329</v>
      </c>
      <c r="AF130" s="7">
        <v>1294.692</v>
      </c>
      <c r="AG130" s="7">
        <v>0</v>
      </c>
      <c r="AH130" s="7">
        <v>7212.6809999999996</v>
      </c>
      <c r="AI130" s="7">
        <v>1960.549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155.41399999999999</v>
      </c>
      <c r="AP130" s="7">
        <v>0</v>
      </c>
      <c r="AQ130" s="7">
        <v>479.68099999999998</v>
      </c>
      <c r="AR130" s="7">
        <v>0</v>
      </c>
      <c r="AS130" s="7">
        <v>1.42</v>
      </c>
      <c r="AT130" s="7">
        <v>0</v>
      </c>
      <c r="AU130" s="7">
        <v>6.7309999999999999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53.698</v>
      </c>
      <c r="BC130" s="7">
        <v>0</v>
      </c>
      <c r="BD130" s="7">
        <v>0</v>
      </c>
      <c r="BE130" s="7">
        <v>13.981999999999999</v>
      </c>
      <c r="BF130" s="7">
        <v>13.981999999999999</v>
      </c>
      <c r="BG130" s="7">
        <v>0</v>
      </c>
      <c r="BH130" s="7">
        <v>0</v>
      </c>
      <c r="BI130" s="7">
        <v>0</v>
      </c>
      <c r="BJ130" s="21"/>
    </row>
    <row r="131" spans="1:62" ht="15.6" x14ac:dyDescent="0.3">
      <c r="A131" s="5" t="s">
        <v>247</v>
      </c>
      <c r="B131" s="5" t="s">
        <v>248</v>
      </c>
      <c r="C131" s="7">
        <v>6</v>
      </c>
      <c r="D131" s="7">
        <v>6</v>
      </c>
      <c r="E131" s="7">
        <v>43856.703000000001</v>
      </c>
      <c r="F131" s="7">
        <v>338.27800000000002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69673.532000000007</v>
      </c>
      <c r="M131" s="7">
        <v>10869.812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5163.4269999999997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24556.760999999999</v>
      </c>
      <c r="AF131" s="7">
        <v>58.192999999999998</v>
      </c>
      <c r="AG131" s="7">
        <v>0</v>
      </c>
      <c r="AH131" s="7">
        <v>110219.147</v>
      </c>
      <c r="AI131" s="7">
        <v>90.680999999999997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21"/>
    </row>
    <row r="132" spans="1:62" ht="15.6" x14ac:dyDescent="0.3">
      <c r="A132" s="5" t="s">
        <v>249</v>
      </c>
      <c r="B132" s="5" t="s">
        <v>250</v>
      </c>
      <c r="C132" s="7">
        <v>6</v>
      </c>
      <c r="D132" s="7">
        <v>6</v>
      </c>
      <c r="E132" s="7">
        <v>60988.692000000003</v>
      </c>
      <c r="F132" s="7">
        <v>4678.7269999999999</v>
      </c>
      <c r="G132" s="7">
        <v>6568.076</v>
      </c>
      <c r="H132" s="7">
        <v>0</v>
      </c>
      <c r="I132" s="7">
        <v>1144.1679999999999</v>
      </c>
      <c r="J132" s="7">
        <v>3999.62</v>
      </c>
      <c r="K132" s="7">
        <v>0</v>
      </c>
      <c r="L132" s="7">
        <v>57112.991000000002</v>
      </c>
      <c r="M132" s="7">
        <v>18438.508000000002</v>
      </c>
      <c r="N132" s="7">
        <v>0</v>
      </c>
      <c r="O132" s="7">
        <v>0</v>
      </c>
      <c r="P132" s="7">
        <v>204.92</v>
      </c>
      <c r="Q132" s="7">
        <v>0</v>
      </c>
      <c r="R132" s="7">
        <v>0.53100000000000003</v>
      </c>
      <c r="S132" s="7">
        <v>0</v>
      </c>
      <c r="T132" s="7">
        <v>0</v>
      </c>
      <c r="U132" s="7">
        <v>0</v>
      </c>
      <c r="V132" s="7">
        <v>649.29899999999998</v>
      </c>
      <c r="W132" s="7">
        <v>1921.326</v>
      </c>
      <c r="X132" s="7">
        <v>0</v>
      </c>
      <c r="Y132" s="7">
        <v>15182.433999999999</v>
      </c>
      <c r="Z132" s="7">
        <v>0</v>
      </c>
      <c r="AA132" s="7">
        <v>5349.7259999999997</v>
      </c>
      <c r="AB132" s="7">
        <v>0</v>
      </c>
      <c r="AC132" s="7">
        <v>849.84400000000005</v>
      </c>
      <c r="AD132" s="7">
        <v>0</v>
      </c>
      <c r="AE132" s="7">
        <v>49773.483</v>
      </c>
      <c r="AF132" s="7">
        <v>0</v>
      </c>
      <c r="AG132" s="7">
        <v>0</v>
      </c>
      <c r="AH132" s="7">
        <v>119991.861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21"/>
    </row>
    <row r="133" spans="1:62" ht="15.6" x14ac:dyDescent="0.3">
      <c r="A133" s="5" t="s">
        <v>251</v>
      </c>
      <c r="B133" s="5" t="s">
        <v>252</v>
      </c>
      <c r="C133" s="7">
        <v>6</v>
      </c>
      <c r="D133" s="7">
        <v>6</v>
      </c>
      <c r="E133" s="7">
        <v>13496.97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70828.524999999994</v>
      </c>
      <c r="M133" s="7">
        <v>1947.809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225.81399999999999</v>
      </c>
      <c r="AB133" s="7">
        <v>0</v>
      </c>
      <c r="AC133" s="7">
        <v>0</v>
      </c>
      <c r="AD133" s="7">
        <v>0</v>
      </c>
      <c r="AE133" s="7">
        <v>15702.641</v>
      </c>
      <c r="AF133" s="7">
        <v>0</v>
      </c>
      <c r="AG133" s="7">
        <v>0</v>
      </c>
      <c r="AH133" s="7">
        <v>97339.33</v>
      </c>
      <c r="AI133" s="7">
        <v>18091.850999999999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21"/>
    </row>
    <row r="134" spans="1:62" ht="15.6" x14ac:dyDescent="0.3">
      <c r="A134" s="5" t="s">
        <v>253</v>
      </c>
      <c r="B134" s="5" t="s">
        <v>254</v>
      </c>
      <c r="C134" s="7">
        <v>6</v>
      </c>
      <c r="D134" s="7">
        <v>6</v>
      </c>
      <c r="E134" s="7">
        <v>218032.867</v>
      </c>
      <c r="F134" s="7">
        <v>11862.695</v>
      </c>
      <c r="G134" s="7">
        <v>8992.5059999999994</v>
      </c>
      <c r="H134" s="7">
        <v>4175.2420000000002</v>
      </c>
      <c r="I134" s="7">
        <v>1483.2550000000001</v>
      </c>
      <c r="J134" s="7">
        <v>6026.5169999999998</v>
      </c>
      <c r="K134" s="7">
        <v>0</v>
      </c>
      <c r="L134" s="7">
        <v>296154.467</v>
      </c>
      <c r="M134" s="7">
        <v>60881.67</v>
      </c>
      <c r="N134" s="7">
        <v>0</v>
      </c>
      <c r="O134" s="7">
        <v>0</v>
      </c>
      <c r="P134" s="7">
        <v>205.38499999999999</v>
      </c>
      <c r="Q134" s="7">
        <v>0</v>
      </c>
      <c r="R134" s="7">
        <v>95.388999999999996</v>
      </c>
      <c r="S134" s="7">
        <v>3249.3240000000001</v>
      </c>
      <c r="T134" s="7">
        <v>0</v>
      </c>
      <c r="U134" s="7">
        <v>0</v>
      </c>
      <c r="V134" s="7">
        <v>1048.6199999999999</v>
      </c>
      <c r="W134" s="7">
        <v>3019.0349999999999</v>
      </c>
      <c r="X134" s="7">
        <v>0</v>
      </c>
      <c r="Y134" s="7">
        <v>36608.784</v>
      </c>
      <c r="Z134" s="7">
        <v>0</v>
      </c>
      <c r="AA134" s="7">
        <v>9462.0349999999999</v>
      </c>
      <c r="AB134" s="7">
        <v>0</v>
      </c>
      <c r="AC134" s="7">
        <v>1606.893</v>
      </c>
      <c r="AD134" s="7">
        <v>0</v>
      </c>
      <c r="AE134" s="7">
        <v>132006.818</v>
      </c>
      <c r="AF134" s="7">
        <v>3684.7739999999999</v>
      </c>
      <c r="AG134" s="7">
        <v>0</v>
      </c>
      <c r="AH134" s="7">
        <v>499781.11499999999</v>
      </c>
      <c r="AI134" s="7">
        <v>4650.6139999999996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37.122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21"/>
    </row>
    <row r="135" spans="1:62" ht="15.6" x14ac:dyDescent="0.3">
      <c r="A135" s="5" t="s">
        <v>255</v>
      </c>
      <c r="B135" s="5" t="s">
        <v>256</v>
      </c>
      <c r="C135" s="7">
        <v>6</v>
      </c>
      <c r="D135" s="7">
        <v>6</v>
      </c>
      <c r="E135" s="7">
        <v>10304.915000000001</v>
      </c>
      <c r="F135" s="7">
        <v>29.152000000000001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9455.7139999999999</v>
      </c>
      <c r="M135" s="7">
        <v>956.97299999999996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1152.127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5295.0169999999998</v>
      </c>
      <c r="AF135" s="7">
        <v>639.81500000000005</v>
      </c>
      <c r="AG135" s="7">
        <v>0</v>
      </c>
      <c r="AH135" s="7">
        <v>20292.618999999999</v>
      </c>
      <c r="AI135" s="7">
        <v>2112.2330000000002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21"/>
    </row>
    <row r="136" spans="1:62" ht="15.6" x14ac:dyDescent="0.3">
      <c r="A136" s="5" t="s">
        <v>257</v>
      </c>
      <c r="B136" s="5" t="s">
        <v>258</v>
      </c>
      <c r="C136" s="7">
        <v>6</v>
      </c>
      <c r="D136" s="7">
        <v>6</v>
      </c>
      <c r="E136" s="7">
        <v>93581.614000000001</v>
      </c>
      <c r="F136" s="7">
        <v>2294.1979999999999</v>
      </c>
      <c r="G136" s="7">
        <v>690.40200000000004</v>
      </c>
      <c r="H136" s="7">
        <v>0</v>
      </c>
      <c r="I136" s="7">
        <v>117.852</v>
      </c>
      <c r="J136" s="7">
        <v>434.64800000000002</v>
      </c>
      <c r="K136" s="7">
        <v>0</v>
      </c>
      <c r="L136" s="7">
        <v>92428.811000000002</v>
      </c>
      <c r="M136" s="7">
        <v>27377.165000000001</v>
      </c>
      <c r="N136" s="7">
        <v>0</v>
      </c>
      <c r="O136" s="7">
        <v>0</v>
      </c>
      <c r="P136" s="7">
        <v>15.528</v>
      </c>
      <c r="Q136" s="7">
        <v>0</v>
      </c>
      <c r="R136" s="7">
        <v>1.2230000000000001</v>
      </c>
      <c r="S136" s="7">
        <v>0</v>
      </c>
      <c r="T136" s="7">
        <v>0</v>
      </c>
      <c r="U136" s="7">
        <v>0</v>
      </c>
      <c r="V136" s="7">
        <v>102.411</v>
      </c>
      <c r="W136" s="7">
        <v>291.82</v>
      </c>
      <c r="X136" s="7">
        <v>0</v>
      </c>
      <c r="Y136" s="7">
        <v>13515.143</v>
      </c>
      <c r="Z136" s="7">
        <v>0</v>
      </c>
      <c r="AA136" s="7">
        <v>1816.057</v>
      </c>
      <c r="AB136" s="7">
        <v>0</v>
      </c>
      <c r="AC136" s="7">
        <v>165.39099999999999</v>
      </c>
      <c r="AD136" s="7">
        <v>0</v>
      </c>
      <c r="AE136" s="7">
        <v>52590.777999999998</v>
      </c>
      <c r="AF136" s="7">
        <v>1429.412</v>
      </c>
      <c r="AG136" s="7">
        <v>0</v>
      </c>
      <c r="AH136" s="7">
        <v>201045.59299999999</v>
      </c>
      <c r="AI136" s="7">
        <v>1889.1379999999999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21"/>
    </row>
    <row r="137" spans="1:62" ht="15.6" x14ac:dyDescent="0.3">
      <c r="A137" s="5" t="s">
        <v>259</v>
      </c>
      <c r="B137" s="5" t="s">
        <v>260</v>
      </c>
      <c r="C137" s="7">
        <v>6</v>
      </c>
      <c r="D137" s="7">
        <v>6</v>
      </c>
      <c r="E137" s="7">
        <v>23938.43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49335.080999999998</v>
      </c>
      <c r="M137" s="7">
        <v>3998.9879999999998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8602.5010000000002</v>
      </c>
      <c r="AF137" s="7">
        <v>0</v>
      </c>
      <c r="AG137" s="7">
        <v>0</v>
      </c>
      <c r="AH137" s="7">
        <v>89406.282000000007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21"/>
    </row>
    <row r="138" spans="1:62" ht="15.6" x14ac:dyDescent="0.3">
      <c r="A138" s="5" t="s">
        <v>261</v>
      </c>
      <c r="B138" s="5" t="s">
        <v>262</v>
      </c>
      <c r="C138" s="7">
        <v>6</v>
      </c>
      <c r="D138" s="7">
        <v>6</v>
      </c>
      <c r="E138" s="7">
        <v>1031093.1629999999</v>
      </c>
      <c r="F138" s="7">
        <v>19451.142</v>
      </c>
      <c r="G138" s="7">
        <v>23112.35</v>
      </c>
      <c r="H138" s="7">
        <v>2220.5639999999999</v>
      </c>
      <c r="I138" s="7">
        <v>4363.9920000000002</v>
      </c>
      <c r="J138" s="7">
        <v>13572.388000000001</v>
      </c>
      <c r="K138" s="7">
        <v>0</v>
      </c>
      <c r="L138" s="7">
        <v>993946.85800000001</v>
      </c>
      <c r="M138" s="7">
        <v>286182.86800000002</v>
      </c>
      <c r="N138" s="7">
        <v>0</v>
      </c>
      <c r="O138" s="7">
        <v>0</v>
      </c>
      <c r="P138" s="7">
        <v>706.15300000000002</v>
      </c>
      <c r="Q138" s="7">
        <v>0</v>
      </c>
      <c r="R138" s="7">
        <v>6.5030000000000001</v>
      </c>
      <c r="S138" s="7">
        <v>0</v>
      </c>
      <c r="T138" s="7">
        <v>0</v>
      </c>
      <c r="U138" s="7">
        <v>0</v>
      </c>
      <c r="V138" s="7">
        <v>1881.451</v>
      </c>
      <c r="W138" s="7">
        <v>5611.3990000000003</v>
      </c>
      <c r="X138" s="7">
        <v>0</v>
      </c>
      <c r="Y138" s="7">
        <v>172426.27100000001</v>
      </c>
      <c r="Z138" s="7">
        <v>0</v>
      </c>
      <c r="AA138" s="7">
        <v>37813.031999999999</v>
      </c>
      <c r="AB138" s="7">
        <v>0</v>
      </c>
      <c r="AC138" s="7">
        <v>2599.1120000000001</v>
      </c>
      <c r="AD138" s="7">
        <v>0</v>
      </c>
      <c r="AE138" s="7">
        <v>622663.53500000003</v>
      </c>
      <c r="AF138" s="7">
        <v>16423.759999999998</v>
      </c>
      <c r="AG138" s="7">
        <v>0</v>
      </c>
      <c r="AH138" s="7">
        <v>2276984.682</v>
      </c>
      <c r="AI138" s="7">
        <v>49764.607000000004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99.188000000000002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21"/>
    </row>
    <row r="139" spans="1:62" ht="15.6" x14ac:dyDescent="0.3">
      <c r="A139" s="5" t="s">
        <v>263</v>
      </c>
      <c r="B139" s="5" t="s">
        <v>264</v>
      </c>
      <c r="C139" s="7">
        <v>4</v>
      </c>
      <c r="D139" s="7">
        <v>4</v>
      </c>
      <c r="E139" s="7">
        <v>1189.5150000000001</v>
      </c>
      <c r="F139" s="7">
        <v>194.96700000000001</v>
      </c>
      <c r="G139" s="7">
        <v>126.351</v>
      </c>
      <c r="H139" s="7">
        <v>101.4</v>
      </c>
      <c r="I139" s="7">
        <v>16.591999999999999</v>
      </c>
      <c r="J139" s="7">
        <v>74.010999999999996</v>
      </c>
      <c r="K139" s="7">
        <v>0</v>
      </c>
      <c r="L139" s="7">
        <v>1597.867</v>
      </c>
      <c r="M139" s="7">
        <v>398.46199999999999</v>
      </c>
      <c r="N139" s="7">
        <v>0</v>
      </c>
      <c r="O139" s="7">
        <v>0</v>
      </c>
      <c r="P139" s="7">
        <v>3.2000000000000001E-2</v>
      </c>
      <c r="Q139" s="7">
        <v>0</v>
      </c>
      <c r="R139" s="7">
        <v>0</v>
      </c>
      <c r="S139" s="7">
        <v>72.513000000000005</v>
      </c>
      <c r="T139" s="7">
        <v>0</v>
      </c>
      <c r="U139" s="7">
        <v>0</v>
      </c>
      <c r="V139" s="7">
        <v>16.834</v>
      </c>
      <c r="W139" s="7">
        <v>36.573999999999998</v>
      </c>
      <c r="X139" s="7">
        <v>0</v>
      </c>
      <c r="Y139" s="7">
        <v>359.30500000000001</v>
      </c>
      <c r="Z139" s="7">
        <v>0</v>
      </c>
      <c r="AA139" s="7">
        <v>198.03</v>
      </c>
      <c r="AB139" s="7">
        <v>0</v>
      </c>
      <c r="AC139" s="7">
        <v>35.015000000000001</v>
      </c>
      <c r="AD139" s="7">
        <v>0</v>
      </c>
      <c r="AE139" s="7">
        <v>755.54200000000003</v>
      </c>
      <c r="AF139" s="7">
        <v>418.69799999999998</v>
      </c>
      <c r="AG139" s="7">
        <v>0</v>
      </c>
      <c r="AH139" s="7">
        <v>2898.5309999999999</v>
      </c>
      <c r="AI139" s="7">
        <v>714.14499999999998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32.665999999999997</v>
      </c>
      <c r="AP139" s="7">
        <v>0</v>
      </c>
      <c r="AQ139" s="7">
        <v>154.72399999999999</v>
      </c>
      <c r="AR139" s="7">
        <v>0</v>
      </c>
      <c r="AS139" s="7">
        <v>0.66200000000000003</v>
      </c>
      <c r="AT139" s="7">
        <v>0</v>
      </c>
      <c r="AU139" s="7">
        <v>11.34</v>
      </c>
      <c r="AV139" s="7">
        <v>0</v>
      </c>
      <c r="AW139" s="7">
        <v>0</v>
      </c>
      <c r="AX139" s="7">
        <v>0</v>
      </c>
      <c r="AY139" s="7">
        <v>15.208</v>
      </c>
      <c r="AZ139" s="7">
        <v>182.142</v>
      </c>
      <c r="BA139" s="7">
        <v>0</v>
      </c>
      <c r="BB139" s="7">
        <v>11.564</v>
      </c>
      <c r="BC139" s="7">
        <v>5.548</v>
      </c>
      <c r="BD139" s="7">
        <v>221.54400000000001</v>
      </c>
      <c r="BE139" s="7">
        <v>2.923</v>
      </c>
      <c r="BF139" s="7">
        <v>2.923</v>
      </c>
      <c r="BG139" s="7">
        <v>73.457999999999998</v>
      </c>
      <c r="BH139" s="7">
        <v>0</v>
      </c>
      <c r="BI139" s="7">
        <v>2.61</v>
      </c>
      <c r="BJ139" s="21"/>
    </row>
    <row r="140" spans="1:62" ht="15.6" x14ac:dyDescent="0.3">
      <c r="A140" s="5" t="s">
        <v>265</v>
      </c>
      <c r="B140" s="5" t="s">
        <v>266</v>
      </c>
      <c r="C140" s="7">
        <v>6</v>
      </c>
      <c r="D140" s="7">
        <v>6</v>
      </c>
      <c r="E140" s="7">
        <v>2108.768</v>
      </c>
      <c r="F140" s="7">
        <v>41.015000000000001</v>
      </c>
      <c r="G140" s="7">
        <v>0</v>
      </c>
      <c r="H140" s="7">
        <v>1.0999999999999999E-2</v>
      </c>
      <c r="I140" s="7">
        <v>1.474</v>
      </c>
      <c r="J140" s="7">
        <v>0</v>
      </c>
      <c r="K140" s="7">
        <v>0</v>
      </c>
      <c r="L140" s="7">
        <v>3756.62</v>
      </c>
      <c r="M140" s="7">
        <v>589.93200000000002</v>
      </c>
      <c r="N140" s="7">
        <v>0</v>
      </c>
      <c r="O140" s="7">
        <v>0</v>
      </c>
      <c r="P140" s="7">
        <v>8.0000000000000002E-3</v>
      </c>
      <c r="Q140" s="7">
        <v>0</v>
      </c>
      <c r="R140" s="7">
        <v>0</v>
      </c>
      <c r="S140" s="7">
        <v>13.336</v>
      </c>
      <c r="T140" s="7">
        <v>0</v>
      </c>
      <c r="U140" s="7">
        <v>0</v>
      </c>
      <c r="V140" s="7">
        <v>0</v>
      </c>
      <c r="W140" s="7">
        <v>4.5350000000000001</v>
      </c>
      <c r="X140" s="7">
        <v>0</v>
      </c>
      <c r="Y140" s="7">
        <v>536.71299999999997</v>
      </c>
      <c r="Z140" s="7">
        <v>0</v>
      </c>
      <c r="AA140" s="7">
        <v>0</v>
      </c>
      <c r="AB140" s="7">
        <v>0</v>
      </c>
      <c r="AC140" s="7">
        <v>7.9130000000000003</v>
      </c>
      <c r="AD140" s="7">
        <v>0</v>
      </c>
      <c r="AE140" s="7">
        <v>2294.761</v>
      </c>
      <c r="AF140" s="7">
        <v>153.29599999999999</v>
      </c>
      <c r="AG140" s="7">
        <v>0</v>
      </c>
      <c r="AH140" s="7">
        <v>9076.1</v>
      </c>
      <c r="AI140" s="7">
        <v>261.25700000000001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7.3940000000000001</v>
      </c>
      <c r="AP140" s="7">
        <v>0</v>
      </c>
      <c r="AQ140" s="7">
        <v>56.69</v>
      </c>
      <c r="AR140" s="7">
        <v>0</v>
      </c>
      <c r="AS140" s="7">
        <v>0.126</v>
      </c>
      <c r="AT140" s="7">
        <v>0</v>
      </c>
      <c r="AU140" s="7">
        <v>0.86</v>
      </c>
      <c r="AV140" s="7">
        <v>0</v>
      </c>
      <c r="AW140" s="7">
        <v>0</v>
      </c>
      <c r="AX140" s="7">
        <v>0</v>
      </c>
      <c r="AY140" s="7">
        <v>2.3109999999999999</v>
      </c>
      <c r="AZ140" s="7">
        <v>66.736000000000004</v>
      </c>
      <c r="BA140" s="7">
        <v>0</v>
      </c>
      <c r="BB140" s="7">
        <v>2.6150000000000002</v>
      </c>
      <c r="BC140" s="7">
        <v>0</v>
      </c>
      <c r="BD140" s="7">
        <v>81.171999999999997</v>
      </c>
      <c r="BE140" s="7">
        <v>0.65600000000000003</v>
      </c>
      <c r="BF140" s="7">
        <v>0.65600000000000003</v>
      </c>
      <c r="BG140" s="7">
        <v>26.914999999999999</v>
      </c>
      <c r="BH140" s="7">
        <v>0</v>
      </c>
      <c r="BI140" s="7">
        <v>0</v>
      </c>
      <c r="BJ140" s="21"/>
    </row>
    <row r="141" spans="1:62" ht="15.6" x14ac:dyDescent="0.3">
      <c r="A141" s="5" t="s">
        <v>267</v>
      </c>
      <c r="B141" s="5" t="s">
        <v>268</v>
      </c>
      <c r="C141" s="7">
        <v>4</v>
      </c>
      <c r="D141" s="7">
        <v>4</v>
      </c>
      <c r="E141" s="7">
        <v>5.077</v>
      </c>
      <c r="F141" s="7">
        <v>1.127</v>
      </c>
      <c r="G141" s="7">
        <v>0</v>
      </c>
      <c r="H141" s="7">
        <v>0</v>
      </c>
      <c r="I141" s="7">
        <v>2.4E-2</v>
      </c>
      <c r="J141" s="7">
        <v>0</v>
      </c>
      <c r="K141" s="7">
        <v>0</v>
      </c>
      <c r="L141" s="7">
        <v>13.099</v>
      </c>
      <c r="M141" s="7">
        <v>0.495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0.35499999999999998</v>
      </c>
      <c r="T141" s="7">
        <v>0</v>
      </c>
      <c r="U141" s="7">
        <v>0</v>
      </c>
      <c r="V141" s="7">
        <v>0</v>
      </c>
      <c r="W141" s="7">
        <v>0.107</v>
      </c>
      <c r="X141" s="7">
        <v>0</v>
      </c>
      <c r="Y141" s="7">
        <v>2.6320000000000001</v>
      </c>
      <c r="Z141" s="7">
        <v>0</v>
      </c>
      <c r="AA141" s="7">
        <v>0</v>
      </c>
      <c r="AB141" s="7">
        <v>0</v>
      </c>
      <c r="AC141" s="7">
        <v>0.20599999999999999</v>
      </c>
      <c r="AD141" s="7">
        <v>0</v>
      </c>
      <c r="AE141" s="7">
        <v>6.532</v>
      </c>
      <c r="AF141" s="7">
        <v>4.4290000000000003</v>
      </c>
      <c r="AG141" s="7">
        <v>0</v>
      </c>
      <c r="AH141" s="7">
        <v>21.959</v>
      </c>
      <c r="AI141" s="7">
        <v>6.8070000000000004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0.23200000000000001</v>
      </c>
      <c r="AP141" s="7">
        <v>0</v>
      </c>
      <c r="AQ141" s="7">
        <v>1.6439999999999999</v>
      </c>
      <c r="AR141" s="7">
        <v>0</v>
      </c>
      <c r="AS141" s="7">
        <v>4.0000000000000001E-3</v>
      </c>
      <c r="AT141" s="7">
        <v>0</v>
      </c>
      <c r="AU141" s="7">
        <v>2.3E-2</v>
      </c>
      <c r="AV141" s="7">
        <v>0</v>
      </c>
      <c r="AW141" s="7">
        <v>0</v>
      </c>
      <c r="AX141" s="7">
        <v>0</v>
      </c>
      <c r="AY141" s="7">
        <v>6.0000000000000001E-3</v>
      </c>
      <c r="AZ141" s="7">
        <v>0.17699999999999999</v>
      </c>
      <c r="BA141" s="7">
        <v>0</v>
      </c>
      <c r="BB141" s="7">
        <v>8.2000000000000003E-2</v>
      </c>
      <c r="BC141" s="7">
        <v>0</v>
      </c>
      <c r="BD141" s="7">
        <v>0.216</v>
      </c>
      <c r="BE141" s="7">
        <v>2.1999999999999999E-2</v>
      </c>
      <c r="BF141" s="7">
        <v>2.1999999999999999E-2</v>
      </c>
      <c r="BG141" s="7">
        <v>7.1999999999999995E-2</v>
      </c>
      <c r="BH141" s="7">
        <v>0</v>
      </c>
      <c r="BI141" s="7">
        <v>0</v>
      </c>
      <c r="BJ141" s="21"/>
    </row>
    <row r="142" spans="1:62" ht="15.6" x14ac:dyDescent="0.3">
      <c r="A142" s="5" t="s">
        <v>269</v>
      </c>
      <c r="B142" s="5" t="s">
        <v>270</v>
      </c>
      <c r="C142" s="7">
        <v>6</v>
      </c>
      <c r="D142" s="7">
        <v>6</v>
      </c>
      <c r="E142" s="7">
        <v>1767.78</v>
      </c>
      <c r="F142" s="7">
        <v>12.83</v>
      </c>
      <c r="G142" s="7">
        <v>18.148</v>
      </c>
      <c r="H142" s="7">
        <v>0</v>
      </c>
      <c r="I142" s="7">
        <v>3.1640000000000001</v>
      </c>
      <c r="J142" s="7">
        <v>11.032999999999999</v>
      </c>
      <c r="K142" s="7">
        <v>0</v>
      </c>
      <c r="L142" s="7">
        <v>2666.038</v>
      </c>
      <c r="M142" s="7">
        <v>584.39599999999996</v>
      </c>
      <c r="N142" s="7">
        <v>0</v>
      </c>
      <c r="O142" s="7">
        <v>0</v>
      </c>
      <c r="P142" s="7">
        <v>0.57399999999999995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1.7509999999999999</v>
      </c>
      <c r="W142" s="7">
        <v>5.1959999999999997</v>
      </c>
      <c r="X142" s="7">
        <v>0</v>
      </c>
      <c r="Y142" s="7">
        <v>530.58600000000001</v>
      </c>
      <c r="Z142" s="7">
        <v>0</v>
      </c>
      <c r="AA142" s="7">
        <v>14.29</v>
      </c>
      <c r="AB142" s="7">
        <v>0</v>
      </c>
      <c r="AC142" s="7">
        <v>2.2530000000000001</v>
      </c>
      <c r="AD142" s="7">
        <v>0</v>
      </c>
      <c r="AE142" s="7">
        <v>2076.69</v>
      </c>
      <c r="AF142" s="7">
        <v>0</v>
      </c>
      <c r="AG142" s="7">
        <v>0</v>
      </c>
      <c r="AH142" s="7">
        <v>5622.4759999999997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21"/>
    </row>
    <row r="143" spans="1:62" ht="15.6" x14ac:dyDescent="0.3">
      <c r="A143" s="5" t="s">
        <v>271</v>
      </c>
      <c r="B143" s="5" t="s">
        <v>272</v>
      </c>
      <c r="C143" s="7">
        <v>4</v>
      </c>
      <c r="D143" s="7">
        <v>4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21"/>
    </row>
    <row r="144" spans="1:62" ht="15.6" x14ac:dyDescent="0.3">
      <c r="A144" s="5" t="s">
        <v>273</v>
      </c>
      <c r="B144" s="5" t="s">
        <v>274</v>
      </c>
      <c r="C144" s="7">
        <v>6</v>
      </c>
      <c r="D144" s="7">
        <v>6</v>
      </c>
      <c r="E144" s="7">
        <v>4659.8019999999997</v>
      </c>
      <c r="F144" s="7">
        <v>575.78499999999997</v>
      </c>
      <c r="G144" s="7">
        <v>0</v>
      </c>
      <c r="H144" s="7">
        <v>0</v>
      </c>
      <c r="I144" s="7">
        <v>20.689</v>
      </c>
      <c r="J144" s="7">
        <v>0</v>
      </c>
      <c r="K144" s="7">
        <v>0</v>
      </c>
      <c r="L144" s="7">
        <v>6997.6949999999997</v>
      </c>
      <c r="M144" s="7">
        <v>459.68400000000003</v>
      </c>
      <c r="N144" s="7">
        <v>0</v>
      </c>
      <c r="O144" s="7">
        <v>78.891999999999996</v>
      </c>
      <c r="P144" s="7">
        <v>0.108</v>
      </c>
      <c r="Q144" s="7">
        <v>84.697000000000003</v>
      </c>
      <c r="R144" s="7">
        <v>0</v>
      </c>
      <c r="S144" s="7">
        <v>187.21600000000001</v>
      </c>
      <c r="T144" s="7">
        <v>0</v>
      </c>
      <c r="U144" s="7">
        <v>0</v>
      </c>
      <c r="V144" s="7">
        <v>0</v>
      </c>
      <c r="W144" s="7">
        <v>63.662999999999997</v>
      </c>
      <c r="X144" s="7">
        <v>0</v>
      </c>
      <c r="Y144" s="7">
        <v>1375.3240000000001</v>
      </c>
      <c r="Z144" s="7">
        <v>0</v>
      </c>
      <c r="AA144" s="7">
        <v>0</v>
      </c>
      <c r="AB144" s="7">
        <v>4775.4939999999997</v>
      </c>
      <c r="AC144" s="7">
        <v>111.09099999999999</v>
      </c>
      <c r="AD144" s="7">
        <v>0</v>
      </c>
      <c r="AE144" s="7">
        <v>6911.4219999999996</v>
      </c>
      <c r="AF144" s="7">
        <v>2151.9720000000002</v>
      </c>
      <c r="AG144" s="7">
        <v>0</v>
      </c>
      <c r="AH144" s="7">
        <v>12004.814</v>
      </c>
      <c r="AI144" s="7">
        <v>3667.5569999999998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103.80800000000001</v>
      </c>
      <c r="AP144" s="7">
        <v>0</v>
      </c>
      <c r="AQ144" s="7">
        <v>795.84500000000003</v>
      </c>
      <c r="AR144" s="7">
        <v>0</v>
      </c>
      <c r="AS144" s="7">
        <v>1.774</v>
      </c>
      <c r="AT144" s="7">
        <v>0</v>
      </c>
      <c r="AU144" s="7">
        <v>12.076000000000001</v>
      </c>
      <c r="AV144" s="7">
        <v>0</v>
      </c>
      <c r="AW144" s="7">
        <v>0</v>
      </c>
      <c r="AX144" s="7">
        <v>0</v>
      </c>
      <c r="AY144" s="7">
        <v>32.448</v>
      </c>
      <c r="AZ144" s="7">
        <v>936.87300000000005</v>
      </c>
      <c r="BA144" s="7">
        <v>0</v>
      </c>
      <c r="BB144" s="7">
        <v>36.71</v>
      </c>
      <c r="BC144" s="7">
        <v>0</v>
      </c>
      <c r="BD144" s="7">
        <v>1139.54</v>
      </c>
      <c r="BE144" s="7">
        <v>9.2119999999999997</v>
      </c>
      <c r="BF144" s="7">
        <v>9.2119999999999997</v>
      </c>
      <c r="BG144" s="7">
        <v>377.84100000000001</v>
      </c>
      <c r="BH144" s="7">
        <v>0</v>
      </c>
      <c r="BI144" s="7">
        <v>0</v>
      </c>
      <c r="BJ144" s="21"/>
    </row>
    <row r="145" spans="1:62" ht="15.6" x14ac:dyDescent="0.3">
      <c r="A145" s="5" t="s">
        <v>275</v>
      </c>
      <c r="B145" s="5" t="s">
        <v>276</v>
      </c>
      <c r="C145" s="7">
        <v>6</v>
      </c>
      <c r="D145" s="7">
        <v>6</v>
      </c>
      <c r="E145" s="7">
        <v>86574.104999999996</v>
      </c>
      <c r="F145" s="7">
        <v>4890.2950000000001</v>
      </c>
      <c r="G145" s="7">
        <v>4572.4960000000001</v>
      </c>
      <c r="H145" s="7">
        <v>-132.28299999999999</v>
      </c>
      <c r="I145" s="7">
        <v>616.02200000000005</v>
      </c>
      <c r="J145" s="7">
        <v>2299.1109999999999</v>
      </c>
      <c r="K145" s="7">
        <v>0</v>
      </c>
      <c r="L145" s="7">
        <v>79016.11</v>
      </c>
      <c r="M145" s="7">
        <v>22144.922999999999</v>
      </c>
      <c r="N145" s="7">
        <v>0</v>
      </c>
      <c r="O145" s="7">
        <v>-115.78100000000001</v>
      </c>
      <c r="P145" s="7">
        <v>64.7</v>
      </c>
      <c r="Q145" s="7">
        <v>-56.908999999999999</v>
      </c>
      <c r="R145" s="7">
        <v>-36.79</v>
      </c>
      <c r="S145" s="7">
        <v>867.09900000000005</v>
      </c>
      <c r="T145" s="7">
        <v>0</v>
      </c>
      <c r="U145" s="7">
        <v>0</v>
      </c>
      <c r="V145" s="7">
        <v>591.67499999999995</v>
      </c>
      <c r="W145" s="7">
        <v>1148.665</v>
      </c>
      <c r="X145" s="7">
        <v>-9459.491</v>
      </c>
      <c r="Y145" s="7">
        <v>16255.057000000001</v>
      </c>
      <c r="Z145" s="7">
        <v>-2388.5160000000001</v>
      </c>
      <c r="AA145" s="7">
        <v>7096.8739999999998</v>
      </c>
      <c r="AB145" s="7">
        <v>-2650.741</v>
      </c>
      <c r="AC145" s="7">
        <v>1155.162</v>
      </c>
      <c r="AD145" s="7">
        <v>-106.405</v>
      </c>
      <c r="AE145" s="7">
        <v>61476.478000000003</v>
      </c>
      <c r="AF145" s="7">
        <v>5824.1289999999999</v>
      </c>
      <c r="AG145" s="7">
        <v>-379.16199999999998</v>
      </c>
      <c r="AH145" s="7">
        <v>210409.277</v>
      </c>
      <c r="AI145" s="7">
        <v>12361.04</v>
      </c>
      <c r="AJ145" s="7">
        <v>-13411.455</v>
      </c>
      <c r="AK145" s="7">
        <v>-369130.33199999999</v>
      </c>
      <c r="AL145" s="7">
        <v>-200159.552</v>
      </c>
      <c r="AM145" s="7">
        <v>0</v>
      </c>
      <c r="AN145" s="7">
        <v>-132191.277</v>
      </c>
      <c r="AO145" s="7">
        <v>972.83</v>
      </c>
      <c r="AP145" s="7">
        <v>0</v>
      </c>
      <c r="AQ145" s="7">
        <v>2108.2350000000001</v>
      </c>
      <c r="AR145" s="7">
        <v>0</v>
      </c>
      <c r="AS145" s="7">
        <v>4.5739999999999998</v>
      </c>
      <c r="AT145" s="7">
        <v>0</v>
      </c>
      <c r="AU145" s="7">
        <v>144.92400000000001</v>
      </c>
      <c r="AV145" s="7">
        <v>0</v>
      </c>
      <c r="AW145" s="7">
        <v>0</v>
      </c>
      <c r="AX145" s="7">
        <v>-10586.621999999999</v>
      </c>
      <c r="AY145" s="7">
        <v>-18.254999999999999</v>
      </c>
      <c r="AZ145" s="7">
        <v>-130.816</v>
      </c>
      <c r="BA145" s="7">
        <v>-7744.2049999999999</v>
      </c>
      <c r="BB145" s="7">
        <v>318.63799999999998</v>
      </c>
      <c r="BC145" s="7">
        <v>0.252</v>
      </c>
      <c r="BD145" s="7">
        <v>-68.200999999999993</v>
      </c>
      <c r="BE145" s="7">
        <v>85.894999999999996</v>
      </c>
      <c r="BF145" s="7">
        <v>85.894999999999996</v>
      </c>
      <c r="BG145" s="7">
        <v>-70.847999999999999</v>
      </c>
      <c r="BH145" s="7">
        <v>-7370.0069999999996</v>
      </c>
      <c r="BI145" s="7">
        <v>-0.125</v>
      </c>
      <c r="BJ145" s="21"/>
    </row>
    <row r="146" spans="1:62" ht="15.6" x14ac:dyDescent="0.3">
      <c r="A146" s="5" t="s">
        <v>277</v>
      </c>
      <c r="B146" s="5" t="s">
        <v>278</v>
      </c>
      <c r="C146" s="7">
        <v>6</v>
      </c>
      <c r="D146" s="7">
        <v>6</v>
      </c>
      <c r="E146" s="7">
        <v>-15545.947</v>
      </c>
      <c r="F146" s="7">
        <v>-3201.66</v>
      </c>
      <c r="G146" s="7">
        <v>-906.678</v>
      </c>
      <c r="H146" s="7">
        <v>-4.3999999999999997E-2</v>
      </c>
      <c r="I146" s="7">
        <v>-267.56700000000001</v>
      </c>
      <c r="J146" s="7">
        <v>-1247.298</v>
      </c>
      <c r="K146" s="7">
        <v>0</v>
      </c>
      <c r="L146" s="7">
        <v>-26437.831999999999</v>
      </c>
      <c r="M146" s="7">
        <v>-3416.694</v>
      </c>
      <c r="N146" s="7">
        <v>0</v>
      </c>
      <c r="O146" s="7">
        <v>0</v>
      </c>
      <c r="P146" s="7">
        <v>-28.361000000000001</v>
      </c>
      <c r="Q146" s="7">
        <v>0</v>
      </c>
      <c r="R146" s="7">
        <v>0.191</v>
      </c>
      <c r="S146" s="7">
        <v>-904.51800000000003</v>
      </c>
      <c r="T146" s="7">
        <v>0</v>
      </c>
      <c r="U146" s="7">
        <v>0</v>
      </c>
      <c r="V146" s="7">
        <v>-205.44</v>
      </c>
      <c r="W146" s="7">
        <v>-388.54500000000002</v>
      </c>
      <c r="X146" s="7">
        <v>0</v>
      </c>
      <c r="Y146" s="7">
        <v>-5782.0060000000003</v>
      </c>
      <c r="Z146" s="7">
        <v>0</v>
      </c>
      <c r="AA146" s="7">
        <v>-3048.0909999999999</v>
      </c>
      <c r="AB146" s="7">
        <v>0</v>
      </c>
      <c r="AC146" s="7">
        <v>-548.91</v>
      </c>
      <c r="AD146" s="7">
        <v>0</v>
      </c>
      <c r="AE146" s="7">
        <v>-16377.174999999999</v>
      </c>
      <c r="AF146" s="7">
        <v>-6740.7969999999996</v>
      </c>
      <c r="AG146" s="7">
        <v>0</v>
      </c>
      <c r="AH146" s="7">
        <v>-49513.095000000001</v>
      </c>
      <c r="AI146" s="7">
        <v>-10384.742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-664.34900000000005</v>
      </c>
      <c r="AP146" s="7">
        <v>0</v>
      </c>
      <c r="AQ146" s="7">
        <v>-2424.3330000000001</v>
      </c>
      <c r="AR146" s="7">
        <v>0</v>
      </c>
      <c r="AS146" s="7">
        <v>-6.8879999999999999</v>
      </c>
      <c r="AT146" s="7">
        <v>0</v>
      </c>
      <c r="AU146" s="7">
        <v>-33.881999999999998</v>
      </c>
      <c r="AV146" s="7">
        <v>0</v>
      </c>
      <c r="AW146" s="7">
        <v>0</v>
      </c>
      <c r="AX146" s="7">
        <v>0</v>
      </c>
      <c r="AY146" s="7">
        <v>-0.51</v>
      </c>
      <c r="AZ146" s="7">
        <v>-0.28699999999999998</v>
      </c>
      <c r="BA146" s="7">
        <v>0</v>
      </c>
      <c r="BB146" s="7">
        <v>-230.43600000000001</v>
      </c>
      <c r="BC146" s="7">
        <v>-0.16</v>
      </c>
      <c r="BD146" s="7">
        <v>-0.28000000000000003</v>
      </c>
      <c r="BE146" s="7">
        <v>-60.201000000000001</v>
      </c>
      <c r="BF146" s="7">
        <v>-60.201000000000001</v>
      </c>
      <c r="BG146" s="7">
        <v>-0.109</v>
      </c>
      <c r="BH146" s="7">
        <v>0</v>
      </c>
      <c r="BI146" s="7">
        <v>-6.7000000000000004E-2</v>
      </c>
      <c r="BJ146" s="21"/>
    </row>
    <row r="147" spans="1:62" ht="15.6" x14ac:dyDescent="0.3">
      <c r="A147" s="5" t="s">
        <v>279</v>
      </c>
      <c r="B147" s="5" t="s">
        <v>280</v>
      </c>
      <c r="C147" s="7">
        <v>6</v>
      </c>
      <c r="D147" s="7">
        <v>6</v>
      </c>
      <c r="E147" s="7">
        <v>2403.4989999999998</v>
      </c>
      <c r="F147" s="7">
        <v>356.97500000000002</v>
      </c>
      <c r="G147" s="7">
        <v>284.93299999999999</v>
      </c>
      <c r="H147" s="7">
        <v>2E-3</v>
      </c>
      <c r="I147" s="7">
        <v>46.578000000000003</v>
      </c>
      <c r="J147" s="7">
        <v>215.78200000000001</v>
      </c>
      <c r="K147" s="7">
        <v>0</v>
      </c>
      <c r="L147" s="7">
        <v>2561.8780000000002</v>
      </c>
      <c r="M147" s="7">
        <v>714.71600000000001</v>
      </c>
      <c r="N147" s="7">
        <v>0</v>
      </c>
      <c r="O147" s="7">
        <v>0</v>
      </c>
      <c r="P147" s="7">
        <v>2.9929999999999999</v>
      </c>
      <c r="Q147" s="7">
        <v>0</v>
      </c>
      <c r="R147" s="7">
        <v>0</v>
      </c>
      <c r="S147" s="7">
        <v>102.80500000000001</v>
      </c>
      <c r="T147" s="7">
        <v>0</v>
      </c>
      <c r="U147" s="7">
        <v>0</v>
      </c>
      <c r="V147" s="7">
        <v>36.078000000000003</v>
      </c>
      <c r="W147" s="7">
        <v>70.744</v>
      </c>
      <c r="X147" s="7">
        <v>0</v>
      </c>
      <c r="Y147" s="7">
        <v>697.60299999999995</v>
      </c>
      <c r="Z147" s="7">
        <v>0</v>
      </c>
      <c r="AA147" s="7">
        <v>497.00299999999999</v>
      </c>
      <c r="AB147" s="7">
        <v>0</v>
      </c>
      <c r="AC147" s="7">
        <v>60.805999999999997</v>
      </c>
      <c r="AD147" s="7">
        <v>2.9929999999999999</v>
      </c>
      <c r="AE147" s="7">
        <v>1817.13</v>
      </c>
      <c r="AF147" s="7">
        <v>544.26900000000001</v>
      </c>
      <c r="AG147" s="7">
        <v>10.933999999999999</v>
      </c>
      <c r="AH147" s="7">
        <v>5386.5810000000001</v>
      </c>
      <c r="AI147" s="7">
        <v>825.71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62.5</v>
      </c>
      <c r="AP147" s="7">
        <v>0</v>
      </c>
      <c r="AQ147" s="7">
        <v>201.876</v>
      </c>
      <c r="AR147" s="7">
        <v>0</v>
      </c>
      <c r="AS147" s="7">
        <v>1.0920000000000001</v>
      </c>
      <c r="AT147" s="7">
        <v>0</v>
      </c>
      <c r="AU147" s="7">
        <v>16.036000000000001</v>
      </c>
      <c r="AV147" s="7">
        <v>0</v>
      </c>
      <c r="AW147" s="7">
        <v>0</v>
      </c>
      <c r="AX147" s="7">
        <v>0</v>
      </c>
      <c r="AY147" s="7">
        <v>10.366</v>
      </c>
      <c r="AZ147" s="7">
        <v>0</v>
      </c>
      <c r="BA147" s="7">
        <v>0</v>
      </c>
      <c r="BB147" s="7">
        <v>21.969000000000001</v>
      </c>
      <c r="BC147" s="7">
        <v>6.1029999999999998</v>
      </c>
      <c r="BD147" s="7">
        <v>0</v>
      </c>
      <c r="BE147" s="7">
        <v>5.6719999999999997</v>
      </c>
      <c r="BF147" s="7">
        <v>5.6719999999999997</v>
      </c>
      <c r="BG147" s="7">
        <v>0</v>
      </c>
      <c r="BH147" s="7">
        <v>0</v>
      </c>
      <c r="BI147" s="7">
        <v>2.7330000000000001</v>
      </c>
      <c r="BJ147" s="21"/>
    </row>
    <row r="148" spans="1:62" ht="15.6" x14ac:dyDescent="0.3">
      <c r="A148" s="5" t="s">
        <v>281</v>
      </c>
      <c r="B148" s="5" t="s">
        <v>282</v>
      </c>
      <c r="C148" s="7">
        <v>6</v>
      </c>
      <c r="D148" s="7">
        <v>6</v>
      </c>
      <c r="E148" s="7">
        <v>-1400.6659999999999</v>
      </c>
      <c r="F148" s="7">
        <v>-1091.123</v>
      </c>
      <c r="G148" s="7">
        <v>-719.13900000000001</v>
      </c>
      <c r="H148" s="7">
        <v>-3.7999999999999999E-2</v>
      </c>
      <c r="I148" s="7">
        <v>-81.373999999999995</v>
      </c>
      <c r="J148" s="7">
        <v>-757.47</v>
      </c>
      <c r="K148" s="7">
        <v>0</v>
      </c>
      <c r="L148" s="7">
        <v>-2980.0210000000002</v>
      </c>
      <c r="M148" s="7">
        <v>-868.26</v>
      </c>
      <c r="N148" s="7">
        <v>0</v>
      </c>
      <c r="O148" s="7">
        <v>0</v>
      </c>
      <c r="P148" s="7">
        <v>-2E-3</v>
      </c>
      <c r="Q148" s="7">
        <v>-937.32</v>
      </c>
      <c r="R148" s="7">
        <v>-1518.94</v>
      </c>
      <c r="S148" s="7">
        <v>-443.99599999999998</v>
      </c>
      <c r="T148" s="7">
        <v>0</v>
      </c>
      <c r="U148" s="7">
        <v>0</v>
      </c>
      <c r="V148" s="7">
        <v>-166.68100000000001</v>
      </c>
      <c r="W148" s="7">
        <v>-17.241</v>
      </c>
      <c r="X148" s="7">
        <v>0</v>
      </c>
      <c r="Y148" s="7">
        <v>-482.71199999999999</v>
      </c>
      <c r="Z148" s="7">
        <v>-30042.57</v>
      </c>
      <c r="AA148" s="7">
        <v>-2572.2849999999999</v>
      </c>
      <c r="AB148" s="7">
        <v>0</v>
      </c>
      <c r="AC148" s="7">
        <v>-268.73399999999998</v>
      </c>
      <c r="AD148" s="7">
        <v>-7306.6959999999999</v>
      </c>
      <c r="AE148" s="7">
        <v>-2717.6239999999998</v>
      </c>
      <c r="AF148" s="7">
        <v>-15.236000000000001</v>
      </c>
      <c r="AG148" s="7">
        <v>-25806.062999999998</v>
      </c>
      <c r="AH148" s="7">
        <v>-5023.1840000000002</v>
      </c>
      <c r="AI148" s="7">
        <v>-1.0999999999999999E-2</v>
      </c>
      <c r="AJ148" s="7">
        <v>-154131.61799999999</v>
      </c>
      <c r="AK148" s="7">
        <v>0</v>
      </c>
      <c r="AL148" s="7">
        <v>0</v>
      </c>
      <c r="AM148" s="7">
        <v>0</v>
      </c>
      <c r="AN148" s="7">
        <v>0</v>
      </c>
      <c r="AO148" s="7">
        <v>-397.685</v>
      </c>
      <c r="AP148" s="7">
        <v>0</v>
      </c>
      <c r="AQ148" s="7">
        <v>-2.2440000000000002</v>
      </c>
      <c r="AR148" s="7">
        <v>0</v>
      </c>
      <c r="AS148" s="7">
        <v>-1.492</v>
      </c>
      <c r="AT148" s="7">
        <v>0</v>
      </c>
      <c r="AU148" s="7">
        <v>-0.156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-135.76300000000001</v>
      </c>
      <c r="BC148" s="7">
        <v>0</v>
      </c>
      <c r="BD148" s="7">
        <v>0</v>
      </c>
      <c r="BE148" s="7">
        <v>-34.398000000000003</v>
      </c>
      <c r="BF148" s="7">
        <v>-34.398000000000003</v>
      </c>
      <c r="BG148" s="7">
        <v>0</v>
      </c>
      <c r="BH148" s="7">
        <v>-96540.578999999998</v>
      </c>
      <c r="BI148" s="7">
        <v>0</v>
      </c>
      <c r="BJ148" s="21"/>
    </row>
    <row r="149" spans="1:62" ht="15.6" x14ac:dyDescent="0.3">
      <c r="A149" s="5" t="s">
        <v>283</v>
      </c>
      <c r="B149" s="5" t="s">
        <v>284</v>
      </c>
      <c r="C149" s="7">
        <v>4</v>
      </c>
      <c r="D149" s="7">
        <v>4</v>
      </c>
      <c r="E149" s="7">
        <v>22939.435000000001</v>
      </c>
      <c r="F149" s="7">
        <v>4186.9799999999996</v>
      </c>
      <c r="G149" s="7">
        <v>117.023</v>
      </c>
      <c r="H149" s="7">
        <v>0</v>
      </c>
      <c r="I149" s="7">
        <v>100.827</v>
      </c>
      <c r="J149" s="7">
        <v>79.471000000000004</v>
      </c>
      <c r="K149" s="7">
        <v>0</v>
      </c>
      <c r="L149" s="7">
        <v>51138.285000000003</v>
      </c>
      <c r="M149" s="7">
        <v>6767.4350000000004</v>
      </c>
      <c r="N149" s="7">
        <v>0</v>
      </c>
      <c r="O149" s="7">
        <v>51.789000000000001</v>
      </c>
      <c r="P149" s="7">
        <v>0</v>
      </c>
      <c r="Q149" s="7">
        <v>18.632000000000001</v>
      </c>
      <c r="R149" s="7">
        <v>0</v>
      </c>
      <c r="S149" s="7">
        <v>1312.482</v>
      </c>
      <c r="T149" s="7">
        <v>0</v>
      </c>
      <c r="U149" s="7">
        <v>0</v>
      </c>
      <c r="V149" s="7">
        <v>9.5510000000000002</v>
      </c>
      <c r="W149" s="7">
        <v>401.54300000000001</v>
      </c>
      <c r="X149" s="7">
        <v>1210.3710000000001</v>
      </c>
      <c r="Y149" s="7">
        <v>9695.2729999999992</v>
      </c>
      <c r="Z149" s="7">
        <v>44.853000000000002</v>
      </c>
      <c r="AA149" s="7">
        <v>178.46299999999999</v>
      </c>
      <c r="AB149" s="7">
        <v>1107.3330000000001</v>
      </c>
      <c r="AC149" s="7">
        <v>755.63300000000004</v>
      </c>
      <c r="AD149" s="7">
        <v>78.375</v>
      </c>
      <c r="AE149" s="7">
        <v>24085.907999999999</v>
      </c>
      <c r="AF149" s="7">
        <v>16300.235000000001</v>
      </c>
      <c r="AG149" s="7">
        <v>563.33399999999995</v>
      </c>
      <c r="AH149" s="7">
        <v>84991.328999999998</v>
      </c>
      <c r="AI149" s="7">
        <v>24784.036</v>
      </c>
      <c r="AJ149" s="7">
        <v>0.249</v>
      </c>
      <c r="AK149" s="7">
        <v>-575.16700000000003</v>
      </c>
      <c r="AL149" s="7">
        <v>-311.88099999999997</v>
      </c>
      <c r="AM149" s="7">
        <v>0</v>
      </c>
      <c r="AN149" s="7">
        <v>-205.97499999999999</v>
      </c>
      <c r="AO149" s="7">
        <v>865.66200000000003</v>
      </c>
      <c r="AP149" s="7">
        <v>0</v>
      </c>
      <c r="AQ149" s="7">
        <v>6038.7560000000003</v>
      </c>
      <c r="AR149" s="7">
        <v>0</v>
      </c>
      <c r="AS149" s="7">
        <v>13.756</v>
      </c>
      <c r="AT149" s="7">
        <v>0</v>
      </c>
      <c r="AU149" s="7">
        <v>92.382999999999996</v>
      </c>
      <c r="AV149" s="7">
        <v>0</v>
      </c>
      <c r="AW149" s="7">
        <v>0</v>
      </c>
      <c r="AX149" s="7">
        <v>1354.5909999999999</v>
      </c>
      <c r="AY149" s="7">
        <v>4.8289999999999997</v>
      </c>
      <c r="AZ149" s="7">
        <v>0</v>
      </c>
      <c r="BA149" s="7">
        <v>990.31399999999996</v>
      </c>
      <c r="BB149" s="7">
        <v>305.62599999999998</v>
      </c>
      <c r="BC149" s="7">
        <v>2.5710000000000002</v>
      </c>
      <c r="BD149" s="7">
        <v>0</v>
      </c>
      <c r="BE149" s="7">
        <v>81.861000000000004</v>
      </c>
      <c r="BF149" s="7">
        <v>81.861000000000004</v>
      </c>
      <c r="BG149" s="7">
        <v>0</v>
      </c>
      <c r="BH149" s="7">
        <v>144.54599999999999</v>
      </c>
      <c r="BI149" s="7">
        <v>1.0409999999999999</v>
      </c>
      <c r="BJ149" s="21"/>
    </row>
    <row r="150" spans="1:62" ht="15.6" x14ac:dyDescent="0.3">
      <c r="A150" s="5" t="s">
        <v>285</v>
      </c>
      <c r="B150" s="5" t="s">
        <v>286</v>
      </c>
      <c r="C150" s="7">
        <v>6</v>
      </c>
      <c r="D150" s="7">
        <v>6</v>
      </c>
      <c r="E150" s="7">
        <v>6242.39</v>
      </c>
      <c r="F150" s="7">
        <v>1411.473</v>
      </c>
      <c r="G150" s="7">
        <v>0</v>
      </c>
      <c r="H150" s="7">
        <v>0</v>
      </c>
      <c r="I150" s="7">
        <v>28.303000000000001</v>
      </c>
      <c r="J150" s="7">
        <v>0</v>
      </c>
      <c r="K150" s="7">
        <v>0</v>
      </c>
      <c r="L150" s="7">
        <v>16322.76</v>
      </c>
      <c r="M150" s="7">
        <v>564.88099999999997</v>
      </c>
      <c r="N150" s="7">
        <v>0</v>
      </c>
      <c r="O150" s="7">
        <v>42.353000000000002</v>
      </c>
      <c r="P150" s="7">
        <v>0</v>
      </c>
      <c r="Q150" s="7">
        <v>15.058999999999999</v>
      </c>
      <c r="R150" s="7">
        <v>0</v>
      </c>
      <c r="S150" s="7">
        <v>442.73599999999999</v>
      </c>
      <c r="T150" s="7">
        <v>0</v>
      </c>
      <c r="U150" s="7">
        <v>0</v>
      </c>
      <c r="V150" s="7">
        <v>0</v>
      </c>
      <c r="W150" s="7">
        <v>131.24100000000001</v>
      </c>
      <c r="X150" s="7">
        <v>492.65499999999997</v>
      </c>
      <c r="Y150" s="7">
        <v>3288.0189999999998</v>
      </c>
      <c r="Z150" s="7">
        <v>70.459999999999994</v>
      </c>
      <c r="AA150" s="7">
        <v>0</v>
      </c>
      <c r="AB150" s="7">
        <v>910.38599999999997</v>
      </c>
      <c r="AC150" s="7">
        <v>255.73</v>
      </c>
      <c r="AD150" s="7">
        <v>57.219000000000001</v>
      </c>
      <c r="AE150" s="7">
        <v>8189.0069999999996</v>
      </c>
      <c r="AF150" s="7">
        <v>5575.3760000000002</v>
      </c>
      <c r="AG150" s="7">
        <v>422.26400000000001</v>
      </c>
      <c r="AH150" s="7">
        <v>27289.409</v>
      </c>
      <c r="AI150" s="7">
        <v>8473.76</v>
      </c>
      <c r="AJ150" s="7">
        <v>210.79599999999999</v>
      </c>
      <c r="AK150" s="7">
        <v>212059.864</v>
      </c>
      <c r="AL150" s="7">
        <v>114988.674</v>
      </c>
      <c r="AM150" s="7">
        <v>0</v>
      </c>
      <c r="AN150" s="7">
        <v>75941.914000000004</v>
      </c>
      <c r="AO150" s="7">
        <v>294.33499999999998</v>
      </c>
      <c r="AP150" s="7">
        <v>0</v>
      </c>
      <c r="AQ150" s="7">
        <v>2070.2350000000001</v>
      </c>
      <c r="AR150" s="7">
        <v>0</v>
      </c>
      <c r="AS150" s="7">
        <v>4.5780000000000003</v>
      </c>
      <c r="AT150" s="7">
        <v>0</v>
      </c>
      <c r="AU150" s="7">
        <v>28.885999999999999</v>
      </c>
      <c r="AV150" s="7">
        <v>0</v>
      </c>
      <c r="AW150" s="7">
        <v>0</v>
      </c>
      <c r="AX150" s="7">
        <v>551.35599999999999</v>
      </c>
      <c r="AY150" s="7">
        <v>0</v>
      </c>
      <c r="AZ150" s="7">
        <v>0</v>
      </c>
      <c r="BA150" s="7">
        <v>403.08600000000001</v>
      </c>
      <c r="BB150" s="7">
        <v>103.858</v>
      </c>
      <c r="BC150" s="7">
        <v>0</v>
      </c>
      <c r="BD150" s="7">
        <v>0</v>
      </c>
      <c r="BE150" s="7">
        <v>27.856000000000002</v>
      </c>
      <c r="BF150" s="7">
        <v>27.856000000000002</v>
      </c>
      <c r="BG150" s="7">
        <v>0</v>
      </c>
      <c r="BH150" s="7">
        <v>219.94399999999999</v>
      </c>
      <c r="BI150" s="7">
        <v>0</v>
      </c>
      <c r="BJ150" s="21"/>
    </row>
    <row r="151" spans="1:62" ht="15.6" x14ac:dyDescent="0.3">
      <c r="A151" s="5" t="s">
        <v>287</v>
      </c>
      <c r="B151" s="5" t="s">
        <v>288</v>
      </c>
      <c r="C151" s="7">
        <v>6</v>
      </c>
      <c r="D151" s="7">
        <v>6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21"/>
    </row>
    <row r="152" spans="1:62" ht="15.6" x14ac:dyDescent="0.3">
      <c r="A152" s="5" t="s">
        <v>289</v>
      </c>
      <c r="B152" s="5" t="s">
        <v>290</v>
      </c>
      <c r="C152" s="7">
        <v>6</v>
      </c>
      <c r="D152" s="7">
        <v>6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21"/>
    </row>
    <row r="153" spans="1:62" ht="15.6" x14ac:dyDescent="0.3">
      <c r="A153" s="5" t="s">
        <v>291</v>
      </c>
      <c r="B153" s="5" t="s">
        <v>292</v>
      </c>
      <c r="C153" s="7">
        <v>6</v>
      </c>
      <c r="D153" s="7">
        <v>6</v>
      </c>
      <c r="E153" s="7">
        <v>1417.8409999999999</v>
      </c>
      <c r="F153" s="7">
        <v>1107.0440000000001</v>
      </c>
      <c r="G153" s="7">
        <v>850.19500000000005</v>
      </c>
      <c r="H153" s="7">
        <v>3.7999999999999999E-2</v>
      </c>
      <c r="I153" s="7">
        <v>82.26</v>
      </c>
      <c r="J153" s="7">
        <v>850.17700000000002</v>
      </c>
      <c r="K153" s="7">
        <v>0</v>
      </c>
      <c r="L153" s="7">
        <v>3080.308</v>
      </c>
      <c r="M153" s="7">
        <v>966.08600000000001</v>
      </c>
      <c r="N153" s="7">
        <v>0</v>
      </c>
      <c r="O153" s="7">
        <v>0</v>
      </c>
      <c r="P153" s="7">
        <v>2E-3</v>
      </c>
      <c r="Q153" s="7">
        <v>974.79600000000005</v>
      </c>
      <c r="R153" s="7">
        <v>1579.6690000000001</v>
      </c>
      <c r="S153" s="7">
        <v>450.608</v>
      </c>
      <c r="T153" s="7">
        <v>0</v>
      </c>
      <c r="U153" s="7">
        <v>0</v>
      </c>
      <c r="V153" s="7">
        <v>169.59800000000001</v>
      </c>
      <c r="W153" s="7">
        <v>17.805</v>
      </c>
      <c r="X153" s="7">
        <v>0</v>
      </c>
      <c r="Y153" s="7">
        <v>498.06299999999999</v>
      </c>
      <c r="Z153" s="7">
        <v>31243.705999999998</v>
      </c>
      <c r="AA153" s="7">
        <v>2607.04</v>
      </c>
      <c r="AB153" s="7">
        <v>0</v>
      </c>
      <c r="AC153" s="7">
        <v>274.38</v>
      </c>
      <c r="AD153" s="7">
        <v>7557.4390000000003</v>
      </c>
      <c r="AE153" s="7">
        <v>2849.0410000000002</v>
      </c>
      <c r="AF153" s="7">
        <v>15.364000000000001</v>
      </c>
      <c r="AG153" s="7">
        <v>26674.485000000001</v>
      </c>
      <c r="AH153" s="7">
        <v>5120.7960000000003</v>
      </c>
      <c r="AI153" s="7">
        <v>1.0999999999999999E-2</v>
      </c>
      <c r="AJ153" s="7">
        <v>160293.97700000001</v>
      </c>
      <c r="AK153" s="7">
        <v>0</v>
      </c>
      <c r="AL153" s="7">
        <v>0</v>
      </c>
      <c r="AM153" s="7">
        <v>0</v>
      </c>
      <c r="AN153" s="7">
        <v>0</v>
      </c>
      <c r="AO153" s="7">
        <v>404.06</v>
      </c>
      <c r="AP153" s="7">
        <v>0</v>
      </c>
      <c r="AQ153" s="7">
        <v>2.2629999999999999</v>
      </c>
      <c r="AR153" s="7">
        <v>0</v>
      </c>
      <c r="AS153" s="7">
        <v>1.514</v>
      </c>
      <c r="AT153" s="7">
        <v>0</v>
      </c>
      <c r="AU153" s="7">
        <v>0.158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137.95099999999999</v>
      </c>
      <c r="BC153" s="7">
        <v>0</v>
      </c>
      <c r="BD153" s="7">
        <v>0</v>
      </c>
      <c r="BE153" s="7">
        <v>34.951000000000001</v>
      </c>
      <c r="BF153" s="7">
        <v>34.951000000000001</v>
      </c>
      <c r="BG153" s="7">
        <v>0</v>
      </c>
      <c r="BH153" s="7">
        <v>100400.382</v>
      </c>
      <c r="BI153" s="7">
        <v>0</v>
      </c>
      <c r="BJ153" s="21"/>
    </row>
    <row r="154" spans="1:62" ht="15.6" x14ac:dyDescent="0.3">
      <c r="A154" s="5" t="s">
        <v>293</v>
      </c>
      <c r="B154" s="5" t="s">
        <v>294</v>
      </c>
      <c r="C154" s="7">
        <v>4</v>
      </c>
      <c r="D154" s="7">
        <v>4</v>
      </c>
      <c r="E154" s="7">
        <v>5336.5829999999996</v>
      </c>
      <c r="F154" s="7">
        <v>1013.317</v>
      </c>
      <c r="G154" s="7">
        <v>0</v>
      </c>
      <c r="H154" s="7">
        <v>0</v>
      </c>
      <c r="I154" s="7">
        <v>36.409999999999997</v>
      </c>
      <c r="J154" s="7">
        <v>0</v>
      </c>
      <c r="K154" s="7">
        <v>0</v>
      </c>
      <c r="L154" s="7">
        <v>12301.829</v>
      </c>
      <c r="M154" s="7">
        <v>808.99800000000005</v>
      </c>
      <c r="N154" s="7">
        <v>0</v>
      </c>
      <c r="O154" s="7">
        <v>0</v>
      </c>
      <c r="P154" s="7">
        <v>0.19</v>
      </c>
      <c r="Q154" s="7">
        <v>0</v>
      </c>
      <c r="R154" s="7">
        <v>0</v>
      </c>
      <c r="S154" s="7">
        <v>329.48500000000001</v>
      </c>
      <c r="T154" s="7">
        <v>0</v>
      </c>
      <c r="U154" s="7">
        <v>0</v>
      </c>
      <c r="V154" s="7">
        <v>0</v>
      </c>
      <c r="W154" s="7">
        <v>112.04</v>
      </c>
      <c r="X154" s="7">
        <v>0</v>
      </c>
      <c r="Y154" s="7">
        <v>2420.4180000000001</v>
      </c>
      <c r="Z154" s="7">
        <v>0</v>
      </c>
      <c r="AA154" s="7">
        <v>0</v>
      </c>
      <c r="AB154" s="7">
        <v>0</v>
      </c>
      <c r="AC154" s="7">
        <v>195.50899999999999</v>
      </c>
      <c r="AD154" s="7">
        <v>0</v>
      </c>
      <c r="AE154" s="7">
        <v>5944.3270000000002</v>
      </c>
      <c r="AF154" s="7">
        <v>3787.239</v>
      </c>
      <c r="AG154" s="7">
        <v>0</v>
      </c>
      <c r="AH154" s="7">
        <v>21127.192999999999</v>
      </c>
      <c r="AI154" s="7">
        <v>6454.5079999999998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182.691</v>
      </c>
      <c r="AP154" s="7">
        <v>0</v>
      </c>
      <c r="AQ154" s="7">
        <v>1400.597</v>
      </c>
      <c r="AR154" s="7">
        <v>0</v>
      </c>
      <c r="AS154" s="7">
        <v>3.12</v>
      </c>
      <c r="AT154" s="7">
        <v>0</v>
      </c>
      <c r="AU154" s="7">
        <v>21.242999999999999</v>
      </c>
      <c r="AV154" s="7">
        <v>0</v>
      </c>
      <c r="AW154" s="7">
        <v>0</v>
      </c>
      <c r="AX154" s="7">
        <v>0</v>
      </c>
      <c r="AY154" s="7">
        <v>57.110999999999997</v>
      </c>
      <c r="AZ154" s="7">
        <v>1648.798</v>
      </c>
      <c r="BA154" s="7">
        <v>0</v>
      </c>
      <c r="BB154" s="7">
        <v>64.602000000000004</v>
      </c>
      <c r="BC154" s="7">
        <v>0</v>
      </c>
      <c r="BD154" s="7">
        <v>2005.4690000000001</v>
      </c>
      <c r="BE154" s="7">
        <v>16.219000000000001</v>
      </c>
      <c r="BF154" s="7">
        <v>16.219000000000001</v>
      </c>
      <c r="BG154" s="7">
        <v>664.96299999999997</v>
      </c>
      <c r="BH154" s="7">
        <v>0</v>
      </c>
      <c r="BI154" s="7">
        <v>0</v>
      </c>
      <c r="BJ154" s="21"/>
    </row>
    <row r="155" spans="1:62" ht="15.6" x14ac:dyDescent="0.3">
      <c r="A155" s="5" t="s">
        <v>295</v>
      </c>
      <c r="B155" s="5" t="s">
        <v>296</v>
      </c>
      <c r="C155" s="7">
        <v>4</v>
      </c>
      <c r="D155" s="7">
        <v>4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21"/>
    </row>
    <row r="156" spans="1:62" ht="15.6" x14ac:dyDescent="0.3">
      <c r="A156" s="5" t="s">
        <v>297</v>
      </c>
      <c r="B156" s="5" t="s">
        <v>298</v>
      </c>
      <c r="C156" s="7">
        <v>4</v>
      </c>
      <c r="D156" s="7">
        <v>4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21"/>
    </row>
    <row r="157" spans="1:62" ht="15.6" x14ac:dyDescent="0.3">
      <c r="A157" s="5" t="s">
        <v>299</v>
      </c>
      <c r="B157" s="5" t="s">
        <v>300</v>
      </c>
      <c r="C157" s="7">
        <v>4</v>
      </c>
      <c r="D157" s="7">
        <v>4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21"/>
    </row>
    <row r="158" spans="1:62" ht="15.6" x14ac:dyDescent="0.3">
      <c r="A158" s="5" t="s">
        <v>301</v>
      </c>
      <c r="B158" s="5" t="s">
        <v>302</v>
      </c>
      <c r="C158" s="7">
        <v>4</v>
      </c>
      <c r="D158" s="7">
        <v>4</v>
      </c>
      <c r="E158" s="7">
        <v>-9.6000000000000002E-2</v>
      </c>
      <c r="F158" s="7">
        <v>-1.7999999999999999E-2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-0.222</v>
      </c>
      <c r="M158" s="7">
        <v>-1.4999999999999999E-2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-6.0000000000000001E-3</v>
      </c>
      <c r="T158" s="7">
        <v>0</v>
      </c>
      <c r="U158" s="7">
        <v>0</v>
      </c>
      <c r="V158" s="7">
        <v>0</v>
      </c>
      <c r="W158" s="7">
        <v>-2E-3</v>
      </c>
      <c r="X158" s="7">
        <v>0</v>
      </c>
      <c r="Y158" s="7">
        <v>-4.3999999999999997E-2</v>
      </c>
      <c r="Z158" s="7">
        <v>0</v>
      </c>
      <c r="AA158" s="7">
        <v>0</v>
      </c>
      <c r="AB158" s="7">
        <v>0</v>
      </c>
      <c r="AC158" s="7">
        <v>-4.0000000000000001E-3</v>
      </c>
      <c r="AD158" s="7">
        <v>0</v>
      </c>
      <c r="AE158" s="7">
        <v>-0.107</v>
      </c>
      <c r="AF158" s="7">
        <v>-6.8000000000000005E-2</v>
      </c>
      <c r="AG158" s="7">
        <v>0</v>
      </c>
      <c r="AH158" s="7">
        <v>-0.38200000000000001</v>
      </c>
      <c r="AI158" s="7">
        <v>-0.11700000000000001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-3.0000000000000001E-3</v>
      </c>
      <c r="AP158" s="7">
        <v>0</v>
      </c>
      <c r="AQ158" s="7">
        <v>-2.5000000000000001E-2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-1E-3</v>
      </c>
      <c r="AZ158" s="7">
        <v>-0.03</v>
      </c>
      <c r="BA158" s="7">
        <v>0</v>
      </c>
      <c r="BB158" s="7">
        <v>-1E-3</v>
      </c>
      <c r="BC158" s="7">
        <v>0</v>
      </c>
      <c r="BD158" s="7">
        <v>-3.5999999999999997E-2</v>
      </c>
      <c r="BE158" s="7">
        <v>0</v>
      </c>
      <c r="BF158" s="7">
        <v>0</v>
      </c>
      <c r="BG158" s="7">
        <v>-1.2E-2</v>
      </c>
      <c r="BH158" s="7">
        <v>0</v>
      </c>
      <c r="BI158" s="7">
        <v>0</v>
      </c>
      <c r="BJ158" s="21"/>
    </row>
    <row r="159" spans="1:62" ht="15.6" x14ac:dyDescent="0.3">
      <c r="A159" s="5" t="s">
        <v>303</v>
      </c>
      <c r="B159" s="5" t="s">
        <v>304</v>
      </c>
      <c r="C159" s="7">
        <v>4</v>
      </c>
      <c r="D159" s="7">
        <v>4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21"/>
    </row>
    <row r="160" spans="1:62" ht="15.6" x14ac:dyDescent="0.3">
      <c r="A160" s="5" t="s">
        <v>305</v>
      </c>
      <c r="B160" s="5" t="s">
        <v>306</v>
      </c>
      <c r="C160" s="7">
        <v>4</v>
      </c>
      <c r="D160" s="7">
        <v>4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21"/>
    </row>
    <row r="161" spans="1:62" ht="15.6" x14ac:dyDescent="0.3">
      <c r="A161" s="5" t="s">
        <v>307</v>
      </c>
      <c r="B161" s="5" t="s">
        <v>308</v>
      </c>
      <c r="C161" s="7">
        <v>4</v>
      </c>
      <c r="D161" s="7">
        <v>4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21"/>
    </row>
    <row r="162" spans="1:62" ht="15.6" x14ac:dyDescent="0.3">
      <c r="A162" s="5" t="s">
        <v>293</v>
      </c>
      <c r="B162" s="5" t="s">
        <v>309</v>
      </c>
      <c r="C162" s="7">
        <v>6</v>
      </c>
      <c r="D162" s="7">
        <v>6</v>
      </c>
      <c r="E162" s="7">
        <v>0</v>
      </c>
      <c r="F162" s="7">
        <v>0</v>
      </c>
      <c r="G162" s="7">
        <v>0</v>
      </c>
      <c r="H162" s="7">
        <v>3004.4969999999998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21"/>
    </row>
    <row r="163" spans="1:62" ht="15.6" x14ac:dyDescent="0.3">
      <c r="A163" s="5" t="s">
        <v>310</v>
      </c>
      <c r="B163" s="5" t="s">
        <v>311</v>
      </c>
      <c r="C163" s="7">
        <v>6</v>
      </c>
      <c r="D163" s="7">
        <v>6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21"/>
    </row>
    <row r="164" spans="1:62" ht="15.6" x14ac:dyDescent="0.3">
      <c r="A164" s="5" t="s">
        <v>312</v>
      </c>
      <c r="B164" s="5" t="s">
        <v>313</v>
      </c>
      <c r="C164" s="7">
        <v>6</v>
      </c>
      <c r="D164" s="7">
        <v>6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21"/>
    </row>
    <row r="165" spans="1:62" ht="15.6" x14ac:dyDescent="0.3">
      <c r="A165" s="5" t="s">
        <v>297</v>
      </c>
      <c r="B165" s="5" t="s">
        <v>314</v>
      </c>
      <c r="C165" s="7">
        <v>6</v>
      </c>
      <c r="D165" s="7">
        <v>6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21"/>
    </row>
    <row r="166" spans="1:62" ht="15.6" x14ac:dyDescent="0.3">
      <c r="A166" s="5" t="s">
        <v>299</v>
      </c>
      <c r="B166" s="5" t="s">
        <v>315</v>
      </c>
      <c r="C166" s="7">
        <v>6</v>
      </c>
      <c r="D166" s="7">
        <v>6</v>
      </c>
      <c r="E166" s="7">
        <v>1335.578</v>
      </c>
      <c r="F166" s="7">
        <v>119.34399999999999</v>
      </c>
      <c r="G166" s="7">
        <v>168.81800000000001</v>
      </c>
      <c r="H166" s="7">
        <v>0</v>
      </c>
      <c r="I166" s="7">
        <v>29.436</v>
      </c>
      <c r="J166" s="7">
        <v>102.63500000000001</v>
      </c>
      <c r="K166" s="7">
        <v>0</v>
      </c>
      <c r="L166" s="7">
        <v>966.64300000000003</v>
      </c>
      <c r="M166" s="7">
        <v>456.69099999999997</v>
      </c>
      <c r="N166" s="7">
        <v>0</v>
      </c>
      <c r="O166" s="7">
        <v>0</v>
      </c>
      <c r="P166" s="7">
        <v>5.3369999999999997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16.289000000000001</v>
      </c>
      <c r="W166" s="7">
        <v>48.332999999999998</v>
      </c>
      <c r="X166" s="7">
        <v>0</v>
      </c>
      <c r="Y166" s="7">
        <v>381.74</v>
      </c>
      <c r="Z166" s="7">
        <v>0</v>
      </c>
      <c r="AA166" s="7">
        <v>132.92699999999999</v>
      </c>
      <c r="AB166" s="7">
        <v>0</v>
      </c>
      <c r="AC166" s="7">
        <v>20.954000000000001</v>
      </c>
      <c r="AD166" s="7">
        <v>0</v>
      </c>
      <c r="AE166" s="7">
        <v>1229.953</v>
      </c>
      <c r="AF166" s="7">
        <v>0</v>
      </c>
      <c r="AG166" s="7">
        <v>0</v>
      </c>
      <c r="AH166" s="7">
        <v>2804.578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21"/>
    </row>
    <row r="167" spans="1:62" ht="15.6" x14ac:dyDescent="0.3">
      <c r="A167" s="5" t="s">
        <v>301</v>
      </c>
      <c r="B167" s="5" t="s">
        <v>316</v>
      </c>
      <c r="C167" s="7">
        <v>6</v>
      </c>
      <c r="D167" s="7">
        <v>6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21"/>
    </row>
    <row r="168" spans="1:62" ht="15.6" x14ac:dyDescent="0.3">
      <c r="A168" s="5" t="s">
        <v>317</v>
      </c>
      <c r="B168" s="5" t="s">
        <v>318</v>
      </c>
      <c r="C168" s="7">
        <v>6</v>
      </c>
      <c r="D168" s="7">
        <v>6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21"/>
    </row>
    <row r="169" spans="1:62" ht="15.6" x14ac:dyDescent="0.3">
      <c r="A169" s="5" t="s">
        <v>319</v>
      </c>
      <c r="B169" s="5" t="s">
        <v>320</v>
      </c>
      <c r="C169" s="7">
        <v>6</v>
      </c>
      <c r="D169" s="7">
        <v>6</v>
      </c>
      <c r="E169" s="7">
        <v>-12.151999999999999</v>
      </c>
      <c r="F169" s="7">
        <v>-2.4289999999999998</v>
      </c>
      <c r="G169" s="7">
        <v>-2.3690000000000002</v>
      </c>
      <c r="H169" s="7">
        <v>0</v>
      </c>
      <c r="I169" s="7">
        <v>-0.47499999999999998</v>
      </c>
      <c r="J169" s="7">
        <v>-1.8660000000000001</v>
      </c>
      <c r="K169" s="7">
        <v>0</v>
      </c>
      <c r="L169" s="7">
        <v>-9.7349999999999994</v>
      </c>
      <c r="M169" s="7">
        <v>-8.1709999999999994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-0.69799999999999995</v>
      </c>
      <c r="T169" s="7">
        <v>0</v>
      </c>
      <c r="U169" s="7">
        <v>0</v>
      </c>
      <c r="V169" s="7">
        <v>-0.28999999999999998</v>
      </c>
      <c r="W169" s="7">
        <v>-0.68</v>
      </c>
      <c r="X169" s="7">
        <v>0</v>
      </c>
      <c r="Y169" s="7">
        <v>-3.464</v>
      </c>
      <c r="Z169" s="7">
        <v>0</v>
      </c>
      <c r="AA169" s="7">
        <v>-2.2669999999999999</v>
      </c>
      <c r="AB169" s="7">
        <v>0</v>
      </c>
      <c r="AC169" s="7">
        <v>-0.379</v>
      </c>
      <c r="AD169" s="7">
        <v>0</v>
      </c>
      <c r="AE169" s="7">
        <v>-8.8239999999999998</v>
      </c>
      <c r="AF169" s="7">
        <v>0</v>
      </c>
      <c r="AG169" s="7">
        <v>0</v>
      </c>
      <c r="AH169" s="7">
        <v>-28.012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-0.17799999999999999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-6.5000000000000002E-2</v>
      </c>
      <c r="BC169" s="7">
        <v>0</v>
      </c>
      <c r="BD169" s="7">
        <v>0</v>
      </c>
      <c r="BE169" s="7">
        <v>-2.7E-2</v>
      </c>
      <c r="BF169" s="7">
        <v>-2.7E-2</v>
      </c>
      <c r="BG169" s="7">
        <v>0</v>
      </c>
      <c r="BH169" s="7">
        <v>0</v>
      </c>
      <c r="BI169" s="7">
        <v>0</v>
      </c>
      <c r="BJ169" s="21"/>
    </row>
    <row r="170" spans="1:62" ht="15.6" x14ac:dyDescent="0.3">
      <c r="A170" s="5" t="s">
        <v>305</v>
      </c>
      <c r="B170" s="5" t="s">
        <v>321</v>
      </c>
      <c r="C170" s="7">
        <v>6</v>
      </c>
      <c r="D170" s="7">
        <v>6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21"/>
    </row>
    <row r="171" spans="1:62" ht="15.6" x14ac:dyDescent="0.3">
      <c r="A171" s="5" t="s">
        <v>307</v>
      </c>
      <c r="B171" s="5" t="s">
        <v>322</v>
      </c>
      <c r="C171" s="7">
        <v>6</v>
      </c>
      <c r="D171" s="7">
        <v>6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21"/>
    </row>
    <row r="172" spans="1:62" ht="15.6" x14ac:dyDescent="0.3">
      <c r="A172" s="5" t="s">
        <v>323</v>
      </c>
      <c r="B172" s="5" t="s">
        <v>324</v>
      </c>
      <c r="C172" s="7">
        <v>4</v>
      </c>
      <c r="D172" s="7">
        <v>4</v>
      </c>
      <c r="E172" s="7">
        <v>5278.93</v>
      </c>
      <c r="F172" s="7">
        <v>583.87599999999998</v>
      </c>
      <c r="G172" s="7">
        <v>0</v>
      </c>
      <c r="H172" s="7">
        <v>0</v>
      </c>
      <c r="I172" s="7">
        <v>19.957999999999998</v>
      </c>
      <c r="J172" s="7">
        <v>0</v>
      </c>
      <c r="K172" s="7">
        <v>0</v>
      </c>
      <c r="L172" s="7">
        <v>12278.402</v>
      </c>
      <c r="M172" s="7">
        <v>1662.751</v>
      </c>
      <c r="N172" s="7">
        <v>0</v>
      </c>
      <c r="O172" s="7">
        <v>0</v>
      </c>
      <c r="P172" s="7">
        <v>9.2999999999999999E-2</v>
      </c>
      <c r="Q172" s="7">
        <v>0</v>
      </c>
      <c r="R172" s="7">
        <v>0</v>
      </c>
      <c r="S172" s="7">
        <v>188.71700000000001</v>
      </c>
      <c r="T172" s="7">
        <v>0</v>
      </c>
      <c r="U172" s="7">
        <v>0</v>
      </c>
      <c r="V172" s="7">
        <v>0</v>
      </c>
      <c r="W172" s="7">
        <v>63.134999999999998</v>
      </c>
      <c r="X172" s="7">
        <v>0</v>
      </c>
      <c r="Y172" s="7">
        <v>1750.248</v>
      </c>
      <c r="Z172" s="7">
        <v>0</v>
      </c>
      <c r="AA172" s="7">
        <v>0</v>
      </c>
      <c r="AB172" s="7">
        <v>0</v>
      </c>
      <c r="AC172" s="7">
        <v>111.38200000000001</v>
      </c>
      <c r="AD172" s="7">
        <v>0</v>
      </c>
      <c r="AE172" s="7">
        <v>3379.2379999999998</v>
      </c>
      <c r="AF172" s="7">
        <v>2187.5450000000001</v>
      </c>
      <c r="AG172" s="7">
        <v>0</v>
      </c>
      <c r="AH172" s="7">
        <v>17316.498</v>
      </c>
      <c r="AI172" s="7">
        <v>3671.3029999999999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106.248</v>
      </c>
      <c r="AP172" s="7">
        <v>0</v>
      </c>
      <c r="AQ172" s="7">
        <v>806.00099999999998</v>
      </c>
      <c r="AR172" s="7">
        <v>0</v>
      </c>
      <c r="AS172" s="7">
        <v>1.7909999999999999</v>
      </c>
      <c r="AT172" s="7">
        <v>0</v>
      </c>
      <c r="AU172" s="7">
        <v>12.064</v>
      </c>
      <c r="AV172" s="7">
        <v>0</v>
      </c>
      <c r="AW172" s="7">
        <v>0</v>
      </c>
      <c r="AX172" s="7">
        <v>0</v>
      </c>
      <c r="AY172" s="7">
        <v>28.126000000000001</v>
      </c>
      <c r="AZ172" s="7">
        <v>812.101</v>
      </c>
      <c r="BA172" s="7">
        <v>0</v>
      </c>
      <c r="BB172" s="7">
        <v>37.56</v>
      </c>
      <c r="BC172" s="7">
        <v>0</v>
      </c>
      <c r="BD172" s="7">
        <v>987.77700000000004</v>
      </c>
      <c r="BE172" s="7">
        <v>9.5239999999999991</v>
      </c>
      <c r="BF172" s="7">
        <v>9.5239999999999991</v>
      </c>
      <c r="BG172" s="7">
        <v>327.52100000000002</v>
      </c>
      <c r="BH172" s="7">
        <v>0</v>
      </c>
      <c r="BI172" s="7">
        <v>0</v>
      </c>
      <c r="BJ172" s="21"/>
    </row>
    <row r="173" spans="1:62" ht="15.6" x14ac:dyDescent="0.3">
      <c r="A173" s="5" t="s">
        <v>325</v>
      </c>
      <c r="B173" s="5" t="s">
        <v>326</v>
      </c>
      <c r="C173" s="7">
        <v>4</v>
      </c>
      <c r="D173" s="7">
        <v>4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21"/>
    </row>
    <row r="174" spans="1:62" ht="15.6" x14ac:dyDescent="0.3">
      <c r="A174" s="5" t="s">
        <v>327</v>
      </c>
      <c r="B174" s="5" t="s">
        <v>328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21"/>
    </row>
    <row r="175" spans="1:62" ht="15.6" x14ac:dyDescent="0.3">
      <c r="A175" s="5" t="s">
        <v>329</v>
      </c>
      <c r="B175" s="5" t="s">
        <v>330</v>
      </c>
      <c r="C175" s="7">
        <v>4</v>
      </c>
      <c r="D175" s="7">
        <v>4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21"/>
    </row>
    <row r="176" spans="1:62" ht="15.6" x14ac:dyDescent="0.3">
      <c r="A176" s="5" t="s">
        <v>331</v>
      </c>
      <c r="B176" s="5" t="s">
        <v>332</v>
      </c>
      <c r="C176" s="7">
        <v>4</v>
      </c>
      <c r="D176" s="7">
        <v>4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21"/>
    </row>
    <row r="177" spans="1:62" ht="15.6" x14ac:dyDescent="0.3">
      <c r="A177" s="5" t="s">
        <v>333</v>
      </c>
      <c r="B177" s="5" t="s">
        <v>334</v>
      </c>
      <c r="C177" s="7">
        <v>4</v>
      </c>
      <c r="D177" s="7">
        <v>4</v>
      </c>
      <c r="E177" s="7">
        <v>-4699.45</v>
      </c>
      <c r="F177" s="7">
        <v>-482.339</v>
      </c>
      <c r="G177" s="7">
        <v>0</v>
      </c>
      <c r="H177" s="7">
        <v>0</v>
      </c>
      <c r="I177" s="7">
        <v>-17.437999999999999</v>
      </c>
      <c r="J177" s="7">
        <v>0</v>
      </c>
      <c r="K177" s="7">
        <v>0</v>
      </c>
      <c r="L177" s="7">
        <v>-10867.78</v>
      </c>
      <c r="M177" s="7">
        <v>-1582.5340000000001</v>
      </c>
      <c r="N177" s="7">
        <v>0</v>
      </c>
      <c r="O177" s="7">
        <v>0</v>
      </c>
      <c r="P177" s="7">
        <v>-8.3000000000000004E-2</v>
      </c>
      <c r="Q177" s="7">
        <v>0</v>
      </c>
      <c r="R177" s="7">
        <v>0</v>
      </c>
      <c r="S177" s="7">
        <v>-156.059</v>
      </c>
      <c r="T177" s="7">
        <v>0</v>
      </c>
      <c r="U177" s="7">
        <v>0</v>
      </c>
      <c r="V177" s="7">
        <v>0</v>
      </c>
      <c r="W177" s="7">
        <v>-52.817</v>
      </c>
      <c r="X177" s="7">
        <v>0</v>
      </c>
      <c r="Y177" s="7">
        <v>-1483.912</v>
      </c>
      <c r="Z177" s="7">
        <v>0</v>
      </c>
      <c r="AA177" s="7">
        <v>0</v>
      </c>
      <c r="AB177" s="7">
        <v>0</v>
      </c>
      <c r="AC177" s="7">
        <v>-92.025000000000006</v>
      </c>
      <c r="AD177" s="7">
        <v>0</v>
      </c>
      <c r="AE177" s="7">
        <v>-2741.34</v>
      </c>
      <c r="AF177" s="7">
        <v>-1783.1579999999999</v>
      </c>
      <c r="AG177" s="7">
        <v>0</v>
      </c>
      <c r="AH177" s="7">
        <v>-15272.684999999999</v>
      </c>
      <c r="AI177" s="7">
        <v>-3022.1280000000002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-84.953000000000003</v>
      </c>
      <c r="AP177" s="7">
        <v>0</v>
      </c>
      <c r="AQ177" s="7">
        <v>-652.06399999999996</v>
      </c>
      <c r="AR177" s="7">
        <v>0</v>
      </c>
      <c r="AS177" s="7">
        <v>-1.4450000000000001</v>
      </c>
      <c r="AT177" s="7">
        <v>0</v>
      </c>
      <c r="AU177" s="7">
        <v>-9.7940000000000005</v>
      </c>
      <c r="AV177" s="7">
        <v>0</v>
      </c>
      <c r="AW177" s="7">
        <v>0</v>
      </c>
      <c r="AX177" s="7">
        <v>0</v>
      </c>
      <c r="AY177" s="7">
        <v>-25.056999999999999</v>
      </c>
      <c r="AZ177" s="7">
        <v>-723.48900000000003</v>
      </c>
      <c r="BA177" s="7">
        <v>0</v>
      </c>
      <c r="BB177" s="7">
        <v>-30.039000000000001</v>
      </c>
      <c r="BC177" s="7">
        <v>0</v>
      </c>
      <c r="BD177" s="7">
        <v>-879.99699999999996</v>
      </c>
      <c r="BE177" s="7">
        <v>-7.5670000000000002</v>
      </c>
      <c r="BF177" s="7">
        <v>-7.5670000000000002</v>
      </c>
      <c r="BG177" s="7">
        <v>-291.78399999999999</v>
      </c>
      <c r="BH177" s="7">
        <v>0</v>
      </c>
      <c r="BI177" s="7">
        <v>0</v>
      </c>
      <c r="BJ177" s="21"/>
    </row>
    <row r="178" spans="1:62" ht="15.6" x14ac:dyDescent="0.3">
      <c r="A178" s="5" t="s">
        <v>335</v>
      </c>
      <c r="B178" s="5" t="s">
        <v>336</v>
      </c>
      <c r="C178" s="7">
        <v>4</v>
      </c>
      <c r="D178" s="7">
        <v>4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21"/>
    </row>
    <row r="179" spans="1:62" ht="15.6" x14ac:dyDescent="0.3">
      <c r="A179" s="5" t="s">
        <v>337</v>
      </c>
      <c r="B179" s="5" t="s">
        <v>338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21"/>
    </row>
    <row r="180" spans="1:62" ht="15.6" x14ac:dyDescent="0.3">
      <c r="A180" s="5" t="s">
        <v>339</v>
      </c>
      <c r="B180" s="5" t="s">
        <v>340</v>
      </c>
      <c r="C180" s="7">
        <v>4</v>
      </c>
      <c r="D180" s="7">
        <v>4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21"/>
    </row>
    <row r="181" spans="1:62" ht="15.6" x14ac:dyDescent="0.3">
      <c r="A181" s="5" t="s">
        <v>341</v>
      </c>
      <c r="B181" s="5" t="s">
        <v>342</v>
      </c>
      <c r="C181" s="7">
        <v>4</v>
      </c>
      <c r="D181" s="7">
        <v>4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21"/>
    </row>
    <row r="182" spans="1:62" ht="15.6" x14ac:dyDescent="0.3">
      <c r="A182" s="5" t="s">
        <v>323</v>
      </c>
      <c r="B182" s="5" t="s">
        <v>343</v>
      </c>
      <c r="C182" s="7">
        <v>6</v>
      </c>
      <c r="D182" s="7">
        <v>6</v>
      </c>
      <c r="E182" s="7">
        <v>1.2E-2</v>
      </c>
      <c r="F182" s="7">
        <v>2E-3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2.7E-2</v>
      </c>
      <c r="M182" s="7">
        <v>2E-3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5.0000000000000001E-3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1.2999999999999999E-2</v>
      </c>
      <c r="AF182" s="7">
        <v>8.0000000000000002E-3</v>
      </c>
      <c r="AG182" s="7">
        <v>0</v>
      </c>
      <c r="AH182" s="7">
        <v>4.5999999999999999E-2</v>
      </c>
      <c r="AI182" s="7">
        <v>1.4E-2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3.0000000000000001E-3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4.0000000000000001E-3</v>
      </c>
      <c r="BA182" s="7">
        <v>0</v>
      </c>
      <c r="BB182" s="7">
        <v>0</v>
      </c>
      <c r="BC182" s="7">
        <v>0</v>
      </c>
      <c r="BD182" s="7">
        <v>4.0000000000000001E-3</v>
      </c>
      <c r="BE182" s="7">
        <v>0</v>
      </c>
      <c r="BF182" s="7">
        <v>0</v>
      </c>
      <c r="BG182" s="7">
        <v>1E-3</v>
      </c>
      <c r="BH182" s="7">
        <v>0</v>
      </c>
      <c r="BI182" s="7">
        <v>0</v>
      </c>
      <c r="BJ182" s="21"/>
    </row>
    <row r="183" spans="1:62" ht="15.6" x14ac:dyDescent="0.3">
      <c r="A183" s="5" t="s">
        <v>325</v>
      </c>
      <c r="B183" s="5" t="s">
        <v>344</v>
      </c>
      <c r="C183" s="7">
        <v>6</v>
      </c>
      <c r="D183" s="7">
        <v>6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21"/>
    </row>
    <row r="184" spans="1:62" ht="15.6" x14ac:dyDescent="0.3">
      <c r="A184" s="5" t="s">
        <v>327</v>
      </c>
      <c r="B184" s="5" t="s">
        <v>345</v>
      </c>
      <c r="C184" s="7">
        <v>6</v>
      </c>
      <c r="D184" s="7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21"/>
    </row>
    <row r="185" spans="1:62" ht="15.6" x14ac:dyDescent="0.3">
      <c r="A185" s="5" t="s">
        <v>329</v>
      </c>
      <c r="B185" s="5" t="s">
        <v>346</v>
      </c>
      <c r="C185" s="7">
        <v>6</v>
      </c>
      <c r="D185" s="7">
        <v>6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21"/>
    </row>
    <row r="186" spans="1:62" ht="15.6" x14ac:dyDescent="0.3">
      <c r="A186" s="5" t="s">
        <v>331</v>
      </c>
      <c r="B186" s="5" t="s">
        <v>347</v>
      </c>
      <c r="C186" s="7">
        <v>6</v>
      </c>
      <c r="D186" s="7">
        <v>6</v>
      </c>
      <c r="E186" s="7">
        <v>2200.2570000000001</v>
      </c>
      <c r="F186" s="7">
        <v>196.60900000000001</v>
      </c>
      <c r="G186" s="7">
        <v>278.11099999999999</v>
      </c>
      <c r="H186" s="7">
        <v>0</v>
      </c>
      <c r="I186" s="7">
        <v>48.496000000000002</v>
      </c>
      <c r="J186" s="7">
        <v>169.08500000000001</v>
      </c>
      <c r="K186" s="7">
        <v>0</v>
      </c>
      <c r="L186" s="7">
        <v>1592.4690000000001</v>
      </c>
      <c r="M186" s="7">
        <v>752.36</v>
      </c>
      <c r="N186" s="7">
        <v>0</v>
      </c>
      <c r="O186" s="7">
        <v>0</v>
      </c>
      <c r="P186" s="7">
        <v>8.7929999999999993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26.832999999999998</v>
      </c>
      <c r="W186" s="7">
        <v>79.625</v>
      </c>
      <c r="X186" s="7">
        <v>0</v>
      </c>
      <c r="Y186" s="7">
        <v>628.88599999999997</v>
      </c>
      <c r="Z186" s="7">
        <v>0</v>
      </c>
      <c r="AA186" s="7">
        <v>218.98599999999999</v>
      </c>
      <c r="AB186" s="7">
        <v>0</v>
      </c>
      <c r="AC186" s="7">
        <v>34.521000000000001</v>
      </c>
      <c r="AD186" s="7">
        <v>0</v>
      </c>
      <c r="AE186" s="7">
        <v>2026.248</v>
      </c>
      <c r="AF186" s="7">
        <v>0</v>
      </c>
      <c r="AG186" s="7">
        <v>0</v>
      </c>
      <c r="AH186" s="7">
        <v>4620.3159999999998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21"/>
    </row>
    <row r="187" spans="1:62" ht="15.6" x14ac:dyDescent="0.3">
      <c r="A187" s="5" t="s">
        <v>333</v>
      </c>
      <c r="B187" s="5" t="s">
        <v>348</v>
      </c>
      <c r="C187" s="7">
        <v>6</v>
      </c>
      <c r="D187" s="7">
        <v>6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21"/>
    </row>
    <row r="188" spans="1:62" ht="15.6" x14ac:dyDescent="0.3">
      <c r="A188" s="5" t="s">
        <v>335</v>
      </c>
      <c r="B188" s="5" t="s">
        <v>349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21"/>
    </row>
    <row r="189" spans="1:62" ht="15.6" x14ac:dyDescent="0.3">
      <c r="A189" s="5" t="s">
        <v>337</v>
      </c>
      <c r="B189" s="5" t="s">
        <v>350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21"/>
    </row>
    <row r="190" spans="1:62" ht="15.6" x14ac:dyDescent="0.3">
      <c r="A190" s="5" t="s">
        <v>339</v>
      </c>
      <c r="B190" s="5" t="s">
        <v>351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21"/>
    </row>
    <row r="191" spans="1:62" ht="15.6" x14ac:dyDescent="0.3">
      <c r="A191" s="5" t="s">
        <v>341</v>
      </c>
      <c r="B191" s="5" t="s">
        <v>352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21"/>
    </row>
    <row r="192" spans="1:62" ht="15.6" x14ac:dyDescent="0.3">
      <c r="A192" s="5" t="s">
        <v>353</v>
      </c>
      <c r="B192" s="5" t="s">
        <v>354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21"/>
    </row>
    <row r="193" spans="1:62" ht="15.6" x14ac:dyDescent="0.3">
      <c r="A193" s="5" t="s">
        <v>355</v>
      </c>
      <c r="B193" s="5" t="s">
        <v>356</v>
      </c>
      <c r="C193" s="7">
        <v>6</v>
      </c>
      <c r="D193" s="7">
        <v>6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21"/>
    </row>
    <row r="194" spans="1:62" ht="15.6" x14ac:dyDescent="0.3">
      <c r="A194" s="5" t="s">
        <v>357</v>
      </c>
      <c r="B194" s="5" t="s">
        <v>358</v>
      </c>
      <c r="C194" s="7">
        <v>6</v>
      </c>
      <c r="D194" s="7">
        <v>6</v>
      </c>
      <c r="E194" s="7">
        <v>29.337</v>
      </c>
      <c r="F194" s="7">
        <v>2.6190000000000002</v>
      </c>
      <c r="G194" s="7">
        <v>7.609</v>
      </c>
      <c r="H194" s="7">
        <v>0</v>
      </c>
      <c r="I194" s="7">
        <v>0.66100000000000003</v>
      </c>
      <c r="J194" s="7">
        <v>5.7690000000000001</v>
      </c>
      <c r="K194" s="7">
        <v>0</v>
      </c>
      <c r="L194" s="7">
        <v>10.401999999999999</v>
      </c>
      <c r="M194" s="7">
        <v>17.78</v>
      </c>
      <c r="N194" s="7">
        <v>0</v>
      </c>
      <c r="O194" s="7">
        <v>0</v>
      </c>
      <c r="P194" s="7">
        <v>1E-3</v>
      </c>
      <c r="Q194" s="7">
        <v>0</v>
      </c>
      <c r="R194" s="7">
        <v>0</v>
      </c>
      <c r="S194" s="7">
        <v>0.97099999999999997</v>
      </c>
      <c r="T194" s="7">
        <v>0</v>
      </c>
      <c r="U194" s="7">
        <v>0</v>
      </c>
      <c r="V194" s="7">
        <v>0.71699999999999997</v>
      </c>
      <c r="W194" s="7">
        <v>1.796</v>
      </c>
      <c r="X194" s="7">
        <v>0</v>
      </c>
      <c r="Y194" s="7">
        <v>4.9039999999999999</v>
      </c>
      <c r="Z194" s="7">
        <v>0</v>
      </c>
      <c r="AA194" s="7">
        <v>9.3780000000000001</v>
      </c>
      <c r="AB194" s="7">
        <v>0</v>
      </c>
      <c r="AC194" s="7">
        <v>0.52800000000000002</v>
      </c>
      <c r="AD194" s="7">
        <v>0</v>
      </c>
      <c r="AE194" s="7">
        <v>14.678000000000001</v>
      </c>
      <c r="AF194" s="7">
        <v>0</v>
      </c>
      <c r="AG194" s="7">
        <v>0</v>
      </c>
      <c r="AH194" s="7">
        <v>36.170999999999999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0.55600000000000005</v>
      </c>
      <c r="AP194" s="7">
        <v>0</v>
      </c>
      <c r="AQ194" s="7">
        <v>0</v>
      </c>
      <c r="AR194" s="7">
        <v>0</v>
      </c>
      <c r="AS194" s="7">
        <v>4.0000000000000001E-3</v>
      </c>
      <c r="AT194" s="7">
        <v>0</v>
      </c>
      <c r="AU194" s="7">
        <v>0.21</v>
      </c>
      <c r="AV194" s="7">
        <v>0</v>
      </c>
      <c r="AW194" s="7">
        <v>0</v>
      </c>
      <c r="AX194" s="7">
        <v>0</v>
      </c>
      <c r="AY194" s="7">
        <v>0.38500000000000001</v>
      </c>
      <c r="AZ194" s="7">
        <v>0</v>
      </c>
      <c r="BA194" s="7">
        <v>0</v>
      </c>
      <c r="BB194" s="7">
        <v>0.20399999999999999</v>
      </c>
      <c r="BC194" s="7">
        <v>0.248</v>
      </c>
      <c r="BD194" s="7">
        <v>0</v>
      </c>
      <c r="BE194" s="7">
        <v>5.3999999999999999E-2</v>
      </c>
      <c r="BF194" s="7">
        <v>5.3999999999999999E-2</v>
      </c>
      <c r="BG194" s="7">
        <v>0</v>
      </c>
      <c r="BH194" s="7">
        <v>0</v>
      </c>
      <c r="BI194" s="7">
        <v>0.114</v>
      </c>
      <c r="BJ194" s="21"/>
    </row>
    <row r="195" spans="1:62" ht="15.6" x14ac:dyDescent="0.3">
      <c r="A195" s="5" t="s">
        <v>359</v>
      </c>
      <c r="B195" s="5" t="s">
        <v>360</v>
      </c>
      <c r="C195" s="7">
        <v>6</v>
      </c>
      <c r="D195" s="7">
        <v>6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34.29</v>
      </c>
      <c r="R195" s="7">
        <v>101.22799999999999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21"/>
    </row>
    <row r="196" spans="1:62" ht="15.6" x14ac:dyDescent="0.3">
      <c r="A196" s="5" t="s">
        <v>361</v>
      </c>
      <c r="B196" s="5" t="s">
        <v>362</v>
      </c>
      <c r="C196" s="7">
        <v>6</v>
      </c>
      <c r="D196" s="7">
        <v>6</v>
      </c>
      <c r="E196" s="7">
        <v>148.02199999999999</v>
      </c>
      <c r="F196" s="7">
        <v>0</v>
      </c>
      <c r="G196" s="7">
        <v>36.042999999999999</v>
      </c>
      <c r="H196" s="7">
        <v>0</v>
      </c>
      <c r="I196" s="7">
        <v>0</v>
      </c>
      <c r="J196" s="7">
        <v>62.695</v>
      </c>
      <c r="K196" s="7">
        <v>0</v>
      </c>
      <c r="L196" s="7">
        <v>532.40200000000004</v>
      </c>
      <c r="M196" s="7">
        <v>77.198999999999998</v>
      </c>
      <c r="N196" s="7">
        <v>0</v>
      </c>
      <c r="O196" s="7">
        <v>0</v>
      </c>
      <c r="P196" s="7">
        <v>0</v>
      </c>
      <c r="Q196" s="7">
        <v>34.054000000000002</v>
      </c>
      <c r="R196" s="7">
        <v>100.533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456.39499999999998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21"/>
    </row>
    <row r="197" spans="1:62" ht="15.6" x14ac:dyDescent="0.3">
      <c r="A197" s="5" t="s">
        <v>363</v>
      </c>
      <c r="B197" s="5" t="s">
        <v>364</v>
      </c>
      <c r="C197" s="7">
        <v>6</v>
      </c>
      <c r="D197" s="7">
        <v>6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21"/>
    </row>
    <row r="198" spans="1:62" ht="15.6" x14ac:dyDescent="0.3">
      <c r="A198" s="5" t="s">
        <v>365</v>
      </c>
      <c r="B198" s="5" t="s">
        <v>366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21"/>
    </row>
    <row r="199" spans="1:62" ht="15.6" x14ac:dyDescent="0.3">
      <c r="A199" s="5" t="s">
        <v>367</v>
      </c>
      <c r="B199" s="5" t="s">
        <v>368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21"/>
    </row>
    <row r="200" spans="1:62" ht="15.6" x14ac:dyDescent="0.3">
      <c r="A200" s="5" t="s">
        <v>369</v>
      </c>
      <c r="B200" s="5" t="s">
        <v>370</v>
      </c>
      <c r="C200" s="7">
        <v>6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21"/>
    </row>
    <row r="201" spans="1:62" ht="15.6" x14ac:dyDescent="0.3">
      <c r="A201" s="5" t="s">
        <v>371</v>
      </c>
      <c r="B201" s="5" t="s">
        <v>372</v>
      </c>
      <c r="C201" s="7">
        <v>6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21"/>
    </row>
    <row r="202" spans="1:62" ht="15.6" x14ac:dyDescent="0.3">
      <c r="A202" s="5" t="s">
        <v>373</v>
      </c>
      <c r="B202" s="5" t="s">
        <v>374</v>
      </c>
      <c r="C202" s="7">
        <v>3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21"/>
    </row>
    <row r="203" spans="1:62" ht="15.6" x14ac:dyDescent="0.3">
      <c r="A203" s="5" t="s">
        <v>375</v>
      </c>
      <c r="B203" s="5" t="s">
        <v>376</v>
      </c>
      <c r="C203" s="7">
        <v>6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21"/>
    </row>
    <row r="204" spans="1:62" ht="15.6" x14ac:dyDescent="0.3">
      <c r="A204" s="5" t="s">
        <v>377</v>
      </c>
      <c r="B204" s="5" t="s">
        <v>378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21"/>
    </row>
    <row r="205" spans="1:62" ht="15.6" x14ac:dyDescent="0.3">
      <c r="A205" s="5" t="s">
        <v>379</v>
      </c>
      <c r="B205" s="5" t="s">
        <v>380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21"/>
    </row>
    <row r="206" spans="1:62" ht="15.6" x14ac:dyDescent="0.3">
      <c r="A206" s="5" t="s">
        <v>381</v>
      </c>
      <c r="B206" s="5" t="s">
        <v>382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21"/>
    </row>
    <row r="207" spans="1:62" ht="15.6" x14ac:dyDescent="0.3">
      <c r="A207" s="5" t="s">
        <v>383</v>
      </c>
      <c r="B207" s="5" t="s">
        <v>384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21"/>
    </row>
    <row r="208" spans="1:62" ht="15.6" x14ac:dyDescent="0.3">
      <c r="A208" s="5" t="s">
        <v>385</v>
      </c>
      <c r="B208" s="5" t="s">
        <v>386</v>
      </c>
      <c r="C208" s="7">
        <v>6</v>
      </c>
      <c r="D208" s="7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21"/>
    </row>
    <row r="209" spans="1:62" ht="15.6" x14ac:dyDescent="0.3">
      <c r="A209" s="5" t="s">
        <v>387</v>
      </c>
      <c r="B209" s="5" t="s">
        <v>388</v>
      </c>
      <c r="C209" s="7">
        <v>6</v>
      </c>
      <c r="D209" s="7">
        <v>6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21"/>
    </row>
    <row r="210" spans="1:62" ht="15.6" x14ac:dyDescent="0.3">
      <c r="A210" s="5" t="s">
        <v>389</v>
      </c>
      <c r="B210" s="5" t="s">
        <v>390</v>
      </c>
      <c r="C210" s="7">
        <v>6</v>
      </c>
      <c r="D210" s="7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21"/>
    </row>
    <row r="211" spans="1:62" ht="15.6" x14ac:dyDescent="0.3">
      <c r="A211" s="5" t="s">
        <v>391</v>
      </c>
      <c r="B211" s="5" t="s">
        <v>392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21"/>
    </row>
    <row r="212" spans="1:62" ht="15.6" x14ac:dyDescent="0.3">
      <c r="A212" s="5" t="s">
        <v>393</v>
      </c>
      <c r="B212" s="5" t="s">
        <v>394</v>
      </c>
      <c r="C212" s="7">
        <v>6</v>
      </c>
      <c r="D212" s="7">
        <v>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21"/>
    </row>
    <row r="213" spans="1:62" ht="15.6" x14ac:dyDescent="0.3">
      <c r="A213" s="5" t="s">
        <v>395</v>
      </c>
      <c r="B213" s="5" t="s">
        <v>396</v>
      </c>
      <c r="C213" s="7">
        <v>6</v>
      </c>
      <c r="D213" s="7">
        <v>6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21"/>
    </row>
    <row r="214" spans="1:62" ht="15.6" x14ac:dyDescent="0.3">
      <c r="A214" s="5" t="s">
        <v>353</v>
      </c>
      <c r="B214" s="5" t="s">
        <v>397</v>
      </c>
      <c r="C214" s="7">
        <v>6</v>
      </c>
      <c r="D214" s="7">
        <v>6</v>
      </c>
      <c r="E214" s="7">
        <v>1261.5609999999999</v>
      </c>
      <c r="F214" s="7">
        <v>110.965</v>
      </c>
      <c r="G214" s="7">
        <v>167.16800000000001</v>
      </c>
      <c r="H214" s="7">
        <v>0.82299999999999995</v>
      </c>
      <c r="I214" s="7">
        <v>27.37</v>
      </c>
      <c r="J214" s="7">
        <v>98.308999999999997</v>
      </c>
      <c r="K214" s="7">
        <v>0</v>
      </c>
      <c r="L214" s="7">
        <v>921.36199999999997</v>
      </c>
      <c r="M214" s="7">
        <v>442.19499999999999</v>
      </c>
      <c r="N214" s="7">
        <v>0</v>
      </c>
      <c r="O214" s="7">
        <v>0</v>
      </c>
      <c r="P214" s="7">
        <v>4.9630000000000001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15.146000000000001</v>
      </c>
      <c r="W214" s="7">
        <v>44.939</v>
      </c>
      <c r="X214" s="7">
        <v>0</v>
      </c>
      <c r="Y214" s="7">
        <v>354.93700000000001</v>
      </c>
      <c r="Z214" s="7">
        <v>0</v>
      </c>
      <c r="AA214" s="7">
        <v>123.59399999999999</v>
      </c>
      <c r="AB214" s="7">
        <v>0</v>
      </c>
      <c r="AC214" s="7">
        <v>19.483000000000001</v>
      </c>
      <c r="AD214" s="7">
        <v>0</v>
      </c>
      <c r="AE214" s="7">
        <v>1143.595</v>
      </c>
      <c r="AF214" s="7">
        <v>0</v>
      </c>
      <c r="AG214" s="7">
        <v>0</v>
      </c>
      <c r="AH214" s="7">
        <v>2636.0680000000002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21"/>
    </row>
    <row r="215" spans="1:62" ht="15.6" x14ac:dyDescent="0.3">
      <c r="A215" s="5" t="s">
        <v>355</v>
      </c>
      <c r="B215" s="5" t="s">
        <v>398</v>
      </c>
      <c r="C215" s="7">
        <v>6</v>
      </c>
      <c r="D215" s="7">
        <v>6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21"/>
    </row>
    <row r="216" spans="1:62" ht="15.6" x14ac:dyDescent="0.3">
      <c r="A216" s="5" t="s">
        <v>357</v>
      </c>
      <c r="B216" s="5" t="s">
        <v>399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21"/>
    </row>
    <row r="217" spans="1:62" ht="15.6" x14ac:dyDescent="0.3">
      <c r="A217" s="5" t="s">
        <v>359</v>
      </c>
      <c r="B217" s="5" t="s">
        <v>400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21"/>
    </row>
    <row r="218" spans="1:62" ht="15.6" x14ac:dyDescent="0.3">
      <c r="A218" s="5" t="s">
        <v>361</v>
      </c>
      <c r="B218" s="5" t="s">
        <v>401</v>
      </c>
      <c r="C218" s="7">
        <v>6</v>
      </c>
      <c r="D218" s="7">
        <v>6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21"/>
    </row>
    <row r="219" spans="1:62" ht="15.6" x14ac:dyDescent="0.3">
      <c r="A219" s="5" t="s">
        <v>363</v>
      </c>
      <c r="B219" s="5" t="s">
        <v>402</v>
      </c>
      <c r="C219" s="7">
        <v>6</v>
      </c>
      <c r="D219" s="7">
        <v>6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-1E-3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21"/>
    </row>
    <row r="220" spans="1:62" ht="15.6" x14ac:dyDescent="0.3">
      <c r="A220" s="5" t="s">
        <v>365</v>
      </c>
      <c r="B220" s="5" t="s">
        <v>403</v>
      </c>
      <c r="C220" s="7">
        <v>6</v>
      </c>
      <c r="D220" s="7">
        <v>6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21"/>
    </row>
    <row r="221" spans="1:62" ht="15.6" x14ac:dyDescent="0.3">
      <c r="A221" s="5" t="s">
        <v>367</v>
      </c>
      <c r="B221" s="5" t="s">
        <v>404</v>
      </c>
      <c r="C221" s="7">
        <v>6</v>
      </c>
      <c r="D221" s="7">
        <v>6</v>
      </c>
      <c r="E221" s="7">
        <v>54597.94</v>
      </c>
      <c r="F221" s="7">
        <v>10367.166999999999</v>
      </c>
      <c r="G221" s="7">
        <v>0</v>
      </c>
      <c r="H221" s="7">
        <v>0</v>
      </c>
      <c r="I221" s="7">
        <v>372.50700000000001</v>
      </c>
      <c r="J221" s="7">
        <v>0</v>
      </c>
      <c r="K221" s="7">
        <v>0</v>
      </c>
      <c r="L221" s="7">
        <v>125858.64599999999</v>
      </c>
      <c r="M221" s="7">
        <v>8276.7309999999998</v>
      </c>
      <c r="N221" s="7">
        <v>0</v>
      </c>
      <c r="O221" s="7">
        <v>0</v>
      </c>
      <c r="P221" s="7">
        <v>1.9370000000000001</v>
      </c>
      <c r="Q221" s="7">
        <v>0</v>
      </c>
      <c r="R221" s="7">
        <v>0</v>
      </c>
      <c r="S221" s="7">
        <v>3370.8739999999998</v>
      </c>
      <c r="T221" s="7">
        <v>0</v>
      </c>
      <c r="U221" s="7">
        <v>0</v>
      </c>
      <c r="V221" s="7">
        <v>0</v>
      </c>
      <c r="W221" s="7">
        <v>1146.2650000000001</v>
      </c>
      <c r="X221" s="7">
        <v>0</v>
      </c>
      <c r="Y221" s="7">
        <v>24763.074000000001</v>
      </c>
      <c r="Z221" s="7">
        <v>0</v>
      </c>
      <c r="AA221" s="7">
        <v>0</v>
      </c>
      <c r="AB221" s="7">
        <v>0</v>
      </c>
      <c r="AC221" s="7">
        <v>2000.2170000000001</v>
      </c>
      <c r="AD221" s="7">
        <v>0</v>
      </c>
      <c r="AE221" s="7">
        <v>60815.718999999997</v>
      </c>
      <c r="AF221" s="7">
        <v>38746.811000000002</v>
      </c>
      <c r="AG221" s="7">
        <v>0</v>
      </c>
      <c r="AH221" s="7">
        <v>216149.815</v>
      </c>
      <c r="AI221" s="7">
        <v>66035.324999999997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1869.0909999999999</v>
      </c>
      <c r="AP221" s="7">
        <v>0</v>
      </c>
      <c r="AQ221" s="7">
        <v>14329.39</v>
      </c>
      <c r="AR221" s="7">
        <v>0</v>
      </c>
      <c r="AS221" s="7">
        <v>31.945</v>
      </c>
      <c r="AT221" s="7">
        <v>0</v>
      </c>
      <c r="AU221" s="7">
        <v>217.43799999999999</v>
      </c>
      <c r="AV221" s="7">
        <v>0</v>
      </c>
      <c r="AW221" s="7">
        <v>0</v>
      </c>
      <c r="AX221" s="7">
        <v>0</v>
      </c>
      <c r="AY221" s="7">
        <v>584.22900000000004</v>
      </c>
      <c r="AZ221" s="7">
        <v>16868.637999999999</v>
      </c>
      <c r="BA221" s="7">
        <v>0</v>
      </c>
      <c r="BB221" s="7">
        <v>660.97400000000005</v>
      </c>
      <c r="BC221" s="7">
        <v>0</v>
      </c>
      <c r="BD221" s="7">
        <v>20517.716</v>
      </c>
      <c r="BE221" s="7">
        <v>165.86099999999999</v>
      </c>
      <c r="BF221" s="7">
        <v>165.86099999999999</v>
      </c>
      <c r="BG221" s="7">
        <v>6803.134</v>
      </c>
      <c r="BH221" s="7">
        <v>0</v>
      </c>
      <c r="BI221" s="7">
        <v>0</v>
      </c>
      <c r="BJ221" s="21"/>
    </row>
    <row r="222" spans="1:62" ht="15.6" x14ac:dyDescent="0.3">
      <c r="A222" s="5" t="s">
        <v>369</v>
      </c>
      <c r="B222" s="5" t="s">
        <v>405</v>
      </c>
      <c r="C222" s="7">
        <v>6</v>
      </c>
      <c r="D222" s="7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21"/>
    </row>
    <row r="223" spans="1:62" ht="15.6" x14ac:dyDescent="0.3">
      <c r="A223" s="5" t="s">
        <v>371</v>
      </c>
      <c r="B223" s="5" t="s">
        <v>406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21"/>
    </row>
    <row r="224" spans="1:62" ht="15.6" x14ac:dyDescent="0.3">
      <c r="A224" s="5" t="s">
        <v>373</v>
      </c>
      <c r="B224" s="5" t="s">
        <v>407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21"/>
    </row>
    <row r="225" spans="1:62" ht="15.6" x14ac:dyDescent="0.3">
      <c r="A225" s="5" t="s">
        <v>375</v>
      </c>
      <c r="B225" s="5" t="s">
        <v>408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21"/>
    </row>
    <row r="226" spans="1:62" ht="15.6" x14ac:dyDescent="0.3">
      <c r="A226" s="5" t="s">
        <v>377</v>
      </c>
      <c r="B226" s="5" t="s">
        <v>409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21"/>
    </row>
    <row r="227" spans="1:62" ht="15.6" x14ac:dyDescent="0.3">
      <c r="A227" s="5" t="s">
        <v>379</v>
      </c>
      <c r="B227" s="5" t="s">
        <v>410</v>
      </c>
      <c r="C227" s="7">
        <v>6</v>
      </c>
      <c r="D227" s="7">
        <v>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21"/>
    </row>
    <row r="228" spans="1:62" ht="15.6" x14ac:dyDescent="0.3">
      <c r="A228" s="5" t="s">
        <v>381</v>
      </c>
      <c r="B228" s="5" t="s">
        <v>411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21"/>
    </row>
    <row r="229" spans="1:62" ht="15.6" x14ac:dyDescent="0.3">
      <c r="A229" s="5" t="s">
        <v>383</v>
      </c>
      <c r="B229" s="5" t="s">
        <v>412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21"/>
    </row>
    <row r="230" spans="1:62" ht="15.6" x14ac:dyDescent="0.3">
      <c r="A230" s="5" t="s">
        <v>385</v>
      </c>
      <c r="B230" s="5" t="s">
        <v>413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21"/>
    </row>
    <row r="231" spans="1:62" ht="15.6" x14ac:dyDescent="0.3">
      <c r="A231" s="5" t="s">
        <v>387</v>
      </c>
      <c r="B231" s="5" t="s">
        <v>414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21"/>
    </row>
    <row r="232" spans="1:62" ht="15.6" x14ac:dyDescent="0.3">
      <c r="A232" s="5" t="s">
        <v>389</v>
      </c>
      <c r="B232" s="5" t="s">
        <v>415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21"/>
    </row>
    <row r="233" spans="1:62" ht="15.6" x14ac:dyDescent="0.3">
      <c r="A233" s="5" t="s">
        <v>391</v>
      </c>
      <c r="B233" s="5" t="s">
        <v>416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21"/>
    </row>
    <row r="234" spans="1:62" ht="15.6" x14ac:dyDescent="0.3">
      <c r="A234" s="5" t="s">
        <v>393</v>
      </c>
      <c r="B234" s="5" t="s">
        <v>417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21"/>
    </row>
    <row r="235" spans="1:62" ht="15.6" x14ac:dyDescent="0.3">
      <c r="A235" s="5" t="s">
        <v>395</v>
      </c>
      <c r="B235" s="5" t="s">
        <v>418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21"/>
    </row>
    <row r="236" spans="1:62" ht="15.6" x14ac:dyDescent="0.3">
      <c r="A236" s="5" t="s">
        <v>419</v>
      </c>
      <c r="B236" s="5" t="s">
        <v>420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21"/>
    </row>
    <row r="237" spans="1:62" ht="15.6" x14ac:dyDescent="0.3">
      <c r="A237" s="5" t="s">
        <v>421</v>
      </c>
      <c r="B237" s="5" t="s">
        <v>422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21"/>
    </row>
    <row r="238" spans="1:62" ht="15.6" x14ac:dyDescent="0.3">
      <c r="A238" s="5" t="s">
        <v>423</v>
      </c>
      <c r="B238" s="5" t="s">
        <v>424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21"/>
    </row>
    <row r="239" spans="1:62" ht="15.6" x14ac:dyDescent="0.3">
      <c r="A239" s="5" t="s">
        <v>425</v>
      </c>
      <c r="B239" s="5" t="s">
        <v>426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21"/>
    </row>
    <row r="240" spans="1:62" ht="15.6" x14ac:dyDescent="0.3">
      <c r="A240" s="5" t="s">
        <v>427</v>
      </c>
      <c r="B240" s="5" t="s">
        <v>428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21"/>
    </row>
    <row r="241" spans="1:62" ht="15.6" x14ac:dyDescent="0.3">
      <c r="A241" s="5" t="s">
        <v>429</v>
      </c>
      <c r="B241" s="5" t="s">
        <v>430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21"/>
    </row>
    <row r="242" spans="1:62" ht="15.6" x14ac:dyDescent="0.3">
      <c r="A242" s="5" t="s">
        <v>431</v>
      </c>
      <c r="B242" s="5" t="s">
        <v>432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21"/>
    </row>
    <row r="243" spans="1:62" ht="15.6" x14ac:dyDescent="0.3">
      <c r="A243" s="5" t="s">
        <v>433</v>
      </c>
      <c r="B243" s="5" t="s">
        <v>434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21"/>
    </row>
    <row r="244" spans="1:62" ht="15.6" x14ac:dyDescent="0.3">
      <c r="A244" s="5" t="s">
        <v>435</v>
      </c>
      <c r="B244" s="5" t="s">
        <v>436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21"/>
    </row>
    <row r="245" spans="1:62" ht="15.6" x14ac:dyDescent="0.3">
      <c r="A245" s="5" t="s">
        <v>437</v>
      </c>
      <c r="B245" s="5" t="s">
        <v>438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21"/>
    </row>
    <row r="246" spans="1:62" ht="15.6" x14ac:dyDescent="0.3">
      <c r="A246" s="5" t="s">
        <v>439</v>
      </c>
      <c r="B246" s="5" t="s">
        <v>440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21"/>
    </row>
    <row r="247" spans="1:62" ht="15.6" x14ac:dyDescent="0.3">
      <c r="A247" s="5" t="s">
        <v>441</v>
      </c>
      <c r="B247" s="5" t="s">
        <v>442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21"/>
    </row>
    <row r="248" spans="1:62" ht="15.6" x14ac:dyDescent="0.3">
      <c r="A248" s="5" t="s">
        <v>443</v>
      </c>
      <c r="B248" s="5" t="s">
        <v>444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21"/>
    </row>
    <row r="249" spans="1:62" ht="15.6" x14ac:dyDescent="0.3">
      <c r="A249" s="5" t="s">
        <v>445</v>
      </c>
      <c r="B249" s="5" t="s">
        <v>446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21"/>
    </row>
    <row r="250" spans="1:62" ht="15.6" x14ac:dyDescent="0.3">
      <c r="A250" s="5" t="s">
        <v>447</v>
      </c>
      <c r="B250" s="5" t="s">
        <v>448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21"/>
    </row>
    <row r="251" spans="1:62" ht="15.6" x14ac:dyDescent="0.3">
      <c r="A251" s="5" t="s">
        <v>449</v>
      </c>
      <c r="B251" s="5" t="s">
        <v>450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21"/>
    </row>
    <row r="252" spans="1:62" ht="15.6" x14ac:dyDescent="0.3">
      <c r="A252" s="5" t="s">
        <v>451</v>
      </c>
      <c r="B252" s="5" t="s">
        <v>452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21"/>
    </row>
    <row r="253" spans="1:62" ht="15.6" x14ac:dyDescent="0.3">
      <c r="A253" s="5" t="s">
        <v>453</v>
      </c>
      <c r="B253" s="5" t="s">
        <v>454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21"/>
    </row>
    <row r="254" spans="1:62" ht="15.6" x14ac:dyDescent="0.3">
      <c r="A254" s="5" t="s">
        <v>455</v>
      </c>
      <c r="B254" s="5" t="s">
        <v>456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184.239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21"/>
    </row>
    <row r="255" spans="1:62" ht="15.6" x14ac:dyDescent="0.3">
      <c r="A255" s="5" t="s">
        <v>457</v>
      </c>
      <c r="B255" s="5" t="s">
        <v>458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3691.56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21"/>
    </row>
    <row r="256" spans="1:62" ht="15.6" x14ac:dyDescent="0.3">
      <c r="A256" s="5" t="s">
        <v>459</v>
      </c>
      <c r="B256" s="5" t="s">
        <v>460</v>
      </c>
      <c r="C256" s="7">
        <v>6</v>
      </c>
      <c r="D256" s="7">
        <v>6</v>
      </c>
      <c r="E256" s="7">
        <v>4358.8239999999996</v>
      </c>
      <c r="F256" s="7">
        <v>827.66200000000003</v>
      </c>
      <c r="G256" s="7">
        <v>0</v>
      </c>
      <c r="H256" s="7">
        <v>0</v>
      </c>
      <c r="I256" s="7">
        <v>29.739000000000001</v>
      </c>
      <c r="J256" s="7">
        <v>0</v>
      </c>
      <c r="K256" s="7">
        <v>0</v>
      </c>
      <c r="L256" s="7">
        <v>10047.919</v>
      </c>
      <c r="M256" s="7">
        <v>5786.7110000000002</v>
      </c>
      <c r="N256" s="7">
        <v>0</v>
      </c>
      <c r="O256" s="7">
        <v>0</v>
      </c>
      <c r="P256" s="7">
        <v>0.155</v>
      </c>
      <c r="Q256" s="7">
        <v>0</v>
      </c>
      <c r="R256" s="7">
        <v>0</v>
      </c>
      <c r="S256" s="7">
        <v>269.11399999999998</v>
      </c>
      <c r="T256" s="7">
        <v>0</v>
      </c>
      <c r="U256" s="7">
        <v>0</v>
      </c>
      <c r="V256" s="7">
        <v>0</v>
      </c>
      <c r="W256" s="7">
        <v>91.512</v>
      </c>
      <c r="X256" s="7">
        <v>0</v>
      </c>
      <c r="Y256" s="7">
        <v>1976.9590000000001</v>
      </c>
      <c r="Z256" s="7">
        <v>0</v>
      </c>
      <c r="AA256" s="7">
        <v>0</v>
      </c>
      <c r="AB256" s="7">
        <v>0</v>
      </c>
      <c r="AC256" s="7">
        <v>159.68700000000001</v>
      </c>
      <c r="AD256" s="7">
        <v>0</v>
      </c>
      <c r="AE256" s="7">
        <v>4855.22</v>
      </c>
      <c r="AF256" s="7">
        <v>3093.35</v>
      </c>
      <c r="AG256" s="7">
        <v>0</v>
      </c>
      <c r="AH256" s="7">
        <v>17256.310000000001</v>
      </c>
      <c r="AI256" s="7">
        <v>5271.9269999999997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149.21899999999999</v>
      </c>
      <c r="AP256" s="7">
        <v>0</v>
      </c>
      <c r="AQ256" s="7">
        <v>1143.9860000000001</v>
      </c>
      <c r="AR256" s="7">
        <v>0</v>
      </c>
      <c r="AS256" s="7">
        <v>2.5499999999999998</v>
      </c>
      <c r="AT256" s="7">
        <v>0</v>
      </c>
      <c r="AU256" s="7">
        <v>17.359000000000002</v>
      </c>
      <c r="AV256" s="7">
        <v>0</v>
      </c>
      <c r="AW256" s="7">
        <v>0</v>
      </c>
      <c r="AX256" s="7">
        <v>0</v>
      </c>
      <c r="AY256" s="7">
        <v>46.642000000000003</v>
      </c>
      <c r="AZ256" s="7">
        <v>1346.7070000000001</v>
      </c>
      <c r="BA256" s="7">
        <v>0</v>
      </c>
      <c r="BB256" s="7">
        <v>52.768999999999998</v>
      </c>
      <c r="BC256" s="7">
        <v>0</v>
      </c>
      <c r="BD256" s="7">
        <v>1638.0309999999999</v>
      </c>
      <c r="BE256" s="7">
        <v>13.241</v>
      </c>
      <c r="BF256" s="7">
        <v>13.241</v>
      </c>
      <c r="BG256" s="7">
        <v>543.12800000000004</v>
      </c>
      <c r="BH256" s="7">
        <v>0</v>
      </c>
      <c r="BI256" s="7">
        <v>0</v>
      </c>
      <c r="BJ256" s="21"/>
    </row>
    <row r="257" spans="1:62" ht="15.6" x14ac:dyDescent="0.3">
      <c r="A257" s="5" t="s">
        <v>461</v>
      </c>
      <c r="B257" s="5" t="s">
        <v>462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472.42599999999999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370.673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21"/>
    </row>
    <row r="258" spans="1:62" ht="15.6" x14ac:dyDescent="0.3">
      <c r="A258" s="5" t="s">
        <v>419</v>
      </c>
      <c r="B258" s="5" t="s">
        <v>463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6.0000000000000001E-3</v>
      </c>
      <c r="J258" s="7">
        <v>0</v>
      </c>
      <c r="K258" s="7">
        <v>0</v>
      </c>
      <c r="L258" s="7">
        <v>3.5999999999999997E-2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4.1000000000000002E-2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21"/>
    </row>
    <row r="259" spans="1:62" ht="15.6" x14ac:dyDescent="0.3">
      <c r="A259" s="5" t="s">
        <v>421</v>
      </c>
      <c r="B259" s="5" t="s">
        <v>464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21"/>
    </row>
    <row r="260" spans="1:62" ht="15.6" x14ac:dyDescent="0.3">
      <c r="A260" s="5" t="s">
        <v>423</v>
      </c>
      <c r="B260" s="5" t="s">
        <v>465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21"/>
    </row>
    <row r="261" spans="1:62" ht="15.6" x14ac:dyDescent="0.3">
      <c r="A261" s="5" t="s">
        <v>425</v>
      </c>
      <c r="B261" s="5" t="s">
        <v>466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21"/>
    </row>
    <row r="262" spans="1:62" ht="15.6" x14ac:dyDescent="0.3">
      <c r="A262" s="5" t="s">
        <v>427</v>
      </c>
      <c r="B262" s="5" t="s">
        <v>467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21"/>
    </row>
    <row r="263" spans="1:62" ht="15.6" x14ac:dyDescent="0.3">
      <c r="A263" s="5" t="s">
        <v>429</v>
      </c>
      <c r="B263" s="5" t="s">
        <v>468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21"/>
    </row>
    <row r="264" spans="1:62" ht="15.6" x14ac:dyDescent="0.3">
      <c r="A264" s="5" t="s">
        <v>431</v>
      </c>
      <c r="B264" s="5" t="s">
        <v>469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21"/>
    </row>
    <row r="265" spans="1:62" ht="15.6" x14ac:dyDescent="0.3">
      <c r="A265" s="5" t="s">
        <v>433</v>
      </c>
      <c r="B265" s="5" t="s">
        <v>470</v>
      </c>
      <c r="C265" s="7">
        <v>6</v>
      </c>
      <c r="D265" s="7">
        <v>6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21"/>
    </row>
    <row r="266" spans="1:62" ht="15.6" x14ac:dyDescent="0.3">
      <c r="A266" s="5" t="s">
        <v>435</v>
      </c>
      <c r="B266" s="5" t="s">
        <v>471</v>
      </c>
      <c r="C266" s="7">
        <v>6</v>
      </c>
      <c r="D266" s="7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21"/>
    </row>
    <row r="267" spans="1:62" ht="15.6" x14ac:dyDescent="0.3">
      <c r="A267" s="5" t="s">
        <v>437</v>
      </c>
      <c r="B267" s="5" t="s">
        <v>472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21"/>
    </row>
    <row r="268" spans="1:62" ht="15.6" x14ac:dyDescent="0.3">
      <c r="A268" s="5" t="s">
        <v>439</v>
      </c>
      <c r="B268" s="5" t="s">
        <v>473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21"/>
    </row>
    <row r="269" spans="1:62" ht="15.6" x14ac:dyDescent="0.3">
      <c r="A269" s="5" t="s">
        <v>441</v>
      </c>
      <c r="B269" s="5" t="s">
        <v>474</v>
      </c>
      <c r="C269" s="7">
        <v>6</v>
      </c>
      <c r="D269" s="7">
        <v>6</v>
      </c>
      <c r="E269" s="7">
        <v>4622.7020000000002</v>
      </c>
      <c r="F269" s="7">
        <v>877.76800000000003</v>
      </c>
      <c r="G269" s="7">
        <v>0</v>
      </c>
      <c r="H269" s="7">
        <v>0</v>
      </c>
      <c r="I269" s="7">
        <v>31.539000000000001</v>
      </c>
      <c r="J269" s="7">
        <v>0</v>
      </c>
      <c r="K269" s="7">
        <v>0</v>
      </c>
      <c r="L269" s="7">
        <v>10656.209000000001</v>
      </c>
      <c r="M269" s="7">
        <v>700.77499999999998</v>
      </c>
      <c r="N269" s="7">
        <v>0</v>
      </c>
      <c r="O269" s="7">
        <v>0</v>
      </c>
      <c r="P269" s="7">
        <v>0.16400000000000001</v>
      </c>
      <c r="Q269" s="7">
        <v>0</v>
      </c>
      <c r="R269" s="7">
        <v>0</v>
      </c>
      <c r="S269" s="7">
        <v>285.40499999999997</v>
      </c>
      <c r="T269" s="7">
        <v>0</v>
      </c>
      <c r="U269" s="7">
        <v>0</v>
      </c>
      <c r="V269" s="7">
        <v>0</v>
      </c>
      <c r="W269" s="7">
        <v>97.052000000000007</v>
      </c>
      <c r="X269" s="7">
        <v>0</v>
      </c>
      <c r="Y269" s="7">
        <v>2096.6419999999998</v>
      </c>
      <c r="Z269" s="7">
        <v>0</v>
      </c>
      <c r="AA269" s="7">
        <v>0</v>
      </c>
      <c r="AB269" s="7">
        <v>0</v>
      </c>
      <c r="AC269" s="7">
        <v>169.35499999999999</v>
      </c>
      <c r="AD269" s="7">
        <v>0</v>
      </c>
      <c r="AE269" s="7">
        <v>5149.1499999999996</v>
      </c>
      <c r="AF269" s="7">
        <v>3280.6179999999999</v>
      </c>
      <c r="AG269" s="7">
        <v>0</v>
      </c>
      <c r="AH269" s="7">
        <v>18300.988000000001</v>
      </c>
      <c r="AI269" s="7">
        <v>5591.0839999999998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158.25200000000001</v>
      </c>
      <c r="AP269" s="7">
        <v>0</v>
      </c>
      <c r="AQ269" s="7">
        <v>1213.242</v>
      </c>
      <c r="AR269" s="7">
        <v>0</v>
      </c>
      <c r="AS269" s="7">
        <v>2.7050000000000001</v>
      </c>
      <c r="AT269" s="7">
        <v>0</v>
      </c>
      <c r="AU269" s="7">
        <v>18.41</v>
      </c>
      <c r="AV269" s="7">
        <v>0</v>
      </c>
      <c r="AW269" s="7">
        <v>0</v>
      </c>
      <c r="AX269" s="7">
        <v>0</v>
      </c>
      <c r="AY269" s="7">
        <v>49.466000000000001</v>
      </c>
      <c r="AZ269" s="7">
        <v>1428.2349999999999</v>
      </c>
      <c r="BA269" s="7">
        <v>0</v>
      </c>
      <c r="BB269" s="7">
        <v>55.963000000000001</v>
      </c>
      <c r="BC269" s="7">
        <v>0</v>
      </c>
      <c r="BD269" s="7">
        <v>1737.1949999999999</v>
      </c>
      <c r="BE269" s="7">
        <v>14.042999999999999</v>
      </c>
      <c r="BF269" s="7">
        <v>14.042999999999999</v>
      </c>
      <c r="BG269" s="7">
        <v>576.00800000000004</v>
      </c>
      <c r="BH269" s="7">
        <v>0</v>
      </c>
      <c r="BI269" s="7">
        <v>0</v>
      </c>
      <c r="BJ269" s="21"/>
    </row>
    <row r="270" spans="1:62" ht="15.6" x14ac:dyDescent="0.3">
      <c r="A270" s="5" t="s">
        <v>443</v>
      </c>
      <c r="B270" s="5" t="s">
        <v>475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21"/>
    </row>
    <row r="271" spans="1:62" ht="15.6" x14ac:dyDescent="0.3">
      <c r="A271" s="5" t="s">
        <v>445</v>
      </c>
      <c r="B271" s="5" t="s">
        <v>476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21"/>
    </row>
    <row r="272" spans="1:62" ht="15.6" x14ac:dyDescent="0.3">
      <c r="A272" s="5" t="s">
        <v>447</v>
      </c>
      <c r="B272" s="5" t="s">
        <v>477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21"/>
    </row>
    <row r="273" spans="1:62" ht="15.6" x14ac:dyDescent="0.3">
      <c r="A273" s="5" t="s">
        <v>449</v>
      </c>
      <c r="B273" s="5" t="s">
        <v>478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21"/>
    </row>
    <row r="274" spans="1:62" ht="15.6" x14ac:dyDescent="0.3">
      <c r="A274" s="5" t="s">
        <v>451</v>
      </c>
      <c r="B274" s="5" t="s">
        <v>479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21"/>
    </row>
    <row r="275" spans="1:62" ht="15.6" x14ac:dyDescent="0.3">
      <c r="A275" s="5" t="s">
        <v>453</v>
      </c>
      <c r="B275" s="5" t="s">
        <v>480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21"/>
    </row>
    <row r="276" spans="1:62" ht="15.6" x14ac:dyDescent="0.3">
      <c r="A276" s="5" t="s">
        <v>455</v>
      </c>
      <c r="B276" s="5" t="s">
        <v>481</v>
      </c>
      <c r="C276" s="7">
        <v>6</v>
      </c>
      <c r="D276" s="7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21"/>
    </row>
    <row r="277" spans="1:62" ht="15.6" x14ac:dyDescent="0.3">
      <c r="A277" s="5" t="s">
        <v>457</v>
      </c>
      <c r="B277" s="5" t="s">
        <v>482</v>
      </c>
      <c r="C277" s="7">
        <v>6</v>
      </c>
      <c r="D277" s="7">
        <v>6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21"/>
    </row>
    <row r="278" spans="1:62" ht="15.6" x14ac:dyDescent="0.3">
      <c r="A278" s="5" t="s">
        <v>459</v>
      </c>
      <c r="B278" s="5" t="s">
        <v>483</v>
      </c>
      <c r="C278" s="7">
        <v>6</v>
      </c>
      <c r="D278" s="7">
        <v>6</v>
      </c>
      <c r="E278" s="7">
        <v>3191.6129999999998</v>
      </c>
      <c r="F278" s="7">
        <v>2224.8130000000001</v>
      </c>
      <c r="G278" s="7">
        <v>152.16200000000001</v>
      </c>
      <c r="H278" s="7">
        <v>0.10100000000000001</v>
      </c>
      <c r="I278" s="7">
        <v>196.88499999999999</v>
      </c>
      <c r="J278" s="7">
        <v>1652.5260000000001</v>
      </c>
      <c r="K278" s="7">
        <v>0</v>
      </c>
      <c r="L278" s="7">
        <v>4768.5959999999995</v>
      </c>
      <c r="M278" s="7">
        <v>1114.83</v>
      </c>
      <c r="N278" s="7">
        <v>0</v>
      </c>
      <c r="O278" s="7">
        <v>0</v>
      </c>
      <c r="P278" s="7">
        <v>6.0000000000000001E-3</v>
      </c>
      <c r="Q278" s="7">
        <v>0</v>
      </c>
      <c r="R278" s="7">
        <v>0</v>
      </c>
      <c r="S278" s="7">
        <v>891.61300000000006</v>
      </c>
      <c r="T278" s="7">
        <v>0</v>
      </c>
      <c r="U278" s="7">
        <v>0</v>
      </c>
      <c r="V278" s="7">
        <v>289.91199999999998</v>
      </c>
      <c r="W278" s="7">
        <v>2.9430000000000001</v>
      </c>
      <c r="X278" s="7">
        <v>0</v>
      </c>
      <c r="Y278" s="7">
        <v>129.40899999999999</v>
      </c>
      <c r="Z278" s="7">
        <v>0</v>
      </c>
      <c r="AA278" s="7">
        <v>5530.7060000000001</v>
      </c>
      <c r="AB278" s="7">
        <v>0</v>
      </c>
      <c r="AC278" s="7">
        <v>370.53199999999998</v>
      </c>
      <c r="AD278" s="7">
        <v>0</v>
      </c>
      <c r="AE278" s="7">
        <v>1140.5229999999999</v>
      </c>
      <c r="AF278" s="7">
        <v>40.783999999999999</v>
      </c>
      <c r="AG278" s="7">
        <v>0</v>
      </c>
      <c r="AH278" s="7">
        <v>7740.1440000000002</v>
      </c>
      <c r="AI278" s="7">
        <v>0.03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751.90899999999999</v>
      </c>
      <c r="AP278" s="7">
        <v>0</v>
      </c>
      <c r="AQ278" s="7">
        <v>6.008</v>
      </c>
      <c r="AR278" s="7">
        <v>0</v>
      </c>
      <c r="AS278" s="7">
        <v>3.1080000000000001</v>
      </c>
      <c r="AT278" s="7">
        <v>0</v>
      </c>
      <c r="AU278" s="7">
        <v>0.41799999999999998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255.48699999999999</v>
      </c>
      <c r="BC278" s="7">
        <v>0</v>
      </c>
      <c r="BD278" s="7">
        <v>0</v>
      </c>
      <c r="BE278" s="7">
        <v>64.902000000000001</v>
      </c>
      <c r="BF278" s="7">
        <v>64.902000000000001</v>
      </c>
      <c r="BG278" s="7">
        <v>0</v>
      </c>
      <c r="BH278" s="7">
        <v>0</v>
      </c>
      <c r="BI278" s="7">
        <v>0</v>
      </c>
      <c r="BJ278" s="21"/>
    </row>
    <row r="279" spans="1:62" ht="15.6" x14ac:dyDescent="0.3">
      <c r="A279" s="5" t="s">
        <v>461</v>
      </c>
      <c r="B279" s="5" t="s">
        <v>484</v>
      </c>
      <c r="C279" s="7">
        <v>6</v>
      </c>
      <c r="D279" s="7">
        <v>6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21"/>
    </row>
    <row r="280" spans="1:62" ht="15.6" x14ac:dyDescent="0.3">
      <c r="A280" s="5" t="s">
        <v>485</v>
      </c>
      <c r="B280" s="5" t="s">
        <v>486</v>
      </c>
      <c r="C280" s="7">
        <v>5</v>
      </c>
      <c r="D280" s="7">
        <v>5</v>
      </c>
      <c r="E280" s="7">
        <v>151198.242</v>
      </c>
      <c r="F280" s="7">
        <v>0</v>
      </c>
      <c r="G280" s="7">
        <v>12580.644</v>
      </c>
      <c r="H280" s="7">
        <v>75.88</v>
      </c>
      <c r="I280" s="7">
        <v>0</v>
      </c>
      <c r="J280" s="7">
        <v>34001.493999999999</v>
      </c>
      <c r="K280" s="7">
        <v>17944.455000000002</v>
      </c>
      <c r="L280" s="7">
        <v>103786.70299999999</v>
      </c>
      <c r="M280" s="7">
        <v>191406.12700000001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2631.7510000000002</v>
      </c>
      <c r="V280" s="7">
        <v>5352.8140000000003</v>
      </c>
      <c r="W280" s="7">
        <v>10772.803</v>
      </c>
      <c r="X280" s="7">
        <v>0</v>
      </c>
      <c r="Y280" s="7">
        <v>27155.61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72706.213000000003</v>
      </c>
      <c r="AF280" s="7">
        <v>7976.49</v>
      </c>
      <c r="AG280" s="7">
        <v>11127.548000000001</v>
      </c>
      <c r="AH280" s="7">
        <v>472943.239</v>
      </c>
      <c r="AI280" s="7">
        <v>104005.139</v>
      </c>
      <c r="AJ280" s="7">
        <v>12.201000000000001</v>
      </c>
      <c r="AK280" s="7">
        <v>352.327</v>
      </c>
      <c r="AL280" s="7">
        <v>114.30800000000001</v>
      </c>
      <c r="AM280" s="7">
        <v>717.46699999999998</v>
      </c>
      <c r="AN280" s="7">
        <v>113.077</v>
      </c>
      <c r="AO280" s="7">
        <v>0</v>
      </c>
      <c r="AP280" s="7">
        <v>0</v>
      </c>
      <c r="AQ280" s="7">
        <v>10631.393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21"/>
    </row>
    <row r="281" spans="1:62" ht="15.6" x14ac:dyDescent="0.3">
      <c r="A281" s="5" t="s">
        <v>487</v>
      </c>
      <c r="B281" s="5" t="s">
        <v>488</v>
      </c>
      <c r="C281" s="7">
        <v>5</v>
      </c>
      <c r="D281" s="7">
        <v>5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21"/>
    </row>
    <row r="282" spans="1:62" ht="15.6" x14ac:dyDescent="0.3">
      <c r="A282" s="5" t="s">
        <v>489</v>
      </c>
      <c r="B282" s="5" t="s">
        <v>490</v>
      </c>
      <c r="C282" s="7">
        <v>5</v>
      </c>
      <c r="D282" s="7">
        <v>5</v>
      </c>
      <c r="E282" s="7">
        <v>14632.799000000001</v>
      </c>
      <c r="F282" s="7">
        <v>1307.556</v>
      </c>
      <c r="G282" s="7">
        <v>1849.5930000000001</v>
      </c>
      <c r="H282" s="7">
        <v>0</v>
      </c>
      <c r="I282" s="7">
        <v>322.51100000000002</v>
      </c>
      <c r="J282" s="7">
        <v>1124.4839999999999</v>
      </c>
      <c r="K282" s="7">
        <v>0</v>
      </c>
      <c r="L282" s="7">
        <v>10590.692999999999</v>
      </c>
      <c r="M282" s="7">
        <v>5003.58</v>
      </c>
      <c r="N282" s="7">
        <v>0</v>
      </c>
      <c r="O282" s="7">
        <v>0</v>
      </c>
      <c r="P282" s="7">
        <v>58.475999999999999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178.47</v>
      </c>
      <c r="W282" s="7">
        <v>529.54399999999998</v>
      </c>
      <c r="X282" s="7">
        <v>0</v>
      </c>
      <c r="Y282" s="7">
        <v>4182.3999999999996</v>
      </c>
      <c r="Z282" s="7">
        <v>0</v>
      </c>
      <c r="AA282" s="7">
        <v>1456.373</v>
      </c>
      <c r="AB282" s="7">
        <v>0</v>
      </c>
      <c r="AC282" s="7">
        <v>229.578</v>
      </c>
      <c r="AD282" s="7">
        <v>0</v>
      </c>
      <c r="AE282" s="7">
        <v>13475.553</v>
      </c>
      <c r="AF282" s="7">
        <v>0</v>
      </c>
      <c r="AG282" s="7">
        <v>0</v>
      </c>
      <c r="AH282" s="7">
        <v>30727.394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21"/>
    </row>
    <row r="283" spans="1:62" ht="15.6" x14ac:dyDescent="0.3">
      <c r="A283" s="5" t="s">
        <v>491</v>
      </c>
      <c r="B283" s="5" t="s">
        <v>492</v>
      </c>
      <c r="C283" s="7">
        <v>5</v>
      </c>
      <c r="D283" s="7">
        <v>5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21"/>
    </row>
    <row r="284" spans="1:62" ht="15.6" x14ac:dyDescent="0.3">
      <c r="A284" s="5" t="s">
        <v>493</v>
      </c>
      <c r="B284" s="5" t="s">
        <v>494</v>
      </c>
      <c r="C284" s="7">
        <v>5</v>
      </c>
      <c r="D284" s="7">
        <v>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21"/>
    </row>
    <row r="285" spans="1:62" ht="15.6" x14ac:dyDescent="0.3">
      <c r="A285" s="5" t="s">
        <v>495</v>
      </c>
      <c r="B285" s="5" t="s">
        <v>496</v>
      </c>
      <c r="C285" s="7">
        <v>5</v>
      </c>
      <c r="D285" s="7">
        <v>5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21"/>
    </row>
    <row r="286" spans="1:62" ht="15.6" x14ac:dyDescent="0.3">
      <c r="A286" s="5" t="s">
        <v>497</v>
      </c>
      <c r="B286" s="5" t="s">
        <v>498</v>
      </c>
      <c r="C286" s="7">
        <v>5</v>
      </c>
      <c r="D286" s="7">
        <v>5</v>
      </c>
      <c r="E286" s="7">
        <v>76807.649999999994</v>
      </c>
      <c r="F286" s="7">
        <v>7234.6729999999998</v>
      </c>
      <c r="G286" s="7">
        <v>11220.346</v>
      </c>
      <c r="H286" s="7">
        <v>0</v>
      </c>
      <c r="I286" s="7">
        <v>1842.7940000000001</v>
      </c>
      <c r="J286" s="7">
        <v>6443.9359999999997</v>
      </c>
      <c r="K286" s="7">
        <v>0</v>
      </c>
      <c r="L286" s="7">
        <v>66796.812000000005</v>
      </c>
      <c r="M286" s="7">
        <v>30076.141</v>
      </c>
      <c r="N286" s="7">
        <v>0</v>
      </c>
      <c r="O286" s="7">
        <v>0</v>
      </c>
      <c r="P286" s="7">
        <v>358.67899999999997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844.66200000000003</v>
      </c>
      <c r="W286" s="7">
        <v>2506.223</v>
      </c>
      <c r="X286" s="7">
        <v>0</v>
      </c>
      <c r="Y286" s="7">
        <v>20255.958999999999</v>
      </c>
      <c r="Z286" s="7">
        <v>0</v>
      </c>
      <c r="AA286" s="7">
        <v>6892.7179999999998</v>
      </c>
      <c r="AB286" s="7">
        <v>0</v>
      </c>
      <c r="AC286" s="7">
        <v>1086.546</v>
      </c>
      <c r="AD286" s="7">
        <v>0</v>
      </c>
      <c r="AE286" s="7">
        <v>65616.671000000002</v>
      </c>
      <c r="AF286" s="7">
        <v>0</v>
      </c>
      <c r="AG286" s="7">
        <v>0</v>
      </c>
      <c r="AH286" s="7">
        <v>173422.35399999999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21"/>
    </row>
    <row r="287" spans="1:62" ht="15.6" x14ac:dyDescent="0.3">
      <c r="A287" s="5" t="s">
        <v>499</v>
      </c>
      <c r="B287" s="5" t="s">
        <v>500</v>
      </c>
      <c r="C287" s="7">
        <v>5</v>
      </c>
      <c r="D287" s="7">
        <v>5</v>
      </c>
      <c r="E287" s="7">
        <v>178908.72500000001</v>
      </c>
      <c r="F287" s="7">
        <v>17031.425999999999</v>
      </c>
      <c r="G287" s="7">
        <v>26003.829000000002</v>
      </c>
      <c r="H287" s="7">
        <v>0</v>
      </c>
      <c r="I287" s="7">
        <v>4547.7849999999999</v>
      </c>
      <c r="J287" s="7">
        <v>15253.921</v>
      </c>
      <c r="K287" s="7">
        <v>0</v>
      </c>
      <c r="L287" s="7">
        <v>135784.902</v>
      </c>
      <c r="M287" s="7">
        <v>69269.391000000003</v>
      </c>
      <c r="N287" s="7">
        <v>0</v>
      </c>
      <c r="O287" s="7">
        <v>0</v>
      </c>
      <c r="P287" s="7">
        <v>825.61199999999997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1985.7529999999999</v>
      </c>
      <c r="W287" s="7">
        <v>5979.4769999999999</v>
      </c>
      <c r="X287" s="7">
        <v>0</v>
      </c>
      <c r="Y287" s="7">
        <v>46885.595999999998</v>
      </c>
      <c r="Z287" s="7">
        <v>0</v>
      </c>
      <c r="AA287" s="7">
        <v>16481.937999999998</v>
      </c>
      <c r="AB287" s="7">
        <v>0</v>
      </c>
      <c r="AC287" s="7">
        <v>2554.4090000000001</v>
      </c>
      <c r="AD287" s="7">
        <v>0</v>
      </c>
      <c r="AE287" s="7">
        <v>150966.53099999999</v>
      </c>
      <c r="AF287" s="7">
        <v>0</v>
      </c>
      <c r="AG287" s="7">
        <v>0</v>
      </c>
      <c r="AH287" s="7">
        <v>374320.79800000001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-2E-3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21"/>
    </row>
    <row r="288" spans="1:62" ht="15.6" x14ac:dyDescent="0.3">
      <c r="A288" s="5" t="s">
        <v>501</v>
      </c>
      <c r="B288" s="5" t="s">
        <v>502</v>
      </c>
      <c r="C288" s="7">
        <v>5</v>
      </c>
      <c r="D288" s="7">
        <v>5</v>
      </c>
      <c r="E288" s="7">
        <v>1191.0319999999999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3498.41</v>
      </c>
      <c r="M288" s="7">
        <v>174.44800000000001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1234.634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2594.0070000000001</v>
      </c>
      <c r="AF288" s="7">
        <v>0</v>
      </c>
      <c r="AG288" s="7">
        <v>0</v>
      </c>
      <c r="AH288" s="7">
        <v>7282.8450000000003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21"/>
    </row>
    <row r="289" spans="1:62" ht="15.6" x14ac:dyDescent="0.3">
      <c r="A289" s="5" t="s">
        <v>503</v>
      </c>
      <c r="B289" s="5" t="s">
        <v>504</v>
      </c>
      <c r="C289" s="7">
        <v>5</v>
      </c>
      <c r="D289" s="7">
        <v>5</v>
      </c>
      <c r="E289" s="7">
        <v>32085.994999999999</v>
      </c>
      <c r="F289" s="7">
        <v>2748.8359999999998</v>
      </c>
      <c r="G289" s="7">
        <v>3888.3429999999998</v>
      </c>
      <c r="H289" s="7">
        <v>0</v>
      </c>
      <c r="I289" s="7">
        <v>678.005</v>
      </c>
      <c r="J289" s="7">
        <v>2363.9699999999998</v>
      </c>
      <c r="K289" s="7">
        <v>0</v>
      </c>
      <c r="L289" s="7">
        <v>23741.914000000001</v>
      </c>
      <c r="M289" s="7">
        <v>11408.864</v>
      </c>
      <c r="N289" s="7">
        <v>0</v>
      </c>
      <c r="O289" s="7">
        <v>0</v>
      </c>
      <c r="P289" s="7">
        <v>122.932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375.19200000000001</v>
      </c>
      <c r="W289" s="7">
        <v>1113.2439999999999</v>
      </c>
      <c r="X289" s="7">
        <v>0</v>
      </c>
      <c r="Y289" s="7">
        <v>8792.5339999999997</v>
      </c>
      <c r="Z289" s="7">
        <v>0</v>
      </c>
      <c r="AA289" s="7">
        <v>3061.6889999999999</v>
      </c>
      <c r="AB289" s="7">
        <v>0</v>
      </c>
      <c r="AC289" s="7">
        <v>482.63499999999999</v>
      </c>
      <c r="AD289" s="7">
        <v>0</v>
      </c>
      <c r="AE289" s="7">
        <v>28329.251</v>
      </c>
      <c r="AF289" s="7">
        <v>0</v>
      </c>
      <c r="AG289" s="7">
        <v>0</v>
      </c>
      <c r="AH289" s="7">
        <v>65593.5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21"/>
    </row>
    <row r="290" spans="1:62" ht="15.6" x14ac:dyDescent="0.3">
      <c r="A290" s="5" t="s">
        <v>505</v>
      </c>
      <c r="B290" s="5" t="s">
        <v>506</v>
      </c>
      <c r="C290" s="7">
        <v>5</v>
      </c>
      <c r="D290" s="7">
        <v>5</v>
      </c>
      <c r="E290" s="7">
        <v>55733.946000000004</v>
      </c>
      <c r="F290" s="7">
        <v>969.67499999999995</v>
      </c>
      <c r="G290" s="7">
        <v>1371.646</v>
      </c>
      <c r="H290" s="7">
        <v>8733.9189999999999</v>
      </c>
      <c r="I290" s="7">
        <v>239.172</v>
      </c>
      <c r="J290" s="7">
        <v>833.91</v>
      </c>
      <c r="K290" s="7">
        <v>0</v>
      </c>
      <c r="L290" s="7">
        <v>63630.398000000001</v>
      </c>
      <c r="M290" s="7">
        <v>11965.419</v>
      </c>
      <c r="N290" s="7">
        <v>0</v>
      </c>
      <c r="O290" s="7">
        <v>0</v>
      </c>
      <c r="P290" s="7">
        <v>43.365000000000002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132.352</v>
      </c>
      <c r="W290" s="7">
        <v>392.70600000000002</v>
      </c>
      <c r="X290" s="7">
        <v>0</v>
      </c>
      <c r="Y290" s="7">
        <v>21846.071</v>
      </c>
      <c r="Z290" s="7">
        <v>0</v>
      </c>
      <c r="AA290" s="7">
        <v>1367.683</v>
      </c>
      <c r="AB290" s="7">
        <v>0</v>
      </c>
      <c r="AC290" s="7">
        <v>170.25399999999999</v>
      </c>
      <c r="AD290" s="7">
        <v>0</v>
      </c>
      <c r="AE290" s="7">
        <v>62967.800999999999</v>
      </c>
      <c r="AF290" s="7">
        <v>0</v>
      </c>
      <c r="AG290" s="7">
        <v>0</v>
      </c>
      <c r="AH290" s="7">
        <v>149990.74900000001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21"/>
    </row>
    <row r="291" spans="1:62" ht="15.6" x14ac:dyDescent="0.3">
      <c r="A291" s="5" t="s">
        <v>507</v>
      </c>
      <c r="B291" s="5" t="s">
        <v>508</v>
      </c>
      <c r="C291" s="7">
        <v>5</v>
      </c>
      <c r="D291" s="7">
        <v>5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21"/>
    </row>
    <row r="292" spans="1:62" ht="15.6" x14ac:dyDescent="0.3">
      <c r="A292" s="5" t="s">
        <v>509</v>
      </c>
      <c r="B292" s="5" t="s">
        <v>510</v>
      </c>
      <c r="C292" s="7">
        <v>5</v>
      </c>
      <c r="D292" s="7">
        <v>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21"/>
    </row>
    <row r="293" spans="1:62" ht="15.6" x14ac:dyDescent="0.3">
      <c r="A293" s="5" t="s">
        <v>511</v>
      </c>
      <c r="B293" s="5" t="s">
        <v>512</v>
      </c>
      <c r="C293" s="7">
        <v>5</v>
      </c>
      <c r="D293" s="7">
        <v>5</v>
      </c>
      <c r="E293" s="7">
        <v>259369.58199999999</v>
      </c>
      <c r="F293" s="7">
        <v>17053.804</v>
      </c>
      <c r="G293" s="7">
        <v>20278.802</v>
      </c>
      <c r="H293" s="7">
        <v>0</v>
      </c>
      <c r="I293" s="7">
        <v>3451.761</v>
      </c>
      <c r="J293" s="7">
        <v>12824.558000000001</v>
      </c>
      <c r="K293" s="7">
        <v>0</v>
      </c>
      <c r="L293" s="7">
        <v>158168.44399999999</v>
      </c>
      <c r="M293" s="7">
        <v>57008.483999999997</v>
      </c>
      <c r="N293" s="7">
        <v>0</v>
      </c>
      <c r="O293" s="7">
        <v>0</v>
      </c>
      <c r="P293" s="7">
        <v>431.64699999999999</v>
      </c>
      <c r="Q293" s="7">
        <v>0</v>
      </c>
      <c r="R293" s="7">
        <v>40.685000000000002</v>
      </c>
      <c r="S293" s="7">
        <v>0</v>
      </c>
      <c r="T293" s="7">
        <v>0</v>
      </c>
      <c r="U293" s="7">
        <v>0</v>
      </c>
      <c r="V293" s="7">
        <v>3147.0010000000002</v>
      </c>
      <c r="W293" s="7">
        <v>8936.94</v>
      </c>
      <c r="X293" s="7">
        <v>0</v>
      </c>
      <c r="Y293" s="7">
        <v>72055.387000000002</v>
      </c>
      <c r="Z293" s="7">
        <v>0</v>
      </c>
      <c r="AA293" s="7">
        <v>29606.124</v>
      </c>
      <c r="AB293" s="7">
        <v>0</v>
      </c>
      <c r="AC293" s="7">
        <v>5167.2889999999998</v>
      </c>
      <c r="AD293" s="7">
        <v>0</v>
      </c>
      <c r="AE293" s="7">
        <v>210133.12299999999</v>
      </c>
      <c r="AF293" s="7">
        <v>0</v>
      </c>
      <c r="AG293" s="7">
        <v>0</v>
      </c>
      <c r="AH293" s="7">
        <v>549365.09699999995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21"/>
    </row>
    <row r="294" spans="1:62" ht="15.6" x14ac:dyDescent="0.3">
      <c r="A294" s="5" t="s">
        <v>513</v>
      </c>
      <c r="B294" s="5" t="s">
        <v>514</v>
      </c>
      <c r="C294" s="7">
        <v>5</v>
      </c>
      <c r="D294" s="7">
        <v>5</v>
      </c>
      <c r="E294" s="7">
        <v>25617.827000000001</v>
      </c>
      <c r="F294" s="7">
        <v>1054.146</v>
      </c>
      <c r="G294" s="7">
        <v>1318.5360000000001</v>
      </c>
      <c r="H294" s="7">
        <v>0</v>
      </c>
      <c r="I294" s="7">
        <v>226.13</v>
      </c>
      <c r="J294" s="7">
        <v>823.88</v>
      </c>
      <c r="K294" s="7">
        <v>0</v>
      </c>
      <c r="L294" s="7">
        <v>29072.95</v>
      </c>
      <c r="M294" s="7">
        <v>7260.8630000000003</v>
      </c>
      <c r="N294" s="7">
        <v>0</v>
      </c>
      <c r="O294" s="7">
        <v>0</v>
      </c>
      <c r="P294" s="7">
        <v>32.281999999999996</v>
      </c>
      <c r="Q294" s="7">
        <v>0</v>
      </c>
      <c r="R294" s="7">
        <v>1.827</v>
      </c>
      <c r="S294" s="7">
        <v>0</v>
      </c>
      <c r="T294" s="7">
        <v>0</v>
      </c>
      <c r="U294" s="7">
        <v>0</v>
      </c>
      <c r="V294" s="7">
        <v>180.66399999999999</v>
      </c>
      <c r="W294" s="7">
        <v>518.06899999999996</v>
      </c>
      <c r="X294" s="7">
        <v>0</v>
      </c>
      <c r="Y294" s="7">
        <v>4245.2550000000001</v>
      </c>
      <c r="Z294" s="7">
        <v>0</v>
      </c>
      <c r="AA294" s="7">
        <v>1650.5160000000001</v>
      </c>
      <c r="AB294" s="7">
        <v>0</v>
      </c>
      <c r="AC294" s="7">
        <v>282.642</v>
      </c>
      <c r="AD294" s="7">
        <v>0</v>
      </c>
      <c r="AE294" s="7">
        <v>15174.445</v>
      </c>
      <c r="AF294" s="7">
        <v>0</v>
      </c>
      <c r="AG294" s="7">
        <v>0</v>
      </c>
      <c r="AH294" s="7">
        <v>45197.95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21"/>
    </row>
    <row r="295" spans="1:62" ht="15.6" x14ac:dyDescent="0.3">
      <c r="A295" s="5" t="s">
        <v>515</v>
      </c>
      <c r="B295" s="5" t="s">
        <v>516</v>
      </c>
      <c r="C295" s="7">
        <v>5</v>
      </c>
      <c r="D295" s="7">
        <v>5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21"/>
    </row>
    <row r="296" spans="1:62" ht="15.6" x14ac:dyDescent="0.3">
      <c r="A296" s="5" t="s">
        <v>517</v>
      </c>
      <c r="B296" s="5" t="s">
        <v>518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21"/>
    </row>
    <row r="297" spans="1:62" ht="15.6" x14ac:dyDescent="0.3">
      <c r="A297" s="5" t="s">
        <v>519</v>
      </c>
      <c r="B297" s="5" t="s">
        <v>520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21"/>
    </row>
    <row r="298" spans="1:62" ht="15.6" x14ac:dyDescent="0.3">
      <c r="A298" s="5" t="s">
        <v>521</v>
      </c>
      <c r="B298" s="5" t="s">
        <v>522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21"/>
    </row>
    <row r="299" spans="1:62" ht="15.6" x14ac:dyDescent="0.3">
      <c r="A299" s="5" t="s">
        <v>523</v>
      </c>
      <c r="B299" s="5" t="s">
        <v>524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21"/>
    </row>
    <row r="300" spans="1:62" ht="15.6" x14ac:dyDescent="0.3">
      <c r="A300" s="5" t="s">
        <v>525</v>
      </c>
      <c r="B300" s="5" t="s">
        <v>526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21"/>
    </row>
    <row r="301" spans="1:62" ht="15.6" x14ac:dyDescent="0.3">
      <c r="A301" s="5" t="s">
        <v>527</v>
      </c>
      <c r="B301" s="5" t="s">
        <v>528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21"/>
    </row>
    <row r="302" spans="1:62" ht="15.6" x14ac:dyDescent="0.3">
      <c r="A302" s="5" t="s">
        <v>529</v>
      </c>
      <c r="B302" s="5" t="s">
        <v>530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21"/>
    </row>
    <row r="303" spans="1:62" ht="15.6" x14ac:dyDescent="0.3">
      <c r="A303" s="5" t="s">
        <v>531</v>
      </c>
      <c r="B303" s="5" t="s">
        <v>532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21"/>
    </row>
    <row r="304" spans="1:62" ht="15.6" x14ac:dyDescent="0.3">
      <c r="A304" s="5" t="s">
        <v>533</v>
      </c>
      <c r="B304" s="5" t="s">
        <v>534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21"/>
    </row>
    <row r="305" spans="1:62" ht="15.6" x14ac:dyDescent="0.3">
      <c r="A305" s="5" t="s">
        <v>535</v>
      </c>
      <c r="B305" s="5" t="s">
        <v>536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21"/>
    </row>
    <row r="306" spans="1:62" ht="15.6" x14ac:dyDescent="0.3">
      <c r="A306" s="5" t="s">
        <v>537</v>
      </c>
      <c r="B306" s="5" t="s">
        <v>538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21"/>
    </row>
    <row r="307" spans="1:62" ht="15.6" x14ac:dyDescent="0.3">
      <c r="A307" s="5" t="s">
        <v>539</v>
      </c>
      <c r="B307" s="5" t="s">
        <v>540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21"/>
    </row>
    <row r="308" spans="1:62" ht="15.6" x14ac:dyDescent="0.3">
      <c r="A308" s="5" t="s">
        <v>541</v>
      </c>
      <c r="B308" s="5" t="s">
        <v>542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21"/>
    </row>
    <row r="309" spans="1:62" ht="15.6" x14ac:dyDescent="0.3">
      <c r="A309" s="5" t="s">
        <v>543</v>
      </c>
      <c r="B309" s="5" t="s">
        <v>544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21"/>
    </row>
    <row r="310" spans="1:62" ht="15.6" x14ac:dyDescent="0.3">
      <c r="A310" s="5" t="s">
        <v>545</v>
      </c>
      <c r="B310" s="5" t="s">
        <v>546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21"/>
    </row>
    <row r="311" spans="1:62" ht="15.6" x14ac:dyDescent="0.3">
      <c r="A311" s="5" t="s">
        <v>547</v>
      </c>
      <c r="B311" s="5" t="s">
        <v>548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21"/>
    </row>
    <row r="312" spans="1:62" ht="15.6" x14ac:dyDescent="0.3">
      <c r="A312" s="5" t="s">
        <v>549</v>
      </c>
      <c r="B312" s="5" t="s">
        <v>550</v>
      </c>
      <c r="C312" s="7">
        <v>5</v>
      </c>
      <c r="D312" s="7">
        <v>5</v>
      </c>
      <c r="E312" s="7">
        <v>-20467.715</v>
      </c>
      <c r="F312" s="7">
        <v>-4627.9759999999997</v>
      </c>
      <c r="G312" s="7">
        <v>0</v>
      </c>
      <c r="H312" s="7">
        <v>0</v>
      </c>
      <c r="I312" s="7">
        <v>-92.801000000000002</v>
      </c>
      <c r="J312" s="7">
        <v>0</v>
      </c>
      <c r="K312" s="7">
        <v>0</v>
      </c>
      <c r="L312" s="7">
        <v>-53519.500999999997</v>
      </c>
      <c r="M312" s="7">
        <v>-1852.146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-1451.654</v>
      </c>
      <c r="T312" s="7">
        <v>0</v>
      </c>
      <c r="U312" s="7">
        <v>0</v>
      </c>
      <c r="V312" s="7">
        <v>0</v>
      </c>
      <c r="W312" s="7">
        <v>-430.31700000000001</v>
      </c>
      <c r="X312" s="7">
        <v>0</v>
      </c>
      <c r="Y312" s="7">
        <v>-10780.843999999999</v>
      </c>
      <c r="Z312" s="7">
        <v>0</v>
      </c>
      <c r="AA312" s="7">
        <v>0</v>
      </c>
      <c r="AB312" s="7">
        <v>0</v>
      </c>
      <c r="AC312" s="7">
        <v>-838.49400000000003</v>
      </c>
      <c r="AD312" s="7">
        <v>0</v>
      </c>
      <c r="AE312" s="7">
        <v>-26782.634999999998</v>
      </c>
      <c r="AF312" s="7">
        <v>-18280.690999999999</v>
      </c>
      <c r="AG312" s="7">
        <v>0</v>
      </c>
      <c r="AH312" s="7">
        <v>-89477.244000000006</v>
      </c>
      <c r="AI312" s="7">
        <v>-27783.991999999998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-965.07399999999996</v>
      </c>
      <c r="AP312" s="7">
        <v>0</v>
      </c>
      <c r="AQ312" s="7">
        <v>-6787.9430000000002</v>
      </c>
      <c r="AR312" s="7">
        <v>0</v>
      </c>
      <c r="AS312" s="7">
        <v>-15.01</v>
      </c>
      <c r="AT312" s="7">
        <v>0</v>
      </c>
      <c r="AU312" s="7">
        <v>-94.713999999999999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-340.53199999999998</v>
      </c>
      <c r="BC312" s="7">
        <v>0</v>
      </c>
      <c r="BD312" s="7">
        <v>0</v>
      </c>
      <c r="BE312" s="7">
        <v>-91.334999999999994</v>
      </c>
      <c r="BF312" s="7">
        <v>-91.334999999999994</v>
      </c>
      <c r="BG312" s="7">
        <v>0</v>
      </c>
      <c r="BH312" s="7">
        <v>0</v>
      </c>
      <c r="BI312" s="7">
        <v>0</v>
      </c>
      <c r="BJ312" s="21"/>
    </row>
    <row r="313" spans="1:62" ht="15.6" x14ac:dyDescent="0.3">
      <c r="A313" s="5" t="s">
        <v>551</v>
      </c>
      <c r="B313" s="5" t="s">
        <v>552</v>
      </c>
      <c r="C313" s="7">
        <v>5</v>
      </c>
      <c r="D313" s="7">
        <v>5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21"/>
    </row>
    <row r="314" spans="1:62" ht="15.6" x14ac:dyDescent="0.3">
      <c r="A314" s="5" t="s">
        <v>553</v>
      </c>
      <c r="B314" s="5" t="s">
        <v>554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21"/>
    </row>
    <row r="315" spans="1:62" ht="15.6" x14ac:dyDescent="0.3">
      <c r="A315" s="5" t="s">
        <v>555</v>
      </c>
      <c r="B315" s="5" t="s">
        <v>556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21"/>
    </row>
    <row r="316" spans="1:62" ht="15.6" x14ac:dyDescent="0.3">
      <c r="A316" s="5" t="s">
        <v>557</v>
      </c>
      <c r="B316" s="5" t="s">
        <v>558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21"/>
    </row>
    <row r="317" spans="1:62" ht="15.6" x14ac:dyDescent="0.3">
      <c r="A317" s="5" t="s">
        <v>559</v>
      </c>
      <c r="B317" s="5" t="s">
        <v>560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21"/>
    </row>
    <row r="318" spans="1:62" ht="15.6" x14ac:dyDescent="0.3">
      <c r="A318" s="5" t="s">
        <v>561</v>
      </c>
      <c r="B318" s="5" t="s">
        <v>562</v>
      </c>
      <c r="C318" s="7">
        <v>5</v>
      </c>
      <c r="D318" s="7">
        <v>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21"/>
    </row>
    <row r="319" spans="1:62" ht="15.6" x14ac:dyDescent="0.3">
      <c r="A319" s="5" t="s">
        <v>563</v>
      </c>
      <c r="B319" s="5" t="s">
        <v>564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21"/>
    </row>
    <row r="320" spans="1:62" ht="15.6" x14ac:dyDescent="0.3">
      <c r="A320" s="5" t="s">
        <v>565</v>
      </c>
      <c r="B320" s="5" t="s">
        <v>566</v>
      </c>
      <c r="C320" s="7">
        <v>5</v>
      </c>
      <c r="D320" s="7">
        <v>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21"/>
    </row>
    <row r="321" spans="1:62" ht="15.6" x14ac:dyDescent="0.3">
      <c r="A321" s="5" t="s">
        <v>567</v>
      </c>
      <c r="B321" s="5" t="s">
        <v>568</v>
      </c>
      <c r="C321" s="7">
        <v>5</v>
      </c>
      <c r="D321" s="7">
        <v>5</v>
      </c>
      <c r="E321" s="7">
        <v>-5359.9489999999996</v>
      </c>
      <c r="F321" s="7">
        <v>-1211.943</v>
      </c>
      <c r="G321" s="7">
        <v>0</v>
      </c>
      <c r="H321" s="7">
        <v>0</v>
      </c>
      <c r="I321" s="7">
        <v>-24.302</v>
      </c>
      <c r="J321" s="7">
        <v>0</v>
      </c>
      <c r="K321" s="7">
        <v>0</v>
      </c>
      <c r="L321" s="7">
        <v>-14015.331</v>
      </c>
      <c r="M321" s="7">
        <v>-485.02800000000002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-380.149</v>
      </c>
      <c r="T321" s="7">
        <v>0</v>
      </c>
      <c r="U321" s="7">
        <v>0</v>
      </c>
      <c r="V321" s="7">
        <v>0</v>
      </c>
      <c r="W321" s="7">
        <v>-112.68899999999999</v>
      </c>
      <c r="X321" s="7">
        <v>0</v>
      </c>
      <c r="Y321" s="7">
        <v>-2823.2159999999999</v>
      </c>
      <c r="Z321" s="7">
        <v>0</v>
      </c>
      <c r="AA321" s="7">
        <v>0</v>
      </c>
      <c r="AB321" s="7">
        <v>0</v>
      </c>
      <c r="AC321" s="7">
        <v>-219.57900000000001</v>
      </c>
      <c r="AD321" s="7">
        <v>0</v>
      </c>
      <c r="AE321" s="7">
        <v>-7013.6580000000004</v>
      </c>
      <c r="AF321" s="7">
        <v>-4787.2259999999997</v>
      </c>
      <c r="AG321" s="7">
        <v>0</v>
      </c>
      <c r="AH321" s="7">
        <v>-23431.705999999998</v>
      </c>
      <c r="AI321" s="7">
        <v>-7275.8869999999997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-252.727</v>
      </c>
      <c r="AP321" s="7">
        <v>0</v>
      </c>
      <c r="AQ321" s="7">
        <v>-1777.5809999999999</v>
      </c>
      <c r="AR321" s="7">
        <v>0</v>
      </c>
      <c r="AS321" s="7">
        <v>-3.931</v>
      </c>
      <c r="AT321" s="7">
        <v>0</v>
      </c>
      <c r="AU321" s="7">
        <v>-24.803000000000001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-89.176000000000002</v>
      </c>
      <c r="BC321" s="7">
        <v>0</v>
      </c>
      <c r="BD321" s="7">
        <v>0</v>
      </c>
      <c r="BE321" s="7">
        <v>-23.917999999999999</v>
      </c>
      <c r="BF321" s="7">
        <v>-23.917999999999999</v>
      </c>
      <c r="BG321" s="7">
        <v>0</v>
      </c>
      <c r="BH321" s="7">
        <v>0</v>
      </c>
      <c r="BI321" s="7">
        <v>0</v>
      </c>
      <c r="BJ321" s="21"/>
    </row>
    <row r="322" spans="1:62" ht="15.6" x14ac:dyDescent="0.3">
      <c r="A322" s="5" t="s">
        <v>569</v>
      </c>
      <c r="B322" s="5" t="s">
        <v>570</v>
      </c>
      <c r="C322" s="7">
        <v>5</v>
      </c>
      <c r="D322" s="7">
        <v>5</v>
      </c>
      <c r="E322" s="7">
        <v>-48506.226999999999</v>
      </c>
      <c r="F322" s="7">
        <v>-10851.895</v>
      </c>
      <c r="G322" s="7">
        <v>-860.36500000000001</v>
      </c>
      <c r="H322" s="7">
        <v>0</v>
      </c>
      <c r="I322" s="7">
        <v>-372.61700000000002</v>
      </c>
      <c r="J322" s="7">
        <v>-677.745</v>
      </c>
      <c r="K322" s="7">
        <v>0</v>
      </c>
      <c r="L322" s="7">
        <v>-118829.961</v>
      </c>
      <c r="M322" s="7">
        <v>-6957.9179999999997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-3380.7489999999998</v>
      </c>
      <c r="T322" s="7">
        <v>0</v>
      </c>
      <c r="U322" s="7">
        <v>0</v>
      </c>
      <c r="V322" s="7">
        <v>-105.404</v>
      </c>
      <c r="W322" s="7">
        <v>-1173.9880000000001</v>
      </c>
      <c r="X322" s="7">
        <v>0</v>
      </c>
      <c r="Y322" s="7">
        <v>-24482.598000000002</v>
      </c>
      <c r="Z322" s="7">
        <v>0</v>
      </c>
      <c r="AA322" s="7">
        <v>-823.21699999999998</v>
      </c>
      <c r="AB322" s="7">
        <v>0</v>
      </c>
      <c r="AC322" s="7">
        <v>-1943.877</v>
      </c>
      <c r="AD322" s="7">
        <v>0</v>
      </c>
      <c r="AE322" s="7">
        <v>-60901.383999999998</v>
      </c>
      <c r="AF322" s="7">
        <v>-39381.137000000002</v>
      </c>
      <c r="AG322" s="7">
        <v>0</v>
      </c>
      <c r="AH322" s="7">
        <v>-202930.451</v>
      </c>
      <c r="AI322" s="7">
        <v>-59853.603000000003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-2143.5650000000001</v>
      </c>
      <c r="AP322" s="7">
        <v>0</v>
      </c>
      <c r="AQ322" s="7">
        <v>-14622.911</v>
      </c>
      <c r="AR322" s="7">
        <v>0</v>
      </c>
      <c r="AS322" s="7">
        <v>-32.664000000000001</v>
      </c>
      <c r="AT322" s="7">
        <v>0</v>
      </c>
      <c r="AU322" s="7">
        <v>-204.03800000000001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-757.31700000000001</v>
      </c>
      <c r="BC322" s="7">
        <v>0</v>
      </c>
      <c r="BD322" s="7">
        <v>0</v>
      </c>
      <c r="BE322" s="7">
        <v>-206.48099999999999</v>
      </c>
      <c r="BF322" s="7">
        <v>-206.48099999999999</v>
      </c>
      <c r="BG322" s="7">
        <v>0</v>
      </c>
      <c r="BH322" s="7">
        <v>0</v>
      </c>
      <c r="BI322" s="7">
        <v>0</v>
      </c>
      <c r="BJ322" s="21"/>
    </row>
    <row r="323" spans="1:62" ht="15.6" x14ac:dyDescent="0.3">
      <c r="A323" s="5" t="s">
        <v>571</v>
      </c>
      <c r="B323" s="5" t="s">
        <v>572</v>
      </c>
      <c r="C323" s="7">
        <v>5</v>
      </c>
      <c r="D323" s="7">
        <v>5</v>
      </c>
      <c r="E323" s="7">
        <v>0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s="21"/>
    </row>
    <row r="324" spans="1:62" ht="15.6" x14ac:dyDescent="0.3">
      <c r="A324" s="5" t="s">
        <v>573</v>
      </c>
      <c r="B324" s="5" t="s">
        <v>574</v>
      </c>
      <c r="C324" s="7">
        <v>5</v>
      </c>
      <c r="D324" s="7">
        <v>5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s="21"/>
    </row>
    <row r="325" spans="1:62" ht="15.6" x14ac:dyDescent="0.3">
      <c r="A325" s="5" t="s">
        <v>575</v>
      </c>
      <c r="B325" s="5" t="s">
        <v>576</v>
      </c>
      <c r="C325" s="7">
        <v>6</v>
      </c>
      <c r="D325" s="7">
        <v>6</v>
      </c>
      <c r="E325" s="7">
        <v>64.608000000000004</v>
      </c>
      <c r="F325" s="7">
        <v>0</v>
      </c>
      <c r="G325" s="7">
        <v>0</v>
      </c>
      <c r="H325" s="7">
        <v>0</v>
      </c>
      <c r="I325" s="7">
        <v>91.126000000000005</v>
      </c>
      <c r="J325" s="7">
        <v>0</v>
      </c>
      <c r="K325" s="7">
        <v>0</v>
      </c>
      <c r="L325" s="7">
        <v>14686.151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s="21"/>
    </row>
    <row r="326" spans="1:62" ht="15.6" x14ac:dyDescent="0.3">
      <c r="A326" s="5" t="s">
        <v>577</v>
      </c>
      <c r="B326" s="5" t="s">
        <v>578</v>
      </c>
      <c r="C326" s="7">
        <v>6</v>
      </c>
      <c r="D326" s="7">
        <v>6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21"/>
    </row>
    <row r="327" spans="1:62" ht="15.6" x14ac:dyDescent="0.3">
      <c r="A327" s="5" t="s">
        <v>579</v>
      </c>
      <c r="B327" s="5" t="s">
        <v>580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21"/>
    </row>
    <row r="328" spans="1:62" ht="15.6" x14ac:dyDescent="0.3">
      <c r="A328" s="5" t="s">
        <v>581</v>
      </c>
      <c r="B328" s="5" t="s">
        <v>582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21"/>
    </row>
    <row r="329" spans="1:62" ht="15.6" x14ac:dyDescent="0.3">
      <c r="A329" s="5" t="s">
        <v>583</v>
      </c>
      <c r="B329" s="5" t="s">
        <v>584</v>
      </c>
      <c r="C329" s="7">
        <v>6</v>
      </c>
      <c r="D329" s="7">
        <v>6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21"/>
    </row>
    <row r="330" spans="1:62" ht="15.6" x14ac:dyDescent="0.3">
      <c r="A330" s="5" t="s">
        <v>585</v>
      </c>
      <c r="B330" s="5" t="s">
        <v>586</v>
      </c>
      <c r="C330" s="7">
        <v>6</v>
      </c>
      <c r="D330" s="7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21"/>
    </row>
    <row r="331" spans="1:62" ht="15.6" x14ac:dyDescent="0.3">
      <c r="A331" s="5" t="s">
        <v>587</v>
      </c>
      <c r="B331" s="5" t="s">
        <v>588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21"/>
    </row>
    <row r="332" spans="1:62" ht="15.6" x14ac:dyDescent="0.3">
      <c r="A332" s="5" t="s">
        <v>589</v>
      </c>
      <c r="B332" s="5" t="s">
        <v>590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21"/>
    </row>
    <row r="333" spans="1:62" ht="15.6" x14ac:dyDescent="0.3">
      <c r="A333" s="5" t="s">
        <v>591</v>
      </c>
      <c r="B333" s="5" t="s">
        <v>592</v>
      </c>
      <c r="C333" s="7">
        <v>6</v>
      </c>
      <c r="D333" s="7">
        <v>6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21"/>
    </row>
    <row r="334" spans="1:62" ht="15.6" x14ac:dyDescent="0.3">
      <c r="A334" s="5" t="s">
        <v>593</v>
      </c>
      <c r="B334" s="5" t="s">
        <v>594</v>
      </c>
      <c r="C334" s="7">
        <v>6</v>
      </c>
      <c r="D334" s="7">
        <v>6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21"/>
    </row>
    <row r="335" spans="1:62" ht="15.6" x14ac:dyDescent="0.3">
      <c r="A335" s="5" t="s">
        <v>595</v>
      </c>
      <c r="B335" s="5" t="s">
        <v>596</v>
      </c>
      <c r="C335" s="7">
        <v>6</v>
      </c>
      <c r="D335" s="7">
        <v>6</v>
      </c>
      <c r="E335" s="7">
        <v>16089.066000000001</v>
      </c>
      <c r="F335" s="7">
        <v>1256.8530000000001</v>
      </c>
      <c r="G335" s="7">
        <v>622.97</v>
      </c>
      <c r="H335" s="7">
        <v>1673.722</v>
      </c>
      <c r="I335" s="7">
        <v>117.864</v>
      </c>
      <c r="J335" s="7">
        <v>433.43400000000003</v>
      </c>
      <c r="K335" s="7">
        <v>1696.8</v>
      </c>
      <c r="L335" s="7">
        <v>9983.6029999999992</v>
      </c>
      <c r="M335" s="7">
        <v>2061.9670000000001</v>
      </c>
      <c r="N335" s="7">
        <v>0</v>
      </c>
      <c r="O335" s="7">
        <v>0.255</v>
      </c>
      <c r="P335" s="7">
        <v>9.6259999999999994</v>
      </c>
      <c r="Q335" s="7">
        <v>6.78</v>
      </c>
      <c r="R335" s="7">
        <v>28.344999999999999</v>
      </c>
      <c r="S335" s="7">
        <v>205.524</v>
      </c>
      <c r="T335" s="7">
        <v>0</v>
      </c>
      <c r="U335" s="7">
        <v>1337.155</v>
      </c>
      <c r="V335" s="7">
        <v>86.227999999999994</v>
      </c>
      <c r="W335" s="7">
        <v>260.59899999999999</v>
      </c>
      <c r="X335" s="7">
        <v>42.087000000000003</v>
      </c>
      <c r="Y335" s="7">
        <v>4722.1019999999999</v>
      </c>
      <c r="Z335" s="7">
        <v>0</v>
      </c>
      <c r="AA335" s="7">
        <v>1121.7760000000001</v>
      </c>
      <c r="AB335" s="7">
        <v>15.946999999999999</v>
      </c>
      <c r="AC335" s="7">
        <v>206.274</v>
      </c>
      <c r="AD335" s="7">
        <v>0.33200000000000002</v>
      </c>
      <c r="AE335" s="7">
        <v>6955.8310000000001</v>
      </c>
      <c r="AF335" s="7">
        <v>1943.126</v>
      </c>
      <c r="AG335" s="7">
        <v>1.2090000000000001</v>
      </c>
      <c r="AH335" s="7">
        <v>24784.580999999998</v>
      </c>
      <c r="AI335" s="7">
        <v>2947.5509999999999</v>
      </c>
      <c r="AJ335" s="7">
        <v>3.0000000000000001E-3</v>
      </c>
      <c r="AK335" s="7">
        <v>4.6630000000000003</v>
      </c>
      <c r="AL335" s="7">
        <v>11.893000000000001</v>
      </c>
      <c r="AM335" s="7">
        <v>288.83100000000002</v>
      </c>
      <c r="AN335" s="7">
        <v>10.441000000000001</v>
      </c>
      <c r="AO335" s="7">
        <v>103.42100000000001</v>
      </c>
      <c r="AP335" s="7">
        <v>40.253999999999998</v>
      </c>
      <c r="AQ335" s="7">
        <v>643.47900000000004</v>
      </c>
      <c r="AR335" s="7">
        <v>13.412000000000001</v>
      </c>
      <c r="AS335" s="7">
        <v>1.907</v>
      </c>
      <c r="AT335" s="7">
        <v>0</v>
      </c>
      <c r="AU335" s="7">
        <v>23.824000000000002</v>
      </c>
      <c r="AV335" s="7">
        <v>40.841000000000001</v>
      </c>
      <c r="AW335" s="7">
        <v>62.061999999999998</v>
      </c>
      <c r="AX335" s="7">
        <v>47.314</v>
      </c>
      <c r="AY335" s="7">
        <v>41.283999999999999</v>
      </c>
      <c r="AZ335" s="7">
        <v>662.94799999999998</v>
      </c>
      <c r="BA335" s="7">
        <v>34.381</v>
      </c>
      <c r="BB335" s="7">
        <v>36.582000000000001</v>
      </c>
      <c r="BC335" s="7">
        <v>8.3469999999999995</v>
      </c>
      <c r="BD335" s="7">
        <v>806.35900000000004</v>
      </c>
      <c r="BE335" s="7">
        <v>9.2799999999999994</v>
      </c>
      <c r="BF335" s="7">
        <v>9.2799999999999994</v>
      </c>
      <c r="BG335" s="7">
        <v>267.36799999999999</v>
      </c>
      <c r="BH335" s="7">
        <v>0.317</v>
      </c>
      <c r="BI335" s="7">
        <v>3.927</v>
      </c>
      <c r="BJ335" s="21"/>
    </row>
    <row r="336" spans="1:62" ht="15.6" x14ac:dyDescent="0.3">
      <c r="A336" s="5" t="s">
        <v>597</v>
      </c>
      <c r="B336" s="5" t="s">
        <v>598</v>
      </c>
      <c r="C336" s="7">
        <v>6</v>
      </c>
      <c r="D336" s="7">
        <v>6</v>
      </c>
      <c r="E336" s="7">
        <v>-14330.092000000001</v>
      </c>
      <c r="F336" s="7">
        <v>-2294.6030000000001</v>
      </c>
      <c r="G336" s="7">
        <v>-1432.8589999999999</v>
      </c>
      <c r="H336" s="7">
        <v>-21771.832999999999</v>
      </c>
      <c r="I336" s="7">
        <v>-416.25900000000001</v>
      </c>
      <c r="J336" s="7">
        <v>-1102.819</v>
      </c>
      <c r="K336" s="7">
        <v>-0.77700000000000002</v>
      </c>
      <c r="L336" s="7">
        <v>-20107.536</v>
      </c>
      <c r="M336" s="7">
        <v>-4500.1369999999997</v>
      </c>
      <c r="N336" s="7">
        <v>-0.33300000000000002</v>
      </c>
      <c r="O336" s="7">
        <v>-8.6999999999999994E-2</v>
      </c>
      <c r="P336" s="7">
        <v>-94.626999999999995</v>
      </c>
      <c r="Q336" s="7">
        <v>0</v>
      </c>
      <c r="R336" s="7">
        <v>-137.143</v>
      </c>
      <c r="S336" s="7">
        <v>-19.756</v>
      </c>
      <c r="T336" s="7">
        <v>0</v>
      </c>
      <c r="U336" s="7">
        <v>0</v>
      </c>
      <c r="V336" s="7">
        <v>-113.699</v>
      </c>
      <c r="W336" s="7">
        <v>-333.85700000000003</v>
      </c>
      <c r="X336" s="7">
        <v>-10.108000000000001</v>
      </c>
      <c r="Y336" s="7">
        <v>-2882.3850000000002</v>
      </c>
      <c r="Z336" s="7">
        <v>-0.76800000000000002</v>
      </c>
      <c r="AA336" s="7">
        <v>-1586.7639999999999</v>
      </c>
      <c r="AB336" s="7">
        <v>-19.126000000000001</v>
      </c>
      <c r="AC336" s="7">
        <v>-157.435</v>
      </c>
      <c r="AD336" s="7">
        <v>0</v>
      </c>
      <c r="AE336" s="7">
        <v>-9481.5349999999999</v>
      </c>
      <c r="AF336" s="7">
        <v>-39.996000000000002</v>
      </c>
      <c r="AG336" s="7">
        <v>-0.52700000000000002</v>
      </c>
      <c r="AH336" s="7">
        <v>-34874.949000000001</v>
      </c>
      <c r="AI336" s="7">
        <v>-432.97300000000001</v>
      </c>
      <c r="AJ336" s="7">
        <v>-2.665</v>
      </c>
      <c r="AK336" s="7">
        <v>-20.609000000000002</v>
      </c>
      <c r="AL336" s="7">
        <v>-0.4</v>
      </c>
      <c r="AM336" s="7">
        <v>0</v>
      </c>
      <c r="AN336" s="7">
        <v>-57.707999999999998</v>
      </c>
      <c r="AO336" s="7">
        <v>-0.434</v>
      </c>
      <c r="AP336" s="7">
        <v>0</v>
      </c>
      <c r="AQ336" s="7">
        <v>-2.875</v>
      </c>
      <c r="AR336" s="7">
        <v>0</v>
      </c>
      <c r="AS336" s="7">
        <v>-1.4730000000000001</v>
      </c>
      <c r="AT336" s="7">
        <v>0</v>
      </c>
      <c r="AU336" s="7">
        <v>-0.04</v>
      </c>
      <c r="AV336" s="7">
        <v>0</v>
      </c>
      <c r="AW336" s="7">
        <v>0</v>
      </c>
      <c r="AX336" s="7">
        <v>-77.543999999999997</v>
      </c>
      <c r="AY336" s="7">
        <v>0</v>
      </c>
      <c r="AZ336" s="7">
        <v>0</v>
      </c>
      <c r="BA336" s="7">
        <v>0</v>
      </c>
      <c r="BB336" s="7">
        <v>-5.0869999999999997</v>
      </c>
      <c r="BC336" s="7">
        <v>0</v>
      </c>
      <c r="BD336" s="7">
        <v>0</v>
      </c>
      <c r="BE336" s="7">
        <v>-0.1</v>
      </c>
      <c r="BF336" s="7">
        <v>-0.1</v>
      </c>
      <c r="BG336" s="7">
        <v>0</v>
      </c>
      <c r="BH336" s="7">
        <v>-76.072999999999993</v>
      </c>
      <c r="BI336" s="7">
        <v>0</v>
      </c>
      <c r="BJ336" s="21"/>
    </row>
    <row r="337" spans="1:62" ht="15.6" x14ac:dyDescent="0.3">
      <c r="A337" s="5" t="s">
        <v>599</v>
      </c>
      <c r="B337" s="5" t="s">
        <v>600</v>
      </c>
      <c r="C337" s="7">
        <v>6</v>
      </c>
      <c r="D337" s="7">
        <v>6</v>
      </c>
      <c r="E337" s="7">
        <v>-1799.3420000000001</v>
      </c>
      <c r="F337" s="7">
        <v>-43.055</v>
      </c>
      <c r="G337" s="7">
        <v>-65.914000000000001</v>
      </c>
      <c r="H337" s="7">
        <v>-90.722999999999999</v>
      </c>
      <c r="I337" s="7">
        <v>0</v>
      </c>
      <c r="J337" s="7">
        <v>-28.699000000000002</v>
      </c>
      <c r="K337" s="7">
        <v>-27.956</v>
      </c>
      <c r="L337" s="7">
        <v>-1085.856</v>
      </c>
      <c r="M337" s="7">
        <v>-95.090999999999994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-18.484000000000002</v>
      </c>
      <c r="V337" s="7">
        <v>-55.567999999999998</v>
      </c>
      <c r="W337" s="7">
        <v>-14.603999999999999</v>
      </c>
      <c r="X337" s="7">
        <v>-25.2</v>
      </c>
      <c r="Y337" s="7">
        <v>-375.42500000000001</v>
      </c>
      <c r="Z337" s="7">
        <v>-12.192</v>
      </c>
      <c r="AA337" s="7">
        <v>-81.795000000000002</v>
      </c>
      <c r="AB337" s="7">
        <v>-63.55</v>
      </c>
      <c r="AC337" s="7">
        <v>-31.84</v>
      </c>
      <c r="AD337" s="7">
        <v>-7.9960000000000004</v>
      </c>
      <c r="AE337" s="7">
        <v>-485.25200000000001</v>
      </c>
      <c r="AF337" s="7">
        <v>-80.450999999999993</v>
      </c>
      <c r="AG337" s="7">
        <v>-19.771000000000001</v>
      </c>
      <c r="AH337" s="7">
        <v>-1922.5619999999999</v>
      </c>
      <c r="AI337" s="7">
        <v>-279.387</v>
      </c>
      <c r="AJ337" s="7">
        <v>-30.41</v>
      </c>
      <c r="AK337" s="7">
        <v>-910.47900000000004</v>
      </c>
      <c r="AL337" s="7">
        <v>-665.98</v>
      </c>
      <c r="AM337" s="7">
        <v>-49.906999999999996</v>
      </c>
      <c r="AN337" s="7">
        <v>-1123.94</v>
      </c>
      <c r="AO337" s="7">
        <v>-0.42699999999999999</v>
      </c>
      <c r="AP337" s="7">
        <v>-37.033999999999999</v>
      </c>
      <c r="AQ337" s="7">
        <v>-140.892</v>
      </c>
      <c r="AR337" s="7">
        <v>-13.355</v>
      </c>
      <c r="AS337" s="7">
        <v>0</v>
      </c>
      <c r="AT337" s="7">
        <v>0</v>
      </c>
      <c r="AU337" s="7">
        <v>-15.125999999999999</v>
      </c>
      <c r="AV337" s="7">
        <v>-14.926</v>
      </c>
      <c r="AW337" s="7">
        <v>-17.588999999999999</v>
      </c>
      <c r="AX337" s="7">
        <v>-7.5940000000000003</v>
      </c>
      <c r="AY337" s="7">
        <v>-1.2430000000000001</v>
      </c>
      <c r="AZ337" s="7">
        <v>-1.206</v>
      </c>
      <c r="BA337" s="7">
        <v>-3.4000000000000002E-2</v>
      </c>
      <c r="BB337" s="7">
        <v>-18.32</v>
      </c>
      <c r="BC337" s="7">
        <v>-4.8579999999999997</v>
      </c>
      <c r="BD337" s="7">
        <v>-14.44</v>
      </c>
      <c r="BE337" s="7">
        <v>-0.71499999999999997</v>
      </c>
      <c r="BF337" s="7">
        <v>-0.71499999999999997</v>
      </c>
      <c r="BG337" s="7">
        <v>-25.425000000000001</v>
      </c>
      <c r="BH337" s="7">
        <v>-64.771000000000001</v>
      </c>
      <c r="BI337" s="7">
        <v>-1.4990000000000001</v>
      </c>
      <c r="BJ337" s="21"/>
    </row>
    <row r="338" spans="1:62" ht="15.6" x14ac:dyDescent="0.3">
      <c r="A338" s="5" t="s">
        <v>601</v>
      </c>
      <c r="B338" s="5" t="s">
        <v>602</v>
      </c>
      <c r="C338" s="7">
        <v>6</v>
      </c>
      <c r="D338" s="7">
        <v>6</v>
      </c>
      <c r="E338" s="7">
        <v>0</v>
      </c>
      <c r="F338" s="7">
        <v>0</v>
      </c>
      <c r="G338" s="7">
        <v>0</v>
      </c>
      <c r="H338" s="7">
        <v>0</v>
      </c>
      <c r="I338" s="7">
        <v>470.71800000000002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0</v>
      </c>
      <c r="BI338" s="7">
        <v>0</v>
      </c>
      <c r="BJ338" s="21"/>
    </row>
    <row r="339" spans="1:62" ht="15.6" x14ac:dyDescent="0.3">
      <c r="A339" s="5" t="s">
        <v>603</v>
      </c>
      <c r="B339" s="5" t="s">
        <v>604</v>
      </c>
      <c r="C339" s="7">
        <v>6</v>
      </c>
      <c r="D339" s="7">
        <v>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 s="21"/>
    </row>
    <row r="340" spans="1:62" ht="15.6" x14ac:dyDescent="0.3">
      <c r="A340" s="5" t="s">
        <v>605</v>
      </c>
      <c r="B340" s="5" t="s">
        <v>606</v>
      </c>
      <c r="C340" s="5"/>
      <c r="D340" s="5"/>
      <c r="E340">
        <v>9089699.5930000003</v>
      </c>
      <c r="F340">
        <v>1017174.008</v>
      </c>
      <c r="G340">
        <v>989692.55</v>
      </c>
      <c r="H340">
        <v>1123482.0090000001</v>
      </c>
      <c r="I340">
        <v>135013.53400000001</v>
      </c>
      <c r="J340">
        <v>695328.82200000004</v>
      </c>
      <c r="K340">
        <v>253149.079</v>
      </c>
      <c r="L340">
        <v>9679746.8499999996</v>
      </c>
      <c r="M340">
        <v>2973396.0970000001</v>
      </c>
      <c r="N340">
        <v>15144.02</v>
      </c>
      <c r="O340">
        <v>12650.464</v>
      </c>
      <c r="P340">
        <v>19815.694</v>
      </c>
      <c r="Q340">
        <v>13095.195</v>
      </c>
      <c r="R340">
        <v>18359.173999999999</v>
      </c>
      <c r="S340">
        <v>319670.2</v>
      </c>
      <c r="T340">
        <v>996.88699999999994</v>
      </c>
      <c r="U340">
        <v>188126.429</v>
      </c>
      <c r="V340">
        <v>110463.284</v>
      </c>
      <c r="W340">
        <v>244259.15700000001</v>
      </c>
      <c r="X340">
        <v>222038.43799999999</v>
      </c>
      <c r="Y340">
        <v>2346998.7119999998</v>
      </c>
      <c r="Z340">
        <v>113734.86900000001</v>
      </c>
      <c r="AA340">
        <v>1476071.67</v>
      </c>
      <c r="AB340">
        <v>393361.98</v>
      </c>
      <c r="AC340">
        <v>180553.42499999999</v>
      </c>
      <c r="AD340">
        <v>62170.366999999998</v>
      </c>
      <c r="AE340">
        <v>6304797.6490000002</v>
      </c>
      <c r="AF340">
        <v>1817151.05</v>
      </c>
      <c r="AG340">
        <v>291045.71399999998</v>
      </c>
      <c r="AH340">
        <v>20097680.989</v>
      </c>
      <c r="AI340">
        <v>3030323.49</v>
      </c>
      <c r="AJ340">
        <v>593930.14</v>
      </c>
      <c r="AK340">
        <v>11092167.492000001</v>
      </c>
      <c r="AL340">
        <v>6006407.9670000002</v>
      </c>
      <c r="AM340">
        <v>40591.684999999998</v>
      </c>
      <c r="AN340">
        <v>3967637.588</v>
      </c>
      <c r="AO340">
        <v>173954.48800000001</v>
      </c>
      <c r="AP340">
        <v>75049.464999999997</v>
      </c>
      <c r="AQ340">
        <v>664315.43299999996</v>
      </c>
      <c r="AR340">
        <v>24519.221000000001</v>
      </c>
      <c r="AS340">
        <v>3689.0120000000002</v>
      </c>
      <c r="AT340">
        <v>0</v>
      </c>
      <c r="AU340">
        <v>80717.846000000005</v>
      </c>
      <c r="AV340">
        <v>74732.164000000004</v>
      </c>
      <c r="AW340">
        <v>116679.07799999999</v>
      </c>
      <c r="AX340">
        <v>248824.209</v>
      </c>
      <c r="AY340">
        <v>55602.154000000002</v>
      </c>
      <c r="AZ340">
        <v>358538.179</v>
      </c>
      <c r="BA340">
        <v>181746.47</v>
      </c>
      <c r="BB340">
        <v>62246.527000000002</v>
      </c>
      <c r="BC340">
        <v>26129.442999999999</v>
      </c>
      <c r="BD340">
        <v>404998.92300000001</v>
      </c>
      <c r="BE340">
        <v>15839.816999999999</v>
      </c>
      <c r="BF340">
        <v>15839.816999999999</v>
      </c>
      <c r="BG340">
        <v>133760.20000000001</v>
      </c>
      <c r="BH340">
        <v>358370.02600000001</v>
      </c>
      <c r="BI340">
        <v>11876.442999999999</v>
      </c>
      <c r="BJ340" s="21"/>
    </row>
    <row r="341" spans="1:62" x14ac:dyDescent="0.25">
      <c r="BJ341" s="21"/>
    </row>
    <row r="342" spans="1:62" ht="15.6" x14ac:dyDescent="0.3">
      <c r="A342" s="5" t="s">
        <v>607</v>
      </c>
      <c r="E342">
        <f t="shared" ref="E342:AW342" si="0">SUM(E7:E339)-E340</f>
        <v>0</v>
      </c>
      <c r="F342">
        <f t="shared" si="0"/>
        <v>0</v>
      </c>
      <c r="G342">
        <f t="shared" si="0"/>
        <v>0</v>
      </c>
      <c r="H342">
        <f t="shared" si="0"/>
        <v>0</v>
      </c>
      <c r="I342">
        <f t="shared" si="0"/>
        <v>0</v>
      </c>
      <c r="J342">
        <f t="shared" si="0"/>
        <v>0</v>
      </c>
      <c r="K342">
        <f t="shared" si="0"/>
        <v>0</v>
      </c>
      <c r="L342">
        <f t="shared" si="0"/>
        <v>0</v>
      </c>
      <c r="M342">
        <f t="shared" si="0"/>
        <v>0</v>
      </c>
      <c r="N342">
        <f t="shared" si="0"/>
        <v>0</v>
      </c>
      <c r="O342">
        <f t="shared" si="0"/>
        <v>0</v>
      </c>
      <c r="P342">
        <f t="shared" si="0"/>
        <v>0</v>
      </c>
      <c r="Q342">
        <f t="shared" si="0"/>
        <v>0</v>
      </c>
      <c r="R342">
        <f t="shared" si="0"/>
        <v>0</v>
      </c>
      <c r="S342">
        <f t="shared" si="0"/>
        <v>0</v>
      </c>
      <c r="T342">
        <f t="shared" si="0"/>
        <v>0</v>
      </c>
      <c r="U342">
        <f t="shared" si="0"/>
        <v>0</v>
      </c>
      <c r="V342">
        <f t="shared" si="0"/>
        <v>0</v>
      </c>
      <c r="W342">
        <f t="shared" si="0"/>
        <v>0</v>
      </c>
      <c r="X342">
        <f t="shared" si="0"/>
        <v>0</v>
      </c>
      <c r="Y342">
        <f t="shared" si="0"/>
        <v>0</v>
      </c>
      <c r="Z342">
        <f t="shared" si="0"/>
        <v>0</v>
      </c>
      <c r="AA342">
        <f t="shared" si="0"/>
        <v>0</v>
      </c>
      <c r="AB342">
        <f t="shared" si="0"/>
        <v>0</v>
      </c>
      <c r="AC342">
        <f t="shared" si="0"/>
        <v>0</v>
      </c>
      <c r="AD342">
        <f t="shared" si="0"/>
        <v>0</v>
      </c>
      <c r="AE342">
        <f t="shared" si="0"/>
        <v>0</v>
      </c>
      <c r="AF342">
        <f t="shared" si="0"/>
        <v>0</v>
      </c>
      <c r="AG342">
        <f t="shared" si="0"/>
        <v>0</v>
      </c>
      <c r="AH342">
        <f t="shared" si="0"/>
        <v>0</v>
      </c>
      <c r="AI342">
        <f t="shared" si="0"/>
        <v>0</v>
      </c>
      <c r="AJ342">
        <f t="shared" si="0"/>
        <v>0</v>
      </c>
      <c r="AK342">
        <f t="shared" si="0"/>
        <v>0</v>
      </c>
      <c r="AL342">
        <f t="shared" si="0"/>
        <v>0</v>
      </c>
      <c r="AM342">
        <f>SUM(AM7:AM339)-AM340</f>
        <v>0</v>
      </c>
      <c r="AN342">
        <f>SUM(AN7:AN339)-AN340</f>
        <v>0</v>
      </c>
      <c r="AO342">
        <f>SUM(AO7:AO339)-AO340</f>
        <v>0</v>
      </c>
      <c r="AP342">
        <f t="shared" si="0"/>
        <v>0</v>
      </c>
      <c r="AQ342">
        <f t="shared" si="0"/>
        <v>0</v>
      </c>
      <c r="AR342">
        <f t="shared" si="0"/>
        <v>0</v>
      </c>
      <c r="AS342">
        <f t="shared" si="0"/>
        <v>0</v>
      </c>
      <c r="AT342">
        <f t="shared" si="0"/>
        <v>0</v>
      </c>
      <c r="AU342">
        <f t="shared" si="0"/>
        <v>0</v>
      </c>
      <c r="AV342">
        <f t="shared" si="0"/>
        <v>0</v>
      </c>
      <c r="AW342">
        <f t="shared" si="0"/>
        <v>0</v>
      </c>
      <c r="AX342">
        <f>SUM(AX7:AX339)-AX340</f>
        <v>0</v>
      </c>
      <c r="AY342">
        <f t="shared" ref="AY342:BI342" si="1">SUM(AY7:AY339)-AY340</f>
        <v>0</v>
      </c>
      <c r="AZ342">
        <f t="shared" si="1"/>
        <v>0</v>
      </c>
      <c r="BA342">
        <f t="shared" si="1"/>
        <v>0</v>
      </c>
      <c r="BB342">
        <f t="shared" si="1"/>
        <v>0</v>
      </c>
      <c r="BC342">
        <f t="shared" si="1"/>
        <v>0</v>
      </c>
      <c r="BD342">
        <f t="shared" si="1"/>
        <v>0</v>
      </c>
      <c r="BE342">
        <f t="shared" si="1"/>
        <v>0</v>
      </c>
      <c r="BF342">
        <f t="shared" si="1"/>
        <v>0</v>
      </c>
      <c r="BG342">
        <f t="shared" si="1"/>
        <v>0</v>
      </c>
      <c r="BH342">
        <f t="shared" si="1"/>
        <v>0</v>
      </c>
      <c r="BI342">
        <f t="shared" si="1"/>
        <v>0</v>
      </c>
      <c r="BJ342" s="21"/>
    </row>
    <row r="343" spans="1:62" x14ac:dyDescent="0.25">
      <c r="BJ343" s="21"/>
    </row>
    <row r="344" spans="1:62" x14ac:dyDescent="0.25">
      <c r="A344" t="s">
        <v>608</v>
      </c>
      <c r="D344">
        <v>1</v>
      </c>
      <c r="E344" s="16">
        <f t="shared" ref="E344:AW344" si="2">SUMIF($D$6:$D$338,$D$344,E6:E338)</f>
        <v>946501.35099999991</v>
      </c>
      <c r="F344" s="16">
        <f t="shared" si="2"/>
        <v>164399.78199999998</v>
      </c>
      <c r="G344" s="16">
        <f t="shared" si="2"/>
        <v>42676.328000000001</v>
      </c>
      <c r="H344" s="16">
        <f t="shared" si="2"/>
        <v>21200.335000000003</v>
      </c>
      <c r="I344" s="16">
        <f t="shared" si="2"/>
        <v>10487.434999999999</v>
      </c>
      <c r="J344" s="16">
        <f t="shared" si="2"/>
        <v>27902.041000000001</v>
      </c>
      <c r="K344" s="16">
        <f t="shared" si="2"/>
        <v>2695.413</v>
      </c>
      <c r="L344" s="16">
        <f t="shared" si="2"/>
        <v>1738186.0090000003</v>
      </c>
      <c r="M344" s="16">
        <f t="shared" si="2"/>
        <v>151259.03</v>
      </c>
      <c r="N344" s="16">
        <f>SUMIF($D$6:$D$338,$D$344,N6:N338)</f>
        <v>5741.4309999999996</v>
      </c>
      <c r="O344" s="16">
        <f t="shared" si="2"/>
        <v>10088.327000000001</v>
      </c>
      <c r="P344" s="16">
        <f t="shared" si="2"/>
        <v>1000.732</v>
      </c>
      <c r="Q344" s="16">
        <f t="shared" si="2"/>
        <v>6027.7699999999995</v>
      </c>
      <c r="R344" s="16">
        <f t="shared" si="2"/>
        <v>2475.5409999999997</v>
      </c>
      <c r="S344" s="16">
        <f t="shared" si="2"/>
        <v>49836.197</v>
      </c>
      <c r="T344" s="16">
        <f t="shared" si="2"/>
        <v>33.933</v>
      </c>
      <c r="U344" s="16">
        <f t="shared" si="2"/>
        <v>2369.71</v>
      </c>
      <c r="V344" s="16">
        <f t="shared" si="2"/>
        <v>6337.8670000000002</v>
      </c>
      <c r="W344" s="16">
        <f t="shared" si="2"/>
        <v>23625.445</v>
      </c>
      <c r="X344" s="16">
        <f t="shared" si="2"/>
        <v>56022.028999999995</v>
      </c>
      <c r="Y344" s="16">
        <f t="shared" si="2"/>
        <v>394175.03900000005</v>
      </c>
      <c r="Z344" s="16">
        <f t="shared" si="2"/>
        <v>68200.036999999997</v>
      </c>
      <c r="AA344" s="16">
        <f t="shared" si="2"/>
        <v>92851.576000000001</v>
      </c>
      <c r="AB344" s="16">
        <f t="shared" si="2"/>
        <v>320075.946</v>
      </c>
      <c r="AC344" s="16">
        <f t="shared" si="2"/>
        <v>30790.321999999996</v>
      </c>
      <c r="AD344" s="16">
        <f t="shared" si="2"/>
        <v>18862.722000000002</v>
      </c>
      <c r="AE344" s="16">
        <f t="shared" si="2"/>
        <v>1107912.6869999997</v>
      </c>
      <c r="AF344" s="16">
        <f t="shared" si="2"/>
        <v>551849.83200000005</v>
      </c>
      <c r="AG344" s="16">
        <f t="shared" si="2"/>
        <v>99694.3</v>
      </c>
      <c r="AH344" s="16">
        <f t="shared" si="2"/>
        <v>2966396.3990000002</v>
      </c>
      <c r="AI344" s="16">
        <f t="shared" si="2"/>
        <v>834859.57499999995</v>
      </c>
      <c r="AJ344" s="16">
        <f t="shared" si="2"/>
        <v>345485.60300000006</v>
      </c>
      <c r="AK344" s="16">
        <f t="shared" si="2"/>
        <v>8158735.9529999997</v>
      </c>
      <c r="AL344" s="16">
        <f t="shared" si="2"/>
        <v>4415994.4839999992</v>
      </c>
      <c r="AM344" s="16">
        <f>SUMIF($D$6:$D$338,$D$344,AM6:AM338)</f>
        <v>341.22200000000004</v>
      </c>
      <c r="AN344" s="16">
        <f>SUMIF($D$6:$D$338,$D$344,AN6:AN338)</f>
        <v>2917982.9559999998</v>
      </c>
      <c r="AO344" s="16">
        <f>SUMIF($D$6:$D$338,$D$344,AO6:AO338)</f>
        <v>32736.824000000004</v>
      </c>
      <c r="AP344" s="16">
        <f t="shared" si="2"/>
        <v>7064.1309999999994</v>
      </c>
      <c r="AQ344" s="16">
        <f t="shared" si="2"/>
        <v>200545.86</v>
      </c>
      <c r="AR344" s="16">
        <f t="shared" si="2"/>
        <v>2706.703</v>
      </c>
      <c r="AS344" s="16">
        <f t="shared" si="2"/>
        <v>612.69099999999992</v>
      </c>
      <c r="AT344" s="16">
        <f t="shared" si="2"/>
        <v>0</v>
      </c>
      <c r="AU344" s="16">
        <f t="shared" si="2"/>
        <v>12650.709000000001</v>
      </c>
      <c r="AV344" s="16">
        <f t="shared" si="2"/>
        <v>7719.4979999999996</v>
      </c>
      <c r="AW344" s="16">
        <f t="shared" si="2"/>
        <v>13989.874</v>
      </c>
      <c r="AX344" s="16">
        <f>SUMIF($D$6:$D$338,$D$344,AX6:AX338)</f>
        <v>63071.78899999999</v>
      </c>
      <c r="AY344" s="16">
        <f t="shared" ref="AY344:BI344" si="3">SUMIF($D$6:$D$338,$D$344,AY6:AY338)</f>
        <v>3611.1800000000003</v>
      </c>
      <c r="AZ344" s="16">
        <f t="shared" si="3"/>
        <v>25193.383000000002</v>
      </c>
      <c r="BA344" s="16">
        <f t="shared" si="3"/>
        <v>45889.082000000002</v>
      </c>
      <c r="BB344" s="16">
        <f t="shared" si="3"/>
        <v>11894.331999999999</v>
      </c>
      <c r="BC344" s="16">
        <f t="shared" si="3"/>
        <v>1518.451</v>
      </c>
      <c r="BD344" s="16">
        <f t="shared" si="3"/>
        <v>23693.635000000002</v>
      </c>
      <c r="BE344" s="16">
        <f t="shared" si="3"/>
        <v>3007.8180000000002</v>
      </c>
      <c r="BF344" s="16">
        <f t="shared" si="3"/>
        <v>3007.8180000000002</v>
      </c>
      <c r="BG344" s="16">
        <f t="shared" si="3"/>
        <v>7398.2950000000001</v>
      </c>
      <c r="BH344" s="16">
        <f t="shared" si="3"/>
        <v>213993.41199999998</v>
      </c>
      <c r="BI344" s="16">
        <f t="shared" si="3"/>
        <v>847.85</v>
      </c>
      <c r="BJ344" s="21"/>
    </row>
    <row r="345" spans="1:62" x14ac:dyDescent="0.25">
      <c r="A345" t="s">
        <v>609</v>
      </c>
      <c r="D345">
        <v>2</v>
      </c>
      <c r="E345" s="16">
        <f t="shared" ref="E345:AW345" si="4">SUMIF($D$6:$D$338,$D$345,E6:E338)</f>
        <v>2054588.841</v>
      </c>
      <c r="F345" s="16">
        <f t="shared" si="4"/>
        <v>176713.785</v>
      </c>
      <c r="G345" s="16">
        <f t="shared" si="4"/>
        <v>347457.772</v>
      </c>
      <c r="H345" s="16">
        <f t="shared" si="4"/>
        <v>0</v>
      </c>
      <c r="I345" s="16">
        <f t="shared" si="4"/>
        <v>50404.667999999998</v>
      </c>
      <c r="J345" s="16">
        <f t="shared" si="4"/>
        <v>237993.296</v>
      </c>
      <c r="K345" s="16">
        <f t="shared" si="4"/>
        <v>182642.28999999998</v>
      </c>
      <c r="L345" s="16">
        <f t="shared" si="4"/>
        <v>858100.01099999994</v>
      </c>
      <c r="M345" s="16">
        <f t="shared" si="4"/>
        <v>602181.74400000006</v>
      </c>
      <c r="N345" s="16">
        <f>SUMIF($D$6:$D$338,$D$345,N6:N338)</f>
        <v>7139.1660000000002</v>
      </c>
      <c r="O345" s="16">
        <f t="shared" si="4"/>
        <v>158.93899999999999</v>
      </c>
      <c r="P345" s="16">
        <f t="shared" si="4"/>
        <v>15580.154</v>
      </c>
      <c r="Q345" s="16">
        <f t="shared" si="4"/>
        <v>1976.0129999999999</v>
      </c>
      <c r="R345" s="16">
        <f t="shared" si="4"/>
        <v>3426.8599999999997</v>
      </c>
      <c r="S345" s="16">
        <f t="shared" si="4"/>
        <v>54343.878999999994</v>
      </c>
      <c r="T345" s="16">
        <f t="shared" si="4"/>
        <v>962.95399999999995</v>
      </c>
      <c r="U345" s="16">
        <f t="shared" si="4"/>
        <v>143845.753</v>
      </c>
      <c r="V345" s="16">
        <f t="shared" si="4"/>
        <v>28929.235000000001</v>
      </c>
      <c r="W345" s="16">
        <f t="shared" si="4"/>
        <v>53329.692000000003</v>
      </c>
      <c r="X345" s="16">
        <f t="shared" si="4"/>
        <v>2119.2559999999999</v>
      </c>
      <c r="Y345" s="16">
        <f t="shared" si="4"/>
        <v>407637.22400000005</v>
      </c>
      <c r="Z345" s="16">
        <f t="shared" si="4"/>
        <v>209.477</v>
      </c>
      <c r="AA345" s="16">
        <f t="shared" si="4"/>
        <v>517446.32300000003</v>
      </c>
      <c r="AB345" s="16">
        <f t="shared" si="4"/>
        <v>3408.616</v>
      </c>
      <c r="AC345" s="16">
        <f t="shared" si="4"/>
        <v>26302.142999999996</v>
      </c>
      <c r="AD345" s="16">
        <f t="shared" si="4"/>
        <v>10486.119000000001</v>
      </c>
      <c r="AE345" s="16">
        <f t="shared" si="4"/>
        <v>1015448.576</v>
      </c>
      <c r="AF345" s="16">
        <f t="shared" si="4"/>
        <v>99494.328999999998</v>
      </c>
      <c r="AG345" s="16">
        <f t="shared" si="4"/>
        <v>39135.386999999995</v>
      </c>
      <c r="AH345" s="16">
        <f t="shared" si="4"/>
        <v>2634616.8469999996</v>
      </c>
      <c r="AI345" s="16">
        <f t="shared" si="4"/>
        <v>151602.78</v>
      </c>
      <c r="AJ345" s="16">
        <f t="shared" si="4"/>
        <v>448.54</v>
      </c>
      <c r="AK345" s="16">
        <f t="shared" si="4"/>
        <v>795997.98499999999</v>
      </c>
      <c r="AL345" s="16">
        <f t="shared" si="4"/>
        <v>431626.951</v>
      </c>
      <c r="AM345" s="16">
        <f>SUMIF($D$6:$D$338,$D$345,AM6:AM338)</f>
        <v>31089.601999999999</v>
      </c>
      <c r="AN345" s="16">
        <f>SUMIF($D$6:$D$338,$D$345,AN6:AN338)</f>
        <v>285059.18</v>
      </c>
      <c r="AO345" s="16">
        <f>SUMIF($D$6:$D$338,$D$345,AO6:AO338)</f>
        <v>29244.285999999996</v>
      </c>
      <c r="AP345" s="16">
        <f t="shared" si="4"/>
        <v>0</v>
      </c>
      <c r="AQ345" s="16">
        <f t="shared" si="4"/>
        <v>36940.867999999995</v>
      </c>
      <c r="AR345" s="16">
        <f t="shared" si="4"/>
        <v>0</v>
      </c>
      <c r="AS345" s="16">
        <f t="shared" si="4"/>
        <v>1259.7050000000002</v>
      </c>
      <c r="AT345" s="16">
        <f t="shared" si="4"/>
        <v>0</v>
      </c>
      <c r="AU345" s="16">
        <f t="shared" si="4"/>
        <v>30510.168000000001</v>
      </c>
      <c r="AV345" s="16">
        <f t="shared" si="4"/>
        <v>0</v>
      </c>
      <c r="AW345" s="16">
        <f t="shared" si="4"/>
        <v>0</v>
      </c>
      <c r="AX345" s="16">
        <f>SUMIF($D$6:$D$338,$D$345,AX6:AX338)</f>
        <v>2371.7730000000001</v>
      </c>
      <c r="AY345" s="16">
        <f t="shared" ref="AY345:BI345" si="5">SUMIF($D$6:$D$338,$D$345,AY6:AY338)</f>
        <v>13582.348000000002</v>
      </c>
      <c r="AZ345" s="16">
        <f t="shared" si="5"/>
        <v>910.88300000000004</v>
      </c>
      <c r="BA345" s="16">
        <f t="shared" si="5"/>
        <v>1733.9559999999999</v>
      </c>
      <c r="BB345" s="16">
        <f t="shared" si="5"/>
        <v>10812.885</v>
      </c>
      <c r="BC345" s="16">
        <f t="shared" si="5"/>
        <v>7216.4130000000005</v>
      </c>
      <c r="BD345" s="16">
        <f t="shared" si="5"/>
        <v>1107.9290000000001</v>
      </c>
      <c r="BE345" s="16">
        <f t="shared" si="5"/>
        <v>2649.0189999999998</v>
      </c>
      <c r="BF345" s="16">
        <f t="shared" si="5"/>
        <v>2649.0189999999998</v>
      </c>
      <c r="BG345" s="16">
        <f t="shared" si="5"/>
        <v>367.36</v>
      </c>
      <c r="BH345" s="16">
        <f t="shared" si="5"/>
        <v>26471.892</v>
      </c>
      <c r="BI345" s="16">
        <f t="shared" si="5"/>
        <v>2920.4850000000001</v>
      </c>
      <c r="BJ345" s="21"/>
    </row>
    <row r="346" spans="1:62" x14ac:dyDescent="0.25">
      <c r="A346" t="s">
        <v>610</v>
      </c>
      <c r="D346">
        <v>3</v>
      </c>
      <c r="E346" s="16">
        <f t="shared" ref="E346:AW346" si="6">SUMIF($D$6:$D$338,$D$346,E6:E338)</f>
        <v>1906279.7490000003</v>
      </c>
      <c r="F346" s="16">
        <f t="shared" si="6"/>
        <v>269516.52100000007</v>
      </c>
      <c r="G346" s="16">
        <f t="shared" si="6"/>
        <v>445941.87100000004</v>
      </c>
      <c r="H346" s="16">
        <f t="shared" si="6"/>
        <v>56754.563000000002</v>
      </c>
      <c r="I346" s="16">
        <f t="shared" si="6"/>
        <v>42611.974999999999</v>
      </c>
      <c r="J346" s="16">
        <f t="shared" si="6"/>
        <v>306744.06</v>
      </c>
      <c r="K346" s="16">
        <f t="shared" si="6"/>
        <v>38763.072</v>
      </c>
      <c r="L346" s="16">
        <f t="shared" si="6"/>
        <v>883258.8110000001</v>
      </c>
      <c r="M346" s="16">
        <f t="shared" si="6"/>
        <v>1040895.7120000001</v>
      </c>
      <c r="N346" s="16">
        <f>SUMIF($D$6:$D$338,$D$346,N6:N338)</f>
        <v>2263.7559999999999</v>
      </c>
      <c r="O346" s="16">
        <f t="shared" si="6"/>
        <v>0</v>
      </c>
      <c r="P346" s="16">
        <f t="shared" si="6"/>
        <v>50.064</v>
      </c>
      <c r="Q346" s="16">
        <f t="shared" si="6"/>
        <v>3959.2729999999997</v>
      </c>
      <c r="R346" s="16">
        <f t="shared" si="6"/>
        <v>11481.699999999999</v>
      </c>
      <c r="S346" s="16">
        <f t="shared" si="6"/>
        <v>111514.21700000002</v>
      </c>
      <c r="T346" s="16">
        <f t="shared" si="6"/>
        <v>0</v>
      </c>
      <c r="U346" s="16">
        <f t="shared" si="6"/>
        <v>30529.093000000001</v>
      </c>
      <c r="V346" s="16">
        <f t="shared" si="6"/>
        <v>55248.551999999996</v>
      </c>
      <c r="W346" s="16">
        <f t="shared" si="6"/>
        <v>87909.59600000002</v>
      </c>
      <c r="X346" s="16">
        <f t="shared" si="6"/>
        <v>0</v>
      </c>
      <c r="Y346" s="16">
        <f t="shared" si="6"/>
        <v>317819.36900000001</v>
      </c>
      <c r="Z346" s="16">
        <f t="shared" si="6"/>
        <v>8186.7960000000003</v>
      </c>
      <c r="AA346" s="16">
        <f t="shared" si="6"/>
        <v>696951.05899999989</v>
      </c>
      <c r="AB346" s="16">
        <f t="shared" si="6"/>
        <v>0</v>
      </c>
      <c r="AC346" s="16">
        <f t="shared" si="6"/>
        <v>49270.364999999998</v>
      </c>
      <c r="AD346" s="16">
        <f t="shared" si="6"/>
        <v>13512.092000000001</v>
      </c>
      <c r="AE346" s="16">
        <f t="shared" si="6"/>
        <v>652361.6860000001</v>
      </c>
      <c r="AF346" s="16">
        <f t="shared" si="6"/>
        <v>20502.672999999999</v>
      </c>
      <c r="AG346" s="16">
        <f t="shared" si="6"/>
        <v>53981.97</v>
      </c>
      <c r="AH346" s="16">
        <f t="shared" si="6"/>
        <v>2212392.3359999997</v>
      </c>
      <c r="AI346" s="16">
        <f t="shared" si="6"/>
        <v>33882.081999999995</v>
      </c>
      <c r="AJ346" s="16">
        <f t="shared" si="6"/>
        <v>42001.868000000002</v>
      </c>
      <c r="AK346" s="16">
        <f t="shared" si="6"/>
        <v>0</v>
      </c>
      <c r="AL346" s="16">
        <f t="shared" si="6"/>
        <v>0</v>
      </c>
      <c r="AM346" s="16">
        <f>SUMIF($D$6:$D$338,$D$346,AM6:AM338)</f>
        <v>6598.2989999999991</v>
      </c>
      <c r="AN346" s="16">
        <f>SUMIF($D$6:$D$338,$D$346,AN6:AN338)</f>
        <v>0</v>
      </c>
      <c r="AO346" s="16">
        <f>SUMIF($D$6:$D$338,$D$346,AO6:AO338)</f>
        <v>53379.938999999984</v>
      </c>
      <c r="AP346" s="16">
        <f t="shared" si="6"/>
        <v>0</v>
      </c>
      <c r="AQ346" s="16">
        <f t="shared" si="6"/>
        <v>7439.1230000000005</v>
      </c>
      <c r="AR346" s="16">
        <f t="shared" si="6"/>
        <v>0</v>
      </c>
      <c r="AS346" s="16">
        <f t="shared" si="6"/>
        <v>824.48500000000013</v>
      </c>
      <c r="AT346" s="16">
        <f t="shared" si="6"/>
        <v>0</v>
      </c>
      <c r="AU346" s="16">
        <f t="shared" si="6"/>
        <v>25530.54</v>
      </c>
      <c r="AV346" s="16">
        <f t="shared" si="6"/>
        <v>0</v>
      </c>
      <c r="AW346" s="16">
        <f t="shared" si="6"/>
        <v>0</v>
      </c>
      <c r="AX346" s="16">
        <f>SUMIF($D$6:$D$338,$D$346,AX6:AX338)</f>
        <v>0</v>
      </c>
      <c r="AY346" s="16">
        <f t="shared" ref="AY346:BI346" si="7">SUMIF($D$6:$D$338,$D$346,AY6:AY338)</f>
        <v>26157.440999999995</v>
      </c>
      <c r="AZ346" s="16">
        <f t="shared" si="7"/>
        <v>8648.0400000000009</v>
      </c>
      <c r="BA346" s="16">
        <f t="shared" si="7"/>
        <v>0</v>
      </c>
      <c r="BB346" s="16">
        <f t="shared" si="7"/>
        <v>18878.721000000001</v>
      </c>
      <c r="BC346" s="16">
        <f t="shared" si="7"/>
        <v>16304.761000000004</v>
      </c>
      <c r="BD346" s="16">
        <f t="shared" si="7"/>
        <v>10518.812</v>
      </c>
      <c r="BE346" s="16">
        <f t="shared" si="7"/>
        <v>4855.7949999999992</v>
      </c>
      <c r="BF346" s="16">
        <f t="shared" si="7"/>
        <v>4855.7949999999992</v>
      </c>
      <c r="BG346" s="16">
        <f t="shared" si="7"/>
        <v>3487.7610000000004</v>
      </c>
      <c r="BH346" s="16">
        <f t="shared" si="7"/>
        <v>26307.936000000002</v>
      </c>
      <c r="BI346" s="16">
        <f t="shared" si="7"/>
        <v>7599.8270000000002</v>
      </c>
      <c r="BJ346" s="21"/>
    </row>
    <row r="347" spans="1:62" x14ac:dyDescent="0.25">
      <c r="A347" t="s">
        <v>611</v>
      </c>
      <c r="B347">
        <v>7</v>
      </c>
      <c r="D347">
        <v>4</v>
      </c>
      <c r="E347" s="16">
        <f t="shared" ref="E347:AW347" si="8">SUMIF($D$6:$D$338,$D$347,E6:E338)</f>
        <v>1446389.1170000003</v>
      </c>
      <c r="F347" s="16">
        <f t="shared" si="8"/>
        <v>298748.35999999993</v>
      </c>
      <c r="G347" s="16">
        <f t="shared" si="8"/>
        <v>589.85599999999999</v>
      </c>
      <c r="H347" s="16">
        <f t="shared" si="8"/>
        <v>44486.239000000001</v>
      </c>
      <c r="I347" s="16">
        <f t="shared" si="8"/>
        <v>8864.1229999999996</v>
      </c>
      <c r="J347" s="16">
        <f t="shared" si="8"/>
        <v>356.97</v>
      </c>
      <c r="K347" s="16">
        <f t="shared" si="8"/>
        <v>0</v>
      </c>
      <c r="L347" s="16">
        <f t="shared" si="8"/>
        <v>3472902.6310000001</v>
      </c>
      <c r="M347" s="16">
        <f t="shared" si="8"/>
        <v>197001.41499999998</v>
      </c>
      <c r="N347" s="16">
        <f>SUMIF($D$6:$D$338,$D$347,N6:N338)</f>
        <v>0</v>
      </c>
      <c r="O347" s="16">
        <f t="shared" si="8"/>
        <v>2397.5660000000003</v>
      </c>
      <c r="P347" s="16">
        <f t="shared" si="8"/>
        <v>32.495999999999995</v>
      </c>
      <c r="Q347" s="16">
        <f t="shared" si="8"/>
        <v>976.69200000000001</v>
      </c>
      <c r="R347" s="16">
        <f t="shared" si="8"/>
        <v>95.278999999999996</v>
      </c>
      <c r="S347" s="16">
        <f t="shared" si="8"/>
        <v>94066.308000000034</v>
      </c>
      <c r="T347" s="16">
        <f t="shared" si="8"/>
        <v>0</v>
      </c>
      <c r="U347" s="16">
        <f t="shared" si="8"/>
        <v>0</v>
      </c>
      <c r="V347" s="16">
        <f t="shared" si="8"/>
        <v>72.426000000000002</v>
      </c>
      <c r="W347" s="16">
        <f t="shared" si="8"/>
        <v>30468.043000000001</v>
      </c>
      <c r="X347" s="16">
        <f t="shared" si="8"/>
        <v>172857.21</v>
      </c>
      <c r="Y347" s="16">
        <f t="shared" si="8"/>
        <v>686196.31900000002</v>
      </c>
      <c r="Z347" s="16">
        <f t="shared" si="8"/>
        <v>38268.439000000006</v>
      </c>
      <c r="AA347" s="16">
        <f t="shared" si="8"/>
        <v>918.50299999999993</v>
      </c>
      <c r="AB347" s="16">
        <f t="shared" si="8"/>
        <v>66909.007999999987</v>
      </c>
      <c r="AC347" s="16">
        <f t="shared" si="8"/>
        <v>55104.955999999998</v>
      </c>
      <c r="AD347" s="16">
        <f t="shared" si="8"/>
        <v>19112.548000000003</v>
      </c>
      <c r="AE347" s="16">
        <f t="shared" si="8"/>
        <v>1720093.8079999995</v>
      </c>
      <c r="AF347" s="16">
        <f t="shared" si="8"/>
        <v>1115375.1090000002</v>
      </c>
      <c r="AG347" s="16">
        <f t="shared" si="8"/>
        <v>86203.14</v>
      </c>
      <c r="AH347" s="16">
        <f t="shared" si="8"/>
        <v>6005067.6809999989</v>
      </c>
      <c r="AI347" s="16">
        <f t="shared" si="8"/>
        <v>1816204.2050000001</v>
      </c>
      <c r="AJ347" s="16">
        <f t="shared" si="8"/>
        <v>213053.30000000002</v>
      </c>
      <c r="AK347" s="16">
        <f t="shared" si="8"/>
        <v>2295078.12</v>
      </c>
      <c r="AL347" s="16">
        <f t="shared" si="8"/>
        <v>1244497.5889999999</v>
      </c>
      <c r="AM347" s="16">
        <f>SUMIF($D$6:$D$338,$D$347,AM6:AM338)</f>
        <v>0</v>
      </c>
      <c r="AN347" s="16">
        <f>SUMIF($D$6:$D$338,$D$347,AN6:AN338)</f>
        <v>821902.94500000007</v>
      </c>
      <c r="AO347" s="16">
        <f>SUMIF($D$6:$D$338,$D$347,AO6:AO338)</f>
        <v>55611.791999999994</v>
      </c>
      <c r="AP347" s="16">
        <f t="shared" si="8"/>
        <v>67982.114000000001</v>
      </c>
      <c r="AQ347" s="16">
        <f t="shared" si="8"/>
        <v>411464.45199999993</v>
      </c>
      <c r="AR347" s="16">
        <f t="shared" si="8"/>
        <v>21812.460999999999</v>
      </c>
      <c r="AS347" s="16">
        <f t="shared" si="8"/>
        <v>913.87400000000002</v>
      </c>
      <c r="AT347" s="16">
        <f t="shared" si="8"/>
        <v>0</v>
      </c>
      <c r="AU347" s="16">
        <f t="shared" si="8"/>
        <v>10376.907999999999</v>
      </c>
      <c r="AV347" s="16">
        <f t="shared" si="8"/>
        <v>66986.751000000004</v>
      </c>
      <c r="AW347" s="16">
        <f t="shared" si="8"/>
        <v>102644.731</v>
      </c>
      <c r="AX347" s="16">
        <f>SUMIF($D$6:$D$338,$D$347,AX6:AX338)</f>
        <v>193453.73699999999</v>
      </c>
      <c r="AY347" s="16">
        <f t="shared" ref="AY347:BI347" si="9">SUMIF($D$6:$D$338,$D$347,AY6:AY338)</f>
        <v>9828.6779999999999</v>
      </c>
      <c r="AZ347" s="16">
        <f t="shared" si="9"/>
        <v>302606.17900000006</v>
      </c>
      <c r="BA347" s="16">
        <f t="shared" si="9"/>
        <v>141430.20400000003</v>
      </c>
      <c r="BB347" s="16">
        <f t="shared" si="9"/>
        <v>19647.580999999998</v>
      </c>
      <c r="BC347" s="16">
        <f t="shared" si="9"/>
        <v>23.299000000000003</v>
      </c>
      <c r="BD347" s="16">
        <f t="shared" si="9"/>
        <v>343839.18600000005</v>
      </c>
      <c r="BE347" s="16">
        <f t="shared" si="9"/>
        <v>5078.0369999999984</v>
      </c>
      <c r="BF347" s="16">
        <f t="shared" si="9"/>
        <v>5078.0369999999984</v>
      </c>
      <c r="BG347" s="16">
        <f t="shared" si="9"/>
        <v>114008.01999999997</v>
      </c>
      <c r="BH347" s="16">
        <f t="shared" si="9"/>
        <v>95027.573000000004</v>
      </c>
      <c r="BI347" s="16">
        <f t="shared" si="9"/>
        <v>10.792</v>
      </c>
      <c r="BJ347" s="21"/>
    </row>
    <row r="348" spans="1:62" x14ac:dyDescent="0.25">
      <c r="A348" t="s">
        <v>612</v>
      </c>
      <c r="D348">
        <v>5</v>
      </c>
      <c r="E348" s="16">
        <f t="shared" ref="E348:AW348" si="10">SUMIF($D$6:$D$338,$D$348,E6:E338)</f>
        <v>721211.90700000001</v>
      </c>
      <c r="F348" s="16">
        <f t="shared" si="10"/>
        <v>30708.302</v>
      </c>
      <c r="G348" s="16">
        <f t="shared" si="10"/>
        <v>77651.373999999996</v>
      </c>
      <c r="H348" s="16">
        <f t="shared" si="10"/>
        <v>984621.79399999999</v>
      </c>
      <c r="I348" s="16">
        <f t="shared" si="10"/>
        <v>10818.438</v>
      </c>
      <c r="J348" s="16">
        <f t="shared" si="10"/>
        <v>72992.40800000001</v>
      </c>
      <c r="K348" s="16">
        <f t="shared" si="10"/>
        <v>17944.455000000002</v>
      </c>
      <c r="L348" s="16">
        <f t="shared" si="10"/>
        <v>408706.43299999984</v>
      </c>
      <c r="M348" s="16">
        <f t="shared" si="10"/>
        <v>374278.22499999998</v>
      </c>
      <c r="N348" s="16">
        <f>SUMIF($D$6:$D$338,$D$348,N6:N338)</f>
        <v>0</v>
      </c>
      <c r="O348" s="16">
        <f t="shared" si="10"/>
        <v>0</v>
      </c>
      <c r="P348" s="16">
        <f t="shared" si="10"/>
        <v>1872.9929999999997</v>
      </c>
      <c r="Q348" s="16">
        <f t="shared" si="10"/>
        <v>0</v>
      </c>
      <c r="R348" s="16">
        <f t="shared" si="10"/>
        <v>42.512</v>
      </c>
      <c r="S348" s="16">
        <f t="shared" si="10"/>
        <v>-5212.5519999999997</v>
      </c>
      <c r="T348" s="16">
        <f t="shared" si="10"/>
        <v>0</v>
      </c>
      <c r="U348" s="16">
        <f t="shared" si="10"/>
        <v>2631.7510000000002</v>
      </c>
      <c r="V348" s="16">
        <f t="shared" si="10"/>
        <v>12091.504000000001</v>
      </c>
      <c r="W348" s="16">
        <f t="shared" si="10"/>
        <v>29032.011999999999</v>
      </c>
      <c r="X348" s="16">
        <f t="shared" si="10"/>
        <v>0</v>
      </c>
      <c r="Y348" s="16">
        <f t="shared" si="10"/>
        <v>168566.788</v>
      </c>
      <c r="Z348" s="16">
        <f t="shared" si="10"/>
        <v>0</v>
      </c>
      <c r="AA348" s="16">
        <f t="shared" si="10"/>
        <v>59693.824000000001</v>
      </c>
      <c r="AB348" s="16">
        <f t="shared" si="10"/>
        <v>0</v>
      </c>
      <c r="AC348" s="16">
        <f t="shared" si="10"/>
        <v>6971.4029999999984</v>
      </c>
      <c r="AD348" s="16">
        <f t="shared" si="10"/>
        <v>0</v>
      </c>
      <c r="AE348" s="16">
        <f t="shared" si="10"/>
        <v>527265.91799999983</v>
      </c>
      <c r="AF348" s="16">
        <f t="shared" si="10"/>
        <v>-54472.563999999998</v>
      </c>
      <c r="AG348" s="16">
        <f t="shared" si="10"/>
        <v>11127.548000000001</v>
      </c>
      <c r="AH348" s="16">
        <f t="shared" si="10"/>
        <v>1553004.5249999999</v>
      </c>
      <c r="AI348" s="16">
        <f t="shared" si="10"/>
        <v>9091.656999999992</v>
      </c>
      <c r="AJ348" s="16">
        <f t="shared" si="10"/>
        <v>12.201000000000001</v>
      </c>
      <c r="AK348" s="16">
        <f t="shared" si="10"/>
        <v>352.327</v>
      </c>
      <c r="AL348" s="16">
        <f t="shared" si="10"/>
        <v>114.30800000000001</v>
      </c>
      <c r="AM348" s="16">
        <f>SUMIF($D$6:$D$338,$D$348,AM6:AM338)</f>
        <v>717.46699999999998</v>
      </c>
      <c r="AN348" s="16">
        <f>SUMIF($D$6:$D$338,$D$348,AN6:AN338)</f>
        <v>113.077</v>
      </c>
      <c r="AO348" s="16">
        <f>SUMIF($D$6:$D$338,$D$348,AO6:AO338)</f>
        <v>-3361.366</v>
      </c>
      <c r="AP348" s="16">
        <f t="shared" si="10"/>
        <v>0</v>
      </c>
      <c r="AQ348" s="16">
        <f t="shared" si="10"/>
        <v>-12557.042000000001</v>
      </c>
      <c r="AR348" s="16">
        <f t="shared" si="10"/>
        <v>0</v>
      </c>
      <c r="AS348" s="16">
        <f t="shared" si="10"/>
        <v>-51.605000000000004</v>
      </c>
      <c r="AT348" s="16">
        <f t="shared" si="10"/>
        <v>0</v>
      </c>
      <c r="AU348" s="16">
        <f t="shared" si="10"/>
        <v>-323.55700000000002</v>
      </c>
      <c r="AV348" s="16">
        <f t="shared" si="10"/>
        <v>0</v>
      </c>
      <c r="AW348" s="16">
        <f t="shared" si="10"/>
        <v>0</v>
      </c>
      <c r="AX348" s="16">
        <f>SUMIF($D$6:$D$338,$D$348,AX6:AX338)</f>
        <v>0</v>
      </c>
      <c r="AY348" s="16">
        <f t="shared" ref="AY348:BI348" si="11">SUMIF($D$6:$D$338,$D$348,AY6:AY338)</f>
        <v>0</v>
      </c>
      <c r="AZ348" s="16">
        <f t="shared" si="11"/>
        <v>0</v>
      </c>
      <c r="BA348" s="16">
        <f t="shared" si="11"/>
        <v>0</v>
      </c>
      <c r="BB348" s="16">
        <f t="shared" si="11"/>
        <v>-1187.0250000000001</v>
      </c>
      <c r="BC348" s="16">
        <f t="shared" si="11"/>
        <v>0</v>
      </c>
      <c r="BD348" s="16">
        <f t="shared" si="11"/>
        <v>0</v>
      </c>
      <c r="BE348" s="16">
        <f t="shared" si="11"/>
        <v>-321.73399999999998</v>
      </c>
      <c r="BF348" s="16">
        <f t="shared" si="11"/>
        <v>-321.73399999999998</v>
      </c>
      <c r="BG348" s="16">
        <f t="shared" si="11"/>
        <v>0</v>
      </c>
      <c r="BH348" s="16">
        <f t="shared" si="11"/>
        <v>0</v>
      </c>
      <c r="BI348" s="16">
        <f t="shared" si="11"/>
        <v>0</v>
      </c>
      <c r="BJ348" s="21"/>
    </row>
    <row r="349" spans="1:62" x14ac:dyDescent="0.25">
      <c r="A349" t="s">
        <v>613</v>
      </c>
      <c r="B349">
        <v>7</v>
      </c>
      <c r="D349">
        <v>6</v>
      </c>
      <c r="E349" s="16">
        <f t="shared" ref="E349:AW349" si="12">SUMIF($D$6:$D$338,$D$349,E6:E338)+SUMIF($D$6:$D$338,$B$349,E6:E338)</f>
        <v>2014728.6280000003</v>
      </c>
      <c r="F349" s="16">
        <f t="shared" si="12"/>
        <v>77087.257999999987</v>
      </c>
      <c r="G349" s="16">
        <f t="shared" si="12"/>
        <v>75375.349000000017</v>
      </c>
      <c r="H349" s="16">
        <f t="shared" si="12"/>
        <v>16419.077999999998</v>
      </c>
      <c r="I349" s="16">
        <f t="shared" si="12"/>
        <v>11826.895000000002</v>
      </c>
      <c r="J349" s="16">
        <f t="shared" si="12"/>
        <v>49340.046999999991</v>
      </c>
      <c r="K349" s="16">
        <f t="shared" si="12"/>
        <v>11103.848999999998</v>
      </c>
      <c r="L349" s="16">
        <f t="shared" si="12"/>
        <v>2318592.9550000001</v>
      </c>
      <c r="M349" s="16">
        <f t="shared" si="12"/>
        <v>607779.9709999999</v>
      </c>
      <c r="N349" s="16">
        <f>SUMIF($D$6:$D$338,$D$349,N6:N338)+SUMIF($D$6:$D$338,$B$349,N6:N338)</f>
        <v>-0.33300000000000002</v>
      </c>
      <c r="O349" s="16">
        <f t="shared" si="12"/>
        <v>5.6319999999999917</v>
      </c>
      <c r="P349" s="16">
        <f t="shared" si="12"/>
        <v>1279.2549999999999</v>
      </c>
      <c r="Q349" s="16">
        <f t="shared" si="12"/>
        <v>155.44699999999997</v>
      </c>
      <c r="R349" s="16">
        <f t="shared" si="12"/>
        <v>837.28200000000004</v>
      </c>
      <c r="S349" s="16">
        <f t="shared" si="12"/>
        <v>15122.151</v>
      </c>
      <c r="T349" s="16">
        <f t="shared" si="12"/>
        <v>0</v>
      </c>
      <c r="U349" s="16">
        <f t="shared" si="12"/>
        <v>8750.1219999999994</v>
      </c>
      <c r="V349" s="16">
        <f t="shared" si="12"/>
        <v>7783.7000000000007</v>
      </c>
      <c r="W349" s="16">
        <f t="shared" si="12"/>
        <v>19894.368999999995</v>
      </c>
      <c r="X349" s="16">
        <f t="shared" si="12"/>
        <v>-8960.0570000000007</v>
      </c>
      <c r="Y349" s="16">
        <f t="shared" si="12"/>
        <v>372603.97300000006</v>
      </c>
      <c r="Z349" s="16">
        <f t="shared" si="12"/>
        <v>-1129.8800000000019</v>
      </c>
      <c r="AA349" s="16">
        <f t="shared" si="12"/>
        <v>108210.38499999998</v>
      </c>
      <c r="AB349" s="16">
        <f t="shared" si="12"/>
        <v>2968.4099999999994</v>
      </c>
      <c r="AC349" s="16">
        <f t="shared" si="12"/>
        <v>12114.236000000001</v>
      </c>
      <c r="AD349" s="16">
        <f t="shared" si="12"/>
        <v>196.88600000000017</v>
      </c>
      <c r="AE349" s="16">
        <f t="shared" si="12"/>
        <v>1281714.9739999997</v>
      </c>
      <c r="AF349" s="16">
        <f t="shared" si="12"/>
        <v>84401.671000000017</v>
      </c>
      <c r="AG349" s="16">
        <f t="shared" si="12"/>
        <v>903.3690000000023</v>
      </c>
      <c r="AH349" s="16">
        <f t="shared" si="12"/>
        <v>4726203.2010000004</v>
      </c>
      <c r="AI349" s="16">
        <f t="shared" si="12"/>
        <v>184683.19099999999</v>
      </c>
      <c r="AJ349" s="16">
        <f t="shared" si="12"/>
        <v>-7071.3719999999594</v>
      </c>
      <c r="AK349" s="16">
        <f t="shared" si="12"/>
        <v>-157996.89299999998</v>
      </c>
      <c r="AL349" s="16">
        <f t="shared" si="12"/>
        <v>-85825.364999999991</v>
      </c>
      <c r="AM349" s="16">
        <f>SUMIF($D$6:$D$338,$D$349,AM6:AM338)+SUMIF($D$6:$D$338,$B$349,AM6:AM338)</f>
        <v>1845.095</v>
      </c>
      <c r="AN349" s="16">
        <f>SUMIF($D$6:$D$338,$D$349,AN6:AN338)+SUMIF($D$6:$D$338,$B$349,AN6:AN338)</f>
        <v>-57420.57</v>
      </c>
      <c r="AO349" s="16">
        <f>SUMIF($D$6:$D$338,$D$349,AO6:AO338)+SUMIF($D$6:$D$338,$B$349,AO6:AO338)</f>
        <v>6343.0130000000008</v>
      </c>
      <c r="AP349" s="16">
        <f t="shared" si="12"/>
        <v>3.2199999999999989</v>
      </c>
      <c r="AQ349" s="16">
        <f t="shared" si="12"/>
        <v>20482.171999999999</v>
      </c>
      <c r="AR349" s="16">
        <f t="shared" si="12"/>
        <v>5.7000000000000384E-2</v>
      </c>
      <c r="AS349" s="16">
        <f t="shared" si="12"/>
        <v>129.86199999999999</v>
      </c>
      <c r="AT349" s="16">
        <f t="shared" si="12"/>
        <v>0</v>
      </c>
      <c r="AU349" s="16">
        <f t="shared" si="12"/>
        <v>1973.0779999999997</v>
      </c>
      <c r="AV349" s="16">
        <f t="shared" si="12"/>
        <v>25.914999999999999</v>
      </c>
      <c r="AW349" s="16">
        <f t="shared" si="12"/>
        <v>44.472999999999999</v>
      </c>
      <c r="AX349" s="16">
        <f>SUMIF($D$6:$D$338,$D$349,AX6:AX338)+SUMIF($D$6:$D$338,$B$349,AX6:AX338)</f>
        <v>-10073.089999999998</v>
      </c>
      <c r="AY349" s="16">
        <f t="shared" ref="AY349:BI349" si="13">SUMIF($D$6:$D$338,$D$349,AY6:AY338)+SUMIF($D$6:$D$338,$B$349,AY6:AY338)</f>
        <v>2422.5070000000001</v>
      </c>
      <c r="AZ349" s="16">
        <f t="shared" si="13"/>
        <v>21179.694</v>
      </c>
      <c r="BA349" s="16">
        <f t="shared" si="13"/>
        <v>-7306.771999999999</v>
      </c>
      <c r="BB349" s="16">
        <f t="shared" si="13"/>
        <v>2200.0329999999999</v>
      </c>
      <c r="BC349" s="16">
        <f t="shared" si="13"/>
        <v>1066.519</v>
      </c>
      <c r="BD349" s="16">
        <f t="shared" si="13"/>
        <v>25839.361000000001</v>
      </c>
      <c r="BE349" s="16">
        <f t="shared" si="13"/>
        <v>570.88199999999995</v>
      </c>
      <c r="BF349" s="16">
        <f t="shared" si="13"/>
        <v>570.88199999999995</v>
      </c>
      <c r="BG349" s="16">
        <f t="shared" si="13"/>
        <v>8498.764000000001</v>
      </c>
      <c r="BH349" s="16">
        <f t="shared" si="13"/>
        <v>-3430.7869999999948</v>
      </c>
      <c r="BI349" s="16">
        <f t="shared" si="13"/>
        <v>497.48899999999998</v>
      </c>
      <c r="BJ349" s="21"/>
    </row>
    <row r="350" spans="1:62" x14ac:dyDescent="0.25"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21"/>
    </row>
    <row r="351" spans="1:62" x14ac:dyDescent="0.25">
      <c r="E351">
        <f t="shared" ref="E351:M351" si="14">SUM(E344:E350)</f>
        <v>9089699.5930000003</v>
      </c>
      <c r="F351">
        <f t="shared" si="14"/>
        <v>1017174.0079999999</v>
      </c>
      <c r="G351">
        <f t="shared" si="14"/>
        <v>989692.55</v>
      </c>
      <c r="H351">
        <f t="shared" si="14"/>
        <v>1123482.0090000001</v>
      </c>
      <c r="I351">
        <f t="shared" si="14"/>
        <v>135013.53399999999</v>
      </c>
      <c r="J351">
        <f t="shared" si="14"/>
        <v>695328.82200000004</v>
      </c>
      <c r="K351">
        <f t="shared" si="14"/>
        <v>253149.07899999997</v>
      </c>
      <c r="L351" s="17">
        <f t="shared" si="14"/>
        <v>9679746.8500000015</v>
      </c>
      <c r="M351">
        <f t="shared" si="14"/>
        <v>2973396.0970000001</v>
      </c>
      <c r="N351">
        <f>SUM(N344:N350)</f>
        <v>15144.019999999999</v>
      </c>
      <c r="O351">
        <f t="shared" ref="O351:AL351" si="15">SUM(O344:O350)</f>
        <v>12650.464000000002</v>
      </c>
      <c r="P351">
        <f t="shared" si="15"/>
        <v>19815.693999999996</v>
      </c>
      <c r="Q351">
        <f t="shared" si="15"/>
        <v>13095.195</v>
      </c>
      <c r="R351">
        <f t="shared" si="15"/>
        <v>18359.173999999995</v>
      </c>
      <c r="S351">
        <f t="shared" si="15"/>
        <v>319670.2</v>
      </c>
      <c r="T351">
        <f t="shared" si="15"/>
        <v>996.88699999999994</v>
      </c>
      <c r="U351">
        <f t="shared" si="15"/>
        <v>188126.42899999997</v>
      </c>
      <c r="V351">
        <f t="shared" si="15"/>
        <v>110463.284</v>
      </c>
      <c r="W351">
        <f t="shared" si="15"/>
        <v>244259.15700000001</v>
      </c>
      <c r="X351">
        <f t="shared" si="15"/>
        <v>222038.43799999999</v>
      </c>
      <c r="Y351">
        <f t="shared" si="15"/>
        <v>2346998.7119999998</v>
      </c>
      <c r="Z351">
        <f t="shared" si="15"/>
        <v>113734.86900000001</v>
      </c>
      <c r="AA351">
        <f t="shared" si="15"/>
        <v>1476071.67</v>
      </c>
      <c r="AB351">
        <f t="shared" si="15"/>
        <v>393361.97999999992</v>
      </c>
      <c r="AC351">
        <f t="shared" si="15"/>
        <v>180553.42499999999</v>
      </c>
      <c r="AD351">
        <f t="shared" si="15"/>
        <v>62170.367000000006</v>
      </c>
      <c r="AE351">
        <f t="shared" si="15"/>
        <v>6304797.6489999983</v>
      </c>
      <c r="AF351">
        <f t="shared" si="15"/>
        <v>1817151.0500000003</v>
      </c>
      <c r="AG351">
        <f t="shared" si="15"/>
        <v>291045.71400000004</v>
      </c>
      <c r="AH351">
        <f t="shared" si="15"/>
        <v>20097680.988999996</v>
      </c>
      <c r="AI351">
        <f t="shared" si="15"/>
        <v>3030323.49</v>
      </c>
      <c r="AJ351">
        <f t="shared" si="15"/>
        <v>593930.14000000013</v>
      </c>
      <c r="AK351">
        <f t="shared" si="15"/>
        <v>11092167.491999999</v>
      </c>
      <c r="AL351">
        <f t="shared" si="15"/>
        <v>6006407.9669999992</v>
      </c>
      <c r="AM351">
        <f>SUM(AM344:AM350)</f>
        <v>40591.684999999998</v>
      </c>
      <c r="AN351">
        <f>SUM(AN344:AN350)</f>
        <v>3967637.5880000005</v>
      </c>
      <c r="AO351">
        <f>SUM(AO344:AO350)</f>
        <v>173954.48799999998</v>
      </c>
      <c r="AP351">
        <f>SUM(AP344:AP350)</f>
        <v>75049.464999999997</v>
      </c>
      <c r="AQ351">
        <f t="shared" ref="AQ351:AW351" si="16">SUM(AQ344:AQ350)</f>
        <v>664315.43299999984</v>
      </c>
      <c r="AR351">
        <f t="shared" si="16"/>
        <v>24519.221000000001</v>
      </c>
      <c r="AS351">
        <f t="shared" si="16"/>
        <v>3689.0120000000002</v>
      </c>
      <c r="AT351">
        <f t="shared" si="16"/>
        <v>0</v>
      </c>
      <c r="AU351">
        <f t="shared" si="16"/>
        <v>80717.84599999999</v>
      </c>
      <c r="AV351">
        <f t="shared" si="16"/>
        <v>74732.164000000004</v>
      </c>
      <c r="AW351">
        <f t="shared" si="16"/>
        <v>116679.07799999999</v>
      </c>
      <c r="AX351">
        <f>SUM(AX344:AX350)</f>
        <v>248824.209</v>
      </c>
      <c r="AY351">
        <f t="shared" ref="AY351:BI351" si="17">SUM(AY344:AY350)</f>
        <v>55602.153999999995</v>
      </c>
      <c r="AZ351">
        <f t="shared" si="17"/>
        <v>358538.17900000006</v>
      </c>
      <c r="BA351">
        <f t="shared" si="17"/>
        <v>181746.47000000003</v>
      </c>
      <c r="BB351">
        <f t="shared" si="17"/>
        <v>62246.526999999995</v>
      </c>
      <c r="BC351">
        <f t="shared" si="17"/>
        <v>26129.443000000007</v>
      </c>
      <c r="BD351">
        <f t="shared" si="17"/>
        <v>404998.92300000001</v>
      </c>
      <c r="BE351">
        <f t="shared" si="17"/>
        <v>15839.816999999995</v>
      </c>
      <c r="BF351">
        <f t="shared" si="17"/>
        <v>15839.816999999995</v>
      </c>
      <c r="BG351">
        <f t="shared" si="17"/>
        <v>133760.19999999998</v>
      </c>
      <c r="BH351">
        <f t="shared" si="17"/>
        <v>358370.02599999995</v>
      </c>
      <c r="BI351">
        <f t="shared" si="17"/>
        <v>11876.442999999999</v>
      </c>
      <c r="BJ351" s="21"/>
    </row>
    <row r="352" spans="1:62" x14ac:dyDescent="0.25"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21"/>
    </row>
    <row r="353" spans="1:62" x14ac:dyDescent="0.25">
      <c r="A353" s="8"/>
      <c r="B353" s="8"/>
      <c r="C353" s="8"/>
      <c r="D353" s="8"/>
      <c r="E353" s="8">
        <f t="shared" ref="E353:AJ353" si="18">E351-E339</f>
        <v>9089699.5930000003</v>
      </c>
      <c r="F353" s="8">
        <f t="shared" si="18"/>
        <v>1017174.0079999999</v>
      </c>
      <c r="G353" s="8">
        <f t="shared" si="18"/>
        <v>989692.55</v>
      </c>
      <c r="H353" s="8">
        <f t="shared" si="18"/>
        <v>1123482.0090000001</v>
      </c>
      <c r="I353" s="8">
        <f t="shared" si="18"/>
        <v>135013.53399999999</v>
      </c>
      <c r="J353" s="8">
        <f t="shared" si="18"/>
        <v>695328.82200000004</v>
      </c>
      <c r="K353" s="8">
        <f t="shared" si="18"/>
        <v>253149.07899999997</v>
      </c>
      <c r="L353" s="18">
        <f t="shared" si="18"/>
        <v>9679746.8500000015</v>
      </c>
      <c r="M353" s="8">
        <f t="shared" si="18"/>
        <v>2973396.0970000001</v>
      </c>
      <c r="N353" s="8">
        <f>N351-N339</f>
        <v>15144.019999999999</v>
      </c>
      <c r="O353" s="8">
        <f t="shared" si="18"/>
        <v>12650.464000000002</v>
      </c>
      <c r="P353" s="8">
        <f t="shared" si="18"/>
        <v>19815.693999999996</v>
      </c>
      <c r="Q353" s="8">
        <f t="shared" si="18"/>
        <v>13095.195</v>
      </c>
      <c r="R353" s="8">
        <f t="shared" si="18"/>
        <v>18359.173999999995</v>
      </c>
      <c r="S353" s="8">
        <f t="shared" si="18"/>
        <v>319670.2</v>
      </c>
      <c r="T353" s="8">
        <f t="shared" si="18"/>
        <v>996.88699999999994</v>
      </c>
      <c r="U353" s="8">
        <f t="shared" si="18"/>
        <v>188126.42899999997</v>
      </c>
      <c r="V353" s="8">
        <f t="shared" si="18"/>
        <v>110463.284</v>
      </c>
      <c r="W353" s="8">
        <f t="shared" si="18"/>
        <v>244259.15700000001</v>
      </c>
      <c r="X353" s="8">
        <f t="shared" si="18"/>
        <v>222038.43799999999</v>
      </c>
      <c r="Y353" s="8">
        <f t="shared" si="18"/>
        <v>2346998.7119999998</v>
      </c>
      <c r="Z353" s="8">
        <f t="shared" si="18"/>
        <v>113734.86900000001</v>
      </c>
      <c r="AA353" s="8">
        <f t="shared" si="18"/>
        <v>1476071.67</v>
      </c>
      <c r="AB353" s="8">
        <f t="shared" si="18"/>
        <v>393361.97999999992</v>
      </c>
      <c r="AC353" s="8">
        <f t="shared" si="18"/>
        <v>180553.42499999999</v>
      </c>
      <c r="AD353" s="8">
        <f t="shared" si="18"/>
        <v>62170.367000000006</v>
      </c>
      <c r="AE353" s="8">
        <f t="shared" si="18"/>
        <v>6304797.6489999983</v>
      </c>
      <c r="AF353" s="8">
        <f t="shared" si="18"/>
        <v>1817151.0500000003</v>
      </c>
      <c r="AG353" s="8">
        <f t="shared" si="18"/>
        <v>291045.71400000004</v>
      </c>
      <c r="AH353" s="8">
        <f t="shared" si="18"/>
        <v>20097680.988999996</v>
      </c>
      <c r="AI353" s="8">
        <f t="shared" si="18"/>
        <v>3030323.49</v>
      </c>
      <c r="AJ353" s="8">
        <f t="shared" si="18"/>
        <v>593930.14000000013</v>
      </c>
      <c r="AK353" s="8">
        <f>AK351-AK339</f>
        <v>11092167.491999999</v>
      </c>
      <c r="AL353" s="8">
        <f>AL351-AL339</f>
        <v>6006407.9669999992</v>
      </c>
      <c r="AM353" s="8">
        <f>AM351-AM339</f>
        <v>40591.684999999998</v>
      </c>
      <c r="AN353" s="8">
        <f>AN351-AN339</f>
        <v>3967637.5880000005</v>
      </c>
      <c r="AO353" s="8">
        <f>AO351-AO339</f>
        <v>173954.48799999998</v>
      </c>
      <c r="AP353" s="8">
        <f t="shared" ref="AP353:AW353" si="19">AP351-AP339</f>
        <v>75049.464999999997</v>
      </c>
      <c r="AQ353" s="8">
        <f t="shared" si="19"/>
        <v>664315.43299999984</v>
      </c>
      <c r="AR353" s="8">
        <f t="shared" si="19"/>
        <v>24519.221000000001</v>
      </c>
      <c r="AS353" s="8">
        <f t="shared" si="19"/>
        <v>3689.0120000000002</v>
      </c>
      <c r="AT353" s="8">
        <f t="shared" si="19"/>
        <v>0</v>
      </c>
      <c r="AU353" s="8">
        <f t="shared" si="19"/>
        <v>80717.84599999999</v>
      </c>
      <c r="AV353" s="8">
        <f t="shared" si="19"/>
        <v>74732.164000000004</v>
      </c>
      <c r="AW353" s="8">
        <f t="shared" si="19"/>
        <v>116679.07799999999</v>
      </c>
      <c r="AX353" s="8">
        <f>AX351-AX339</f>
        <v>248824.209</v>
      </c>
      <c r="AY353" s="8">
        <f t="shared" ref="AY353:BI353" si="20">AY351-AY339</f>
        <v>55602.153999999995</v>
      </c>
      <c r="AZ353" s="8">
        <f t="shared" si="20"/>
        <v>358538.17900000006</v>
      </c>
      <c r="BA353" s="8">
        <f t="shared" si="20"/>
        <v>181746.47000000003</v>
      </c>
      <c r="BB353" s="8">
        <f t="shared" si="20"/>
        <v>62246.526999999995</v>
      </c>
      <c r="BC353" s="8">
        <f t="shared" si="20"/>
        <v>26129.443000000007</v>
      </c>
      <c r="BD353" s="8">
        <f t="shared" si="20"/>
        <v>404998.92300000001</v>
      </c>
      <c r="BE353" s="8">
        <f t="shared" si="20"/>
        <v>15839.816999999995</v>
      </c>
      <c r="BF353" s="8">
        <f t="shared" si="20"/>
        <v>15839.816999999995</v>
      </c>
      <c r="BG353" s="8">
        <f t="shared" si="20"/>
        <v>133760.19999999998</v>
      </c>
      <c r="BH353" s="8">
        <f t="shared" si="20"/>
        <v>358370.02599999995</v>
      </c>
      <c r="BI353" s="8">
        <f t="shared" si="20"/>
        <v>11876.442999999999</v>
      </c>
      <c r="BJ353" s="21"/>
    </row>
    <row r="354" spans="1:62" x14ac:dyDescent="0.25">
      <c r="E354" s="19">
        <f t="shared" ref="E354:M354" si="21">E4</f>
        <v>401</v>
      </c>
      <c r="F354" s="19">
        <f t="shared" si="21"/>
        <v>242</v>
      </c>
      <c r="G354" s="19">
        <f t="shared" si="21"/>
        <v>385</v>
      </c>
      <c r="H354" s="19">
        <f t="shared" si="21"/>
        <v>528</v>
      </c>
      <c r="I354" s="19">
        <f t="shared" si="21"/>
        <v>384</v>
      </c>
      <c r="J354" s="19">
        <f t="shared" si="21"/>
        <v>716</v>
      </c>
      <c r="K354" s="19">
        <f t="shared" si="21"/>
        <v>715</v>
      </c>
      <c r="L354" s="19">
        <f t="shared" si="21"/>
        <v>9916</v>
      </c>
      <c r="M354" s="19">
        <f t="shared" si="21"/>
        <v>1100</v>
      </c>
      <c r="N354" s="19">
        <f>N4</f>
        <v>801</v>
      </c>
      <c r="O354" s="19">
        <f t="shared" ref="O354:T354" si="22">O4</f>
        <v>804</v>
      </c>
      <c r="P354" s="19">
        <f t="shared" si="22"/>
        <v>806</v>
      </c>
      <c r="Q354" s="19">
        <f t="shared" si="22"/>
        <v>8765</v>
      </c>
      <c r="R354" s="19">
        <f t="shared" si="22"/>
        <v>8766</v>
      </c>
      <c r="S354" s="19">
        <f t="shared" si="22"/>
        <v>9418</v>
      </c>
      <c r="T354" s="19">
        <f t="shared" si="22"/>
        <v>9475</v>
      </c>
      <c r="U354" s="19">
        <f>U4</f>
        <v>9906</v>
      </c>
      <c r="V354" s="19">
        <f>V4</f>
        <v>7905</v>
      </c>
      <c r="W354" s="19">
        <f t="shared" ref="W354:AJ354" si="23">W4</f>
        <v>7906</v>
      </c>
      <c r="X354" s="19">
        <f t="shared" si="23"/>
        <v>7907</v>
      </c>
      <c r="Y354" s="19">
        <f t="shared" si="23"/>
        <v>7908</v>
      </c>
      <c r="Z354" s="19">
        <f t="shared" si="23"/>
        <v>7909</v>
      </c>
      <c r="AA354" s="19">
        <f t="shared" si="23"/>
        <v>11310</v>
      </c>
      <c r="AB354" s="19">
        <f t="shared" si="23"/>
        <v>11311</v>
      </c>
      <c r="AC354" s="19">
        <f t="shared" si="23"/>
        <v>11312</v>
      </c>
      <c r="AD354" s="19">
        <f t="shared" si="23"/>
        <v>11335</v>
      </c>
      <c r="AE354" s="19">
        <f t="shared" si="23"/>
        <v>9529</v>
      </c>
      <c r="AF354" s="19">
        <f t="shared" si="23"/>
        <v>961</v>
      </c>
      <c r="AG354" s="19">
        <f t="shared" si="23"/>
        <v>9528</v>
      </c>
      <c r="AH354" s="19">
        <f t="shared" si="23"/>
        <v>964</v>
      </c>
      <c r="AI354" s="19">
        <f t="shared" si="23"/>
        <v>968</v>
      </c>
      <c r="AJ354" s="19">
        <f t="shared" si="23"/>
        <v>8629</v>
      </c>
      <c r="AK354" s="19">
        <f>AK4</f>
        <v>13264</v>
      </c>
      <c r="AL354" s="19">
        <f>AL4</f>
        <v>13263</v>
      </c>
      <c r="AM354" s="19">
        <f>AM4</f>
        <v>13209</v>
      </c>
      <c r="AN354" s="19">
        <f>AN4</f>
        <v>13250</v>
      </c>
      <c r="AO354" s="19">
        <f>AO4</f>
        <v>14281</v>
      </c>
      <c r="AP354" s="19">
        <f t="shared" ref="AP354:AW354" si="24">AP4</f>
        <v>2049</v>
      </c>
      <c r="AQ354" s="19">
        <f t="shared" si="24"/>
        <v>7975</v>
      </c>
      <c r="AR354" s="19">
        <f t="shared" si="24"/>
        <v>8004</v>
      </c>
      <c r="AS354" s="19">
        <f t="shared" si="24"/>
        <v>1008</v>
      </c>
      <c r="AT354" s="19">
        <f t="shared" si="24"/>
        <v>9484</v>
      </c>
      <c r="AU354" s="19">
        <f t="shared" si="24"/>
        <v>682</v>
      </c>
      <c r="AV354" s="19">
        <f t="shared" si="24"/>
        <v>11352</v>
      </c>
      <c r="AW354" s="19">
        <f t="shared" si="24"/>
        <v>2058</v>
      </c>
      <c r="AX354" s="19">
        <f>AX4</f>
        <v>15007</v>
      </c>
      <c r="AY354" s="19">
        <f t="shared" ref="AY354:BI354" si="25">AY4</f>
        <v>15208</v>
      </c>
      <c r="AZ354" s="19">
        <f t="shared" si="25"/>
        <v>15209</v>
      </c>
      <c r="BA354" s="19">
        <f t="shared" si="25"/>
        <v>15210</v>
      </c>
      <c r="BB354" s="19">
        <f t="shared" si="25"/>
        <v>15211</v>
      </c>
      <c r="BC354" s="19">
        <f t="shared" si="25"/>
        <v>15212</v>
      </c>
      <c r="BD354" s="19">
        <f t="shared" si="25"/>
        <v>15232</v>
      </c>
      <c r="BE354" s="19">
        <f t="shared" si="25"/>
        <v>15214</v>
      </c>
      <c r="BF354" s="19">
        <f t="shared" si="25"/>
        <v>15214</v>
      </c>
      <c r="BG354" s="19">
        <f t="shared" si="25"/>
        <v>15233</v>
      </c>
      <c r="BH354" s="19">
        <f t="shared" si="25"/>
        <v>15234</v>
      </c>
      <c r="BI354" s="19">
        <f t="shared" si="25"/>
        <v>15215</v>
      </c>
      <c r="BJ354" s="21"/>
    </row>
    <row r="355" spans="1:62" x14ac:dyDescent="0.25">
      <c r="A355" t="s">
        <v>608</v>
      </c>
      <c r="E355" s="20">
        <f t="shared" ref="E355:AL355" si="26">E344/E351</f>
        <v>0.10412900242917851</v>
      </c>
      <c r="F355" s="20">
        <f t="shared" si="26"/>
        <v>0.16162404928459398</v>
      </c>
      <c r="G355" s="20">
        <f t="shared" si="26"/>
        <v>4.3120793422159236E-2</v>
      </c>
      <c r="H355" s="20">
        <f t="shared" si="26"/>
        <v>1.8870204266884707E-2</v>
      </c>
      <c r="I355" s="20">
        <f t="shared" si="26"/>
        <v>7.7676916448983557E-2</v>
      </c>
      <c r="J355" s="20">
        <f t="shared" si="26"/>
        <v>4.0127836093065042E-2</v>
      </c>
      <c r="K355" s="20">
        <f t="shared" si="26"/>
        <v>1.0647532318298502E-2</v>
      </c>
      <c r="L355" s="20">
        <f t="shared" si="26"/>
        <v>0.17956936642408164</v>
      </c>
      <c r="M355" s="20">
        <f t="shared" si="26"/>
        <v>5.0870797251873837E-2</v>
      </c>
      <c r="N355" s="20">
        <f>N344/N351</f>
        <v>0.37912199006604586</v>
      </c>
      <c r="O355" s="20">
        <f t="shared" si="26"/>
        <v>0.79746695457178485</v>
      </c>
      <c r="P355" s="20">
        <f t="shared" si="26"/>
        <v>5.0501990997640564E-2</v>
      </c>
      <c r="Q355" s="20">
        <f t="shared" si="26"/>
        <v>0.46030395118209388</v>
      </c>
      <c r="R355" s="20">
        <f t="shared" si="26"/>
        <v>0.13483945410615969</v>
      </c>
      <c r="S355" s="20">
        <f t="shared" si="26"/>
        <v>0.15589878881422164</v>
      </c>
      <c r="T355" s="20">
        <f t="shared" si="26"/>
        <v>3.4038963292730269E-2</v>
      </c>
      <c r="U355" s="20">
        <f t="shared" si="26"/>
        <v>1.2596369434089457E-2</v>
      </c>
      <c r="V355" s="20">
        <f t="shared" si="26"/>
        <v>5.7375326628891464E-2</v>
      </c>
      <c r="W355" s="20">
        <f t="shared" si="26"/>
        <v>9.6722863085947686E-2</v>
      </c>
      <c r="X355" s="20">
        <f t="shared" si="26"/>
        <v>0.25230779636451955</v>
      </c>
      <c r="Y355" s="20">
        <f t="shared" si="26"/>
        <v>0.16794855360789823</v>
      </c>
      <c r="Z355" s="20">
        <f t="shared" si="26"/>
        <v>0.59964052888652808</v>
      </c>
      <c r="AA355" s="20">
        <f t="shared" si="26"/>
        <v>6.2904517366693988E-2</v>
      </c>
      <c r="AB355" s="20">
        <f t="shared" si="26"/>
        <v>0.81369314339936982</v>
      </c>
      <c r="AC355" s="20">
        <f t="shared" si="26"/>
        <v>0.17053302644355817</v>
      </c>
      <c r="AD355" s="20">
        <f t="shared" si="26"/>
        <v>0.30340374217189359</v>
      </c>
      <c r="AE355" s="20">
        <f t="shared" si="26"/>
        <v>0.17572533627240602</v>
      </c>
      <c r="AF355" s="20">
        <f t="shared" si="26"/>
        <v>0.3036895760536803</v>
      </c>
      <c r="AG355" s="20">
        <f t="shared" si="26"/>
        <v>0.34253828592713786</v>
      </c>
      <c r="AH355" s="20">
        <f t="shared" si="26"/>
        <v>0.14759893943105123</v>
      </c>
      <c r="AI355" s="20">
        <f t="shared" si="26"/>
        <v>0.27550179964449928</v>
      </c>
      <c r="AJ355" s="20">
        <f t="shared" si="26"/>
        <v>0.58169400697529849</v>
      </c>
      <c r="AK355" s="20">
        <f t="shared" si="26"/>
        <v>0.73554027730687654</v>
      </c>
      <c r="AL355" s="20">
        <f t="shared" si="26"/>
        <v>0.73521387629046475</v>
      </c>
      <c r="AM355" s="20">
        <f>AM344/AM351</f>
        <v>8.4062043741224349E-3</v>
      </c>
      <c r="AN355" s="20">
        <f>AN344/AN351</f>
        <v>0.73544594012954978</v>
      </c>
      <c r="AO355" s="20">
        <f>AO344/AO351</f>
        <v>0.18819189074328457</v>
      </c>
      <c r="AP355" s="20">
        <f>AP344/AP351</f>
        <v>9.4126333878595939E-2</v>
      </c>
      <c r="AQ355" s="20">
        <f t="shared" ref="AQ355:AW355" si="27">AQ344/AQ351</f>
        <v>0.30188348793034897</v>
      </c>
      <c r="AR355" s="20">
        <f t="shared" si="27"/>
        <v>0.11039106829699034</v>
      </c>
      <c r="AS355" s="20">
        <f t="shared" si="27"/>
        <v>0.16608539088514754</v>
      </c>
      <c r="AT355" s="20" t="e">
        <f t="shared" si="27"/>
        <v>#DIV/0!</v>
      </c>
      <c r="AU355" s="20">
        <f t="shared" si="27"/>
        <v>0.1567275345776695</v>
      </c>
      <c r="AV355" s="20">
        <f t="shared" si="27"/>
        <v>0.10329552346430111</v>
      </c>
      <c r="AW355" s="20">
        <f t="shared" si="27"/>
        <v>0.11990045036180351</v>
      </c>
      <c r="AX355" s="20">
        <f>AX344/AX351</f>
        <v>0.25347931076915425</v>
      </c>
      <c r="AY355" s="20">
        <f t="shared" ref="AY355:BI355" si="28">AY344/AY351</f>
        <v>6.4946764472469914E-2</v>
      </c>
      <c r="AZ355" s="20">
        <f t="shared" si="28"/>
        <v>7.0266946382856479E-2</v>
      </c>
      <c r="BA355" s="20">
        <f t="shared" si="28"/>
        <v>0.25248953666060198</v>
      </c>
      <c r="BB355" s="20">
        <f t="shared" si="28"/>
        <v>0.19108426723952004</v>
      </c>
      <c r="BC355" s="20">
        <f t="shared" si="28"/>
        <v>5.8112643273719983E-2</v>
      </c>
      <c r="BD355" s="20">
        <f t="shared" si="28"/>
        <v>5.8502958043668681E-2</v>
      </c>
      <c r="BE355" s="20">
        <f t="shared" si="28"/>
        <v>0.18988969380138679</v>
      </c>
      <c r="BF355" s="20">
        <f t="shared" si="28"/>
        <v>0.18988969380138679</v>
      </c>
      <c r="BG355" s="20">
        <f t="shared" si="28"/>
        <v>5.5310137096086884E-2</v>
      </c>
      <c r="BH355" s="20">
        <f t="shared" si="28"/>
        <v>0.59712977223156494</v>
      </c>
      <c r="BI355" s="20">
        <f t="shared" si="28"/>
        <v>7.1389219819435842E-2</v>
      </c>
      <c r="BJ355" s="21"/>
    </row>
    <row r="356" spans="1:62" x14ac:dyDescent="0.25">
      <c r="A356" t="s">
        <v>609</v>
      </c>
      <c r="E356" s="20">
        <f t="shared" ref="E356:AL356" si="29">E345/E351</f>
        <v>0.22603484526400014</v>
      </c>
      <c r="F356" s="20">
        <f t="shared" si="29"/>
        <v>0.17373014214889379</v>
      </c>
      <c r="G356" s="20">
        <f t="shared" si="29"/>
        <v>0.35107647521444918</v>
      </c>
      <c r="H356" s="20">
        <f t="shared" si="29"/>
        <v>0</v>
      </c>
      <c r="I356" s="20">
        <f t="shared" si="29"/>
        <v>0.37333048403873348</v>
      </c>
      <c r="J356" s="20">
        <f t="shared" si="29"/>
        <v>0.34227445845758425</v>
      </c>
      <c r="K356" s="20">
        <f t="shared" si="29"/>
        <v>0.72148115537880353</v>
      </c>
      <c r="L356" s="20">
        <f t="shared" si="29"/>
        <v>8.8649013687790795E-2</v>
      </c>
      <c r="M356" s="20">
        <f t="shared" si="29"/>
        <v>0.20252321734314838</v>
      </c>
      <c r="N356" s="20">
        <f>N345/N351</f>
        <v>0.47141815713397106</v>
      </c>
      <c r="O356" s="20">
        <f t="shared" si="29"/>
        <v>1.2563886984698741E-2</v>
      </c>
      <c r="P356" s="20">
        <f t="shared" si="29"/>
        <v>0.78625325966377979</v>
      </c>
      <c r="Q356" s="20">
        <f t="shared" si="29"/>
        <v>0.15089603476695077</v>
      </c>
      <c r="R356" s="20">
        <f t="shared" si="29"/>
        <v>0.18665654565940715</v>
      </c>
      <c r="S356" s="20">
        <f t="shared" si="29"/>
        <v>0.16999982794767854</v>
      </c>
      <c r="T356" s="20">
        <f t="shared" si="29"/>
        <v>0.96596103670726974</v>
      </c>
      <c r="U356" s="20">
        <f t="shared" si="29"/>
        <v>0.76462277929062272</v>
      </c>
      <c r="V356" s="20">
        <f t="shared" si="29"/>
        <v>0.26189005027226964</v>
      </c>
      <c r="W356" s="20">
        <f t="shared" si="29"/>
        <v>0.21833241649974253</v>
      </c>
      <c r="X356" s="20">
        <f t="shared" si="29"/>
        <v>9.5445456160162673E-3</v>
      </c>
      <c r="Y356" s="20">
        <f t="shared" si="29"/>
        <v>0.17368446855798703</v>
      </c>
      <c r="Z356" s="20">
        <f t="shared" si="29"/>
        <v>1.8418010399255834E-3</v>
      </c>
      <c r="AA356" s="20">
        <f t="shared" si="29"/>
        <v>0.35055636763220316</v>
      </c>
      <c r="AB356" s="20">
        <f t="shared" si="29"/>
        <v>8.6653417801079834E-3</v>
      </c>
      <c r="AC356" s="20">
        <f t="shared" si="29"/>
        <v>0.14567512635110633</v>
      </c>
      <c r="AD356" s="20">
        <f t="shared" si="29"/>
        <v>0.16866747786771147</v>
      </c>
      <c r="AE356" s="20">
        <f t="shared" si="29"/>
        <v>0.16105966163102156</v>
      </c>
      <c r="AF356" s="20">
        <f t="shared" si="29"/>
        <v>5.4752921613203255E-2</v>
      </c>
      <c r="AG356" s="20">
        <f t="shared" si="29"/>
        <v>0.1344647425386927</v>
      </c>
      <c r="AH356" s="20">
        <f t="shared" si="29"/>
        <v>0.13109058942880009</v>
      </c>
      <c r="AI356" s="20">
        <f t="shared" si="29"/>
        <v>5.0028579622038959E-2</v>
      </c>
      <c r="AJ356" s="20">
        <f t="shared" si="29"/>
        <v>7.5520666454138852E-4</v>
      </c>
      <c r="AK356" s="20">
        <f t="shared" si="29"/>
        <v>7.1762167815631828E-2</v>
      </c>
      <c r="AL356" s="20">
        <f t="shared" si="29"/>
        <v>7.1861077930672645E-2</v>
      </c>
      <c r="AM356" s="20">
        <f>AM345/AM351</f>
        <v>0.76591060459796145</v>
      </c>
      <c r="AN356" s="20">
        <f>AN345/AN351</f>
        <v>7.184607305419044E-2</v>
      </c>
      <c r="AO356" s="20">
        <f>AO345/AO351</f>
        <v>0.16811458178647279</v>
      </c>
      <c r="AP356" s="20">
        <f>AP345/AP351</f>
        <v>0</v>
      </c>
      <c r="AQ356" s="20">
        <f t="shared" ref="AQ356:AW356" si="30">AQ345/AQ351</f>
        <v>5.5607421060771899E-2</v>
      </c>
      <c r="AR356" s="20">
        <f t="shared" si="30"/>
        <v>0</v>
      </c>
      <c r="AS356" s="20">
        <f t="shared" si="30"/>
        <v>0.34147489897023919</v>
      </c>
      <c r="AT356" s="20" t="e">
        <f t="shared" si="30"/>
        <v>#DIV/0!</v>
      </c>
      <c r="AU356" s="20">
        <f t="shared" si="30"/>
        <v>0.37798540857990692</v>
      </c>
      <c r="AV356" s="20">
        <f t="shared" si="30"/>
        <v>0</v>
      </c>
      <c r="AW356" s="20">
        <f t="shared" si="30"/>
        <v>0</v>
      </c>
      <c r="AX356" s="20">
        <f>AX345/AX351</f>
        <v>9.5319221933103781E-3</v>
      </c>
      <c r="AY356" s="20">
        <f t="shared" ref="AY356:BI356" si="31">AY345/AY351</f>
        <v>0.24427737098098759</v>
      </c>
      <c r="AZ356" s="20">
        <f t="shared" si="31"/>
        <v>2.540546734912713E-3</v>
      </c>
      <c r="BA356" s="20">
        <f t="shared" si="31"/>
        <v>9.540520924560458E-3</v>
      </c>
      <c r="BB356" s="20">
        <f t="shared" si="31"/>
        <v>0.1737106553751987</v>
      </c>
      <c r="BC356" s="20">
        <f t="shared" si="31"/>
        <v>0.27617936593596726</v>
      </c>
      <c r="BD356" s="20">
        <f t="shared" si="31"/>
        <v>2.7356344352550293E-3</v>
      </c>
      <c r="BE356" s="20">
        <f t="shared" si="31"/>
        <v>0.16723798008524976</v>
      </c>
      <c r="BF356" s="20">
        <f t="shared" si="31"/>
        <v>0.16723798008524976</v>
      </c>
      <c r="BG356" s="20">
        <f t="shared" si="31"/>
        <v>2.7464073767832289E-3</v>
      </c>
      <c r="BH356" s="20">
        <f t="shared" si="31"/>
        <v>7.3867483548972934E-2</v>
      </c>
      <c r="BI356" s="20">
        <f t="shared" si="31"/>
        <v>0.24590569752239794</v>
      </c>
      <c r="BJ356" s="21"/>
    </row>
    <row r="357" spans="1:62" x14ac:dyDescent="0.25">
      <c r="A357" t="s">
        <v>610</v>
      </c>
      <c r="E357" s="20">
        <f t="shared" ref="E357:AL357" si="32">E346/E351</f>
        <v>0.20971867436279532</v>
      </c>
      <c r="F357" s="20">
        <f t="shared" si="32"/>
        <v>0.26496599291790013</v>
      </c>
      <c r="G357" s="20">
        <f t="shared" si="32"/>
        <v>0.45058626641172556</v>
      </c>
      <c r="H357" s="20">
        <f t="shared" si="32"/>
        <v>5.051666385874453E-2</v>
      </c>
      <c r="I357" s="20">
        <f t="shared" si="32"/>
        <v>0.31561261850978589</v>
      </c>
      <c r="J357" s="20">
        <f t="shared" si="32"/>
        <v>0.44114964070912621</v>
      </c>
      <c r="K357" s="20">
        <f t="shared" si="32"/>
        <v>0.15312349605664577</v>
      </c>
      <c r="L357" s="20">
        <f t="shared" si="32"/>
        <v>9.1248131246324887E-2</v>
      </c>
      <c r="M357" s="20">
        <f t="shared" si="32"/>
        <v>0.35006964361398368</v>
      </c>
      <c r="N357" s="20">
        <f>N346/N351</f>
        <v>0.149481841677441</v>
      </c>
      <c r="O357" s="20">
        <f t="shared" si="32"/>
        <v>0</v>
      </c>
      <c r="P357" s="20">
        <f t="shared" si="32"/>
        <v>2.5264822922679373E-3</v>
      </c>
      <c r="Q357" s="20">
        <f t="shared" si="32"/>
        <v>0.30234547862784783</v>
      </c>
      <c r="R357" s="20">
        <f t="shared" si="32"/>
        <v>0.62539305962239922</v>
      </c>
      <c r="S357" s="20">
        <f t="shared" si="32"/>
        <v>0.34884145284734086</v>
      </c>
      <c r="T357" s="20">
        <f t="shared" si="32"/>
        <v>0</v>
      </c>
      <c r="U357" s="20">
        <f t="shared" si="32"/>
        <v>0.16227966034479932</v>
      </c>
      <c r="V357" s="20">
        <f t="shared" si="32"/>
        <v>0.50015308253917201</v>
      </c>
      <c r="W357" s="20">
        <f t="shared" si="32"/>
        <v>0.3599029697789386</v>
      </c>
      <c r="X357" s="20">
        <f t="shared" si="32"/>
        <v>0</v>
      </c>
      <c r="Y357" s="20">
        <f t="shared" si="32"/>
        <v>0.1354152294055456</v>
      </c>
      <c r="Z357" s="20">
        <f t="shared" si="32"/>
        <v>7.198140791809414E-2</v>
      </c>
      <c r="AA357" s="20">
        <f t="shared" si="32"/>
        <v>0.47216613743423441</v>
      </c>
      <c r="AB357" s="20">
        <f t="shared" si="32"/>
        <v>0</v>
      </c>
      <c r="AC357" s="20">
        <f t="shared" si="32"/>
        <v>0.27288524158431227</v>
      </c>
      <c r="AD357" s="20">
        <f t="shared" si="32"/>
        <v>0.21733974965919051</v>
      </c>
      <c r="AE357" s="20">
        <f t="shared" si="32"/>
        <v>0.10347067777876598</v>
      </c>
      <c r="AF357" s="20">
        <f t="shared" si="32"/>
        <v>1.1282866660974604E-2</v>
      </c>
      <c r="AG357" s="20">
        <f t="shared" si="32"/>
        <v>0.18547591461869112</v>
      </c>
      <c r="AH357" s="20">
        <f t="shared" si="32"/>
        <v>0.11008197101003353</v>
      </c>
      <c r="AI357" s="20">
        <f t="shared" si="32"/>
        <v>1.1181011569164186E-2</v>
      </c>
      <c r="AJ357" s="20">
        <f t="shared" si="32"/>
        <v>7.0718532654362329E-2</v>
      </c>
      <c r="AK357" s="20">
        <f t="shared" si="32"/>
        <v>0</v>
      </c>
      <c r="AL357" s="20">
        <f t="shared" si="32"/>
        <v>0</v>
      </c>
      <c r="AM357" s="20">
        <f>AM346/AM351</f>
        <v>0.1625529711318956</v>
      </c>
      <c r="AN357" s="20">
        <f>AN346/AN351</f>
        <v>0</v>
      </c>
      <c r="AO357" s="20">
        <f>AO346/AO351</f>
        <v>0.30686152230806479</v>
      </c>
      <c r="AP357" s="20">
        <f>AP346/AP351</f>
        <v>0</v>
      </c>
      <c r="AQ357" s="20">
        <f t="shared" ref="AQ357:AW357" si="33">AQ346/AQ351</f>
        <v>1.1198178802508721E-2</v>
      </c>
      <c r="AR357" s="20">
        <f t="shared" si="33"/>
        <v>0</v>
      </c>
      <c r="AS357" s="20">
        <f t="shared" si="33"/>
        <v>0.22349751098668155</v>
      </c>
      <c r="AT357" s="20" t="e">
        <f t="shared" si="33"/>
        <v>#DIV/0!</v>
      </c>
      <c r="AU357" s="20">
        <f t="shared" si="33"/>
        <v>0.31629362359347402</v>
      </c>
      <c r="AV357" s="20">
        <f t="shared" si="33"/>
        <v>0</v>
      </c>
      <c r="AW357" s="20">
        <f t="shared" si="33"/>
        <v>0</v>
      </c>
      <c r="AX357" s="20">
        <f>AX346/AX351</f>
        <v>0</v>
      </c>
      <c r="AY357" s="20">
        <f t="shared" ref="AY357:BI357" si="34">AY346/AY351</f>
        <v>0.47043934664833303</v>
      </c>
      <c r="AZ357" s="20">
        <f t="shared" si="34"/>
        <v>2.4120276462942597E-2</v>
      </c>
      <c r="BA357" s="20">
        <f t="shared" si="34"/>
        <v>0</v>
      </c>
      <c r="BB357" s="20">
        <f t="shared" si="34"/>
        <v>0.30328954738310143</v>
      </c>
      <c r="BC357" s="20">
        <f t="shared" si="34"/>
        <v>0.62399956248588995</v>
      </c>
      <c r="BD357" s="20">
        <f t="shared" si="34"/>
        <v>2.5972444376105169E-2</v>
      </c>
      <c r="BE357" s="20">
        <f t="shared" si="34"/>
        <v>0.30655625630018329</v>
      </c>
      <c r="BF357" s="20">
        <f t="shared" si="34"/>
        <v>0.30655625630018329</v>
      </c>
      <c r="BG357" s="20">
        <f t="shared" si="34"/>
        <v>2.6074729254292391E-2</v>
      </c>
      <c r="BH357" s="20">
        <f t="shared" si="34"/>
        <v>7.3409978768704295E-2</v>
      </c>
      <c r="BI357" s="20">
        <f t="shared" si="34"/>
        <v>0.63990767269290982</v>
      </c>
      <c r="BJ357" s="21"/>
    </row>
    <row r="358" spans="1:62" x14ac:dyDescent="0.25">
      <c r="A358" t="s">
        <v>611</v>
      </c>
      <c r="E358" s="20">
        <f t="shared" ref="E358:AL358" si="35">E347/E351</f>
        <v>0.1591239734824535</v>
      </c>
      <c r="F358" s="20">
        <f t="shared" si="35"/>
        <v>0.29370428033980983</v>
      </c>
      <c r="G358" s="20">
        <f t="shared" si="35"/>
        <v>5.9599923228683489E-4</v>
      </c>
      <c r="H358" s="20">
        <f t="shared" si="35"/>
        <v>3.9596752456763196E-2</v>
      </c>
      <c r="I358" s="20">
        <f t="shared" si="35"/>
        <v>6.5653588476544886E-2</v>
      </c>
      <c r="J358" s="20">
        <f t="shared" si="35"/>
        <v>5.1338300485406893E-4</v>
      </c>
      <c r="K358" s="20">
        <f t="shared" si="35"/>
        <v>0</v>
      </c>
      <c r="L358" s="20">
        <f t="shared" si="35"/>
        <v>0.35878031572695512</v>
      </c>
      <c r="M358" s="20">
        <f t="shared" si="35"/>
        <v>6.6254682717436814E-2</v>
      </c>
      <c r="N358" s="20">
        <f>N347/N351</f>
        <v>0</v>
      </c>
      <c r="O358" s="20">
        <f t="shared" si="35"/>
        <v>0.18952395738211658</v>
      </c>
      <c r="P358" s="20">
        <f t="shared" si="35"/>
        <v>1.639912283667683E-3</v>
      </c>
      <c r="Q358" s="20">
        <f t="shared" si="35"/>
        <v>7.4583998176430369E-2</v>
      </c>
      <c r="R358" s="20">
        <f t="shared" si="35"/>
        <v>5.1897214983637075E-3</v>
      </c>
      <c r="S358" s="20">
        <f t="shared" si="35"/>
        <v>0.29426048471205646</v>
      </c>
      <c r="T358" s="20">
        <f t="shared" si="35"/>
        <v>0</v>
      </c>
      <c r="U358" s="20">
        <f t="shared" si="35"/>
        <v>0</v>
      </c>
      <c r="V358" s="20">
        <f t="shared" si="35"/>
        <v>6.5565677008117918E-4</v>
      </c>
      <c r="W358" s="20">
        <f t="shared" si="35"/>
        <v>0.12473654365391919</v>
      </c>
      <c r="X358" s="20">
        <f t="shared" si="35"/>
        <v>0.77850128814183062</v>
      </c>
      <c r="Y358" s="20">
        <f t="shared" si="35"/>
        <v>0.29237183450145843</v>
      </c>
      <c r="Z358" s="20">
        <f t="shared" si="35"/>
        <v>0.33647059460718248</v>
      </c>
      <c r="AA358" s="20">
        <f t="shared" si="35"/>
        <v>6.2226179030995153E-4</v>
      </c>
      <c r="AB358" s="20">
        <f t="shared" si="35"/>
        <v>0.17009525933340075</v>
      </c>
      <c r="AC358" s="20">
        <f t="shared" si="35"/>
        <v>0.30520028074792821</v>
      </c>
      <c r="AD358" s="20">
        <f t="shared" si="35"/>
        <v>0.30742215177851534</v>
      </c>
      <c r="AE358" s="20">
        <f t="shared" si="35"/>
        <v>0.27282299984248076</v>
      </c>
      <c r="AF358" s="20">
        <f t="shared" si="35"/>
        <v>0.61380428941226428</v>
      </c>
      <c r="AG358" s="20">
        <f t="shared" si="35"/>
        <v>0.29618419325013662</v>
      </c>
      <c r="AH358" s="20">
        <f t="shared" si="35"/>
        <v>0.29879405909003803</v>
      </c>
      <c r="AI358" s="20">
        <f t="shared" si="35"/>
        <v>0.59934334106356413</v>
      </c>
      <c r="AJ358" s="20">
        <f t="shared" si="35"/>
        <v>0.3587177778181117</v>
      </c>
      <c r="AK358" s="20">
        <f t="shared" si="35"/>
        <v>0.2069097966340013</v>
      </c>
      <c r="AL358" s="20">
        <f t="shared" si="35"/>
        <v>0.20719498173241552</v>
      </c>
      <c r="AM358" s="20">
        <f>AM347/AM351</f>
        <v>0</v>
      </c>
      <c r="AN358" s="20">
        <f>AN347/AN351</f>
        <v>0.20715171856568265</v>
      </c>
      <c r="AO358" s="20">
        <f>AO347/AO351</f>
        <v>0.31969161956890702</v>
      </c>
      <c r="AP358" s="20">
        <f>AP347/AP351</f>
        <v>0.90583076108537219</v>
      </c>
      <c r="AQ358" s="20">
        <f t="shared" ref="AQ358:AW358" si="36">AQ347/AQ351</f>
        <v>0.61938114269279665</v>
      </c>
      <c r="AR358" s="20">
        <f t="shared" si="36"/>
        <v>0.88960660699620098</v>
      </c>
      <c r="AS358" s="20">
        <f t="shared" si="36"/>
        <v>0.24772866013989653</v>
      </c>
      <c r="AT358" s="20" t="e">
        <f t="shared" si="36"/>
        <v>#DIV/0!</v>
      </c>
      <c r="AU358" s="20">
        <f t="shared" si="36"/>
        <v>0.12855779129685896</v>
      </c>
      <c r="AV358" s="20">
        <f t="shared" si="36"/>
        <v>0.89635770482974375</v>
      </c>
      <c r="AW358" s="20">
        <f t="shared" si="36"/>
        <v>0.8797183930438669</v>
      </c>
      <c r="AX358" s="20">
        <f>AX347/AX351</f>
        <v>0.77747152408309272</v>
      </c>
      <c r="AY358" s="20">
        <f t="shared" ref="AY358:BI358" si="37">AY347/AY351</f>
        <v>0.17676793600478141</v>
      </c>
      <c r="AZ358" s="20">
        <f t="shared" si="37"/>
        <v>0.84399987706748525</v>
      </c>
      <c r="BA358" s="20">
        <f t="shared" si="37"/>
        <v>0.77817304512159169</v>
      </c>
      <c r="BB358" s="20">
        <f t="shared" si="37"/>
        <v>0.31564140116604417</v>
      </c>
      <c r="BC358" s="20">
        <f t="shared" si="37"/>
        <v>8.9167610652856233E-4</v>
      </c>
      <c r="BD358" s="20">
        <f t="shared" si="37"/>
        <v>0.84898790212338426</v>
      </c>
      <c r="BE358" s="20">
        <f t="shared" si="37"/>
        <v>0.32058684768896006</v>
      </c>
      <c r="BF358" s="20">
        <f t="shared" si="37"/>
        <v>0.32058684768896006</v>
      </c>
      <c r="BG358" s="20">
        <f t="shared" si="37"/>
        <v>0.85233141098772269</v>
      </c>
      <c r="BH358" s="20">
        <f t="shared" si="37"/>
        <v>0.26516607446405133</v>
      </c>
      <c r="BI358" s="20">
        <f t="shared" si="37"/>
        <v>9.0868957986831587E-4</v>
      </c>
      <c r="BJ358" s="21"/>
    </row>
    <row r="359" spans="1:62" x14ac:dyDescent="0.25">
      <c r="A359" t="s">
        <v>612</v>
      </c>
      <c r="E359" s="20">
        <f t="shared" ref="E359:AL359" si="38">E348/E351</f>
        <v>7.9343866056410389E-2</v>
      </c>
      <c r="F359" s="20">
        <f t="shared" si="38"/>
        <v>3.0189821759582361E-2</v>
      </c>
      <c r="G359" s="20">
        <f t="shared" si="38"/>
        <v>7.8460097532309397E-2</v>
      </c>
      <c r="H359" s="20">
        <f t="shared" si="38"/>
        <v>0.87640192376235904</v>
      </c>
      <c r="I359" s="20">
        <f t="shared" si="38"/>
        <v>8.0128544742781124E-2</v>
      </c>
      <c r="J359" s="20">
        <f t="shared" si="38"/>
        <v>0.10497538098600492</v>
      </c>
      <c r="K359" s="20">
        <f t="shared" si="38"/>
        <v>7.0884931009367824E-2</v>
      </c>
      <c r="L359" s="20">
        <f t="shared" si="38"/>
        <v>4.2222843152142947E-2</v>
      </c>
      <c r="M359" s="20">
        <f t="shared" si="38"/>
        <v>0.1258756697022731</v>
      </c>
      <c r="N359" s="20">
        <f>N348/N351</f>
        <v>0</v>
      </c>
      <c r="O359" s="20">
        <f t="shared" si="38"/>
        <v>0</v>
      </c>
      <c r="P359" s="20">
        <f t="shared" si="38"/>
        <v>9.4520686482138863E-2</v>
      </c>
      <c r="Q359" s="20">
        <f t="shared" si="38"/>
        <v>0</v>
      </c>
      <c r="R359" s="20">
        <f t="shared" si="38"/>
        <v>2.3155725851282858E-3</v>
      </c>
      <c r="S359" s="20">
        <f t="shared" si="38"/>
        <v>-1.630603040258366E-2</v>
      </c>
      <c r="T359" s="20">
        <f t="shared" si="38"/>
        <v>0</v>
      </c>
      <c r="U359" s="20">
        <f t="shared" si="38"/>
        <v>1.3989267823714447E-2</v>
      </c>
      <c r="V359" s="20">
        <f t="shared" si="38"/>
        <v>0.10946174658359786</v>
      </c>
      <c r="W359" s="20">
        <f t="shared" si="38"/>
        <v>0.11885741503644016</v>
      </c>
      <c r="X359" s="20">
        <f t="shared" si="38"/>
        <v>0</v>
      </c>
      <c r="Y359" s="20">
        <f t="shared" si="38"/>
        <v>7.1822275461052756E-2</v>
      </c>
      <c r="Z359" s="20">
        <f t="shared" si="38"/>
        <v>0</v>
      </c>
      <c r="AA359" s="20">
        <f t="shared" si="38"/>
        <v>4.0441006499365988E-2</v>
      </c>
      <c r="AB359" s="20">
        <f t="shared" si="38"/>
        <v>0</v>
      </c>
      <c r="AC359" s="20">
        <f t="shared" si="38"/>
        <v>3.8611302997990753E-2</v>
      </c>
      <c r="AD359" s="20">
        <f t="shared" si="38"/>
        <v>0</v>
      </c>
      <c r="AE359" s="20">
        <f t="shared" si="38"/>
        <v>8.3629316491010505E-2</v>
      </c>
      <c r="AF359" s="20">
        <f t="shared" si="38"/>
        <v>-2.9976904781801154E-2</v>
      </c>
      <c r="AG359" s="20">
        <f t="shared" si="38"/>
        <v>3.8232990436684454E-2</v>
      </c>
      <c r="AH359" s="20">
        <f t="shared" si="38"/>
        <v>7.7272821966375194E-2</v>
      </c>
      <c r="AI359" s="20">
        <f t="shared" si="38"/>
        <v>3.0002265533703768E-3</v>
      </c>
      <c r="AJ359" s="20">
        <f t="shared" si="38"/>
        <v>2.0542820069713919E-5</v>
      </c>
      <c r="AK359" s="20">
        <f t="shared" si="38"/>
        <v>3.1763584552262552E-5</v>
      </c>
      <c r="AL359" s="20">
        <f t="shared" si="38"/>
        <v>1.9031008321116929E-5</v>
      </c>
      <c r="AM359" s="20">
        <f>AM348/AM351</f>
        <v>1.7675220922708679E-2</v>
      </c>
      <c r="AN359" s="20">
        <f>AN348/AN351</f>
        <v>2.8499830816705122E-5</v>
      </c>
      <c r="AO359" s="20">
        <f>AO348/AO351</f>
        <v>-1.9323249653668034E-2</v>
      </c>
      <c r="AP359" s="20">
        <f>AP348/AP351</f>
        <v>0</v>
      </c>
      <c r="AQ359" s="20">
        <f t="shared" ref="AQ359:AW359" si="39">AQ348/AQ351</f>
        <v>-1.8902228333448946E-2</v>
      </c>
      <c r="AR359" s="20">
        <f t="shared" si="39"/>
        <v>0</v>
      </c>
      <c r="AS359" s="20">
        <f t="shared" si="39"/>
        <v>-1.3988840372435763E-2</v>
      </c>
      <c r="AT359" s="20" t="e">
        <f t="shared" si="39"/>
        <v>#DIV/0!</v>
      </c>
      <c r="AU359" s="20">
        <f t="shared" si="39"/>
        <v>-4.0084939828547959E-3</v>
      </c>
      <c r="AV359" s="20">
        <f t="shared" si="39"/>
        <v>0</v>
      </c>
      <c r="AW359" s="20">
        <f t="shared" si="39"/>
        <v>0</v>
      </c>
      <c r="AX359" s="20">
        <f>AX348/AX351</f>
        <v>0</v>
      </c>
      <c r="AY359" s="20">
        <f t="shared" ref="AY359:BI359" si="40">AY348/AY351</f>
        <v>0</v>
      </c>
      <c r="AZ359" s="20">
        <f t="shared" si="40"/>
        <v>0</v>
      </c>
      <c r="BA359" s="20">
        <f t="shared" si="40"/>
        <v>0</v>
      </c>
      <c r="BB359" s="20">
        <f t="shared" si="40"/>
        <v>-1.9069738621722624E-2</v>
      </c>
      <c r="BC359" s="20">
        <f t="shared" si="40"/>
        <v>0</v>
      </c>
      <c r="BD359" s="20">
        <f t="shared" si="40"/>
        <v>0</v>
      </c>
      <c r="BE359" s="20">
        <f t="shared" si="40"/>
        <v>-2.0311724560959261E-2</v>
      </c>
      <c r="BF359" s="20">
        <f t="shared" si="40"/>
        <v>-2.0311724560959261E-2</v>
      </c>
      <c r="BG359" s="20">
        <f t="shared" si="40"/>
        <v>0</v>
      </c>
      <c r="BH359" s="20">
        <f t="shared" si="40"/>
        <v>0</v>
      </c>
      <c r="BI359" s="20">
        <f t="shared" si="40"/>
        <v>0</v>
      </c>
      <c r="BJ359" s="21"/>
    </row>
    <row r="360" spans="1:62" x14ac:dyDescent="0.25">
      <c r="A360" t="s">
        <v>613</v>
      </c>
      <c r="E360" s="20">
        <f t="shared" ref="E360:M360" si="41">E349/E351</f>
        <v>0.22164963840516222</v>
      </c>
      <c r="F360" s="20">
        <f t="shared" si="41"/>
        <v>7.578571354921998E-2</v>
      </c>
      <c r="G360" s="20">
        <f t="shared" si="41"/>
        <v>7.6160368187069824E-2</v>
      </c>
      <c r="H360" s="20">
        <f t="shared" si="41"/>
        <v>1.46144556552485E-2</v>
      </c>
      <c r="I360" s="20">
        <f t="shared" si="41"/>
        <v>8.7597847783171159E-2</v>
      </c>
      <c r="J360" s="20">
        <f t="shared" si="41"/>
        <v>7.0959300749365434E-2</v>
      </c>
      <c r="K360" s="20">
        <f t="shared" si="41"/>
        <v>4.3862885236884468E-2</v>
      </c>
      <c r="L360" s="20">
        <f t="shared" si="41"/>
        <v>0.23953032976270447</v>
      </c>
      <c r="M360" s="20">
        <f t="shared" si="41"/>
        <v>0.20440598937128418</v>
      </c>
      <c r="N360" s="20">
        <f>N349/N351</f>
        <v>-2.1988877457900877E-5</v>
      </c>
      <c r="O360" s="20">
        <f t="shared" ref="O360:AL360" si="42">O349/O351</f>
        <v>4.452010613998025E-4</v>
      </c>
      <c r="P360" s="20">
        <f t="shared" si="42"/>
        <v>6.4557668280505354E-2</v>
      </c>
      <c r="Q360" s="20">
        <f t="shared" si="42"/>
        <v>1.1870537246677118E-2</v>
      </c>
      <c r="R360" s="20">
        <f t="shared" si="42"/>
        <v>4.5605646528542092E-2</v>
      </c>
      <c r="S360" s="20">
        <f t="shared" si="42"/>
        <v>4.7305476081286275E-2</v>
      </c>
      <c r="T360" s="20">
        <f t="shared" si="42"/>
        <v>0</v>
      </c>
      <c r="U360" s="20">
        <f t="shared" si="42"/>
        <v>4.6511923106774121E-2</v>
      </c>
      <c r="V360" s="20">
        <f t="shared" si="42"/>
        <v>7.0464137205987834E-2</v>
      </c>
      <c r="W360" s="20">
        <f t="shared" si="42"/>
        <v>8.1447791945011894E-2</v>
      </c>
      <c r="X360" s="20">
        <f t="shared" si="42"/>
        <v>-4.0353630122366473E-2</v>
      </c>
      <c r="Y360" s="20">
        <f t="shared" si="42"/>
        <v>0.15875763846605812</v>
      </c>
      <c r="Z360" s="20">
        <f t="shared" si="42"/>
        <v>-9.9343324517303655E-3</v>
      </c>
      <c r="AA360" s="20">
        <f t="shared" si="42"/>
        <v>7.3309709277192478E-2</v>
      </c>
      <c r="AB360" s="20">
        <f t="shared" si="42"/>
        <v>7.5462554871215566E-3</v>
      </c>
      <c r="AC360" s="20">
        <f t="shared" si="42"/>
        <v>6.7095021875104285E-2</v>
      </c>
      <c r="AD360" s="20">
        <f t="shared" si="42"/>
        <v>3.1668785226891157E-3</v>
      </c>
      <c r="AE360" s="20">
        <f t="shared" si="42"/>
        <v>0.20329200798431526</v>
      </c>
      <c r="AF360" s="20">
        <f t="shared" si="42"/>
        <v>4.6447251041678676E-2</v>
      </c>
      <c r="AG360" s="20">
        <f t="shared" si="42"/>
        <v>3.1038732286571388E-3</v>
      </c>
      <c r="AH360" s="20">
        <f t="shared" si="42"/>
        <v>0.23516161907370203</v>
      </c>
      <c r="AI360" s="20">
        <f t="shared" si="42"/>
        <v>6.094504154736298E-2</v>
      </c>
      <c r="AJ360" s="20">
        <f t="shared" si="42"/>
        <v>-1.1906066932383592E-2</v>
      </c>
      <c r="AK360" s="20">
        <f t="shared" si="42"/>
        <v>-1.4244005341061794E-2</v>
      </c>
      <c r="AL360" s="20">
        <f t="shared" si="42"/>
        <v>-1.4288966961874037E-2</v>
      </c>
      <c r="AM360" s="20">
        <f>AM349/AM351</f>
        <v>4.54549989733119E-2</v>
      </c>
      <c r="AN360" s="20">
        <f>AN349/AN351</f>
        <v>-1.447223158023978E-2</v>
      </c>
      <c r="AO360" s="20">
        <f>AO349/AO351</f>
        <v>3.6463635246938852E-2</v>
      </c>
      <c r="AP360" s="20">
        <f>AP349/AP351</f>
        <v>4.2905036031902414E-5</v>
      </c>
      <c r="AQ360" s="20">
        <f t="shared" ref="AQ360:AW360" si="43">AQ349/AQ351</f>
        <v>3.0831997847022775E-2</v>
      </c>
      <c r="AR360" s="20">
        <f t="shared" si="43"/>
        <v>2.324706808589081E-6</v>
      </c>
      <c r="AS360" s="20">
        <f t="shared" si="43"/>
        <v>3.5202379390470939E-2</v>
      </c>
      <c r="AT360" s="20" t="e">
        <f t="shared" si="43"/>
        <v>#DIV/0!</v>
      </c>
      <c r="AU360" s="20">
        <f t="shared" si="43"/>
        <v>2.444413593494554E-2</v>
      </c>
      <c r="AV360" s="20">
        <f t="shared" si="43"/>
        <v>3.4677170595514932E-4</v>
      </c>
      <c r="AW360" s="20">
        <f t="shared" si="43"/>
        <v>3.8115659432961922E-4</v>
      </c>
      <c r="AX360" s="20">
        <f>AX349/AX351</f>
        <v>-4.0482757045557406E-2</v>
      </c>
      <c r="AY360" s="20">
        <f t="shared" ref="AY360:BI360" si="44">AY349/AY351</f>
        <v>4.3568581893428091E-2</v>
      </c>
      <c r="AZ360" s="20">
        <f t="shared" si="44"/>
        <v>5.9072353351803004E-2</v>
      </c>
      <c r="BA360" s="20">
        <f t="shared" si="44"/>
        <v>-4.0203102706754069E-2</v>
      </c>
      <c r="BB360" s="20">
        <f t="shared" si="44"/>
        <v>3.5343867457858336E-2</v>
      </c>
      <c r="BC360" s="20">
        <f t="shared" si="44"/>
        <v>4.0816752197894143E-2</v>
      </c>
      <c r="BD360" s="20">
        <f t="shared" si="44"/>
        <v>6.3801061021586961E-2</v>
      </c>
      <c r="BE360" s="20">
        <f t="shared" si="44"/>
        <v>3.6040946685179515E-2</v>
      </c>
      <c r="BF360" s="20">
        <f t="shared" si="44"/>
        <v>3.6040946685179515E-2</v>
      </c>
      <c r="BG360" s="20">
        <f t="shared" si="44"/>
        <v>6.353731528511472E-2</v>
      </c>
      <c r="BH360" s="20">
        <f t="shared" si="44"/>
        <v>-9.5733090132934136E-3</v>
      </c>
      <c r="BI360" s="20">
        <f t="shared" si="44"/>
        <v>4.1888720385388115E-2</v>
      </c>
      <c r="BJ360" s="21"/>
    </row>
    <row r="361" spans="1:62" x14ac:dyDescent="0.25">
      <c r="A361" s="21" t="s">
        <v>696</v>
      </c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</row>
  </sheetData>
  <mergeCells count="3">
    <mergeCell ref="A2:BI2"/>
    <mergeCell ref="BJ2:BJ361"/>
    <mergeCell ref="A361:BI361"/>
  </mergeCells>
  <conditionalFormatting sqref="A18:A34">
    <cfRule type="cellIs" dxfId="3" priority="17" stopIfTrue="1" operator="lessThan">
      <formula>0</formula>
    </cfRule>
  </conditionalFormatting>
  <conditionalFormatting sqref="B24:B34">
    <cfRule type="cellIs" dxfId="2" priority="26" stopIfTrue="1" operator="lessThan">
      <formula>0</formula>
    </cfRule>
  </conditionalFormatting>
  <conditionalFormatting sqref="C17:D25">
    <cfRule type="cellIs" dxfId="1" priority="18" stopIfTrue="1" operator="lessThan">
      <formula>0</formula>
    </cfRule>
  </conditionalFormatting>
  <conditionalFormatting sqref="E16:BI24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1</Category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4</Value>
      <Value>9</Value>
      <Value>5</Value>
      <Value>11</Value>
      <Value>12</Value>
    </kupa_ktp>
    <Kupa_Hishtalmut xmlns="e7c93c0b-31f4-4d6d-a404-57fd37393f5c">
      <Value>13</Value>
      <Value>14</Value>
      <Value>16</Value>
      <Value>17</Value>
      <Value>18</Value>
      <Value>9</Value>
      <Value>2</Value>
      <Value>3</Value>
      <Value>11</Value>
      <Value>12</Value>
      <Value>4</Value>
      <Value>5</Value>
      <Value>6</Value>
    </Kupa_Hishtalmut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166B9998-BC68-466E-BECA-0BCFEBB1905F}"/>
</file>

<file path=customXml/itemProps2.xml><?xml version="1.0" encoding="utf-8"?>
<ds:datastoreItem xmlns:ds="http://schemas.openxmlformats.org/officeDocument/2006/customXml" ds:itemID="{E27D8ECB-6140-4DDF-B1F9-63612A03C023}"/>
</file>

<file path=customXml/itemProps3.xml><?xml version="1.0" encoding="utf-8"?>
<ds:datastoreItem xmlns:ds="http://schemas.openxmlformats.org/officeDocument/2006/customXml" ds:itemID="{CF19562E-EEEB-4499-BEC3-BB1B6ADD94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8/2025</dc:title>
  <dc:creator>פרידמן אמיר</dc:creator>
  <cp:lastModifiedBy>Tami Berman</cp:lastModifiedBy>
  <dcterms:created xsi:type="dcterms:W3CDTF">2025-09-15T11:46:39Z</dcterms:created>
  <dcterms:modified xsi:type="dcterms:W3CDTF">2025-09-18T05:27:23Z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