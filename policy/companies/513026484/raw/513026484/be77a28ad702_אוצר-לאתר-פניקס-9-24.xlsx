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usf25330\Downloads\"/>
    </mc:Choice>
  </mc:AlternateContent>
  <xr:revisionPtr revIDLastSave="0" documentId="8_{759490C4-2B71-4152-BED4-91D2231D99D5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354" i="1" l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E351" i="1" l="1"/>
  <c r="E353" i="1" s="1"/>
  <c r="Q351" i="1"/>
  <c r="Q353" i="1" s="1"/>
  <c r="AG351" i="1"/>
  <c r="AG353" i="1" s="1"/>
  <c r="AS351" i="1"/>
  <c r="AS353" i="1" s="1"/>
  <c r="BE351" i="1"/>
  <c r="BE353" i="1" s="1"/>
  <c r="BE355" i="1"/>
  <c r="BQ351" i="1"/>
  <c r="BQ353" i="1" s="1"/>
  <c r="H351" i="1"/>
  <c r="H353" i="1" s="1"/>
  <c r="L351" i="1"/>
  <c r="L353" i="1" s="1"/>
  <c r="P351" i="1"/>
  <c r="P353" i="1" s="1"/>
  <c r="T351" i="1"/>
  <c r="T353" i="1" s="1"/>
  <c r="X351" i="1"/>
  <c r="X353" i="1" s="1"/>
  <c r="AB351" i="1"/>
  <c r="AB353" i="1" s="1"/>
  <c r="AF351" i="1"/>
  <c r="AF353" i="1" s="1"/>
  <c r="AJ351" i="1"/>
  <c r="AJ353" i="1" s="1"/>
  <c r="AN351" i="1"/>
  <c r="AN353" i="1" s="1"/>
  <c r="AR351" i="1"/>
  <c r="AR353" i="1" s="1"/>
  <c r="AV351" i="1"/>
  <c r="AV353" i="1" s="1"/>
  <c r="AZ351" i="1"/>
  <c r="AZ353" i="1" s="1"/>
  <c r="BD351" i="1"/>
  <c r="BD353" i="1" s="1"/>
  <c r="BH351" i="1"/>
  <c r="BH353" i="1" s="1"/>
  <c r="BL351" i="1"/>
  <c r="BL353" i="1" s="1"/>
  <c r="BP351" i="1"/>
  <c r="BP353" i="1" s="1"/>
  <c r="E358" i="1"/>
  <c r="AC351" i="1"/>
  <c r="AC353" i="1" s="1"/>
  <c r="AS359" i="1"/>
  <c r="I351" i="1"/>
  <c r="I353" i="1" s="1"/>
  <c r="U351" i="1"/>
  <c r="U353" i="1" s="1"/>
  <c r="AO351" i="1"/>
  <c r="AO353" i="1" s="1"/>
  <c r="BA351" i="1"/>
  <c r="BA353" i="1" s="1"/>
  <c r="BM351" i="1"/>
  <c r="BM353" i="1" s="1"/>
  <c r="F351" i="1"/>
  <c r="F353" i="1" s="1"/>
  <c r="F355" i="1"/>
  <c r="J351" i="1"/>
  <c r="J353" i="1" s="1"/>
  <c r="N351" i="1"/>
  <c r="N353" i="1" s="1"/>
  <c r="R351" i="1"/>
  <c r="R353" i="1" s="1"/>
  <c r="V351" i="1"/>
  <c r="V355" i="1" s="1"/>
  <c r="Z351" i="1"/>
  <c r="Z353" i="1" s="1"/>
  <c r="AD351" i="1"/>
  <c r="AD353" i="1" s="1"/>
  <c r="AH351" i="1"/>
  <c r="AH353" i="1" s="1"/>
  <c r="AL351" i="1"/>
  <c r="AL355" i="1" s="1"/>
  <c r="AP351" i="1"/>
  <c r="AP353" i="1" s="1"/>
  <c r="AP355" i="1"/>
  <c r="AT351" i="1"/>
  <c r="AT353" i="1" s="1"/>
  <c r="AX351" i="1"/>
  <c r="AX353" i="1" s="1"/>
  <c r="BB351" i="1"/>
  <c r="BB355" i="1" s="1"/>
  <c r="BF351" i="1"/>
  <c r="BF353" i="1" s="1"/>
  <c r="BJ351" i="1"/>
  <c r="BJ353" i="1" s="1"/>
  <c r="BN351" i="1"/>
  <c r="BN353" i="1" s="1"/>
  <c r="E356" i="1"/>
  <c r="Q356" i="1"/>
  <c r="L357" i="1"/>
  <c r="X357" i="1"/>
  <c r="AB357" i="1"/>
  <c r="AR357" i="1"/>
  <c r="AZ357" i="1"/>
  <c r="M351" i="1"/>
  <c r="M353" i="1" s="1"/>
  <c r="Y351" i="1"/>
  <c r="Y353" i="1" s="1"/>
  <c r="AK351" i="1"/>
  <c r="AK353" i="1" s="1"/>
  <c r="AK355" i="1"/>
  <c r="AW351" i="1"/>
  <c r="AW353" i="1" s="1"/>
  <c r="AW355" i="1"/>
  <c r="BI351" i="1"/>
  <c r="BI353" i="1" s="1"/>
  <c r="BI355" i="1"/>
  <c r="L356" i="1"/>
  <c r="G351" i="1"/>
  <c r="G353" i="1" s="1"/>
  <c r="K351" i="1"/>
  <c r="K353" i="1" s="1"/>
  <c r="O351" i="1"/>
  <c r="O353" i="1" s="1"/>
  <c r="S351" i="1"/>
  <c r="S353" i="1" s="1"/>
  <c r="W351" i="1"/>
  <c r="W353" i="1" s="1"/>
  <c r="AA351" i="1"/>
  <c r="AA353" i="1" s="1"/>
  <c r="AE351" i="1"/>
  <c r="AE353" i="1" s="1"/>
  <c r="AI351" i="1"/>
  <c r="AI353" i="1" s="1"/>
  <c r="AM351" i="1"/>
  <c r="AM353" i="1" s="1"/>
  <c r="AQ351" i="1"/>
  <c r="AQ353" i="1" s="1"/>
  <c r="AU351" i="1"/>
  <c r="AU353" i="1" s="1"/>
  <c r="AY351" i="1"/>
  <c r="AY353" i="1" s="1"/>
  <c r="BC351" i="1"/>
  <c r="BC353" i="1" s="1"/>
  <c r="BG351" i="1"/>
  <c r="BG357" i="1" s="1"/>
  <c r="BK351" i="1"/>
  <c r="BK353" i="1" s="1"/>
  <c r="BO351" i="1"/>
  <c r="BO353" i="1" s="1"/>
  <c r="E357" i="1"/>
  <c r="M357" i="1"/>
  <c r="Q357" i="1"/>
  <c r="AS357" i="1"/>
  <c r="L358" i="1"/>
  <c r="P358" i="1"/>
  <c r="X358" i="1"/>
  <c r="AB358" i="1"/>
  <c r="AR358" i="1"/>
  <c r="BH358" i="1"/>
  <c r="BL358" i="1"/>
  <c r="BP358" i="1"/>
  <c r="AP360" i="1"/>
  <c r="X360" i="1"/>
  <c r="AV360" i="1"/>
  <c r="AZ360" i="1"/>
  <c r="V359" i="1"/>
  <c r="BJ359" i="1"/>
  <c r="BN359" i="1"/>
  <c r="E360" i="1"/>
  <c r="M360" i="1"/>
  <c r="Q360" i="1"/>
  <c r="AS360" i="1"/>
  <c r="BE360" i="1"/>
  <c r="BI360" i="1"/>
  <c r="AS358" i="1"/>
  <c r="L359" i="1"/>
  <c r="P359" i="1"/>
  <c r="X359" i="1"/>
  <c r="AB359" i="1"/>
  <c r="AJ359" i="1"/>
  <c r="AN359" i="1"/>
  <c r="AR359" i="1"/>
  <c r="AV359" i="1"/>
  <c r="AM360" i="1"/>
  <c r="AO358" i="1" l="1"/>
  <c r="AJ360" i="1"/>
  <c r="BP359" i="1"/>
  <c r="AW360" i="1"/>
  <c r="AT359" i="1"/>
  <c r="AF360" i="1"/>
  <c r="AV358" i="1"/>
  <c r="BE357" i="1"/>
  <c r="AB356" i="1"/>
  <c r="BF355" i="1"/>
  <c r="E359" i="1"/>
  <c r="AN357" i="1"/>
  <c r="AN360" i="1"/>
  <c r="BN356" i="1"/>
  <c r="BH359" i="1"/>
  <c r="BE356" i="1"/>
  <c r="BH356" i="1"/>
  <c r="AJ356" i="1"/>
  <c r="H359" i="1"/>
  <c r="N359" i="1"/>
  <c r="AN358" i="1"/>
  <c r="BH357" i="1"/>
  <c r="AO360" i="1"/>
  <c r="BN360" i="1"/>
  <c r="AO357" i="1"/>
  <c r="AO356" i="1"/>
  <c r="BE358" i="1"/>
  <c r="BP360" i="1"/>
  <c r="AT360" i="1"/>
  <c r="AF358" i="1"/>
  <c r="AK357" i="1"/>
  <c r="AC356" i="1"/>
  <c r="Q358" i="1"/>
  <c r="AW356" i="1"/>
  <c r="BC359" i="1"/>
  <c r="BD357" i="1"/>
  <c r="BI358" i="1"/>
  <c r="AM359" i="1"/>
  <c r="AJ358" i="1"/>
  <c r="BD356" i="1"/>
  <c r="AK360" i="1"/>
  <c r="Y355" i="1"/>
  <c r="Z355" i="1"/>
  <c r="BD355" i="1"/>
  <c r="X355" i="1"/>
  <c r="M355" i="1"/>
  <c r="AO355" i="1"/>
  <c r="G358" i="1"/>
  <c r="BD360" i="1"/>
  <c r="BD358" i="1"/>
  <c r="Z360" i="1"/>
  <c r="I357" i="1"/>
  <c r="BD359" i="1"/>
  <c r="R360" i="1"/>
  <c r="BI357" i="1"/>
  <c r="H357" i="1"/>
  <c r="Z358" i="1"/>
  <c r="L360" i="1"/>
  <c r="AH359" i="1"/>
  <c r="AD359" i="1"/>
  <c r="AD360" i="1"/>
  <c r="G359" i="1"/>
  <c r="AW357" i="1"/>
  <c r="BQ359" i="1"/>
  <c r="M356" i="1"/>
  <c r="Q359" i="1"/>
  <c r="AN355" i="1"/>
  <c r="I360" i="1"/>
  <c r="W359" i="1"/>
  <c r="BC360" i="1"/>
  <c r="AH356" i="1"/>
  <c r="F359" i="1"/>
  <c r="F356" i="1"/>
  <c r="W360" i="1"/>
  <c r="AW358" i="1"/>
  <c r="BB359" i="1"/>
  <c r="BG358" i="1"/>
  <c r="J360" i="1"/>
  <c r="G357" i="1"/>
  <c r="BI356" i="1"/>
  <c r="M359" i="1"/>
  <c r="G360" i="1"/>
  <c r="Y360" i="1"/>
  <c r="AX359" i="1"/>
  <c r="AQ358" i="1"/>
  <c r="F360" i="1"/>
  <c r="J355" i="1"/>
  <c r="E355" i="1"/>
  <c r="BF358" i="1"/>
  <c r="BO360" i="1"/>
  <c r="AI360" i="1"/>
  <c r="AZ359" i="1"/>
  <c r="T359" i="1"/>
  <c r="BM358" i="1"/>
  <c r="BO358" i="1"/>
  <c r="AY359" i="1"/>
  <c r="S359" i="1"/>
  <c r="BB356" i="1"/>
  <c r="V356" i="1"/>
  <c r="BP357" i="1"/>
  <c r="BM356" i="1"/>
  <c r="AS356" i="1"/>
  <c r="BN355" i="1"/>
  <c r="AH355" i="1"/>
  <c r="I355" i="1"/>
  <c r="AK359" i="1"/>
  <c r="J358" i="1"/>
  <c r="AG358" i="1"/>
  <c r="F357" i="1"/>
  <c r="AV355" i="1"/>
  <c r="P355" i="1"/>
  <c r="AV356" i="1"/>
  <c r="BL359" i="1"/>
  <c r="AF359" i="1"/>
  <c r="AG360" i="1"/>
  <c r="AL359" i="1"/>
  <c r="R359" i="1"/>
  <c r="BL360" i="1"/>
  <c r="H358" i="1"/>
  <c r="AG357" i="1"/>
  <c r="AX356" i="1"/>
  <c r="R356" i="1"/>
  <c r="AI358" i="1"/>
  <c r="T357" i="1"/>
  <c r="BM359" i="1"/>
  <c r="AG359" i="1"/>
  <c r="AF356" i="1"/>
  <c r="AY360" i="1"/>
  <c r="S360" i="1"/>
  <c r="BM360" i="1"/>
  <c r="AC360" i="1"/>
  <c r="AY358" i="1"/>
  <c r="AX360" i="1"/>
  <c r="BO359" i="1"/>
  <c r="AI359" i="1"/>
  <c r="AZ358" i="1"/>
  <c r="T358" i="1"/>
  <c r="BM357" i="1"/>
  <c r="AC357" i="1"/>
  <c r="AL356" i="1"/>
  <c r="S358" i="1"/>
  <c r="AJ357" i="1"/>
  <c r="AG356" i="1"/>
  <c r="I356" i="1"/>
  <c r="AX355" i="1"/>
  <c r="R355" i="1"/>
  <c r="BM355" i="1"/>
  <c r="P360" i="1"/>
  <c r="BI359" i="1"/>
  <c r="AP358" i="1"/>
  <c r="T356" i="1"/>
  <c r="M358" i="1"/>
  <c r="BL355" i="1"/>
  <c r="AF355" i="1"/>
  <c r="AG355" i="1"/>
  <c r="AU360" i="1"/>
  <c r="O360" i="1"/>
  <c r="BJ360" i="1"/>
  <c r="AE359" i="1"/>
  <c r="Y357" i="1"/>
  <c r="BJ356" i="1"/>
  <c r="BG360" i="1"/>
  <c r="AQ360" i="1"/>
  <c r="AA360" i="1"/>
  <c r="K360" i="1"/>
  <c r="BQ358" i="1"/>
  <c r="BA358" i="1"/>
  <c r="BQ360" i="1"/>
  <c r="BA360" i="1"/>
  <c r="U360" i="1"/>
  <c r="BF359" i="1"/>
  <c r="AP359" i="1"/>
  <c r="Z359" i="1"/>
  <c r="J359" i="1"/>
  <c r="BK358" i="1"/>
  <c r="AU358" i="1"/>
  <c r="BH360" i="1"/>
  <c r="AR360" i="1"/>
  <c r="AB360" i="1"/>
  <c r="BF360" i="1"/>
  <c r="AH360" i="1"/>
  <c r="N360" i="1"/>
  <c r="BK359" i="1"/>
  <c r="AQ359" i="1"/>
  <c r="AA359" i="1"/>
  <c r="K359" i="1"/>
  <c r="BQ357" i="1"/>
  <c r="BA357" i="1"/>
  <c r="U357" i="1"/>
  <c r="BF356" i="1"/>
  <c r="AP356" i="1"/>
  <c r="Z356" i="1"/>
  <c r="J356" i="1"/>
  <c r="BO355" i="1"/>
  <c r="BG355" i="1"/>
  <c r="AY355" i="1"/>
  <c r="AQ355" i="1"/>
  <c r="AI355" i="1"/>
  <c r="AA355" i="1"/>
  <c r="S355" i="1"/>
  <c r="K355" i="1"/>
  <c r="G355" i="1"/>
  <c r="AN356" i="1"/>
  <c r="AA358" i="1"/>
  <c r="K358" i="1"/>
  <c r="BL357" i="1"/>
  <c r="AV357" i="1"/>
  <c r="AF357" i="1"/>
  <c r="P357" i="1"/>
  <c r="BQ356" i="1"/>
  <c r="BA356" i="1"/>
  <c r="AK356" i="1"/>
  <c r="U356" i="1"/>
  <c r="BJ355" i="1"/>
  <c r="AT355" i="1"/>
  <c r="AD355" i="1"/>
  <c r="N355" i="1"/>
  <c r="AA357" i="1"/>
  <c r="X356" i="1"/>
  <c r="BA355" i="1"/>
  <c r="U355" i="1"/>
  <c r="T360" i="1"/>
  <c r="H360" i="1"/>
  <c r="BE359" i="1"/>
  <c r="AO359" i="1"/>
  <c r="Y359" i="1"/>
  <c r="I359" i="1"/>
  <c r="BJ358" i="1"/>
  <c r="AT358" i="1"/>
  <c r="AD358" i="1"/>
  <c r="N358" i="1"/>
  <c r="BO357" i="1"/>
  <c r="AY357" i="1"/>
  <c r="AI357" i="1"/>
  <c r="AZ356" i="1"/>
  <c r="AC355" i="1"/>
  <c r="AK358" i="1"/>
  <c r="U358" i="1"/>
  <c r="BF357" i="1"/>
  <c r="AP357" i="1"/>
  <c r="Z357" i="1"/>
  <c r="J357" i="1"/>
  <c r="BK356" i="1"/>
  <c r="AU356" i="1"/>
  <c r="AE356" i="1"/>
  <c r="O356" i="1"/>
  <c r="BP355" i="1"/>
  <c r="BH355" i="1"/>
  <c r="AZ355" i="1"/>
  <c r="AR355" i="1"/>
  <c r="AJ355" i="1"/>
  <c r="AB355" i="1"/>
  <c r="T355" i="1"/>
  <c r="L355" i="1"/>
  <c r="H355" i="1"/>
  <c r="BL356" i="1"/>
  <c r="BQ355" i="1"/>
  <c r="AS355" i="1"/>
  <c r="Q355" i="1"/>
  <c r="W357" i="1"/>
  <c r="AM358" i="1"/>
  <c r="W358" i="1"/>
  <c r="BB360" i="1"/>
  <c r="BB353" i="1"/>
  <c r="AL360" i="1"/>
  <c r="AL353" i="1"/>
  <c r="V360" i="1"/>
  <c r="V353" i="1"/>
  <c r="BA359" i="1"/>
  <c r="U359" i="1"/>
  <c r="BK357" i="1"/>
  <c r="AU357" i="1"/>
  <c r="AE357" i="1"/>
  <c r="BB357" i="1"/>
  <c r="AL357" i="1"/>
  <c r="V357" i="1"/>
  <c r="BG356" i="1"/>
  <c r="AQ356" i="1"/>
  <c r="AA356" i="1"/>
  <c r="K356" i="1"/>
  <c r="BC358" i="1"/>
  <c r="BK355" i="1"/>
  <c r="BC355" i="1"/>
  <c r="AU355" i="1"/>
  <c r="AM355" i="1"/>
  <c r="AE355" i="1"/>
  <c r="W355" i="1"/>
  <c r="O355" i="1"/>
  <c r="AW359" i="1"/>
  <c r="BB358" i="1"/>
  <c r="AL358" i="1"/>
  <c r="V358" i="1"/>
  <c r="AQ357" i="1"/>
  <c r="O357" i="1"/>
  <c r="AC358" i="1"/>
  <c r="BN357" i="1"/>
  <c r="AX357" i="1"/>
  <c r="AH357" i="1"/>
  <c r="R357" i="1"/>
  <c r="BC356" i="1"/>
  <c r="AM356" i="1"/>
  <c r="W356" i="1"/>
  <c r="S357" i="1"/>
  <c r="BK360" i="1"/>
  <c r="AE360" i="1"/>
  <c r="AU359" i="1"/>
  <c r="O359" i="1"/>
  <c r="AT356" i="1"/>
  <c r="AD356" i="1"/>
  <c r="N356" i="1"/>
  <c r="BG353" i="1"/>
  <c r="BG359" i="1"/>
  <c r="AE358" i="1"/>
  <c r="O358" i="1"/>
  <c r="Y356" i="1"/>
  <c r="AR356" i="1"/>
  <c r="AC359" i="1"/>
  <c r="BN358" i="1"/>
  <c r="AX358" i="1"/>
  <c r="AH358" i="1"/>
  <c r="R358" i="1"/>
  <c r="F358" i="1"/>
  <c r="BC357" i="1"/>
  <c r="AM357" i="1"/>
  <c r="BP356" i="1"/>
  <c r="H356" i="1"/>
  <c r="Y358" i="1"/>
  <c r="I358" i="1"/>
  <c r="BJ357" i="1"/>
  <c r="AT357" i="1"/>
  <c r="AD357" i="1"/>
  <c r="N357" i="1"/>
  <c r="BO356" i="1"/>
  <c r="AY356" i="1"/>
  <c r="AI356" i="1"/>
  <c r="S356" i="1"/>
  <c r="G356" i="1"/>
  <c r="K357" i="1"/>
  <c r="P356" i="1"/>
</calcChain>
</file>

<file path=xl/sharedStrings.xml><?xml version="1.0" encoding="utf-8"?>
<sst xmlns="http://schemas.openxmlformats.org/spreadsheetml/2006/main" count="769" uniqueCount="701">
  <si>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</si>
  <si>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</si>
  <si>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</si>
  <si>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</si>
  <si>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</si>
  <si>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</si>
  <si>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</si>
  <si>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</si>
  <si>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</si>
  <si>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</si>
  <si>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</si>
  <si>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</si>
  <si>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</si>
  <si>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</si>
  <si>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</si>
  <si>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</si>
  <si>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</si>
  <si>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</si>
  <si>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</si>
  <si>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</si>
  <si>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</si>
  <si>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</si>
  <si>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</si>
  <si>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</si>
  <si>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</si>
  <si>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</si>
  <si>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</si>
  <si>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</si>
  <si>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</si>
  <si>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</si>
  <si>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</si>
  <si>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</si>
  <si>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</si>
  <si>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</si>
  <si>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</si>
  <si>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</si>
  <si>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</si>
  <si>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</si>
  <si>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</si>
  <si>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</si>
  <si>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</si>
  <si>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</si>
  <si>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</si>
  <si>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</si>
  <si>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</si>
  <si>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</si>
  <si>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</si>
  <si>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</si>
  <si>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</si>
  <si>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</si>
  <si>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</si>
  <si>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</si>
  <si>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</si>
  <si>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</si>
  <si>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</si>
  <si>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</si>
  <si>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</si>
  <si>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</si>
  <si>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</si>
  <si>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</si>
  <si>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</si>
  <si>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</si>
  <si>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</si>
  <si>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</si>
  <si>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</si>
  <si>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</si>
  <si>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</si>
  <si>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</si>
  <si>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</si>
  <si>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</si>
  <si>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</si>
  <si>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</si>
  <si>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</si>
  <si>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</si>
  <si>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</si>
  <si>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</si>
  <si>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</si>
  <si>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</si>
  <si>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</si>
  <si>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</si>
  <si>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</si>
  <si>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</si>
  <si>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</si>
  <si>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</si>
  <si>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</si>
  <si>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</si>
  <si>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</si>
  <si>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</si>
  <si>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</si>
  <si>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</si>
  <si>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</si>
  <si>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</si>
  <si>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</si>
  <si>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</si>
  <si>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</si>
  <si>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</si>
  <si>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</si>
  <si>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</si>
  <si>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</si>
  <si>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</si>
  <si>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</si>
  <si>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</si>
  <si>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</si>
  <si>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</si>
  <si>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</si>
  <si>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</si>
  <si>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</si>
  <si>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</si>
  <si>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</si>
  <si>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</si>
  <si>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</si>
  <si>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</si>
  <si>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</si>
  <si>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</si>
  <si>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</si>
  <si>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</si>
  <si>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</si>
  <si>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</si>
  <si>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</si>
  <si>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</si>
  <si>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</si>
  <si>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</si>
  <si>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</si>
  <si>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</si>
  <si>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</si>
  <si>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</si>
  <si>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</si>
  <si>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</si>
  <si>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</si>
  <si>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</si>
  <si>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</si>
  <si>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</si>
  <si>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</si>
  <si>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</si>
  <si>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</si>
  <si>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</si>
  <si>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</si>
  <si>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</si>
  <si>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</si>
  <si>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</si>
  <si>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</si>
  <si>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</si>
  <si>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</si>
  <si>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</si>
  <si>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</si>
  <si>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</si>
  <si>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</si>
  <si>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</si>
  <si>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</si>
  <si>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</si>
  <si>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</si>
  <si>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</si>
  <si>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</si>
  <si>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</si>
  <si>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</si>
  <si>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</si>
  <si>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</si>
  <si>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</si>
  <si>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</si>
  <si>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</si>
  <si>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</si>
  <si>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</si>
  <si>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</si>
  <si>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</si>
  <si>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</si>
  <si>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</si>
  <si>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</si>
  <si>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</si>
  <si>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</si>
  <si>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</si>
  <si>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</si>
  <si>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</si>
  <si>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</si>
  <si>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</si>
  <si>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</si>
  <si>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</si>
  <si>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</si>
  <si>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</si>
  <si>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</si>
  <si>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</si>
  <si>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</si>
  <si>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</si>
  <si>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</si>
  <si>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</si>
  <si>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</si>
  <si>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</si>
  <si>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</si>
  <si>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</si>
  <si>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</si>
  <si>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</si>
  <si>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</si>
  <si>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</si>
  <si>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</si>
  <si>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</si>
  <si>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</si>
  <si>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</si>
  <si>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</si>
  <si>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</si>
  <si>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</si>
  <si>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</si>
  <si>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</si>
  <si>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</si>
  <si>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</si>
  <si>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</si>
  <si>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</si>
  <si>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</si>
  <si>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</si>
  <si>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</si>
  <si>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</si>
  <si>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</si>
  <si>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</si>
  <si>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</si>
  <si>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</si>
  <si>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</si>
  <si>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</si>
  <si>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</si>
  <si>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</si>
  <si>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</si>
  <si>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</si>
  <si>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</si>
  <si>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</si>
  <si>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</si>
  <si>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</si>
  <si>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</si>
  <si>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</si>
  <si>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</si>
  <si>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</si>
  <si>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</si>
  <si>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</si>
  <si>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</si>
  <si>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</si>
  <si>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</si>
  <si>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</si>
  <si>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</si>
  <si>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</si>
  <si>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</si>
  <si>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</si>
  <si>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</si>
  <si>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</si>
  <si>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</si>
  <si>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</si>
  <si>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</si>
  <si>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</si>
  <si>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</si>
  <si>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</si>
  <si>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</si>
  <si>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</si>
  <si>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</si>
  <si>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</si>
  <si>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</si>
  <si>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</si>
  <si>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</si>
  <si>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</si>
  <si>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</si>
  <si>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</si>
  <si>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</si>
  <si>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</si>
  <si>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</si>
  <si>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</si>
  <si>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</si>
  <si>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</si>
  <si>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</si>
  <si>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</si>
  <si>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</si>
  <si>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</si>
  <si>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</si>
  <si>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</si>
  <si>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</si>
  <si>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</si>
  <si>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</si>
  <si>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</si>
  <si>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</si>
  <si>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</si>
  <si>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</si>
  <si>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</si>
  <si>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</si>
  <si>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</si>
  <si>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</si>
  <si>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</si>
  <si>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</si>
  <si>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</si>
  <si>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</si>
  <si>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</si>
  <si>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</si>
  <si>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</si>
  <si>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</si>
  <si>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</si>
  <si>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</si>
  <si>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</si>
  <si>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</si>
  <si>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</si>
  <si>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</si>
  <si>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</si>
  <si>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</si>
  <si>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</si>
  <si>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</si>
  <si>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</si>
  <si>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</si>
  <si>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</si>
  <si>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</si>
  <si>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</si>
  <si>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</si>
  <si>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</si>
  <si>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</si>
  <si>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</si>
  <si>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</si>
  <si>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</si>
  <si>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</si>
  <si>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</si>
  <si>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</si>
  <si>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</si>
  <si>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</si>
  <si>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</si>
  <si>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</si>
  <si>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</si>
  <si>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</si>
  <si>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</si>
  <si>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</si>
  <si>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</si>
  <si>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</si>
  <si>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</si>
  <si>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</si>
  <si>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</si>
  <si>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</si>
  <si>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</si>
  <si>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</si>
  <si>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</si>
  <si>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</si>
  <si>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</si>
  <si>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</si>
  <si>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</si>
  <si>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</si>
  <si>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</si>
  <si>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</si>
  <si>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</si>
  <si>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</si>
  <si>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</si>
  <si>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</si>
  <si>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</si>
  <si>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</si>
  <si>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</si>
  <si>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</si>
  <si>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</si>
  <si>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</si>
  <si>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</si>
  <si>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</si>
  <si>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</si>
  <si>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</si>
  <si>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</si>
  <si>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</si>
  <si>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</si>
  <si>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</si>
  <si>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</si>
  <si>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</si>
  <si>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</si>
  <si>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</si>
  <si>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</si>
  <si>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</si>
  <si>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</si>
  <si>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</si>
  <si>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</si>
  <si>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</si>
  <si>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</si>
  <si>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</si>
  <si>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</si>
  <si>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</si>
  <si>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</si>
  <si>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</si>
  <si>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</si>
  <si>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</si>
  <si>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</si>
  <si>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</si>
  <si>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</si>
  <si>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</si>
  <si>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</si>
  <si>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</si>
  <si>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</si>
  <si>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</si>
  <si>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</si>
  <si>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</si>
  <si>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</si>
  <si>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</si>
  <si>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</si>
  <si>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</si>
  <si>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</si>
  <si>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</si>
  <si>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</si>
  <si>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</si>
  <si>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</si>
  <si>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</si>
  <si>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</si>
  <si>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</si>
  <si>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</si>
  <si>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</si>
  <si>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</si>
  <si>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</si>
  <si>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</si>
  <si>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</si>
  <si>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</si>
  <si>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</si>
  <si>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</si>
  <si>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</si>
  <si>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</si>
  <si>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</si>
  <si>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</si>
  <si>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</si>
  <si>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</si>
  <si>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</si>
  <si>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</si>
  <si>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</si>
  <si>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</si>
  <si>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</si>
  <si>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</si>
  <si>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</si>
  <si>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</si>
  <si>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</si>
  <si>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</si>
  <si>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</si>
  <si>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</si>
  <si>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</si>
  <si>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</si>
  <si>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</si>
  <si>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</si>
  <si>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</si>
  <si>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</si>
  <si>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</si>
  <si>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</si>
  <si>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</si>
  <si>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</si>
  <si>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</si>
  <si>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</si>
  <si>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</si>
  <si>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</si>
  <si>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</si>
  <si>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</si>
  <si>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</si>
  <si>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</si>
  <si>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</si>
  <si>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</si>
  <si>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</si>
  <si>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</si>
  <si>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</si>
  <si>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</si>
  <si>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</si>
  <si>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</si>
  <si>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</si>
  <si>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</si>
  <si>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</si>
  <si>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</si>
  <si>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</si>
  <si>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</si>
  <si>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</si>
  <si>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</si>
  <si>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</si>
  <si>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</si>
  <si>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</si>
  <si>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</si>
  <si>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</si>
  <si>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</si>
  <si>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</si>
  <si>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</si>
  <si>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</si>
  <si>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</si>
  <si>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</si>
  <si>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</si>
  <si>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</si>
  <si>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</si>
  <si>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</si>
  <si>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</si>
  <si>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</si>
  <si>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</si>
  <si>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</si>
  <si>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</si>
  <si>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</si>
  <si>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</si>
  <si>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</si>
  <si>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</si>
  <si>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</si>
  <si>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</si>
  <si>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</si>
  <si>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</si>
  <si>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</si>
  <si>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</si>
  <si>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</si>
  <si>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</si>
  <si>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</si>
  <si>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</si>
  <si>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</si>
  <si>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</si>
  <si>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</si>
  <si>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</si>
  <si>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</si>
  <si>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</si>
  <si>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</si>
  <si>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</si>
  <si>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</si>
  <si>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</si>
  <si>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</si>
  <si>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</si>
  <si>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</si>
  <si>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</si>
  <si>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</si>
  <si>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</si>
  <si>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</si>
  <si>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</si>
  <si>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</si>
  <si>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</si>
  <si>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</si>
  <si>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</si>
  <si>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</si>
  <si>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</si>
  <si>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</si>
  <si>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</si>
  <si>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</si>
  <si>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</si>
  <si>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</si>
  <si>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</si>
  <si>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</si>
  <si>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</si>
  <si>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</si>
  <si>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</si>
  <si>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</si>
  <si>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</si>
  <si>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</si>
  <si>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</si>
  <si>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</si>
  <si>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</si>
  <si>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</si>
  <si>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</si>
  <si>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</si>
  <si>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</si>
  <si>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</si>
  <si>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</si>
  <si>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</si>
  <si>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</si>
  <si>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</si>
  <si>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</si>
  <si>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</si>
  <si>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</si>
  <si>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</si>
  <si>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</si>
  <si>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</si>
  <si>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</si>
  <si>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</si>
  <si>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</si>
  <si>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</si>
  <si>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</si>
  <si>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</si>
  <si>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</si>
  <si>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</si>
  <si>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</si>
  <si>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</si>
  <si>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</si>
  <si>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</si>
  <si>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</si>
  <si>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</si>
  <si>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</si>
  <si>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</si>
  <si>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</si>
  <si>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</si>
  <si>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</si>
  <si>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</si>
  <si>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</si>
  <si>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</si>
  <si>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</si>
  <si>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</si>
  <si>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</si>
  <si>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</si>
  <si>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</si>
  <si>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</si>
  <si>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</si>
  <si>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</si>
  <si>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</si>
  <si>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</si>
  <si>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</si>
  <si>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</si>
  <si>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</si>
  <si>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</si>
  <si>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</si>
  <si>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</si>
  <si>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</si>
  <si>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</si>
  <si>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</si>
  <si>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</si>
  <si>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</si>
  <si>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</si>
  <si>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</si>
  <si>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</si>
  <si>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</si>
  <si>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</si>
  <si>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</si>
  <si>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</si>
  <si>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</si>
  <si>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</si>
  <si>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</si>
  <si>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</si>
  <si>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</si>
  <si>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</si>
  <si>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</si>
  <si>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</si>
  <si>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</si>
  <si>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</si>
  <si>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</si>
  <si>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</si>
  <si>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</si>
  <si>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</si>
  <si>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</si>
  <si>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</si>
  <si>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</si>
  <si>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</si>
  <si>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</si>
  <si>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</si>
  <si>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</si>
  <si>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</si>
  <si>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</si>
  <si>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</si>
  <si>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</si>
  <si>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</si>
  <si>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</si>
  <si>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</si>
  <si>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</si>
  <si>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</si>
  <si>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</si>
  <si>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</si>
  <si>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</si>
  <si>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</si>
  <si>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</si>
  <si>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</si>
  <si>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</si>
  <si>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</si>
  <si>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</si>
  <si>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</si>
  <si>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</si>
  <si>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</si>
  <si>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</si>
  <si>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</si>
  <si>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</si>
  <si>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</si>
  <si>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</si>
  <si>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</si>
  <si>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</si>
  <si>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</si>
  <si>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</si>
  <si>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</si>
  <si>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</si>
  <si>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</si>
  <si>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</si>
  <si>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</si>
  <si>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</si>
  <si>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</si>
  <si>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</si>
  <si>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</si>
  <si>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</si>
  <si>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</si>
  <si>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</si>
  <si>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</si>
  <si>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</si>
  <si>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</si>
  <si>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</si>
  <si>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</si>
  <si>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</si>
  <si>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</si>
  <si>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</si>
  <si>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</si>
  <si>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</si>
  <si>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</si>
  <si>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</si>
  <si>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</si>
  <si>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</si>
  <si>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</si>
  <si>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</si>
  <si>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</si>
  <si>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</si>
  <si>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</si>
  <si>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</si>
  <si>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</si>
  <si>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</si>
  <si>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</si>
  <si>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</si>
  <si>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</si>
  <si>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</si>
  <si>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</si>
  <si>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</si>
  <si>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</si>
  <si>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</si>
  <si>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</si>
  <si>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</si>
  <si>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</si>
  <si>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</si>
  <si>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</si>
  <si>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</si>
  <si>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</si>
  <si>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</si>
  <si>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</si>
  <si>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</si>
  <si>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</si>
  <si>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</si>
  <si>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513026484-00000000000102-8626-000</t>
  </si>
  <si>
    <t>סיום מידע טבלה צד שמאל</t>
  </si>
  <si>
    <t xml:space="preserve">סיום מידע טבלה 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</si>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</sst>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#,##0.00_ ;\-#,##0.00\ "/>
    <numFmt numFmtId="168" formatCode="#,##0.000_ ;\-#,##0.000\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0" fontId="8" fillId="0" borderId="0" xfId="0" applyFont="1"/>
    <xf numFmtId="10" fontId="9" fillId="0" borderId="0" xfId="2" applyNumberFormat="1" applyFont="1"/>
    <xf numFmtId="167" fontId="0" fillId="0" borderId="0" xfId="1" applyNumberFormat="1" applyFont="1"/>
    <xf numFmtId="2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80333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3</xdr:col>
      <xdr:colOff>123444</xdr:colOff>
      <xdr:row>0</xdr:row>
      <xdr:rowOff>0</xdr:rowOff>
    </xdr:from>
    <xdr:to>
      <xdr:col>3</xdr:col>
      <xdr:colOff>411480</xdr:colOff>
      <xdr:row>1</xdr:row>
      <xdr:rowOff>91440</xdr:rowOff>
    </xdr:to>
    <xdr:pic>
      <xdr:nvPicPr>
        <xdr:cNvPr id="3" name="Picture 2" descr="קוֹבֶץ זֶה הוּנְגַּש עַל יְדֵי חברת אֵיְי טוּ זִי - סֶמֶל הַנגישוּת">
          <a:extLst>
            <a:ext uri="{FF2B5EF4-FFF2-40B4-BE49-F238E27FC236}">
              <a16:creationId xmlns:a16="http://schemas.microsoft.com/office/drawing/2014/main" id="{6791EEAD-1C9D-4EA1-8504-1C3DE61F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619620" y="0"/>
          <a:ext cx="288036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252"/>
      <sheetName val="גיליון254"/>
      <sheetName val="גיליון256"/>
      <sheetName val="גיליון258"/>
      <sheetName val="גיליון260"/>
      <sheetName val="גיליון26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R361"/>
  <sheetViews>
    <sheetView rightToLeft="1" tabSelected="1" workbookViewId="0">
      <selection activeCell="J10" sqref="J10"/>
    </sheetView>
  </sheetViews>
  <sheetFormatPr defaultRowHeight="14.25" x14ac:dyDescent="0.2"/>
  <cols>
    <col min="5" max="5" width="13" bestFit="1" customWidth="1"/>
    <col min="6" max="6" width="11.375" bestFit="1" customWidth="1"/>
    <col min="7" max="8" width="11.875" bestFit="1" customWidth="1"/>
    <col min="9" max="9" width="10.375" bestFit="1" customWidth="1"/>
    <col min="10" max="10" width="11.375" bestFit="1" customWidth="1"/>
    <col min="12" max="12" width="11.375" bestFit="1" customWidth="1"/>
    <col min="13" max="14" width="13" bestFit="1" customWidth="1"/>
    <col min="15" max="15" width="10.375" bestFit="1" customWidth="1"/>
    <col min="16" max="16" width="9.375" bestFit="1" customWidth="1"/>
    <col min="17" max="17" width="10.375" bestFit="1" customWidth="1"/>
    <col min="18" max="19" width="9.375" bestFit="1" customWidth="1"/>
    <col min="20" max="20" width="11.375" bestFit="1" customWidth="1"/>
    <col min="22" max="22" width="11.375" bestFit="1" customWidth="1"/>
    <col min="23" max="24" width="10.375" bestFit="1" customWidth="1"/>
    <col min="25" max="25" width="11.375" bestFit="1" customWidth="1"/>
    <col min="26" max="26" width="11.875" bestFit="1" customWidth="1"/>
    <col min="27" max="27" width="10.375" bestFit="1" customWidth="1"/>
    <col min="28" max="29" width="11.375" bestFit="1" customWidth="1"/>
    <col min="30" max="31" width="10.375" bestFit="1" customWidth="1"/>
    <col min="32" max="32" width="13" bestFit="1" customWidth="1"/>
    <col min="33" max="33" width="11.375" bestFit="1" customWidth="1"/>
    <col min="34" max="34" width="10.375" bestFit="1" customWidth="1"/>
    <col min="35" max="36" width="13" bestFit="1" customWidth="1"/>
    <col min="37" max="37" width="11.375" bestFit="1" customWidth="1"/>
    <col min="38" max="38" width="13" bestFit="1" customWidth="1"/>
    <col min="40" max="40" width="13" bestFit="1" customWidth="1"/>
    <col min="41" max="41" width="10.375" bestFit="1" customWidth="1"/>
    <col min="42" max="42" width="13" bestFit="1" customWidth="1"/>
    <col min="43" max="43" width="9.375" bestFit="1" customWidth="1"/>
    <col min="44" max="44" width="10.375" bestFit="1" customWidth="1"/>
    <col min="45" max="45" width="11.375" bestFit="1" customWidth="1"/>
    <col min="46" max="46" width="10.375" bestFit="1" customWidth="1"/>
    <col min="47" max="47" width="9.375" bestFit="1" customWidth="1"/>
    <col min="49" max="52" width="10.375" bestFit="1" customWidth="1"/>
    <col min="53" max="54" width="9.375" bestFit="1" customWidth="1"/>
    <col min="55" max="55" width="10.375" bestFit="1" customWidth="1"/>
    <col min="56" max="58" width="9.375" bestFit="1" customWidth="1"/>
    <col min="61" max="61" width="9.375" bestFit="1" customWidth="1"/>
    <col min="62" max="62" width="11.375" bestFit="1" customWidth="1"/>
    <col min="63" max="63" width="9.375" bestFit="1" customWidth="1"/>
  </cols>
  <sheetData>
    <row r="2" spans="1:70" x14ac:dyDescent="0.2">
      <c r="A2" s="23" t="s">
        <v>700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 t="s">
        <v>698</v>
      </c>
    </row>
    <row r="3" spans="1:70" ht="15.75" x14ac:dyDescent="0.25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100</v>
      </c>
      <c r="L3">
        <v>102</v>
      </c>
      <c r="M3">
        <v>122</v>
      </c>
      <c r="N3">
        <v>142</v>
      </c>
      <c r="O3">
        <v>164</v>
      </c>
      <c r="P3">
        <v>167</v>
      </c>
      <c r="Q3">
        <v>169</v>
      </c>
      <c r="R3">
        <v>425</v>
      </c>
      <c r="S3">
        <v>426</v>
      </c>
      <c r="T3">
        <v>499</v>
      </c>
      <c r="U3">
        <v>519</v>
      </c>
      <c r="V3">
        <v>526</v>
      </c>
      <c r="W3">
        <v>570</v>
      </c>
      <c r="X3">
        <v>571</v>
      </c>
      <c r="Y3">
        <v>572</v>
      </c>
      <c r="Z3">
        <v>573</v>
      </c>
      <c r="AA3">
        <v>574</v>
      </c>
      <c r="AB3">
        <v>628</v>
      </c>
      <c r="AC3">
        <v>629</v>
      </c>
      <c r="AD3">
        <v>631</v>
      </c>
      <c r="AE3">
        <v>632</v>
      </c>
      <c r="AF3">
        <v>658</v>
      </c>
      <c r="AG3">
        <v>660</v>
      </c>
      <c r="AH3">
        <v>662</v>
      </c>
      <c r="AI3">
        <v>664</v>
      </c>
      <c r="AJ3">
        <v>666</v>
      </c>
      <c r="AK3">
        <v>726</v>
      </c>
      <c r="AL3">
        <v>737</v>
      </c>
      <c r="AM3">
        <v>805</v>
      </c>
      <c r="AN3">
        <v>827</v>
      </c>
      <c r="AO3">
        <v>575</v>
      </c>
      <c r="AP3">
        <v>576</v>
      </c>
      <c r="AQ3">
        <v>359</v>
      </c>
      <c r="AR3" s="9">
        <v>828</v>
      </c>
      <c r="AS3" s="9">
        <v>844</v>
      </c>
      <c r="AT3" s="9">
        <v>839</v>
      </c>
      <c r="AU3" s="9">
        <v>857</v>
      </c>
      <c r="AV3" s="9">
        <v>851</v>
      </c>
      <c r="AW3" s="9">
        <v>849</v>
      </c>
      <c r="AX3" s="9">
        <v>846</v>
      </c>
      <c r="AY3" s="9">
        <v>834</v>
      </c>
      <c r="AZ3" s="9">
        <v>506</v>
      </c>
      <c r="BA3" s="9">
        <v>521</v>
      </c>
      <c r="BB3" s="9">
        <v>522</v>
      </c>
      <c r="BC3" s="9">
        <v>528</v>
      </c>
      <c r="BD3" s="9">
        <v>548</v>
      </c>
      <c r="BE3" s="9">
        <v>551</v>
      </c>
      <c r="BF3" s="9">
        <v>555</v>
      </c>
      <c r="BG3" s="9">
        <v>558</v>
      </c>
      <c r="BH3" s="9">
        <v>558</v>
      </c>
      <c r="BI3" s="9">
        <v>578</v>
      </c>
      <c r="BJ3" s="9">
        <v>580</v>
      </c>
      <c r="BK3" s="9">
        <v>577</v>
      </c>
      <c r="BL3" s="9">
        <v>488</v>
      </c>
      <c r="BM3" s="9">
        <v>360</v>
      </c>
      <c r="BN3" s="9">
        <v>121</v>
      </c>
      <c r="BO3" s="9">
        <v>807</v>
      </c>
      <c r="BP3" s="9">
        <v>525</v>
      </c>
      <c r="BQ3" s="9">
        <v>101</v>
      </c>
      <c r="BR3" s="23"/>
    </row>
    <row r="4" spans="1:70" x14ac:dyDescent="0.2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686</v>
      </c>
      <c r="L4" s="10">
        <v>715</v>
      </c>
      <c r="M4" s="10">
        <v>9916</v>
      </c>
      <c r="N4" s="10">
        <v>1100</v>
      </c>
      <c r="O4" s="10">
        <v>801</v>
      </c>
      <c r="P4" s="10">
        <v>804</v>
      </c>
      <c r="Q4" s="10">
        <v>806</v>
      </c>
      <c r="R4" s="10">
        <v>8765</v>
      </c>
      <c r="S4" s="10">
        <v>8766</v>
      </c>
      <c r="T4" s="10">
        <v>9418</v>
      </c>
      <c r="U4" s="10">
        <v>9475</v>
      </c>
      <c r="V4" s="10">
        <v>9906</v>
      </c>
      <c r="W4" s="10">
        <v>7905</v>
      </c>
      <c r="X4" s="10">
        <v>7906</v>
      </c>
      <c r="Y4" s="10">
        <v>7907</v>
      </c>
      <c r="Z4" s="10">
        <v>7908</v>
      </c>
      <c r="AA4" s="10">
        <v>7909</v>
      </c>
      <c r="AB4" s="10">
        <v>11310</v>
      </c>
      <c r="AC4" s="10">
        <v>11311</v>
      </c>
      <c r="AD4" s="10">
        <v>11312</v>
      </c>
      <c r="AE4" s="10">
        <v>11335</v>
      </c>
      <c r="AF4" s="10">
        <v>9529</v>
      </c>
      <c r="AG4" s="10">
        <v>961</v>
      </c>
      <c r="AH4" s="10">
        <v>9528</v>
      </c>
      <c r="AI4" s="10">
        <v>964</v>
      </c>
      <c r="AJ4" s="10">
        <v>968</v>
      </c>
      <c r="AK4" s="10">
        <v>8629</v>
      </c>
      <c r="AL4" s="10">
        <v>13264</v>
      </c>
      <c r="AM4" s="10">
        <v>9917</v>
      </c>
      <c r="AN4" s="10">
        <v>13263</v>
      </c>
      <c r="AO4" s="10">
        <v>13209</v>
      </c>
      <c r="AP4" s="10">
        <v>13250</v>
      </c>
      <c r="AQ4" s="10">
        <v>14281</v>
      </c>
      <c r="AR4" s="11">
        <v>2049</v>
      </c>
      <c r="AS4" s="12">
        <v>7975</v>
      </c>
      <c r="AT4" s="12">
        <v>8004</v>
      </c>
      <c r="AU4" s="11">
        <v>1008</v>
      </c>
      <c r="AV4" s="11">
        <v>9484</v>
      </c>
      <c r="AW4" s="11">
        <v>682</v>
      </c>
      <c r="AX4" s="11">
        <v>11352</v>
      </c>
      <c r="AY4" s="11">
        <v>2058</v>
      </c>
      <c r="AZ4" s="11">
        <v>15007</v>
      </c>
      <c r="BA4" s="11">
        <v>15208</v>
      </c>
      <c r="BB4" s="11">
        <v>15209</v>
      </c>
      <c r="BC4" s="11">
        <v>15210</v>
      </c>
      <c r="BD4" s="11">
        <v>15211</v>
      </c>
      <c r="BE4" s="11">
        <v>15212</v>
      </c>
      <c r="BF4" s="11">
        <v>15232</v>
      </c>
      <c r="BG4" s="11">
        <v>15214</v>
      </c>
      <c r="BH4" s="11">
        <v>15214</v>
      </c>
      <c r="BI4" s="11">
        <v>15233</v>
      </c>
      <c r="BJ4" s="11">
        <v>15234</v>
      </c>
      <c r="BK4" s="11">
        <v>15215</v>
      </c>
      <c r="BL4" s="11">
        <v>12088</v>
      </c>
      <c r="BM4" s="11">
        <v>14282</v>
      </c>
      <c r="BN4" s="11">
        <v>211</v>
      </c>
      <c r="BO4" s="11">
        <v>8624</v>
      </c>
      <c r="BP4" s="11">
        <v>9905</v>
      </c>
      <c r="BQ4" s="11">
        <v>1190</v>
      </c>
      <c r="BR4" s="23"/>
    </row>
    <row r="5" spans="1:70" ht="15.75" x14ac:dyDescent="0.25">
      <c r="A5" s="3">
        <v>45536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t="s">
        <v>651</v>
      </c>
      <c r="AQ5" t="s">
        <v>652</v>
      </c>
      <c r="AR5" s="13" t="s">
        <v>653</v>
      </c>
      <c r="AS5" s="14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 t="s">
        <v>660</v>
      </c>
      <c r="AZ5" s="13" t="s">
        <v>661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23"/>
    </row>
    <row r="6" spans="1:70" ht="15.75" x14ac:dyDescent="0.25">
      <c r="A6" s="4"/>
      <c r="B6" s="5"/>
      <c r="C6" s="5"/>
      <c r="D6" s="6" t="s">
        <v>0</v>
      </c>
      <c r="E6" s="15" t="s">
        <v>662</v>
      </c>
      <c r="F6" s="15" t="s">
        <v>663</v>
      </c>
      <c r="G6" s="15" t="s">
        <v>664</v>
      </c>
      <c r="H6" s="15" t="s">
        <v>665</v>
      </c>
      <c r="I6" s="15" t="s">
        <v>666</v>
      </c>
      <c r="J6" s="15" t="s">
        <v>667</v>
      </c>
      <c r="K6" s="15" t="s">
        <v>668</v>
      </c>
      <c r="L6" s="15" t="s">
        <v>669</v>
      </c>
      <c r="M6" s="15" t="s">
        <v>670</v>
      </c>
      <c r="N6" s="15" t="s">
        <v>671</v>
      </c>
      <c r="O6" s="15" t="s">
        <v>672</v>
      </c>
      <c r="P6" s="15" t="s">
        <v>673</v>
      </c>
      <c r="Q6" s="15" t="s">
        <v>674</v>
      </c>
      <c r="R6" s="15" t="s">
        <v>675</v>
      </c>
      <c r="S6" s="15" t="s">
        <v>676</v>
      </c>
      <c r="T6" s="15" t="s">
        <v>677</v>
      </c>
      <c r="U6" s="15" t="s">
        <v>678</v>
      </c>
      <c r="V6" s="15" t="s">
        <v>679</v>
      </c>
      <c r="W6" s="15" t="s">
        <v>680</v>
      </c>
      <c r="X6" s="15" t="s">
        <v>681</v>
      </c>
      <c r="Y6" s="15" t="s">
        <v>682</v>
      </c>
      <c r="Z6" s="15" t="s">
        <v>683</v>
      </c>
      <c r="AA6" s="15" t="s">
        <v>684</v>
      </c>
      <c r="AB6" s="15" t="s">
        <v>685</v>
      </c>
      <c r="AC6" s="15" t="s">
        <v>686</v>
      </c>
      <c r="AD6" s="15" t="s">
        <v>687</v>
      </c>
      <c r="AE6" s="15" t="s">
        <v>688</v>
      </c>
      <c r="AF6" s="15" t="s">
        <v>689</v>
      </c>
      <c r="AG6" s="15" t="s">
        <v>690</v>
      </c>
      <c r="AH6" s="15" t="s">
        <v>691</v>
      </c>
      <c r="AI6" s="15" t="s">
        <v>692</v>
      </c>
      <c r="AJ6" s="15" t="s">
        <v>693</v>
      </c>
      <c r="AK6" s="15" t="s">
        <v>694</v>
      </c>
      <c r="AL6" s="15" t="s">
        <v>695</v>
      </c>
      <c r="AM6" s="15" t="s">
        <v>696</v>
      </c>
      <c r="AN6" s="15" t="s">
        <v>697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23"/>
    </row>
    <row r="7" spans="1:70" ht="15.75" x14ac:dyDescent="0.25">
      <c r="A7" s="5" t="s">
        <v>1</v>
      </c>
      <c r="B7" s="5" t="s">
        <v>2</v>
      </c>
      <c r="C7" s="7">
        <v>1</v>
      </c>
      <c r="D7" s="7">
        <v>1</v>
      </c>
      <c r="E7" s="7">
        <v>181846.25200000001</v>
      </c>
      <c r="F7" s="7">
        <v>25585.949000000001</v>
      </c>
      <c r="G7" s="7">
        <v>23300.955999999998</v>
      </c>
      <c r="H7" s="7">
        <v>3.7530000000000001</v>
      </c>
      <c r="I7" s="7">
        <v>3634.3960000000002</v>
      </c>
      <c r="J7" s="7">
        <v>16114.754999999999</v>
      </c>
      <c r="K7" s="7">
        <v>0</v>
      </c>
      <c r="L7" s="7">
        <v>3169.1860000000001</v>
      </c>
      <c r="M7" s="7">
        <v>222803.46299999999</v>
      </c>
      <c r="N7" s="7">
        <v>65011.64</v>
      </c>
      <c r="O7" s="7">
        <v>3.0419999999999998</v>
      </c>
      <c r="P7" s="7">
        <v>398.346</v>
      </c>
      <c r="Q7" s="7">
        <v>32.747</v>
      </c>
      <c r="R7" s="7">
        <v>1609.056</v>
      </c>
      <c r="S7" s="7">
        <v>4504.777</v>
      </c>
      <c r="T7" s="7">
        <v>8000.9560000000001</v>
      </c>
      <c r="U7" s="7">
        <v>3.6999999999999998E-2</v>
      </c>
      <c r="V7" s="7">
        <v>2282.018</v>
      </c>
      <c r="W7" s="7">
        <v>1822.7950000000001</v>
      </c>
      <c r="X7" s="7">
        <v>5338.7640000000001</v>
      </c>
      <c r="Y7" s="7">
        <v>2421.29</v>
      </c>
      <c r="Z7" s="7">
        <v>43966.629000000001</v>
      </c>
      <c r="AA7" s="7">
        <v>7016.42</v>
      </c>
      <c r="AB7" s="7">
        <v>18239.952000000001</v>
      </c>
      <c r="AC7" s="7">
        <v>17657.377</v>
      </c>
      <c r="AD7" s="7">
        <v>4165.9399999999996</v>
      </c>
      <c r="AE7" s="7">
        <v>955.28399999999999</v>
      </c>
      <c r="AF7" s="7">
        <v>128136.893</v>
      </c>
      <c r="AG7" s="7">
        <v>36240.078000000001</v>
      </c>
      <c r="AH7" s="7">
        <v>4224.3760000000002</v>
      </c>
      <c r="AI7" s="7">
        <v>423460.25699999998</v>
      </c>
      <c r="AJ7" s="7">
        <v>63255.858</v>
      </c>
      <c r="AK7" s="7">
        <v>37787.052000000003</v>
      </c>
      <c r="AL7" s="7">
        <v>205581.40100000001</v>
      </c>
      <c r="AM7" s="7">
        <v>0</v>
      </c>
      <c r="AN7" s="7">
        <v>121240.651</v>
      </c>
      <c r="AO7" s="7">
        <v>445.90100000000001</v>
      </c>
      <c r="AP7" s="7">
        <v>68494.120999999999</v>
      </c>
      <c r="AQ7" s="7">
        <v>861.48199999999997</v>
      </c>
      <c r="AR7" s="7">
        <v>1617.481</v>
      </c>
      <c r="AS7" s="7">
        <v>11706.032999999999</v>
      </c>
      <c r="AT7" s="7">
        <v>585.35699999999997</v>
      </c>
      <c r="AU7" s="7">
        <v>131.09299999999999</v>
      </c>
      <c r="AV7" s="7">
        <v>0</v>
      </c>
      <c r="AW7" s="7">
        <v>6500.7309999999998</v>
      </c>
      <c r="AX7" s="7">
        <v>2252.1280000000002</v>
      </c>
      <c r="AY7" s="7">
        <v>2317.779</v>
      </c>
      <c r="AZ7" s="7">
        <v>1151.921</v>
      </c>
      <c r="BA7" s="7">
        <v>1400.4190000000001</v>
      </c>
      <c r="BB7" s="7">
        <v>327.065</v>
      </c>
      <c r="BC7" s="7">
        <v>6110.4780000000001</v>
      </c>
      <c r="BD7" s="7">
        <v>340.26600000000002</v>
      </c>
      <c r="BE7" s="7">
        <v>833.3</v>
      </c>
      <c r="BF7" s="7">
        <v>611.49099999999999</v>
      </c>
      <c r="BG7" s="7">
        <v>163.61799999999999</v>
      </c>
      <c r="BH7" s="7">
        <v>163.61799999999999</v>
      </c>
      <c r="BI7" s="7">
        <v>227.762</v>
      </c>
      <c r="BJ7" s="7">
        <v>23112.735000000001</v>
      </c>
      <c r="BK7" s="7">
        <v>595.26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23"/>
    </row>
    <row r="8" spans="1:70" ht="15.75" x14ac:dyDescent="0.25">
      <c r="A8" s="5" t="s">
        <v>3</v>
      </c>
      <c r="B8" s="5" t="s">
        <v>4</v>
      </c>
      <c r="C8" s="7">
        <v>1</v>
      </c>
      <c r="D8" s="7">
        <v>1</v>
      </c>
      <c r="E8" s="7">
        <v>61341.097000000002</v>
      </c>
      <c r="F8" s="7">
        <v>14989.125</v>
      </c>
      <c r="G8" s="7">
        <v>8770.3289999999997</v>
      </c>
      <c r="H8" s="7">
        <v>1438.9590000000001</v>
      </c>
      <c r="I8" s="7">
        <v>3677.9830000000002</v>
      </c>
      <c r="J8" s="7">
        <v>6227.9939999999997</v>
      </c>
      <c r="K8" s="7">
        <v>0</v>
      </c>
      <c r="L8" s="7">
        <v>0</v>
      </c>
      <c r="M8" s="7">
        <v>86700.456000000006</v>
      </c>
      <c r="N8" s="7">
        <v>27881.944</v>
      </c>
      <c r="O8" s="7">
        <v>0</v>
      </c>
      <c r="P8" s="7">
        <v>76.647000000000006</v>
      </c>
      <c r="Q8" s="7">
        <v>347.37</v>
      </c>
      <c r="R8" s="7">
        <v>120.842</v>
      </c>
      <c r="S8" s="7">
        <v>288.33699999999999</v>
      </c>
      <c r="T8" s="7">
        <v>3240.127</v>
      </c>
      <c r="U8" s="7">
        <v>0</v>
      </c>
      <c r="V8" s="7">
        <v>0</v>
      </c>
      <c r="W8" s="7">
        <v>835.755</v>
      </c>
      <c r="X8" s="7">
        <v>2529.424</v>
      </c>
      <c r="Y8" s="7">
        <v>9701.9639999999999</v>
      </c>
      <c r="Z8" s="7">
        <v>18589.244999999999</v>
      </c>
      <c r="AA8" s="7">
        <v>4967.5879999999997</v>
      </c>
      <c r="AB8" s="7">
        <v>9102.1470000000008</v>
      </c>
      <c r="AC8" s="7">
        <v>2571.9929999999999</v>
      </c>
      <c r="AD8" s="7">
        <v>2496.134</v>
      </c>
      <c r="AE8" s="7">
        <v>675.202</v>
      </c>
      <c r="AF8" s="7">
        <v>49080.398000000001</v>
      </c>
      <c r="AG8" s="7">
        <v>14400.749</v>
      </c>
      <c r="AH8" s="7">
        <v>2993.9290000000001</v>
      </c>
      <c r="AI8" s="7">
        <v>167473.18799999999</v>
      </c>
      <c r="AJ8" s="7">
        <v>25441.073</v>
      </c>
      <c r="AK8" s="7">
        <v>24613.825000000001</v>
      </c>
      <c r="AL8" s="7">
        <v>142904.95800000001</v>
      </c>
      <c r="AM8" s="7">
        <v>0</v>
      </c>
      <c r="AN8" s="7">
        <v>82410.850999999995</v>
      </c>
      <c r="AO8" s="7">
        <v>0</v>
      </c>
      <c r="AP8" s="7">
        <v>46306.021000000001</v>
      </c>
      <c r="AQ8" s="7">
        <v>348.30700000000002</v>
      </c>
      <c r="AR8" s="7">
        <v>3120.114</v>
      </c>
      <c r="AS8" s="7">
        <v>4054.9870000000001</v>
      </c>
      <c r="AT8" s="7">
        <v>1355.0309999999999</v>
      </c>
      <c r="AU8" s="7">
        <v>51.451999999999998</v>
      </c>
      <c r="AV8" s="7">
        <v>0</v>
      </c>
      <c r="AW8" s="7">
        <v>2602.9389999999999</v>
      </c>
      <c r="AX8" s="7">
        <v>4578.5550000000003</v>
      </c>
      <c r="AY8" s="7">
        <v>4763.7650000000003</v>
      </c>
      <c r="AZ8" s="7">
        <v>4588.9920000000002</v>
      </c>
      <c r="BA8" s="7">
        <v>147.88900000000001</v>
      </c>
      <c r="BB8" s="7">
        <v>19.056999999999999</v>
      </c>
      <c r="BC8" s="7">
        <v>2472.5189999999998</v>
      </c>
      <c r="BD8" s="7">
        <v>86.566000000000003</v>
      </c>
      <c r="BE8" s="7">
        <v>136.42099999999999</v>
      </c>
      <c r="BF8" s="7">
        <v>31.414000000000001</v>
      </c>
      <c r="BG8" s="7">
        <v>14.492000000000001</v>
      </c>
      <c r="BH8" s="7">
        <v>14.492000000000001</v>
      </c>
      <c r="BI8" s="7">
        <v>14.053000000000001</v>
      </c>
      <c r="BJ8" s="7">
        <v>47428.66</v>
      </c>
      <c r="BK8" s="7">
        <v>37.826000000000001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23"/>
    </row>
    <row r="9" spans="1:70" ht="15.75" x14ac:dyDescent="0.25">
      <c r="A9" s="5" t="s">
        <v>5</v>
      </c>
      <c r="B9" s="5" t="s">
        <v>6</v>
      </c>
      <c r="C9" s="7">
        <v>1</v>
      </c>
      <c r="D9" s="7">
        <v>1</v>
      </c>
      <c r="E9" s="7">
        <v>83087.456000000006</v>
      </c>
      <c r="F9" s="7">
        <v>15041.376</v>
      </c>
      <c r="G9" s="7">
        <v>13595.164000000001</v>
      </c>
      <c r="H9" s="7">
        <v>21553.028999999999</v>
      </c>
      <c r="I9" s="7">
        <v>1458.0630000000001</v>
      </c>
      <c r="J9" s="7">
        <v>3016.395</v>
      </c>
      <c r="K9" s="7">
        <v>0</v>
      </c>
      <c r="L9" s="7">
        <v>3578.884</v>
      </c>
      <c r="M9" s="7">
        <v>174245.35200000001</v>
      </c>
      <c r="N9" s="7">
        <v>33606.620000000003</v>
      </c>
      <c r="O9" s="7">
        <v>261.07799999999997</v>
      </c>
      <c r="P9" s="7">
        <v>786.05600000000004</v>
      </c>
      <c r="Q9" s="7">
        <v>0.44900000000000001</v>
      </c>
      <c r="R9" s="7">
        <v>359.77600000000001</v>
      </c>
      <c r="S9" s="7">
        <v>422.05</v>
      </c>
      <c r="T9" s="7">
        <v>5213.473</v>
      </c>
      <c r="U9" s="7">
        <v>35.774000000000001</v>
      </c>
      <c r="V9" s="7">
        <v>4437.759</v>
      </c>
      <c r="W9" s="7">
        <v>2732.424</v>
      </c>
      <c r="X9" s="7">
        <v>3280.1819999999998</v>
      </c>
      <c r="Y9" s="7">
        <v>9906.7260000000006</v>
      </c>
      <c r="Z9" s="7">
        <v>31767.859</v>
      </c>
      <c r="AA9" s="7">
        <v>6031.884</v>
      </c>
      <c r="AB9" s="7">
        <v>60147.864000000001</v>
      </c>
      <c r="AC9" s="7">
        <v>21004.617999999999</v>
      </c>
      <c r="AD9" s="7">
        <v>3325.6120000000001</v>
      </c>
      <c r="AE9" s="7">
        <v>3706.4430000000002</v>
      </c>
      <c r="AF9" s="7">
        <v>82074.224000000002</v>
      </c>
      <c r="AG9" s="7">
        <v>29101.161</v>
      </c>
      <c r="AH9" s="7">
        <v>11716.162</v>
      </c>
      <c r="AI9" s="7">
        <v>311905.81300000002</v>
      </c>
      <c r="AJ9" s="7">
        <v>54337.75</v>
      </c>
      <c r="AK9" s="7">
        <v>25603.72</v>
      </c>
      <c r="AL9" s="7">
        <v>169576.31899999999</v>
      </c>
      <c r="AM9" s="7">
        <v>0</v>
      </c>
      <c r="AN9" s="7">
        <v>91856.372000000003</v>
      </c>
      <c r="AO9" s="7">
        <v>209.595</v>
      </c>
      <c r="AP9" s="7">
        <v>54226.811000000002</v>
      </c>
      <c r="AQ9" s="7">
        <v>1013.457</v>
      </c>
      <c r="AR9" s="7">
        <v>0</v>
      </c>
      <c r="AS9" s="7">
        <v>9512.1849999999995</v>
      </c>
      <c r="AT9" s="7">
        <v>0</v>
      </c>
      <c r="AU9" s="7">
        <v>42.651000000000003</v>
      </c>
      <c r="AV9" s="7">
        <v>0</v>
      </c>
      <c r="AW9" s="7">
        <v>436.21899999999999</v>
      </c>
      <c r="AX9" s="7">
        <v>0</v>
      </c>
      <c r="AY9" s="7">
        <v>0</v>
      </c>
      <c r="AZ9" s="7">
        <v>10425.985000000001</v>
      </c>
      <c r="BA9" s="7">
        <v>101.24299999999999</v>
      </c>
      <c r="BB9" s="7">
        <v>17.567</v>
      </c>
      <c r="BC9" s="7">
        <v>0</v>
      </c>
      <c r="BD9" s="7">
        <v>111.913</v>
      </c>
      <c r="BE9" s="7">
        <v>37.807000000000002</v>
      </c>
      <c r="BF9" s="7">
        <v>28.92</v>
      </c>
      <c r="BG9" s="7">
        <v>18.489999999999998</v>
      </c>
      <c r="BH9" s="7">
        <v>18.489999999999998</v>
      </c>
      <c r="BI9" s="7">
        <v>12.961</v>
      </c>
      <c r="BJ9" s="7">
        <v>12676.620999999999</v>
      </c>
      <c r="BK9" s="7">
        <v>11.625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23"/>
    </row>
    <row r="10" spans="1:70" ht="15.75" x14ac:dyDescent="0.25">
      <c r="A10" s="5" t="s">
        <v>7</v>
      </c>
      <c r="B10" s="5" t="s">
        <v>8</v>
      </c>
      <c r="C10" s="7">
        <v>1</v>
      </c>
      <c r="D10" s="7">
        <v>1</v>
      </c>
      <c r="E10" s="7">
        <v>461204.35600000003</v>
      </c>
      <c r="F10" s="7">
        <v>92584.824999999997</v>
      </c>
      <c r="G10" s="7">
        <v>0</v>
      </c>
      <c r="H10" s="7">
        <v>0</v>
      </c>
      <c r="I10" s="7">
        <v>3887.4369999999999</v>
      </c>
      <c r="J10" s="7">
        <v>0</v>
      </c>
      <c r="K10" s="7">
        <v>0</v>
      </c>
      <c r="L10" s="7">
        <v>0</v>
      </c>
      <c r="M10" s="7">
        <v>1186337.574</v>
      </c>
      <c r="N10" s="7">
        <v>91295.981</v>
      </c>
      <c r="O10" s="7">
        <v>0</v>
      </c>
      <c r="P10" s="7">
        <v>3480.971</v>
      </c>
      <c r="Q10" s="7">
        <v>0</v>
      </c>
      <c r="R10" s="7">
        <v>4236.0420000000004</v>
      </c>
      <c r="S10" s="7">
        <v>1104.6420000000001</v>
      </c>
      <c r="T10" s="7">
        <v>28763.932000000001</v>
      </c>
      <c r="U10" s="7">
        <v>0</v>
      </c>
      <c r="V10" s="7">
        <v>0</v>
      </c>
      <c r="W10" s="7">
        <v>0</v>
      </c>
      <c r="X10" s="7">
        <v>7695.1480000000001</v>
      </c>
      <c r="Y10" s="7">
        <v>0</v>
      </c>
      <c r="Z10" s="7">
        <v>189266.217</v>
      </c>
      <c r="AA10" s="7">
        <v>55845.813999999998</v>
      </c>
      <c r="AB10" s="7">
        <v>0</v>
      </c>
      <c r="AC10" s="7">
        <v>144485.82199999999</v>
      </c>
      <c r="AD10" s="7">
        <v>16837.742999999999</v>
      </c>
      <c r="AE10" s="7">
        <v>10841.184999999999</v>
      </c>
      <c r="AF10" s="7">
        <v>602901.32299999997</v>
      </c>
      <c r="AG10" s="7">
        <v>229031.53899999999</v>
      </c>
      <c r="AH10" s="7">
        <v>52080.042999999998</v>
      </c>
      <c r="AI10" s="7">
        <v>1825076.5190000001</v>
      </c>
      <c r="AJ10" s="7">
        <v>399670.97200000001</v>
      </c>
      <c r="AK10" s="7">
        <v>291899.62800000003</v>
      </c>
      <c r="AL10" s="7">
        <v>6531839.1210000003</v>
      </c>
      <c r="AM10" s="7">
        <v>0</v>
      </c>
      <c r="AN10" s="7">
        <v>3852081.7659999998</v>
      </c>
      <c r="AO10" s="7">
        <v>0</v>
      </c>
      <c r="AP10" s="7">
        <v>2176261.4559999998</v>
      </c>
      <c r="AQ10" s="7">
        <v>3564.5230000000001</v>
      </c>
      <c r="AR10" s="7">
        <v>0</v>
      </c>
      <c r="AS10" s="7">
        <v>69729.207999999999</v>
      </c>
      <c r="AT10" s="7">
        <v>0</v>
      </c>
      <c r="AU10" s="7">
        <v>303.84800000000001</v>
      </c>
      <c r="AV10" s="7">
        <v>0</v>
      </c>
      <c r="AW10" s="7">
        <v>2136.9090000000001</v>
      </c>
      <c r="AX10" s="7">
        <v>0</v>
      </c>
      <c r="AY10" s="7">
        <v>0</v>
      </c>
      <c r="AZ10" s="7">
        <v>0</v>
      </c>
      <c r="BA10" s="7">
        <v>555.91300000000001</v>
      </c>
      <c r="BB10" s="7">
        <v>0</v>
      </c>
      <c r="BC10" s="7">
        <v>0</v>
      </c>
      <c r="BD10" s="7">
        <v>820.10699999999997</v>
      </c>
      <c r="BE10" s="7">
        <v>0</v>
      </c>
      <c r="BF10" s="7">
        <v>0</v>
      </c>
      <c r="BG10" s="7">
        <v>135.90299999999999</v>
      </c>
      <c r="BH10" s="7">
        <v>135.90299999999999</v>
      </c>
      <c r="BI10" s="7">
        <v>0</v>
      </c>
      <c r="BJ10" s="7">
        <v>229558.636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23"/>
    </row>
    <row r="11" spans="1:70" ht="15.75" x14ac:dyDescent="0.25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23"/>
    </row>
    <row r="12" spans="1:70" ht="15.75" x14ac:dyDescent="0.25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23"/>
    </row>
    <row r="13" spans="1:70" ht="15.75" x14ac:dyDescent="0.25">
      <c r="A13" s="5" t="s">
        <v>13</v>
      </c>
      <c r="B13" s="5" t="s">
        <v>14</v>
      </c>
      <c r="C13" s="7">
        <v>1</v>
      </c>
      <c r="D13" s="7">
        <v>1</v>
      </c>
      <c r="E13" s="7">
        <v>94438.269</v>
      </c>
      <c r="F13" s="7">
        <v>13606.115</v>
      </c>
      <c r="G13" s="7">
        <v>4594.2550000000001</v>
      </c>
      <c r="H13" s="7">
        <v>293.49200000000002</v>
      </c>
      <c r="I13" s="7">
        <v>1257.5160000000001</v>
      </c>
      <c r="J13" s="7">
        <v>4204.3530000000001</v>
      </c>
      <c r="K13" s="7">
        <v>0</v>
      </c>
      <c r="L13" s="7">
        <v>0</v>
      </c>
      <c r="M13" s="7">
        <v>162213.01199999999</v>
      </c>
      <c r="N13" s="7">
        <v>31521.584999999999</v>
      </c>
      <c r="O13" s="7">
        <v>0</v>
      </c>
      <c r="P13" s="7">
        <v>2.419</v>
      </c>
      <c r="Q13" s="7">
        <v>88.587999999999994</v>
      </c>
      <c r="R13" s="7">
        <v>6.6520000000000001</v>
      </c>
      <c r="S13" s="7">
        <v>8.5299999999999994</v>
      </c>
      <c r="T13" s="7">
        <v>3821.6610000000001</v>
      </c>
      <c r="U13" s="7">
        <v>0</v>
      </c>
      <c r="V13" s="7">
        <v>0</v>
      </c>
      <c r="W13" s="7">
        <v>585.21699999999998</v>
      </c>
      <c r="X13" s="7">
        <v>1938.346</v>
      </c>
      <c r="Y13" s="7">
        <v>2.4E-2</v>
      </c>
      <c r="Z13" s="7">
        <v>25276.78</v>
      </c>
      <c r="AA13" s="7">
        <v>181.04900000000001</v>
      </c>
      <c r="AB13" s="7">
        <v>6868.8670000000002</v>
      </c>
      <c r="AC13" s="7">
        <v>79.417000000000002</v>
      </c>
      <c r="AD13" s="7">
        <v>2473.1410000000001</v>
      </c>
      <c r="AE13" s="7">
        <v>43.412999999999997</v>
      </c>
      <c r="AF13" s="7">
        <v>74999.361999999994</v>
      </c>
      <c r="AG13" s="7">
        <v>21246.120999999999</v>
      </c>
      <c r="AH13" s="7">
        <v>210.85599999999999</v>
      </c>
      <c r="AI13" s="7">
        <v>285305.44699999999</v>
      </c>
      <c r="AJ13" s="7">
        <v>37189.665000000001</v>
      </c>
      <c r="AK13" s="7">
        <v>921.28099999999995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454.49</v>
      </c>
      <c r="AR13" s="7">
        <v>0</v>
      </c>
      <c r="AS13" s="7">
        <v>6424.3450000000003</v>
      </c>
      <c r="AT13" s="7">
        <v>0</v>
      </c>
      <c r="AU13" s="7">
        <v>33.287999999999997</v>
      </c>
      <c r="AV13" s="7">
        <v>0</v>
      </c>
      <c r="AW13" s="7">
        <v>271.82799999999997</v>
      </c>
      <c r="AX13" s="7">
        <v>0</v>
      </c>
      <c r="AY13" s="7">
        <v>0</v>
      </c>
      <c r="AZ13" s="7">
        <v>0</v>
      </c>
      <c r="BA13" s="7">
        <v>146.02600000000001</v>
      </c>
      <c r="BB13" s="7">
        <v>7.55</v>
      </c>
      <c r="BC13" s="7">
        <v>0</v>
      </c>
      <c r="BD13" s="7">
        <v>109.86</v>
      </c>
      <c r="BE13" s="7">
        <v>111.458</v>
      </c>
      <c r="BF13" s="7">
        <v>12.429</v>
      </c>
      <c r="BG13" s="7">
        <v>18.329999999999998</v>
      </c>
      <c r="BH13" s="7">
        <v>18.329999999999998</v>
      </c>
      <c r="BI13" s="7">
        <v>5.57</v>
      </c>
      <c r="BJ13" s="7">
        <v>776.12900000000002</v>
      </c>
      <c r="BK13" s="7">
        <v>29.327999999999999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23"/>
    </row>
    <row r="14" spans="1:70" ht="15.75" x14ac:dyDescent="0.25">
      <c r="A14" s="5" t="s">
        <v>3</v>
      </c>
      <c r="B14" s="5" t="s">
        <v>15</v>
      </c>
      <c r="C14" s="7">
        <v>1</v>
      </c>
      <c r="D14" s="7">
        <v>1</v>
      </c>
      <c r="E14" s="7">
        <v>33.874000000000002</v>
      </c>
      <c r="F14" s="7">
        <v>4.6870000000000003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151.006</v>
      </c>
      <c r="N14" s="7">
        <v>11.208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10.346</v>
      </c>
      <c r="AG14" s="7">
        <v>1.54</v>
      </c>
      <c r="AH14" s="7">
        <v>0</v>
      </c>
      <c r="AI14" s="7">
        <v>96.962000000000003</v>
      </c>
      <c r="AJ14" s="7">
        <v>1.044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23"/>
    </row>
    <row r="15" spans="1:70" ht="15.75" x14ac:dyDescent="0.25">
      <c r="A15" s="5" t="s">
        <v>16</v>
      </c>
      <c r="B15" s="5" t="s">
        <v>17</v>
      </c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23"/>
    </row>
    <row r="16" spans="1:70" ht="15.75" x14ac:dyDescent="0.25">
      <c r="A16" s="5" t="s">
        <v>18</v>
      </c>
      <c r="B16" s="5" t="s">
        <v>19</v>
      </c>
      <c r="C16" s="7">
        <v>2</v>
      </c>
      <c r="D16" s="7">
        <v>2</v>
      </c>
      <c r="E16" s="7">
        <v>889799.799</v>
      </c>
      <c r="F16" s="7">
        <v>65450.468999999997</v>
      </c>
      <c r="G16" s="7">
        <v>175962.40100000001</v>
      </c>
      <c r="H16" s="7">
        <v>0</v>
      </c>
      <c r="I16" s="7">
        <v>25496.098000000002</v>
      </c>
      <c r="J16" s="7">
        <v>122064.74</v>
      </c>
      <c r="K16" s="7">
        <v>0</v>
      </c>
      <c r="L16" s="7">
        <v>0</v>
      </c>
      <c r="M16" s="7">
        <v>169768.3</v>
      </c>
      <c r="N16" s="7">
        <v>282966.73100000003</v>
      </c>
      <c r="O16" s="7">
        <v>0</v>
      </c>
      <c r="P16" s="7">
        <v>0</v>
      </c>
      <c r="Q16" s="7">
        <v>15434.297</v>
      </c>
      <c r="R16" s="7">
        <v>662.76499999999999</v>
      </c>
      <c r="S16" s="7">
        <v>1608.009</v>
      </c>
      <c r="T16" s="7">
        <v>20042.763999999999</v>
      </c>
      <c r="U16" s="7">
        <v>0</v>
      </c>
      <c r="V16" s="7">
        <v>0</v>
      </c>
      <c r="W16" s="7">
        <v>11398.708000000001</v>
      </c>
      <c r="X16" s="7">
        <v>23465.249</v>
      </c>
      <c r="Y16" s="7">
        <v>0</v>
      </c>
      <c r="Z16" s="7">
        <v>108039.571</v>
      </c>
      <c r="AA16" s="7">
        <v>0</v>
      </c>
      <c r="AB16" s="7">
        <v>135988.712</v>
      </c>
      <c r="AC16" s="7">
        <v>0</v>
      </c>
      <c r="AD16" s="7">
        <v>8441.6380000000008</v>
      </c>
      <c r="AE16" s="7">
        <v>4545.46</v>
      </c>
      <c r="AF16" s="7">
        <v>282260.86200000002</v>
      </c>
      <c r="AG16" s="7">
        <v>0</v>
      </c>
      <c r="AH16" s="7">
        <v>15150.893</v>
      </c>
      <c r="AI16" s="7">
        <v>905616.02500000002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2494.0259999999998</v>
      </c>
      <c r="AR16" s="7">
        <v>0</v>
      </c>
      <c r="AS16" s="7">
        <v>0</v>
      </c>
      <c r="AT16" s="7">
        <v>0</v>
      </c>
      <c r="AU16" s="7">
        <v>568.30499999999995</v>
      </c>
      <c r="AV16" s="7">
        <v>0</v>
      </c>
      <c r="AW16" s="7">
        <v>14748.106</v>
      </c>
      <c r="AX16" s="7">
        <v>0</v>
      </c>
      <c r="AY16" s="7">
        <v>0</v>
      </c>
      <c r="AZ16" s="7">
        <v>0</v>
      </c>
      <c r="BA16" s="7">
        <v>1456.287</v>
      </c>
      <c r="BB16" s="7">
        <v>0</v>
      </c>
      <c r="BC16" s="7">
        <v>0</v>
      </c>
      <c r="BD16" s="7">
        <v>461.31599999999997</v>
      </c>
      <c r="BE16" s="7">
        <v>1550.1130000000001</v>
      </c>
      <c r="BF16" s="7">
        <v>0</v>
      </c>
      <c r="BG16" s="7">
        <v>93.444999999999993</v>
      </c>
      <c r="BH16" s="7">
        <v>93.444999999999993</v>
      </c>
      <c r="BI16" s="7">
        <v>0</v>
      </c>
      <c r="BJ16" s="7">
        <v>0</v>
      </c>
      <c r="BK16" s="7">
        <v>381.35399999999998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23"/>
    </row>
    <row r="17" spans="1:70" ht="15.75" x14ac:dyDescent="0.25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23"/>
    </row>
    <row r="18" spans="1:70" ht="15.75" x14ac:dyDescent="0.25">
      <c r="A18" s="5" t="s">
        <v>22</v>
      </c>
      <c r="B18" s="5" t="s">
        <v>23</v>
      </c>
      <c r="C18" s="7">
        <v>2</v>
      </c>
      <c r="D18" s="7">
        <v>2</v>
      </c>
      <c r="E18" s="7">
        <v>830104.91299999994</v>
      </c>
      <c r="F18" s="7">
        <v>64586.366999999998</v>
      </c>
      <c r="G18" s="7">
        <v>159637.76699999999</v>
      </c>
      <c r="H18" s="7">
        <v>0</v>
      </c>
      <c r="I18" s="7">
        <v>23349.409</v>
      </c>
      <c r="J18" s="7">
        <v>110740.37699999999</v>
      </c>
      <c r="K18" s="7">
        <v>0</v>
      </c>
      <c r="L18" s="7">
        <v>69399.551000000007</v>
      </c>
      <c r="M18" s="7">
        <v>217243.19500000001</v>
      </c>
      <c r="N18" s="7">
        <v>261850.40299999999</v>
      </c>
      <c r="O18" s="7">
        <v>11534.227999999999</v>
      </c>
      <c r="P18" s="7">
        <v>0</v>
      </c>
      <c r="Q18" s="7">
        <v>0</v>
      </c>
      <c r="R18" s="7">
        <v>1036.242</v>
      </c>
      <c r="S18" s="7">
        <v>2514.145</v>
      </c>
      <c r="T18" s="7">
        <v>19801.32</v>
      </c>
      <c r="U18" s="7">
        <v>0</v>
      </c>
      <c r="V18" s="7">
        <v>50018.9</v>
      </c>
      <c r="W18" s="7">
        <v>10341.210999999999</v>
      </c>
      <c r="X18" s="7">
        <v>21721.154999999999</v>
      </c>
      <c r="Y18" s="7">
        <v>0</v>
      </c>
      <c r="Z18" s="7">
        <v>108662.73</v>
      </c>
      <c r="AA18" s="7">
        <v>0</v>
      </c>
      <c r="AB18" s="7">
        <v>123372.57399999999</v>
      </c>
      <c r="AC18" s="7">
        <v>4.0359999999999996</v>
      </c>
      <c r="AD18" s="7">
        <v>8605.6139999999996</v>
      </c>
      <c r="AE18" s="7">
        <v>4123.7619999999997</v>
      </c>
      <c r="AF18" s="7">
        <v>283097.98700000002</v>
      </c>
      <c r="AG18" s="7">
        <v>12883.187</v>
      </c>
      <c r="AH18" s="7">
        <v>13745.293</v>
      </c>
      <c r="AI18" s="7">
        <v>924533.34499999997</v>
      </c>
      <c r="AJ18" s="7">
        <v>22481.776999999998</v>
      </c>
      <c r="AK18" s="7">
        <v>0</v>
      </c>
      <c r="AL18" s="7">
        <v>0</v>
      </c>
      <c r="AM18" s="7">
        <v>0</v>
      </c>
      <c r="AN18" s="7">
        <v>0</v>
      </c>
      <c r="AO18" s="7">
        <v>9773.1309999999994</v>
      </c>
      <c r="AP18" s="7">
        <v>0</v>
      </c>
      <c r="AQ18" s="7">
        <v>2463.154</v>
      </c>
      <c r="AR18" s="7">
        <v>0</v>
      </c>
      <c r="AS18" s="7">
        <v>3922.3180000000002</v>
      </c>
      <c r="AT18" s="7">
        <v>0</v>
      </c>
      <c r="AU18" s="7">
        <v>532.673</v>
      </c>
      <c r="AV18" s="7">
        <v>0</v>
      </c>
      <c r="AW18" s="7">
        <v>13825.221</v>
      </c>
      <c r="AX18" s="7">
        <v>0</v>
      </c>
      <c r="AY18" s="7">
        <v>0</v>
      </c>
      <c r="AZ18" s="7">
        <v>0</v>
      </c>
      <c r="BA18" s="7">
        <v>1352.453</v>
      </c>
      <c r="BB18" s="7">
        <v>0</v>
      </c>
      <c r="BC18" s="7">
        <v>0</v>
      </c>
      <c r="BD18" s="7">
        <v>464.65</v>
      </c>
      <c r="BE18" s="7">
        <v>1406.3030000000001</v>
      </c>
      <c r="BF18" s="7">
        <v>0</v>
      </c>
      <c r="BG18" s="7">
        <v>92.421000000000006</v>
      </c>
      <c r="BH18" s="7">
        <v>92.421000000000006</v>
      </c>
      <c r="BI18" s="7">
        <v>0</v>
      </c>
      <c r="BJ18" s="7">
        <v>0</v>
      </c>
      <c r="BK18" s="7">
        <v>345.97399999999999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23"/>
    </row>
    <row r="19" spans="1:70" ht="15.75" x14ac:dyDescent="0.25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280.57600000000002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7.008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23"/>
    </row>
    <row r="20" spans="1:70" ht="15.75" x14ac:dyDescent="0.25">
      <c r="A20" s="5" t="s">
        <v>26</v>
      </c>
      <c r="B20" s="5" t="s">
        <v>27</v>
      </c>
      <c r="C20" s="7">
        <v>2</v>
      </c>
      <c r="D20" s="7">
        <v>2</v>
      </c>
      <c r="E20" s="7">
        <v>31696.192999999999</v>
      </c>
      <c r="F20" s="7">
        <v>6921.6319999999996</v>
      </c>
      <c r="G20" s="7">
        <v>0</v>
      </c>
      <c r="H20" s="7">
        <v>0</v>
      </c>
      <c r="I20" s="7">
        <v>314.036</v>
      </c>
      <c r="J20" s="7">
        <v>0</v>
      </c>
      <c r="K20" s="7">
        <v>0</v>
      </c>
      <c r="L20" s="7">
        <v>165569.10699999999</v>
      </c>
      <c r="M20" s="7">
        <v>84626.471999999994</v>
      </c>
      <c r="N20" s="7">
        <v>7526.1379999999999</v>
      </c>
      <c r="O20" s="7">
        <v>0</v>
      </c>
      <c r="P20" s="7">
        <v>0</v>
      </c>
      <c r="Q20" s="7">
        <v>0.55000000000000004</v>
      </c>
      <c r="R20" s="7">
        <v>0</v>
      </c>
      <c r="S20" s="7">
        <v>0</v>
      </c>
      <c r="T20" s="7">
        <v>2130.0740000000001</v>
      </c>
      <c r="U20" s="7">
        <v>703.08500000000004</v>
      </c>
      <c r="V20" s="7">
        <v>119331.962</v>
      </c>
      <c r="W20" s="7">
        <v>0</v>
      </c>
      <c r="X20" s="7">
        <v>589.15499999999997</v>
      </c>
      <c r="Y20" s="7">
        <v>0</v>
      </c>
      <c r="Z20" s="7">
        <v>13841.829</v>
      </c>
      <c r="AA20" s="7">
        <v>0</v>
      </c>
      <c r="AB20" s="7">
        <v>0</v>
      </c>
      <c r="AC20" s="7">
        <v>3.62</v>
      </c>
      <c r="AD20" s="7">
        <v>1259.317</v>
      </c>
      <c r="AE20" s="7">
        <v>0</v>
      </c>
      <c r="AF20" s="7">
        <v>35011.499000000003</v>
      </c>
      <c r="AG20" s="7">
        <v>17124.600999999999</v>
      </c>
      <c r="AH20" s="7">
        <v>0</v>
      </c>
      <c r="AI20" s="7">
        <v>138430.98000000001</v>
      </c>
      <c r="AJ20" s="7">
        <v>29872.782999999999</v>
      </c>
      <c r="AK20" s="7">
        <v>0</v>
      </c>
      <c r="AL20" s="7">
        <v>424976.84399999998</v>
      </c>
      <c r="AM20" s="7">
        <v>0</v>
      </c>
      <c r="AN20" s="7">
        <v>250625.516</v>
      </c>
      <c r="AO20" s="7">
        <v>23316.124</v>
      </c>
      <c r="AP20" s="7">
        <v>141592.698</v>
      </c>
      <c r="AQ20" s="7">
        <v>244.852</v>
      </c>
      <c r="AR20" s="7">
        <v>0</v>
      </c>
      <c r="AS20" s="7">
        <v>5203.384</v>
      </c>
      <c r="AT20" s="7">
        <v>0</v>
      </c>
      <c r="AU20" s="7">
        <v>21.875</v>
      </c>
      <c r="AV20" s="7">
        <v>0</v>
      </c>
      <c r="AW20" s="7">
        <v>155.18799999999999</v>
      </c>
      <c r="AX20" s="7">
        <v>0</v>
      </c>
      <c r="AY20" s="7">
        <v>0</v>
      </c>
      <c r="AZ20" s="7">
        <v>0</v>
      </c>
      <c r="BA20" s="7">
        <v>41.570999999999998</v>
      </c>
      <c r="BB20" s="7">
        <v>70.405000000000001</v>
      </c>
      <c r="BC20" s="7">
        <v>0</v>
      </c>
      <c r="BD20" s="7">
        <v>63.091999999999999</v>
      </c>
      <c r="BE20" s="7">
        <v>0</v>
      </c>
      <c r="BF20" s="7">
        <v>115.90600000000001</v>
      </c>
      <c r="BG20" s="7">
        <v>10.347</v>
      </c>
      <c r="BH20" s="7">
        <v>10.347</v>
      </c>
      <c r="BI20" s="7">
        <v>51.945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23"/>
    </row>
    <row r="21" spans="1:70" ht="15.75" x14ac:dyDescent="0.25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23"/>
    </row>
    <row r="22" spans="1:70" ht="15.75" x14ac:dyDescent="0.25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943422.26899999997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23"/>
    </row>
    <row r="23" spans="1:70" ht="15.75" x14ac:dyDescent="0.25">
      <c r="A23" s="5" t="s">
        <v>32</v>
      </c>
      <c r="B23" s="5" t="s">
        <v>33</v>
      </c>
      <c r="C23" s="7">
        <v>2</v>
      </c>
      <c r="D23" s="7">
        <v>2</v>
      </c>
      <c r="E23" s="7">
        <v>7185.1859999999997</v>
      </c>
      <c r="F23" s="7">
        <v>0</v>
      </c>
      <c r="G23" s="7">
        <v>1803.538</v>
      </c>
      <c r="H23" s="7">
        <v>0</v>
      </c>
      <c r="I23" s="7">
        <v>0</v>
      </c>
      <c r="J23" s="7">
        <v>1383.806</v>
      </c>
      <c r="K23" s="7">
        <v>0</v>
      </c>
      <c r="L23" s="7">
        <v>0</v>
      </c>
      <c r="M23" s="7">
        <v>4400.634</v>
      </c>
      <c r="N23" s="7">
        <v>2452.6469999999999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819.79</v>
      </c>
      <c r="AG23" s="7">
        <v>0</v>
      </c>
      <c r="AH23" s="7">
        <v>0</v>
      </c>
      <c r="AI23" s="7">
        <v>4138.3010000000004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23"/>
    </row>
    <row r="24" spans="1:70" ht="15.75" x14ac:dyDescent="0.25">
      <c r="A24" s="5" t="s">
        <v>34</v>
      </c>
      <c r="B24" s="5" t="s">
        <v>35</v>
      </c>
      <c r="C24" s="7">
        <v>2</v>
      </c>
      <c r="D24" s="7">
        <v>2</v>
      </c>
      <c r="E24" s="7">
        <v>26937.804</v>
      </c>
      <c r="F24" s="7">
        <v>5308.36</v>
      </c>
      <c r="G24" s="7">
        <v>5415.8509999999997</v>
      </c>
      <c r="H24" s="7">
        <v>0</v>
      </c>
      <c r="I24" s="7">
        <v>1055.133</v>
      </c>
      <c r="J24" s="7">
        <v>4194.335</v>
      </c>
      <c r="K24" s="7">
        <v>0</v>
      </c>
      <c r="L24" s="7">
        <v>0</v>
      </c>
      <c r="M24" s="7">
        <v>23372.469000000001</v>
      </c>
      <c r="N24" s="7">
        <v>18305.992999999999</v>
      </c>
      <c r="O24" s="7">
        <v>0</v>
      </c>
      <c r="P24" s="7">
        <v>36.121000000000002</v>
      </c>
      <c r="Q24" s="7">
        <v>0</v>
      </c>
      <c r="R24" s="7">
        <v>30.498000000000001</v>
      </c>
      <c r="S24" s="7">
        <v>0</v>
      </c>
      <c r="T24" s="7">
        <v>1537.0119999999999</v>
      </c>
      <c r="U24" s="7">
        <v>0</v>
      </c>
      <c r="V24" s="7">
        <v>0</v>
      </c>
      <c r="W24" s="7">
        <v>547.471</v>
      </c>
      <c r="X24" s="7">
        <v>1458.327</v>
      </c>
      <c r="Y24" s="7">
        <v>21304.906999999999</v>
      </c>
      <c r="Z24" s="7">
        <v>4950.6210000000001</v>
      </c>
      <c r="AA24" s="7">
        <v>75.209000000000003</v>
      </c>
      <c r="AB24" s="7">
        <v>5137.8010000000004</v>
      </c>
      <c r="AC24" s="7">
        <v>1099.17</v>
      </c>
      <c r="AD24" s="7">
        <v>737.23599999999999</v>
      </c>
      <c r="AE24" s="7">
        <v>115.408</v>
      </c>
      <c r="AF24" s="7">
        <v>14768.960999999999</v>
      </c>
      <c r="AG24" s="7">
        <v>632.28800000000001</v>
      </c>
      <c r="AH24" s="7">
        <v>618.54</v>
      </c>
      <c r="AI24" s="7">
        <v>78956.725999999995</v>
      </c>
      <c r="AJ24" s="7">
        <v>1103.373</v>
      </c>
      <c r="AK24" s="7">
        <v>406.62099999999998</v>
      </c>
      <c r="AL24" s="7">
        <v>397267.68300000002</v>
      </c>
      <c r="AM24" s="7">
        <v>0</v>
      </c>
      <c r="AN24" s="7">
        <v>234284.337</v>
      </c>
      <c r="AO24" s="7">
        <v>0</v>
      </c>
      <c r="AP24" s="7">
        <v>132360.63099999999</v>
      </c>
      <c r="AQ24" s="7">
        <v>120.331</v>
      </c>
      <c r="AR24" s="7">
        <v>0</v>
      </c>
      <c r="AS24" s="7">
        <v>192.50200000000001</v>
      </c>
      <c r="AT24" s="7">
        <v>0</v>
      </c>
      <c r="AU24" s="7">
        <v>5.0819999999999999</v>
      </c>
      <c r="AV24" s="7">
        <v>0</v>
      </c>
      <c r="AW24" s="7">
        <v>1211.0429999999999</v>
      </c>
      <c r="AX24" s="7">
        <v>0</v>
      </c>
      <c r="AY24" s="7">
        <v>0</v>
      </c>
      <c r="AZ24" s="7">
        <v>10135.629999999999</v>
      </c>
      <c r="BA24" s="7">
        <v>60.533000000000001</v>
      </c>
      <c r="BB24" s="7">
        <v>0</v>
      </c>
      <c r="BC24" s="7">
        <v>5459.4880000000003</v>
      </c>
      <c r="BD24" s="7">
        <v>26.292999999999999</v>
      </c>
      <c r="BE24" s="7">
        <v>78.376000000000005</v>
      </c>
      <c r="BF24" s="7">
        <v>0</v>
      </c>
      <c r="BG24" s="7">
        <v>5.7779999999999996</v>
      </c>
      <c r="BH24" s="7">
        <v>5.7779999999999996</v>
      </c>
      <c r="BI24" s="7">
        <v>0</v>
      </c>
      <c r="BJ24" s="7">
        <v>36083.811000000002</v>
      </c>
      <c r="BK24" s="7">
        <v>24.946999999999999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23"/>
    </row>
    <row r="25" spans="1:70" ht="15.75" x14ac:dyDescent="0.25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23"/>
    </row>
    <row r="26" spans="1:70" ht="15.75" x14ac:dyDescent="0.25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23"/>
    </row>
    <row r="27" spans="1:70" ht="15.75" x14ac:dyDescent="0.25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23"/>
    </row>
    <row r="28" spans="1:70" ht="15.75" x14ac:dyDescent="0.25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23"/>
    </row>
    <row r="29" spans="1:70" ht="15.75" x14ac:dyDescent="0.25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23"/>
    </row>
    <row r="30" spans="1:70" ht="15.75" x14ac:dyDescent="0.25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23"/>
    </row>
    <row r="31" spans="1:70" ht="15.75" x14ac:dyDescent="0.25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23"/>
    </row>
    <row r="32" spans="1:70" ht="15.75" x14ac:dyDescent="0.25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23"/>
    </row>
    <row r="33" spans="1:70" ht="15.75" x14ac:dyDescent="0.25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23"/>
    </row>
    <row r="34" spans="1:70" ht="15.75" x14ac:dyDescent="0.25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23"/>
    </row>
    <row r="35" spans="1:70" ht="15.75" x14ac:dyDescent="0.25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4768.4639999999999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3436.8139999999999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18.728000000000002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671.51499999999999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23"/>
    </row>
    <row r="36" spans="1:70" ht="15.75" x14ac:dyDescent="0.25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23"/>
    </row>
    <row r="37" spans="1:70" ht="15.75" x14ac:dyDescent="0.25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23"/>
    </row>
    <row r="38" spans="1:70" ht="15.75" x14ac:dyDescent="0.25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23"/>
    </row>
    <row r="39" spans="1:70" ht="15.75" x14ac:dyDescent="0.25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23"/>
    </row>
    <row r="40" spans="1:70" ht="15.75" x14ac:dyDescent="0.25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23"/>
    </row>
    <row r="41" spans="1:70" ht="15.75" x14ac:dyDescent="0.25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23"/>
    </row>
    <row r="42" spans="1:70" ht="15.75" x14ac:dyDescent="0.25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23"/>
    </row>
    <row r="43" spans="1:70" ht="15.75" x14ac:dyDescent="0.25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23"/>
    </row>
    <row r="44" spans="1:70" ht="15.75" x14ac:dyDescent="0.25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23"/>
    </row>
    <row r="45" spans="1:70" ht="15.75" x14ac:dyDescent="0.25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23"/>
    </row>
    <row r="46" spans="1:70" ht="15.75" x14ac:dyDescent="0.25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23"/>
    </row>
    <row r="47" spans="1:70" ht="15.75" x14ac:dyDescent="0.25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23"/>
    </row>
    <row r="48" spans="1:70" ht="15.75" x14ac:dyDescent="0.25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23"/>
    </row>
    <row r="49" spans="1:70" ht="15.75" x14ac:dyDescent="0.25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23"/>
    </row>
    <row r="50" spans="1:70" ht="15.75" x14ac:dyDescent="0.25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23"/>
    </row>
    <row r="51" spans="1:70" ht="15.75" x14ac:dyDescent="0.25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23"/>
    </row>
    <row r="52" spans="1:70" ht="15.75" x14ac:dyDescent="0.25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23"/>
    </row>
    <row r="53" spans="1:70" ht="15.75" x14ac:dyDescent="0.25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23"/>
    </row>
    <row r="54" spans="1:70" ht="15.75" x14ac:dyDescent="0.25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23"/>
    </row>
    <row r="55" spans="1:70" ht="15.75" x14ac:dyDescent="0.25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23"/>
    </row>
    <row r="56" spans="1:70" ht="15.75" x14ac:dyDescent="0.25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23"/>
    </row>
    <row r="57" spans="1:70" ht="15.75" x14ac:dyDescent="0.25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23"/>
    </row>
    <row r="58" spans="1:70" ht="15.75" x14ac:dyDescent="0.25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23"/>
    </row>
    <row r="59" spans="1:70" ht="15.75" x14ac:dyDescent="0.25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23"/>
    </row>
    <row r="60" spans="1:70" ht="15.75" x14ac:dyDescent="0.25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23"/>
    </row>
    <row r="61" spans="1:70" ht="15.75" x14ac:dyDescent="0.25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23"/>
    </row>
    <row r="62" spans="1:70" ht="15.75" x14ac:dyDescent="0.25">
      <c r="A62" s="5" t="s">
        <v>110</v>
      </c>
      <c r="B62" s="5" t="s">
        <v>111</v>
      </c>
      <c r="C62" s="7">
        <v>3</v>
      </c>
      <c r="D62" s="7">
        <v>3</v>
      </c>
      <c r="E62" s="7">
        <v>886827.77099999995</v>
      </c>
      <c r="F62" s="7">
        <v>99613.324999999997</v>
      </c>
      <c r="G62" s="7">
        <v>237003.14</v>
      </c>
      <c r="H62" s="7">
        <v>20005.888999999999</v>
      </c>
      <c r="I62" s="7">
        <v>19603.589</v>
      </c>
      <c r="J62" s="7">
        <v>163471.77299999999</v>
      </c>
      <c r="K62" s="7">
        <v>0</v>
      </c>
      <c r="L62" s="7">
        <v>0</v>
      </c>
      <c r="M62" s="7">
        <v>280723.8</v>
      </c>
      <c r="N62" s="7">
        <v>559465.05000000005</v>
      </c>
      <c r="O62" s="7">
        <v>0</v>
      </c>
      <c r="P62" s="7">
        <v>0</v>
      </c>
      <c r="Q62" s="7">
        <v>43.854999999999997</v>
      </c>
      <c r="R62" s="7">
        <v>972.43499999999995</v>
      </c>
      <c r="S62" s="7">
        <v>3491.5680000000002</v>
      </c>
      <c r="T62" s="7">
        <v>39865.595000000001</v>
      </c>
      <c r="U62" s="7">
        <v>0</v>
      </c>
      <c r="V62" s="7">
        <v>0</v>
      </c>
      <c r="W62" s="7">
        <v>19893.949000000001</v>
      </c>
      <c r="X62" s="7">
        <v>48212.555</v>
      </c>
      <c r="Y62" s="7">
        <v>0</v>
      </c>
      <c r="Z62" s="7">
        <v>88465.425000000003</v>
      </c>
      <c r="AA62" s="7">
        <v>0</v>
      </c>
      <c r="AB62" s="7">
        <v>197325.55799999999</v>
      </c>
      <c r="AC62" s="7">
        <v>0</v>
      </c>
      <c r="AD62" s="7">
        <v>16697.8</v>
      </c>
      <c r="AE62" s="7">
        <v>259.11700000000002</v>
      </c>
      <c r="AF62" s="7">
        <v>208402.08799999999</v>
      </c>
      <c r="AG62" s="7">
        <v>0</v>
      </c>
      <c r="AH62" s="7">
        <v>449.22199999999998</v>
      </c>
      <c r="AI62" s="7">
        <v>949252.58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3074.6350000000002</v>
      </c>
      <c r="AR62" s="7">
        <v>0</v>
      </c>
      <c r="AS62" s="7">
        <v>0</v>
      </c>
      <c r="AT62" s="7">
        <v>0</v>
      </c>
      <c r="AU62" s="7">
        <v>257.12700000000001</v>
      </c>
      <c r="AV62" s="7">
        <v>0</v>
      </c>
      <c r="AW62" s="7">
        <v>9975.223</v>
      </c>
      <c r="AX62" s="7">
        <v>0</v>
      </c>
      <c r="AY62" s="7">
        <v>0</v>
      </c>
      <c r="AZ62" s="7">
        <v>0</v>
      </c>
      <c r="BA62" s="7">
        <v>2465.7939999999999</v>
      </c>
      <c r="BB62" s="7">
        <v>0</v>
      </c>
      <c r="BC62" s="7">
        <v>0</v>
      </c>
      <c r="BD62" s="7">
        <v>913.96199999999999</v>
      </c>
      <c r="BE62" s="7">
        <v>3253.4830000000002</v>
      </c>
      <c r="BF62" s="7">
        <v>0</v>
      </c>
      <c r="BG62" s="7">
        <v>148.233</v>
      </c>
      <c r="BH62" s="7">
        <v>148.233</v>
      </c>
      <c r="BI62" s="7">
        <v>0</v>
      </c>
      <c r="BJ62" s="7">
        <v>0</v>
      </c>
      <c r="BK62" s="7">
        <v>840.54899999999998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23"/>
    </row>
    <row r="63" spans="1:70" ht="15.75" x14ac:dyDescent="0.25">
      <c r="A63" s="5" t="s">
        <v>112</v>
      </c>
      <c r="B63" s="5" t="s">
        <v>113</v>
      </c>
      <c r="C63" s="7">
        <v>3</v>
      </c>
      <c r="D63" s="7">
        <v>3</v>
      </c>
      <c r="E63" s="7">
        <v>6174.9369999999999</v>
      </c>
      <c r="F63" s="7">
        <v>868.12300000000005</v>
      </c>
      <c r="G63" s="7">
        <v>1449.452</v>
      </c>
      <c r="H63" s="7">
        <v>0</v>
      </c>
      <c r="I63" s="7">
        <v>149.11199999999999</v>
      </c>
      <c r="J63" s="7">
        <v>964.69500000000005</v>
      </c>
      <c r="K63" s="7">
        <v>0</v>
      </c>
      <c r="L63" s="7">
        <v>0</v>
      </c>
      <c r="M63" s="7">
        <v>2601.0250000000001</v>
      </c>
      <c r="N63" s="7">
        <v>3943.3220000000001</v>
      </c>
      <c r="O63" s="7">
        <v>0</v>
      </c>
      <c r="P63" s="7">
        <v>0</v>
      </c>
      <c r="Q63" s="7">
        <v>0.17599999999999999</v>
      </c>
      <c r="R63" s="7">
        <v>137.50899999999999</v>
      </c>
      <c r="S63" s="7">
        <v>493.733</v>
      </c>
      <c r="T63" s="7">
        <v>371.38499999999999</v>
      </c>
      <c r="U63" s="7">
        <v>0</v>
      </c>
      <c r="V63" s="7">
        <v>0</v>
      </c>
      <c r="W63" s="7">
        <v>157.10400000000001</v>
      </c>
      <c r="X63" s="7">
        <v>301.81</v>
      </c>
      <c r="Y63" s="7">
        <v>0</v>
      </c>
      <c r="Z63" s="7">
        <v>686.29899999999998</v>
      </c>
      <c r="AA63" s="7">
        <v>0</v>
      </c>
      <c r="AB63" s="7">
        <v>1136.7550000000001</v>
      </c>
      <c r="AC63" s="7">
        <v>0</v>
      </c>
      <c r="AD63" s="7">
        <v>141.678</v>
      </c>
      <c r="AE63" s="7">
        <v>0</v>
      </c>
      <c r="AF63" s="7">
        <v>1073.6489999999999</v>
      </c>
      <c r="AG63" s="7">
        <v>0</v>
      </c>
      <c r="AH63" s="7">
        <v>0</v>
      </c>
      <c r="AI63" s="7">
        <v>6386.1620000000003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20.181000000000001</v>
      </c>
      <c r="AR63" s="7">
        <v>0</v>
      </c>
      <c r="AS63" s="7">
        <v>0</v>
      </c>
      <c r="AT63" s="7">
        <v>0</v>
      </c>
      <c r="AU63" s="7">
        <v>3.2010000000000001</v>
      </c>
      <c r="AV63" s="7">
        <v>0</v>
      </c>
      <c r="AW63" s="7">
        <v>94.951999999999998</v>
      </c>
      <c r="AX63" s="7">
        <v>0</v>
      </c>
      <c r="AY63" s="7">
        <v>0</v>
      </c>
      <c r="AZ63" s="7">
        <v>0</v>
      </c>
      <c r="BA63" s="7">
        <v>17.375</v>
      </c>
      <c r="BB63" s="7">
        <v>0</v>
      </c>
      <c r="BC63" s="7">
        <v>0</v>
      </c>
      <c r="BD63" s="7">
        <v>6.4349999999999996</v>
      </c>
      <c r="BE63" s="7">
        <v>19.251999999999999</v>
      </c>
      <c r="BF63" s="7">
        <v>0</v>
      </c>
      <c r="BG63" s="7">
        <v>1.044</v>
      </c>
      <c r="BH63" s="7">
        <v>1.044</v>
      </c>
      <c r="BI63" s="7">
        <v>0</v>
      </c>
      <c r="BJ63" s="7">
        <v>0</v>
      </c>
      <c r="BK63" s="7">
        <v>5.9669999999999996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23"/>
    </row>
    <row r="64" spans="1:70" ht="15.75" x14ac:dyDescent="0.25">
      <c r="A64" s="5" t="s">
        <v>114</v>
      </c>
      <c r="B64" s="5" t="s">
        <v>115</v>
      </c>
      <c r="C64" s="7">
        <v>3</v>
      </c>
      <c r="D64" s="7">
        <v>3</v>
      </c>
      <c r="E64" s="7">
        <v>161607.02499999999</v>
      </c>
      <c r="F64" s="7">
        <v>21050.884999999998</v>
      </c>
      <c r="G64" s="7">
        <v>39854.656999999999</v>
      </c>
      <c r="H64" s="7">
        <v>198.24100000000001</v>
      </c>
      <c r="I64" s="7">
        <v>3781.8490000000002</v>
      </c>
      <c r="J64" s="7">
        <v>26907.339</v>
      </c>
      <c r="K64" s="7">
        <v>0</v>
      </c>
      <c r="L64" s="7">
        <v>39965.504000000001</v>
      </c>
      <c r="M64" s="7">
        <v>61890.641000000003</v>
      </c>
      <c r="N64" s="7">
        <v>102745.31</v>
      </c>
      <c r="O64" s="7">
        <v>956.77599999999995</v>
      </c>
      <c r="P64" s="7">
        <v>0</v>
      </c>
      <c r="Q64" s="7">
        <v>5.851</v>
      </c>
      <c r="R64" s="7">
        <v>371.65199999999999</v>
      </c>
      <c r="S64" s="7">
        <v>1334.43</v>
      </c>
      <c r="T64" s="7">
        <v>8822.5310000000009</v>
      </c>
      <c r="U64" s="7">
        <v>0</v>
      </c>
      <c r="V64" s="7">
        <v>28804.661</v>
      </c>
      <c r="W64" s="7">
        <v>3933.8969999999999</v>
      </c>
      <c r="X64" s="7">
        <v>8222.9480000000003</v>
      </c>
      <c r="Y64" s="7">
        <v>0</v>
      </c>
      <c r="Z64" s="7">
        <v>17288.892</v>
      </c>
      <c r="AA64" s="7">
        <v>0</v>
      </c>
      <c r="AB64" s="7">
        <v>32019.287</v>
      </c>
      <c r="AC64" s="7">
        <v>0</v>
      </c>
      <c r="AD64" s="7">
        <v>3464.8719999999998</v>
      </c>
      <c r="AE64" s="7">
        <v>0</v>
      </c>
      <c r="AF64" s="7">
        <v>31708.919000000002</v>
      </c>
      <c r="AG64" s="7">
        <v>0</v>
      </c>
      <c r="AH64" s="7">
        <v>0</v>
      </c>
      <c r="AI64" s="7">
        <v>169429.05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5628.107</v>
      </c>
      <c r="AP64" s="7">
        <v>0</v>
      </c>
      <c r="AQ64" s="7">
        <v>539.9</v>
      </c>
      <c r="AR64" s="7">
        <v>0</v>
      </c>
      <c r="AS64" s="7">
        <v>0</v>
      </c>
      <c r="AT64" s="7">
        <v>0</v>
      </c>
      <c r="AU64" s="7">
        <v>70.284999999999997</v>
      </c>
      <c r="AV64" s="7">
        <v>0</v>
      </c>
      <c r="AW64" s="7">
        <v>2398.4380000000001</v>
      </c>
      <c r="AX64" s="7">
        <v>0</v>
      </c>
      <c r="AY64" s="7">
        <v>0</v>
      </c>
      <c r="AZ64" s="7">
        <v>0</v>
      </c>
      <c r="BA64" s="7">
        <v>452.75599999999997</v>
      </c>
      <c r="BB64" s="7">
        <v>0</v>
      </c>
      <c r="BC64" s="7">
        <v>0</v>
      </c>
      <c r="BD64" s="7">
        <v>167.72800000000001</v>
      </c>
      <c r="BE64" s="7">
        <v>536.39599999999996</v>
      </c>
      <c r="BF64" s="7">
        <v>0</v>
      </c>
      <c r="BG64" s="7">
        <v>27.215</v>
      </c>
      <c r="BH64" s="7">
        <v>27.215</v>
      </c>
      <c r="BI64" s="7">
        <v>0</v>
      </c>
      <c r="BJ64" s="7">
        <v>0</v>
      </c>
      <c r="BK64" s="7">
        <v>155.07300000000001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23"/>
    </row>
    <row r="65" spans="1:70" ht="15.75" x14ac:dyDescent="0.25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23"/>
    </row>
    <row r="66" spans="1:70" ht="15.75" x14ac:dyDescent="0.25">
      <c r="A66" s="5" t="s">
        <v>118</v>
      </c>
      <c r="B66" s="5" t="s">
        <v>119</v>
      </c>
      <c r="C66" s="7">
        <v>3</v>
      </c>
      <c r="D66" s="7">
        <v>3</v>
      </c>
      <c r="E66" s="7">
        <v>183034.32500000001</v>
      </c>
      <c r="F66" s="7">
        <v>26323.882000000001</v>
      </c>
      <c r="G66" s="7">
        <v>42602.567000000003</v>
      </c>
      <c r="H66" s="7">
        <v>15414.091</v>
      </c>
      <c r="I66" s="7">
        <v>4420.098</v>
      </c>
      <c r="J66" s="7">
        <v>28355.004000000001</v>
      </c>
      <c r="K66" s="7">
        <v>0</v>
      </c>
      <c r="L66" s="7">
        <v>0</v>
      </c>
      <c r="M66" s="7">
        <v>82469.505999999994</v>
      </c>
      <c r="N66" s="7">
        <v>117142.24800000001</v>
      </c>
      <c r="O66" s="7">
        <v>0</v>
      </c>
      <c r="P66" s="7">
        <v>0</v>
      </c>
      <c r="Q66" s="7">
        <v>4.774</v>
      </c>
      <c r="R66" s="7">
        <v>343.48500000000001</v>
      </c>
      <c r="S66" s="7">
        <v>1233.297</v>
      </c>
      <c r="T66" s="7">
        <v>11206.91</v>
      </c>
      <c r="U66" s="7">
        <v>0</v>
      </c>
      <c r="V66" s="7">
        <v>0</v>
      </c>
      <c r="W66" s="7">
        <v>4673.7830000000004</v>
      </c>
      <c r="X66" s="7">
        <v>8757.8179999999993</v>
      </c>
      <c r="Y66" s="7">
        <v>0</v>
      </c>
      <c r="Z66" s="7">
        <v>20542.098999999998</v>
      </c>
      <c r="AA66" s="7">
        <v>0</v>
      </c>
      <c r="AB66" s="7">
        <v>32741.762999999999</v>
      </c>
      <c r="AC66" s="7">
        <v>0</v>
      </c>
      <c r="AD66" s="7">
        <v>4242.3469999999998</v>
      </c>
      <c r="AE66" s="7">
        <v>0</v>
      </c>
      <c r="AF66" s="7">
        <v>31320.861000000001</v>
      </c>
      <c r="AG66" s="7">
        <v>0</v>
      </c>
      <c r="AH66" s="7">
        <v>0</v>
      </c>
      <c r="AI66" s="7">
        <v>190261.21599999999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588.89</v>
      </c>
      <c r="AR66" s="7">
        <v>0</v>
      </c>
      <c r="AS66" s="7">
        <v>0</v>
      </c>
      <c r="AT66" s="7">
        <v>0</v>
      </c>
      <c r="AU66" s="7">
        <v>98.507999999999996</v>
      </c>
      <c r="AV66" s="7">
        <v>0</v>
      </c>
      <c r="AW66" s="7">
        <v>2985.462</v>
      </c>
      <c r="AX66" s="7">
        <v>0</v>
      </c>
      <c r="AY66" s="7">
        <v>0</v>
      </c>
      <c r="AZ66" s="7">
        <v>0</v>
      </c>
      <c r="BA66" s="7">
        <v>511.02</v>
      </c>
      <c r="BB66" s="7">
        <v>0</v>
      </c>
      <c r="BC66" s="7">
        <v>0</v>
      </c>
      <c r="BD66" s="7">
        <v>189.239</v>
      </c>
      <c r="BE66" s="7">
        <v>554.726</v>
      </c>
      <c r="BF66" s="7">
        <v>0</v>
      </c>
      <c r="BG66" s="7">
        <v>30.716000000000001</v>
      </c>
      <c r="BH66" s="7">
        <v>30.716000000000001</v>
      </c>
      <c r="BI66" s="7">
        <v>0</v>
      </c>
      <c r="BJ66" s="7">
        <v>0</v>
      </c>
      <c r="BK66" s="7">
        <v>175.64099999999999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23"/>
    </row>
    <row r="67" spans="1:70" ht="15.75" x14ac:dyDescent="0.25">
      <c r="A67" s="5" t="s">
        <v>120</v>
      </c>
      <c r="B67" s="5" t="s">
        <v>121</v>
      </c>
      <c r="C67" s="7">
        <v>3</v>
      </c>
      <c r="D67" s="7">
        <v>3</v>
      </c>
      <c r="E67" s="7">
        <v>27160.073</v>
      </c>
      <c r="F67" s="7">
        <v>3901.346</v>
      </c>
      <c r="G67" s="7">
        <v>6279.8810000000003</v>
      </c>
      <c r="H67" s="7">
        <v>0</v>
      </c>
      <c r="I67" s="7">
        <v>661.85799999999995</v>
      </c>
      <c r="J67" s="7">
        <v>4160.6509999999998</v>
      </c>
      <c r="K67" s="7">
        <v>0</v>
      </c>
      <c r="L67" s="7">
        <v>0</v>
      </c>
      <c r="M67" s="7">
        <v>11747.692999999999</v>
      </c>
      <c r="N67" s="7">
        <v>17367.173999999999</v>
      </c>
      <c r="O67" s="7">
        <v>0</v>
      </c>
      <c r="P67" s="7">
        <v>0</v>
      </c>
      <c r="Q67" s="7">
        <v>0.71499999999999997</v>
      </c>
      <c r="R67" s="7">
        <v>80.942999999999998</v>
      </c>
      <c r="S67" s="7">
        <v>290.62900000000002</v>
      </c>
      <c r="T67" s="7">
        <v>1678.104</v>
      </c>
      <c r="U67" s="7">
        <v>0</v>
      </c>
      <c r="V67" s="7">
        <v>0</v>
      </c>
      <c r="W67" s="7">
        <v>699.84400000000005</v>
      </c>
      <c r="X67" s="7">
        <v>1311.3810000000001</v>
      </c>
      <c r="Y67" s="7">
        <v>0</v>
      </c>
      <c r="Z67" s="7">
        <v>3052.07</v>
      </c>
      <c r="AA67" s="7">
        <v>0</v>
      </c>
      <c r="AB67" s="7">
        <v>4887.1869999999999</v>
      </c>
      <c r="AC67" s="7">
        <v>0</v>
      </c>
      <c r="AD67" s="7">
        <v>635.24199999999996</v>
      </c>
      <c r="AE67" s="7">
        <v>0</v>
      </c>
      <c r="AF67" s="7">
        <v>4542.96</v>
      </c>
      <c r="AG67" s="7">
        <v>0</v>
      </c>
      <c r="AH67" s="7">
        <v>0</v>
      </c>
      <c r="AI67" s="7">
        <v>27982.923999999999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88.179000000000002</v>
      </c>
      <c r="AR67" s="7">
        <v>0</v>
      </c>
      <c r="AS67" s="7">
        <v>0</v>
      </c>
      <c r="AT67" s="7">
        <v>0</v>
      </c>
      <c r="AU67" s="7">
        <v>14.75</v>
      </c>
      <c r="AV67" s="7">
        <v>0</v>
      </c>
      <c r="AW67" s="7">
        <v>449.14</v>
      </c>
      <c r="AX67" s="7">
        <v>0</v>
      </c>
      <c r="AY67" s="7">
        <v>0</v>
      </c>
      <c r="AZ67" s="7">
        <v>0</v>
      </c>
      <c r="BA67" s="7">
        <v>76.519000000000005</v>
      </c>
      <c r="BB67" s="7">
        <v>0</v>
      </c>
      <c r="BC67" s="7">
        <v>0</v>
      </c>
      <c r="BD67" s="7">
        <v>28.335999999999999</v>
      </c>
      <c r="BE67" s="7">
        <v>83.063999999999993</v>
      </c>
      <c r="BF67" s="7">
        <v>0</v>
      </c>
      <c r="BG67" s="7">
        <v>4.5990000000000002</v>
      </c>
      <c r="BH67" s="7">
        <v>4.5990000000000002</v>
      </c>
      <c r="BI67" s="7">
        <v>0</v>
      </c>
      <c r="BJ67" s="7">
        <v>0</v>
      </c>
      <c r="BK67" s="7">
        <v>26.3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23"/>
    </row>
    <row r="68" spans="1:70" ht="15.75" x14ac:dyDescent="0.25">
      <c r="A68" s="5" t="s">
        <v>122</v>
      </c>
      <c r="B68" s="5" t="s">
        <v>123</v>
      </c>
      <c r="C68" s="7">
        <v>3</v>
      </c>
      <c r="D68" s="7">
        <v>3</v>
      </c>
      <c r="E68" s="7">
        <v>164080.783</v>
      </c>
      <c r="F68" s="7">
        <v>23569.002</v>
      </c>
      <c r="G68" s="7">
        <v>37938.328999999998</v>
      </c>
      <c r="H68" s="7">
        <v>0</v>
      </c>
      <c r="I68" s="7">
        <v>3998.4490000000001</v>
      </c>
      <c r="J68" s="7">
        <v>25135.534</v>
      </c>
      <c r="K68" s="7">
        <v>0</v>
      </c>
      <c r="L68" s="7">
        <v>14609.996999999999</v>
      </c>
      <c r="M68" s="7">
        <v>70970.744000000006</v>
      </c>
      <c r="N68" s="7">
        <v>104919.431</v>
      </c>
      <c r="O68" s="7">
        <v>0</v>
      </c>
      <c r="P68" s="7">
        <v>0</v>
      </c>
      <c r="Q68" s="7">
        <v>4.319</v>
      </c>
      <c r="R68" s="7">
        <v>518.20899999999995</v>
      </c>
      <c r="S68" s="7">
        <v>1860.6510000000001</v>
      </c>
      <c r="T68" s="7">
        <v>10137.843000000001</v>
      </c>
      <c r="U68" s="7">
        <v>0</v>
      </c>
      <c r="V68" s="7">
        <v>10529.981</v>
      </c>
      <c r="W68" s="7">
        <v>4227.9340000000002</v>
      </c>
      <c r="X68" s="7">
        <v>7922.3789999999999</v>
      </c>
      <c r="Y68" s="7">
        <v>0</v>
      </c>
      <c r="Z68" s="7">
        <v>18438.313999999998</v>
      </c>
      <c r="AA68" s="7">
        <v>0</v>
      </c>
      <c r="AB68" s="7">
        <v>29524.716</v>
      </c>
      <c r="AC68" s="7">
        <v>0</v>
      </c>
      <c r="AD68" s="7">
        <v>3837.6550000000002</v>
      </c>
      <c r="AE68" s="7">
        <v>0</v>
      </c>
      <c r="AF68" s="7">
        <v>27445.155999999999</v>
      </c>
      <c r="AG68" s="7">
        <v>0</v>
      </c>
      <c r="AH68" s="7">
        <v>0</v>
      </c>
      <c r="AI68" s="7">
        <v>169109.20800000001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2057.44</v>
      </c>
      <c r="AP68" s="7">
        <v>0</v>
      </c>
      <c r="AQ68" s="7">
        <v>532.71400000000006</v>
      </c>
      <c r="AR68" s="7">
        <v>0</v>
      </c>
      <c r="AS68" s="7">
        <v>0</v>
      </c>
      <c r="AT68" s="7">
        <v>0</v>
      </c>
      <c r="AU68" s="7">
        <v>89.111000000000004</v>
      </c>
      <c r="AV68" s="7">
        <v>0</v>
      </c>
      <c r="AW68" s="7">
        <v>2697.1469999999999</v>
      </c>
      <c r="AX68" s="7">
        <v>0</v>
      </c>
      <c r="AY68" s="7">
        <v>0</v>
      </c>
      <c r="AZ68" s="7">
        <v>0</v>
      </c>
      <c r="BA68" s="7">
        <v>462.27199999999999</v>
      </c>
      <c r="BB68" s="7">
        <v>0</v>
      </c>
      <c r="BC68" s="7">
        <v>0</v>
      </c>
      <c r="BD68" s="7">
        <v>171.18700000000001</v>
      </c>
      <c r="BE68" s="7">
        <v>501.80900000000003</v>
      </c>
      <c r="BF68" s="7">
        <v>0</v>
      </c>
      <c r="BG68" s="7">
        <v>27.786000000000001</v>
      </c>
      <c r="BH68" s="7">
        <v>27.786000000000001</v>
      </c>
      <c r="BI68" s="7">
        <v>0</v>
      </c>
      <c r="BJ68" s="7">
        <v>0</v>
      </c>
      <c r="BK68" s="7">
        <v>158.886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23"/>
    </row>
    <row r="69" spans="1:70" ht="15.75" x14ac:dyDescent="0.25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23"/>
    </row>
    <row r="70" spans="1:70" ht="15.75" x14ac:dyDescent="0.25">
      <c r="A70" s="5" t="s">
        <v>126</v>
      </c>
      <c r="B70" s="5" t="s">
        <v>127</v>
      </c>
      <c r="C70" s="7">
        <v>3</v>
      </c>
      <c r="D70" s="7">
        <v>3</v>
      </c>
      <c r="E70" s="7">
        <v>41572.591</v>
      </c>
      <c r="F70" s="7">
        <v>5971.598</v>
      </c>
      <c r="G70" s="7">
        <v>9612.3060000000005</v>
      </c>
      <c r="H70" s="7">
        <v>9891.4030000000002</v>
      </c>
      <c r="I70" s="7">
        <v>1013.073</v>
      </c>
      <c r="J70" s="7">
        <v>6368.5050000000001</v>
      </c>
      <c r="K70" s="7">
        <v>0</v>
      </c>
      <c r="L70" s="7">
        <v>0</v>
      </c>
      <c r="M70" s="7">
        <v>17981.616999999998</v>
      </c>
      <c r="N70" s="7">
        <v>26583.08</v>
      </c>
      <c r="O70" s="7">
        <v>0</v>
      </c>
      <c r="P70" s="7">
        <v>0</v>
      </c>
      <c r="Q70" s="7">
        <v>1.0940000000000001</v>
      </c>
      <c r="R70" s="7">
        <v>0</v>
      </c>
      <c r="S70" s="7">
        <v>0</v>
      </c>
      <c r="T70" s="7">
        <v>2568.5909999999999</v>
      </c>
      <c r="U70" s="7">
        <v>0</v>
      </c>
      <c r="V70" s="7">
        <v>0</v>
      </c>
      <c r="W70" s="7">
        <v>1071.2170000000001</v>
      </c>
      <c r="X70" s="7">
        <v>2007.2660000000001</v>
      </c>
      <c r="Y70" s="7">
        <v>0</v>
      </c>
      <c r="Z70" s="7">
        <v>4671.6530000000002</v>
      </c>
      <c r="AA70" s="7">
        <v>0</v>
      </c>
      <c r="AB70" s="7">
        <v>7480.5770000000002</v>
      </c>
      <c r="AC70" s="7">
        <v>0</v>
      </c>
      <c r="AD70" s="7">
        <v>972.33399999999995</v>
      </c>
      <c r="AE70" s="7">
        <v>0</v>
      </c>
      <c r="AF70" s="7">
        <v>6953.6859999999997</v>
      </c>
      <c r="AG70" s="7">
        <v>0</v>
      </c>
      <c r="AH70" s="7">
        <v>0</v>
      </c>
      <c r="AI70" s="7">
        <v>42832.088000000003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134.97200000000001</v>
      </c>
      <c r="AR70" s="7">
        <v>0</v>
      </c>
      <c r="AS70" s="7">
        <v>0</v>
      </c>
      <c r="AT70" s="7">
        <v>0</v>
      </c>
      <c r="AU70" s="7">
        <v>22.577999999999999</v>
      </c>
      <c r="AV70" s="7">
        <v>0</v>
      </c>
      <c r="AW70" s="7">
        <v>659.86400000000003</v>
      </c>
      <c r="AX70" s="7">
        <v>0</v>
      </c>
      <c r="AY70" s="7">
        <v>0</v>
      </c>
      <c r="AZ70" s="7">
        <v>0</v>
      </c>
      <c r="BA70" s="7">
        <v>117.124</v>
      </c>
      <c r="BB70" s="7">
        <v>0</v>
      </c>
      <c r="BC70" s="7">
        <v>0</v>
      </c>
      <c r="BD70" s="7">
        <v>43.372999999999998</v>
      </c>
      <c r="BE70" s="7">
        <v>127.142</v>
      </c>
      <c r="BF70" s="7">
        <v>0</v>
      </c>
      <c r="BG70" s="7">
        <v>7.04</v>
      </c>
      <c r="BH70" s="7">
        <v>7.04</v>
      </c>
      <c r="BI70" s="7">
        <v>0</v>
      </c>
      <c r="BJ70" s="7">
        <v>0</v>
      </c>
      <c r="BK70" s="7">
        <v>40.256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23"/>
    </row>
    <row r="71" spans="1:70" ht="15.75" x14ac:dyDescent="0.25">
      <c r="A71" s="5" t="s">
        <v>128</v>
      </c>
      <c r="B71" s="5" t="s">
        <v>129</v>
      </c>
      <c r="C71" s="7">
        <v>3</v>
      </c>
      <c r="D71" s="7">
        <v>3</v>
      </c>
      <c r="E71" s="7">
        <v>13582.268</v>
      </c>
      <c r="F71" s="7">
        <v>1950.9929999999999</v>
      </c>
      <c r="G71" s="7">
        <v>3140.4569999999999</v>
      </c>
      <c r="H71" s="7">
        <v>2463.6</v>
      </c>
      <c r="I71" s="7">
        <v>330.983</v>
      </c>
      <c r="J71" s="7">
        <v>2080.6680000000001</v>
      </c>
      <c r="K71" s="7">
        <v>0</v>
      </c>
      <c r="L71" s="7">
        <v>0</v>
      </c>
      <c r="M71" s="7">
        <v>5874.8119999999999</v>
      </c>
      <c r="N71" s="7">
        <v>8685.0139999999992</v>
      </c>
      <c r="O71" s="7">
        <v>0</v>
      </c>
      <c r="P71" s="7">
        <v>0</v>
      </c>
      <c r="Q71" s="7">
        <v>0.35799999999999998</v>
      </c>
      <c r="R71" s="7">
        <v>0</v>
      </c>
      <c r="S71" s="7">
        <v>0</v>
      </c>
      <c r="T71" s="7">
        <v>839.19</v>
      </c>
      <c r="U71" s="7">
        <v>0</v>
      </c>
      <c r="V71" s="7">
        <v>0</v>
      </c>
      <c r="W71" s="7">
        <v>349.98</v>
      </c>
      <c r="X71" s="7">
        <v>655.798</v>
      </c>
      <c r="Y71" s="7">
        <v>0</v>
      </c>
      <c r="Z71" s="7">
        <v>1526.2860000000001</v>
      </c>
      <c r="AA71" s="7">
        <v>0</v>
      </c>
      <c r="AB71" s="7">
        <v>2443.9949999999999</v>
      </c>
      <c r="AC71" s="7">
        <v>0</v>
      </c>
      <c r="AD71" s="7">
        <v>317.673</v>
      </c>
      <c r="AE71" s="7">
        <v>0</v>
      </c>
      <c r="AF71" s="7">
        <v>2271.8530000000001</v>
      </c>
      <c r="AG71" s="7">
        <v>0</v>
      </c>
      <c r="AH71" s="7">
        <v>0</v>
      </c>
      <c r="AI71" s="7">
        <v>13993.761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44.097000000000001</v>
      </c>
      <c r="AR71" s="7">
        <v>0</v>
      </c>
      <c r="AS71" s="7">
        <v>0</v>
      </c>
      <c r="AT71" s="7">
        <v>0</v>
      </c>
      <c r="AU71" s="7">
        <v>7.3760000000000003</v>
      </c>
      <c r="AV71" s="7">
        <v>0</v>
      </c>
      <c r="AW71" s="7">
        <v>215.58600000000001</v>
      </c>
      <c r="AX71" s="7">
        <v>0</v>
      </c>
      <c r="AY71" s="7">
        <v>0</v>
      </c>
      <c r="AZ71" s="7">
        <v>0</v>
      </c>
      <c r="BA71" s="7">
        <v>38.265999999999998</v>
      </c>
      <c r="BB71" s="7">
        <v>0</v>
      </c>
      <c r="BC71" s="7">
        <v>0</v>
      </c>
      <c r="BD71" s="7">
        <v>14.17</v>
      </c>
      <c r="BE71" s="7">
        <v>41.539000000000001</v>
      </c>
      <c r="BF71" s="7">
        <v>0</v>
      </c>
      <c r="BG71" s="7">
        <v>2.2999999999999998</v>
      </c>
      <c r="BH71" s="7">
        <v>2.2999999999999998</v>
      </c>
      <c r="BI71" s="7">
        <v>0</v>
      </c>
      <c r="BJ71" s="7">
        <v>0</v>
      </c>
      <c r="BK71" s="7">
        <v>13.151999999999999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23"/>
    </row>
    <row r="72" spans="1:70" ht="15.75" x14ac:dyDescent="0.25">
      <c r="A72" s="5" t="s">
        <v>130</v>
      </c>
      <c r="B72" s="5" t="s">
        <v>131</v>
      </c>
      <c r="C72" s="7">
        <v>3</v>
      </c>
      <c r="D72" s="7">
        <v>3</v>
      </c>
      <c r="E72" s="7">
        <v>47767.866000000002</v>
      </c>
      <c r="F72" s="7">
        <v>6861.5039999999999</v>
      </c>
      <c r="G72" s="7">
        <v>11044.761</v>
      </c>
      <c r="H72" s="7">
        <v>6440.7969999999996</v>
      </c>
      <c r="I72" s="7">
        <v>1164.0450000000001</v>
      </c>
      <c r="J72" s="7">
        <v>7317.5590000000002</v>
      </c>
      <c r="K72" s="7">
        <v>0</v>
      </c>
      <c r="L72" s="7">
        <v>0</v>
      </c>
      <c r="M72" s="7">
        <v>20661.292000000001</v>
      </c>
      <c r="N72" s="7">
        <v>30544.572</v>
      </c>
      <c r="O72" s="7">
        <v>0</v>
      </c>
      <c r="P72" s="7">
        <v>0</v>
      </c>
      <c r="Q72" s="7">
        <v>1.2569999999999999</v>
      </c>
      <c r="R72" s="7">
        <v>1.1160000000000001</v>
      </c>
      <c r="S72" s="7">
        <v>4.0060000000000002</v>
      </c>
      <c r="T72" s="7">
        <v>2951.37</v>
      </c>
      <c r="U72" s="7">
        <v>0</v>
      </c>
      <c r="V72" s="7">
        <v>0</v>
      </c>
      <c r="W72" s="7">
        <v>1230.8530000000001</v>
      </c>
      <c r="X72" s="7">
        <v>2306.395</v>
      </c>
      <c r="Y72" s="7">
        <v>0</v>
      </c>
      <c r="Z72" s="7">
        <v>5367.8370000000004</v>
      </c>
      <c r="AA72" s="7">
        <v>0</v>
      </c>
      <c r="AB72" s="7">
        <v>8595.3559999999998</v>
      </c>
      <c r="AC72" s="7">
        <v>0</v>
      </c>
      <c r="AD72" s="7">
        <v>1117.2339999999999</v>
      </c>
      <c r="AE72" s="7">
        <v>0</v>
      </c>
      <c r="AF72" s="7">
        <v>7989.9459999999999</v>
      </c>
      <c r="AG72" s="7">
        <v>6.9160000000000004</v>
      </c>
      <c r="AH72" s="7">
        <v>0</v>
      </c>
      <c r="AI72" s="7">
        <v>49215.057000000001</v>
      </c>
      <c r="AJ72" s="7">
        <v>24.004999999999999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155.08600000000001</v>
      </c>
      <c r="AR72" s="7">
        <v>0</v>
      </c>
      <c r="AS72" s="7">
        <v>0</v>
      </c>
      <c r="AT72" s="7">
        <v>0</v>
      </c>
      <c r="AU72" s="7">
        <v>25.942</v>
      </c>
      <c r="AV72" s="7">
        <v>0</v>
      </c>
      <c r="AW72" s="7">
        <v>758.19899999999996</v>
      </c>
      <c r="AX72" s="7">
        <v>0</v>
      </c>
      <c r="AY72" s="7">
        <v>0</v>
      </c>
      <c r="AZ72" s="7">
        <v>0</v>
      </c>
      <c r="BA72" s="7">
        <v>134.578</v>
      </c>
      <c r="BB72" s="7">
        <v>0</v>
      </c>
      <c r="BC72" s="7">
        <v>0</v>
      </c>
      <c r="BD72" s="7">
        <v>49.837000000000003</v>
      </c>
      <c r="BE72" s="7">
        <v>146.089</v>
      </c>
      <c r="BF72" s="7">
        <v>0</v>
      </c>
      <c r="BG72" s="7">
        <v>8.0890000000000004</v>
      </c>
      <c r="BH72" s="7">
        <v>8.0890000000000004</v>
      </c>
      <c r="BI72" s="7">
        <v>0</v>
      </c>
      <c r="BJ72" s="7">
        <v>0</v>
      </c>
      <c r="BK72" s="7">
        <v>46.256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23"/>
    </row>
    <row r="73" spans="1:70" ht="15.75" x14ac:dyDescent="0.25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23"/>
    </row>
    <row r="74" spans="1:70" ht="15.75" x14ac:dyDescent="0.25">
      <c r="A74" s="5" t="s">
        <v>134</v>
      </c>
      <c r="B74" s="5" t="s">
        <v>135</v>
      </c>
      <c r="C74" s="7">
        <v>6</v>
      </c>
      <c r="D74" s="7">
        <v>6</v>
      </c>
      <c r="E74" s="7">
        <v>51253.826000000001</v>
      </c>
      <c r="F74" s="7">
        <v>5649.0540000000001</v>
      </c>
      <c r="G74" s="7">
        <v>14017.135</v>
      </c>
      <c r="H74" s="7">
        <v>2024.268</v>
      </c>
      <c r="I74" s="7">
        <v>995.25599999999997</v>
      </c>
      <c r="J74" s="7">
        <v>9839.43</v>
      </c>
      <c r="K74" s="7">
        <v>0</v>
      </c>
      <c r="L74" s="7">
        <v>0</v>
      </c>
      <c r="M74" s="7">
        <v>19656.690999999999</v>
      </c>
      <c r="N74" s="7">
        <v>28827.949000000001</v>
      </c>
      <c r="O74" s="7">
        <v>0</v>
      </c>
      <c r="P74" s="7">
        <v>0</v>
      </c>
      <c r="Q74" s="7">
        <v>42.488</v>
      </c>
      <c r="R74" s="7">
        <v>0</v>
      </c>
      <c r="S74" s="7">
        <v>127.271</v>
      </c>
      <c r="T74" s="7">
        <v>1350.605</v>
      </c>
      <c r="U74" s="7">
        <v>0</v>
      </c>
      <c r="V74" s="7">
        <v>0</v>
      </c>
      <c r="W74" s="7">
        <v>878.47799999999995</v>
      </c>
      <c r="X74" s="7">
        <v>2468.7510000000002</v>
      </c>
      <c r="Y74" s="7">
        <v>0</v>
      </c>
      <c r="Z74" s="7">
        <v>6080.5060000000003</v>
      </c>
      <c r="AA74" s="7">
        <v>0</v>
      </c>
      <c r="AB74" s="7">
        <v>10012.51</v>
      </c>
      <c r="AC74" s="7">
        <v>0</v>
      </c>
      <c r="AD74" s="7">
        <v>751.75800000000004</v>
      </c>
      <c r="AE74" s="7">
        <v>0</v>
      </c>
      <c r="AF74" s="7">
        <v>23432.544000000002</v>
      </c>
      <c r="AG74" s="7">
        <v>0</v>
      </c>
      <c r="AH74" s="7">
        <v>0</v>
      </c>
      <c r="AI74" s="7">
        <v>67166.342999999993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133.18600000000001</v>
      </c>
      <c r="AR74" s="7">
        <v>0</v>
      </c>
      <c r="AS74" s="7">
        <v>0</v>
      </c>
      <c r="AT74" s="7">
        <v>0</v>
      </c>
      <c r="AU74" s="7">
        <v>5.9480000000000004</v>
      </c>
      <c r="AV74" s="7">
        <v>0</v>
      </c>
      <c r="AW74" s="7">
        <v>304.35700000000003</v>
      </c>
      <c r="AX74" s="7">
        <v>0</v>
      </c>
      <c r="AY74" s="7">
        <v>0</v>
      </c>
      <c r="AZ74" s="7">
        <v>0</v>
      </c>
      <c r="BA74" s="7">
        <v>102.73099999999999</v>
      </c>
      <c r="BB74" s="7">
        <v>0</v>
      </c>
      <c r="BC74" s="7">
        <v>0</v>
      </c>
      <c r="BD74" s="7">
        <v>38.095999999999997</v>
      </c>
      <c r="BE74" s="7">
        <v>148.142</v>
      </c>
      <c r="BF74" s="7">
        <v>0</v>
      </c>
      <c r="BG74" s="7">
        <v>6.1760000000000002</v>
      </c>
      <c r="BH74" s="7">
        <v>6.1760000000000002</v>
      </c>
      <c r="BI74" s="7">
        <v>0</v>
      </c>
      <c r="BJ74" s="7">
        <v>0</v>
      </c>
      <c r="BK74" s="7">
        <v>34.866999999999997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23"/>
    </row>
    <row r="75" spans="1:70" ht="15.75" x14ac:dyDescent="0.25">
      <c r="A75" s="5" t="s">
        <v>136</v>
      </c>
      <c r="B75" s="5" t="s">
        <v>137</v>
      </c>
      <c r="C75" s="7">
        <v>6</v>
      </c>
      <c r="D75" s="7">
        <v>6</v>
      </c>
      <c r="E75" s="7">
        <v>1232.614</v>
      </c>
      <c r="F75" s="7">
        <v>113.85299999999999</v>
      </c>
      <c r="G75" s="7">
        <v>162.56200000000001</v>
      </c>
      <c r="H75" s="7">
        <v>0</v>
      </c>
      <c r="I75" s="7">
        <v>28.507999999999999</v>
      </c>
      <c r="J75" s="7">
        <v>99.234999999999999</v>
      </c>
      <c r="K75" s="7">
        <v>0</v>
      </c>
      <c r="L75" s="7">
        <v>0</v>
      </c>
      <c r="M75" s="7">
        <v>904.18399999999997</v>
      </c>
      <c r="N75" s="7">
        <v>442.48200000000003</v>
      </c>
      <c r="O75" s="7">
        <v>0</v>
      </c>
      <c r="P75" s="7">
        <v>0</v>
      </c>
      <c r="Q75" s="7">
        <v>5.3019999999999996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14.202</v>
      </c>
      <c r="X75" s="7">
        <v>43.530999999999999</v>
      </c>
      <c r="Y75" s="7">
        <v>0</v>
      </c>
      <c r="Z75" s="7">
        <v>344.279</v>
      </c>
      <c r="AA75" s="7">
        <v>0</v>
      </c>
      <c r="AB75" s="7">
        <v>121.532</v>
      </c>
      <c r="AC75" s="7">
        <v>0</v>
      </c>
      <c r="AD75" s="7">
        <v>18.259</v>
      </c>
      <c r="AE75" s="7">
        <v>0</v>
      </c>
      <c r="AF75" s="7">
        <v>1096.325</v>
      </c>
      <c r="AG75" s="7">
        <v>0</v>
      </c>
      <c r="AH75" s="7">
        <v>0</v>
      </c>
      <c r="AI75" s="7">
        <v>2588.4639999999999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23"/>
    </row>
    <row r="76" spans="1:70" ht="15.75" x14ac:dyDescent="0.25">
      <c r="A76" s="5" t="s">
        <v>138</v>
      </c>
      <c r="B76" s="5" t="s">
        <v>139</v>
      </c>
      <c r="C76" s="7">
        <v>6</v>
      </c>
      <c r="D76" s="7">
        <v>6</v>
      </c>
      <c r="E76" s="7">
        <v>18960.920999999998</v>
      </c>
      <c r="F76" s="7">
        <v>3227.7109999999998</v>
      </c>
      <c r="G76" s="7">
        <v>3096.509</v>
      </c>
      <c r="H76" s="7">
        <v>0</v>
      </c>
      <c r="I76" s="7">
        <v>340.98099999999999</v>
      </c>
      <c r="J76" s="7">
        <v>2889.6689999999999</v>
      </c>
      <c r="K76" s="7">
        <v>0</v>
      </c>
      <c r="L76" s="7">
        <v>0</v>
      </c>
      <c r="M76" s="7">
        <v>26125.73</v>
      </c>
      <c r="N76" s="7">
        <v>10020.635</v>
      </c>
      <c r="O76" s="7">
        <v>0</v>
      </c>
      <c r="P76" s="7">
        <v>0</v>
      </c>
      <c r="Q76" s="7">
        <v>7.1479999999999997</v>
      </c>
      <c r="R76" s="7">
        <v>0</v>
      </c>
      <c r="S76" s="7">
        <v>349.07</v>
      </c>
      <c r="T76" s="7">
        <v>771.57799999999997</v>
      </c>
      <c r="U76" s="7">
        <v>0</v>
      </c>
      <c r="V76" s="7">
        <v>0</v>
      </c>
      <c r="W76" s="7">
        <v>340.04700000000003</v>
      </c>
      <c r="X76" s="7">
        <v>658.947</v>
      </c>
      <c r="Y76" s="7">
        <v>0</v>
      </c>
      <c r="Z76" s="7">
        <v>1846.097</v>
      </c>
      <c r="AA76" s="7">
        <v>0</v>
      </c>
      <c r="AB76" s="7">
        <v>2403.3910000000001</v>
      </c>
      <c r="AC76" s="7">
        <v>0</v>
      </c>
      <c r="AD76" s="7">
        <v>315.56299999999999</v>
      </c>
      <c r="AE76" s="7">
        <v>0</v>
      </c>
      <c r="AF76" s="7">
        <v>5695.7550000000001</v>
      </c>
      <c r="AG76" s="7">
        <v>0</v>
      </c>
      <c r="AH76" s="7">
        <v>0</v>
      </c>
      <c r="AI76" s="7">
        <v>29030.949000000001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40.543999999999997</v>
      </c>
      <c r="AR76" s="7">
        <v>0</v>
      </c>
      <c r="AS76" s="7">
        <v>0</v>
      </c>
      <c r="AT76" s="7">
        <v>0</v>
      </c>
      <c r="AU76" s="7">
        <v>6.782</v>
      </c>
      <c r="AV76" s="7">
        <v>0</v>
      </c>
      <c r="AW76" s="7">
        <v>198.21600000000001</v>
      </c>
      <c r="AX76" s="7">
        <v>0</v>
      </c>
      <c r="AY76" s="7">
        <v>0</v>
      </c>
      <c r="AZ76" s="7">
        <v>0</v>
      </c>
      <c r="BA76" s="7">
        <v>35.183</v>
      </c>
      <c r="BB76" s="7">
        <v>0</v>
      </c>
      <c r="BC76" s="7">
        <v>0</v>
      </c>
      <c r="BD76" s="7">
        <v>13.029</v>
      </c>
      <c r="BE76" s="7">
        <v>38.192</v>
      </c>
      <c r="BF76" s="7">
        <v>0</v>
      </c>
      <c r="BG76" s="7">
        <v>2.1150000000000002</v>
      </c>
      <c r="BH76" s="7">
        <v>2.1150000000000002</v>
      </c>
      <c r="BI76" s="7">
        <v>0</v>
      </c>
      <c r="BJ76" s="7">
        <v>0</v>
      </c>
      <c r="BK76" s="7">
        <v>12.093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23"/>
    </row>
    <row r="77" spans="1:70" ht="15.75" x14ac:dyDescent="0.25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23"/>
    </row>
    <row r="78" spans="1:70" ht="15.75" x14ac:dyDescent="0.25">
      <c r="A78" s="5" t="s">
        <v>142</v>
      </c>
      <c r="B78" s="5" t="s">
        <v>143</v>
      </c>
      <c r="C78" s="7">
        <v>6</v>
      </c>
      <c r="D78" s="7">
        <v>6</v>
      </c>
      <c r="E78" s="7">
        <v>9696.2360000000008</v>
      </c>
      <c r="F78" s="7">
        <v>1222.3440000000001</v>
      </c>
      <c r="G78" s="7">
        <v>1911.732</v>
      </c>
      <c r="H78" s="7">
        <v>6151.7250000000004</v>
      </c>
      <c r="I78" s="7">
        <v>232.161</v>
      </c>
      <c r="J78" s="7">
        <v>1243.7550000000001</v>
      </c>
      <c r="K78" s="7">
        <v>0</v>
      </c>
      <c r="L78" s="7">
        <v>0</v>
      </c>
      <c r="M78" s="7">
        <v>5194.6009999999997</v>
      </c>
      <c r="N78" s="7">
        <v>5267.8310000000001</v>
      </c>
      <c r="O78" s="7">
        <v>0</v>
      </c>
      <c r="P78" s="7">
        <v>0</v>
      </c>
      <c r="Q78" s="7">
        <v>14.467000000000001</v>
      </c>
      <c r="R78" s="7">
        <v>0</v>
      </c>
      <c r="S78" s="7">
        <v>0</v>
      </c>
      <c r="T78" s="7">
        <v>393.7</v>
      </c>
      <c r="U78" s="7">
        <v>0</v>
      </c>
      <c r="V78" s="7">
        <v>0</v>
      </c>
      <c r="W78" s="7">
        <v>202.49</v>
      </c>
      <c r="X78" s="7">
        <v>425.06</v>
      </c>
      <c r="Y78" s="7">
        <v>0</v>
      </c>
      <c r="Z78" s="7">
        <v>1644.5250000000001</v>
      </c>
      <c r="AA78" s="7">
        <v>0</v>
      </c>
      <c r="AB78" s="7">
        <v>1474.3389999999999</v>
      </c>
      <c r="AC78" s="7">
        <v>0</v>
      </c>
      <c r="AD78" s="7">
        <v>198.27799999999999</v>
      </c>
      <c r="AE78" s="7">
        <v>0</v>
      </c>
      <c r="AF78" s="7">
        <v>4022.4839999999999</v>
      </c>
      <c r="AG78" s="7">
        <v>0</v>
      </c>
      <c r="AH78" s="7">
        <v>0</v>
      </c>
      <c r="AI78" s="7">
        <v>13545.855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20.687999999999999</v>
      </c>
      <c r="AR78" s="7">
        <v>0</v>
      </c>
      <c r="AS78" s="7">
        <v>0</v>
      </c>
      <c r="AT78" s="7">
        <v>0</v>
      </c>
      <c r="AU78" s="7">
        <v>3.4609999999999999</v>
      </c>
      <c r="AV78" s="7">
        <v>0</v>
      </c>
      <c r="AW78" s="7">
        <v>101.14</v>
      </c>
      <c r="AX78" s="7">
        <v>0</v>
      </c>
      <c r="AY78" s="7">
        <v>0</v>
      </c>
      <c r="AZ78" s="7">
        <v>0</v>
      </c>
      <c r="BA78" s="7">
        <v>17.952000000000002</v>
      </c>
      <c r="BB78" s="7">
        <v>0</v>
      </c>
      <c r="BC78" s="7">
        <v>0</v>
      </c>
      <c r="BD78" s="7">
        <v>6.6479999999999997</v>
      </c>
      <c r="BE78" s="7">
        <v>19.488</v>
      </c>
      <c r="BF78" s="7">
        <v>0</v>
      </c>
      <c r="BG78" s="7">
        <v>1.079</v>
      </c>
      <c r="BH78" s="7">
        <v>1.079</v>
      </c>
      <c r="BI78" s="7">
        <v>0</v>
      </c>
      <c r="BJ78" s="7">
        <v>0</v>
      </c>
      <c r="BK78" s="7">
        <v>6.17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23"/>
    </row>
    <row r="79" spans="1:70" ht="15.75" x14ac:dyDescent="0.25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23"/>
    </row>
    <row r="80" spans="1:70" ht="15.75" x14ac:dyDescent="0.25">
      <c r="A80" s="5" t="s">
        <v>146</v>
      </c>
      <c r="B80" s="5" t="s">
        <v>147</v>
      </c>
      <c r="C80" s="7">
        <v>6</v>
      </c>
      <c r="D80" s="7">
        <v>6</v>
      </c>
      <c r="E80" s="7">
        <v>10593.224</v>
      </c>
      <c r="F80" s="7">
        <v>1453.06</v>
      </c>
      <c r="G80" s="7">
        <v>2088.7350000000001</v>
      </c>
      <c r="H80" s="7">
        <v>0</v>
      </c>
      <c r="I80" s="7">
        <v>175.32499999999999</v>
      </c>
      <c r="J80" s="7">
        <v>1669.479</v>
      </c>
      <c r="K80" s="7">
        <v>0</v>
      </c>
      <c r="L80" s="7">
        <v>0</v>
      </c>
      <c r="M80" s="7">
        <v>14340.38</v>
      </c>
      <c r="N80" s="7">
        <v>4336.098</v>
      </c>
      <c r="O80" s="7">
        <v>0</v>
      </c>
      <c r="P80" s="7">
        <v>0</v>
      </c>
      <c r="Q80" s="7">
        <v>23.478000000000002</v>
      </c>
      <c r="R80" s="7">
        <v>0</v>
      </c>
      <c r="S80" s="7">
        <v>155.536</v>
      </c>
      <c r="T80" s="7">
        <v>125.191</v>
      </c>
      <c r="U80" s="7">
        <v>0</v>
      </c>
      <c r="V80" s="7">
        <v>0</v>
      </c>
      <c r="W80" s="7">
        <v>114.953</v>
      </c>
      <c r="X80" s="7">
        <v>290.15100000000001</v>
      </c>
      <c r="Y80" s="7">
        <v>0</v>
      </c>
      <c r="Z80" s="7">
        <v>1964.2180000000001</v>
      </c>
      <c r="AA80" s="7">
        <v>0</v>
      </c>
      <c r="AB80" s="7">
        <v>999.93499999999995</v>
      </c>
      <c r="AC80" s="7">
        <v>0</v>
      </c>
      <c r="AD80" s="7">
        <v>128.06100000000001</v>
      </c>
      <c r="AE80" s="7">
        <v>0</v>
      </c>
      <c r="AF80" s="7">
        <v>7226.6750000000002</v>
      </c>
      <c r="AG80" s="7">
        <v>0</v>
      </c>
      <c r="AH80" s="7">
        <v>0</v>
      </c>
      <c r="AI80" s="7">
        <v>21113.675999999999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6.5780000000000003</v>
      </c>
      <c r="AR80" s="7">
        <v>0</v>
      </c>
      <c r="AS80" s="7">
        <v>0</v>
      </c>
      <c r="AT80" s="7">
        <v>0</v>
      </c>
      <c r="AU80" s="7">
        <v>1.1000000000000001</v>
      </c>
      <c r="AV80" s="7">
        <v>0</v>
      </c>
      <c r="AW80" s="7">
        <v>32.161000000000001</v>
      </c>
      <c r="AX80" s="7">
        <v>0</v>
      </c>
      <c r="AY80" s="7">
        <v>0</v>
      </c>
      <c r="AZ80" s="7">
        <v>0</v>
      </c>
      <c r="BA80" s="7">
        <v>5.7089999999999996</v>
      </c>
      <c r="BB80" s="7">
        <v>0</v>
      </c>
      <c r="BC80" s="7">
        <v>0</v>
      </c>
      <c r="BD80" s="7">
        <v>2.1139999999999999</v>
      </c>
      <c r="BE80" s="7">
        <v>6.1970000000000001</v>
      </c>
      <c r="BF80" s="7">
        <v>0</v>
      </c>
      <c r="BG80" s="7">
        <v>0.34300000000000003</v>
      </c>
      <c r="BH80" s="7">
        <v>0.34300000000000003</v>
      </c>
      <c r="BI80" s="7">
        <v>0</v>
      </c>
      <c r="BJ80" s="7">
        <v>0</v>
      </c>
      <c r="BK80" s="7">
        <v>1.962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23"/>
    </row>
    <row r="81" spans="1:70" ht="15.75" x14ac:dyDescent="0.25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23"/>
    </row>
    <row r="82" spans="1:70" ht="15.75" x14ac:dyDescent="0.25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23"/>
    </row>
    <row r="83" spans="1:70" ht="15.75" x14ac:dyDescent="0.25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23"/>
    </row>
    <row r="84" spans="1:70" ht="15.75" x14ac:dyDescent="0.25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23"/>
    </row>
    <row r="85" spans="1:70" ht="15.75" x14ac:dyDescent="0.25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23"/>
    </row>
    <row r="86" spans="1:70" ht="15.75" x14ac:dyDescent="0.25">
      <c r="A86" s="5" t="s">
        <v>158</v>
      </c>
      <c r="B86" s="5" t="s">
        <v>159</v>
      </c>
      <c r="C86" s="7">
        <v>6</v>
      </c>
      <c r="D86" s="7">
        <v>6</v>
      </c>
      <c r="E86" s="7">
        <v>4.1849999999999996</v>
      </c>
      <c r="F86" s="7">
        <v>1.1200000000000001</v>
      </c>
      <c r="G86" s="7">
        <v>1.0740000000000001</v>
      </c>
      <c r="H86" s="7">
        <v>2379.5709999999999</v>
      </c>
      <c r="I86" s="7">
        <v>0.13500000000000001</v>
      </c>
      <c r="J86" s="7">
        <v>0.58099999999999996</v>
      </c>
      <c r="K86" s="7">
        <v>0</v>
      </c>
      <c r="L86" s="7">
        <v>0</v>
      </c>
      <c r="M86" s="7">
        <v>18.155000000000001</v>
      </c>
      <c r="N86" s="7">
        <v>3.9060000000000001</v>
      </c>
      <c r="O86" s="7">
        <v>0</v>
      </c>
      <c r="P86" s="7">
        <v>0</v>
      </c>
      <c r="Q86" s="7">
        <v>2.3E-2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0.01</v>
      </c>
      <c r="X86" s="7">
        <v>4.1000000000000002E-2</v>
      </c>
      <c r="Y86" s="7">
        <v>0</v>
      </c>
      <c r="Z86" s="7">
        <v>0.115</v>
      </c>
      <c r="AA86" s="7">
        <v>0</v>
      </c>
      <c r="AB86" s="7">
        <v>0.105</v>
      </c>
      <c r="AC86" s="7">
        <v>0</v>
      </c>
      <c r="AD86" s="7">
        <v>1.2999999999999999E-2</v>
      </c>
      <c r="AE86" s="7">
        <v>0</v>
      </c>
      <c r="AF86" s="7">
        <v>0.27500000000000002</v>
      </c>
      <c r="AG86" s="7">
        <v>0</v>
      </c>
      <c r="AH86" s="7">
        <v>0</v>
      </c>
      <c r="AI86" s="7">
        <v>26.638999999999999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23"/>
    </row>
    <row r="87" spans="1:70" ht="15.75" x14ac:dyDescent="0.25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23"/>
    </row>
    <row r="88" spans="1:70" ht="15.75" x14ac:dyDescent="0.25">
      <c r="A88" s="5" t="s">
        <v>162</v>
      </c>
      <c r="B88" s="5" t="s">
        <v>163</v>
      </c>
      <c r="C88" s="7">
        <v>6</v>
      </c>
      <c r="D88" s="7">
        <v>6</v>
      </c>
      <c r="E88" s="7">
        <v>19939.109</v>
      </c>
      <c r="F88" s="7">
        <v>3235.7510000000002</v>
      </c>
      <c r="G88" s="7">
        <v>4055.18</v>
      </c>
      <c r="H88" s="7">
        <v>0</v>
      </c>
      <c r="I88" s="7">
        <v>616.16700000000003</v>
      </c>
      <c r="J88" s="7">
        <v>2882.23</v>
      </c>
      <c r="K88" s="7">
        <v>0</v>
      </c>
      <c r="L88" s="7">
        <v>0</v>
      </c>
      <c r="M88" s="7">
        <v>18935.135999999999</v>
      </c>
      <c r="N88" s="7">
        <v>11201.075000000001</v>
      </c>
      <c r="O88" s="7">
        <v>0</v>
      </c>
      <c r="P88" s="7">
        <v>0</v>
      </c>
      <c r="Q88" s="7">
        <v>71.305999999999997</v>
      </c>
      <c r="R88" s="7">
        <v>0</v>
      </c>
      <c r="S88" s="7">
        <v>111.181</v>
      </c>
      <c r="T88" s="7">
        <v>965.68100000000004</v>
      </c>
      <c r="U88" s="7">
        <v>0</v>
      </c>
      <c r="V88" s="7">
        <v>0</v>
      </c>
      <c r="W88" s="7">
        <v>409.36200000000002</v>
      </c>
      <c r="X88" s="7">
        <v>774.96799999999996</v>
      </c>
      <c r="Y88" s="7">
        <v>0</v>
      </c>
      <c r="Z88" s="7">
        <v>2021.0820000000001</v>
      </c>
      <c r="AA88" s="7">
        <v>0</v>
      </c>
      <c r="AB88" s="7">
        <v>2869.114</v>
      </c>
      <c r="AC88" s="7">
        <v>0</v>
      </c>
      <c r="AD88" s="7">
        <v>374.08</v>
      </c>
      <c r="AE88" s="7">
        <v>0</v>
      </c>
      <c r="AF88" s="7">
        <v>4245.1989999999996</v>
      </c>
      <c r="AG88" s="7">
        <v>0</v>
      </c>
      <c r="AH88" s="7">
        <v>0</v>
      </c>
      <c r="AI88" s="7">
        <v>29096.749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50.744</v>
      </c>
      <c r="AR88" s="7">
        <v>0</v>
      </c>
      <c r="AS88" s="7">
        <v>0</v>
      </c>
      <c r="AT88" s="7">
        <v>0</v>
      </c>
      <c r="AU88" s="7">
        <v>8.4879999999999995</v>
      </c>
      <c r="AV88" s="7">
        <v>0</v>
      </c>
      <c r="AW88" s="7">
        <v>248.08099999999999</v>
      </c>
      <c r="AX88" s="7">
        <v>0</v>
      </c>
      <c r="AY88" s="7">
        <v>0</v>
      </c>
      <c r="AZ88" s="7">
        <v>0</v>
      </c>
      <c r="BA88" s="7">
        <v>44.033999999999999</v>
      </c>
      <c r="BB88" s="7">
        <v>0</v>
      </c>
      <c r="BC88" s="7">
        <v>0</v>
      </c>
      <c r="BD88" s="7">
        <v>16.306000000000001</v>
      </c>
      <c r="BE88" s="7">
        <v>47.8</v>
      </c>
      <c r="BF88" s="7">
        <v>0</v>
      </c>
      <c r="BG88" s="7">
        <v>2.6469999999999998</v>
      </c>
      <c r="BH88" s="7">
        <v>2.6469999999999998</v>
      </c>
      <c r="BI88" s="7">
        <v>0</v>
      </c>
      <c r="BJ88" s="7">
        <v>0</v>
      </c>
      <c r="BK88" s="7">
        <v>15.135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23"/>
    </row>
    <row r="89" spans="1:70" ht="15.75" x14ac:dyDescent="0.25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23"/>
    </row>
    <row r="90" spans="1:70" ht="15.75" x14ac:dyDescent="0.25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23"/>
    </row>
    <row r="91" spans="1:70" ht="15.75" x14ac:dyDescent="0.25">
      <c r="A91" s="5" t="s">
        <v>168</v>
      </c>
      <c r="B91" s="5" t="s">
        <v>169</v>
      </c>
      <c r="C91" s="7">
        <v>3</v>
      </c>
      <c r="D91" s="7">
        <v>3</v>
      </c>
      <c r="E91" s="7">
        <v>57377.209000000003</v>
      </c>
      <c r="F91" s="7">
        <v>8141.7359999999999</v>
      </c>
      <c r="G91" s="7">
        <v>14265.057000000001</v>
      </c>
      <c r="H91" s="7">
        <v>10405.91</v>
      </c>
      <c r="I91" s="7">
        <v>1339.702</v>
      </c>
      <c r="J91" s="7">
        <v>10046.028</v>
      </c>
      <c r="K91" s="7">
        <v>0</v>
      </c>
      <c r="L91" s="7">
        <v>0</v>
      </c>
      <c r="M91" s="7">
        <v>24781.924999999999</v>
      </c>
      <c r="N91" s="7">
        <v>37060.538999999997</v>
      </c>
      <c r="O91" s="7">
        <v>0</v>
      </c>
      <c r="P91" s="7">
        <v>0</v>
      </c>
      <c r="Q91" s="7">
        <v>1.4470000000000001</v>
      </c>
      <c r="R91" s="7">
        <v>0</v>
      </c>
      <c r="S91" s="7">
        <v>141.23699999999999</v>
      </c>
      <c r="T91" s="7">
        <v>3396.741</v>
      </c>
      <c r="U91" s="7">
        <v>0</v>
      </c>
      <c r="V91" s="7">
        <v>0</v>
      </c>
      <c r="W91" s="7">
        <v>1416.5930000000001</v>
      </c>
      <c r="X91" s="7">
        <v>2654.4369999999999</v>
      </c>
      <c r="Y91" s="7">
        <v>0</v>
      </c>
      <c r="Z91" s="7">
        <v>6177.86</v>
      </c>
      <c r="AA91" s="7">
        <v>0</v>
      </c>
      <c r="AB91" s="7">
        <v>9892.42</v>
      </c>
      <c r="AC91" s="7">
        <v>0</v>
      </c>
      <c r="AD91" s="7">
        <v>1285.828</v>
      </c>
      <c r="AE91" s="7">
        <v>0</v>
      </c>
      <c r="AF91" s="7">
        <v>13597.544</v>
      </c>
      <c r="AG91" s="7">
        <v>0</v>
      </c>
      <c r="AH91" s="7">
        <v>0</v>
      </c>
      <c r="AI91" s="7">
        <v>61349.659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178.489</v>
      </c>
      <c r="AR91" s="7">
        <v>0</v>
      </c>
      <c r="AS91" s="7">
        <v>0</v>
      </c>
      <c r="AT91" s="7">
        <v>0</v>
      </c>
      <c r="AU91" s="7">
        <v>29.856999999999999</v>
      </c>
      <c r="AV91" s="7">
        <v>0</v>
      </c>
      <c r="AW91" s="7">
        <v>872.61300000000006</v>
      </c>
      <c r="AX91" s="7">
        <v>0</v>
      </c>
      <c r="AY91" s="7">
        <v>0</v>
      </c>
      <c r="AZ91" s="7">
        <v>0</v>
      </c>
      <c r="BA91" s="7">
        <v>154.887</v>
      </c>
      <c r="BB91" s="7">
        <v>0</v>
      </c>
      <c r="BC91" s="7">
        <v>0</v>
      </c>
      <c r="BD91" s="7">
        <v>57.356999999999999</v>
      </c>
      <c r="BE91" s="7">
        <v>168.13399999999999</v>
      </c>
      <c r="BF91" s="7">
        <v>0</v>
      </c>
      <c r="BG91" s="7">
        <v>9.31</v>
      </c>
      <c r="BH91" s="7">
        <v>9.31</v>
      </c>
      <c r="BI91" s="7">
        <v>0</v>
      </c>
      <c r="BJ91" s="7">
        <v>0</v>
      </c>
      <c r="BK91" s="7">
        <v>53.235999999999997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23"/>
    </row>
    <row r="92" spans="1:70" ht="15.75" x14ac:dyDescent="0.25">
      <c r="A92" s="5" t="s">
        <v>170</v>
      </c>
      <c r="B92" s="5" t="s">
        <v>171</v>
      </c>
      <c r="C92" s="7">
        <v>3</v>
      </c>
      <c r="D92" s="7">
        <v>3</v>
      </c>
      <c r="E92" s="7">
        <v>81861.72</v>
      </c>
      <c r="F92" s="7">
        <v>11758.835999999999</v>
      </c>
      <c r="G92" s="7">
        <v>18927.852999999999</v>
      </c>
      <c r="H92" s="7">
        <v>0</v>
      </c>
      <c r="I92" s="7">
        <v>1994.87</v>
      </c>
      <c r="J92" s="7">
        <v>12540.396000000001</v>
      </c>
      <c r="K92" s="7">
        <v>0</v>
      </c>
      <c r="L92" s="7">
        <v>0</v>
      </c>
      <c r="M92" s="7">
        <v>35408.089999999997</v>
      </c>
      <c r="N92" s="7">
        <v>52345.466</v>
      </c>
      <c r="O92" s="7">
        <v>0</v>
      </c>
      <c r="P92" s="7">
        <v>0</v>
      </c>
      <c r="Q92" s="7">
        <v>2.1549999999999998</v>
      </c>
      <c r="R92" s="7">
        <v>0</v>
      </c>
      <c r="S92" s="7">
        <v>0</v>
      </c>
      <c r="T92" s="7">
        <v>5057.8819999999996</v>
      </c>
      <c r="U92" s="7">
        <v>0</v>
      </c>
      <c r="V92" s="7">
        <v>0</v>
      </c>
      <c r="W92" s="7">
        <v>2109.3629999999998</v>
      </c>
      <c r="X92" s="7">
        <v>3952.5630000000001</v>
      </c>
      <c r="Y92" s="7">
        <v>0</v>
      </c>
      <c r="Z92" s="7">
        <v>9199.0789999999997</v>
      </c>
      <c r="AA92" s="7">
        <v>0</v>
      </c>
      <c r="AB92" s="7">
        <v>14730.208000000001</v>
      </c>
      <c r="AC92" s="7">
        <v>0</v>
      </c>
      <c r="AD92" s="7">
        <v>1914.6489999999999</v>
      </c>
      <c r="AE92" s="7">
        <v>0</v>
      </c>
      <c r="AF92" s="7">
        <v>13692.691999999999</v>
      </c>
      <c r="AG92" s="7">
        <v>0</v>
      </c>
      <c r="AH92" s="7">
        <v>0</v>
      </c>
      <c r="AI92" s="7">
        <v>84341.828999999998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265.77699999999999</v>
      </c>
      <c r="AR92" s="7">
        <v>0</v>
      </c>
      <c r="AS92" s="7">
        <v>0</v>
      </c>
      <c r="AT92" s="7">
        <v>0</v>
      </c>
      <c r="AU92" s="7">
        <v>44.457999999999998</v>
      </c>
      <c r="AV92" s="7">
        <v>0</v>
      </c>
      <c r="AW92" s="7">
        <v>1299.356</v>
      </c>
      <c r="AX92" s="7">
        <v>0</v>
      </c>
      <c r="AY92" s="7">
        <v>0</v>
      </c>
      <c r="AZ92" s="7">
        <v>0</v>
      </c>
      <c r="BA92" s="7">
        <v>230.63300000000001</v>
      </c>
      <c r="BB92" s="7">
        <v>0</v>
      </c>
      <c r="BC92" s="7">
        <v>0</v>
      </c>
      <c r="BD92" s="7">
        <v>85.406999999999996</v>
      </c>
      <c r="BE92" s="7">
        <v>250.358</v>
      </c>
      <c r="BF92" s="7">
        <v>0</v>
      </c>
      <c r="BG92" s="7">
        <v>13.863</v>
      </c>
      <c r="BH92" s="7">
        <v>13.863</v>
      </c>
      <c r="BI92" s="7">
        <v>0</v>
      </c>
      <c r="BJ92" s="7">
        <v>0</v>
      </c>
      <c r="BK92" s="7">
        <v>79.27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23"/>
    </row>
    <row r="93" spans="1:70" ht="15.75" x14ac:dyDescent="0.25">
      <c r="A93" s="5" t="s">
        <v>172</v>
      </c>
      <c r="B93" s="5" t="s">
        <v>173</v>
      </c>
      <c r="C93" s="7">
        <v>3</v>
      </c>
      <c r="D93" s="7">
        <v>3</v>
      </c>
      <c r="E93" s="7">
        <v>5670.0969999999998</v>
      </c>
      <c r="F93" s="7">
        <v>1739.796</v>
      </c>
      <c r="G93" s="7">
        <v>4719.7690000000002</v>
      </c>
      <c r="H93" s="7">
        <v>0</v>
      </c>
      <c r="I93" s="7">
        <v>239.68700000000001</v>
      </c>
      <c r="J93" s="7">
        <v>1787.4290000000001</v>
      </c>
      <c r="K93" s="7">
        <v>0</v>
      </c>
      <c r="L93" s="7">
        <v>0</v>
      </c>
      <c r="M93" s="7">
        <v>4546.5770000000002</v>
      </c>
      <c r="N93" s="7">
        <v>2897.3130000000001</v>
      </c>
      <c r="O93" s="7">
        <v>0</v>
      </c>
      <c r="P93" s="7">
        <v>0</v>
      </c>
      <c r="Q93" s="7">
        <v>0.28699999999999998</v>
      </c>
      <c r="R93" s="7">
        <v>0</v>
      </c>
      <c r="S93" s="7">
        <v>0</v>
      </c>
      <c r="T93" s="7">
        <v>699.28499999999997</v>
      </c>
      <c r="U93" s="7">
        <v>0</v>
      </c>
      <c r="V93" s="7">
        <v>0</v>
      </c>
      <c r="W93" s="7">
        <v>253.37700000000001</v>
      </c>
      <c r="X93" s="7">
        <v>241.85900000000001</v>
      </c>
      <c r="Y93" s="7">
        <v>0</v>
      </c>
      <c r="Z93" s="7">
        <v>1822.8389999999999</v>
      </c>
      <c r="AA93" s="7">
        <v>0</v>
      </c>
      <c r="AB93" s="7">
        <v>2627.0610000000001</v>
      </c>
      <c r="AC93" s="7">
        <v>0</v>
      </c>
      <c r="AD93" s="7">
        <v>570.00599999999997</v>
      </c>
      <c r="AE93" s="7">
        <v>0</v>
      </c>
      <c r="AF93" s="7">
        <v>3686.41</v>
      </c>
      <c r="AG93" s="7">
        <v>464.92700000000002</v>
      </c>
      <c r="AH93" s="7">
        <v>0</v>
      </c>
      <c r="AI93" s="7">
        <v>18825.947</v>
      </c>
      <c r="AJ93" s="7">
        <v>810.44600000000003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98.787999999999997</v>
      </c>
      <c r="AR93" s="7">
        <v>0</v>
      </c>
      <c r="AS93" s="7">
        <v>140.69300000000001</v>
      </c>
      <c r="AT93" s="7">
        <v>0</v>
      </c>
      <c r="AU93" s="7">
        <v>2.57</v>
      </c>
      <c r="AV93" s="7">
        <v>0</v>
      </c>
      <c r="AW93" s="7">
        <v>306.63900000000001</v>
      </c>
      <c r="AX93" s="7">
        <v>0</v>
      </c>
      <c r="AY93" s="7">
        <v>0</v>
      </c>
      <c r="AZ93" s="7">
        <v>0</v>
      </c>
      <c r="BA93" s="7">
        <v>81.063999999999993</v>
      </c>
      <c r="BB93" s="7">
        <v>5.8789999999999996</v>
      </c>
      <c r="BC93" s="7">
        <v>0</v>
      </c>
      <c r="BD93" s="7">
        <v>29.27</v>
      </c>
      <c r="BE93" s="7">
        <v>91.766000000000005</v>
      </c>
      <c r="BF93" s="7">
        <v>9.6780000000000008</v>
      </c>
      <c r="BG93" s="7">
        <v>4.5439999999999996</v>
      </c>
      <c r="BH93" s="7">
        <v>4.5439999999999996</v>
      </c>
      <c r="BI93" s="7">
        <v>4.3369999999999997</v>
      </c>
      <c r="BJ93" s="7">
        <v>0</v>
      </c>
      <c r="BK93" s="7">
        <v>29.643999999999998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23"/>
    </row>
    <row r="94" spans="1:70" ht="15.75" x14ac:dyDescent="0.25">
      <c r="A94" s="5" t="s">
        <v>174</v>
      </c>
      <c r="B94" s="5" t="s">
        <v>175</v>
      </c>
      <c r="C94" s="7">
        <v>3</v>
      </c>
      <c r="D94" s="7">
        <v>3</v>
      </c>
      <c r="E94" s="7">
        <v>21444.57</v>
      </c>
      <c r="F94" s="7">
        <v>15440.731</v>
      </c>
      <c r="G94" s="7">
        <v>25124.359</v>
      </c>
      <c r="H94" s="7">
        <v>979.55100000000004</v>
      </c>
      <c r="I94" s="7">
        <v>1874.1590000000001</v>
      </c>
      <c r="J94" s="7">
        <v>11647.634</v>
      </c>
      <c r="K94" s="7">
        <v>0</v>
      </c>
      <c r="L94" s="7">
        <v>0</v>
      </c>
      <c r="M94" s="7">
        <v>34766.245000000003</v>
      </c>
      <c r="N94" s="7">
        <v>12248.271000000001</v>
      </c>
      <c r="O94" s="7">
        <v>0</v>
      </c>
      <c r="P94" s="7">
        <v>0</v>
      </c>
      <c r="Q94" s="7">
        <v>0.247</v>
      </c>
      <c r="R94" s="7">
        <v>0</v>
      </c>
      <c r="S94" s="7">
        <v>0</v>
      </c>
      <c r="T94" s="7">
        <v>6310.1109999999999</v>
      </c>
      <c r="U94" s="7">
        <v>0</v>
      </c>
      <c r="V94" s="7">
        <v>0</v>
      </c>
      <c r="W94" s="7">
        <v>1659.5709999999999</v>
      </c>
      <c r="X94" s="7">
        <v>215.8</v>
      </c>
      <c r="Y94" s="7">
        <v>0</v>
      </c>
      <c r="Z94" s="7">
        <v>9333.4359999999997</v>
      </c>
      <c r="AA94" s="7">
        <v>0</v>
      </c>
      <c r="AB94" s="7">
        <v>21200.2</v>
      </c>
      <c r="AC94" s="7">
        <v>0</v>
      </c>
      <c r="AD94" s="7">
        <v>4517.2539999999999</v>
      </c>
      <c r="AE94" s="7">
        <v>0</v>
      </c>
      <c r="AF94" s="7">
        <v>16182.481</v>
      </c>
      <c r="AG94" s="7">
        <v>2350.4119999999998</v>
      </c>
      <c r="AH94" s="7">
        <v>0</v>
      </c>
      <c r="AI94" s="7">
        <v>127365.738</v>
      </c>
      <c r="AJ94" s="7">
        <v>3894.2809999999999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915.59500000000003</v>
      </c>
      <c r="AR94" s="7">
        <v>0</v>
      </c>
      <c r="AS94" s="7">
        <v>692.35699999999997</v>
      </c>
      <c r="AT94" s="7">
        <v>0</v>
      </c>
      <c r="AU94" s="7">
        <v>21.927</v>
      </c>
      <c r="AV94" s="7">
        <v>0</v>
      </c>
      <c r="AW94" s="7">
        <v>20.210999999999999</v>
      </c>
      <c r="AX94" s="7">
        <v>0</v>
      </c>
      <c r="AY94" s="7">
        <v>0</v>
      </c>
      <c r="AZ94" s="7">
        <v>0</v>
      </c>
      <c r="BA94" s="7">
        <v>727.40899999999999</v>
      </c>
      <c r="BB94" s="7">
        <v>28.245999999999999</v>
      </c>
      <c r="BC94" s="7">
        <v>0</v>
      </c>
      <c r="BD94" s="7">
        <v>259.05599999999998</v>
      </c>
      <c r="BE94" s="7">
        <v>815.34400000000005</v>
      </c>
      <c r="BF94" s="7">
        <v>46.500999999999998</v>
      </c>
      <c r="BG94" s="7">
        <v>41.261000000000003</v>
      </c>
      <c r="BH94" s="7">
        <v>41.261000000000003</v>
      </c>
      <c r="BI94" s="7">
        <v>20.84</v>
      </c>
      <c r="BJ94" s="7">
        <v>0</v>
      </c>
      <c r="BK94" s="7">
        <v>250.83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23"/>
    </row>
    <row r="95" spans="1:70" ht="15.75" x14ac:dyDescent="0.25">
      <c r="A95" s="5" t="s">
        <v>176</v>
      </c>
      <c r="B95" s="5" t="s">
        <v>177</v>
      </c>
      <c r="C95" s="7">
        <v>3</v>
      </c>
      <c r="D95" s="7">
        <v>3</v>
      </c>
      <c r="E95" s="7">
        <v>66208.326000000001</v>
      </c>
      <c r="F95" s="7">
        <v>29662.328000000001</v>
      </c>
      <c r="G95" s="7">
        <v>4111.5060000000003</v>
      </c>
      <c r="H95" s="7">
        <v>7113.4380000000001</v>
      </c>
      <c r="I95" s="7">
        <v>3518.402</v>
      </c>
      <c r="J95" s="7">
        <v>19967.276999999998</v>
      </c>
      <c r="K95" s="7">
        <v>0</v>
      </c>
      <c r="L95" s="7">
        <v>0</v>
      </c>
      <c r="M95" s="7">
        <v>103194.46799999999</v>
      </c>
      <c r="N95" s="7">
        <v>45649.777999999998</v>
      </c>
      <c r="O95" s="7">
        <v>0</v>
      </c>
      <c r="P95" s="7">
        <v>0</v>
      </c>
      <c r="Q95" s="7">
        <v>1.147</v>
      </c>
      <c r="R95" s="7">
        <v>0</v>
      </c>
      <c r="S95" s="7">
        <v>0</v>
      </c>
      <c r="T95" s="7">
        <v>11596.15</v>
      </c>
      <c r="U95" s="7">
        <v>0</v>
      </c>
      <c r="V95" s="7">
        <v>0</v>
      </c>
      <c r="W95" s="7">
        <v>2036.2249999999999</v>
      </c>
      <c r="X95" s="7">
        <v>1098.6990000000001</v>
      </c>
      <c r="Y95" s="7">
        <v>0</v>
      </c>
      <c r="Z95" s="7">
        <v>7456.5259999999998</v>
      </c>
      <c r="AA95" s="7">
        <v>0</v>
      </c>
      <c r="AB95" s="7">
        <v>39923.557000000001</v>
      </c>
      <c r="AC95" s="7">
        <v>0</v>
      </c>
      <c r="AD95" s="7">
        <v>5242.2470000000003</v>
      </c>
      <c r="AE95" s="7">
        <v>0</v>
      </c>
      <c r="AF95" s="7">
        <v>17688.541000000001</v>
      </c>
      <c r="AG95" s="7">
        <v>8721.0550000000003</v>
      </c>
      <c r="AH95" s="7">
        <v>0</v>
      </c>
      <c r="AI95" s="7">
        <v>215324.63099999999</v>
      </c>
      <c r="AJ95" s="7">
        <v>14405.064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1494.691</v>
      </c>
      <c r="AR95" s="7">
        <v>0</v>
      </c>
      <c r="AS95" s="7">
        <v>2564.8069999999998</v>
      </c>
      <c r="AT95" s="7">
        <v>0</v>
      </c>
      <c r="AU95" s="7">
        <v>49.44</v>
      </c>
      <c r="AV95" s="7">
        <v>0</v>
      </c>
      <c r="AW95" s="7">
        <v>212.506</v>
      </c>
      <c r="AX95" s="7">
        <v>0</v>
      </c>
      <c r="AY95" s="7">
        <v>0</v>
      </c>
      <c r="AZ95" s="7">
        <v>0</v>
      </c>
      <c r="BA95" s="7">
        <v>1028.7170000000001</v>
      </c>
      <c r="BB95" s="7">
        <v>104.48399999999999</v>
      </c>
      <c r="BC95" s="7">
        <v>0</v>
      </c>
      <c r="BD95" s="7">
        <v>396.15199999999999</v>
      </c>
      <c r="BE95" s="7">
        <v>1192.6310000000001</v>
      </c>
      <c r="BF95" s="7">
        <v>172.00800000000001</v>
      </c>
      <c r="BG95" s="7">
        <v>66.613</v>
      </c>
      <c r="BH95" s="7">
        <v>66.613</v>
      </c>
      <c r="BI95" s="7">
        <v>77.088999999999999</v>
      </c>
      <c r="BJ95" s="7">
        <v>0</v>
      </c>
      <c r="BK95" s="7">
        <v>298.11599999999999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23"/>
    </row>
    <row r="96" spans="1:70" ht="15.75" x14ac:dyDescent="0.25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23"/>
    </row>
    <row r="97" spans="1:70" ht="15.75" x14ac:dyDescent="0.25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23"/>
    </row>
    <row r="98" spans="1:70" ht="15.75" x14ac:dyDescent="0.25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23"/>
    </row>
    <row r="99" spans="1:70" ht="15.75" x14ac:dyDescent="0.25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23"/>
    </row>
    <row r="100" spans="1:70" ht="15.75" x14ac:dyDescent="0.25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23"/>
    </row>
    <row r="101" spans="1:70" ht="15.75" x14ac:dyDescent="0.25">
      <c r="A101" s="5" t="s">
        <v>188</v>
      </c>
      <c r="B101" s="5" t="s">
        <v>189</v>
      </c>
      <c r="C101" s="7">
        <v>6</v>
      </c>
      <c r="D101" s="7">
        <v>6</v>
      </c>
      <c r="E101" s="7">
        <v>5959.9449999999997</v>
      </c>
      <c r="F101" s="7">
        <v>550.505</v>
      </c>
      <c r="G101" s="7">
        <v>786.02</v>
      </c>
      <c r="H101" s="7">
        <v>0</v>
      </c>
      <c r="I101" s="7">
        <v>137.84200000000001</v>
      </c>
      <c r="J101" s="7">
        <v>479.822</v>
      </c>
      <c r="K101" s="7">
        <v>0</v>
      </c>
      <c r="L101" s="7">
        <v>0</v>
      </c>
      <c r="M101" s="7">
        <v>4371.9170000000004</v>
      </c>
      <c r="N101" s="7">
        <v>2139.491</v>
      </c>
      <c r="O101" s="7">
        <v>0</v>
      </c>
      <c r="P101" s="7">
        <v>0</v>
      </c>
      <c r="Q101" s="7">
        <v>25.637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68.667000000000002</v>
      </c>
      <c r="X101" s="7">
        <v>210.48</v>
      </c>
      <c r="Y101" s="7">
        <v>0</v>
      </c>
      <c r="Z101" s="7">
        <v>1664.66</v>
      </c>
      <c r="AA101" s="7">
        <v>0</v>
      </c>
      <c r="AB101" s="7">
        <v>587.63</v>
      </c>
      <c r="AC101" s="7">
        <v>0</v>
      </c>
      <c r="AD101" s="7">
        <v>88.287999999999997</v>
      </c>
      <c r="AE101" s="7">
        <v>0</v>
      </c>
      <c r="AF101" s="7">
        <v>5300.9629999999997</v>
      </c>
      <c r="AG101" s="7">
        <v>0</v>
      </c>
      <c r="AH101" s="7">
        <v>0</v>
      </c>
      <c r="AI101" s="7">
        <v>12515.768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23"/>
    </row>
    <row r="102" spans="1:70" ht="15.75" x14ac:dyDescent="0.25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23"/>
    </row>
    <row r="103" spans="1:70" ht="15.75" x14ac:dyDescent="0.25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1884.808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23"/>
    </row>
    <row r="104" spans="1:70" ht="15.75" x14ac:dyDescent="0.25">
      <c r="A104" s="5" t="s">
        <v>194</v>
      </c>
      <c r="B104" s="5" t="s">
        <v>195</v>
      </c>
      <c r="C104" s="7">
        <v>4</v>
      </c>
      <c r="D104" s="7">
        <v>4</v>
      </c>
      <c r="E104" s="7">
        <v>298761.71899999998</v>
      </c>
      <c r="F104" s="7">
        <v>62085.902000000002</v>
      </c>
      <c r="G104" s="7">
        <v>0</v>
      </c>
      <c r="H104" s="7">
        <v>0</v>
      </c>
      <c r="I104" s="7">
        <v>3121.1729999999998</v>
      </c>
      <c r="J104" s="7">
        <v>0</v>
      </c>
      <c r="K104" s="7">
        <v>0</v>
      </c>
      <c r="L104" s="7">
        <v>0</v>
      </c>
      <c r="M104" s="7">
        <v>746545.26399999997</v>
      </c>
      <c r="N104" s="7">
        <v>77299.251000000004</v>
      </c>
      <c r="O104" s="7">
        <v>0</v>
      </c>
      <c r="P104" s="7">
        <v>22.129000000000001</v>
      </c>
      <c r="Q104" s="7">
        <v>14.548999999999999</v>
      </c>
      <c r="R104" s="7">
        <v>46.360999999999997</v>
      </c>
      <c r="S104" s="7">
        <v>0</v>
      </c>
      <c r="T104" s="7">
        <v>17969.916000000001</v>
      </c>
      <c r="U104" s="7">
        <v>0</v>
      </c>
      <c r="V104" s="7">
        <v>0</v>
      </c>
      <c r="W104" s="7">
        <v>0</v>
      </c>
      <c r="X104" s="7">
        <v>5318.4639999999999</v>
      </c>
      <c r="Y104" s="7">
        <v>0</v>
      </c>
      <c r="Z104" s="7">
        <v>113634.364</v>
      </c>
      <c r="AA104" s="7">
        <v>0</v>
      </c>
      <c r="AB104" s="7">
        <v>0</v>
      </c>
      <c r="AC104" s="7">
        <v>1865.289</v>
      </c>
      <c r="AD104" s="7">
        <v>10848.022999999999</v>
      </c>
      <c r="AE104" s="7">
        <v>0</v>
      </c>
      <c r="AF104" s="7">
        <v>286968.83799999999</v>
      </c>
      <c r="AG104" s="7">
        <v>147426.32199999999</v>
      </c>
      <c r="AH104" s="7">
        <v>0</v>
      </c>
      <c r="AI104" s="7">
        <v>1216802.051</v>
      </c>
      <c r="AJ104" s="7">
        <v>256988.954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1720.825</v>
      </c>
      <c r="AR104" s="7">
        <v>0</v>
      </c>
      <c r="AS104" s="7">
        <v>44613.118999999999</v>
      </c>
      <c r="AT104" s="7">
        <v>0</v>
      </c>
      <c r="AU104" s="7">
        <v>173.25200000000001</v>
      </c>
      <c r="AV104" s="7">
        <v>0</v>
      </c>
      <c r="AW104" s="7">
        <v>1254.056</v>
      </c>
      <c r="AX104" s="7">
        <v>0</v>
      </c>
      <c r="AY104" s="7">
        <v>0</v>
      </c>
      <c r="AZ104" s="7">
        <v>0</v>
      </c>
      <c r="BA104" s="7">
        <v>357.98899999999998</v>
      </c>
      <c r="BB104" s="7">
        <v>1864.0530000000001</v>
      </c>
      <c r="BC104" s="7">
        <v>0</v>
      </c>
      <c r="BD104" s="7">
        <v>574.846</v>
      </c>
      <c r="BE104" s="7">
        <v>0</v>
      </c>
      <c r="BF104" s="7">
        <v>3068.7280000000001</v>
      </c>
      <c r="BG104" s="7">
        <v>92.388999999999996</v>
      </c>
      <c r="BH104" s="7">
        <v>92.388999999999996</v>
      </c>
      <c r="BI104" s="7">
        <v>1375.309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23"/>
    </row>
    <row r="105" spans="1:70" ht="15.75" x14ac:dyDescent="0.25">
      <c r="A105" s="5" t="s">
        <v>196</v>
      </c>
      <c r="B105" s="5" t="s">
        <v>197</v>
      </c>
      <c r="C105" s="7">
        <v>4</v>
      </c>
      <c r="D105" s="7">
        <v>4</v>
      </c>
      <c r="E105" s="7">
        <v>149524.47399999999</v>
      </c>
      <c r="F105" s="7">
        <v>30051.592000000001</v>
      </c>
      <c r="G105" s="7">
        <v>0</v>
      </c>
      <c r="H105" s="7">
        <v>411.49099999999999</v>
      </c>
      <c r="I105" s="7">
        <v>1574.4880000000001</v>
      </c>
      <c r="J105" s="7">
        <v>0</v>
      </c>
      <c r="K105" s="7">
        <v>0</v>
      </c>
      <c r="L105" s="7">
        <v>0</v>
      </c>
      <c r="M105" s="7">
        <v>372810.83600000001</v>
      </c>
      <c r="N105" s="7">
        <v>38993.917000000001</v>
      </c>
      <c r="O105" s="7">
        <v>0</v>
      </c>
      <c r="P105" s="7">
        <v>5.1999999999999998E-2</v>
      </c>
      <c r="Q105" s="7">
        <v>7.3390000000000004</v>
      </c>
      <c r="R105" s="7">
        <v>0.109</v>
      </c>
      <c r="S105" s="7">
        <v>0</v>
      </c>
      <c r="T105" s="7">
        <v>9064.9959999999992</v>
      </c>
      <c r="U105" s="7">
        <v>0</v>
      </c>
      <c r="V105" s="7">
        <v>0</v>
      </c>
      <c r="W105" s="7">
        <v>0</v>
      </c>
      <c r="X105" s="7">
        <v>2682.9209999999998</v>
      </c>
      <c r="Y105" s="7">
        <v>0</v>
      </c>
      <c r="Z105" s="7">
        <v>57323.31</v>
      </c>
      <c r="AA105" s="7">
        <v>0</v>
      </c>
      <c r="AB105" s="7">
        <v>0</v>
      </c>
      <c r="AC105" s="7">
        <v>4.4009999999999998</v>
      </c>
      <c r="AD105" s="7">
        <v>5472.3280000000004</v>
      </c>
      <c r="AE105" s="7">
        <v>0</v>
      </c>
      <c r="AF105" s="7">
        <v>143865.00599999999</v>
      </c>
      <c r="AG105" s="7">
        <v>74369.798999999999</v>
      </c>
      <c r="AH105" s="7">
        <v>0</v>
      </c>
      <c r="AI105" s="7">
        <v>610264.10100000002</v>
      </c>
      <c r="AJ105" s="7">
        <v>129639.10799999999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868.077</v>
      </c>
      <c r="AR105" s="7">
        <v>0</v>
      </c>
      <c r="AS105" s="7">
        <v>22505.267</v>
      </c>
      <c r="AT105" s="7">
        <v>0</v>
      </c>
      <c r="AU105" s="7">
        <v>87.397999999999996</v>
      </c>
      <c r="AV105" s="7">
        <v>0</v>
      </c>
      <c r="AW105" s="7">
        <v>632.61400000000003</v>
      </c>
      <c r="AX105" s="7">
        <v>0</v>
      </c>
      <c r="AY105" s="7">
        <v>0</v>
      </c>
      <c r="AZ105" s="7">
        <v>0</v>
      </c>
      <c r="BA105" s="7">
        <v>180.589</v>
      </c>
      <c r="BB105" s="7">
        <v>940.32899999999995</v>
      </c>
      <c r="BC105" s="7">
        <v>0</v>
      </c>
      <c r="BD105" s="7">
        <v>289.983</v>
      </c>
      <c r="BE105" s="7">
        <v>0</v>
      </c>
      <c r="BF105" s="7">
        <v>1548.0319999999999</v>
      </c>
      <c r="BG105" s="7">
        <v>46.606000000000002</v>
      </c>
      <c r="BH105" s="7">
        <v>46.606000000000002</v>
      </c>
      <c r="BI105" s="7">
        <v>693.78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23"/>
    </row>
    <row r="106" spans="1:70" ht="15.75" x14ac:dyDescent="0.25">
      <c r="A106" s="5" t="s">
        <v>198</v>
      </c>
      <c r="B106" s="5" t="s">
        <v>199</v>
      </c>
      <c r="C106" s="7">
        <v>4</v>
      </c>
      <c r="D106" s="7">
        <v>4</v>
      </c>
      <c r="E106" s="7">
        <v>64595.841</v>
      </c>
      <c r="F106" s="7">
        <v>13059.449000000001</v>
      </c>
      <c r="G106" s="7">
        <v>128.661</v>
      </c>
      <c r="H106" s="7">
        <v>2.8090000000000002</v>
      </c>
      <c r="I106" s="7">
        <v>745.29399999999998</v>
      </c>
      <c r="J106" s="7">
        <v>85.242999999999995</v>
      </c>
      <c r="K106" s="7">
        <v>0</v>
      </c>
      <c r="L106" s="7">
        <v>0</v>
      </c>
      <c r="M106" s="7">
        <v>155985.427</v>
      </c>
      <c r="N106" s="7">
        <v>19156.241000000002</v>
      </c>
      <c r="O106" s="7">
        <v>0</v>
      </c>
      <c r="P106" s="7">
        <v>43.401000000000003</v>
      </c>
      <c r="Q106" s="7">
        <v>2.887</v>
      </c>
      <c r="R106" s="7">
        <v>90.926000000000002</v>
      </c>
      <c r="S106" s="7">
        <v>0</v>
      </c>
      <c r="T106" s="7">
        <v>3581.5659999999998</v>
      </c>
      <c r="U106" s="7">
        <v>0</v>
      </c>
      <c r="V106" s="7">
        <v>0</v>
      </c>
      <c r="W106" s="7">
        <v>14.337999999999999</v>
      </c>
      <c r="X106" s="7">
        <v>1076.71</v>
      </c>
      <c r="Y106" s="7">
        <v>0</v>
      </c>
      <c r="Z106" s="7">
        <v>22493.471000000001</v>
      </c>
      <c r="AA106" s="7">
        <v>0</v>
      </c>
      <c r="AB106" s="7">
        <v>100.128</v>
      </c>
      <c r="AC106" s="7">
        <v>3658.2939999999999</v>
      </c>
      <c r="AD106" s="7">
        <v>2154.3679999999999</v>
      </c>
      <c r="AE106" s="7">
        <v>0</v>
      </c>
      <c r="AF106" s="7">
        <v>59892.671999999999</v>
      </c>
      <c r="AG106" s="7">
        <v>29104.14</v>
      </c>
      <c r="AH106" s="7">
        <v>0</v>
      </c>
      <c r="AI106" s="7">
        <v>250137.52799999999</v>
      </c>
      <c r="AJ106" s="7">
        <v>50738.281000000003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341.49</v>
      </c>
      <c r="AR106" s="7">
        <v>0</v>
      </c>
      <c r="AS106" s="7">
        <v>8806.44</v>
      </c>
      <c r="AT106" s="7">
        <v>0</v>
      </c>
      <c r="AU106" s="7">
        <v>34.500999999999998</v>
      </c>
      <c r="AV106" s="7">
        <v>0</v>
      </c>
      <c r="AW106" s="7">
        <v>256.37799999999999</v>
      </c>
      <c r="AX106" s="7">
        <v>0</v>
      </c>
      <c r="AY106" s="7">
        <v>0</v>
      </c>
      <c r="AZ106" s="7">
        <v>0</v>
      </c>
      <c r="BA106" s="7">
        <v>72.233000000000004</v>
      </c>
      <c r="BB106" s="7">
        <v>367.95600000000002</v>
      </c>
      <c r="BC106" s="7">
        <v>0</v>
      </c>
      <c r="BD106" s="7">
        <v>114.053</v>
      </c>
      <c r="BE106" s="7">
        <v>1.702</v>
      </c>
      <c r="BF106" s="7">
        <v>605.75400000000002</v>
      </c>
      <c r="BG106" s="7">
        <v>18.331</v>
      </c>
      <c r="BH106" s="7">
        <v>18.331</v>
      </c>
      <c r="BI106" s="7">
        <v>271.48</v>
      </c>
      <c r="BJ106" s="7">
        <v>0</v>
      </c>
      <c r="BK106" s="7">
        <v>0.53900000000000003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23"/>
    </row>
    <row r="107" spans="1:70" ht="15.75" x14ac:dyDescent="0.25">
      <c r="A107" s="5" t="s">
        <v>200</v>
      </c>
      <c r="B107" s="5" t="s">
        <v>201</v>
      </c>
      <c r="C107" s="7">
        <v>4</v>
      </c>
      <c r="D107" s="7">
        <v>4</v>
      </c>
      <c r="E107" s="7">
        <v>4602.1779999999999</v>
      </c>
      <c r="F107" s="7">
        <v>898.09699999999998</v>
      </c>
      <c r="G107" s="7">
        <v>0.86199999999999999</v>
      </c>
      <c r="H107" s="7">
        <v>0</v>
      </c>
      <c r="I107" s="7">
        <v>47.116999999999997</v>
      </c>
      <c r="J107" s="7">
        <v>0.57099999999999995</v>
      </c>
      <c r="K107" s="7">
        <v>0</v>
      </c>
      <c r="L107" s="7">
        <v>0</v>
      </c>
      <c r="M107" s="7">
        <v>11283.084000000001</v>
      </c>
      <c r="N107" s="7">
        <v>1167.029</v>
      </c>
      <c r="O107" s="7">
        <v>0</v>
      </c>
      <c r="P107" s="7">
        <v>3.5640000000000001</v>
      </c>
      <c r="Q107" s="7">
        <v>0.219</v>
      </c>
      <c r="R107" s="7">
        <v>7.4669999999999996</v>
      </c>
      <c r="S107" s="7">
        <v>0</v>
      </c>
      <c r="T107" s="7">
        <v>270.97800000000001</v>
      </c>
      <c r="U107" s="7">
        <v>0</v>
      </c>
      <c r="V107" s="7">
        <v>0</v>
      </c>
      <c r="W107" s="7">
        <v>9.6000000000000002E-2</v>
      </c>
      <c r="X107" s="7">
        <v>80.311999999999998</v>
      </c>
      <c r="Y107" s="7">
        <v>0</v>
      </c>
      <c r="Z107" s="7">
        <v>1712.5150000000001</v>
      </c>
      <c r="AA107" s="7">
        <v>0</v>
      </c>
      <c r="AB107" s="7">
        <v>0.67100000000000004</v>
      </c>
      <c r="AC107" s="7">
        <v>300.43700000000001</v>
      </c>
      <c r="AD107" s="7">
        <v>163.53100000000001</v>
      </c>
      <c r="AE107" s="7">
        <v>0</v>
      </c>
      <c r="AF107" s="7">
        <v>4585.299</v>
      </c>
      <c r="AG107" s="7">
        <v>2221.2289999999998</v>
      </c>
      <c r="AH107" s="7">
        <v>0</v>
      </c>
      <c r="AI107" s="7">
        <v>18230.816999999999</v>
      </c>
      <c r="AJ107" s="7">
        <v>3871.9780000000001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25.939</v>
      </c>
      <c r="AR107" s="7">
        <v>0</v>
      </c>
      <c r="AS107" s="7">
        <v>672.173</v>
      </c>
      <c r="AT107" s="7">
        <v>0</v>
      </c>
      <c r="AU107" s="7">
        <v>2.6120000000000001</v>
      </c>
      <c r="AV107" s="7">
        <v>0</v>
      </c>
      <c r="AW107" s="7">
        <v>18.954000000000001</v>
      </c>
      <c r="AX107" s="7">
        <v>0</v>
      </c>
      <c r="AY107" s="7">
        <v>0</v>
      </c>
      <c r="AZ107" s="7">
        <v>0</v>
      </c>
      <c r="BA107" s="7">
        <v>5.4039999999999999</v>
      </c>
      <c r="BB107" s="7">
        <v>28.085000000000001</v>
      </c>
      <c r="BC107" s="7">
        <v>0</v>
      </c>
      <c r="BD107" s="7">
        <v>8.6649999999999991</v>
      </c>
      <c r="BE107" s="7">
        <v>1.0999999999999999E-2</v>
      </c>
      <c r="BF107" s="7">
        <v>46.235999999999997</v>
      </c>
      <c r="BG107" s="7">
        <v>1.393</v>
      </c>
      <c r="BH107" s="7">
        <v>1.393</v>
      </c>
      <c r="BI107" s="7">
        <v>20.721</v>
      </c>
      <c r="BJ107" s="7">
        <v>0</v>
      </c>
      <c r="BK107" s="7">
        <v>4.0000000000000001E-3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23"/>
    </row>
    <row r="108" spans="1:70" ht="15.75" x14ac:dyDescent="0.25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23"/>
    </row>
    <row r="109" spans="1:70" ht="15.75" x14ac:dyDescent="0.25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23"/>
    </row>
    <row r="110" spans="1:70" ht="15.75" x14ac:dyDescent="0.25">
      <c r="A110" s="5" t="s">
        <v>206</v>
      </c>
      <c r="B110" s="5" t="s">
        <v>207</v>
      </c>
      <c r="C110" s="7">
        <v>6</v>
      </c>
      <c r="D110" s="7">
        <v>6</v>
      </c>
      <c r="E110" s="7">
        <v>82295.485000000001</v>
      </c>
      <c r="F110" s="7">
        <v>625.81799999999998</v>
      </c>
      <c r="G110" s="7">
        <v>0</v>
      </c>
      <c r="H110" s="7">
        <v>9439.5290000000005</v>
      </c>
      <c r="I110" s="7">
        <v>0.28899999999999998</v>
      </c>
      <c r="J110" s="7">
        <v>0</v>
      </c>
      <c r="K110" s="7">
        <v>0</v>
      </c>
      <c r="L110" s="7">
        <v>0</v>
      </c>
      <c r="M110" s="7">
        <v>120102.02499999999</v>
      </c>
      <c r="N110" s="7">
        <v>19709.636999999999</v>
      </c>
      <c r="O110" s="7">
        <v>0</v>
      </c>
      <c r="P110" s="7">
        <v>0</v>
      </c>
      <c r="Q110" s="7">
        <v>1E-3</v>
      </c>
      <c r="R110" s="7">
        <v>0</v>
      </c>
      <c r="S110" s="7">
        <v>2E-3</v>
      </c>
      <c r="T110" s="7">
        <v>1.651</v>
      </c>
      <c r="U110" s="7">
        <v>0</v>
      </c>
      <c r="V110" s="7">
        <v>0</v>
      </c>
      <c r="W110" s="7">
        <v>0</v>
      </c>
      <c r="X110" s="7">
        <v>0.48899999999999999</v>
      </c>
      <c r="Y110" s="7">
        <v>0</v>
      </c>
      <c r="Z110" s="7">
        <v>27229.38</v>
      </c>
      <c r="AA110" s="7">
        <v>0</v>
      </c>
      <c r="AB110" s="7">
        <v>0</v>
      </c>
      <c r="AC110" s="7">
        <v>0</v>
      </c>
      <c r="AD110" s="7">
        <v>0.997</v>
      </c>
      <c r="AE110" s="7">
        <v>0</v>
      </c>
      <c r="AF110" s="7">
        <v>93418.308999999994</v>
      </c>
      <c r="AG110" s="7">
        <v>3982.9560000000001</v>
      </c>
      <c r="AH110" s="7">
        <v>0</v>
      </c>
      <c r="AI110" s="7">
        <v>289689.21600000001</v>
      </c>
      <c r="AJ110" s="7">
        <v>5467.0370000000003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0.158</v>
      </c>
      <c r="AR110" s="7">
        <v>0</v>
      </c>
      <c r="AS110" s="7">
        <v>4.0990000000000002</v>
      </c>
      <c r="AT110" s="7">
        <v>0</v>
      </c>
      <c r="AU110" s="7">
        <v>2.1999999999999999E-2</v>
      </c>
      <c r="AV110" s="7">
        <v>0</v>
      </c>
      <c r="AW110" s="7">
        <v>0.115</v>
      </c>
      <c r="AX110" s="7">
        <v>0</v>
      </c>
      <c r="AY110" s="7">
        <v>0</v>
      </c>
      <c r="AZ110" s="7">
        <v>0</v>
      </c>
      <c r="BA110" s="7">
        <v>3.3000000000000002E-2</v>
      </c>
      <c r="BB110" s="7">
        <v>0.17100000000000001</v>
      </c>
      <c r="BC110" s="7">
        <v>0</v>
      </c>
      <c r="BD110" s="7">
        <v>5.2999999999999999E-2</v>
      </c>
      <c r="BE110" s="7">
        <v>0</v>
      </c>
      <c r="BF110" s="7">
        <v>0.28199999999999997</v>
      </c>
      <c r="BG110" s="7">
        <v>8.0000000000000002E-3</v>
      </c>
      <c r="BH110" s="7">
        <v>8.0000000000000002E-3</v>
      </c>
      <c r="BI110" s="7">
        <v>0.126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23"/>
    </row>
    <row r="111" spans="1:70" ht="15.75" x14ac:dyDescent="0.25">
      <c r="A111" s="5" t="s">
        <v>208</v>
      </c>
      <c r="B111" s="5" t="s">
        <v>209</v>
      </c>
      <c r="C111" s="7">
        <v>4</v>
      </c>
      <c r="D111" s="7">
        <v>4</v>
      </c>
      <c r="E111" s="7">
        <v>88250.043000000005</v>
      </c>
      <c r="F111" s="7">
        <v>17744.68</v>
      </c>
      <c r="G111" s="7">
        <v>0</v>
      </c>
      <c r="H111" s="7">
        <v>0</v>
      </c>
      <c r="I111" s="7">
        <v>928.04</v>
      </c>
      <c r="J111" s="7">
        <v>0</v>
      </c>
      <c r="K111" s="7">
        <v>0</v>
      </c>
      <c r="L111" s="7">
        <v>0</v>
      </c>
      <c r="M111" s="7">
        <v>220506.77299999999</v>
      </c>
      <c r="N111" s="7">
        <v>22991.931</v>
      </c>
      <c r="O111" s="7">
        <v>0</v>
      </c>
      <c r="P111" s="7">
        <v>0</v>
      </c>
      <c r="Q111" s="7">
        <v>4.3220000000000001</v>
      </c>
      <c r="R111" s="7">
        <v>0</v>
      </c>
      <c r="S111" s="7">
        <v>0</v>
      </c>
      <c r="T111" s="7">
        <v>5344.5709999999999</v>
      </c>
      <c r="U111" s="7">
        <v>0</v>
      </c>
      <c r="V111" s="7">
        <v>0</v>
      </c>
      <c r="W111" s="7">
        <v>0</v>
      </c>
      <c r="X111" s="7">
        <v>1581.6189999999999</v>
      </c>
      <c r="Y111" s="7">
        <v>0</v>
      </c>
      <c r="Z111" s="7">
        <v>33825.936999999998</v>
      </c>
      <c r="AA111" s="7">
        <v>0</v>
      </c>
      <c r="AB111" s="7">
        <v>0</v>
      </c>
      <c r="AC111" s="7">
        <v>18.271999999999998</v>
      </c>
      <c r="AD111" s="7">
        <v>3226.2759999999998</v>
      </c>
      <c r="AE111" s="7">
        <v>0</v>
      </c>
      <c r="AF111" s="7">
        <v>84951.148000000001</v>
      </c>
      <c r="AG111" s="7">
        <v>43891.254999999997</v>
      </c>
      <c r="AH111" s="7">
        <v>0</v>
      </c>
      <c r="AI111" s="7">
        <v>361153.36300000001</v>
      </c>
      <c r="AJ111" s="7">
        <v>76476.043999999994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511.988</v>
      </c>
      <c r="AR111" s="7">
        <v>0</v>
      </c>
      <c r="AS111" s="7">
        <v>13286.605</v>
      </c>
      <c r="AT111" s="7">
        <v>0</v>
      </c>
      <c r="AU111" s="7">
        <v>51.533999999999999</v>
      </c>
      <c r="AV111" s="7">
        <v>0</v>
      </c>
      <c r="AW111" s="7">
        <v>626.23500000000001</v>
      </c>
      <c r="AX111" s="7">
        <v>0</v>
      </c>
      <c r="AY111" s="7">
        <v>0</v>
      </c>
      <c r="AZ111" s="7">
        <v>0</v>
      </c>
      <c r="BA111" s="7">
        <v>106.468</v>
      </c>
      <c r="BB111" s="7">
        <v>553.72400000000005</v>
      </c>
      <c r="BC111" s="7">
        <v>0</v>
      </c>
      <c r="BD111" s="7">
        <v>170.946</v>
      </c>
      <c r="BE111" s="7">
        <v>0</v>
      </c>
      <c r="BF111" s="7">
        <v>911.57799999999997</v>
      </c>
      <c r="BG111" s="7">
        <v>27.475000000000001</v>
      </c>
      <c r="BH111" s="7">
        <v>27.475000000000001</v>
      </c>
      <c r="BI111" s="7">
        <v>408.541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23"/>
    </row>
    <row r="112" spans="1:70" ht="15.75" x14ac:dyDescent="0.25">
      <c r="A112" s="5" t="s">
        <v>210</v>
      </c>
      <c r="B112" s="5" t="s">
        <v>211</v>
      </c>
      <c r="C112" s="7">
        <v>4</v>
      </c>
      <c r="D112" s="7">
        <v>4</v>
      </c>
      <c r="E112" s="7">
        <v>197051.02600000001</v>
      </c>
      <c r="F112" s="7">
        <v>46009.402999999998</v>
      </c>
      <c r="G112" s="7">
        <v>1.5880000000000001</v>
      </c>
      <c r="H112" s="7">
        <v>3.5019999999999998</v>
      </c>
      <c r="I112" s="7">
        <v>2046.1420000000001</v>
      </c>
      <c r="J112" s="7">
        <v>16.867999999999999</v>
      </c>
      <c r="K112" s="7">
        <v>0</v>
      </c>
      <c r="L112" s="7">
        <v>0</v>
      </c>
      <c r="M112" s="7">
        <v>561342.11</v>
      </c>
      <c r="N112" s="7">
        <v>47702.766000000003</v>
      </c>
      <c r="O112" s="7">
        <v>0</v>
      </c>
      <c r="P112" s="7">
        <v>0</v>
      </c>
      <c r="Q112" s="7">
        <v>0.60799999999999998</v>
      </c>
      <c r="R112" s="7">
        <v>0</v>
      </c>
      <c r="S112" s="7">
        <v>0</v>
      </c>
      <c r="T112" s="7">
        <v>14206.549000000001</v>
      </c>
      <c r="U112" s="7">
        <v>0</v>
      </c>
      <c r="V112" s="7">
        <v>0</v>
      </c>
      <c r="W112" s="7">
        <v>1.633</v>
      </c>
      <c r="X112" s="7">
        <v>3904.6390000000001</v>
      </c>
      <c r="Y112" s="7">
        <v>77335.284</v>
      </c>
      <c r="Z112" s="7">
        <v>86857.294999999998</v>
      </c>
      <c r="AA112" s="7">
        <v>0</v>
      </c>
      <c r="AB112" s="7">
        <v>34.753999999999998</v>
      </c>
      <c r="AC112" s="7">
        <v>31.125</v>
      </c>
      <c r="AD112" s="7">
        <v>8231.19</v>
      </c>
      <c r="AE112" s="7">
        <v>0</v>
      </c>
      <c r="AF112" s="7">
        <v>220331.89600000001</v>
      </c>
      <c r="AG112" s="7">
        <v>112442.658</v>
      </c>
      <c r="AH112" s="7">
        <v>0</v>
      </c>
      <c r="AI112" s="7">
        <v>954193.92299999995</v>
      </c>
      <c r="AJ112" s="7">
        <v>195891.633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1619.404</v>
      </c>
      <c r="AR112" s="7">
        <v>40774.072999999997</v>
      </c>
      <c r="AS112" s="7">
        <v>32972.201000000001</v>
      </c>
      <c r="AT112" s="7">
        <v>17885.661</v>
      </c>
      <c r="AU112" s="7">
        <v>139.078</v>
      </c>
      <c r="AV112" s="7">
        <v>0</v>
      </c>
      <c r="AW112" s="7">
        <v>979.37400000000002</v>
      </c>
      <c r="AX112" s="7">
        <v>63005.595999999998</v>
      </c>
      <c r="AY112" s="7">
        <v>62609.366000000002</v>
      </c>
      <c r="AZ112" s="7">
        <v>36791.589</v>
      </c>
      <c r="BA112" s="7">
        <v>256.99900000000002</v>
      </c>
      <c r="BB112" s="7">
        <v>77.91</v>
      </c>
      <c r="BC112" s="7">
        <v>19817.509999999998</v>
      </c>
      <c r="BD112" s="7">
        <v>380.096</v>
      </c>
      <c r="BE112" s="7">
        <v>1.054</v>
      </c>
      <c r="BF112" s="7">
        <v>128.26400000000001</v>
      </c>
      <c r="BG112" s="7">
        <v>62.869</v>
      </c>
      <c r="BH112" s="7">
        <v>62.869</v>
      </c>
      <c r="BI112" s="7">
        <v>57.484000000000002</v>
      </c>
      <c r="BJ112" s="7">
        <v>0</v>
      </c>
      <c r="BK112" s="7">
        <v>0.26100000000000001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23"/>
    </row>
    <row r="113" spans="1:70" ht="15.75" x14ac:dyDescent="0.25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23"/>
    </row>
    <row r="114" spans="1:70" ht="15.75" x14ac:dyDescent="0.25">
      <c r="A114" s="5" t="s">
        <v>214</v>
      </c>
      <c r="B114" s="5" t="s">
        <v>215</v>
      </c>
      <c r="C114" s="7">
        <v>6</v>
      </c>
      <c r="D114" s="7">
        <v>6</v>
      </c>
      <c r="E114" s="7">
        <v>0.74199999999999999</v>
      </c>
      <c r="F114" s="7">
        <v>43.036000000000001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-0.23499999999999999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360.61200000000002</v>
      </c>
      <c r="AG114" s="7">
        <v>24.114999999999998</v>
      </c>
      <c r="AH114" s="7">
        <v>0</v>
      </c>
      <c r="AI114" s="7">
        <v>301.12700000000001</v>
      </c>
      <c r="AJ114" s="7">
        <v>12.614000000000001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23"/>
    </row>
    <row r="115" spans="1:70" ht="15.75" x14ac:dyDescent="0.25">
      <c r="A115" s="5" t="s">
        <v>216</v>
      </c>
      <c r="B115" s="5" t="s">
        <v>217</v>
      </c>
      <c r="C115" s="7">
        <v>6</v>
      </c>
      <c r="D115" s="7">
        <v>6</v>
      </c>
      <c r="E115" s="7">
        <v>87263.778000000006</v>
      </c>
      <c r="F115" s="7">
        <v>1163.4259999999999</v>
      </c>
      <c r="G115" s="7">
        <v>0</v>
      </c>
      <c r="H115" s="7">
        <v>0</v>
      </c>
      <c r="I115" s="7">
        <v>76.766000000000005</v>
      </c>
      <c r="J115" s="7">
        <v>0</v>
      </c>
      <c r="K115" s="7">
        <v>0</v>
      </c>
      <c r="L115" s="7">
        <v>0</v>
      </c>
      <c r="M115" s="7">
        <v>185808.96299999999</v>
      </c>
      <c r="N115" s="7">
        <v>40923.464</v>
      </c>
      <c r="O115" s="7">
        <v>0</v>
      </c>
      <c r="P115" s="7">
        <v>0</v>
      </c>
      <c r="Q115" s="7">
        <v>25.588999999999999</v>
      </c>
      <c r="R115" s="7">
        <v>0</v>
      </c>
      <c r="S115" s="7">
        <v>25.588999999999999</v>
      </c>
      <c r="T115" s="7">
        <v>0</v>
      </c>
      <c r="U115" s="7">
        <v>0</v>
      </c>
      <c r="V115" s="7">
        <v>0</v>
      </c>
      <c r="W115" s="7">
        <v>0</v>
      </c>
      <c r="X115" s="7">
        <v>255.88800000000001</v>
      </c>
      <c r="Y115" s="7">
        <v>0</v>
      </c>
      <c r="Z115" s="7">
        <v>18805.194</v>
      </c>
      <c r="AA115" s="7">
        <v>0</v>
      </c>
      <c r="AB115" s="7">
        <v>2405.3470000000002</v>
      </c>
      <c r="AC115" s="7">
        <v>0</v>
      </c>
      <c r="AD115" s="7">
        <v>204.71</v>
      </c>
      <c r="AE115" s="7">
        <v>0</v>
      </c>
      <c r="AF115" s="7">
        <v>54503.641000000003</v>
      </c>
      <c r="AG115" s="7">
        <v>113.246</v>
      </c>
      <c r="AH115" s="7">
        <v>0</v>
      </c>
      <c r="AI115" s="7">
        <v>272591.19099999999</v>
      </c>
      <c r="AJ115" s="7">
        <v>76.771000000000001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23"/>
    </row>
    <row r="116" spans="1:70" ht="15.75" x14ac:dyDescent="0.25">
      <c r="A116" s="5" t="s">
        <v>218</v>
      </c>
      <c r="B116" s="5" t="s">
        <v>219</v>
      </c>
      <c r="C116" s="7">
        <v>4</v>
      </c>
      <c r="D116" s="7">
        <v>4</v>
      </c>
      <c r="E116" s="7">
        <v>32191.282999999999</v>
      </c>
      <c r="F116" s="7">
        <v>6469.9229999999998</v>
      </c>
      <c r="G116" s="7">
        <v>0</v>
      </c>
      <c r="H116" s="7">
        <v>13133.882</v>
      </c>
      <c r="I116" s="7">
        <v>338.97800000000001</v>
      </c>
      <c r="J116" s="7">
        <v>0</v>
      </c>
      <c r="K116" s="7">
        <v>0</v>
      </c>
      <c r="L116" s="7">
        <v>0</v>
      </c>
      <c r="M116" s="7">
        <v>80263.421000000002</v>
      </c>
      <c r="N116" s="7">
        <v>8395.1509999999998</v>
      </c>
      <c r="O116" s="7">
        <v>0</v>
      </c>
      <c r="P116" s="7">
        <v>0</v>
      </c>
      <c r="Q116" s="7">
        <v>1.58</v>
      </c>
      <c r="R116" s="7">
        <v>0</v>
      </c>
      <c r="S116" s="7">
        <v>0</v>
      </c>
      <c r="T116" s="7">
        <v>1951.6379999999999</v>
      </c>
      <c r="U116" s="7">
        <v>0</v>
      </c>
      <c r="V116" s="7">
        <v>0</v>
      </c>
      <c r="W116" s="7">
        <v>0</v>
      </c>
      <c r="X116" s="7">
        <v>577.61599999999999</v>
      </c>
      <c r="Y116" s="7">
        <v>0</v>
      </c>
      <c r="Z116" s="7">
        <v>12341.357</v>
      </c>
      <c r="AA116" s="7">
        <v>0</v>
      </c>
      <c r="AB116" s="7">
        <v>0</v>
      </c>
      <c r="AC116" s="7">
        <v>0</v>
      </c>
      <c r="AD116" s="7">
        <v>1178.1590000000001</v>
      </c>
      <c r="AE116" s="7">
        <v>7827.8770000000004</v>
      </c>
      <c r="AF116" s="7">
        <v>30972.344000000001</v>
      </c>
      <c r="AG116" s="7">
        <v>16011.361000000001</v>
      </c>
      <c r="AH116" s="7">
        <v>36253.419000000002</v>
      </c>
      <c r="AI116" s="7">
        <v>131386.11300000001</v>
      </c>
      <c r="AJ116" s="7">
        <v>27910.504000000001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186.892</v>
      </c>
      <c r="AR116" s="7">
        <v>0</v>
      </c>
      <c r="AS116" s="7">
        <v>4845.2460000000001</v>
      </c>
      <c r="AT116" s="7">
        <v>0</v>
      </c>
      <c r="AU116" s="7">
        <v>18.815999999999999</v>
      </c>
      <c r="AV116" s="7">
        <v>0</v>
      </c>
      <c r="AW116" s="7">
        <v>2232.069</v>
      </c>
      <c r="AX116" s="7">
        <v>0</v>
      </c>
      <c r="AY116" s="7">
        <v>0</v>
      </c>
      <c r="AZ116" s="7">
        <v>0</v>
      </c>
      <c r="BA116" s="7">
        <v>38.880000000000003</v>
      </c>
      <c r="BB116" s="7">
        <v>202.447</v>
      </c>
      <c r="BC116" s="7">
        <v>0</v>
      </c>
      <c r="BD116" s="7">
        <v>62.432000000000002</v>
      </c>
      <c r="BE116" s="7">
        <v>0</v>
      </c>
      <c r="BF116" s="7">
        <v>333.28199999999998</v>
      </c>
      <c r="BG116" s="7">
        <v>10.034000000000001</v>
      </c>
      <c r="BH116" s="7">
        <v>10.034000000000001</v>
      </c>
      <c r="BI116" s="7">
        <v>149.36699999999999</v>
      </c>
      <c r="BJ116" s="7">
        <v>0</v>
      </c>
      <c r="BK116" s="7">
        <v>0</v>
      </c>
      <c r="BL116" s="7">
        <v>0</v>
      </c>
      <c r="BM116" s="7">
        <v>2E-3</v>
      </c>
      <c r="BN116" s="7">
        <v>0</v>
      </c>
      <c r="BO116" s="7">
        <v>0</v>
      </c>
      <c r="BP116" s="7">
        <v>0</v>
      </c>
      <c r="BQ116" s="7">
        <v>0</v>
      </c>
      <c r="BR116" s="23"/>
    </row>
    <row r="117" spans="1:70" ht="15.75" x14ac:dyDescent="0.25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739.27499999999998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501377.07199999999</v>
      </c>
      <c r="AM117" s="7">
        <v>0</v>
      </c>
      <c r="AN117" s="7">
        <v>295681.728</v>
      </c>
      <c r="AO117" s="7">
        <v>0</v>
      </c>
      <c r="AP117" s="7">
        <v>167047.53099999999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1600.9690000000001</v>
      </c>
      <c r="AX117" s="7">
        <v>0</v>
      </c>
      <c r="AY117" s="7">
        <v>0</v>
      </c>
      <c r="AZ117" s="7">
        <v>351.70400000000001</v>
      </c>
      <c r="BA117" s="7">
        <v>0</v>
      </c>
      <c r="BB117" s="7">
        <v>0</v>
      </c>
      <c r="BC117" s="7">
        <v>189.44300000000001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23"/>
    </row>
    <row r="118" spans="1:70" ht="15.75" x14ac:dyDescent="0.25">
      <c r="A118" s="5" t="s">
        <v>222</v>
      </c>
      <c r="B118" s="5" t="s">
        <v>223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2251.6750000000002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10821.246999999999</v>
      </c>
      <c r="AF118" s="7">
        <v>0</v>
      </c>
      <c r="AG118" s="7">
        <v>0</v>
      </c>
      <c r="AH118" s="7">
        <v>44909.756999999998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42.606999999999999</v>
      </c>
      <c r="AV118" s="7">
        <v>0</v>
      </c>
      <c r="AW118" s="7">
        <v>2110.712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23"/>
    </row>
    <row r="119" spans="1:70" ht="15.75" x14ac:dyDescent="0.25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23"/>
    </row>
    <row r="120" spans="1:70" ht="15.75" x14ac:dyDescent="0.25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23"/>
    </row>
    <row r="121" spans="1:70" ht="15.75" x14ac:dyDescent="0.25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23"/>
    </row>
    <row r="122" spans="1:70" ht="15.75" x14ac:dyDescent="0.25">
      <c r="A122" s="5" t="s">
        <v>230</v>
      </c>
      <c r="B122" s="5" t="s">
        <v>231</v>
      </c>
      <c r="C122" s="7">
        <v>4</v>
      </c>
      <c r="D122" s="7">
        <v>4</v>
      </c>
      <c r="E122" s="7">
        <v>238837.829</v>
      </c>
      <c r="F122" s="7">
        <v>51050.11</v>
      </c>
      <c r="G122" s="7">
        <v>0</v>
      </c>
      <c r="H122" s="7">
        <v>0</v>
      </c>
      <c r="I122" s="7">
        <v>2144.0880000000002</v>
      </c>
      <c r="J122" s="7">
        <v>0</v>
      </c>
      <c r="K122" s="7">
        <v>0</v>
      </c>
      <c r="L122" s="7">
        <v>0</v>
      </c>
      <c r="M122" s="7">
        <v>637935.08700000006</v>
      </c>
      <c r="N122" s="7">
        <v>50350.279000000002</v>
      </c>
      <c r="O122" s="7">
        <v>0</v>
      </c>
      <c r="P122" s="7">
        <v>1355.2570000000001</v>
      </c>
      <c r="Q122" s="7">
        <v>0</v>
      </c>
      <c r="R122" s="7">
        <v>729.30700000000002</v>
      </c>
      <c r="S122" s="7">
        <v>0</v>
      </c>
      <c r="T122" s="7">
        <v>15859.602000000001</v>
      </c>
      <c r="U122" s="7">
        <v>0</v>
      </c>
      <c r="V122" s="7">
        <v>0</v>
      </c>
      <c r="W122" s="7">
        <v>0</v>
      </c>
      <c r="X122" s="7">
        <v>4243.4750000000004</v>
      </c>
      <c r="Y122" s="7">
        <v>83423.868000000002</v>
      </c>
      <c r="Z122" s="7">
        <v>104311.413</v>
      </c>
      <c r="AA122" s="7">
        <v>45915.201999999997</v>
      </c>
      <c r="AB122" s="7">
        <v>0</v>
      </c>
      <c r="AC122" s="7">
        <v>43812.269</v>
      </c>
      <c r="AD122" s="7">
        <v>9283.1650000000009</v>
      </c>
      <c r="AE122" s="7">
        <v>8529.8629999999994</v>
      </c>
      <c r="AF122" s="7">
        <v>300293.84399999998</v>
      </c>
      <c r="AG122" s="7">
        <v>126275.891</v>
      </c>
      <c r="AH122" s="7">
        <v>37506.565999999999</v>
      </c>
      <c r="AI122" s="7">
        <v>1006646.344</v>
      </c>
      <c r="AJ122" s="7">
        <v>220355.26500000001</v>
      </c>
      <c r="AK122" s="7">
        <v>257822.625</v>
      </c>
      <c r="AL122" s="7">
        <v>1125511.804</v>
      </c>
      <c r="AM122" s="7">
        <v>0</v>
      </c>
      <c r="AN122" s="7">
        <v>663758.45299999998</v>
      </c>
      <c r="AO122" s="7">
        <v>0</v>
      </c>
      <c r="AP122" s="7">
        <v>374995.141</v>
      </c>
      <c r="AQ122" s="7">
        <v>1964.5360000000001</v>
      </c>
      <c r="AR122" s="7">
        <v>0</v>
      </c>
      <c r="AS122" s="7">
        <v>38436.264999999999</v>
      </c>
      <c r="AT122" s="7">
        <v>0</v>
      </c>
      <c r="AU122" s="7">
        <v>167.46100000000001</v>
      </c>
      <c r="AV122" s="7">
        <v>0</v>
      </c>
      <c r="AW122" s="7">
        <v>1177.7249999999999</v>
      </c>
      <c r="AX122" s="7">
        <v>0</v>
      </c>
      <c r="AY122" s="7">
        <v>0</v>
      </c>
      <c r="AZ122" s="7">
        <v>39688.205999999998</v>
      </c>
      <c r="BA122" s="7">
        <v>306.38400000000001</v>
      </c>
      <c r="BB122" s="7">
        <v>0</v>
      </c>
      <c r="BC122" s="7">
        <v>21377.759999999998</v>
      </c>
      <c r="BD122" s="7">
        <v>451.99</v>
      </c>
      <c r="BE122" s="7">
        <v>0</v>
      </c>
      <c r="BF122" s="7">
        <v>0</v>
      </c>
      <c r="BG122" s="7">
        <v>74.900999999999996</v>
      </c>
      <c r="BH122" s="7">
        <v>74.900999999999996</v>
      </c>
      <c r="BI122" s="7">
        <v>0</v>
      </c>
      <c r="BJ122" s="7">
        <v>102023.694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23"/>
    </row>
    <row r="123" spans="1:70" ht="15.75" x14ac:dyDescent="0.25">
      <c r="A123" s="5" t="s">
        <v>232</v>
      </c>
      <c r="B123" s="5" t="s">
        <v>233</v>
      </c>
      <c r="C123" s="7">
        <v>4</v>
      </c>
      <c r="D123" s="7">
        <v>3</v>
      </c>
      <c r="E123" s="7">
        <v>1210.4359999999999</v>
      </c>
      <c r="F123" s="7">
        <v>875.19600000000003</v>
      </c>
      <c r="G123" s="7">
        <v>842.76900000000001</v>
      </c>
      <c r="H123" s="7">
        <v>94.042000000000002</v>
      </c>
      <c r="I123" s="7">
        <v>109.66800000000001</v>
      </c>
      <c r="J123" s="7">
        <v>677.60199999999998</v>
      </c>
      <c r="K123" s="7">
        <v>0</v>
      </c>
      <c r="L123" s="7">
        <v>0</v>
      </c>
      <c r="M123" s="7">
        <v>1700.8920000000001</v>
      </c>
      <c r="N123" s="7">
        <v>937.54600000000005</v>
      </c>
      <c r="O123" s="7">
        <v>0</v>
      </c>
      <c r="P123" s="7">
        <v>0</v>
      </c>
      <c r="Q123" s="7">
        <v>3.0000000000000001E-3</v>
      </c>
      <c r="R123" s="7">
        <v>320.25299999999999</v>
      </c>
      <c r="S123" s="7">
        <v>449.24099999999999</v>
      </c>
      <c r="T123" s="7">
        <v>357.60199999999998</v>
      </c>
      <c r="U123" s="7">
        <v>0</v>
      </c>
      <c r="V123" s="7">
        <v>0</v>
      </c>
      <c r="W123" s="7">
        <v>82.855000000000004</v>
      </c>
      <c r="X123" s="7">
        <v>10.563000000000001</v>
      </c>
      <c r="Y123" s="7">
        <v>0</v>
      </c>
      <c r="Z123" s="7">
        <v>246.791</v>
      </c>
      <c r="AA123" s="7">
        <v>12834.286</v>
      </c>
      <c r="AB123" s="7">
        <v>1305.3910000000001</v>
      </c>
      <c r="AC123" s="7">
        <v>0</v>
      </c>
      <c r="AD123" s="7">
        <v>212.06</v>
      </c>
      <c r="AE123" s="7">
        <v>1951.3679999999999</v>
      </c>
      <c r="AF123" s="7">
        <v>385.83600000000001</v>
      </c>
      <c r="AG123" s="7">
        <v>11.179</v>
      </c>
      <c r="AH123" s="7">
        <v>7005.2</v>
      </c>
      <c r="AI123" s="7">
        <v>5759.9070000000002</v>
      </c>
      <c r="AJ123" s="7">
        <v>8.0000000000000002E-3</v>
      </c>
      <c r="AK123" s="7">
        <v>65308.385999999999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50.88</v>
      </c>
      <c r="AR123" s="7">
        <v>0</v>
      </c>
      <c r="AS123" s="7">
        <v>1.5680000000000001</v>
      </c>
      <c r="AT123" s="7">
        <v>0</v>
      </c>
      <c r="AU123" s="7">
        <v>1.19</v>
      </c>
      <c r="AV123" s="7">
        <v>0</v>
      </c>
      <c r="AW123" s="7">
        <v>49.811999999999998</v>
      </c>
      <c r="AX123" s="7">
        <v>0</v>
      </c>
      <c r="AY123" s="7">
        <v>0</v>
      </c>
      <c r="AZ123" s="7">
        <v>0</v>
      </c>
      <c r="BA123" s="7">
        <v>39.220999999999997</v>
      </c>
      <c r="BB123" s="7">
        <v>0</v>
      </c>
      <c r="BC123" s="7">
        <v>0</v>
      </c>
      <c r="BD123" s="7">
        <v>13.821</v>
      </c>
      <c r="BE123" s="7">
        <v>45.18</v>
      </c>
      <c r="BF123" s="7">
        <v>0</v>
      </c>
      <c r="BG123" s="7">
        <v>2.2570000000000001</v>
      </c>
      <c r="BH123" s="7">
        <v>2.2570000000000001</v>
      </c>
      <c r="BI123" s="7">
        <v>0</v>
      </c>
      <c r="BJ123" s="7">
        <v>51007.116999999998</v>
      </c>
      <c r="BK123" s="7">
        <v>12.778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23"/>
    </row>
    <row r="124" spans="1:70" ht="15.75" x14ac:dyDescent="0.25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23"/>
    </row>
    <row r="125" spans="1:70" ht="15.75" x14ac:dyDescent="0.25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23"/>
    </row>
    <row r="126" spans="1:70" ht="15.75" x14ac:dyDescent="0.25">
      <c r="A126" s="5" t="s">
        <v>237</v>
      </c>
      <c r="B126" s="5" t="s">
        <v>238</v>
      </c>
      <c r="C126" s="7">
        <v>4</v>
      </c>
      <c r="D126" s="7">
        <v>4</v>
      </c>
      <c r="E126" s="7">
        <v>15.32</v>
      </c>
      <c r="F126" s="7">
        <v>1.4179999999999999</v>
      </c>
      <c r="G126" s="7">
        <v>4.4420000000000002</v>
      </c>
      <c r="H126" s="7">
        <v>0</v>
      </c>
      <c r="I126" s="7">
        <v>0.317</v>
      </c>
      <c r="J126" s="7">
        <v>3.125</v>
      </c>
      <c r="K126" s="7">
        <v>0</v>
      </c>
      <c r="L126" s="7">
        <v>0</v>
      </c>
      <c r="M126" s="7">
        <v>3.7290000000000001</v>
      </c>
      <c r="N126" s="7">
        <v>9.5820000000000007</v>
      </c>
      <c r="O126" s="7">
        <v>0</v>
      </c>
      <c r="P126" s="7">
        <v>0</v>
      </c>
      <c r="Q126" s="7">
        <v>1E-3</v>
      </c>
      <c r="R126" s="7">
        <v>0</v>
      </c>
      <c r="S126" s="7">
        <v>101.53400000000001</v>
      </c>
      <c r="T126" s="7">
        <v>0.52600000000000002</v>
      </c>
      <c r="U126" s="7">
        <v>0</v>
      </c>
      <c r="V126" s="7">
        <v>0</v>
      </c>
      <c r="W126" s="7">
        <v>0.311</v>
      </c>
      <c r="X126" s="7">
        <v>0.89200000000000002</v>
      </c>
      <c r="Y126" s="7">
        <v>0</v>
      </c>
      <c r="Z126" s="7">
        <v>1.4059999999999999</v>
      </c>
      <c r="AA126" s="7">
        <v>0</v>
      </c>
      <c r="AB126" s="7">
        <v>3.82</v>
      </c>
      <c r="AC126" s="7">
        <v>0</v>
      </c>
      <c r="AD126" s="7">
        <v>0.24399999999999999</v>
      </c>
      <c r="AE126" s="7">
        <v>0</v>
      </c>
      <c r="AF126" s="7">
        <v>4.2539999999999996</v>
      </c>
      <c r="AG126" s="7">
        <v>0</v>
      </c>
      <c r="AH126" s="7">
        <v>0</v>
      </c>
      <c r="AI126" s="7">
        <v>16.785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5.5E-2</v>
      </c>
      <c r="AR126" s="7">
        <v>0</v>
      </c>
      <c r="AS126" s="7">
        <v>0</v>
      </c>
      <c r="AT126" s="7">
        <v>0</v>
      </c>
      <c r="AU126" s="7">
        <v>2E-3</v>
      </c>
      <c r="AV126" s="7">
        <v>0</v>
      </c>
      <c r="AW126" s="7">
        <v>0.11600000000000001</v>
      </c>
      <c r="AX126" s="7">
        <v>0</v>
      </c>
      <c r="AY126" s="7">
        <v>0</v>
      </c>
      <c r="AZ126" s="7">
        <v>0</v>
      </c>
      <c r="BA126" s="7">
        <v>4.2000000000000003E-2</v>
      </c>
      <c r="BB126" s="7">
        <v>0</v>
      </c>
      <c r="BC126" s="7">
        <v>0</v>
      </c>
      <c r="BD126" s="7">
        <v>1.6E-2</v>
      </c>
      <c r="BE126" s="7">
        <v>6.2E-2</v>
      </c>
      <c r="BF126" s="7">
        <v>0</v>
      </c>
      <c r="BG126" s="7">
        <v>3.0000000000000001E-3</v>
      </c>
      <c r="BH126" s="7">
        <v>3.0000000000000001E-3</v>
      </c>
      <c r="BI126" s="7">
        <v>0</v>
      </c>
      <c r="BJ126" s="7">
        <v>0</v>
      </c>
      <c r="BK126" s="7">
        <v>1.4E-2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23"/>
    </row>
    <row r="127" spans="1:70" ht="15.75" x14ac:dyDescent="0.25">
      <c r="A127" s="5" t="s">
        <v>239</v>
      </c>
      <c r="B127" s="5" t="s">
        <v>240</v>
      </c>
      <c r="C127" s="7">
        <v>4</v>
      </c>
      <c r="D127" s="7">
        <v>3</v>
      </c>
      <c r="E127" s="7">
        <v>2718.7840000000001</v>
      </c>
      <c r="F127" s="7">
        <v>1660.4970000000001</v>
      </c>
      <c r="G127" s="7">
        <v>117.27500000000001</v>
      </c>
      <c r="H127" s="7">
        <v>256.03800000000001</v>
      </c>
      <c r="I127" s="7">
        <v>207.35499999999999</v>
      </c>
      <c r="J127" s="7">
        <v>1234.3869999999999</v>
      </c>
      <c r="K127" s="7">
        <v>0</v>
      </c>
      <c r="L127" s="7">
        <v>0</v>
      </c>
      <c r="M127" s="7">
        <v>3851.8150000000001</v>
      </c>
      <c r="N127" s="7">
        <v>2379.6909999999998</v>
      </c>
      <c r="O127" s="7">
        <v>0</v>
      </c>
      <c r="P127" s="7">
        <v>0</v>
      </c>
      <c r="Q127" s="7">
        <v>7.0000000000000001E-3</v>
      </c>
      <c r="R127" s="7">
        <v>0</v>
      </c>
      <c r="S127" s="7">
        <v>0.1</v>
      </c>
      <c r="T127" s="7">
        <v>665.35799999999995</v>
      </c>
      <c r="U127" s="7">
        <v>0</v>
      </c>
      <c r="V127" s="7">
        <v>0</v>
      </c>
      <c r="W127" s="7">
        <v>119.42700000000001</v>
      </c>
      <c r="X127" s="7">
        <v>25.402000000000001</v>
      </c>
      <c r="Y127" s="7">
        <v>0</v>
      </c>
      <c r="Z127" s="7">
        <v>0.221</v>
      </c>
      <c r="AA127" s="7">
        <v>0</v>
      </c>
      <c r="AB127" s="7">
        <v>2540.806</v>
      </c>
      <c r="AC127" s="7">
        <v>0</v>
      </c>
      <c r="AD127" s="7">
        <v>291.62200000000001</v>
      </c>
      <c r="AE127" s="7">
        <v>0</v>
      </c>
      <c r="AF127" s="7">
        <v>9.5299999999999994</v>
      </c>
      <c r="AG127" s="7">
        <v>30.434999999999999</v>
      </c>
      <c r="AH127" s="7">
        <v>0</v>
      </c>
      <c r="AI127" s="7">
        <v>9150.9349999999995</v>
      </c>
      <c r="AJ127" s="7">
        <v>2.3E-2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90.608999999999995</v>
      </c>
      <c r="AR127" s="7">
        <v>0</v>
      </c>
      <c r="AS127" s="7">
        <v>4.2679999999999998</v>
      </c>
      <c r="AT127" s="7">
        <v>0</v>
      </c>
      <c r="AU127" s="7">
        <v>2.3199999999999998</v>
      </c>
      <c r="AV127" s="7">
        <v>0</v>
      </c>
      <c r="AW127" s="7">
        <v>0.315</v>
      </c>
      <c r="AX127" s="7">
        <v>0</v>
      </c>
      <c r="AY127" s="7">
        <v>0</v>
      </c>
      <c r="AZ127" s="7">
        <v>0</v>
      </c>
      <c r="BA127" s="7">
        <v>65.009</v>
      </c>
      <c r="BB127" s="7">
        <v>0</v>
      </c>
      <c r="BC127" s="7">
        <v>0</v>
      </c>
      <c r="BD127" s="7">
        <v>23.45</v>
      </c>
      <c r="BE127" s="7">
        <v>77.061999999999998</v>
      </c>
      <c r="BF127" s="7">
        <v>0</v>
      </c>
      <c r="BG127" s="7">
        <v>3.9649999999999999</v>
      </c>
      <c r="BH127" s="7">
        <v>3.9649999999999999</v>
      </c>
      <c r="BI127" s="7">
        <v>0</v>
      </c>
      <c r="BJ127" s="7">
        <v>0</v>
      </c>
      <c r="BK127" s="7">
        <v>19.099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23"/>
    </row>
    <row r="128" spans="1:70" ht="15.75" x14ac:dyDescent="0.25">
      <c r="A128" s="5" t="s">
        <v>241</v>
      </c>
      <c r="B128" s="5" t="s">
        <v>242</v>
      </c>
      <c r="C128" s="7">
        <v>2</v>
      </c>
      <c r="D128" s="7">
        <v>2</v>
      </c>
      <c r="E128" s="7">
        <v>54910.267999999996</v>
      </c>
      <c r="F128" s="7">
        <v>12136.779</v>
      </c>
      <c r="G128" s="7">
        <v>11837.876</v>
      </c>
      <c r="H128" s="7">
        <v>0</v>
      </c>
      <c r="I128" s="7">
        <v>2376.2089999999998</v>
      </c>
      <c r="J128" s="7">
        <v>9325.1820000000007</v>
      </c>
      <c r="K128" s="7">
        <v>0</v>
      </c>
      <c r="L128" s="7">
        <v>0</v>
      </c>
      <c r="M128" s="7">
        <v>48648.106</v>
      </c>
      <c r="N128" s="7">
        <v>42822.275000000001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3488.3209999999999</v>
      </c>
      <c r="U128" s="7">
        <v>0</v>
      </c>
      <c r="V128" s="7">
        <v>0</v>
      </c>
      <c r="W128" s="7">
        <v>1267.3589999999999</v>
      </c>
      <c r="X128" s="7">
        <v>3398.2069999999999</v>
      </c>
      <c r="Y128" s="7">
        <v>0</v>
      </c>
      <c r="Z128" s="7">
        <v>10075.459999999999</v>
      </c>
      <c r="AA128" s="7">
        <v>0</v>
      </c>
      <c r="AB128" s="7">
        <v>11572.549000000001</v>
      </c>
      <c r="AC128" s="7">
        <v>0</v>
      </c>
      <c r="AD128" s="7">
        <v>1664.7950000000001</v>
      </c>
      <c r="AE128" s="7">
        <v>0</v>
      </c>
      <c r="AF128" s="7">
        <v>28988.774000000001</v>
      </c>
      <c r="AG128" s="7">
        <v>0</v>
      </c>
      <c r="AH128" s="7">
        <v>0</v>
      </c>
      <c r="AI128" s="7">
        <v>178126.44399999999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253.636</v>
      </c>
      <c r="AR128" s="7">
        <v>0</v>
      </c>
      <c r="AS128" s="7">
        <v>0</v>
      </c>
      <c r="AT128" s="7">
        <v>0</v>
      </c>
      <c r="AU128" s="7">
        <v>4.5129999999999999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134.05199999999999</v>
      </c>
      <c r="BB128" s="7">
        <v>0</v>
      </c>
      <c r="BC128" s="7">
        <v>0</v>
      </c>
      <c r="BD128" s="7">
        <v>56.055999999999997</v>
      </c>
      <c r="BE128" s="7">
        <v>182.339</v>
      </c>
      <c r="BF128" s="7">
        <v>0</v>
      </c>
      <c r="BG128" s="7">
        <v>12.717000000000001</v>
      </c>
      <c r="BH128" s="7">
        <v>12.717000000000001</v>
      </c>
      <c r="BI128" s="7">
        <v>0</v>
      </c>
      <c r="BJ128" s="7">
        <v>0</v>
      </c>
      <c r="BK128" s="7">
        <v>59.277999999999999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23"/>
    </row>
    <row r="129" spans="1:70" ht="15.75" x14ac:dyDescent="0.25">
      <c r="A129" s="5" t="s">
        <v>243</v>
      </c>
      <c r="B129" s="5" t="s">
        <v>244</v>
      </c>
      <c r="C129" s="7">
        <v>4</v>
      </c>
      <c r="D129" s="7">
        <v>4</v>
      </c>
      <c r="E129" s="7">
        <v>36909.356</v>
      </c>
      <c r="F129" s="7">
        <v>8410.58</v>
      </c>
      <c r="G129" s="7">
        <v>0</v>
      </c>
      <c r="H129" s="7">
        <v>0</v>
      </c>
      <c r="I129" s="7">
        <v>353.08300000000003</v>
      </c>
      <c r="J129" s="7">
        <v>0</v>
      </c>
      <c r="K129" s="7">
        <v>0</v>
      </c>
      <c r="L129" s="7">
        <v>0</v>
      </c>
      <c r="M129" s="7">
        <v>102104.605</v>
      </c>
      <c r="N129" s="7">
        <v>8293.4670000000006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2612.944</v>
      </c>
      <c r="U129" s="7">
        <v>0</v>
      </c>
      <c r="V129" s="7">
        <v>0</v>
      </c>
      <c r="W129" s="7">
        <v>0</v>
      </c>
      <c r="X129" s="7">
        <v>699.06799999999998</v>
      </c>
      <c r="Y129" s="7">
        <v>0</v>
      </c>
      <c r="Z129" s="7">
        <v>17193.331999999999</v>
      </c>
      <c r="AA129" s="7">
        <v>0</v>
      </c>
      <c r="AB129" s="7">
        <v>0</v>
      </c>
      <c r="AC129" s="7">
        <v>6.5069999999999997</v>
      </c>
      <c r="AD129" s="7">
        <v>1529.606</v>
      </c>
      <c r="AE129" s="7">
        <v>0</v>
      </c>
      <c r="AF129" s="7">
        <v>43641.31</v>
      </c>
      <c r="AG129" s="7">
        <v>20805.616999999998</v>
      </c>
      <c r="AH129" s="7">
        <v>0</v>
      </c>
      <c r="AI129" s="7">
        <v>165793.17800000001</v>
      </c>
      <c r="AJ129" s="7">
        <v>36306.866999999998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323.86099999999999</v>
      </c>
      <c r="AR129" s="7">
        <v>0</v>
      </c>
      <c r="AS129" s="7">
        <v>6334.3069999999998</v>
      </c>
      <c r="AT129" s="7">
        <v>0</v>
      </c>
      <c r="AU129" s="7">
        <v>27.645</v>
      </c>
      <c r="AV129" s="7">
        <v>0</v>
      </c>
      <c r="AW129" s="7">
        <v>193.69</v>
      </c>
      <c r="AX129" s="7">
        <v>0</v>
      </c>
      <c r="AY129" s="7">
        <v>0</v>
      </c>
      <c r="AZ129" s="7">
        <v>0</v>
      </c>
      <c r="BA129" s="7">
        <v>50.558</v>
      </c>
      <c r="BB129" s="7">
        <v>0</v>
      </c>
      <c r="BC129" s="7">
        <v>0</v>
      </c>
      <c r="BD129" s="7">
        <v>74.551000000000002</v>
      </c>
      <c r="BE129" s="7">
        <v>0</v>
      </c>
      <c r="BF129" s="7">
        <v>0</v>
      </c>
      <c r="BG129" s="7">
        <v>12.339</v>
      </c>
      <c r="BH129" s="7">
        <v>12.339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23"/>
    </row>
    <row r="130" spans="1:70" ht="15.75" x14ac:dyDescent="0.25">
      <c r="A130" s="5" t="s">
        <v>245</v>
      </c>
      <c r="B130" s="5" t="s">
        <v>246</v>
      </c>
      <c r="C130" s="7">
        <v>4</v>
      </c>
      <c r="D130" s="7">
        <v>6</v>
      </c>
      <c r="E130" s="7">
        <v>2460.7060000000001</v>
      </c>
      <c r="F130" s="7">
        <v>721.62699999999995</v>
      </c>
      <c r="G130" s="7">
        <v>17.943999999999999</v>
      </c>
      <c r="H130" s="7">
        <v>39.566000000000003</v>
      </c>
      <c r="I130" s="7">
        <v>51.57</v>
      </c>
      <c r="J130" s="7">
        <v>190.56399999999999</v>
      </c>
      <c r="K130" s="7">
        <v>0</v>
      </c>
      <c r="L130" s="7">
        <v>0</v>
      </c>
      <c r="M130" s="7">
        <v>6241.06</v>
      </c>
      <c r="N130" s="7">
        <v>826.08100000000002</v>
      </c>
      <c r="O130" s="7">
        <v>0</v>
      </c>
      <c r="P130" s="7">
        <v>0</v>
      </c>
      <c r="Q130" s="7">
        <v>1E-3</v>
      </c>
      <c r="R130" s="7">
        <v>0</v>
      </c>
      <c r="S130" s="7">
        <v>0</v>
      </c>
      <c r="T130" s="7">
        <v>247.304</v>
      </c>
      <c r="U130" s="7">
        <v>0</v>
      </c>
      <c r="V130" s="7">
        <v>0</v>
      </c>
      <c r="W130" s="7">
        <v>18.454999999999998</v>
      </c>
      <c r="X130" s="7">
        <v>42.579000000000001</v>
      </c>
      <c r="Y130" s="7">
        <v>0</v>
      </c>
      <c r="Z130" s="7">
        <v>950.73199999999997</v>
      </c>
      <c r="AA130" s="7">
        <v>0</v>
      </c>
      <c r="AB130" s="7">
        <v>392.63200000000001</v>
      </c>
      <c r="AC130" s="7">
        <v>0.36</v>
      </c>
      <c r="AD130" s="7">
        <v>129.643</v>
      </c>
      <c r="AE130" s="7">
        <v>0</v>
      </c>
      <c r="AF130" s="7">
        <v>2414.0050000000001</v>
      </c>
      <c r="AG130" s="7">
        <v>1155.164</v>
      </c>
      <c r="AH130" s="7">
        <v>0</v>
      </c>
      <c r="AI130" s="7">
        <v>10581.084000000001</v>
      </c>
      <c r="AJ130" s="7">
        <v>2007.6130000000001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31.907</v>
      </c>
      <c r="AR130" s="7">
        <v>0</v>
      </c>
      <c r="AS130" s="7">
        <v>350.92</v>
      </c>
      <c r="AT130" s="7">
        <v>0</v>
      </c>
      <c r="AU130" s="7">
        <v>1.885</v>
      </c>
      <c r="AV130" s="7">
        <v>0</v>
      </c>
      <c r="AW130" s="7">
        <v>10.782999999999999</v>
      </c>
      <c r="AX130" s="7">
        <v>0</v>
      </c>
      <c r="AY130" s="7">
        <v>0</v>
      </c>
      <c r="AZ130" s="7">
        <v>0</v>
      </c>
      <c r="BA130" s="7">
        <v>12.837999999999999</v>
      </c>
      <c r="BB130" s="7">
        <v>0</v>
      </c>
      <c r="BC130" s="7">
        <v>0</v>
      </c>
      <c r="BD130" s="7">
        <v>7.7430000000000003</v>
      </c>
      <c r="BE130" s="7">
        <v>11.907999999999999</v>
      </c>
      <c r="BF130" s="7">
        <v>0</v>
      </c>
      <c r="BG130" s="7">
        <v>1.2949999999999999</v>
      </c>
      <c r="BH130" s="7">
        <v>1.2949999999999999</v>
      </c>
      <c r="BI130" s="7">
        <v>0</v>
      </c>
      <c r="BJ130" s="7">
        <v>0</v>
      </c>
      <c r="BK130" s="7">
        <v>2.9510000000000001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23"/>
    </row>
    <row r="131" spans="1:70" ht="15.75" x14ac:dyDescent="0.25">
      <c r="A131" s="5" t="s">
        <v>247</v>
      </c>
      <c r="B131" s="5" t="s">
        <v>248</v>
      </c>
      <c r="C131" s="7">
        <v>6</v>
      </c>
      <c r="D131" s="7">
        <v>6</v>
      </c>
      <c r="E131" s="7">
        <v>46987.565000000002</v>
      </c>
      <c r="F131" s="7">
        <v>430.15499999999997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81057.596000000005</v>
      </c>
      <c r="N131" s="7">
        <v>12310.619000000001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4594.0680000000002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24931.198</v>
      </c>
      <c r="AG131" s="7">
        <v>81.844999999999999</v>
      </c>
      <c r="AH131" s="7">
        <v>0</v>
      </c>
      <c r="AI131" s="7">
        <v>119492.909</v>
      </c>
      <c r="AJ131" s="7">
        <v>52.228000000000002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23"/>
    </row>
    <row r="132" spans="1:70" ht="15.75" x14ac:dyDescent="0.25">
      <c r="A132" s="5" t="s">
        <v>249</v>
      </c>
      <c r="B132" s="5" t="s">
        <v>250</v>
      </c>
      <c r="C132" s="7">
        <v>6</v>
      </c>
      <c r="D132" s="7">
        <v>6</v>
      </c>
      <c r="E132" s="7">
        <v>35141.817000000003</v>
      </c>
      <c r="F132" s="7">
        <v>2485.951</v>
      </c>
      <c r="G132" s="7">
        <v>3549.4780000000001</v>
      </c>
      <c r="H132" s="7">
        <v>0</v>
      </c>
      <c r="I132" s="7">
        <v>622.46299999999997</v>
      </c>
      <c r="J132" s="7">
        <v>2166.7640000000001</v>
      </c>
      <c r="K132" s="7">
        <v>0</v>
      </c>
      <c r="L132" s="7">
        <v>0</v>
      </c>
      <c r="M132" s="7">
        <v>40271.697</v>
      </c>
      <c r="N132" s="7">
        <v>10383.852000000001</v>
      </c>
      <c r="O132" s="7">
        <v>0</v>
      </c>
      <c r="P132" s="7">
        <v>0</v>
      </c>
      <c r="Q132" s="7">
        <v>115.77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310.08499999999998</v>
      </c>
      <c r="X132" s="7">
        <v>950.47900000000004</v>
      </c>
      <c r="Y132" s="7">
        <v>0</v>
      </c>
      <c r="Z132" s="7">
        <v>7517.2089999999998</v>
      </c>
      <c r="AA132" s="7">
        <v>0</v>
      </c>
      <c r="AB132" s="7">
        <v>2653.5990000000002</v>
      </c>
      <c r="AC132" s="7">
        <v>0</v>
      </c>
      <c r="AD132" s="7">
        <v>398.68900000000002</v>
      </c>
      <c r="AE132" s="7">
        <v>0</v>
      </c>
      <c r="AF132" s="7">
        <v>25141.717000000001</v>
      </c>
      <c r="AG132" s="7">
        <v>0</v>
      </c>
      <c r="AH132" s="7">
        <v>0</v>
      </c>
      <c r="AI132" s="7">
        <v>65594.69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23"/>
    </row>
    <row r="133" spans="1:70" ht="15.75" x14ac:dyDescent="0.25">
      <c r="A133" s="5" t="s">
        <v>251</v>
      </c>
      <c r="B133" s="5" t="s">
        <v>252</v>
      </c>
      <c r="C133" s="7">
        <v>6</v>
      </c>
      <c r="D133" s="7">
        <v>6</v>
      </c>
      <c r="E133" s="7">
        <v>11979.087</v>
      </c>
      <c r="F133" s="7">
        <v>-3.0000000000000001E-3</v>
      </c>
      <c r="G133" s="7">
        <v>-4.0000000000000001E-3</v>
      </c>
      <c r="H133" s="7">
        <v>0</v>
      </c>
      <c r="I133" s="7">
        <v>0</v>
      </c>
      <c r="J133" s="7">
        <v>-3.0000000000000001E-3</v>
      </c>
      <c r="K133" s="7">
        <v>0</v>
      </c>
      <c r="L133" s="7">
        <v>0</v>
      </c>
      <c r="M133" s="7">
        <v>61974.512999999999</v>
      </c>
      <c r="N133" s="7">
        <v>1977.77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-1E-3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-2E-3</v>
      </c>
      <c r="AA133" s="7">
        <v>0</v>
      </c>
      <c r="AB133" s="7">
        <v>229.285</v>
      </c>
      <c r="AC133" s="7">
        <v>0</v>
      </c>
      <c r="AD133" s="7">
        <v>0</v>
      </c>
      <c r="AE133" s="7">
        <v>0</v>
      </c>
      <c r="AF133" s="7">
        <v>14203.429</v>
      </c>
      <c r="AG133" s="7">
        <v>0</v>
      </c>
      <c r="AH133" s="7">
        <v>0</v>
      </c>
      <c r="AI133" s="7">
        <v>84154.316000000006</v>
      </c>
      <c r="AJ133" s="7">
        <v>15449.225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23"/>
    </row>
    <row r="134" spans="1:70" ht="15.75" x14ac:dyDescent="0.25">
      <c r="A134" s="5" t="s">
        <v>253</v>
      </c>
      <c r="B134" s="5" t="s">
        <v>254</v>
      </c>
      <c r="C134" s="7">
        <v>6</v>
      </c>
      <c r="D134" s="7">
        <v>6</v>
      </c>
      <c r="E134" s="7">
        <v>187776.16</v>
      </c>
      <c r="F134" s="7">
        <v>14398.683999999999</v>
      </c>
      <c r="G134" s="7">
        <v>8441.3439999999991</v>
      </c>
      <c r="H134" s="7">
        <v>6017.3109999999997</v>
      </c>
      <c r="I134" s="7">
        <v>1211.2349999999999</v>
      </c>
      <c r="J134" s="7">
        <v>5878.6530000000002</v>
      </c>
      <c r="K134" s="7">
        <v>0</v>
      </c>
      <c r="L134" s="7">
        <v>0</v>
      </c>
      <c r="M134" s="7">
        <v>303968.11700000003</v>
      </c>
      <c r="N134" s="7">
        <v>63958.108</v>
      </c>
      <c r="O134" s="7">
        <v>0</v>
      </c>
      <c r="P134" s="7">
        <v>0</v>
      </c>
      <c r="Q134" s="7">
        <v>207.94399999999999</v>
      </c>
      <c r="R134" s="7">
        <v>0</v>
      </c>
      <c r="S134" s="7">
        <v>110.119</v>
      </c>
      <c r="T134" s="7">
        <v>3229.5439999999999</v>
      </c>
      <c r="U134" s="7">
        <v>0</v>
      </c>
      <c r="V134" s="7">
        <v>0</v>
      </c>
      <c r="W134" s="7">
        <v>881.80399999999997</v>
      </c>
      <c r="X134" s="7">
        <v>2732.7559999999999</v>
      </c>
      <c r="Y134" s="7">
        <v>0</v>
      </c>
      <c r="Z134" s="7">
        <v>27621.525000000001</v>
      </c>
      <c r="AA134" s="7">
        <v>0</v>
      </c>
      <c r="AB134" s="7">
        <v>8261.5059999999994</v>
      </c>
      <c r="AC134" s="7">
        <v>0</v>
      </c>
      <c r="AD134" s="7">
        <v>1345.6389999999999</v>
      </c>
      <c r="AE134" s="7">
        <v>0</v>
      </c>
      <c r="AF134" s="7">
        <v>103479.777</v>
      </c>
      <c r="AG134" s="7">
        <v>227.65100000000001</v>
      </c>
      <c r="AH134" s="7">
        <v>0</v>
      </c>
      <c r="AI134" s="7">
        <v>437126.04800000001</v>
      </c>
      <c r="AJ134" s="7">
        <v>413.892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163.46799999999999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23"/>
    </row>
    <row r="135" spans="1:70" ht="15.75" x14ac:dyDescent="0.25">
      <c r="A135" s="5" t="s">
        <v>255</v>
      </c>
      <c r="B135" s="5" t="s">
        <v>256</v>
      </c>
      <c r="C135" s="7">
        <v>6</v>
      </c>
      <c r="D135" s="7">
        <v>6</v>
      </c>
      <c r="E135" s="7">
        <v>5639.4129999999996</v>
      </c>
      <c r="F135" s="7">
        <v>32.459000000000003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7455.1679999999997</v>
      </c>
      <c r="N135" s="7">
        <v>585.11800000000005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337.63600000000002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2157.2170000000001</v>
      </c>
      <c r="AG135" s="7">
        <v>187.501</v>
      </c>
      <c r="AH135" s="7">
        <v>0</v>
      </c>
      <c r="AI135" s="7">
        <v>10807.858</v>
      </c>
      <c r="AJ135" s="7">
        <v>618.99900000000002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23"/>
    </row>
    <row r="136" spans="1:70" ht="15.75" x14ac:dyDescent="0.25">
      <c r="A136" s="5" t="s">
        <v>257</v>
      </c>
      <c r="B136" s="5" t="s">
        <v>258</v>
      </c>
      <c r="C136" s="7">
        <v>6</v>
      </c>
      <c r="D136" s="7">
        <v>6</v>
      </c>
      <c r="E136" s="7">
        <v>78471.831999999995</v>
      </c>
      <c r="F136" s="7">
        <v>4860.4309999999996</v>
      </c>
      <c r="G136" s="7">
        <v>4238.37</v>
      </c>
      <c r="H136" s="7">
        <v>0</v>
      </c>
      <c r="I136" s="7">
        <v>744.46600000000001</v>
      </c>
      <c r="J136" s="7">
        <v>2587.2950000000001</v>
      </c>
      <c r="K136" s="7">
        <v>0</v>
      </c>
      <c r="L136" s="7">
        <v>0</v>
      </c>
      <c r="M136" s="7">
        <v>114815.508</v>
      </c>
      <c r="N136" s="7">
        <v>36419.855000000003</v>
      </c>
      <c r="O136" s="7">
        <v>0</v>
      </c>
      <c r="P136" s="7">
        <v>0</v>
      </c>
      <c r="Q136" s="7">
        <v>138.239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370.267</v>
      </c>
      <c r="X136" s="7">
        <v>1134.95</v>
      </c>
      <c r="Y136" s="7">
        <v>0</v>
      </c>
      <c r="Z136" s="7">
        <v>10792.826999999999</v>
      </c>
      <c r="AA136" s="7">
        <v>0</v>
      </c>
      <c r="AB136" s="7">
        <v>3168.6170000000002</v>
      </c>
      <c r="AC136" s="7">
        <v>0</v>
      </c>
      <c r="AD136" s="7">
        <v>476.06700000000001</v>
      </c>
      <c r="AE136" s="7">
        <v>0</v>
      </c>
      <c r="AF136" s="7">
        <v>54522.213000000003</v>
      </c>
      <c r="AG136" s="7">
        <v>1670.7629999999999</v>
      </c>
      <c r="AH136" s="7">
        <v>0</v>
      </c>
      <c r="AI136" s="7">
        <v>211011.318</v>
      </c>
      <c r="AJ136" s="7">
        <v>2214.3180000000002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23"/>
    </row>
    <row r="137" spans="1:70" ht="15.75" x14ac:dyDescent="0.25">
      <c r="A137" s="5" t="s">
        <v>259</v>
      </c>
      <c r="B137" s="5" t="s">
        <v>260</v>
      </c>
      <c r="C137" s="7">
        <v>6</v>
      </c>
      <c r="D137" s="7">
        <v>6</v>
      </c>
      <c r="E137" s="7">
        <v>22417.85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47410.572</v>
      </c>
      <c r="N137" s="7">
        <v>3759.442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8608.3670000000002</v>
      </c>
      <c r="AG137" s="7">
        <v>0</v>
      </c>
      <c r="AH137" s="7">
        <v>0</v>
      </c>
      <c r="AI137" s="7">
        <v>85814.303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23"/>
    </row>
    <row r="138" spans="1:70" ht="15.75" x14ac:dyDescent="0.25">
      <c r="A138" s="5" t="s">
        <v>261</v>
      </c>
      <c r="B138" s="5" t="s">
        <v>262</v>
      </c>
      <c r="C138" s="7">
        <v>6</v>
      </c>
      <c r="D138" s="7">
        <v>6</v>
      </c>
      <c r="E138" s="7">
        <v>994872.78399999999</v>
      </c>
      <c r="F138" s="7">
        <v>18810.103999999999</v>
      </c>
      <c r="G138" s="7">
        <v>22087.125</v>
      </c>
      <c r="H138" s="7">
        <v>1920.4469999999999</v>
      </c>
      <c r="I138" s="7">
        <v>4297.7780000000002</v>
      </c>
      <c r="J138" s="7">
        <v>13198.928</v>
      </c>
      <c r="K138" s="7">
        <v>0</v>
      </c>
      <c r="L138" s="7">
        <v>0</v>
      </c>
      <c r="M138" s="7">
        <v>1005288.627</v>
      </c>
      <c r="N138" s="7">
        <v>313418.33</v>
      </c>
      <c r="O138" s="7">
        <v>0</v>
      </c>
      <c r="P138" s="7">
        <v>0</v>
      </c>
      <c r="Q138" s="7">
        <v>730.12800000000004</v>
      </c>
      <c r="R138" s="7">
        <v>0</v>
      </c>
      <c r="S138" s="7">
        <v>0.58399999999999996</v>
      </c>
      <c r="T138" s="7">
        <v>0</v>
      </c>
      <c r="U138" s="7">
        <v>0</v>
      </c>
      <c r="V138" s="7">
        <v>0</v>
      </c>
      <c r="W138" s="7">
        <v>1400.0820000000001</v>
      </c>
      <c r="X138" s="7">
        <v>4399.3599999999997</v>
      </c>
      <c r="Y138" s="7">
        <v>0</v>
      </c>
      <c r="Z138" s="7">
        <v>126368.54</v>
      </c>
      <c r="AA138" s="7">
        <v>0</v>
      </c>
      <c r="AB138" s="7">
        <v>14650.748</v>
      </c>
      <c r="AC138" s="7">
        <v>0</v>
      </c>
      <c r="AD138" s="7">
        <v>1809.2470000000001</v>
      </c>
      <c r="AE138" s="7">
        <v>0</v>
      </c>
      <c r="AF138" s="7">
        <v>527064.51100000006</v>
      </c>
      <c r="AG138" s="7">
        <v>8202.9240000000009</v>
      </c>
      <c r="AH138" s="7">
        <v>0</v>
      </c>
      <c r="AI138" s="7">
        <v>2089196.8689999999</v>
      </c>
      <c r="AJ138" s="7">
        <v>20017.187999999998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148.066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23"/>
    </row>
    <row r="139" spans="1:70" ht="15.75" x14ac:dyDescent="0.25">
      <c r="A139" s="5" t="s">
        <v>263</v>
      </c>
      <c r="B139" s="5" t="s">
        <v>264</v>
      </c>
      <c r="C139" s="7">
        <v>4</v>
      </c>
      <c r="D139" s="7">
        <v>4</v>
      </c>
      <c r="E139" s="7">
        <v>348.19</v>
      </c>
      <c r="F139" s="7">
        <v>68.066999999999993</v>
      </c>
      <c r="G139" s="7">
        <v>7.7169999999999996</v>
      </c>
      <c r="H139" s="7">
        <v>0</v>
      </c>
      <c r="I139" s="7">
        <v>4.1280000000000001</v>
      </c>
      <c r="J139" s="7">
        <v>5.1130000000000004</v>
      </c>
      <c r="K139" s="7">
        <v>0</v>
      </c>
      <c r="L139" s="7">
        <v>0</v>
      </c>
      <c r="M139" s="7">
        <v>799.37</v>
      </c>
      <c r="N139" s="7">
        <v>103.44199999999999</v>
      </c>
      <c r="O139" s="7">
        <v>0</v>
      </c>
      <c r="P139" s="7">
        <v>0</v>
      </c>
      <c r="Q139" s="7">
        <v>1.6E-2</v>
      </c>
      <c r="R139" s="7">
        <v>0</v>
      </c>
      <c r="S139" s="7">
        <v>0</v>
      </c>
      <c r="T139" s="7">
        <v>21.148</v>
      </c>
      <c r="U139" s="7">
        <v>0</v>
      </c>
      <c r="V139" s="7">
        <v>0</v>
      </c>
      <c r="W139" s="7">
        <v>0.86</v>
      </c>
      <c r="X139" s="7">
        <v>7.26</v>
      </c>
      <c r="Y139" s="7">
        <v>0</v>
      </c>
      <c r="Z139" s="7">
        <v>124.44199999999999</v>
      </c>
      <c r="AA139" s="7">
        <v>0</v>
      </c>
      <c r="AB139" s="7">
        <v>6.0060000000000002</v>
      </c>
      <c r="AC139" s="7">
        <v>0</v>
      </c>
      <c r="AD139" s="7">
        <v>12.302</v>
      </c>
      <c r="AE139" s="7">
        <v>0</v>
      </c>
      <c r="AF139" s="7">
        <v>308.476</v>
      </c>
      <c r="AG139" s="7">
        <v>156.946</v>
      </c>
      <c r="AH139" s="7">
        <v>0</v>
      </c>
      <c r="AI139" s="7">
        <v>1319.2729999999999</v>
      </c>
      <c r="AJ139" s="7">
        <v>274.20999999999998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1.9359999999999999</v>
      </c>
      <c r="AR139" s="7">
        <v>0</v>
      </c>
      <c r="AS139" s="7">
        <v>47.384</v>
      </c>
      <c r="AT139" s="7">
        <v>0</v>
      </c>
      <c r="AU139" s="7">
        <v>0.20200000000000001</v>
      </c>
      <c r="AV139" s="7">
        <v>0</v>
      </c>
      <c r="AW139" s="7">
        <v>1.8620000000000001</v>
      </c>
      <c r="AX139" s="7">
        <v>0</v>
      </c>
      <c r="AY139" s="7">
        <v>0</v>
      </c>
      <c r="AZ139" s="7">
        <v>0</v>
      </c>
      <c r="BA139" s="7">
        <v>0.47399999999999998</v>
      </c>
      <c r="BB139" s="7">
        <v>1.98</v>
      </c>
      <c r="BC139" s="7">
        <v>0</v>
      </c>
      <c r="BD139" s="7">
        <v>0.64500000000000002</v>
      </c>
      <c r="BE139" s="7">
        <v>0.10199999999999999</v>
      </c>
      <c r="BF139" s="7">
        <v>3.2589999999999999</v>
      </c>
      <c r="BG139" s="7">
        <v>0.104</v>
      </c>
      <c r="BH139" s="7">
        <v>0.104</v>
      </c>
      <c r="BI139" s="7">
        <v>1.4610000000000001</v>
      </c>
      <c r="BJ139" s="7">
        <v>0</v>
      </c>
      <c r="BK139" s="7">
        <v>3.2000000000000001E-2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23"/>
    </row>
    <row r="140" spans="1:70" ht="15.75" x14ac:dyDescent="0.25">
      <c r="A140" s="5" t="s">
        <v>265</v>
      </c>
      <c r="B140" s="5" t="s">
        <v>266</v>
      </c>
      <c r="C140" s="7">
        <v>6</v>
      </c>
      <c r="D140" s="7">
        <v>6</v>
      </c>
      <c r="E140" s="7">
        <v>2951.009</v>
      </c>
      <c r="F140" s="7">
        <v>5.3719999999999999</v>
      </c>
      <c r="G140" s="7">
        <v>0</v>
      </c>
      <c r="H140" s="7">
        <v>0</v>
      </c>
      <c r="I140" s="7">
        <v>0.28100000000000003</v>
      </c>
      <c r="J140" s="7">
        <v>0</v>
      </c>
      <c r="K140" s="7">
        <v>0</v>
      </c>
      <c r="L140" s="7">
        <v>0</v>
      </c>
      <c r="M140" s="7">
        <v>5424.2039999999997</v>
      </c>
      <c r="N140" s="7">
        <v>1006.211</v>
      </c>
      <c r="O140" s="7">
        <v>0</v>
      </c>
      <c r="P140" s="7">
        <v>0</v>
      </c>
      <c r="Q140" s="7">
        <v>1E-3</v>
      </c>
      <c r="R140" s="7">
        <v>0</v>
      </c>
      <c r="S140" s="7">
        <v>0</v>
      </c>
      <c r="T140" s="7">
        <v>1.62</v>
      </c>
      <c r="U140" s="7">
        <v>0</v>
      </c>
      <c r="V140" s="7">
        <v>0</v>
      </c>
      <c r="W140" s="7">
        <v>0</v>
      </c>
      <c r="X140" s="7">
        <v>0.48</v>
      </c>
      <c r="Y140" s="7">
        <v>0</v>
      </c>
      <c r="Z140" s="7">
        <v>660.94200000000001</v>
      </c>
      <c r="AA140" s="7">
        <v>0</v>
      </c>
      <c r="AB140" s="7">
        <v>0</v>
      </c>
      <c r="AC140" s="7">
        <v>0</v>
      </c>
      <c r="AD140" s="7">
        <v>0.97799999999999998</v>
      </c>
      <c r="AE140" s="7">
        <v>0</v>
      </c>
      <c r="AF140" s="7">
        <v>2934.4569999999999</v>
      </c>
      <c r="AG140" s="7">
        <v>13.294</v>
      </c>
      <c r="AH140" s="7">
        <v>0</v>
      </c>
      <c r="AI140" s="7">
        <v>12351.635</v>
      </c>
      <c r="AJ140" s="7">
        <v>23.172999999999998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0.155</v>
      </c>
      <c r="AR140" s="7">
        <v>0</v>
      </c>
      <c r="AS140" s="7">
        <v>4.0229999999999997</v>
      </c>
      <c r="AT140" s="7">
        <v>0</v>
      </c>
      <c r="AU140" s="7">
        <v>1.6E-2</v>
      </c>
      <c r="AV140" s="7">
        <v>0</v>
      </c>
      <c r="AW140" s="7">
        <v>0.113</v>
      </c>
      <c r="AX140" s="7">
        <v>0</v>
      </c>
      <c r="AY140" s="7">
        <v>0</v>
      </c>
      <c r="AZ140" s="7">
        <v>0</v>
      </c>
      <c r="BA140" s="7">
        <v>3.2000000000000001E-2</v>
      </c>
      <c r="BB140" s="7">
        <v>0.16800000000000001</v>
      </c>
      <c r="BC140" s="7">
        <v>0</v>
      </c>
      <c r="BD140" s="7">
        <v>5.1999999999999998E-2</v>
      </c>
      <c r="BE140" s="7">
        <v>0</v>
      </c>
      <c r="BF140" s="7">
        <v>0.27700000000000002</v>
      </c>
      <c r="BG140" s="7">
        <v>8.0000000000000002E-3</v>
      </c>
      <c r="BH140" s="7">
        <v>8.0000000000000002E-3</v>
      </c>
      <c r="BI140" s="7">
        <v>0.124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23"/>
    </row>
    <row r="141" spans="1:70" ht="15.75" x14ac:dyDescent="0.25">
      <c r="A141" s="5" t="s">
        <v>267</v>
      </c>
      <c r="B141" s="5" t="s">
        <v>268</v>
      </c>
      <c r="C141" s="7">
        <v>4</v>
      </c>
      <c r="D141" s="7">
        <v>4</v>
      </c>
      <c r="E141" s="7">
        <v>33.790999999999997</v>
      </c>
      <c r="F141" s="7">
        <v>6.8070000000000004</v>
      </c>
      <c r="G141" s="7">
        <v>0</v>
      </c>
      <c r="H141" s="7">
        <v>0</v>
      </c>
      <c r="I141" s="7">
        <v>0.35499999999999998</v>
      </c>
      <c r="J141" s="7">
        <v>0</v>
      </c>
      <c r="K141" s="7">
        <v>0</v>
      </c>
      <c r="L141" s="7">
        <v>0</v>
      </c>
      <c r="M141" s="7">
        <v>84.41</v>
      </c>
      <c r="N141" s="7">
        <v>8.7919999999999998</v>
      </c>
      <c r="O141" s="7">
        <v>0</v>
      </c>
      <c r="P141" s="7">
        <v>0</v>
      </c>
      <c r="Q141" s="7">
        <v>2E-3</v>
      </c>
      <c r="R141" s="7">
        <v>0</v>
      </c>
      <c r="S141" s="7">
        <v>0</v>
      </c>
      <c r="T141" s="7">
        <v>2.0539999999999998</v>
      </c>
      <c r="U141" s="7">
        <v>0</v>
      </c>
      <c r="V141" s="7">
        <v>0</v>
      </c>
      <c r="W141" s="7">
        <v>0</v>
      </c>
      <c r="X141" s="7">
        <v>0.60699999999999998</v>
      </c>
      <c r="Y141" s="7">
        <v>0</v>
      </c>
      <c r="Z141" s="7">
        <v>13.002000000000001</v>
      </c>
      <c r="AA141" s="7">
        <v>0</v>
      </c>
      <c r="AB141" s="7">
        <v>0</v>
      </c>
      <c r="AC141" s="7">
        <v>0</v>
      </c>
      <c r="AD141" s="7">
        <v>1.24</v>
      </c>
      <c r="AE141" s="7">
        <v>0</v>
      </c>
      <c r="AF141" s="7">
        <v>32.639000000000003</v>
      </c>
      <c r="AG141" s="7">
        <v>16.844999999999999</v>
      </c>
      <c r="AH141" s="7">
        <v>0</v>
      </c>
      <c r="AI141" s="7">
        <v>138.15299999999999</v>
      </c>
      <c r="AJ141" s="7">
        <v>29.364999999999998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0.19800000000000001</v>
      </c>
      <c r="AR141" s="7">
        <v>0</v>
      </c>
      <c r="AS141" s="7">
        <v>5.0979999999999999</v>
      </c>
      <c r="AT141" s="7">
        <v>0</v>
      </c>
      <c r="AU141" s="7">
        <v>0.02</v>
      </c>
      <c r="AV141" s="7">
        <v>0</v>
      </c>
      <c r="AW141" s="7">
        <v>0.14299999999999999</v>
      </c>
      <c r="AX141" s="7">
        <v>0</v>
      </c>
      <c r="AY141" s="7">
        <v>0</v>
      </c>
      <c r="AZ141" s="7">
        <v>0</v>
      </c>
      <c r="BA141" s="7">
        <v>4.1000000000000002E-2</v>
      </c>
      <c r="BB141" s="7">
        <v>0.20899999999999999</v>
      </c>
      <c r="BC141" s="7">
        <v>0</v>
      </c>
      <c r="BD141" s="7">
        <v>6.6000000000000003E-2</v>
      </c>
      <c r="BE141" s="7">
        <v>0</v>
      </c>
      <c r="BF141" s="7">
        <v>0.34399999999999997</v>
      </c>
      <c r="BG141" s="7">
        <v>1.0999999999999999E-2</v>
      </c>
      <c r="BH141" s="7">
        <v>1.0999999999999999E-2</v>
      </c>
      <c r="BI141" s="7">
        <v>0.154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23"/>
    </row>
    <row r="142" spans="1:70" ht="15.75" x14ac:dyDescent="0.25">
      <c r="A142" s="5" t="s">
        <v>269</v>
      </c>
      <c r="B142" s="5" t="s">
        <v>270</v>
      </c>
      <c r="C142" s="7">
        <v>6</v>
      </c>
      <c r="D142" s="7">
        <v>6</v>
      </c>
      <c r="E142" s="7">
        <v>2240.9059999999999</v>
      </c>
      <c r="F142" s="7">
        <v>14.036</v>
      </c>
      <c r="G142" s="7">
        <v>20.041</v>
      </c>
      <c r="H142" s="7">
        <v>0</v>
      </c>
      <c r="I142" s="7">
        <v>3.5139999999999998</v>
      </c>
      <c r="J142" s="7">
        <v>12.234</v>
      </c>
      <c r="K142" s="7">
        <v>0</v>
      </c>
      <c r="L142" s="7">
        <v>0</v>
      </c>
      <c r="M142" s="7">
        <v>3406.7130000000002</v>
      </c>
      <c r="N142" s="7">
        <v>743.02200000000005</v>
      </c>
      <c r="O142" s="7">
        <v>0</v>
      </c>
      <c r="P142" s="7">
        <v>0</v>
      </c>
      <c r="Q142" s="7">
        <v>0.65400000000000003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1.7509999999999999</v>
      </c>
      <c r="X142" s="7">
        <v>5.3659999999999997</v>
      </c>
      <c r="Y142" s="7">
        <v>0</v>
      </c>
      <c r="Z142" s="7">
        <v>672.06799999999998</v>
      </c>
      <c r="AA142" s="7">
        <v>0</v>
      </c>
      <c r="AB142" s="7">
        <v>14.981999999999999</v>
      </c>
      <c r="AC142" s="7">
        <v>0</v>
      </c>
      <c r="AD142" s="7">
        <v>2.2509999999999999</v>
      </c>
      <c r="AE142" s="7">
        <v>0</v>
      </c>
      <c r="AF142" s="7">
        <v>2636.0129999999999</v>
      </c>
      <c r="AG142" s="7">
        <v>0</v>
      </c>
      <c r="AH142" s="7">
        <v>0</v>
      </c>
      <c r="AI142" s="7">
        <v>7162.6270000000004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23"/>
    </row>
    <row r="143" spans="1:70" ht="15.75" x14ac:dyDescent="0.25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23"/>
    </row>
    <row r="144" spans="1:70" ht="15.75" x14ac:dyDescent="0.25">
      <c r="A144" s="5" t="s">
        <v>273</v>
      </c>
      <c r="B144" s="5" t="s">
        <v>274</v>
      </c>
      <c r="C144" s="7">
        <v>6</v>
      </c>
      <c r="D144" s="7">
        <v>6</v>
      </c>
      <c r="E144" s="7">
        <v>2166.19</v>
      </c>
      <c r="F144" s="7">
        <v>28.45</v>
      </c>
      <c r="G144" s="7">
        <v>-271.67399999999998</v>
      </c>
      <c r="H144" s="7">
        <v>0</v>
      </c>
      <c r="I144" s="7">
        <v>-38.448999999999998</v>
      </c>
      <c r="J144" s="7">
        <v>-214.00899999999999</v>
      </c>
      <c r="K144" s="7">
        <v>0</v>
      </c>
      <c r="L144" s="7">
        <v>0</v>
      </c>
      <c r="M144" s="7">
        <v>4792.0690000000004</v>
      </c>
      <c r="N144" s="7">
        <v>-584.41899999999998</v>
      </c>
      <c r="O144" s="7">
        <v>0</v>
      </c>
      <c r="P144" s="7">
        <v>51.040999999999997</v>
      </c>
      <c r="Q144" s="7">
        <v>7.4999999999999997E-2</v>
      </c>
      <c r="R144" s="7">
        <v>106.932</v>
      </c>
      <c r="S144" s="7">
        <v>0</v>
      </c>
      <c r="T144" s="7">
        <v>12.545999999999999</v>
      </c>
      <c r="U144" s="7">
        <v>0</v>
      </c>
      <c r="V144" s="7">
        <v>0</v>
      </c>
      <c r="W144" s="7">
        <v>-29.085000000000001</v>
      </c>
      <c r="X144" s="7">
        <v>-50.581000000000003</v>
      </c>
      <c r="Y144" s="7">
        <v>0</v>
      </c>
      <c r="Z144" s="7">
        <v>354.34399999999999</v>
      </c>
      <c r="AA144" s="7">
        <v>0</v>
      </c>
      <c r="AB144" s="7">
        <v>-265.58499999999998</v>
      </c>
      <c r="AC144" s="7">
        <v>4302.2749999999996</v>
      </c>
      <c r="AD144" s="7">
        <v>17.695</v>
      </c>
      <c r="AE144" s="7">
        <v>0</v>
      </c>
      <c r="AF144" s="7">
        <v>4927.5169999999998</v>
      </c>
      <c r="AG144" s="7">
        <v>759.70500000000004</v>
      </c>
      <c r="AH144" s="7">
        <v>0</v>
      </c>
      <c r="AI144" s="7">
        <v>2146.069</v>
      </c>
      <c r="AJ144" s="7">
        <v>1324.2929999999999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3.0470000000000002</v>
      </c>
      <c r="AR144" s="7">
        <v>0</v>
      </c>
      <c r="AS144" s="7">
        <v>229.89599999999999</v>
      </c>
      <c r="AT144" s="7">
        <v>0</v>
      </c>
      <c r="AU144" s="7">
        <v>0.78900000000000003</v>
      </c>
      <c r="AV144" s="7">
        <v>0</v>
      </c>
      <c r="AW144" s="7">
        <v>6.4619999999999997</v>
      </c>
      <c r="AX144" s="7">
        <v>0</v>
      </c>
      <c r="AY144" s="7">
        <v>0</v>
      </c>
      <c r="AZ144" s="7">
        <v>0</v>
      </c>
      <c r="BA144" s="7">
        <v>-1.232</v>
      </c>
      <c r="BB144" s="7">
        <v>9.6059999999999999</v>
      </c>
      <c r="BC144" s="7">
        <v>0</v>
      </c>
      <c r="BD144" s="7">
        <v>1.6759999999999999</v>
      </c>
      <c r="BE144" s="7">
        <v>-4.1849999999999996</v>
      </c>
      <c r="BF144" s="7">
        <v>15.814</v>
      </c>
      <c r="BG144" s="7">
        <v>0.184</v>
      </c>
      <c r="BH144" s="7">
        <v>0.184</v>
      </c>
      <c r="BI144" s="7">
        <v>7.0869999999999997</v>
      </c>
      <c r="BJ144" s="7">
        <v>0</v>
      </c>
      <c r="BK144" s="7">
        <v>-1.36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23"/>
    </row>
    <row r="145" spans="1:70" ht="15.75" x14ac:dyDescent="0.25">
      <c r="A145" s="5" t="s">
        <v>275</v>
      </c>
      <c r="B145" s="5" t="s">
        <v>276</v>
      </c>
      <c r="C145" s="7">
        <v>6</v>
      </c>
      <c r="D145" s="7">
        <v>6</v>
      </c>
      <c r="E145" s="7">
        <v>1515.827</v>
      </c>
      <c r="F145" s="7">
        <v>1450.4480000000001</v>
      </c>
      <c r="G145" s="7">
        <v>3485.645</v>
      </c>
      <c r="H145" s="7">
        <v>-101.56</v>
      </c>
      <c r="I145" s="7">
        <v>511.04199999999997</v>
      </c>
      <c r="J145" s="7">
        <v>2374.777</v>
      </c>
      <c r="K145" s="7">
        <v>0</v>
      </c>
      <c r="L145" s="7">
        <v>0</v>
      </c>
      <c r="M145" s="7">
        <v>-22669.262999999999</v>
      </c>
      <c r="N145" s="7">
        <v>5563.018</v>
      </c>
      <c r="O145" s="7">
        <v>0</v>
      </c>
      <c r="P145" s="7">
        <v>2.052</v>
      </c>
      <c r="Q145" s="7">
        <v>67.665000000000006</v>
      </c>
      <c r="R145" s="7">
        <v>-3.1139999999999999</v>
      </c>
      <c r="S145" s="7">
        <v>15.734999999999999</v>
      </c>
      <c r="T145" s="7">
        <v>353.09199999999998</v>
      </c>
      <c r="U145" s="7">
        <v>0</v>
      </c>
      <c r="V145" s="7">
        <v>0</v>
      </c>
      <c r="W145" s="7">
        <v>404.90699999999998</v>
      </c>
      <c r="X145" s="7">
        <v>1000.2</v>
      </c>
      <c r="Y145" s="7">
        <v>0</v>
      </c>
      <c r="Z145" s="7">
        <v>814.029</v>
      </c>
      <c r="AA145" s="7">
        <v>-687.74800000000005</v>
      </c>
      <c r="AB145" s="7">
        <v>2172.143</v>
      </c>
      <c r="AC145" s="7">
        <v>40.886000000000003</v>
      </c>
      <c r="AD145" s="7">
        <v>153.428</v>
      </c>
      <c r="AE145" s="7">
        <v>-37.393000000000001</v>
      </c>
      <c r="AF145" s="7">
        <v>-3251.6089999999999</v>
      </c>
      <c r="AG145" s="7">
        <v>-1949.0450000000001</v>
      </c>
      <c r="AH145" s="7">
        <v>-120.54</v>
      </c>
      <c r="AI145" s="7">
        <v>-24887.08</v>
      </c>
      <c r="AJ145" s="7">
        <v>-1363.2619999999999</v>
      </c>
      <c r="AK145" s="7">
        <v>-3121.6390000000001</v>
      </c>
      <c r="AL145" s="7">
        <v>-18705.643</v>
      </c>
      <c r="AM145" s="7">
        <v>0</v>
      </c>
      <c r="AN145" s="7">
        <v>-11031.451999999999</v>
      </c>
      <c r="AO145" s="7">
        <v>0</v>
      </c>
      <c r="AP145" s="7">
        <v>-6232.2979999999998</v>
      </c>
      <c r="AQ145" s="7">
        <v>-43.573</v>
      </c>
      <c r="AR145" s="7">
        <v>0</v>
      </c>
      <c r="AS145" s="7">
        <v>-456.26900000000001</v>
      </c>
      <c r="AT145" s="7">
        <v>0</v>
      </c>
      <c r="AU145" s="7">
        <v>5.5350000000000001</v>
      </c>
      <c r="AV145" s="7">
        <v>0</v>
      </c>
      <c r="AW145" s="7">
        <v>170.79300000000001</v>
      </c>
      <c r="AX145" s="7">
        <v>0</v>
      </c>
      <c r="AY145" s="7">
        <v>0</v>
      </c>
      <c r="AZ145" s="7">
        <v>0</v>
      </c>
      <c r="BA145" s="7">
        <v>-0.69799999999999995</v>
      </c>
      <c r="BB145" s="7">
        <v>-0.38100000000000001</v>
      </c>
      <c r="BC145" s="7">
        <v>-5.5970000000000004</v>
      </c>
      <c r="BD145" s="7">
        <v>-3.13</v>
      </c>
      <c r="BE145" s="7">
        <v>1.218</v>
      </c>
      <c r="BF145" s="7">
        <v>-0.871</v>
      </c>
      <c r="BG145" s="7">
        <v>-1.3420000000000001</v>
      </c>
      <c r="BH145" s="7">
        <v>-1.3420000000000001</v>
      </c>
      <c r="BI145" s="7">
        <v>0</v>
      </c>
      <c r="BJ145" s="7">
        <v>-3011.3110000000001</v>
      </c>
      <c r="BK145" s="7">
        <v>0.74099999999999999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23"/>
    </row>
    <row r="146" spans="1:70" ht="15.75" x14ac:dyDescent="0.25">
      <c r="A146" s="5" t="s">
        <v>277</v>
      </c>
      <c r="B146" s="5" t="s">
        <v>278</v>
      </c>
      <c r="C146" s="7">
        <v>6</v>
      </c>
      <c r="D146" s="7">
        <v>6</v>
      </c>
      <c r="E146" s="7">
        <v>-12565.887000000001</v>
      </c>
      <c r="F146" s="7">
        <v>-1226.6199999999999</v>
      </c>
      <c r="G146" s="7">
        <v>-688.59699999999998</v>
      </c>
      <c r="H146" s="7">
        <v>-55.603999999999999</v>
      </c>
      <c r="I146" s="7">
        <v>-250.69</v>
      </c>
      <c r="J146" s="7">
        <v>-558.53800000000001</v>
      </c>
      <c r="K146" s="7">
        <v>0</v>
      </c>
      <c r="L146" s="7">
        <v>0</v>
      </c>
      <c r="M146" s="7">
        <v>-15751.382</v>
      </c>
      <c r="N146" s="7">
        <v>-3731.28</v>
      </c>
      <c r="O146" s="7">
        <v>0</v>
      </c>
      <c r="P146" s="7">
        <v>0</v>
      </c>
      <c r="Q146" s="7">
        <v>-26.241</v>
      </c>
      <c r="R146" s="7">
        <v>0</v>
      </c>
      <c r="S146" s="7">
        <v>-1.958</v>
      </c>
      <c r="T146" s="7">
        <v>-374.40600000000001</v>
      </c>
      <c r="U146" s="7">
        <v>0</v>
      </c>
      <c r="V146" s="7">
        <v>0</v>
      </c>
      <c r="W146" s="7">
        <v>-136.85300000000001</v>
      </c>
      <c r="X146" s="7">
        <v>-393.00799999999998</v>
      </c>
      <c r="Y146" s="7">
        <v>0</v>
      </c>
      <c r="Z146" s="7">
        <v>-3804.748</v>
      </c>
      <c r="AA146" s="7">
        <v>0</v>
      </c>
      <c r="AB146" s="7">
        <v>-1486.289</v>
      </c>
      <c r="AC146" s="7">
        <v>-0.48699999999999999</v>
      </c>
      <c r="AD146" s="7">
        <v>-323.08600000000001</v>
      </c>
      <c r="AE146" s="7">
        <v>0</v>
      </c>
      <c r="AF146" s="7">
        <v>-11579.444</v>
      </c>
      <c r="AG146" s="7">
        <v>-1532.1220000000001</v>
      </c>
      <c r="AH146" s="7">
        <v>0</v>
      </c>
      <c r="AI146" s="7">
        <v>-34029.635000000002</v>
      </c>
      <c r="AJ146" s="7">
        <v>-2735.7860000000001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-41.401000000000003</v>
      </c>
      <c r="AR146" s="7">
        <v>0</v>
      </c>
      <c r="AS146" s="7">
        <v>-381.62599999999998</v>
      </c>
      <c r="AT146" s="7">
        <v>0</v>
      </c>
      <c r="AU146" s="7">
        <v>-1.4119999999999999</v>
      </c>
      <c r="AV146" s="7">
        <v>0</v>
      </c>
      <c r="AW146" s="7">
        <v>-14.063000000000001</v>
      </c>
      <c r="AX146" s="7">
        <v>0</v>
      </c>
      <c r="AY146" s="7">
        <v>0</v>
      </c>
      <c r="AZ146" s="7">
        <v>0</v>
      </c>
      <c r="BA146" s="7">
        <v>-17.178000000000001</v>
      </c>
      <c r="BB146" s="7">
        <v>-0.47899999999999998</v>
      </c>
      <c r="BC146" s="7">
        <v>0</v>
      </c>
      <c r="BD146" s="7">
        <v>-9.9559999999999995</v>
      </c>
      <c r="BE146" s="7">
        <v>-14.989000000000001</v>
      </c>
      <c r="BF146" s="7">
        <v>-0.97199999999999998</v>
      </c>
      <c r="BG146" s="7">
        <v>-1.6879999999999999</v>
      </c>
      <c r="BH146" s="7">
        <v>-1.6879999999999999</v>
      </c>
      <c r="BI146" s="7">
        <v>-0.32300000000000001</v>
      </c>
      <c r="BJ146" s="7">
        <v>0</v>
      </c>
      <c r="BK146" s="7">
        <v>-3.4929999999999999</v>
      </c>
      <c r="BL146" s="7">
        <v>0</v>
      </c>
      <c r="BM146" s="7">
        <v>0</v>
      </c>
      <c r="BN146" s="7">
        <v>0.03</v>
      </c>
      <c r="BO146" s="7">
        <v>0</v>
      </c>
      <c r="BP146" s="7">
        <v>0</v>
      </c>
      <c r="BQ146" s="7">
        <v>0</v>
      </c>
      <c r="BR146" s="23"/>
    </row>
    <row r="147" spans="1:70" ht="15.75" x14ac:dyDescent="0.25">
      <c r="A147" s="5" t="s">
        <v>279</v>
      </c>
      <c r="B147" s="5" t="s">
        <v>280</v>
      </c>
      <c r="C147" s="7">
        <v>6</v>
      </c>
      <c r="D147" s="7">
        <v>6</v>
      </c>
      <c r="E147" s="7">
        <v>-29091.966</v>
      </c>
      <c r="F147" s="7">
        <v>-4162.5910000000003</v>
      </c>
      <c r="G147" s="7">
        <v>-4718.2560000000003</v>
      </c>
      <c r="H147" s="7">
        <v>-30.042000000000002</v>
      </c>
      <c r="I147" s="7">
        <v>-650.99300000000005</v>
      </c>
      <c r="J147" s="7">
        <v>-3197.09</v>
      </c>
      <c r="K147" s="7">
        <v>0</v>
      </c>
      <c r="L147" s="7">
        <v>0</v>
      </c>
      <c r="M147" s="7">
        <v>-25446.845000000001</v>
      </c>
      <c r="N147" s="7">
        <v>-14270.255999999999</v>
      </c>
      <c r="O147" s="7">
        <v>0</v>
      </c>
      <c r="P147" s="7">
        <v>0</v>
      </c>
      <c r="Q147" s="7">
        <v>-41.072000000000003</v>
      </c>
      <c r="R147" s="7">
        <v>0</v>
      </c>
      <c r="S147" s="7">
        <v>0</v>
      </c>
      <c r="T147" s="7">
        <v>-1293.03</v>
      </c>
      <c r="U147" s="7">
        <v>0</v>
      </c>
      <c r="V147" s="7">
        <v>0</v>
      </c>
      <c r="W147" s="7">
        <v>-507.983</v>
      </c>
      <c r="X147" s="7">
        <v>-1139.191</v>
      </c>
      <c r="Y147" s="7">
        <v>0</v>
      </c>
      <c r="Z147" s="7">
        <v>-6209.8059999999996</v>
      </c>
      <c r="AA147" s="7">
        <v>0</v>
      </c>
      <c r="AB147" s="7">
        <v>-3921.2469999999998</v>
      </c>
      <c r="AC147" s="7">
        <v>-0.46600000000000003</v>
      </c>
      <c r="AD147" s="7">
        <v>-696.18399999999997</v>
      </c>
      <c r="AE147" s="7">
        <v>-0.19600000000000001</v>
      </c>
      <c r="AF147" s="7">
        <v>-15685.787</v>
      </c>
      <c r="AG147" s="7">
        <v>-2350.1840000000002</v>
      </c>
      <c r="AH147" s="7">
        <v>-0.65200000000000002</v>
      </c>
      <c r="AI147" s="7">
        <v>-55216.97</v>
      </c>
      <c r="AJ147" s="7">
        <v>-4093.3380000000002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-92.393000000000001</v>
      </c>
      <c r="AR147" s="7">
        <v>0</v>
      </c>
      <c r="AS147" s="7">
        <v>-713.351</v>
      </c>
      <c r="AT147" s="7">
        <v>0</v>
      </c>
      <c r="AU147" s="7">
        <v>-11.388999999999999</v>
      </c>
      <c r="AV147" s="7">
        <v>0</v>
      </c>
      <c r="AW147" s="7">
        <v>-258.72699999999998</v>
      </c>
      <c r="AX147" s="7">
        <v>0</v>
      </c>
      <c r="AY147" s="7">
        <v>0</v>
      </c>
      <c r="AZ147" s="7">
        <v>0</v>
      </c>
      <c r="BA147" s="7">
        <v>-55.454999999999998</v>
      </c>
      <c r="BB147" s="7">
        <v>-10.87</v>
      </c>
      <c r="BC147" s="7">
        <v>0</v>
      </c>
      <c r="BD147" s="7">
        <v>-27.026</v>
      </c>
      <c r="BE147" s="7">
        <v>-54.774000000000001</v>
      </c>
      <c r="BF147" s="7">
        <v>-17.895</v>
      </c>
      <c r="BG147" s="7">
        <v>-4.4189999999999996</v>
      </c>
      <c r="BH147" s="7">
        <v>-4.4189999999999996</v>
      </c>
      <c r="BI147" s="7">
        <v>-8.02</v>
      </c>
      <c r="BJ147" s="7">
        <v>0</v>
      </c>
      <c r="BK147" s="7">
        <v>-16.716000000000001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23"/>
    </row>
    <row r="148" spans="1:70" ht="15.75" x14ac:dyDescent="0.25">
      <c r="A148" s="5" t="s">
        <v>281</v>
      </c>
      <c r="B148" s="5" t="s">
        <v>282</v>
      </c>
      <c r="C148" s="7">
        <v>6</v>
      </c>
      <c r="D148" s="7">
        <v>6</v>
      </c>
      <c r="E148" s="7">
        <v>-1254.415</v>
      </c>
      <c r="F148" s="7">
        <v>-766.66899999999998</v>
      </c>
      <c r="G148" s="7">
        <v>-53.622</v>
      </c>
      <c r="H148" s="7">
        <v>-118.233</v>
      </c>
      <c r="I148" s="7">
        <v>-95.753</v>
      </c>
      <c r="J148" s="7">
        <v>-569.45899999999995</v>
      </c>
      <c r="K148" s="7">
        <v>0</v>
      </c>
      <c r="L148" s="7">
        <v>0</v>
      </c>
      <c r="M148" s="7">
        <v>-1778.3679999999999</v>
      </c>
      <c r="N148" s="7">
        <v>-1098.153</v>
      </c>
      <c r="O148" s="7">
        <v>0</v>
      </c>
      <c r="P148" s="7">
        <v>0</v>
      </c>
      <c r="Q148" s="7">
        <v>-3.0000000000000001E-3</v>
      </c>
      <c r="R148" s="7">
        <v>-614.79399999999998</v>
      </c>
      <c r="S148" s="7">
        <v>-862.41300000000001</v>
      </c>
      <c r="T148" s="7">
        <v>-307.24900000000002</v>
      </c>
      <c r="U148" s="7">
        <v>0</v>
      </c>
      <c r="V148" s="7">
        <v>0</v>
      </c>
      <c r="W148" s="7">
        <v>-55.149000000000001</v>
      </c>
      <c r="X148" s="7">
        <v>-11.73</v>
      </c>
      <c r="Y148" s="7">
        <v>0</v>
      </c>
      <c r="Z148" s="7">
        <v>-5.6000000000000001E-2</v>
      </c>
      <c r="AA148" s="7">
        <v>-24638.043000000001</v>
      </c>
      <c r="AB148" s="7">
        <v>-1173.2950000000001</v>
      </c>
      <c r="AC148" s="7">
        <v>0</v>
      </c>
      <c r="AD148" s="7">
        <v>-134.66499999999999</v>
      </c>
      <c r="AE148" s="7">
        <v>-2554.7840000000001</v>
      </c>
      <c r="AF148" s="7">
        <v>-2.4769999999999999</v>
      </c>
      <c r="AG148" s="7">
        <v>-14.054</v>
      </c>
      <c r="AH148" s="7">
        <v>-8624.3950000000004</v>
      </c>
      <c r="AI148" s="7">
        <v>-4223.7520000000004</v>
      </c>
      <c r="AJ148" s="7">
        <v>-0.01</v>
      </c>
      <c r="AK148" s="7">
        <v>-125372.845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-41.841000000000001</v>
      </c>
      <c r="AR148" s="7">
        <v>0</v>
      </c>
      <c r="AS148" s="7">
        <v>-1.9710000000000001</v>
      </c>
      <c r="AT148" s="7">
        <v>0</v>
      </c>
      <c r="AU148" s="7">
        <v>-1.071</v>
      </c>
      <c r="AV148" s="7">
        <v>0</v>
      </c>
      <c r="AW148" s="7">
        <v>-0.14599999999999999</v>
      </c>
      <c r="AX148" s="7">
        <v>0</v>
      </c>
      <c r="AY148" s="7">
        <v>0</v>
      </c>
      <c r="AZ148" s="7">
        <v>0</v>
      </c>
      <c r="BA148" s="7">
        <v>-30.02</v>
      </c>
      <c r="BB148" s="7">
        <v>0</v>
      </c>
      <c r="BC148" s="7">
        <v>0</v>
      </c>
      <c r="BD148" s="7">
        <v>-10.829000000000001</v>
      </c>
      <c r="BE148" s="7">
        <v>-35.585999999999999</v>
      </c>
      <c r="BF148" s="7">
        <v>0</v>
      </c>
      <c r="BG148" s="7">
        <v>-1.831</v>
      </c>
      <c r="BH148" s="7">
        <v>-1.831</v>
      </c>
      <c r="BI148" s="7">
        <v>0</v>
      </c>
      <c r="BJ148" s="7">
        <v>-97918.615999999995</v>
      </c>
      <c r="BK148" s="7">
        <v>-8.8190000000000008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23"/>
    </row>
    <row r="149" spans="1:70" ht="15.75" x14ac:dyDescent="0.25">
      <c r="A149" s="5" t="s">
        <v>283</v>
      </c>
      <c r="B149" s="5" t="s">
        <v>284</v>
      </c>
      <c r="C149" s="7">
        <v>4</v>
      </c>
      <c r="D149" s="7">
        <v>4</v>
      </c>
      <c r="E149" s="7">
        <v>10352.358</v>
      </c>
      <c r="F149" s="7">
        <v>1992.287</v>
      </c>
      <c r="G149" s="7">
        <v>12.206</v>
      </c>
      <c r="H149" s="7">
        <v>0</v>
      </c>
      <c r="I149" s="7">
        <v>85.775999999999996</v>
      </c>
      <c r="J149" s="7">
        <v>9.6150000000000002</v>
      </c>
      <c r="K149" s="7">
        <v>0</v>
      </c>
      <c r="L149" s="7">
        <v>0</v>
      </c>
      <c r="M149" s="7">
        <v>25629.464</v>
      </c>
      <c r="N149" s="7">
        <v>2735.4940000000001</v>
      </c>
      <c r="O149" s="7">
        <v>0</v>
      </c>
      <c r="P149" s="7">
        <v>11.242000000000001</v>
      </c>
      <c r="Q149" s="7">
        <v>0</v>
      </c>
      <c r="R149" s="7">
        <v>9.48</v>
      </c>
      <c r="S149" s="7">
        <v>0</v>
      </c>
      <c r="T149" s="7">
        <v>618.51099999999997</v>
      </c>
      <c r="U149" s="7">
        <v>0</v>
      </c>
      <c r="V149" s="7">
        <v>0</v>
      </c>
      <c r="W149" s="7">
        <v>1.3069999999999999</v>
      </c>
      <c r="X149" s="7">
        <v>168.20599999999999</v>
      </c>
      <c r="Y149" s="7">
        <v>665.91</v>
      </c>
      <c r="Z149" s="7">
        <v>4041.8609999999999</v>
      </c>
      <c r="AA149" s="7">
        <v>24.093</v>
      </c>
      <c r="AB149" s="7">
        <v>11.933</v>
      </c>
      <c r="AC149" s="7">
        <v>343.536</v>
      </c>
      <c r="AD149" s="7">
        <v>361.45</v>
      </c>
      <c r="AE149" s="7">
        <v>29.696999999999999</v>
      </c>
      <c r="AF149" s="7">
        <v>10520.199000000001</v>
      </c>
      <c r="AG149" s="7">
        <v>4894.4250000000002</v>
      </c>
      <c r="AH149" s="7">
        <v>171.60400000000001</v>
      </c>
      <c r="AI149" s="7">
        <v>39315.966</v>
      </c>
      <c r="AJ149" s="7">
        <v>8540.2819999999992</v>
      </c>
      <c r="AK149" s="7">
        <v>130.256</v>
      </c>
      <c r="AL149" s="7">
        <v>76928.713000000003</v>
      </c>
      <c r="AM149" s="7">
        <v>0</v>
      </c>
      <c r="AN149" s="7">
        <v>45367.879000000001</v>
      </c>
      <c r="AO149" s="7">
        <v>0</v>
      </c>
      <c r="AP149" s="7">
        <v>25630.912</v>
      </c>
      <c r="AQ149" s="7">
        <v>76.188000000000002</v>
      </c>
      <c r="AR149" s="7">
        <v>0</v>
      </c>
      <c r="AS149" s="7">
        <v>1487.242</v>
      </c>
      <c r="AT149" s="7">
        <v>0</v>
      </c>
      <c r="AU149" s="7">
        <v>6.476</v>
      </c>
      <c r="AV149" s="7">
        <v>0</v>
      </c>
      <c r="AW149" s="7">
        <v>45.508000000000003</v>
      </c>
      <c r="AX149" s="7">
        <v>0</v>
      </c>
      <c r="AY149" s="7">
        <v>0</v>
      </c>
      <c r="AZ149" s="7">
        <v>316.803</v>
      </c>
      <c r="BA149" s="7">
        <v>11.978999999999999</v>
      </c>
      <c r="BB149" s="7">
        <v>0</v>
      </c>
      <c r="BC149" s="7">
        <v>170.63900000000001</v>
      </c>
      <c r="BD149" s="7">
        <v>17.526</v>
      </c>
      <c r="BE149" s="7">
        <v>0.188</v>
      </c>
      <c r="BF149" s="7">
        <v>0</v>
      </c>
      <c r="BG149" s="7">
        <v>2.9079999999999999</v>
      </c>
      <c r="BH149" s="7">
        <v>2.9079999999999999</v>
      </c>
      <c r="BI149" s="7">
        <v>0</v>
      </c>
      <c r="BJ149" s="7">
        <v>301.16699999999997</v>
      </c>
      <c r="BK149" s="7">
        <v>6.0999999999999999E-2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23"/>
    </row>
    <row r="150" spans="1:70" ht="15.75" x14ac:dyDescent="0.25">
      <c r="A150" s="5" t="s">
        <v>285</v>
      </c>
      <c r="B150" s="5" t="s">
        <v>286</v>
      </c>
      <c r="C150" s="7">
        <v>6</v>
      </c>
      <c r="D150" s="7">
        <v>6</v>
      </c>
      <c r="E150" s="7">
        <v>12293.337</v>
      </c>
      <c r="F150" s="7">
        <v>2510.6979999999999</v>
      </c>
      <c r="G150" s="7">
        <v>279.12200000000001</v>
      </c>
      <c r="H150" s="7">
        <v>0</v>
      </c>
      <c r="I150" s="7">
        <v>149.43100000000001</v>
      </c>
      <c r="J150" s="7">
        <v>219.876</v>
      </c>
      <c r="K150" s="7">
        <v>0</v>
      </c>
      <c r="L150" s="7">
        <v>0</v>
      </c>
      <c r="M150" s="7">
        <v>29578.215</v>
      </c>
      <c r="N150" s="7">
        <v>3203.2550000000001</v>
      </c>
      <c r="O150" s="7">
        <v>0</v>
      </c>
      <c r="P150" s="7">
        <v>116.952</v>
      </c>
      <c r="Q150" s="7">
        <v>0</v>
      </c>
      <c r="R150" s="7">
        <v>-211.845</v>
      </c>
      <c r="S150" s="7">
        <v>-419.93799999999999</v>
      </c>
      <c r="T150" s="7">
        <v>773.35900000000004</v>
      </c>
      <c r="U150" s="7">
        <v>0</v>
      </c>
      <c r="V150" s="7">
        <v>0</v>
      </c>
      <c r="W150" s="7">
        <v>29.882999999999999</v>
      </c>
      <c r="X150" s="7">
        <v>265.01600000000002</v>
      </c>
      <c r="Y150" s="7">
        <v>0</v>
      </c>
      <c r="Z150" s="7">
        <v>4785.05</v>
      </c>
      <c r="AA150" s="7">
        <v>-11133.866</v>
      </c>
      <c r="AB150" s="7">
        <v>272.86599999999999</v>
      </c>
      <c r="AC150" s="7">
        <v>3632.9630000000002</v>
      </c>
      <c r="AD150" s="7">
        <v>443.81299999999999</v>
      </c>
      <c r="AE150" s="7">
        <v>-3158.7280000000001</v>
      </c>
      <c r="AF150" s="7">
        <v>15029.572</v>
      </c>
      <c r="AG150" s="7">
        <v>5502.9210000000003</v>
      </c>
      <c r="AH150" s="7">
        <v>-11499.574000000001</v>
      </c>
      <c r="AI150" s="7">
        <v>48050.951000000001</v>
      </c>
      <c r="AJ150" s="7">
        <v>9602.86</v>
      </c>
      <c r="AK150" s="7">
        <v>-56381.152000000002</v>
      </c>
      <c r="AL150" s="7">
        <v>219277.38800000001</v>
      </c>
      <c r="AM150" s="7">
        <v>0</v>
      </c>
      <c r="AN150" s="7">
        <v>129316.478</v>
      </c>
      <c r="AO150" s="7">
        <v>0</v>
      </c>
      <c r="AP150" s="7">
        <v>73058.278999999995</v>
      </c>
      <c r="AQ150" s="7">
        <v>91.625</v>
      </c>
      <c r="AR150" s="7">
        <v>0</v>
      </c>
      <c r="AS150" s="7">
        <v>1675.3779999999999</v>
      </c>
      <c r="AT150" s="7">
        <v>0</v>
      </c>
      <c r="AU150" s="7">
        <v>7.407</v>
      </c>
      <c r="AV150" s="7">
        <v>0</v>
      </c>
      <c r="AW150" s="7">
        <v>51.344000000000001</v>
      </c>
      <c r="AX150" s="7">
        <v>0</v>
      </c>
      <c r="AY150" s="7">
        <v>0</v>
      </c>
      <c r="AZ150" s="7">
        <v>0</v>
      </c>
      <c r="BA150" s="7">
        <v>16.518000000000001</v>
      </c>
      <c r="BB150" s="7">
        <v>0</v>
      </c>
      <c r="BC150" s="7">
        <v>0</v>
      </c>
      <c r="BD150" s="7">
        <v>21.026</v>
      </c>
      <c r="BE150" s="7">
        <v>4.2990000000000004</v>
      </c>
      <c r="BF150" s="7">
        <v>0</v>
      </c>
      <c r="BG150" s="7">
        <v>3.5649999999999999</v>
      </c>
      <c r="BH150" s="7">
        <v>3.5649999999999999</v>
      </c>
      <c r="BI150" s="7">
        <v>0</v>
      </c>
      <c r="BJ150" s="7">
        <v>-43575.974000000002</v>
      </c>
      <c r="BK150" s="7">
        <v>1.3979999999999999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23"/>
    </row>
    <row r="151" spans="1:70" ht="15.75" x14ac:dyDescent="0.25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23"/>
    </row>
    <row r="152" spans="1:70" ht="15.75" x14ac:dyDescent="0.25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23"/>
    </row>
    <row r="153" spans="1:70" ht="15.75" x14ac:dyDescent="0.25">
      <c r="A153" s="5" t="s">
        <v>291</v>
      </c>
      <c r="B153" s="5" t="s">
        <v>292</v>
      </c>
      <c r="C153" s="7">
        <v>6</v>
      </c>
      <c r="D153" s="7">
        <v>6</v>
      </c>
      <c r="E153" s="7">
        <v>1287.3869999999999</v>
      </c>
      <c r="F153" s="7">
        <v>786.82100000000003</v>
      </c>
      <c r="G153" s="7">
        <v>55.031999999999996</v>
      </c>
      <c r="H153" s="7">
        <v>121.34099999999999</v>
      </c>
      <c r="I153" s="7">
        <v>98.269000000000005</v>
      </c>
      <c r="J153" s="7">
        <v>584.42700000000002</v>
      </c>
      <c r="K153" s="7">
        <v>0</v>
      </c>
      <c r="L153" s="7">
        <v>0</v>
      </c>
      <c r="M153" s="7">
        <v>1825.1130000000001</v>
      </c>
      <c r="N153" s="7">
        <v>1127.0170000000001</v>
      </c>
      <c r="O153" s="7">
        <v>0</v>
      </c>
      <c r="P153" s="7">
        <v>0</v>
      </c>
      <c r="Q153" s="7">
        <v>3.0000000000000001E-3</v>
      </c>
      <c r="R153" s="7">
        <v>916.28800000000001</v>
      </c>
      <c r="S153" s="7">
        <v>1285.338</v>
      </c>
      <c r="T153" s="7">
        <v>315.32499999999999</v>
      </c>
      <c r="U153" s="7">
        <v>0</v>
      </c>
      <c r="V153" s="7">
        <v>0</v>
      </c>
      <c r="W153" s="7">
        <v>56.598999999999997</v>
      </c>
      <c r="X153" s="7">
        <v>12.038</v>
      </c>
      <c r="Y153" s="7">
        <v>0</v>
      </c>
      <c r="Z153" s="7">
        <v>5.7000000000000002E-2</v>
      </c>
      <c r="AA153" s="7">
        <v>36720.468999999997</v>
      </c>
      <c r="AB153" s="7">
        <v>1204.134</v>
      </c>
      <c r="AC153" s="7">
        <v>0</v>
      </c>
      <c r="AD153" s="7">
        <v>138.20500000000001</v>
      </c>
      <c r="AE153" s="7">
        <v>5968.3370000000004</v>
      </c>
      <c r="AF153" s="7">
        <v>2.5419999999999998</v>
      </c>
      <c r="AG153" s="7">
        <v>14.423999999999999</v>
      </c>
      <c r="AH153" s="7">
        <v>21602.544999999998</v>
      </c>
      <c r="AI153" s="7">
        <v>4334.7730000000001</v>
      </c>
      <c r="AJ153" s="7">
        <v>1.0999999999999999E-2</v>
      </c>
      <c r="AK153" s="7">
        <v>186855.33100000001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42.941000000000003</v>
      </c>
      <c r="AR153" s="7">
        <v>0</v>
      </c>
      <c r="AS153" s="7">
        <v>2.0230000000000001</v>
      </c>
      <c r="AT153" s="7">
        <v>0</v>
      </c>
      <c r="AU153" s="7">
        <v>1.099</v>
      </c>
      <c r="AV153" s="7">
        <v>0</v>
      </c>
      <c r="AW153" s="7">
        <v>0.15</v>
      </c>
      <c r="AX153" s="7">
        <v>0</v>
      </c>
      <c r="AY153" s="7">
        <v>0</v>
      </c>
      <c r="AZ153" s="7">
        <v>0</v>
      </c>
      <c r="BA153" s="7">
        <v>30.809000000000001</v>
      </c>
      <c r="BB153" s="7">
        <v>0</v>
      </c>
      <c r="BC153" s="7">
        <v>0</v>
      </c>
      <c r="BD153" s="7">
        <v>11.114000000000001</v>
      </c>
      <c r="BE153" s="7">
        <v>36.521000000000001</v>
      </c>
      <c r="BF153" s="7">
        <v>0</v>
      </c>
      <c r="BG153" s="7">
        <v>1.879</v>
      </c>
      <c r="BH153" s="7">
        <v>1.879</v>
      </c>
      <c r="BI153" s="7">
        <v>0</v>
      </c>
      <c r="BJ153" s="7">
        <v>145937.62599999999</v>
      </c>
      <c r="BK153" s="7">
        <v>9.0510000000000002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23"/>
    </row>
    <row r="154" spans="1:70" ht="15.75" x14ac:dyDescent="0.25">
      <c r="A154" s="5" t="s">
        <v>293</v>
      </c>
      <c r="B154" s="5" t="s">
        <v>294</v>
      </c>
      <c r="C154" s="7">
        <v>4</v>
      </c>
      <c r="D154" s="7">
        <v>4</v>
      </c>
      <c r="E154" s="7">
        <v>9637.3240000000005</v>
      </c>
      <c r="F154" s="7">
        <v>1936.9469999999999</v>
      </c>
      <c r="G154" s="7">
        <v>0</v>
      </c>
      <c r="H154" s="7">
        <v>0</v>
      </c>
      <c r="I154" s="7">
        <v>101.482</v>
      </c>
      <c r="J154" s="7">
        <v>0</v>
      </c>
      <c r="K154" s="7">
        <v>0</v>
      </c>
      <c r="L154" s="7">
        <v>0</v>
      </c>
      <c r="M154" s="7">
        <v>24029.008000000002</v>
      </c>
      <c r="N154" s="7">
        <v>2513.317</v>
      </c>
      <c r="O154" s="7">
        <v>0</v>
      </c>
      <c r="P154" s="7">
        <v>0</v>
      </c>
      <c r="Q154" s="7">
        <v>0.47199999999999998</v>
      </c>
      <c r="R154" s="7">
        <v>0</v>
      </c>
      <c r="S154" s="7">
        <v>0</v>
      </c>
      <c r="T154" s="7">
        <v>584.27300000000002</v>
      </c>
      <c r="U154" s="7">
        <v>0</v>
      </c>
      <c r="V154" s="7">
        <v>0</v>
      </c>
      <c r="W154" s="7">
        <v>0</v>
      </c>
      <c r="X154" s="7">
        <v>172.92400000000001</v>
      </c>
      <c r="Y154" s="7">
        <v>0</v>
      </c>
      <c r="Z154" s="7">
        <v>3694.7159999999999</v>
      </c>
      <c r="AA154" s="7">
        <v>0</v>
      </c>
      <c r="AB154" s="7">
        <v>0</v>
      </c>
      <c r="AC154" s="7">
        <v>0</v>
      </c>
      <c r="AD154" s="7">
        <v>352.714</v>
      </c>
      <c r="AE154" s="7">
        <v>0</v>
      </c>
      <c r="AF154" s="7">
        <v>9272.402</v>
      </c>
      <c r="AG154" s="7">
        <v>4793.43</v>
      </c>
      <c r="AH154" s="7">
        <v>0</v>
      </c>
      <c r="AI154" s="7">
        <v>39333.957999999999</v>
      </c>
      <c r="AJ154" s="7">
        <v>8355.7579999999998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55.951999999999998</v>
      </c>
      <c r="AR154" s="7">
        <v>0</v>
      </c>
      <c r="AS154" s="7">
        <v>1450.5530000000001</v>
      </c>
      <c r="AT154" s="7">
        <v>0</v>
      </c>
      <c r="AU154" s="7">
        <v>5.633</v>
      </c>
      <c r="AV154" s="7">
        <v>0</v>
      </c>
      <c r="AW154" s="7">
        <v>40.758000000000003</v>
      </c>
      <c r="AX154" s="7">
        <v>0</v>
      </c>
      <c r="AY154" s="7">
        <v>0</v>
      </c>
      <c r="AZ154" s="7">
        <v>0</v>
      </c>
      <c r="BA154" s="7">
        <v>11.638999999999999</v>
      </c>
      <c r="BB154" s="7">
        <v>60.609000000000002</v>
      </c>
      <c r="BC154" s="7">
        <v>0</v>
      </c>
      <c r="BD154" s="7">
        <v>18.690999999999999</v>
      </c>
      <c r="BE154" s="7">
        <v>0</v>
      </c>
      <c r="BF154" s="7">
        <v>99.775000000000006</v>
      </c>
      <c r="BG154" s="7">
        <v>3.0009999999999999</v>
      </c>
      <c r="BH154" s="7">
        <v>3.0009999999999999</v>
      </c>
      <c r="BI154" s="7">
        <v>44.716000000000001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23"/>
    </row>
    <row r="155" spans="1:70" ht="15.75" x14ac:dyDescent="0.25">
      <c r="A155" s="5" t="s">
        <v>295</v>
      </c>
      <c r="B155" s="5" t="s">
        <v>296</v>
      </c>
      <c r="C155" s="7">
        <v>4</v>
      </c>
      <c r="D155" s="7">
        <v>4</v>
      </c>
      <c r="E155" s="7">
        <v>129.464</v>
      </c>
      <c r="F155" s="7">
        <v>29.396000000000001</v>
      </c>
      <c r="G155" s="7">
        <v>3.3010000000000002</v>
      </c>
      <c r="H155" s="7">
        <v>0</v>
      </c>
      <c r="I155" s="7">
        <v>1.7549999999999999</v>
      </c>
      <c r="J155" s="7">
        <v>2.6</v>
      </c>
      <c r="K155" s="7">
        <v>0</v>
      </c>
      <c r="L155" s="7">
        <v>0</v>
      </c>
      <c r="M155" s="7">
        <v>329.35300000000001</v>
      </c>
      <c r="N155" s="7">
        <v>37.590000000000003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9.0540000000000003</v>
      </c>
      <c r="U155" s="7">
        <v>0</v>
      </c>
      <c r="V155" s="7">
        <v>0</v>
      </c>
      <c r="W155" s="7">
        <v>0.35299999999999998</v>
      </c>
      <c r="X155" s="7">
        <v>3.11</v>
      </c>
      <c r="Y155" s="7">
        <v>0</v>
      </c>
      <c r="Z155" s="7">
        <v>55.984999999999999</v>
      </c>
      <c r="AA155" s="7">
        <v>0</v>
      </c>
      <c r="AB155" s="7">
        <v>3.2269999999999999</v>
      </c>
      <c r="AC155" s="7">
        <v>0.02</v>
      </c>
      <c r="AD155" s="7">
        <v>5.1950000000000003</v>
      </c>
      <c r="AE155" s="7">
        <v>0</v>
      </c>
      <c r="AF155" s="7">
        <v>143.05699999999999</v>
      </c>
      <c r="AG155" s="7">
        <v>64.347999999999999</v>
      </c>
      <c r="AH155" s="7">
        <v>0</v>
      </c>
      <c r="AI155" s="7">
        <v>562.43200000000002</v>
      </c>
      <c r="AJ155" s="7">
        <v>112.29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1.0720000000000001</v>
      </c>
      <c r="AR155" s="7">
        <v>0</v>
      </c>
      <c r="AS155" s="7">
        <v>19.591000000000001</v>
      </c>
      <c r="AT155" s="7">
        <v>0</v>
      </c>
      <c r="AU155" s="7">
        <v>8.6999999999999994E-2</v>
      </c>
      <c r="AV155" s="7">
        <v>0</v>
      </c>
      <c r="AW155" s="7">
        <v>0.6</v>
      </c>
      <c r="AX155" s="7">
        <v>0</v>
      </c>
      <c r="AY155" s="7">
        <v>0</v>
      </c>
      <c r="AZ155" s="7">
        <v>0</v>
      </c>
      <c r="BA155" s="7">
        <v>0.19400000000000001</v>
      </c>
      <c r="BB155" s="7">
        <v>0</v>
      </c>
      <c r="BC155" s="7">
        <v>0</v>
      </c>
      <c r="BD155" s="7">
        <v>0.246</v>
      </c>
      <c r="BE155" s="7">
        <v>5.0999999999999997E-2</v>
      </c>
      <c r="BF155" s="7">
        <v>0</v>
      </c>
      <c r="BG155" s="7">
        <v>4.2000000000000003E-2</v>
      </c>
      <c r="BH155" s="7">
        <v>4.2000000000000003E-2</v>
      </c>
      <c r="BI155" s="7">
        <v>0</v>
      </c>
      <c r="BJ155" s="7">
        <v>0</v>
      </c>
      <c r="BK155" s="7">
        <v>1.7000000000000001E-2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23"/>
    </row>
    <row r="156" spans="1:70" ht="15.75" x14ac:dyDescent="0.25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23"/>
    </row>
    <row r="157" spans="1:70" ht="15.75" x14ac:dyDescent="0.25">
      <c r="A157" s="5" t="s">
        <v>299</v>
      </c>
      <c r="B157" s="5" t="s">
        <v>300</v>
      </c>
      <c r="C157" s="7">
        <v>4</v>
      </c>
      <c r="D157" s="7">
        <v>4</v>
      </c>
      <c r="E157" s="7">
        <v>612.04600000000005</v>
      </c>
      <c r="F157" s="7">
        <v>56.533000000000001</v>
      </c>
      <c r="G157" s="7">
        <v>80.718999999999994</v>
      </c>
      <c r="H157" s="7">
        <v>0</v>
      </c>
      <c r="I157" s="7">
        <v>14.154999999999999</v>
      </c>
      <c r="J157" s="7">
        <v>49.274999999999999</v>
      </c>
      <c r="K157" s="7">
        <v>0</v>
      </c>
      <c r="L157" s="7">
        <v>0</v>
      </c>
      <c r="M157" s="7">
        <v>448.96699999999998</v>
      </c>
      <c r="N157" s="7">
        <v>219.71100000000001</v>
      </c>
      <c r="O157" s="7">
        <v>0</v>
      </c>
      <c r="P157" s="7">
        <v>0</v>
      </c>
      <c r="Q157" s="7">
        <v>2.633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7.0519999999999996</v>
      </c>
      <c r="X157" s="7">
        <v>21.614999999999998</v>
      </c>
      <c r="Y157" s="7">
        <v>0</v>
      </c>
      <c r="Z157" s="7">
        <v>170.94900000000001</v>
      </c>
      <c r="AA157" s="7">
        <v>0</v>
      </c>
      <c r="AB157" s="7">
        <v>60.345999999999997</v>
      </c>
      <c r="AC157" s="7">
        <v>0</v>
      </c>
      <c r="AD157" s="7">
        <v>9.0670000000000002</v>
      </c>
      <c r="AE157" s="7">
        <v>0</v>
      </c>
      <c r="AF157" s="7">
        <v>544.37300000000005</v>
      </c>
      <c r="AG157" s="7">
        <v>0</v>
      </c>
      <c r="AH157" s="7">
        <v>0</v>
      </c>
      <c r="AI157" s="7">
        <v>1285.2850000000001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23"/>
    </row>
    <row r="158" spans="1:70" ht="15.75" x14ac:dyDescent="0.25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23"/>
    </row>
    <row r="159" spans="1:70" ht="15.75" x14ac:dyDescent="0.25">
      <c r="A159" s="5" t="s">
        <v>303</v>
      </c>
      <c r="B159" s="5" t="s">
        <v>304</v>
      </c>
      <c r="C159" s="7">
        <v>4</v>
      </c>
      <c r="D159" s="7">
        <v>4</v>
      </c>
      <c r="E159" s="7">
        <v>-57.902000000000001</v>
      </c>
      <c r="F159" s="7">
        <v>-13.183999999999999</v>
      </c>
      <c r="G159" s="7">
        <v>-0.312</v>
      </c>
      <c r="H159" s="7">
        <v>0</v>
      </c>
      <c r="I159" s="7">
        <v>-0.60299999999999998</v>
      </c>
      <c r="J159" s="7">
        <v>-0.246</v>
      </c>
      <c r="K159" s="7">
        <v>0</v>
      </c>
      <c r="L159" s="7">
        <v>0</v>
      </c>
      <c r="M159" s="7">
        <v>-157.453</v>
      </c>
      <c r="N159" s="7">
        <v>-13.815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-4.0890000000000004</v>
      </c>
      <c r="U159" s="7">
        <v>0</v>
      </c>
      <c r="V159" s="7">
        <v>0</v>
      </c>
      <c r="W159" s="7">
        <v>-3.3000000000000002E-2</v>
      </c>
      <c r="X159" s="7">
        <v>-1.159</v>
      </c>
      <c r="Y159" s="7">
        <v>0</v>
      </c>
      <c r="Z159" s="7">
        <v>-26.562999999999999</v>
      </c>
      <c r="AA159" s="7">
        <v>0</v>
      </c>
      <c r="AB159" s="7">
        <v>-0.30499999999999999</v>
      </c>
      <c r="AC159" s="7">
        <v>-0.01</v>
      </c>
      <c r="AD159" s="7">
        <v>-2.383</v>
      </c>
      <c r="AE159" s="7">
        <v>0</v>
      </c>
      <c r="AF159" s="7">
        <v>-67.515000000000001</v>
      </c>
      <c r="AG159" s="7">
        <v>-31.821999999999999</v>
      </c>
      <c r="AH159" s="7">
        <v>0</v>
      </c>
      <c r="AI159" s="7">
        <v>-258.28100000000001</v>
      </c>
      <c r="AJ159" s="7">
        <v>-55.531999999999996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-0.502</v>
      </c>
      <c r="AR159" s="7">
        <v>0</v>
      </c>
      <c r="AS159" s="7">
        <v>-9.6880000000000006</v>
      </c>
      <c r="AT159" s="7">
        <v>0</v>
      </c>
      <c r="AU159" s="7">
        <v>-4.2000000000000003E-2</v>
      </c>
      <c r="AV159" s="7">
        <v>0</v>
      </c>
      <c r="AW159" s="7">
        <v>-0.29699999999999999</v>
      </c>
      <c r="AX159" s="7">
        <v>0</v>
      </c>
      <c r="AY159" s="7">
        <v>0</v>
      </c>
      <c r="AZ159" s="7">
        <v>0</v>
      </c>
      <c r="BA159" s="7">
        <v>-8.1000000000000003E-2</v>
      </c>
      <c r="BB159" s="7">
        <v>0</v>
      </c>
      <c r="BC159" s="7">
        <v>0</v>
      </c>
      <c r="BD159" s="7">
        <v>-0.115</v>
      </c>
      <c r="BE159" s="7">
        <v>-5.0000000000000001E-3</v>
      </c>
      <c r="BF159" s="7">
        <v>0</v>
      </c>
      <c r="BG159" s="7">
        <v>-1.9E-2</v>
      </c>
      <c r="BH159" s="7">
        <v>-1.9E-2</v>
      </c>
      <c r="BI159" s="7">
        <v>0</v>
      </c>
      <c r="BJ159" s="7">
        <v>0</v>
      </c>
      <c r="BK159" s="7">
        <v>-2E-3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23"/>
    </row>
    <row r="160" spans="1:70" ht="15.75" x14ac:dyDescent="0.25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23"/>
    </row>
    <row r="161" spans="1:70" ht="15.75" x14ac:dyDescent="0.25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23"/>
    </row>
    <row r="162" spans="1:70" ht="15.75" x14ac:dyDescent="0.25">
      <c r="A162" s="5" t="s">
        <v>293</v>
      </c>
      <c r="B162" s="5" t="s">
        <v>309</v>
      </c>
      <c r="C162" s="7">
        <v>6</v>
      </c>
      <c r="D162" s="7">
        <v>6</v>
      </c>
      <c r="E162" s="7">
        <v>2E-3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1E-3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1E-3</v>
      </c>
      <c r="AG162" s="7">
        <v>0</v>
      </c>
      <c r="AH162" s="7">
        <v>0</v>
      </c>
      <c r="AI162" s="7">
        <v>3.0000000000000001E-3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23"/>
    </row>
    <row r="163" spans="1:70" ht="15.75" x14ac:dyDescent="0.25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23"/>
    </row>
    <row r="164" spans="1:70" ht="15.75" x14ac:dyDescent="0.25">
      <c r="A164" s="5" t="s">
        <v>312</v>
      </c>
      <c r="B164" s="5" t="s">
        <v>313</v>
      </c>
      <c r="C164" s="7">
        <v>6</v>
      </c>
      <c r="D164" s="7">
        <v>6</v>
      </c>
      <c r="E164" s="7">
        <v>44.521000000000001</v>
      </c>
      <c r="F164" s="7">
        <v>9.84</v>
      </c>
      <c r="G164" s="7">
        <v>9.5980000000000008</v>
      </c>
      <c r="H164" s="7">
        <v>0</v>
      </c>
      <c r="I164" s="7">
        <v>1.927</v>
      </c>
      <c r="J164" s="7">
        <v>7.5609999999999999</v>
      </c>
      <c r="K164" s="7">
        <v>0</v>
      </c>
      <c r="L164" s="7">
        <v>0</v>
      </c>
      <c r="M164" s="7">
        <v>39.444000000000003</v>
      </c>
      <c r="N164" s="7">
        <v>34.72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2.8279999999999998</v>
      </c>
      <c r="U164" s="7">
        <v>0</v>
      </c>
      <c r="V164" s="7">
        <v>0</v>
      </c>
      <c r="W164" s="7">
        <v>1.028</v>
      </c>
      <c r="X164" s="7">
        <v>2.7549999999999999</v>
      </c>
      <c r="Y164" s="7">
        <v>0</v>
      </c>
      <c r="Z164" s="7">
        <v>8.1690000000000005</v>
      </c>
      <c r="AA164" s="7">
        <v>0</v>
      </c>
      <c r="AB164" s="7">
        <v>9.3829999999999991</v>
      </c>
      <c r="AC164" s="7">
        <v>0</v>
      </c>
      <c r="AD164" s="7">
        <v>1.35</v>
      </c>
      <c r="AE164" s="7">
        <v>0</v>
      </c>
      <c r="AF164" s="7">
        <v>23.504000000000001</v>
      </c>
      <c r="AG164" s="7">
        <v>0</v>
      </c>
      <c r="AH164" s="7">
        <v>0</v>
      </c>
      <c r="AI164" s="7">
        <v>144.42500000000001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0.20599999999999999</v>
      </c>
      <c r="AR164" s="7">
        <v>0</v>
      </c>
      <c r="AS164" s="7">
        <v>0</v>
      </c>
      <c r="AT164" s="7">
        <v>0</v>
      </c>
      <c r="AU164" s="7">
        <v>4.0000000000000001E-3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0.109</v>
      </c>
      <c r="BB164" s="7">
        <v>0</v>
      </c>
      <c r="BC164" s="7">
        <v>0</v>
      </c>
      <c r="BD164" s="7">
        <v>4.4999999999999998E-2</v>
      </c>
      <c r="BE164" s="7">
        <v>0.14799999999999999</v>
      </c>
      <c r="BF164" s="7">
        <v>0</v>
      </c>
      <c r="BG164" s="7">
        <v>0.01</v>
      </c>
      <c r="BH164" s="7">
        <v>0.01</v>
      </c>
      <c r="BI164" s="7">
        <v>0</v>
      </c>
      <c r="BJ164" s="7">
        <v>0</v>
      </c>
      <c r="BK164" s="7">
        <v>4.8000000000000001E-2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23"/>
    </row>
    <row r="165" spans="1:70" ht="15.75" x14ac:dyDescent="0.25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23"/>
    </row>
    <row r="166" spans="1:70" ht="15.75" x14ac:dyDescent="0.25">
      <c r="A166" s="5" t="s">
        <v>299</v>
      </c>
      <c r="B166" s="5" t="s">
        <v>315</v>
      </c>
      <c r="C166" s="7">
        <v>6</v>
      </c>
      <c r="D166" s="7">
        <v>6</v>
      </c>
      <c r="E166" s="7">
        <v>677.56</v>
      </c>
      <c r="F166" s="7">
        <v>62.585000000000001</v>
      </c>
      <c r="G166" s="7">
        <v>89.358999999999995</v>
      </c>
      <c r="H166" s="7">
        <v>0</v>
      </c>
      <c r="I166" s="7">
        <v>15.670999999999999</v>
      </c>
      <c r="J166" s="7">
        <v>54.548999999999999</v>
      </c>
      <c r="K166" s="7">
        <v>0</v>
      </c>
      <c r="L166" s="7">
        <v>0</v>
      </c>
      <c r="M166" s="7">
        <v>497.024</v>
      </c>
      <c r="N166" s="7">
        <v>243.23</v>
      </c>
      <c r="O166" s="7">
        <v>0</v>
      </c>
      <c r="P166" s="7">
        <v>0</v>
      </c>
      <c r="Q166" s="7">
        <v>2.915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7.8070000000000004</v>
      </c>
      <c r="X166" s="7">
        <v>23.928999999999998</v>
      </c>
      <c r="Y166" s="7">
        <v>0</v>
      </c>
      <c r="Z166" s="7">
        <v>189.24799999999999</v>
      </c>
      <c r="AA166" s="7">
        <v>0</v>
      </c>
      <c r="AB166" s="7">
        <v>66.805000000000007</v>
      </c>
      <c r="AC166" s="7">
        <v>0</v>
      </c>
      <c r="AD166" s="7">
        <v>10.037000000000001</v>
      </c>
      <c r="AE166" s="7">
        <v>0</v>
      </c>
      <c r="AF166" s="7">
        <v>602.64400000000001</v>
      </c>
      <c r="AG166" s="7">
        <v>0</v>
      </c>
      <c r="AH166" s="7">
        <v>0</v>
      </c>
      <c r="AI166" s="7">
        <v>1422.8630000000001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23"/>
    </row>
    <row r="167" spans="1:70" ht="15.75" x14ac:dyDescent="0.25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23"/>
    </row>
    <row r="168" spans="1:70" ht="15.75" x14ac:dyDescent="0.25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23"/>
    </row>
    <row r="169" spans="1:70" ht="15.75" x14ac:dyDescent="0.25">
      <c r="A169" s="5" t="s">
        <v>319</v>
      </c>
      <c r="B169" s="5" t="s">
        <v>320</v>
      </c>
      <c r="C169" s="7">
        <v>6</v>
      </c>
      <c r="D169" s="7">
        <v>6</v>
      </c>
      <c r="E169" s="7">
        <v>-13.161</v>
      </c>
      <c r="F169" s="7">
        <v>-2.9089999999999998</v>
      </c>
      <c r="G169" s="7">
        <v>-2.8370000000000002</v>
      </c>
      <c r="H169" s="7">
        <v>0</v>
      </c>
      <c r="I169" s="7">
        <v>-0.56999999999999995</v>
      </c>
      <c r="J169" s="7">
        <v>-2.2349999999999999</v>
      </c>
      <c r="K169" s="7">
        <v>0</v>
      </c>
      <c r="L169" s="7">
        <v>0</v>
      </c>
      <c r="M169" s="7">
        <v>-11.66</v>
      </c>
      <c r="N169" s="7">
        <v>-10.263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-0.83599999999999997</v>
      </c>
      <c r="U169" s="7">
        <v>0</v>
      </c>
      <c r="V169" s="7">
        <v>0</v>
      </c>
      <c r="W169" s="7">
        <v>-0.30399999999999999</v>
      </c>
      <c r="X169" s="7">
        <v>-0.81399999999999995</v>
      </c>
      <c r="Y169" s="7">
        <v>0</v>
      </c>
      <c r="Z169" s="7">
        <v>-2.415</v>
      </c>
      <c r="AA169" s="7">
        <v>0</v>
      </c>
      <c r="AB169" s="7">
        <v>-2.774</v>
      </c>
      <c r="AC169" s="7">
        <v>0</v>
      </c>
      <c r="AD169" s="7">
        <v>-0.39900000000000002</v>
      </c>
      <c r="AE169" s="7">
        <v>0</v>
      </c>
      <c r="AF169" s="7">
        <v>-6.9480000000000004</v>
      </c>
      <c r="AG169" s="7">
        <v>0</v>
      </c>
      <c r="AH169" s="7">
        <v>0</v>
      </c>
      <c r="AI169" s="7">
        <v>-42.692999999999998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-6.0999999999999999E-2</v>
      </c>
      <c r="AR169" s="7">
        <v>0</v>
      </c>
      <c r="AS169" s="7">
        <v>0</v>
      </c>
      <c r="AT169" s="7">
        <v>0</v>
      </c>
      <c r="AU169" s="7">
        <v>-1E-3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-3.2000000000000001E-2</v>
      </c>
      <c r="BB169" s="7">
        <v>0</v>
      </c>
      <c r="BC169" s="7">
        <v>0</v>
      </c>
      <c r="BD169" s="7">
        <v>-1.2999999999999999E-2</v>
      </c>
      <c r="BE169" s="7">
        <v>-4.3999999999999997E-2</v>
      </c>
      <c r="BF169" s="7">
        <v>0</v>
      </c>
      <c r="BG169" s="7">
        <v>-3.0000000000000001E-3</v>
      </c>
      <c r="BH169" s="7">
        <v>-3.0000000000000001E-3</v>
      </c>
      <c r="BI169" s="7">
        <v>0</v>
      </c>
      <c r="BJ169" s="7">
        <v>0</v>
      </c>
      <c r="BK169" s="7">
        <v>-1.4E-2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23"/>
    </row>
    <row r="170" spans="1:70" ht="15.75" x14ac:dyDescent="0.25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23"/>
    </row>
    <row r="171" spans="1:70" ht="15.75" x14ac:dyDescent="0.25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23"/>
    </row>
    <row r="172" spans="1:70" ht="15.75" x14ac:dyDescent="0.25">
      <c r="A172" s="5" t="s">
        <v>323</v>
      </c>
      <c r="B172" s="5" t="s">
        <v>324</v>
      </c>
      <c r="C172" s="7">
        <v>4</v>
      </c>
      <c r="D172" s="7">
        <v>4</v>
      </c>
      <c r="E172" s="7">
        <v>7352.42</v>
      </c>
      <c r="F172" s="7">
        <v>1601.047</v>
      </c>
      <c r="G172" s="7">
        <v>0</v>
      </c>
      <c r="H172" s="7">
        <v>0</v>
      </c>
      <c r="I172" s="7">
        <v>74.057000000000002</v>
      </c>
      <c r="J172" s="7">
        <v>0</v>
      </c>
      <c r="K172" s="7">
        <v>0</v>
      </c>
      <c r="L172" s="7">
        <v>0</v>
      </c>
      <c r="M172" s="7">
        <v>19611.942999999999</v>
      </c>
      <c r="N172" s="7">
        <v>1777.7660000000001</v>
      </c>
      <c r="O172" s="7">
        <v>0</v>
      </c>
      <c r="P172" s="7">
        <v>0</v>
      </c>
      <c r="Q172" s="7">
        <v>0.15</v>
      </c>
      <c r="R172" s="7">
        <v>0</v>
      </c>
      <c r="S172" s="7">
        <v>0</v>
      </c>
      <c r="T172" s="7">
        <v>491.524</v>
      </c>
      <c r="U172" s="7">
        <v>0</v>
      </c>
      <c r="V172" s="7">
        <v>0</v>
      </c>
      <c r="W172" s="7">
        <v>0</v>
      </c>
      <c r="X172" s="7">
        <v>137.19999999999999</v>
      </c>
      <c r="Y172" s="7">
        <v>0</v>
      </c>
      <c r="Z172" s="7">
        <v>3152.9810000000002</v>
      </c>
      <c r="AA172" s="7">
        <v>0</v>
      </c>
      <c r="AB172" s="7">
        <v>0</v>
      </c>
      <c r="AC172" s="7">
        <v>0.754</v>
      </c>
      <c r="AD172" s="7">
        <v>290.58800000000002</v>
      </c>
      <c r="AE172" s="7">
        <v>0</v>
      </c>
      <c r="AF172" s="7">
        <v>7969.69</v>
      </c>
      <c r="AG172" s="7">
        <v>3954.1819999999998</v>
      </c>
      <c r="AH172" s="7">
        <v>0</v>
      </c>
      <c r="AI172" s="7">
        <v>32169.831999999999</v>
      </c>
      <c r="AJ172" s="7">
        <v>6895.7219999999998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55.069000000000003</v>
      </c>
      <c r="AR172" s="7">
        <v>0</v>
      </c>
      <c r="AS172" s="7">
        <v>1194.4290000000001</v>
      </c>
      <c r="AT172" s="7">
        <v>0</v>
      </c>
      <c r="AU172" s="7">
        <v>4.9690000000000003</v>
      </c>
      <c r="AV172" s="7">
        <v>0</v>
      </c>
      <c r="AW172" s="7">
        <v>35.29</v>
      </c>
      <c r="AX172" s="7">
        <v>0</v>
      </c>
      <c r="AY172" s="7">
        <v>0</v>
      </c>
      <c r="AZ172" s="7">
        <v>0</v>
      </c>
      <c r="BA172" s="7">
        <v>9.51</v>
      </c>
      <c r="BB172" s="7">
        <v>19.164999999999999</v>
      </c>
      <c r="BC172" s="7">
        <v>0</v>
      </c>
      <c r="BD172" s="7">
        <v>14.51</v>
      </c>
      <c r="BE172" s="7">
        <v>0</v>
      </c>
      <c r="BF172" s="7">
        <v>31.547999999999998</v>
      </c>
      <c r="BG172" s="7">
        <v>2.3740000000000001</v>
      </c>
      <c r="BH172" s="7">
        <v>2.3740000000000001</v>
      </c>
      <c r="BI172" s="7">
        <v>14.138999999999999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23"/>
    </row>
    <row r="173" spans="1:70" ht="15.75" x14ac:dyDescent="0.25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23"/>
    </row>
    <row r="174" spans="1:70" ht="15.75" x14ac:dyDescent="0.25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23"/>
    </row>
    <row r="175" spans="1:70" ht="15.75" x14ac:dyDescent="0.25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23"/>
    </row>
    <row r="176" spans="1:70" ht="15.75" x14ac:dyDescent="0.25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23"/>
    </row>
    <row r="177" spans="1:70" ht="15.75" x14ac:dyDescent="0.25">
      <c r="A177" s="5" t="s">
        <v>333</v>
      </c>
      <c r="B177" s="5" t="s">
        <v>334</v>
      </c>
      <c r="C177" s="7">
        <v>4</v>
      </c>
      <c r="D177" s="7">
        <v>4</v>
      </c>
      <c r="E177" s="7">
        <v>-6512.94</v>
      </c>
      <c r="F177" s="7">
        <v>-1423.915</v>
      </c>
      <c r="G177" s="7">
        <v>0</v>
      </c>
      <c r="H177" s="7">
        <v>0</v>
      </c>
      <c r="I177" s="7">
        <v>-65.117000000000004</v>
      </c>
      <c r="J177" s="7">
        <v>0</v>
      </c>
      <c r="K177" s="7">
        <v>0</v>
      </c>
      <c r="L177" s="7">
        <v>0</v>
      </c>
      <c r="M177" s="7">
        <v>-17422.851999999999</v>
      </c>
      <c r="N177" s="7">
        <v>-1560.213</v>
      </c>
      <c r="O177" s="7">
        <v>0</v>
      </c>
      <c r="P177" s="7">
        <v>0</v>
      </c>
      <c r="Q177" s="7">
        <v>-0.11799999999999999</v>
      </c>
      <c r="R177" s="7">
        <v>0</v>
      </c>
      <c r="S177" s="7">
        <v>0</v>
      </c>
      <c r="T177" s="7">
        <v>-437.77800000000002</v>
      </c>
      <c r="U177" s="7">
        <v>0</v>
      </c>
      <c r="V177" s="7">
        <v>0</v>
      </c>
      <c r="W177" s="7">
        <v>0</v>
      </c>
      <c r="X177" s="7">
        <v>-121.55500000000001</v>
      </c>
      <c r="Y177" s="7">
        <v>0</v>
      </c>
      <c r="Z177" s="7">
        <v>-2822.1840000000002</v>
      </c>
      <c r="AA177" s="7">
        <v>0</v>
      </c>
      <c r="AB177" s="7">
        <v>0</v>
      </c>
      <c r="AC177" s="7">
        <v>-0.71899999999999997</v>
      </c>
      <c r="AD177" s="7">
        <v>-258.62200000000001</v>
      </c>
      <c r="AE177" s="7">
        <v>0</v>
      </c>
      <c r="AF177" s="7">
        <v>-7137</v>
      </c>
      <c r="AG177" s="7">
        <v>-3518.5549999999998</v>
      </c>
      <c r="AH177" s="7">
        <v>0</v>
      </c>
      <c r="AI177" s="7">
        <v>-28508.351999999999</v>
      </c>
      <c r="AJ177" s="7">
        <v>-6136.7619999999997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-49.738</v>
      </c>
      <c r="AR177" s="7">
        <v>0</v>
      </c>
      <c r="AS177" s="7">
        <v>-1064.9259999999999</v>
      </c>
      <c r="AT177" s="7">
        <v>0</v>
      </c>
      <c r="AU177" s="7">
        <v>-4.4580000000000002</v>
      </c>
      <c r="AV177" s="7">
        <v>0</v>
      </c>
      <c r="AW177" s="7">
        <v>-31.605</v>
      </c>
      <c r="AX177" s="7">
        <v>0</v>
      </c>
      <c r="AY177" s="7">
        <v>0</v>
      </c>
      <c r="AZ177" s="7">
        <v>0</v>
      </c>
      <c r="BA177" s="7">
        <v>-8.4849999999999994</v>
      </c>
      <c r="BB177" s="7">
        <v>-15.173999999999999</v>
      </c>
      <c r="BC177" s="7">
        <v>0</v>
      </c>
      <c r="BD177" s="7">
        <v>-12.898999999999999</v>
      </c>
      <c r="BE177" s="7">
        <v>0</v>
      </c>
      <c r="BF177" s="7">
        <v>-24.978999999999999</v>
      </c>
      <c r="BG177" s="7">
        <v>-2.113</v>
      </c>
      <c r="BH177" s="7">
        <v>-2.113</v>
      </c>
      <c r="BI177" s="7">
        <v>-11.194000000000001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23"/>
    </row>
    <row r="178" spans="1:70" ht="15.75" x14ac:dyDescent="0.25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23"/>
    </row>
    <row r="179" spans="1:70" ht="15.75" x14ac:dyDescent="0.25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23"/>
    </row>
    <row r="180" spans="1:70" ht="15.75" x14ac:dyDescent="0.25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23"/>
    </row>
    <row r="181" spans="1:70" ht="15.75" x14ac:dyDescent="0.25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23"/>
    </row>
    <row r="182" spans="1:70" ht="15.75" x14ac:dyDescent="0.25">
      <c r="A182" s="5" t="s">
        <v>323</v>
      </c>
      <c r="B182" s="5" t="s">
        <v>343</v>
      </c>
      <c r="C182" s="7">
        <v>6</v>
      </c>
      <c r="D182" s="7">
        <v>6</v>
      </c>
      <c r="E182" s="7">
        <v>54.176000000000002</v>
      </c>
      <c r="F182" s="7">
        <v>10.888</v>
      </c>
      <c r="G182" s="7">
        <v>0</v>
      </c>
      <c r="H182" s="7">
        <v>0</v>
      </c>
      <c r="I182" s="7">
        <v>0.56999999999999995</v>
      </c>
      <c r="J182" s="7">
        <v>0</v>
      </c>
      <c r="K182" s="7">
        <v>0</v>
      </c>
      <c r="L182" s="7">
        <v>0</v>
      </c>
      <c r="M182" s="7">
        <v>135.078</v>
      </c>
      <c r="N182" s="7">
        <v>14.129</v>
      </c>
      <c r="O182" s="7">
        <v>0</v>
      </c>
      <c r="P182" s="7">
        <v>0</v>
      </c>
      <c r="Q182" s="7">
        <v>3.0000000000000001E-3</v>
      </c>
      <c r="R182" s="7">
        <v>0</v>
      </c>
      <c r="S182" s="7">
        <v>0</v>
      </c>
      <c r="T182" s="7">
        <v>3.2850000000000001</v>
      </c>
      <c r="U182" s="7">
        <v>0</v>
      </c>
      <c r="V182" s="7">
        <v>0</v>
      </c>
      <c r="W182" s="7">
        <v>0</v>
      </c>
      <c r="X182" s="7">
        <v>0.97199999999999998</v>
      </c>
      <c r="Y182" s="7">
        <v>0</v>
      </c>
      <c r="Z182" s="7">
        <v>20.77</v>
      </c>
      <c r="AA182" s="7">
        <v>0</v>
      </c>
      <c r="AB182" s="7">
        <v>0</v>
      </c>
      <c r="AC182" s="7">
        <v>0</v>
      </c>
      <c r="AD182" s="7">
        <v>1.9830000000000001</v>
      </c>
      <c r="AE182" s="7">
        <v>0</v>
      </c>
      <c r="AF182" s="7">
        <v>52.125</v>
      </c>
      <c r="AG182" s="7">
        <v>26.946000000000002</v>
      </c>
      <c r="AH182" s="7">
        <v>0</v>
      </c>
      <c r="AI182" s="7">
        <v>221.11500000000001</v>
      </c>
      <c r="AJ182" s="7">
        <v>46.972000000000001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0.315</v>
      </c>
      <c r="AR182" s="7">
        <v>0</v>
      </c>
      <c r="AS182" s="7">
        <v>8.1539999999999999</v>
      </c>
      <c r="AT182" s="7">
        <v>0</v>
      </c>
      <c r="AU182" s="7">
        <v>3.2000000000000001E-2</v>
      </c>
      <c r="AV182" s="7">
        <v>0</v>
      </c>
      <c r="AW182" s="7">
        <v>0.22900000000000001</v>
      </c>
      <c r="AX182" s="7">
        <v>0</v>
      </c>
      <c r="AY182" s="7">
        <v>0</v>
      </c>
      <c r="AZ182" s="7">
        <v>0</v>
      </c>
      <c r="BA182" s="7">
        <v>6.5000000000000002E-2</v>
      </c>
      <c r="BB182" s="7">
        <v>0.34100000000000003</v>
      </c>
      <c r="BC182" s="7">
        <v>0</v>
      </c>
      <c r="BD182" s="7">
        <v>0.105</v>
      </c>
      <c r="BE182" s="7">
        <v>0</v>
      </c>
      <c r="BF182" s="7">
        <v>0.56100000000000005</v>
      </c>
      <c r="BG182" s="7">
        <v>1.7000000000000001E-2</v>
      </c>
      <c r="BH182" s="7">
        <v>1.7000000000000001E-2</v>
      </c>
      <c r="BI182" s="7">
        <v>0.251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23"/>
    </row>
    <row r="183" spans="1:70" ht="15.75" x14ac:dyDescent="0.25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23"/>
    </row>
    <row r="184" spans="1:70" ht="15.75" x14ac:dyDescent="0.25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23"/>
    </row>
    <row r="185" spans="1:70" ht="15.75" x14ac:dyDescent="0.25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23"/>
    </row>
    <row r="186" spans="1:70" ht="15.75" x14ac:dyDescent="0.25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23"/>
    </row>
    <row r="187" spans="1:70" ht="15.75" x14ac:dyDescent="0.25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23"/>
    </row>
    <row r="188" spans="1:70" ht="15.75" x14ac:dyDescent="0.25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23"/>
    </row>
    <row r="189" spans="1:70" ht="15.75" x14ac:dyDescent="0.25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23"/>
    </row>
    <row r="190" spans="1:70" ht="15.75" x14ac:dyDescent="0.25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23"/>
    </row>
    <row r="191" spans="1:70" ht="15.75" x14ac:dyDescent="0.25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23"/>
    </row>
    <row r="192" spans="1:70" ht="15.75" x14ac:dyDescent="0.25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23"/>
    </row>
    <row r="193" spans="1:70" ht="15.75" x14ac:dyDescent="0.25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23"/>
    </row>
    <row r="194" spans="1:70" ht="15.75" x14ac:dyDescent="0.25">
      <c r="A194" s="5" t="s">
        <v>357</v>
      </c>
      <c r="B194" s="5" t="s">
        <v>358</v>
      </c>
      <c r="C194" s="7">
        <v>6</v>
      </c>
      <c r="D194" s="7">
        <v>6</v>
      </c>
      <c r="E194" s="7">
        <v>37.265000000000001</v>
      </c>
      <c r="F194" s="7">
        <v>3.45</v>
      </c>
      <c r="G194" s="7">
        <v>10.805999999999999</v>
      </c>
      <c r="H194" s="7">
        <v>0</v>
      </c>
      <c r="I194" s="7">
        <v>0.77100000000000002</v>
      </c>
      <c r="J194" s="7">
        <v>7.601</v>
      </c>
      <c r="K194" s="7">
        <v>0</v>
      </c>
      <c r="L194" s="7">
        <v>0</v>
      </c>
      <c r="M194" s="7">
        <v>9.0709999999999997</v>
      </c>
      <c r="N194" s="7">
        <v>23.308</v>
      </c>
      <c r="O194" s="7">
        <v>0</v>
      </c>
      <c r="P194" s="7">
        <v>0</v>
      </c>
      <c r="Q194" s="7">
        <v>2E-3</v>
      </c>
      <c r="R194" s="7">
        <v>0</v>
      </c>
      <c r="S194" s="7">
        <v>0</v>
      </c>
      <c r="T194" s="7">
        <v>1.28</v>
      </c>
      <c r="U194" s="7">
        <v>0</v>
      </c>
      <c r="V194" s="7">
        <v>0</v>
      </c>
      <c r="W194" s="7">
        <v>0.75800000000000001</v>
      </c>
      <c r="X194" s="7">
        <v>2.169</v>
      </c>
      <c r="Y194" s="7">
        <v>0</v>
      </c>
      <c r="Z194" s="7">
        <v>3.4209999999999998</v>
      </c>
      <c r="AA194" s="7">
        <v>0</v>
      </c>
      <c r="AB194" s="7">
        <v>9.2919999999999998</v>
      </c>
      <c r="AC194" s="7">
        <v>0</v>
      </c>
      <c r="AD194" s="7">
        <v>0.59499999999999997</v>
      </c>
      <c r="AE194" s="7">
        <v>0</v>
      </c>
      <c r="AF194" s="7">
        <v>10.349</v>
      </c>
      <c r="AG194" s="7">
        <v>0</v>
      </c>
      <c r="AH194" s="7">
        <v>0</v>
      </c>
      <c r="AI194" s="7">
        <v>40.83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0.13400000000000001</v>
      </c>
      <c r="AR194" s="7">
        <v>0</v>
      </c>
      <c r="AS194" s="7">
        <v>0</v>
      </c>
      <c r="AT194" s="7">
        <v>0</v>
      </c>
      <c r="AU194" s="7">
        <v>5.0000000000000001E-3</v>
      </c>
      <c r="AV194" s="7">
        <v>0</v>
      </c>
      <c r="AW194" s="7">
        <v>0.28299999999999997</v>
      </c>
      <c r="AX194" s="7">
        <v>0</v>
      </c>
      <c r="AY194" s="7">
        <v>0</v>
      </c>
      <c r="AZ194" s="7">
        <v>0</v>
      </c>
      <c r="BA194" s="7">
        <v>0.10299999999999999</v>
      </c>
      <c r="BB194" s="7">
        <v>0</v>
      </c>
      <c r="BC194" s="7">
        <v>0</v>
      </c>
      <c r="BD194" s="7">
        <v>3.7999999999999999E-2</v>
      </c>
      <c r="BE194" s="7">
        <v>0.151</v>
      </c>
      <c r="BF194" s="7">
        <v>0</v>
      </c>
      <c r="BG194" s="7">
        <v>6.0000000000000001E-3</v>
      </c>
      <c r="BH194" s="7">
        <v>6.0000000000000001E-3</v>
      </c>
      <c r="BI194" s="7">
        <v>0</v>
      </c>
      <c r="BJ194" s="7">
        <v>0</v>
      </c>
      <c r="BK194" s="7">
        <v>3.5000000000000003E-2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23"/>
    </row>
    <row r="195" spans="1:70" ht="15.75" x14ac:dyDescent="0.25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23"/>
    </row>
    <row r="196" spans="1:70" ht="15.75" x14ac:dyDescent="0.25">
      <c r="A196" s="5" t="s">
        <v>361</v>
      </c>
      <c r="B196" s="5" t="s">
        <v>362</v>
      </c>
      <c r="C196" s="7">
        <v>6</v>
      </c>
      <c r="D196" s="7">
        <v>6</v>
      </c>
      <c r="E196" s="7">
        <v>168.41800000000001</v>
      </c>
      <c r="F196" s="7">
        <v>0</v>
      </c>
      <c r="G196" s="7">
        <v>41.009</v>
      </c>
      <c r="H196" s="7">
        <v>0</v>
      </c>
      <c r="I196" s="7">
        <v>0</v>
      </c>
      <c r="J196" s="7">
        <v>71.334000000000003</v>
      </c>
      <c r="K196" s="7">
        <v>0</v>
      </c>
      <c r="L196" s="7">
        <v>0</v>
      </c>
      <c r="M196" s="7">
        <v>605.76400000000001</v>
      </c>
      <c r="N196" s="7">
        <v>87.837000000000003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519.28300000000002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23"/>
    </row>
    <row r="197" spans="1:70" ht="15.75" x14ac:dyDescent="0.25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23"/>
    </row>
    <row r="198" spans="1:70" ht="15.75" x14ac:dyDescent="0.25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23"/>
    </row>
    <row r="199" spans="1:70" ht="15.75" x14ac:dyDescent="0.25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23"/>
    </row>
    <row r="200" spans="1:70" ht="15.75" x14ac:dyDescent="0.25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23"/>
    </row>
    <row r="201" spans="1:70" ht="15.75" x14ac:dyDescent="0.25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23"/>
    </row>
    <row r="202" spans="1:70" ht="15.75" x14ac:dyDescent="0.25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23"/>
    </row>
    <row r="203" spans="1:70" ht="15.75" x14ac:dyDescent="0.25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23"/>
    </row>
    <row r="204" spans="1:70" ht="15.75" x14ac:dyDescent="0.25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23"/>
    </row>
    <row r="205" spans="1:70" ht="15.75" x14ac:dyDescent="0.25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23"/>
    </row>
    <row r="206" spans="1:70" ht="15.75" x14ac:dyDescent="0.25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23"/>
    </row>
    <row r="207" spans="1:70" ht="15.75" x14ac:dyDescent="0.25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23"/>
    </row>
    <row r="208" spans="1:70" ht="15.75" x14ac:dyDescent="0.25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23"/>
    </row>
    <row r="209" spans="1:70" ht="15.75" x14ac:dyDescent="0.25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23"/>
    </row>
    <row r="210" spans="1:70" ht="15.75" x14ac:dyDescent="0.25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23"/>
    </row>
    <row r="211" spans="1:70" ht="15.75" x14ac:dyDescent="0.25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23"/>
    </row>
    <row r="212" spans="1:70" ht="15.75" x14ac:dyDescent="0.25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23"/>
    </row>
    <row r="213" spans="1:70" ht="15.75" x14ac:dyDescent="0.25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23"/>
    </row>
    <row r="214" spans="1:70" ht="15.75" x14ac:dyDescent="0.25">
      <c r="A214" s="5" t="s">
        <v>353</v>
      </c>
      <c r="B214" s="5" t="s">
        <v>397</v>
      </c>
      <c r="C214" s="7">
        <v>6</v>
      </c>
      <c r="D214" s="7">
        <v>6</v>
      </c>
      <c r="E214" s="7">
        <v>1439.0619999999999</v>
      </c>
      <c r="F214" s="7">
        <v>131.59</v>
      </c>
      <c r="G214" s="7">
        <v>195.33699999999999</v>
      </c>
      <c r="H214" s="7">
        <v>0.60299999999999998</v>
      </c>
      <c r="I214" s="7">
        <v>32.948999999999998</v>
      </c>
      <c r="J214" s="7">
        <v>116.798</v>
      </c>
      <c r="K214" s="7">
        <v>0</v>
      </c>
      <c r="L214" s="7">
        <v>0</v>
      </c>
      <c r="M214" s="7">
        <v>1061.5350000000001</v>
      </c>
      <c r="N214" s="7">
        <v>524.24199999999996</v>
      </c>
      <c r="O214" s="7">
        <v>0</v>
      </c>
      <c r="P214" s="7">
        <v>0</v>
      </c>
      <c r="Q214" s="7">
        <v>6.1280000000000001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16.414000000000001</v>
      </c>
      <c r="X214" s="7">
        <v>50.311999999999998</v>
      </c>
      <c r="Y214" s="7">
        <v>0</v>
      </c>
      <c r="Z214" s="7">
        <v>397.91199999999998</v>
      </c>
      <c r="AA214" s="7">
        <v>0</v>
      </c>
      <c r="AB214" s="7">
        <v>140.464</v>
      </c>
      <c r="AC214" s="7">
        <v>0</v>
      </c>
      <c r="AD214" s="7">
        <v>21.103999999999999</v>
      </c>
      <c r="AE214" s="7">
        <v>0</v>
      </c>
      <c r="AF214" s="7">
        <v>1267.117</v>
      </c>
      <c r="AG214" s="7">
        <v>0</v>
      </c>
      <c r="AH214" s="7">
        <v>0</v>
      </c>
      <c r="AI214" s="7">
        <v>3012.4490000000001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23"/>
    </row>
    <row r="215" spans="1:70" ht="15.75" x14ac:dyDescent="0.25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23"/>
    </row>
    <row r="216" spans="1:70" ht="15.75" x14ac:dyDescent="0.25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23"/>
    </row>
    <row r="217" spans="1:70" ht="15.75" x14ac:dyDescent="0.25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23"/>
    </row>
    <row r="218" spans="1:70" ht="15.75" x14ac:dyDescent="0.25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23"/>
    </row>
    <row r="219" spans="1:70" ht="15.75" x14ac:dyDescent="0.25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-2E-3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23"/>
    </row>
    <row r="220" spans="1:70" ht="15.75" x14ac:dyDescent="0.25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23"/>
    </row>
    <row r="221" spans="1:70" ht="15.75" x14ac:dyDescent="0.25">
      <c r="A221" s="5" t="s">
        <v>367</v>
      </c>
      <c r="B221" s="5" t="s">
        <v>404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23"/>
    </row>
    <row r="222" spans="1:70" ht="15.75" x14ac:dyDescent="0.25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23"/>
    </row>
    <row r="223" spans="1:70" ht="15.75" x14ac:dyDescent="0.25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23"/>
    </row>
    <row r="224" spans="1:70" ht="15.75" x14ac:dyDescent="0.25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23"/>
    </row>
    <row r="225" spans="1:70" ht="15.75" x14ac:dyDescent="0.25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23"/>
    </row>
    <row r="226" spans="1:70" ht="15.75" x14ac:dyDescent="0.25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23"/>
    </row>
    <row r="227" spans="1:70" ht="15.75" x14ac:dyDescent="0.25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23"/>
    </row>
    <row r="228" spans="1:70" ht="15.75" x14ac:dyDescent="0.25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23"/>
    </row>
    <row r="229" spans="1:70" ht="15.75" x14ac:dyDescent="0.25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23"/>
    </row>
    <row r="230" spans="1:70" ht="15.75" x14ac:dyDescent="0.25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23"/>
    </row>
    <row r="231" spans="1:70" ht="15.75" x14ac:dyDescent="0.25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23"/>
    </row>
    <row r="232" spans="1:70" ht="15.75" x14ac:dyDescent="0.25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23"/>
    </row>
    <row r="233" spans="1:70" ht="15.75" x14ac:dyDescent="0.25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23"/>
    </row>
    <row r="234" spans="1:70" ht="15.75" x14ac:dyDescent="0.25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23"/>
    </row>
    <row r="235" spans="1:70" ht="15.75" x14ac:dyDescent="0.25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23"/>
    </row>
    <row r="236" spans="1:70" ht="15.75" x14ac:dyDescent="0.25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23"/>
    </row>
    <row r="237" spans="1:70" ht="15.75" x14ac:dyDescent="0.25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23"/>
    </row>
    <row r="238" spans="1:70" ht="15.75" x14ac:dyDescent="0.25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23"/>
    </row>
    <row r="239" spans="1:70" ht="15.75" x14ac:dyDescent="0.25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23"/>
    </row>
    <row r="240" spans="1:70" ht="15.75" x14ac:dyDescent="0.25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23"/>
    </row>
    <row r="241" spans="1:70" ht="15.75" x14ac:dyDescent="0.25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23"/>
    </row>
    <row r="242" spans="1:70" ht="15.75" x14ac:dyDescent="0.25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23"/>
    </row>
    <row r="243" spans="1:70" ht="15.75" x14ac:dyDescent="0.25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23"/>
    </row>
    <row r="244" spans="1:70" ht="15.75" x14ac:dyDescent="0.25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23"/>
    </row>
    <row r="245" spans="1:70" ht="15.75" x14ac:dyDescent="0.25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23"/>
    </row>
    <row r="246" spans="1:70" ht="15.75" x14ac:dyDescent="0.25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23"/>
    </row>
    <row r="247" spans="1:70" ht="15.75" x14ac:dyDescent="0.25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23"/>
    </row>
    <row r="248" spans="1:70" ht="15.75" x14ac:dyDescent="0.25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23"/>
    </row>
    <row r="249" spans="1:70" ht="15.75" x14ac:dyDescent="0.25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23"/>
    </row>
    <row r="250" spans="1:70" ht="15.75" x14ac:dyDescent="0.25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23"/>
    </row>
    <row r="251" spans="1:70" ht="15.75" x14ac:dyDescent="0.25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23"/>
    </row>
    <row r="252" spans="1:70" ht="15.75" x14ac:dyDescent="0.25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23"/>
    </row>
    <row r="253" spans="1:70" ht="15.75" x14ac:dyDescent="0.25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23"/>
    </row>
    <row r="254" spans="1:70" ht="15.75" x14ac:dyDescent="0.25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23"/>
    </row>
    <row r="255" spans="1:70" ht="15.75" x14ac:dyDescent="0.25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23"/>
    </row>
    <row r="256" spans="1:70" ht="15.75" x14ac:dyDescent="0.25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23"/>
    </row>
    <row r="257" spans="1:70" ht="15.75" x14ac:dyDescent="0.25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526.02099999999996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412.72399999999999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23"/>
    </row>
    <row r="258" spans="1:70" ht="15.75" x14ac:dyDescent="0.25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7.0000000000000001E-3</v>
      </c>
      <c r="J258" s="7">
        <v>0</v>
      </c>
      <c r="K258" s="7">
        <v>0</v>
      </c>
      <c r="L258" s="7">
        <v>0</v>
      </c>
      <c r="M258" s="7">
        <v>0.04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4.5999999999999999E-2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23"/>
    </row>
    <row r="259" spans="1:70" ht="15.75" x14ac:dyDescent="0.25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23"/>
    </row>
    <row r="260" spans="1:70" ht="15.75" x14ac:dyDescent="0.25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23"/>
    </row>
    <row r="261" spans="1:70" ht="15.75" x14ac:dyDescent="0.25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23"/>
    </row>
    <row r="262" spans="1:70" ht="15.75" x14ac:dyDescent="0.25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23"/>
    </row>
    <row r="263" spans="1:70" ht="15.75" x14ac:dyDescent="0.25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23"/>
    </row>
    <row r="264" spans="1:70" ht="15.75" x14ac:dyDescent="0.25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23"/>
    </row>
    <row r="265" spans="1:70" ht="15.75" x14ac:dyDescent="0.25">
      <c r="A265" s="5" t="s">
        <v>433</v>
      </c>
      <c r="B265" s="5" t="s">
        <v>470</v>
      </c>
      <c r="C265" s="7">
        <v>6</v>
      </c>
      <c r="D265" s="7">
        <v>6</v>
      </c>
      <c r="E265" s="7">
        <v>26406.933000000001</v>
      </c>
      <c r="F265" s="7">
        <v>5307.3630000000003</v>
      </c>
      <c r="G265" s="7">
        <v>0</v>
      </c>
      <c r="H265" s="7">
        <v>0</v>
      </c>
      <c r="I265" s="7">
        <v>278.06799999999998</v>
      </c>
      <c r="J265" s="7">
        <v>0</v>
      </c>
      <c r="K265" s="7">
        <v>0</v>
      </c>
      <c r="L265" s="7">
        <v>0</v>
      </c>
      <c r="M265" s="7">
        <v>65841.141000000003</v>
      </c>
      <c r="N265" s="7">
        <v>6886.6530000000002</v>
      </c>
      <c r="O265" s="7">
        <v>0</v>
      </c>
      <c r="P265" s="7">
        <v>0</v>
      </c>
      <c r="Q265" s="7">
        <v>1.296</v>
      </c>
      <c r="R265" s="7">
        <v>0</v>
      </c>
      <c r="S265" s="7">
        <v>0</v>
      </c>
      <c r="T265" s="7">
        <v>1600.954</v>
      </c>
      <c r="U265" s="7">
        <v>0</v>
      </c>
      <c r="V265" s="7">
        <v>0</v>
      </c>
      <c r="W265" s="7">
        <v>0</v>
      </c>
      <c r="X265" s="7">
        <v>473.82600000000002</v>
      </c>
      <c r="Y265" s="7">
        <v>0</v>
      </c>
      <c r="Z265" s="7">
        <v>10123.777</v>
      </c>
      <c r="AA265" s="7">
        <v>0</v>
      </c>
      <c r="AB265" s="7">
        <v>0</v>
      </c>
      <c r="AC265" s="7">
        <v>0</v>
      </c>
      <c r="AD265" s="7">
        <v>966.45899999999995</v>
      </c>
      <c r="AE265" s="7">
        <v>0</v>
      </c>
      <c r="AF265" s="7">
        <v>25407.022000000001</v>
      </c>
      <c r="AG265" s="7">
        <v>13134.33</v>
      </c>
      <c r="AH265" s="7">
        <v>0</v>
      </c>
      <c r="AI265" s="7">
        <v>107777.758</v>
      </c>
      <c r="AJ265" s="7">
        <v>22895.353999999999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153.31</v>
      </c>
      <c r="AR265" s="7">
        <v>0</v>
      </c>
      <c r="AS265" s="7">
        <v>3974.6190000000001</v>
      </c>
      <c r="AT265" s="7">
        <v>0</v>
      </c>
      <c r="AU265" s="7">
        <v>15.435</v>
      </c>
      <c r="AV265" s="7">
        <v>0</v>
      </c>
      <c r="AW265" s="7">
        <v>111.72499999999999</v>
      </c>
      <c r="AX265" s="7">
        <v>0</v>
      </c>
      <c r="AY265" s="7">
        <v>0</v>
      </c>
      <c r="AZ265" s="7">
        <v>0</v>
      </c>
      <c r="BA265" s="7">
        <v>31.893999999999998</v>
      </c>
      <c r="BB265" s="7">
        <v>166.07</v>
      </c>
      <c r="BC265" s="7">
        <v>0</v>
      </c>
      <c r="BD265" s="7">
        <v>51.213999999999999</v>
      </c>
      <c r="BE265" s="7">
        <v>0</v>
      </c>
      <c r="BF265" s="7">
        <v>273.39499999999998</v>
      </c>
      <c r="BG265" s="7">
        <v>8.2309999999999999</v>
      </c>
      <c r="BH265" s="7">
        <v>8.2309999999999999</v>
      </c>
      <c r="BI265" s="7">
        <v>122.527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23"/>
    </row>
    <row r="266" spans="1:70" ht="15.75" x14ac:dyDescent="0.25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23"/>
    </row>
    <row r="267" spans="1:70" ht="15.75" x14ac:dyDescent="0.25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23"/>
    </row>
    <row r="268" spans="1:70" ht="15.75" x14ac:dyDescent="0.25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23"/>
    </row>
    <row r="269" spans="1:70" ht="15.75" x14ac:dyDescent="0.25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23"/>
    </row>
    <row r="270" spans="1:70" ht="15.75" x14ac:dyDescent="0.25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23"/>
    </row>
    <row r="271" spans="1:70" ht="15.75" x14ac:dyDescent="0.25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23"/>
    </row>
    <row r="272" spans="1:70" ht="15.75" x14ac:dyDescent="0.25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23"/>
    </row>
    <row r="273" spans="1:70" ht="15.75" x14ac:dyDescent="0.25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23"/>
    </row>
    <row r="274" spans="1:70" ht="15.75" x14ac:dyDescent="0.25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23"/>
    </row>
    <row r="275" spans="1:70" ht="15.75" x14ac:dyDescent="0.25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23"/>
    </row>
    <row r="276" spans="1:70" ht="15.75" x14ac:dyDescent="0.25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23"/>
    </row>
    <row r="277" spans="1:70" ht="15.75" x14ac:dyDescent="0.25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23"/>
    </row>
    <row r="278" spans="1:70" ht="15.75" x14ac:dyDescent="0.25">
      <c r="A278" s="5" t="s">
        <v>459</v>
      </c>
      <c r="B278" s="5" t="s">
        <v>483</v>
      </c>
      <c r="C278" s="7">
        <v>6</v>
      </c>
      <c r="D278" s="7">
        <v>6</v>
      </c>
      <c r="E278" s="7">
        <v>4288.3429999999998</v>
      </c>
      <c r="F278" s="7">
        <v>2620.9340000000002</v>
      </c>
      <c r="G278" s="7">
        <v>183.31200000000001</v>
      </c>
      <c r="H278" s="7">
        <v>404.19099999999997</v>
      </c>
      <c r="I278" s="7">
        <v>327.33999999999997</v>
      </c>
      <c r="J278" s="7">
        <v>1946.7529999999999</v>
      </c>
      <c r="K278" s="7">
        <v>0</v>
      </c>
      <c r="L278" s="7">
        <v>0</v>
      </c>
      <c r="M278" s="7">
        <v>6079.5290000000005</v>
      </c>
      <c r="N278" s="7">
        <v>3754.1439999999998</v>
      </c>
      <c r="O278" s="7">
        <v>0</v>
      </c>
      <c r="P278" s="7">
        <v>0</v>
      </c>
      <c r="Q278" s="7">
        <v>1.0999999999999999E-2</v>
      </c>
      <c r="R278" s="7">
        <v>0</v>
      </c>
      <c r="S278" s="7">
        <v>0</v>
      </c>
      <c r="T278" s="7">
        <v>1050.3620000000001</v>
      </c>
      <c r="U278" s="7">
        <v>0</v>
      </c>
      <c r="V278" s="7">
        <v>0</v>
      </c>
      <c r="W278" s="7">
        <v>188.53200000000001</v>
      </c>
      <c r="X278" s="7">
        <v>40.1</v>
      </c>
      <c r="Y278" s="7">
        <v>0</v>
      </c>
      <c r="Z278" s="7">
        <v>0.19</v>
      </c>
      <c r="AA278" s="7">
        <v>0</v>
      </c>
      <c r="AB278" s="7">
        <v>4011.0239999999999</v>
      </c>
      <c r="AC278" s="7">
        <v>0</v>
      </c>
      <c r="AD278" s="7">
        <v>460.36599999999999</v>
      </c>
      <c r="AE278" s="7">
        <v>0</v>
      </c>
      <c r="AF278" s="7">
        <v>8.4659999999999993</v>
      </c>
      <c r="AG278" s="7">
        <v>48.045999999999999</v>
      </c>
      <c r="AH278" s="7">
        <v>0</v>
      </c>
      <c r="AI278" s="7">
        <v>14439.316999999999</v>
      </c>
      <c r="AJ278" s="7">
        <v>3.5999999999999997E-2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143.03899999999999</v>
      </c>
      <c r="AR278" s="7">
        <v>0</v>
      </c>
      <c r="AS278" s="7">
        <v>6.7370000000000001</v>
      </c>
      <c r="AT278" s="7">
        <v>0</v>
      </c>
      <c r="AU278" s="7">
        <v>3.6619999999999999</v>
      </c>
      <c r="AV278" s="7">
        <v>0</v>
      </c>
      <c r="AW278" s="7">
        <v>0.498</v>
      </c>
      <c r="AX278" s="7">
        <v>0</v>
      </c>
      <c r="AY278" s="7">
        <v>0</v>
      </c>
      <c r="AZ278" s="7">
        <v>0</v>
      </c>
      <c r="BA278" s="7">
        <v>102.626</v>
      </c>
      <c r="BB278" s="7">
        <v>0</v>
      </c>
      <c r="BC278" s="7">
        <v>0</v>
      </c>
      <c r="BD278" s="7">
        <v>37.020000000000003</v>
      </c>
      <c r="BE278" s="7">
        <v>121.654</v>
      </c>
      <c r="BF278" s="7">
        <v>0</v>
      </c>
      <c r="BG278" s="7">
        <v>6.2590000000000003</v>
      </c>
      <c r="BH278" s="7">
        <v>6.2590000000000003</v>
      </c>
      <c r="BI278" s="7">
        <v>0</v>
      </c>
      <c r="BJ278" s="7">
        <v>0</v>
      </c>
      <c r="BK278" s="7">
        <v>30.15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23"/>
    </row>
    <row r="279" spans="1:70" ht="15.75" x14ac:dyDescent="0.25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23"/>
    </row>
    <row r="280" spans="1:70" ht="15.75" x14ac:dyDescent="0.25">
      <c r="A280" s="5" t="s">
        <v>485</v>
      </c>
      <c r="B280" s="5" t="s">
        <v>486</v>
      </c>
      <c r="C280" s="7">
        <v>5</v>
      </c>
      <c r="D280" s="7">
        <v>5</v>
      </c>
      <c r="E280" s="7">
        <v>138376.36300000001</v>
      </c>
      <c r="F280" s="7">
        <v>0</v>
      </c>
      <c r="G280" s="7">
        <v>14313.406999999999</v>
      </c>
      <c r="H280" s="7">
        <v>440.28100000000001</v>
      </c>
      <c r="I280" s="7">
        <v>0</v>
      </c>
      <c r="J280" s="7">
        <v>23516.267</v>
      </c>
      <c r="K280" s="7">
        <v>0</v>
      </c>
      <c r="L280" s="7">
        <v>6675.28</v>
      </c>
      <c r="M280" s="7">
        <v>169811.24900000001</v>
      </c>
      <c r="N280" s="7">
        <v>145275.96100000001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2567.576</v>
      </c>
      <c r="W280" s="7">
        <v>738.18</v>
      </c>
      <c r="X280" s="7">
        <v>4884.8639999999996</v>
      </c>
      <c r="Y280" s="7">
        <v>0</v>
      </c>
      <c r="Z280" s="7">
        <v>34917.637000000002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85340.156000000003</v>
      </c>
      <c r="AG280" s="7">
        <v>13180.448</v>
      </c>
      <c r="AH280" s="7">
        <v>3321.7759999999998</v>
      </c>
      <c r="AI280" s="7">
        <v>558392.85800000001</v>
      </c>
      <c r="AJ280" s="7">
        <v>131314.03599999999</v>
      </c>
      <c r="AK280" s="7">
        <v>23.826000000000001</v>
      </c>
      <c r="AL280" s="7">
        <v>33.194000000000003</v>
      </c>
      <c r="AM280" s="7">
        <v>0</v>
      </c>
      <c r="AN280" s="7">
        <v>115.738</v>
      </c>
      <c r="AO280" s="7">
        <v>548.98500000000001</v>
      </c>
      <c r="AP280" s="7">
        <v>634.577</v>
      </c>
      <c r="AQ280" s="7">
        <v>0</v>
      </c>
      <c r="AR280" s="7">
        <v>0</v>
      </c>
      <c r="AS280" s="7">
        <v>4583.1689999999999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23"/>
    </row>
    <row r="281" spans="1:70" ht="15.75" x14ac:dyDescent="0.25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23"/>
    </row>
    <row r="282" spans="1:70" ht="15.75" x14ac:dyDescent="0.25">
      <c r="A282" s="5" t="s">
        <v>489</v>
      </c>
      <c r="B282" s="5" t="s">
        <v>490</v>
      </c>
      <c r="C282" s="7">
        <v>5</v>
      </c>
      <c r="D282" s="7">
        <v>5</v>
      </c>
      <c r="E282" s="7">
        <v>17458.5</v>
      </c>
      <c r="F282" s="7">
        <v>1612.598</v>
      </c>
      <c r="G282" s="7">
        <v>2302.4920000000002</v>
      </c>
      <c r="H282" s="7">
        <v>0</v>
      </c>
      <c r="I282" s="7">
        <v>403.78199999999998</v>
      </c>
      <c r="J282" s="7">
        <v>1405.546</v>
      </c>
      <c r="K282" s="7">
        <v>0</v>
      </c>
      <c r="L282" s="7">
        <v>0</v>
      </c>
      <c r="M282" s="7">
        <v>12806.679</v>
      </c>
      <c r="N282" s="7">
        <v>6267.2240000000002</v>
      </c>
      <c r="O282" s="7">
        <v>0</v>
      </c>
      <c r="P282" s="7">
        <v>0</v>
      </c>
      <c r="Q282" s="7">
        <v>75.097999999999999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201.148</v>
      </c>
      <c r="X282" s="7">
        <v>616.56100000000004</v>
      </c>
      <c r="Y282" s="7">
        <v>0</v>
      </c>
      <c r="Z282" s="7">
        <v>4876.2979999999998</v>
      </c>
      <c r="AA282" s="7">
        <v>0</v>
      </c>
      <c r="AB282" s="7">
        <v>1721.3489999999999</v>
      </c>
      <c r="AC282" s="7">
        <v>0</v>
      </c>
      <c r="AD282" s="7">
        <v>258.62299999999999</v>
      </c>
      <c r="AE282" s="7">
        <v>0</v>
      </c>
      <c r="AF282" s="7">
        <v>15528.14</v>
      </c>
      <c r="AG282" s="7">
        <v>0</v>
      </c>
      <c r="AH282" s="7">
        <v>0</v>
      </c>
      <c r="AI282" s="7">
        <v>36662.508000000002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23"/>
    </row>
    <row r="283" spans="1:70" ht="15.75" x14ac:dyDescent="0.25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23"/>
    </row>
    <row r="284" spans="1:70" ht="15.75" x14ac:dyDescent="0.25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23"/>
    </row>
    <row r="285" spans="1:70" ht="15.75" x14ac:dyDescent="0.25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23"/>
    </row>
    <row r="286" spans="1:70" ht="15.75" x14ac:dyDescent="0.25">
      <c r="A286" s="5" t="s">
        <v>497</v>
      </c>
      <c r="B286" s="5" t="s">
        <v>498</v>
      </c>
      <c r="C286" s="7">
        <v>5</v>
      </c>
      <c r="D286" s="7">
        <v>5</v>
      </c>
      <c r="E286" s="7">
        <v>72919.452000000005</v>
      </c>
      <c r="F286" s="7">
        <v>6974.8959999999997</v>
      </c>
      <c r="G286" s="7">
        <v>11072.97</v>
      </c>
      <c r="H286" s="7">
        <v>0</v>
      </c>
      <c r="I286" s="7">
        <v>1808.771</v>
      </c>
      <c r="J286" s="7">
        <v>6319.98</v>
      </c>
      <c r="K286" s="7">
        <v>0</v>
      </c>
      <c r="L286" s="7">
        <v>0</v>
      </c>
      <c r="M286" s="7">
        <v>66408.278000000006</v>
      </c>
      <c r="N286" s="7">
        <v>30345.190999999999</v>
      </c>
      <c r="O286" s="7">
        <v>0</v>
      </c>
      <c r="P286" s="7">
        <v>0</v>
      </c>
      <c r="Q286" s="7">
        <v>362.822</v>
      </c>
      <c r="R286" s="7">
        <v>0</v>
      </c>
      <c r="S286" s="7">
        <v>0</v>
      </c>
      <c r="T286" s="7">
        <v>0.17399999999999999</v>
      </c>
      <c r="U286" s="7">
        <v>0</v>
      </c>
      <c r="V286" s="7">
        <v>0</v>
      </c>
      <c r="W286" s="7">
        <v>720.56700000000001</v>
      </c>
      <c r="X286" s="7">
        <v>2208.6089999999999</v>
      </c>
      <c r="Y286" s="7">
        <v>0</v>
      </c>
      <c r="Z286" s="7">
        <v>18516.969000000001</v>
      </c>
      <c r="AA286" s="7">
        <v>0</v>
      </c>
      <c r="AB286" s="7">
        <v>6166.2470000000003</v>
      </c>
      <c r="AC286" s="7">
        <v>0</v>
      </c>
      <c r="AD286" s="7">
        <v>926.43499999999995</v>
      </c>
      <c r="AE286" s="7">
        <v>0</v>
      </c>
      <c r="AF286" s="7">
        <v>59799.618999999999</v>
      </c>
      <c r="AG286" s="7">
        <v>0</v>
      </c>
      <c r="AH286" s="7">
        <v>0</v>
      </c>
      <c r="AI286" s="7">
        <v>169944.61300000001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8.9999999999999993E-3</v>
      </c>
      <c r="AR286" s="7">
        <v>0</v>
      </c>
      <c r="AS286" s="7">
        <v>0</v>
      </c>
      <c r="AT286" s="7">
        <v>0</v>
      </c>
      <c r="AU286" s="7">
        <v>2E-3</v>
      </c>
      <c r="AV286" s="7">
        <v>0</v>
      </c>
      <c r="AW286" s="7">
        <v>4.4999999999999998E-2</v>
      </c>
      <c r="AX286" s="7">
        <v>0</v>
      </c>
      <c r="AY286" s="7">
        <v>0</v>
      </c>
      <c r="AZ286" s="7">
        <v>0</v>
      </c>
      <c r="BA286" s="7">
        <v>8.0000000000000002E-3</v>
      </c>
      <c r="BB286" s="7">
        <v>0</v>
      </c>
      <c r="BC286" s="7">
        <v>0</v>
      </c>
      <c r="BD286" s="7">
        <v>3.0000000000000001E-3</v>
      </c>
      <c r="BE286" s="7">
        <v>8.9999999999999993E-3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3.0000000000000001E-3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23"/>
    </row>
    <row r="287" spans="1:70" ht="15.75" x14ac:dyDescent="0.25">
      <c r="A287" s="5" t="s">
        <v>499</v>
      </c>
      <c r="B287" s="5" t="s">
        <v>500</v>
      </c>
      <c r="C287" s="7">
        <v>5</v>
      </c>
      <c r="D287" s="7">
        <v>5</v>
      </c>
      <c r="E287" s="7">
        <v>186916.06</v>
      </c>
      <c r="F287" s="7">
        <v>18567.848999999998</v>
      </c>
      <c r="G287" s="7">
        <v>27855.357</v>
      </c>
      <c r="H287" s="7">
        <v>14201.837</v>
      </c>
      <c r="I287" s="7">
        <v>4890.2640000000001</v>
      </c>
      <c r="J287" s="7">
        <v>16444.788</v>
      </c>
      <c r="K287" s="7">
        <v>0</v>
      </c>
      <c r="L287" s="7">
        <v>0</v>
      </c>
      <c r="M287" s="7">
        <v>144863.655</v>
      </c>
      <c r="N287" s="7">
        <v>74675.035000000003</v>
      </c>
      <c r="O287" s="7">
        <v>0</v>
      </c>
      <c r="P287" s="7">
        <v>0</v>
      </c>
      <c r="Q287" s="7">
        <v>906.17200000000003</v>
      </c>
      <c r="R287" s="7">
        <v>0</v>
      </c>
      <c r="S287" s="7">
        <v>55.037999999999997</v>
      </c>
      <c r="T287" s="7">
        <v>0</v>
      </c>
      <c r="U287" s="7">
        <v>0</v>
      </c>
      <c r="V287" s="7">
        <v>0</v>
      </c>
      <c r="W287" s="7">
        <v>1971.625</v>
      </c>
      <c r="X287" s="7">
        <v>6128.4939999999997</v>
      </c>
      <c r="Y287" s="7">
        <v>0</v>
      </c>
      <c r="Z287" s="7">
        <v>48137.065000000002</v>
      </c>
      <c r="AA287" s="7">
        <v>0</v>
      </c>
      <c r="AB287" s="7">
        <v>17142.235000000001</v>
      </c>
      <c r="AC287" s="7">
        <v>0</v>
      </c>
      <c r="AD287" s="7">
        <v>2534.9969999999998</v>
      </c>
      <c r="AE287" s="7">
        <v>0</v>
      </c>
      <c r="AF287" s="7">
        <v>153931.82</v>
      </c>
      <c r="AG287" s="7">
        <v>0</v>
      </c>
      <c r="AH287" s="7">
        <v>0</v>
      </c>
      <c r="AI287" s="7">
        <v>388755.82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51.210999999999999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23"/>
    </row>
    <row r="288" spans="1:70" ht="15.75" x14ac:dyDescent="0.25">
      <c r="A288" s="5" t="s">
        <v>501</v>
      </c>
      <c r="B288" s="5" t="s">
        <v>502</v>
      </c>
      <c r="C288" s="7">
        <v>5</v>
      </c>
      <c r="D288" s="7">
        <v>5</v>
      </c>
      <c r="E288" s="7">
        <v>1870.9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5814.8090000000002</v>
      </c>
      <c r="N288" s="7">
        <v>233.86199999999999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2346.9769999999999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4685.6030000000001</v>
      </c>
      <c r="AG288" s="7">
        <v>0</v>
      </c>
      <c r="AH288" s="7">
        <v>0</v>
      </c>
      <c r="AI288" s="7">
        <v>11049.407999999999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23"/>
    </row>
    <row r="289" spans="1:70" ht="15.75" x14ac:dyDescent="0.25">
      <c r="A289" s="5" t="s">
        <v>503</v>
      </c>
      <c r="B289" s="5" t="s">
        <v>504</v>
      </c>
      <c r="C289" s="7">
        <v>5</v>
      </c>
      <c r="D289" s="7">
        <v>5</v>
      </c>
      <c r="E289" s="7">
        <v>44833.088000000003</v>
      </c>
      <c r="F289" s="7">
        <v>3825.8470000000002</v>
      </c>
      <c r="G289" s="7">
        <v>5462.6009999999997</v>
      </c>
      <c r="H289" s="7">
        <v>103.56399999999999</v>
      </c>
      <c r="I289" s="7">
        <v>957.96199999999999</v>
      </c>
      <c r="J289" s="7">
        <v>3334.6219999999998</v>
      </c>
      <c r="K289" s="7">
        <v>0</v>
      </c>
      <c r="L289" s="7">
        <v>0</v>
      </c>
      <c r="M289" s="7">
        <v>37698.534</v>
      </c>
      <c r="N289" s="7">
        <v>15993.628000000001</v>
      </c>
      <c r="O289" s="7">
        <v>0</v>
      </c>
      <c r="P289" s="7">
        <v>0</v>
      </c>
      <c r="Q289" s="7">
        <v>178.16900000000001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477.21699999999998</v>
      </c>
      <c r="X289" s="7">
        <v>1462.7739999999999</v>
      </c>
      <c r="Y289" s="7">
        <v>0</v>
      </c>
      <c r="Z289" s="7">
        <v>14250.503000000001</v>
      </c>
      <c r="AA289" s="7">
        <v>0</v>
      </c>
      <c r="AB289" s="7">
        <v>4083.8560000000002</v>
      </c>
      <c r="AC289" s="7">
        <v>0</v>
      </c>
      <c r="AD289" s="7">
        <v>613.577</v>
      </c>
      <c r="AE289" s="7">
        <v>0</v>
      </c>
      <c r="AF289" s="7">
        <v>42193.79</v>
      </c>
      <c r="AG289" s="7">
        <v>0</v>
      </c>
      <c r="AH289" s="7">
        <v>0</v>
      </c>
      <c r="AI289" s="7">
        <v>99198.907999999996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23"/>
    </row>
    <row r="290" spans="1:70" ht="15.75" x14ac:dyDescent="0.25">
      <c r="A290" s="5" t="s">
        <v>505</v>
      </c>
      <c r="B290" s="5" t="s">
        <v>506</v>
      </c>
      <c r="C290" s="7">
        <v>5</v>
      </c>
      <c r="D290" s="7">
        <v>5</v>
      </c>
      <c r="E290" s="7">
        <v>49754.642999999996</v>
      </c>
      <c r="F290" s="7">
        <v>1135.2190000000001</v>
      </c>
      <c r="G290" s="7">
        <v>1620.8820000000001</v>
      </c>
      <c r="H290" s="7">
        <v>9581.9320000000007</v>
      </c>
      <c r="I290" s="7">
        <v>284.25</v>
      </c>
      <c r="J290" s="7">
        <v>989.46</v>
      </c>
      <c r="K290" s="7">
        <v>0</v>
      </c>
      <c r="L290" s="7">
        <v>0</v>
      </c>
      <c r="M290" s="7">
        <v>63996.196000000004</v>
      </c>
      <c r="N290" s="7">
        <v>13617.934999999999</v>
      </c>
      <c r="O290" s="7">
        <v>0</v>
      </c>
      <c r="P290" s="7">
        <v>0</v>
      </c>
      <c r="Q290" s="7">
        <v>52.866999999999997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141.601</v>
      </c>
      <c r="X290" s="7">
        <v>434.03899999999999</v>
      </c>
      <c r="Y290" s="7">
        <v>0</v>
      </c>
      <c r="Z290" s="7">
        <v>17954.850999999999</v>
      </c>
      <c r="AA290" s="7">
        <v>0</v>
      </c>
      <c r="AB290" s="7">
        <v>1211.7760000000001</v>
      </c>
      <c r="AC290" s="7">
        <v>0</v>
      </c>
      <c r="AD290" s="7">
        <v>182.06299999999999</v>
      </c>
      <c r="AE290" s="7">
        <v>0</v>
      </c>
      <c r="AF290" s="7">
        <v>65271.114000000001</v>
      </c>
      <c r="AG290" s="7">
        <v>0</v>
      </c>
      <c r="AH290" s="7">
        <v>0</v>
      </c>
      <c r="AI290" s="7">
        <v>144976.26800000001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23"/>
    </row>
    <row r="291" spans="1:70" ht="15.75" x14ac:dyDescent="0.25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23"/>
    </row>
    <row r="292" spans="1:70" ht="15.75" x14ac:dyDescent="0.25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23"/>
    </row>
    <row r="293" spans="1:70" ht="15.75" x14ac:dyDescent="0.25">
      <c r="A293" s="5" t="s">
        <v>511</v>
      </c>
      <c r="B293" s="5" t="s">
        <v>512</v>
      </c>
      <c r="C293" s="7">
        <v>5</v>
      </c>
      <c r="D293" s="7">
        <v>5</v>
      </c>
      <c r="E293" s="7">
        <v>226101.06099999999</v>
      </c>
      <c r="F293" s="7">
        <v>18063.177</v>
      </c>
      <c r="G293" s="7">
        <v>25389.135999999999</v>
      </c>
      <c r="H293" s="7">
        <v>0</v>
      </c>
      <c r="I293" s="7">
        <v>3996.9839999999999</v>
      </c>
      <c r="J293" s="7">
        <v>16084.487999999999</v>
      </c>
      <c r="K293" s="7">
        <v>0</v>
      </c>
      <c r="L293" s="7">
        <v>0</v>
      </c>
      <c r="M293" s="7">
        <v>150790.22399999999</v>
      </c>
      <c r="N293" s="7">
        <v>68737.356</v>
      </c>
      <c r="O293" s="7">
        <v>0</v>
      </c>
      <c r="P293" s="7">
        <v>0</v>
      </c>
      <c r="Q293" s="7">
        <v>747.06299999999999</v>
      </c>
      <c r="R293" s="7">
        <v>0</v>
      </c>
      <c r="S293" s="7">
        <v>34.201999999999998</v>
      </c>
      <c r="T293" s="7">
        <v>0</v>
      </c>
      <c r="U293" s="7">
        <v>0</v>
      </c>
      <c r="V293" s="7">
        <v>0</v>
      </c>
      <c r="W293" s="7">
        <v>2818.4160000000002</v>
      </c>
      <c r="X293" s="7">
        <v>8714.14</v>
      </c>
      <c r="Y293" s="7">
        <v>0</v>
      </c>
      <c r="Z293" s="7">
        <v>70889.237999999998</v>
      </c>
      <c r="AA293" s="7">
        <v>0</v>
      </c>
      <c r="AB293" s="7">
        <v>25919.153999999999</v>
      </c>
      <c r="AC293" s="7">
        <v>0</v>
      </c>
      <c r="AD293" s="7">
        <v>4156.9139999999998</v>
      </c>
      <c r="AE293" s="7">
        <v>0</v>
      </c>
      <c r="AF293" s="7">
        <v>217274.80799999999</v>
      </c>
      <c r="AG293" s="7">
        <v>0</v>
      </c>
      <c r="AH293" s="7">
        <v>0</v>
      </c>
      <c r="AI293" s="7">
        <v>479524.91800000001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23"/>
    </row>
    <row r="294" spans="1:70" ht="15.75" x14ac:dyDescent="0.25">
      <c r="A294" s="5" t="s">
        <v>513</v>
      </c>
      <c r="B294" s="5" t="s">
        <v>514</v>
      </c>
      <c r="C294" s="7">
        <v>5</v>
      </c>
      <c r="D294" s="7">
        <v>5</v>
      </c>
      <c r="E294" s="7">
        <v>17446.186000000002</v>
      </c>
      <c r="F294" s="7">
        <v>326.423</v>
      </c>
      <c r="G294" s="7">
        <v>425.97399999999999</v>
      </c>
      <c r="H294" s="7">
        <v>0</v>
      </c>
      <c r="I294" s="7">
        <v>29.244</v>
      </c>
      <c r="J294" s="7">
        <v>318.50299999999999</v>
      </c>
      <c r="K294" s="7">
        <v>0</v>
      </c>
      <c r="L294" s="7">
        <v>0</v>
      </c>
      <c r="M294" s="7">
        <v>23328.3</v>
      </c>
      <c r="N294" s="7">
        <v>4762.9340000000002</v>
      </c>
      <c r="O294" s="7">
        <v>0</v>
      </c>
      <c r="P294" s="7">
        <v>0</v>
      </c>
      <c r="Q294" s="7">
        <v>5.806</v>
      </c>
      <c r="R294" s="7">
        <v>0</v>
      </c>
      <c r="S294" s="7">
        <v>3.4140000000000001</v>
      </c>
      <c r="T294" s="7">
        <v>0</v>
      </c>
      <c r="U294" s="7">
        <v>0</v>
      </c>
      <c r="V294" s="7">
        <v>0</v>
      </c>
      <c r="W294" s="7">
        <v>97.14</v>
      </c>
      <c r="X294" s="7">
        <v>305.24900000000002</v>
      </c>
      <c r="Y294" s="7">
        <v>0</v>
      </c>
      <c r="Z294" s="7">
        <v>2522.2159999999999</v>
      </c>
      <c r="AA294" s="7">
        <v>0</v>
      </c>
      <c r="AB294" s="7">
        <v>1010.9640000000001</v>
      </c>
      <c r="AC294" s="7">
        <v>0</v>
      </c>
      <c r="AD294" s="7">
        <v>178.11199999999999</v>
      </c>
      <c r="AE294" s="7">
        <v>0</v>
      </c>
      <c r="AF294" s="7">
        <v>9699.4320000000007</v>
      </c>
      <c r="AG294" s="7">
        <v>0</v>
      </c>
      <c r="AH294" s="7">
        <v>0</v>
      </c>
      <c r="AI294" s="7">
        <v>26995.416000000001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23"/>
    </row>
    <row r="295" spans="1:70" ht="15.75" x14ac:dyDescent="0.25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23"/>
    </row>
    <row r="296" spans="1:70" ht="15.75" x14ac:dyDescent="0.25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23"/>
    </row>
    <row r="297" spans="1:70" ht="15.75" x14ac:dyDescent="0.25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23"/>
    </row>
    <row r="298" spans="1:70" ht="15.75" x14ac:dyDescent="0.25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23"/>
    </row>
    <row r="299" spans="1:70" ht="15.75" x14ac:dyDescent="0.25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23"/>
    </row>
    <row r="300" spans="1:70" ht="15.75" x14ac:dyDescent="0.25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23"/>
    </row>
    <row r="301" spans="1:70" ht="15.75" x14ac:dyDescent="0.25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23"/>
    </row>
    <row r="302" spans="1:70" ht="15.75" x14ac:dyDescent="0.25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23"/>
    </row>
    <row r="303" spans="1:70" ht="15.75" x14ac:dyDescent="0.25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23"/>
    </row>
    <row r="304" spans="1:70" ht="15.75" x14ac:dyDescent="0.25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23"/>
    </row>
    <row r="305" spans="1:70" ht="15.75" x14ac:dyDescent="0.25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23"/>
    </row>
    <row r="306" spans="1:70" ht="15.75" x14ac:dyDescent="0.25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23"/>
    </row>
    <row r="307" spans="1:70" ht="15.75" x14ac:dyDescent="0.25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23"/>
    </row>
    <row r="308" spans="1:70" ht="15.75" x14ac:dyDescent="0.25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23"/>
    </row>
    <row r="309" spans="1:70" ht="15.75" x14ac:dyDescent="0.25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23"/>
    </row>
    <row r="310" spans="1:70" ht="15.75" x14ac:dyDescent="0.25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23"/>
    </row>
    <row r="311" spans="1:70" ht="15.75" x14ac:dyDescent="0.25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23"/>
    </row>
    <row r="312" spans="1:70" ht="15.75" x14ac:dyDescent="0.25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23"/>
    </row>
    <row r="313" spans="1:70" ht="15.75" x14ac:dyDescent="0.25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23"/>
    </row>
    <row r="314" spans="1:70" ht="15.75" x14ac:dyDescent="0.25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23"/>
    </row>
    <row r="315" spans="1:70" ht="15.75" x14ac:dyDescent="0.25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23"/>
    </row>
    <row r="316" spans="1:70" ht="15.75" x14ac:dyDescent="0.25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23"/>
    </row>
    <row r="317" spans="1:70" ht="15.75" x14ac:dyDescent="0.25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23"/>
    </row>
    <row r="318" spans="1:70" ht="15.75" x14ac:dyDescent="0.25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23"/>
    </row>
    <row r="319" spans="1:70" ht="15.75" x14ac:dyDescent="0.25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23"/>
    </row>
    <row r="320" spans="1:70" ht="15.75" x14ac:dyDescent="0.25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23"/>
    </row>
    <row r="321" spans="1:70" ht="15.75" x14ac:dyDescent="0.25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23"/>
    </row>
    <row r="322" spans="1:70" ht="15.75" x14ac:dyDescent="0.25">
      <c r="A322" s="5" t="s">
        <v>569</v>
      </c>
      <c r="B322" s="5" t="s">
        <v>570</v>
      </c>
      <c r="C322" s="7">
        <v>5</v>
      </c>
      <c r="D322" s="7">
        <v>5</v>
      </c>
      <c r="E322" s="7">
        <v>-7547.5389999999998</v>
      </c>
      <c r="F322" s="7">
        <v>-1719.864</v>
      </c>
      <c r="G322" s="7">
        <v>0</v>
      </c>
      <c r="H322" s="7">
        <v>0</v>
      </c>
      <c r="I322" s="7">
        <v>-72.212999999999994</v>
      </c>
      <c r="J322" s="7">
        <v>0</v>
      </c>
      <c r="K322" s="7">
        <v>0</v>
      </c>
      <c r="L322" s="7">
        <v>0</v>
      </c>
      <c r="M322" s="7">
        <v>-20879.224999999999</v>
      </c>
      <c r="N322" s="7">
        <v>-1695.923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-534.32100000000003</v>
      </c>
      <c r="U322" s="7">
        <v>0</v>
      </c>
      <c r="V322" s="7">
        <v>0</v>
      </c>
      <c r="W322" s="7">
        <v>0</v>
      </c>
      <c r="X322" s="7">
        <v>-142.946</v>
      </c>
      <c r="Y322" s="7">
        <v>0</v>
      </c>
      <c r="Z322" s="7">
        <v>-3515.8270000000002</v>
      </c>
      <c r="AA322" s="7">
        <v>0</v>
      </c>
      <c r="AB322" s="7">
        <v>0</v>
      </c>
      <c r="AC322" s="7">
        <v>-1.333</v>
      </c>
      <c r="AD322" s="7">
        <v>-312.77999999999997</v>
      </c>
      <c r="AE322" s="7">
        <v>0</v>
      </c>
      <c r="AF322" s="7">
        <v>-8924.1489999999994</v>
      </c>
      <c r="AG322" s="7">
        <v>-4254.5110000000004</v>
      </c>
      <c r="AH322" s="7">
        <v>0</v>
      </c>
      <c r="AI322" s="7">
        <v>-33902.790999999997</v>
      </c>
      <c r="AJ322" s="7">
        <v>-7424.3249999999998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-66.215000000000003</v>
      </c>
      <c r="AR322" s="7">
        <v>0</v>
      </c>
      <c r="AS322" s="7">
        <v>-1295.296</v>
      </c>
      <c r="AT322" s="7">
        <v>0</v>
      </c>
      <c r="AU322" s="7">
        <v>-5.6440000000000001</v>
      </c>
      <c r="AV322" s="7">
        <v>0</v>
      </c>
      <c r="AW322" s="7">
        <v>-39.695</v>
      </c>
      <c r="AX322" s="7">
        <v>0</v>
      </c>
      <c r="AY322" s="7">
        <v>0</v>
      </c>
      <c r="AZ322" s="7">
        <v>0</v>
      </c>
      <c r="BA322" s="7">
        <v>-10.327</v>
      </c>
      <c r="BB322" s="7">
        <v>0</v>
      </c>
      <c r="BC322" s="7">
        <v>0</v>
      </c>
      <c r="BD322" s="7">
        <v>-15.234</v>
      </c>
      <c r="BE322" s="7">
        <v>0</v>
      </c>
      <c r="BF322" s="7">
        <v>0</v>
      </c>
      <c r="BG322" s="7">
        <v>-2.5249999999999999</v>
      </c>
      <c r="BH322" s="7">
        <v>-2.5249999999999999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23"/>
    </row>
    <row r="323" spans="1:70" ht="15.75" x14ac:dyDescent="0.25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23"/>
    </row>
    <row r="324" spans="1:70" ht="15.75" x14ac:dyDescent="0.25">
      <c r="A324" s="5" t="s">
        <v>573</v>
      </c>
      <c r="B324" s="5" t="s">
        <v>574</v>
      </c>
      <c r="C324" s="7">
        <v>5</v>
      </c>
      <c r="D324" s="7">
        <v>5</v>
      </c>
      <c r="E324" s="7">
        <v>-11522.263000000001</v>
      </c>
      <c r="F324" s="7">
        <v>-2625.5880000000002</v>
      </c>
      <c r="G324" s="7">
        <v>0</v>
      </c>
      <c r="H324" s="7">
        <v>0</v>
      </c>
      <c r="I324" s="7">
        <v>-110.24299999999999</v>
      </c>
      <c r="J324" s="7">
        <v>0</v>
      </c>
      <c r="K324" s="7">
        <v>0</v>
      </c>
      <c r="L324" s="7">
        <v>0</v>
      </c>
      <c r="M324" s="7">
        <v>-31874.748</v>
      </c>
      <c r="N324" s="7">
        <v>-2589.038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-815.70899999999995</v>
      </c>
      <c r="U324" s="7">
        <v>0</v>
      </c>
      <c r="V324" s="7">
        <v>0</v>
      </c>
      <c r="W324" s="7">
        <v>0</v>
      </c>
      <c r="X324" s="7">
        <v>-218.22499999999999</v>
      </c>
      <c r="Y324" s="7">
        <v>0</v>
      </c>
      <c r="Z324" s="7">
        <v>-5367.3490000000002</v>
      </c>
      <c r="AA324" s="7">
        <v>0</v>
      </c>
      <c r="AB324" s="7">
        <v>0</v>
      </c>
      <c r="AC324" s="7">
        <v>-2.0350000000000001</v>
      </c>
      <c r="AD324" s="7">
        <v>-477.49700000000001</v>
      </c>
      <c r="AE324" s="7">
        <v>0</v>
      </c>
      <c r="AF324" s="7">
        <v>-13623.83</v>
      </c>
      <c r="AG324" s="7">
        <v>-6495.0429999999997</v>
      </c>
      <c r="AH324" s="7">
        <v>0</v>
      </c>
      <c r="AI324" s="7">
        <v>-51756.85</v>
      </c>
      <c r="AJ324" s="7">
        <v>-11334.161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-101.08499999999999</v>
      </c>
      <c r="AR324" s="7">
        <v>0</v>
      </c>
      <c r="AS324" s="7">
        <v>-1977.432</v>
      </c>
      <c r="AT324" s="7">
        <v>0</v>
      </c>
      <c r="AU324" s="7">
        <v>-8.6170000000000009</v>
      </c>
      <c r="AV324" s="7">
        <v>0</v>
      </c>
      <c r="AW324" s="7">
        <v>-60.6</v>
      </c>
      <c r="AX324" s="7">
        <v>0</v>
      </c>
      <c r="AY324" s="7">
        <v>0</v>
      </c>
      <c r="AZ324" s="7">
        <v>0</v>
      </c>
      <c r="BA324" s="7">
        <v>-15.765000000000001</v>
      </c>
      <c r="BB324" s="7">
        <v>0</v>
      </c>
      <c r="BC324" s="7">
        <v>0</v>
      </c>
      <c r="BD324" s="7">
        <v>-23.257000000000001</v>
      </c>
      <c r="BE324" s="7">
        <v>0</v>
      </c>
      <c r="BF324" s="7">
        <v>0</v>
      </c>
      <c r="BG324" s="7">
        <v>-3.8540000000000001</v>
      </c>
      <c r="BH324" s="7">
        <v>-3.8540000000000001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23"/>
    </row>
    <row r="325" spans="1:70" ht="15.75" x14ac:dyDescent="0.25">
      <c r="A325" s="5" t="s">
        <v>575</v>
      </c>
      <c r="B325" s="5" t="s">
        <v>576</v>
      </c>
      <c r="C325" s="7">
        <v>6</v>
      </c>
      <c r="D325" s="7">
        <v>6</v>
      </c>
      <c r="E325" s="7">
        <v>71.775000000000006</v>
      </c>
      <c r="F325" s="7">
        <v>0</v>
      </c>
      <c r="G325" s="7">
        <v>0</v>
      </c>
      <c r="H325" s="7">
        <v>0</v>
      </c>
      <c r="I325" s="7">
        <v>101.232</v>
      </c>
      <c r="J325" s="7">
        <v>0</v>
      </c>
      <c r="K325" s="7">
        <v>0</v>
      </c>
      <c r="L325" s="7">
        <v>0</v>
      </c>
      <c r="M325" s="7">
        <v>10629.011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23"/>
    </row>
    <row r="326" spans="1:70" ht="15.75" x14ac:dyDescent="0.25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23"/>
    </row>
    <row r="327" spans="1:70" ht="15.75" x14ac:dyDescent="0.25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23"/>
    </row>
    <row r="328" spans="1:70" ht="15.75" x14ac:dyDescent="0.25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23"/>
    </row>
    <row r="329" spans="1:70" ht="15.75" x14ac:dyDescent="0.25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23"/>
    </row>
    <row r="330" spans="1:70" ht="15.75" x14ac:dyDescent="0.25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23"/>
    </row>
    <row r="331" spans="1:70" ht="15.75" x14ac:dyDescent="0.25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23"/>
    </row>
    <row r="332" spans="1:70" ht="15.75" x14ac:dyDescent="0.25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23"/>
    </row>
    <row r="333" spans="1:70" ht="15.75" x14ac:dyDescent="0.25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23"/>
    </row>
    <row r="334" spans="1:70" ht="15.75" x14ac:dyDescent="0.25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23"/>
    </row>
    <row r="335" spans="1:70" ht="15.75" x14ac:dyDescent="0.25">
      <c r="A335" s="5" t="s">
        <v>595</v>
      </c>
      <c r="B335" s="5" t="s">
        <v>596</v>
      </c>
      <c r="C335" s="7">
        <v>6</v>
      </c>
      <c r="D335" s="7">
        <v>6</v>
      </c>
      <c r="E335" s="7">
        <v>10543.552</v>
      </c>
      <c r="F335" s="7">
        <v>1428.962</v>
      </c>
      <c r="G335" s="7">
        <v>1327.79</v>
      </c>
      <c r="H335" s="7">
        <v>2080.9609999999998</v>
      </c>
      <c r="I335" s="7">
        <v>179.41800000000001</v>
      </c>
      <c r="J335" s="7">
        <v>1531.88</v>
      </c>
      <c r="K335" s="7">
        <v>0</v>
      </c>
      <c r="L335" s="7">
        <v>0</v>
      </c>
      <c r="M335" s="7">
        <v>9756.8870000000006</v>
      </c>
      <c r="N335" s="7">
        <v>3189.9029999999998</v>
      </c>
      <c r="O335" s="7">
        <v>2.7509999999999999</v>
      </c>
      <c r="P335" s="7">
        <v>8.1000000000000003E-2</v>
      </c>
      <c r="Q335" s="7">
        <v>23.077999999999999</v>
      </c>
      <c r="R335" s="7">
        <v>7.1909999999999998</v>
      </c>
      <c r="S335" s="7">
        <v>78.275000000000006</v>
      </c>
      <c r="T335" s="7">
        <v>242.28</v>
      </c>
      <c r="U335" s="7">
        <v>0</v>
      </c>
      <c r="V335" s="7">
        <v>4.5289999999999999</v>
      </c>
      <c r="W335" s="7">
        <v>94.171999999999997</v>
      </c>
      <c r="X335" s="7">
        <v>268.07100000000003</v>
      </c>
      <c r="Y335" s="7">
        <v>47.252000000000002</v>
      </c>
      <c r="Z335" s="7">
        <v>13461.25</v>
      </c>
      <c r="AA335" s="7">
        <v>0</v>
      </c>
      <c r="AB335" s="7">
        <v>867.82899999999995</v>
      </c>
      <c r="AC335" s="7">
        <v>7.0380000000000003</v>
      </c>
      <c r="AD335" s="7">
        <v>187.39699999999999</v>
      </c>
      <c r="AE335" s="7">
        <v>0.96699999999999997</v>
      </c>
      <c r="AF335" s="7">
        <v>6324.5050000000001</v>
      </c>
      <c r="AG335" s="7">
        <v>1772.4069999999999</v>
      </c>
      <c r="AH335" s="7">
        <v>29.562999999999999</v>
      </c>
      <c r="AI335" s="7">
        <v>23272.633000000002</v>
      </c>
      <c r="AJ335" s="7">
        <v>1731.3920000000001</v>
      </c>
      <c r="AK335" s="7">
        <v>364.33199999999999</v>
      </c>
      <c r="AL335" s="7">
        <v>120585.55499999999</v>
      </c>
      <c r="AM335" s="7">
        <v>0</v>
      </c>
      <c r="AN335" s="7">
        <v>71114.032000000007</v>
      </c>
      <c r="AO335" s="7">
        <v>0</v>
      </c>
      <c r="AP335" s="7">
        <v>40176.387000000002</v>
      </c>
      <c r="AQ335" s="7">
        <v>29.936</v>
      </c>
      <c r="AR335" s="7">
        <v>16.71</v>
      </c>
      <c r="AS335" s="7">
        <v>493.08300000000003</v>
      </c>
      <c r="AT335" s="7">
        <v>4.298</v>
      </c>
      <c r="AU335" s="7">
        <v>2.0990000000000002</v>
      </c>
      <c r="AV335" s="7">
        <v>0</v>
      </c>
      <c r="AW335" s="7">
        <v>36.835999999999999</v>
      </c>
      <c r="AX335" s="7">
        <v>15.379</v>
      </c>
      <c r="AY335" s="7">
        <v>39.570999999999998</v>
      </c>
      <c r="AZ335" s="7">
        <v>22.48</v>
      </c>
      <c r="BA335" s="7">
        <v>9.9870000000000001</v>
      </c>
      <c r="BB335" s="7">
        <v>5.7130000000000001</v>
      </c>
      <c r="BC335" s="7">
        <v>12.109</v>
      </c>
      <c r="BD335" s="7">
        <v>6.46</v>
      </c>
      <c r="BE335" s="7">
        <v>8.8889999999999993</v>
      </c>
      <c r="BF335" s="7">
        <v>9.4049999999999994</v>
      </c>
      <c r="BG335" s="7">
        <v>2.5310000000000001</v>
      </c>
      <c r="BH335" s="7">
        <v>2.5310000000000001</v>
      </c>
      <c r="BI335" s="7">
        <v>4.2149999999999999</v>
      </c>
      <c r="BJ335" s="7">
        <v>0</v>
      </c>
      <c r="BK335" s="7">
        <v>2.4329999999999998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23"/>
    </row>
    <row r="336" spans="1:70" ht="15.75" x14ac:dyDescent="0.25">
      <c r="A336" s="5" t="s">
        <v>597</v>
      </c>
      <c r="B336" s="5" t="s">
        <v>598</v>
      </c>
      <c r="C336" s="7">
        <v>6</v>
      </c>
      <c r="D336" s="7">
        <v>6</v>
      </c>
      <c r="E336" s="7">
        <v>-10962.493</v>
      </c>
      <c r="F336" s="7">
        <v>-2133.0740000000001</v>
      </c>
      <c r="G336" s="7">
        <v>-976.83100000000002</v>
      </c>
      <c r="H336" s="7">
        <v>-9709.7960000000003</v>
      </c>
      <c r="I336" s="7">
        <v>-341.55099999999999</v>
      </c>
      <c r="J336" s="7">
        <v>-904.50099999999998</v>
      </c>
      <c r="K336" s="7">
        <v>0</v>
      </c>
      <c r="L336" s="7">
        <v>-150.78899999999999</v>
      </c>
      <c r="M336" s="7">
        <v>-21289.081999999999</v>
      </c>
      <c r="N336" s="7">
        <v>-4728.2870000000003</v>
      </c>
      <c r="O336" s="7">
        <v>-6.0590000000000002</v>
      </c>
      <c r="P336" s="7">
        <v>-11.464</v>
      </c>
      <c r="Q336" s="7">
        <v>-74.182000000000002</v>
      </c>
      <c r="R336" s="7">
        <v>-11.413</v>
      </c>
      <c r="S336" s="7">
        <v>-146.48099999999999</v>
      </c>
      <c r="T336" s="7">
        <v>-55.228000000000002</v>
      </c>
      <c r="U336" s="7">
        <v>-0.90700000000000003</v>
      </c>
      <c r="V336" s="7">
        <v>-105.78100000000001</v>
      </c>
      <c r="W336" s="7">
        <v>-285.46899999999999</v>
      </c>
      <c r="X336" s="7">
        <v>-884.43399999999997</v>
      </c>
      <c r="Y336" s="7">
        <v>-655.02800000000002</v>
      </c>
      <c r="Z336" s="7">
        <v>-1758.67</v>
      </c>
      <c r="AA336" s="7">
        <v>-335.61799999999999</v>
      </c>
      <c r="AB336" s="7">
        <v>-146.10900000000001</v>
      </c>
      <c r="AC336" s="7">
        <v>-2.4260000000000002</v>
      </c>
      <c r="AD336" s="7">
        <v>-29.571999999999999</v>
      </c>
      <c r="AE336" s="7">
        <v>-0.39600000000000002</v>
      </c>
      <c r="AF336" s="7">
        <v>-5657.6850000000004</v>
      </c>
      <c r="AG336" s="7">
        <v>-572.51</v>
      </c>
      <c r="AH336" s="7">
        <v>-167.21</v>
      </c>
      <c r="AI336" s="7">
        <v>-30958.800999999999</v>
      </c>
      <c r="AJ336" s="7">
        <v>-1704.5139999999999</v>
      </c>
      <c r="AK336" s="7">
        <v>-351.13</v>
      </c>
      <c r="AL336" s="7">
        <v>-10024.487999999999</v>
      </c>
      <c r="AM336" s="7">
        <v>0</v>
      </c>
      <c r="AN336" s="7">
        <v>-3421.45</v>
      </c>
      <c r="AO336" s="7">
        <v>-1080.076</v>
      </c>
      <c r="AP336" s="7">
        <v>-10093.324000000001</v>
      </c>
      <c r="AQ336" s="7">
        <v>-14.446999999999999</v>
      </c>
      <c r="AR336" s="7">
        <v>-22.876999999999999</v>
      </c>
      <c r="AS336" s="7">
        <v>-175.351</v>
      </c>
      <c r="AT336" s="7">
        <v>-85.551000000000002</v>
      </c>
      <c r="AU336" s="7">
        <v>-3.85</v>
      </c>
      <c r="AV336" s="7">
        <v>0</v>
      </c>
      <c r="AW336" s="7">
        <v>-27.805</v>
      </c>
      <c r="AX336" s="7">
        <v>-0.219</v>
      </c>
      <c r="AY336" s="7">
        <v>-40.438000000000002</v>
      </c>
      <c r="AZ336" s="7">
        <v>-43.853999999999999</v>
      </c>
      <c r="BA336" s="7">
        <v>-5.3419999999999996</v>
      </c>
      <c r="BB336" s="7">
        <v>-2.0299999999999998</v>
      </c>
      <c r="BC336" s="7">
        <v>-20.526</v>
      </c>
      <c r="BD336" s="7">
        <v>-3.0070000000000001</v>
      </c>
      <c r="BE336" s="7">
        <v>-5.6429999999999998</v>
      </c>
      <c r="BF336" s="7">
        <v>-3.5529999999999999</v>
      </c>
      <c r="BG336" s="7">
        <v>-0.56899999999999995</v>
      </c>
      <c r="BH336" s="7">
        <v>-0.56899999999999995</v>
      </c>
      <c r="BI336" s="7">
        <v>-1.5720000000000001</v>
      </c>
      <c r="BJ336" s="7">
        <v>-664.34400000000005</v>
      </c>
      <c r="BK336" s="7">
        <v>-1.47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23"/>
    </row>
    <row r="337" spans="1:70" ht="15.75" x14ac:dyDescent="0.25">
      <c r="A337" s="5" t="s">
        <v>599</v>
      </c>
      <c r="B337" s="5" t="s">
        <v>600</v>
      </c>
      <c r="C337" s="7">
        <v>6</v>
      </c>
      <c r="D337" s="7">
        <v>6</v>
      </c>
      <c r="E337" s="7">
        <v>-2332.799</v>
      </c>
      <c r="F337" s="7">
        <v>-10.766</v>
      </c>
      <c r="G337" s="7">
        <v>-116.887</v>
      </c>
      <c r="H337" s="7">
        <v>-58.924999999999997</v>
      </c>
      <c r="I337" s="7">
        <v>0</v>
      </c>
      <c r="J337" s="7">
        <v>-27.03</v>
      </c>
      <c r="K337" s="7">
        <v>-183.89</v>
      </c>
      <c r="L337" s="7">
        <v>-9.9459999999999997</v>
      </c>
      <c r="M337" s="7">
        <v>-1927.904</v>
      </c>
      <c r="N337" s="7">
        <v>-236.06899999999999</v>
      </c>
      <c r="O337" s="7">
        <v>0</v>
      </c>
      <c r="P337" s="7">
        <v>0</v>
      </c>
      <c r="Q337" s="7">
        <v>0</v>
      </c>
      <c r="R337" s="7">
        <v>0</v>
      </c>
      <c r="S337" s="7">
        <v>-71.754999999999995</v>
      </c>
      <c r="T337" s="7">
        <v>0</v>
      </c>
      <c r="U337" s="7">
        <v>0</v>
      </c>
      <c r="V337" s="7">
        <v>-47.457999999999998</v>
      </c>
      <c r="W337" s="7">
        <v>-25.753</v>
      </c>
      <c r="X337" s="7">
        <v>-15.157</v>
      </c>
      <c r="Y337" s="7">
        <v>-22.094999999999999</v>
      </c>
      <c r="Z337" s="7">
        <v>-140.62700000000001</v>
      </c>
      <c r="AA337" s="7">
        <v>-18.652999999999999</v>
      </c>
      <c r="AB337" s="7">
        <v>-0.91600000000000004</v>
      </c>
      <c r="AC337" s="7">
        <v>-25.460999999999999</v>
      </c>
      <c r="AD337" s="7">
        <v>-14.396000000000001</v>
      </c>
      <c r="AE337" s="7">
        <v>-3.169</v>
      </c>
      <c r="AF337" s="7">
        <v>-440.55200000000002</v>
      </c>
      <c r="AG337" s="7">
        <v>-92.906999999999996</v>
      </c>
      <c r="AH337" s="7">
        <v>-12.173999999999999</v>
      </c>
      <c r="AI337" s="7">
        <v>-1667.0039999999999</v>
      </c>
      <c r="AJ337" s="7">
        <v>-164.29400000000001</v>
      </c>
      <c r="AK337" s="7">
        <v>-30.172999999999998</v>
      </c>
      <c r="AL337" s="7">
        <v>-741.26900000000001</v>
      </c>
      <c r="AM337" s="7">
        <v>-28.846</v>
      </c>
      <c r="AN337" s="7">
        <v>-521.06799999999998</v>
      </c>
      <c r="AO337" s="7">
        <v>-31.786000000000001</v>
      </c>
      <c r="AP337" s="7">
        <v>-1232.9870000000001</v>
      </c>
      <c r="AQ337" s="7">
        <v>-0.8</v>
      </c>
      <c r="AR337" s="7">
        <v>0</v>
      </c>
      <c r="AS337" s="7">
        <v>-78.573999999999998</v>
      </c>
      <c r="AT337" s="7">
        <v>-2.8740000000000001</v>
      </c>
      <c r="AU337" s="7">
        <v>0</v>
      </c>
      <c r="AV337" s="7">
        <v>0</v>
      </c>
      <c r="AW337" s="7">
        <v>0</v>
      </c>
      <c r="AX337" s="7">
        <v>-15.098000000000001</v>
      </c>
      <c r="AY337" s="7">
        <v>-32.668999999999997</v>
      </c>
      <c r="AZ337" s="7">
        <v>-0.58499999999999996</v>
      </c>
      <c r="BA337" s="7">
        <v>0</v>
      </c>
      <c r="BB337" s="7">
        <v>0</v>
      </c>
      <c r="BC337" s="7">
        <v>0</v>
      </c>
      <c r="BD337" s="7">
        <v>-0.23300000000000001</v>
      </c>
      <c r="BE337" s="7">
        <v>0</v>
      </c>
      <c r="BF337" s="7">
        <v>0</v>
      </c>
      <c r="BG337" s="7">
        <v>0</v>
      </c>
      <c r="BH337" s="7">
        <v>0</v>
      </c>
      <c r="BI337" s="7">
        <v>-0.26100000000000001</v>
      </c>
      <c r="BJ337" s="7">
        <v>-84.075000000000003</v>
      </c>
      <c r="BK337" s="7">
        <v>-3.5000000000000003E-2</v>
      </c>
      <c r="BL337" s="7">
        <v>-4.8579999999999997</v>
      </c>
      <c r="BM337" s="7">
        <v>-1.1220000000000001</v>
      </c>
      <c r="BN337" s="7">
        <v>-326.28800000000001</v>
      </c>
      <c r="BO337" s="7">
        <v>-61.420999999999999</v>
      </c>
      <c r="BP337" s="7">
        <v>-17.122</v>
      </c>
      <c r="BQ337" s="7">
        <v>-86.238</v>
      </c>
      <c r="BR337" s="23"/>
    </row>
    <row r="338" spans="1:70" ht="15.75" x14ac:dyDescent="0.25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23"/>
    </row>
    <row r="339" spans="1:70" ht="15.75" x14ac:dyDescent="0.25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s="23"/>
    </row>
    <row r="340" spans="1:70" ht="15.75" x14ac:dyDescent="0.25">
      <c r="A340" s="5" t="s">
        <v>605</v>
      </c>
      <c r="B340" s="5" t="s">
        <v>606</v>
      </c>
      <c r="C340" s="5"/>
      <c r="D340" s="5"/>
      <c r="E340">
        <v>8043037.3399999999</v>
      </c>
      <c r="F340">
        <v>926895.05200000003</v>
      </c>
      <c r="G340">
        <v>1013955.829</v>
      </c>
      <c r="H340">
        <v>1100243.9609999999</v>
      </c>
      <c r="I340">
        <v>144470.114</v>
      </c>
      <c r="J340">
        <v>713101.56599999999</v>
      </c>
      <c r="K340">
        <v>-183.89</v>
      </c>
      <c r="L340">
        <v>307575.23800000001</v>
      </c>
      <c r="M340">
        <v>8823850.4389999993</v>
      </c>
      <c r="N340">
        <v>3194226.5380000002</v>
      </c>
      <c r="O340">
        <v>15284.066999999999</v>
      </c>
      <c r="P340">
        <v>6374.8670000000002</v>
      </c>
      <c r="Q340">
        <v>19702.204000000002</v>
      </c>
      <c r="R340">
        <v>11880.37</v>
      </c>
      <c r="S340">
        <v>20699.724999999999</v>
      </c>
      <c r="T340">
        <v>282773.84999999998</v>
      </c>
      <c r="U340">
        <v>737.98900000000003</v>
      </c>
      <c r="V340">
        <v>221260.96100000001</v>
      </c>
      <c r="W340">
        <v>85408.88</v>
      </c>
      <c r="X340">
        <v>218297.86199999999</v>
      </c>
      <c r="Y340">
        <v>204869.37700000001</v>
      </c>
      <c r="Z340">
        <v>1671698.2309999999</v>
      </c>
      <c r="AA340">
        <v>132798.08600000001</v>
      </c>
      <c r="AB340">
        <v>888284.46100000001</v>
      </c>
      <c r="AC340">
        <v>244897.54199999999</v>
      </c>
      <c r="AD340">
        <v>153833.20699999999</v>
      </c>
      <c r="AE340">
        <v>54639.964</v>
      </c>
      <c r="AF340">
        <v>4781798.5539999995</v>
      </c>
      <c r="AG340">
        <v>987962.56900000002</v>
      </c>
      <c r="AH340">
        <v>231565.19899999999</v>
      </c>
      <c r="AI340">
        <v>17939271.908</v>
      </c>
      <c r="AJ340">
        <v>1853130.4110000001</v>
      </c>
      <c r="AK340">
        <v>706479.94400000002</v>
      </c>
      <c r="AL340">
        <v>9886388.6520000007</v>
      </c>
      <c r="AM340">
        <v>-28.846</v>
      </c>
      <c r="AN340">
        <v>5822879.8310000002</v>
      </c>
      <c r="AO340">
        <v>41538.936000000002</v>
      </c>
      <c r="AP340">
        <v>3283225.9559999998</v>
      </c>
      <c r="AQ340">
        <v>28141.688999999998</v>
      </c>
      <c r="AR340">
        <v>45505.500999999997</v>
      </c>
      <c r="AS340">
        <v>296002.19199999998</v>
      </c>
      <c r="AT340">
        <v>19741.921999999999</v>
      </c>
      <c r="AU340">
        <v>3388.4679999999998</v>
      </c>
      <c r="AV340">
        <v>0</v>
      </c>
      <c r="AW340">
        <v>77137.377999999997</v>
      </c>
      <c r="AX340">
        <v>69836.341</v>
      </c>
      <c r="AY340">
        <v>69657.373999999996</v>
      </c>
      <c r="AZ340">
        <v>103428.871</v>
      </c>
      <c r="BA340">
        <v>13674.429</v>
      </c>
      <c r="BB340">
        <v>4849.8549999999996</v>
      </c>
      <c r="BC340">
        <v>55583.822999999997</v>
      </c>
      <c r="BD340">
        <v>7275.2039999999997</v>
      </c>
      <c r="BE340">
        <v>12572.652</v>
      </c>
      <c r="BF340">
        <v>8056.6109999999999</v>
      </c>
      <c r="BG340">
        <v>1337.146</v>
      </c>
      <c r="BH340">
        <v>1337.146</v>
      </c>
      <c r="BI340">
        <v>3564.6689999999999</v>
      </c>
      <c r="BJ340">
        <v>503651.87599999999</v>
      </c>
      <c r="BK340">
        <v>3776.701</v>
      </c>
      <c r="BL340">
        <v>-4.8579999999999997</v>
      </c>
      <c r="BM340">
        <v>-1.1200000000000001</v>
      </c>
      <c r="BN340">
        <v>-326.25799999999998</v>
      </c>
      <c r="BO340">
        <v>-61.420999999999999</v>
      </c>
      <c r="BP340">
        <v>-17.122</v>
      </c>
      <c r="BQ340">
        <v>-86.238</v>
      </c>
      <c r="BR340" s="23"/>
    </row>
    <row r="341" spans="1:70" x14ac:dyDescent="0.2">
      <c r="BR341" s="23"/>
    </row>
    <row r="342" spans="1:70" ht="15.75" x14ac:dyDescent="0.25">
      <c r="A342" s="5" t="s">
        <v>607</v>
      </c>
      <c r="E342">
        <f t="shared" ref="E342:AY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 t="shared" si="0"/>
        <v>0</v>
      </c>
      <c r="AN342">
        <f t="shared" si="0"/>
        <v>0</v>
      </c>
      <c r="AO342">
        <f>SUM(AO7:AO339)-AO340</f>
        <v>0</v>
      </c>
      <c r="AP342">
        <f>SUM(AP7:AP339)-AP340</f>
        <v>0</v>
      </c>
      <c r="AQ342">
        <f>SUM(AQ7:AQ339)-AQ340</f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 t="shared" si="0"/>
        <v>0</v>
      </c>
      <c r="AY342">
        <f t="shared" si="0"/>
        <v>0</v>
      </c>
      <c r="AZ342">
        <f>SUM(AZ7:AZ339)-AZ340</f>
        <v>0</v>
      </c>
      <c r="BA342">
        <f t="shared" ref="BA342:BQ342" si="1">SUM(BA7:BA339)-BA340</f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>
        <f t="shared" si="1"/>
        <v>0</v>
      </c>
      <c r="BJ342">
        <f t="shared" si="1"/>
        <v>0</v>
      </c>
      <c r="BK342">
        <f t="shared" si="1"/>
        <v>0</v>
      </c>
      <c r="BL342">
        <f t="shared" si="1"/>
        <v>0</v>
      </c>
      <c r="BM342">
        <f t="shared" si="1"/>
        <v>0</v>
      </c>
      <c r="BN342">
        <f t="shared" si="1"/>
        <v>0</v>
      </c>
      <c r="BO342">
        <f t="shared" si="1"/>
        <v>0</v>
      </c>
      <c r="BP342">
        <f t="shared" si="1"/>
        <v>0</v>
      </c>
      <c r="BQ342">
        <f t="shared" si="1"/>
        <v>0</v>
      </c>
      <c r="BR342" s="23"/>
    </row>
    <row r="343" spans="1:70" x14ac:dyDescent="0.2">
      <c r="BR343" s="23"/>
    </row>
    <row r="344" spans="1:70" x14ac:dyDescent="0.2">
      <c r="A344" t="s">
        <v>608</v>
      </c>
      <c r="D344">
        <v>1</v>
      </c>
      <c r="E344" s="16">
        <f t="shared" ref="E344:AY344" si="2">SUMIF($D$6:$D$338,$D$344,E6:E338)</f>
        <v>881951.304</v>
      </c>
      <c r="F344" s="22">
        <f t="shared" si="2"/>
        <v>161812.07699999999</v>
      </c>
      <c r="G344" s="16">
        <f t="shared" si="2"/>
        <v>50260.703999999991</v>
      </c>
      <c r="H344" s="16">
        <f t="shared" si="2"/>
        <v>23289.232999999997</v>
      </c>
      <c r="I344" s="22">
        <f t="shared" si="2"/>
        <v>13915.395</v>
      </c>
      <c r="J344" s="16">
        <f t="shared" si="2"/>
        <v>29563.496999999999</v>
      </c>
      <c r="K344" s="16">
        <f t="shared" si="2"/>
        <v>0</v>
      </c>
      <c r="L344" s="16">
        <f t="shared" si="2"/>
        <v>6748.07</v>
      </c>
      <c r="M344" s="22">
        <f t="shared" si="2"/>
        <v>1832450.8629999999</v>
      </c>
      <c r="N344" s="16">
        <f t="shared" si="2"/>
        <v>249328.978</v>
      </c>
      <c r="O344" s="16">
        <f>SUMIF($D$6:$D$338,$D$344,O6:O338)</f>
        <v>264.11999999999995</v>
      </c>
      <c r="P344" s="22">
        <f t="shared" si="2"/>
        <v>4744.4390000000003</v>
      </c>
      <c r="Q344" s="16">
        <f t="shared" si="2"/>
        <v>469.154</v>
      </c>
      <c r="R344" s="22">
        <f t="shared" si="2"/>
        <v>6332.3680000000004</v>
      </c>
      <c r="S344" s="21">
        <f t="shared" si="2"/>
        <v>6328.3359999999993</v>
      </c>
      <c r="T344" s="16">
        <f t="shared" si="2"/>
        <v>49040.148999999998</v>
      </c>
      <c r="U344" s="16">
        <f t="shared" si="2"/>
        <v>35.811</v>
      </c>
      <c r="V344" s="16">
        <f t="shared" si="2"/>
        <v>6719.777</v>
      </c>
      <c r="W344" s="16">
        <f t="shared" si="2"/>
        <v>5976.1909999999998</v>
      </c>
      <c r="X344" s="21">
        <f t="shared" si="2"/>
        <v>20781.864000000001</v>
      </c>
      <c r="Y344" s="16">
        <f t="shared" si="2"/>
        <v>22030.004000000004</v>
      </c>
      <c r="Z344" s="16">
        <f t="shared" si="2"/>
        <v>308866.73</v>
      </c>
      <c r="AA344" s="21">
        <f t="shared" si="2"/>
        <v>74042.755000000005</v>
      </c>
      <c r="AB344" s="16">
        <f t="shared" si="2"/>
        <v>94358.83</v>
      </c>
      <c r="AC344" s="21">
        <f t="shared" si="2"/>
        <v>185799.22699999998</v>
      </c>
      <c r="AD344" s="21">
        <f t="shared" si="2"/>
        <v>29298.569999999996</v>
      </c>
      <c r="AE344" s="21">
        <f t="shared" si="2"/>
        <v>16221.527</v>
      </c>
      <c r="AF344" s="16">
        <f t="shared" si="2"/>
        <v>937202.54599999997</v>
      </c>
      <c r="AG344" s="21">
        <f t="shared" si="2"/>
        <v>330021.18799999997</v>
      </c>
      <c r="AH344" s="21">
        <f t="shared" si="2"/>
        <v>71225.365999999995</v>
      </c>
      <c r="AI344" s="21">
        <f t="shared" si="2"/>
        <v>3013318.1859999998</v>
      </c>
      <c r="AJ344" s="16">
        <f t="shared" si="2"/>
        <v>579896.36199999996</v>
      </c>
      <c r="AK344" s="21">
        <f t="shared" si="2"/>
        <v>380825.50600000005</v>
      </c>
      <c r="AL344" s="21">
        <f t="shared" si="2"/>
        <v>7049901.7990000006</v>
      </c>
      <c r="AM344" s="16">
        <f t="shared" si="2"/>
        <v>0</v>
      </c>
      <c r="AN344" s="21">
        <f t="shared" si="2"/>
        <v>4147589.6399999997</v>
      </c>
      <c r="AO344" s="16">
        <f>SUMIF($D$6:$D$338,$D$344,AO6:AO338)</f>
        <v>655.49599999999998</v>
      </c>
      <c r="AP344" s="21">
        <f>SUMIF($D$6:$D$338,$D$344,AP6:AP338)</f>
        <v>2345288.409</v>
      </c>
      <c r="AQ344" s="21">
        <f>SUMIF($D$6:$D$338,$D$344,AQ6:AQ338)</f>
        <v>6242.259</v>
      </c>
      <c r="AR344" s="16">
        <f t="shared" si="2"/>
        <v>4737.5950000000003</v>
      </c>
      <c r="AS344" s="21">
        <f t="shared" si="2"/>
        <v>101426.758</v>
      </c>
      <c r="AT344" s="16">
        <f t="shared" si="2"/>
        <v>1940.3879999999999</v>
      </c>
      <c r="AU344" s="16">
        <f t="shared" si="2"/>
        <v>562.33199999999999</v>
      </c>
      <c r="AV344" s="16">
        <f t="shared" si="2"/>
        <v>0</v>
      </c>
      <c r="AW344" s="21">
        <f t="shared" si="2"/>
        <v>11948.625999999998</v>
      </c>
      <c r="AX344" s="16">
        <f t="shared" si="2"/>
        <v>6830.6830000000009</v>
      </c>
      <c r="AY344" s="16">
        <f t="shared" si="2"/>
        <v>7081.5439999999999</v>
      </c>
      <c r="AZ344" s="21">
        <f>SUMIF($D$6:$D$338,$D$344,AZ6:AZ338)</f>
        <v>16166.898000000001</v>
      </c>
      <c r="BA344" s="21">
        <f t="shared" ref="BA344:BQ344" si="3">SUMIF($D$6:$D$338,$D$344,BA6:BA338)</f>
        <v>2351.4899999999998</v>
      </c>
      <c r="BB344" s="16">
        <f t="shared" si="3"/>
        <v>371.23900000000003</v>
      </c>
      <c r="BC344" s="16">
        <f t="shared" si="3"/>
        <v>8582.9969999999994</v>
      </c>
      <c r="BD344" s="21">
        <f t="shared" si="3"/>
        <v>1468.7119999999998</v>
      </c>
      <c r="BE344" s="21">
        <f t="shared" si="3"/>
        <v>1118.9860000000001</v>
      </c>
      <c r="BF344" s="16">
        <f t="shared" si="3"/>
        <v>684.25399999999991</v>
      </c>
      <c r="BG344" s="16">
        <f t="shared" si="3"/>
        <v>350.83299999999997</v>
      </c>
      <c r="BH344" s="16">
        <f t="shared" si="3"/>
        <v>350.83299999999997</v>
      </c>
      <c r="BI344" s="16">
        <f t="shared" si="3"/>
        <v>260.346</v>
      </c>
      <c r="BJ344" s="21">
        <f t="shared" si="3"/>
        <v>313552.78100000002</v>
      </c>
      <c r="BK344" s="16">
        <f t="shared" si="3"/>
        <v>674.03899999999999</v>
      </c>
      <c r="BL344" s="16">
        <f t="shared" si="3"/>
        <v>0</v>
      </c>
      <c r="BM344" s="16">
        <f t="shared" si="3"/>
        <v>0</v>
      </c>
      <c r="BN344" s="16">
        <f t="shared" si="3"/>
        <v>0</v>
      </c>
      <c r="BO344" s="16">
        <f t="shared" si="3"/>
        <v>0</v>
      </c>
      <c r="BP344" s="16">
        <f t="shared" si="3"/>
        <v>0</v>
      </c>
      <c r="BQ344" s="16">
        <f t="shared" si="3"/>
        <v>0</v>
      </c>
      <c r="BR344" s="23"/>
    </row>
    <row r="345" spans="1:70" x14ac:dyDescent="0.2">
      <c r="A345" t="s">
        <v>609</v>
      </c>
      <c r="D345">
        <v>2</v>
      </c>
      <c r="E345" s="21">
        <f t="shared" ref="E345:AY345" si="4">SUMIF($D$6:$D$338,$D$345,E6:E338)</f>
        <v>1840634.1629999997</v>
      </c>
      <c r="F345" s="21">
        <f t="shared" si="4"/>
        <v>154403.60699999999</v>
      </c>
      <c r="G345" s="16">
        <f t="shared" si="4"/>
        <v>354657.43300000002</v>
      </c>
      <c r="H345" s="16">
        <f t="shared" si="4"/>
        <v>0</v>
      </c>
      <c r="I345" s="21">
        <f t="shared" si="4"/>
        <v>52590.885000000002</v>
      </c>
      <c r="J345" s="21">
        <f t="shared" si="4"/>
        <v>247708.44</v>
      </c>
      <c r="K345" s="16">
        <f t="shared" si="4"/>
        <v>0</v>
      </c>
      <c r="L345" s="21">
        <f t="shared" si="4"/>
        <v>234968.658</v>
      </c>
      <c r="M345" s="21">
        <f t="shared" si="4"/>
        <v>548059.17599999998</v>
      </c>
      <c r="N345" s="21">
        <f t="shared" si="4"/>
        <v>615924.18700000015</v>
      </c>
      <c r="O345" s="21">
        <f>SUMIF($D$6:$D$338,$D$345,O6:O338)</f>
        <v>11814.804</v>
      </c>
      <c r="P345" s="16">
        <f t="shared" si="4"/>
        <v>36.121000000000002</v>
      </c>
      <c r="Q345" s="21">
        <f t="shared" si="4"/>
        <v>15434.847</v>
      </c>
      <c r="R345" s="21">
        <f t="shared" si="4"/>
        <v>1729.5050000000001</v>
      </c>
      <c r="S345" s="21">
        <f t="shared" si="4"/>
        <v>4122.1540000000005</v>
      </c>
      <c r="T345" s="21">
        <f t="shared" si="4"/>
        <v>46999.491000000009</v>
      </c>
      <c r="U345" s="16">
        <f t="shared" si="4"/>
        <v>703.08500000000004</v>
      </c>
      <c r="V345" s="21">
        <f t="shared" si="4"/>
        <v>169350.86199999999</v>
      </c>
      <c r="W345" s="21">
        <f t="shared" si="4"/>
        <v>23554.749000000003</v>
      </c>
      <c r="X345" s="21">
        <f t="shared" si="4"/>
        <v>50632.092999999993</v>
      </c>
      <c r="Y345" s="21">
        <f t="shared" si="4"/>
        <v>21304.906999999999</v>
      </c>
      <c r="Z345" s="16">
        <f t="shared" si="4"/>
        <v>245570.21099999998</v>
      </c>
      <c r="AA345" s="16">
        <f t="shared" si="4"/>
        <v>75.209000000000003</v>
      </c>
      <c r="AB345" s="21">
        <f t="shared" si="4"/>
        <v>276071.636</v>
      </c>
      <c r="AC345" s="16">
        <f t="shared" si="4"/>
        <v>1106.826</v>
      </c>
      <c r="AD345" s="21">
        <f t="shared" si="4"/>
        <v>20708.599999999999</v>
      </c>
      <c r="AE345" s="21">
        <f t="shared" si="4"/>
        <v>8784.6299999999992</v>
      </c>
      <c r="AF345" s="16">
        <f t="shared" si="4"/>
        <v>644947.87300000002</v>
      </c>
      <c r="AG345" s="16">
        <f t="shared" si="4"/>
        <v>30640.076000000001</v>
      </c>
      <c r="AH345" s="21">
        <f t="shared" si="4"/>
        <v>29514.726000000002</v>
      </c>
      <c r="AI345" s="21">
        <f t="shared" si="4"/>
        <v>2229801.821</v>
      </c>
      <c r="AJ345" s="16">
        <f t="shared" si="4"/>
        <v>53457.932999999997</v>
      </c>
      <c r="AK345" s="16">
        <f t="shared" si="4"/>
        <v>406.62099999999998</v>
      </c>
      <c r="AL345" s="16">
        <f t="shared" si="4"/>
        <v>822244.527</v>
      </c>
      <c r="AM345" s="16">
        <f t="shared" si="4"/>
        <v>0</v>
      </c>
      <c r="AN345" s="16">
        <f t="shared" si="4"/>
        <v>484909.853</v>
      </c>
      <c r="AO345" s="21">
        <f>SUMIF($D$6:$D$338,$D$345,AO6:AO338)</f>
        <v>33089.254999999997</v>
      </c>
      <c r="AP345" s="16">
        <f>SUMIF($D$6:$D$338,$D$345,AP6:AP338)</f>
        <v>273953.32900000003</v>
      </c>
      <c r="AQ345" s="21">
        <f>SUMIF($D$6:$D$338,$D$345,AQ6:AQ338)</f>
        <v>5575.9990000000007</v>
      </c>
      <c r="AR345" s="16">
        <f t="shared" si="4"/>
        <v>0</v>
      </c>
      <c r="AS345" s="16">
        <f t="shared" si="4"/>
        <v>9318.2040000000015</v>
      </c>
      <c r="AT345" s="16">
        <f t="shared" si="4"/>
        <v>0</v>
      </c>
      <c r="AU345" s="21">
        <f t="shared" si="4"/>
        <v>1132.4480000000001</v>
      </c>
      <c r="AV345" s="16">
        <f t="shared" si="4"/>
        <v>0</v>
      </c>
      <c r="AW345" s="21">
        <f t="shared" si="4"/>
        <v>29946.565999999999</v>
      </c>
      <c r="AX345" s="16">
        <f t="shared" si="4"/>
        <v>0</v>
      </c>
      <c r="AY345" s="16">
        <f t="shared" si="4"/>
        <v>0</v>
      </c>
      <c r="AZ345" s="21">
        <f>SUMIF($D$6:$D$338,$D$345,AZ6:AZ338)</f>
        <v>10135.629999999999</v>
      </c>
      <c r="BA345" s="21">
        <f t="shared" ref="BA345:BQ345" si="5">SUMIF($D$6:$D$338,$D$345,BA6:BA338)</f>
        <v>3044.8959999999997</v>
      </c>
      <c r="BB345" s="16">
        <f t="shared" si="5"/>
        <v>70.405000000000001</v>
      </c>
      <c r="BC345" s="21">
        <f t="shared" si="5"/>
        <v>5459.4880000000003</v>
      </c>
      <c r="BD345" s="21">
        <f t="shared" si="5"/>
        <v>1071.4069999999999</v>
      </c>
      <c r="BE345" s="21">
        <f t="shared" si="5"/>
        <v>3217.1310000000003</v>
      </c>
      <c r="BF345" s="16">
        <f t="shared" si="5"/>
        <v>115.90600000000001</v>
      </c>
      <c r="BG345" s="16">
        <f t="shared" si="5"/>
        <v>214.708</v>
      </c>
      <c r="BH345" s="16">
        <f t="shared" si="5"/>
        <v>214.708</v>
      </c>
      <c r="BI345" s="16">
        <f t="shared" si="5"/>
        <v>51.945</v>
      </c>
      <c r="BJ345" s="21">
        <f t="shared" si="5"/>
        <v>36083.811000000002</v>
      </c>
      <c r="BK345" s="16">
        <f t="shared" si="5"/>
        <v>811.553</v>
      </c>
      <c r="BL345" s="16">
        <f t="shared" si="5"/>
        <v>0</v>
      </c>
      <c r="BM345" s="16">
        <f t="shared" si="5"/>
        <v>0</v>
      </c>
      <c r="BN345" s="16">
        <f t="shared" si="5"/>
        <v>0</v>
      </c>
      <c r="BO345" s="16">
        <f t="shared" si="5"/>
        <v>0</v>
      </c>
      <c r="BP345" s="16">
        <f t="shared" si="5"/>
        <v>0</v>
      </c>
      <c r="BQ345" s="16">
        <f t="shared" si="5"/>
        <v>0</v>
      </c>
      <c r="BR345" s="23"/>
    </row>
    <row r="346" spans="1:70" x14ac:dyDescent="0.2">
      <c r="A346" t="s">
        <v>610</v>
      </c>
      <c r="D346">
        <v>3</v>
      </c>
      <c r="E346" s="21">
        <f t="shared" ref="E346:AY346" si="6">SUMIF($D$6:$D$338,$D$346,E6:E338)</f>
        <v>1768298.7810000002</v>
      </c>
      <c r="F346" s="21">
        <f t="shared" si="6"/>
        <v>259389.77799999999</v>
      </c>
      <c r="G346" s="16">
        <f t="shared" si="6"/>
        <v>457034.13799999992</v>
      </c>
      <c r="H346" s="16">
        <f t="shared" si="6"/>
        <v>73263</v>
      </c>
      <c r="I346" s="21">
        <f t="shared" si="6"/>
        <v>44406.898999999998</v>
      </c>
      <c r="J346" s="21">
        <f t="shared" si="6"/>
        <v>322662.48100000003</v>
      </c>
      <c r="K346" s="16">
        <f t="shared" si="6"/>
        <v>0</v>
      </c>
      <c r="L346" s="21">
        <f t="shared" si="6"/>
        <v>54575.501000000004</v>
      </c>
      <c r="M346" s="21">
        <f t="shared" si="6"/>
        <v>763171.14200000011</v>
      </c>
      <c r="N346" s="21">
        <f t="shared" si="6"/>
        <v>1124913.8050000002</v>
      </c>
      <c r="O346" s="21">
        <f>SUMIF($D$6:$D$338,$D$346,O6:O338)</f>
        <v>3208.451</v>
      </c>
      <c r="P346" s="16">
        <f t="shared" si="6"/>
        <v>0</v>
      </c>
      <c r="Q346" s="16">
        <f t="shared" si="6"/>
        <v>67.692000000000021</v>
      </c>
      <c r="R346" s="21">
        <f t="shared" si="6"/>
        <v>2745.6020000000003</v>
      </c>
      <c r="S346" s="21">
        <f t="shared" si="6"/>
        <v>9298.8919999999998</v>
      </c>
      <c r="T346" s="21">
        <f t="shared" si="6"/>
        <v>106524.64799999999</v>
      </c>
      <c r="U346" s="16">
        <f t="shared" si="6"/>
        <v>0</v>
      </c>
      <c r="V346" s="21">
        <f t="shared" si="6"/>
        <v>39334.642</v>
      </c>
      <c r="W346" s="21">
        <f t="shared" si="6"/>
        <v>43915.972000000002</v>
      </c>
      <c r="X346" s="21">
        <f t="shared" si="6"/>
        <v>87897.672999999981</v>
      </c>
      <c r="Y346" s="16">
        <f t="shared" si="6"/>
        <v>0</v>
      </c>
      <c r="Z346" s="16">
        <f t="shared" si="6"/>
        <v>194275.62699999998</v>
      </c>
      <c r="AA346" s="21">
        <f t="shared" si="6"/>
        <v>12834.286</v>
      </c>
      <c r="AB346" s="21">
        <f t="shared" si="6"/>
        <v>408374.837</v>
      </c>
      <c r="AC346" s="16">
        <f t="shared" si="6"/>
        <v>0</v>
      </c>
      <c r="AD346" s="21">
        <f t="shared" si="6"/>
        <v>45460.501000000004</v>
      </c>
      <c r="AE346" s="21">
        <f t="shared" si="6"/>
        <v>13031.732</v>
      </c>
      <c r="AF346" s="16">
        <f t="shared" si="6"/>
        <v>386952.15200000006</v>
      </c>
      <c r="AG346" s="21">
        <f t="shared" si="6"/>
        <v>11584.923999999999</v>
      </c>
      <c r="AH346" s="21">
        <f t="shared" si="6"/>
        <v>52364.178999999996</v>
      </c>
      <c r="AI346" s="21">
        <f t="shared" si="6"/>
        <v>2140580.6919999998</v>
      </c>
      <c r="AJ346" s="16">
        <f t="shared" si="6"/>
        <v>19133.827000000005</v>
      </c>
      <c r="AK346" s="21">
        <f t="shared" si="6"/>
        <v>65308.385999999999</v>
      </c>
      <c r="AL346" s="16">
        <f t="shared" si="6"/>
        <v>0</v>
      </c>
      <c r="AM346" s="16">
        <f t="shared" si="6"/>
        <v>0</v>
      </c>
      <c r="AN346" s="16">
        <f t="shared" si="6"/>
        <v>0</v>
      </c>
      <c r="AO346" s="21">
        <f>SUMIF($D$6:$D$338,$D$346,AO6:AO338)</f>
        <v>7685.5470000000005</v>
      </c>
      <c r="AP346" s="16">
        <f>SUMIF($D$6:$D$338,$D$346,AP6:AP338)</f>
        <v>0</v>
      </c>
      <c r="AQ346" s="21">
        <f>SUMIF($D$6:$D$338,$D$346,AQ6:AQ338)</f>
        <v>8273.4830000000002</v>
      </c>
      <c r="AR346" s="16">
        <f t="shared" si="6"/>
        <v>0</v>
      </c>
      <c r="AS346" s="16">
        <f t="shared" si="6"/>
        <v>3403.6930000000002</v>
      </c>
      <c r="AT346" s="16">
        <f t="shared" si="6"/>
        <v>0</v>
      </c>
      <c r="AU346" s="16">
        <f t="shared" si="6"/>
        <v>783.24700000000018</v>
      </c>
      <c r="AV346" s="16">
        <f t="shared" si="6"/>
        <v>0</v>
      </c>
      <c r="AW346" s="21">
        <f t="shared" si="6"/>
        <v>25106.174999999999</v>
      </c>
      <c r="AX346" s="16">
        <f t="shared" si="6"/>
        <v>0</v>
      </c>
      <c r="AY346" s="16">
        <f t="shared" si="6"/>
        <v>0</v>
      </c>
      <c r="AZ346" s="16">
        <f>SUMIF($D$6:$D$338,$D$346,AZ6:AZ338)</f>
        <v>0</v>
      </c>
      <c r="BA346" s="21">
        <f t="shared" ref="BA346:BQ346" si="7">SUMIF($D$6:$D$338,$D$346,BA6:BA338)</f>
        <v>6602.6439999999984</v>
      </c>
      <c r="BB346" s="16">
        <f t="shared" si="7"/>
        <v>138.60899999999998</v>
      </c>
      <c r="BC346" s="16">
        <f t="shared" si="7"/>
        <v>0</v>
      </c>
      <c r="BD346" s="21">
        <f t="shared" si="7"/>
        <v>2448.7799999999997</v>
      </c>
      <c r="BE346" s="21">
        <f t="shared" si="7"/>
        <v>7903.9750000000004</v>
      </c>
      <c r="BF346" s="16">
        <f t="shared" si="7"/>
        <v>228.18700000000001</v>
      </c>
      <c r="BG346" s="16">
        <f t="shared" si="7"/>
        <v>398.83500000000004</v>
      </c>
      <c r="BH346" s="16">
        <f t="shared" si="7"/>
        <v>398.83500000000004</v>
      </c>
      <c r="BI346" s="16">
        <f t="shared" si="7"/>
        <v>102.26599999999999</v>
      </c>
      <c r="BJ346" s="21">
        <f t="shared" si="7"/>
        <v>51007.116999999998</v>
      </c>
      <c r="BK346" s="21">
        <f t="shared" si="7"/>
        <v>2205.0530000000003</v>
      </c>
      <c r="BL346" s="16">
        <f t="shared" si="7"/>
        <v>0</v>
      </c>
      <c r="BM346" s="16">
        <f t="shared" si="7"/>
        <v>0</v>
      </c>
      <c r="BN346" s="16">
        <f t="shared" si="7"/>
        <v>0</v>
      </c>
      <c r="BO346" s="16">
        <f t="shared" si="7"/>
        <v>0</v>
      </c>
      <c r="BP346" s="16">
        <f t="shared" si="7"/>
        <v>0</v>
      </c>
      <c r="BQ346" s="16">
        <f t="shared" si="7"/>
        <v>0</v>
      </c>
      <c r="BR346" s="23"/>
    </row>
    <row r="347" spans="1:70" x14ac:dyDescent="0.2">
      <c r="A347" t="s">
        <v>611</v>
      </c>
      <c r="B347">
        <v>7</v>
      </c>
      <c r="D347">
        <v>4</v>
      </c>
      <c r="E347" s="21">
        <f t="shared" ref="E347:AY347" si="8">SUMIF($D$6:$D$338,$D$347,E6:E338)</f>
        <v>1132633.8199999998</v>
      </c>
      <c r="F347" s="21">
        <f t="shared" si="8"/>
        <v>240035.139</v>
      </c>
      <c r="G347" s="16">
        <f t="shared" si="8"/>
        <v>239.18399999999997</v>
      </c>
      <c r="H347" s="16">
        <f t="shared" si="8"/>
        <v>13551.683999999999</v>
      </c>
      <c r="I347" s="21">
        <f t="shared" si="8"/>
        <v>11514.708000000001</v>
      </c>
      <c r="J347" s="16">
        <f t="shared" si="8"/>
        <v>172.16399999999996</v>
      </c>
      <c r="K347" s="16">
        <f t="shared" si="8"/>
        <v>0</v>
      </c>
      <c r="L347" s="16">
        <f t="shared" si="8"/>
        <v>0</v>
      </c>
      <c r="M347" s="21">
        <f t="shared" si="8"/>
        <v>2942132.5460000006</v>
      </c>
      <c r="N347" s="21">
        <f t="shared" si="8"/>
        <v>280181.69800000009</v>
      </c>
      <c r="O347" s="16">
        <f>SUMIF($D$6:$D$338,$D$347,O6:O338)</f>
        <v>0</v>
      </c>
      <c r="P347" s="21">
        <f t="shared" si="8"/>
        <v>1435.645</v>
      </c>
      <c r="Q347" s="16">
        <f t="shared" si="8"/>
        <v>34.659999999999997</v>
      </c>
      <c r="R347" s="16">
        <f t="shared" si="8"/>
        <v>883.65000000000009</v>
      </c>
      <c r="S347" s="16">
        <f t="shared" si="8"/>
        <v>101.53400000000001</v>
      </c>
      <c r="T347" s="21">
        <f t="shared" si="8"/>
        <v>72147.983000000007</v>
      </c>
      <c r="U347" s="16">
        <f t="shared" si="8"/>
        <v>0</v>
      </c>
      <c r="V347" s="16">
        <f t="shared" si="8"/>
        <v>0</v>
      </c>
      <c r="W347" s="16">
        <f t="shared" si="8"/>
        <v>25.916999999999998</v>
      </c>
      <c r="X347" s="21">
        <f t="shared" si="8"/>
        <v>20553.923999999999</v>
      </c>
      <c r="Y347" s="21">
        <f t="shared" si="8"/>
        <v>162164.337</v>
      </c>
      <c r="Z347" s="16">
        <f t="shared" si="8"/>
        <v>458099.58899999998</v>
      </c>
      <c r="AA347" s="21">
        <f t="shared" si="8"/>
        <v>45939.294999999998</v>
      </c>
      <c r="AB347" s="16">
        <f t="shared" si="8"/>
        <v>220.57999999999998</v>
      </c>
      <c r="AC347" s="21">
        <f t="shared" si="8"/>
        <v>50040.174999999996</v>
      </c>
      <c r="AD347" s="21">
        <f t="shared" si="8"/>
        <v>42858.440999999999</v>
      </c>
      <c r="AE347" s="21">
        <f t="shared" si="8"/>
        <v>16387.436999999998</v>
      </c>
      <c r="AF347" s="21">
        <f t="shared" si="8"/>
        <v>1197092.932</v>
      </c>
      <c r="AG347" s="21">
        <f t="shared" si="8"/>
        <v>582878.071</v>
      </c>
      <c r="AH347" s="21">
        <f t="shared" si="8"/>
        <v>73931.589000000007</v>
      </c>
      <c r="AI347" s="21">
        <f t="shared" si="8"/>
        <v>4799982.4690000005</v>
      </c>
      <c r="AJ347" s="21">
        <f t="shared" si="8"/>
        <v>1016193.9669999999</v>
      </c>
      <c r="AK347" s="21">
        <f t="shared" si="8"/>
        <v>257952.88099999999</v>
      </c>
      <c r="AL347" s="21">
        <f t="shared" si="8"/>
        <v>1703817.5889999999</v>
      </c>
      <c r="AM347" s="16">
        <f t="shared" si="8"/>
        <v>0</v>
      </c>
      <c r="AN347" s="21">
        <f t="shared" si="8"/>
        <v>1004808.0599999999</v>
      </c>
      <c r="AO347" s="16">
        <f>SUMIF($D$6:$D$338,$D$347,AO6:AO338)</f>
        <v>0</v>
      </c>
      <c r="AP347" s="16">
        <f>SUMIF($D$6:$D$338,$D$347,AP6:AP338)</f>
        <v>567673.58400000003</v>
      </c>
      <c r="AQ347" s="21">
        <f>SUMIF($D$6:$D$338,$D$347,AQ6:AQ338)</f>
        <v>7703.2420000000002</v>
      </c>
      <c r="AR347" s="21">
        <f t="shared" si="8"/>
        <v>40774.072999999997</v>
      </c>
      <c r="AS347" s="21">
        <f t="shared" si="8"/>
        <v>175601.30599999998</v>
      </c>
      <c r="AT347" s="21">
        <f t="shared" si="8"/>
        <v>17885.661</v>
      </c>
      <c r="AU347" s="16">
        <f t="shared" si="8"/>
        <v>715.18600000000004</v>
      </c>
      <c r="AV347" s="16">
        <f t="shared" si="8"/>
        <v>0</v>
      </c>
      <c r="AW347" s="21">
        <f t="shared" si="8"/>
        <v>9064.4390000000003</v>
      </c>
      <c r="AX347" s="21">
        <f t="shared" si="8"/>
        <v>63005.595999999998</v>
      </c>
      <c r="AY347" s="21">
        <f t="shared" si="8"/>
        <v>62609.366000000002</v>
      </c>
      <c r="AZ347" s="21">
        <f>SUMIF($D$6:$D$338,$D$347,AZ6:AZ338)</f>
        <v>77148.301999999996</v>
      </c>
      <c r="BA347" s="21">
        <f t="shared" ref="BA347:BQ347" si="9">SUMIF($D$6:$D$338,$D$347,BA6:BA338)</f>
        <v>1400.8169999999998</v>
      </c>
      <c r="BB347" s="21">
        <f t="shared" si="9"/>
        <v>4101.2930000000006</v>
      </c>
      <c r="BC347" s="21">
        <f t="shared" si="9"/>
        <v>41555.351999999999</v>
      </c>
      <c r="BD347" s="21">
        <f t="shared" si="9"/>
        <v>2166.248</v>
      </c>
      <c r="BE347" s="16">
        <f t="shared" si="9"/>
        <v>3.165</v>
      </c>
      <c r="BF347" s="21">
        <f t="shared" si="9"/>
        <v>6751.820999999999</v>
      </c>
      <c r="BG347" s="16">
        <f t="shared" si="9"/>
        <v>352.64799999999997</v>
      </c>
      <c r="BH347" s="16">
        <f t="shared" si="9"/>
        <v>352.64799999999997</v>
      </c>
      <c r="BI347" s="21">
        <f t="shared" si="9"/>
        <v>3025.9580000000001</v>
      </c>
      <c r="BJ347" s="21">
        <f t="shared" si="9"/>
        <v>102324.861</v>
      </c>
      <c r="BK347" s="16">
        <f t="shared" si="9"/>
        <v>0.92600000000000005</v>
      </c>
      <c r="BL347" s="16">
        <f t="shared" si="9"/>
        <v>0</v>
      </c>
      <c r="BM347" s="16">
        <f t="shared" si="9"/>
        <v>2E-3</v>
      </c>
      <c r="BN347" s="16">
        <f t="shared" si="9"/>
        <v>0</v>
      </c>
      <c r="BO347" s="16">
        <f t="shared" si="9"/>
        <v>0</v>
      </c>
      <c r="BP347" s="16">
        <f t="shared" si="9"/>
        <v>0</v>
      </c>
      <c r="BQ347" s="16">
        <f t="shared" si="9"/>
        <v>0</v>
      </c>
      <c r="BR347" s="23"/>
    </row>
    <row r="348" spans="1:70" x14ac:dyDescent="0.2">
      <c r="A348" t="s">
        <v>612</v>
      </c>
      <c r="D348">
        <v>5</v>
      </c>
      <c r="E348" s="16">
        <f t="shared" ref="E348:AY348" si="10">SUMIF($D$6:$D$338,$D$348,E6:E338)</f>
        <v>736606.451</v>
      </c>
      <c r="F348" s="21">
        <f t="shared" si="10"/>
        <v>46160.556999999993</v>
      </c>
      <c r="G348" s="16">
        <f t="shared" si="10"/>
        <v>88442.819000000003</v>
      </c>
      <c r="H348" s="16">
        <f t="shared" si="10"/>
        <v>967749.88299999991</v>
      </c>
      <c r="I348" s="21">
        <f t="shared" si="10"/>
        <v>12188.801000000001</v>
      </c>
      <c r="J348" s="21">
        <f t="shared" si="10"/>
        <v>68413.653999999995</v>
      </c>
      <c r="K348" s="16">
        <f t="shared" si="10"/>
        <v>0</v>
      </c>
      <c r="L348" s="21">
        <f t="shared" si="10"/>
        <v>6675.28</v>
      </c>
      <c r="M348" s="21">
        <f t="shared" si="10"/>
        <v>622763.95100000012</v>
      </c>
      <c r="N348" s="21">
        <f t="shared" si="10"/>
        <v>355624.16500000004</v>
      </c>
      <c r="O348" s="16">
        <f>SUMIF($D$6:$D$338,$D$348,O6:O338)</f>
        <v>0</v>
      </c>
      <c r="P348" s="16">
        <f t="shared" si="10"/>
        <v>0</v>
      </c>
      <c r="Q348" s="21">
        <f t="shared" si="10"/>
        <v>2327.9970000000003</v>
      </c>
      <c r="R348" s="16">
        <f t="shared" si="10"/>
        <v>0</v>
      </c>
      <c r="S348" s="16">
        <f t="shared" si="10"/>
        <v>92.653999999999996</v>
      </c>
      <c r="T348" s="16">
        <f t="shared" si="10"/>
        <v>-1349.856</v>
      </c>
      <c r="U348" s="16">
        <f t="shared" si="10"/>
        <v>0</v>
      </c>
      <c r="V348" s="16">
        <f t="shared" si="10"/>
        <v>2567.576</v>
      </c>
      <c r="W348" s="21">
        <f t="shared" si="10"/>
        <v>7165.8940000000002</v>
      </c>
      <c r="X348" s="21">
        <f t="shared" si="10"/>
        <v>24393.559000000001</v>
      </c>
      <c r="Y348" s="16">
        <f t="shared" si="10"/>
        <v>0</v>
      </c>
      <c r="Z348" s="16">
        <f t="shared" si="10"/>
        <v>205528.57800000001</v>
      </c>
      <c r="AA348" s="16">
        <f t="shared" si="10"/>
        <v>0</v>
      </c>
      <c r="AB348" s="21">
        <f t="shared" si="10"/>
        <v>57255.580999999998</v>
      </c>
      <c r="AC348" s="16">
        <f t="shared" si="10"/>
        <v>-3.3680000000000003</v>
      </c>
      <c r="AD348" s="16">
        <f t="shared" si="10"/>
        <v>8060.4439999999986</v>
      </c>
      <c r="AE348" s="16">
        <f t="shared" si="10"/>
        <v>0</v>
      </c>
      <c r="AF348" s="16">
        <f t="shared" si="10"/>
        <v>631176.50300000003</v>
      </c>
      <c r="AG348" s="16">
        <f t="shared" si="10"/>
        <v>2430.8940000000002</v>
      </c>
      <c r="AH348" s="16">
        <f t="shared" si="10"/>
        <v>3321.7759999999998</v>
      </c>
      <c r="AI348" s="21">
        <f t="shared" si="10"/>
        <v>1829841.0760000001</v>
      </c>
      <c r="AJ348" s="16">
        <f t="shared" si="10"/>
        <v>112555.54999999999</v>
      </c>
      <c r="AK348" s="16">
        <f t="shared" si="10"/>
        <v>23.826000000000001</v>
      </c>
      <c r="AL348" s="16">
        <f t="shared" si="10"/>
        <v>33.194000000000003</v>
      </c>
      <c r="AM348" s="16">
        <f t="shared" si="10"/>
        <v>0</v>
      </c>
      <c r="AN348" s="16">
        <f t="shared" si="10"/>
        <v>115.738</v>
      </c>
      <c r="AO348" s="16">
        <f>SUMIF($D$6:$D$338,$D$348,AO6:AO338)</f>
        <v>548.98500000000001</v>
      </c>
      <c r="AP348" s="16">
        <f>SUMIF($D$6:$D$338,$D$348,AP6:AP338)</f>
        <v>634.577</v>
      </c>
      <c r="AQ348" s="16">
        <f>SUMIF($D$6:$D$338,$D$348,AQ6:AQ338)</f>
        <v>-167.291</v>
      </c>
      <c r="AR348" s="16">
        <f t="shared" si="10"/>
        <v>0</v>
      </c>
      <c r="AS348" s="16">
        <f t="shared" si="10"/>
        <v>1310.4409999999996</v>
      </c>
      <c r="AT348" s="16">
        <f t="shared" si="10"/>
        <v>0</v>
      </c>
      <c r="AU348" s="16">
        <f t="shared" si="10"/>
        <v>-14.259</v>
      </c>
      <c r="AV348" s="16">
        <f t="shared" si="10"/>
        <v>0</v>
      </c>
      <c r="AW348" s="16">
        <f t="shared" si="10"/>
        <v>-49.039000000000001</v>
      </c>
      <c r="AX348" s="16">
        <f t="shared" si="10"/>
        <v>0</v>
      </c>
      <c r="AY348" s="16">
        <f t="shared" si="10"/>
        <v>0</v>
      </c>
      <c r="AZ348" s="16">
        <f>SUMIF($D$6:$D$338,$D$348,AZ6:AZ338)</f>
        <v>0</v>
      </c>
      <c r="BA348" s="16">
        <f t="shared" ref="BA348:BQ348" si="11">SUMIF($D$6:$D$338,$D$348,BA6:BA338)</f>
        <v>-26.084000000000003</v>
      </c>
      <c r="BB348" s="16">
        <f t="shared" si="11"/>
        <v>0</v>
      </c>
      <c r="BC348" s="16">
        <f t="shared" si="11"/>
        <v>0</v>
      </c>
      <c r="BD348" s="16">
        <f t="shared" si="11"/>
        <v>-38.488</v>
      </c>
      <c r="BE348" s="16">
        <f t="shared" si="11"/>
        <v>8.9999999999999993E-3</v>
      </c>
      <c r="BF348" s="16">
        <f t="shared" si="11"/>
        <v>0</v>
      </c>
      <c r="BG348" s="16">
        <f t="shared" si="11"/>
        <v>-6.3789999999999996</v>
      </c>
      <c r="BH348" s="16">
        <f t="shared" si="11"/>
        <v>-6.3789999999999996</v>
      </c>
      <c r="BI348" s="16">
        <f t="shared" si="11"/>
        <v>0</v>
      </c>
      <c r="BJ348" s="16">
        <f t="shared" si="11"/>
        <v>0</v>
      </c>
      <c r="BK348" s="16">
        <f t="shared" si="11"/>
        <v>3.0000000000000001E-3</v>
      </c>
      <c r="BL348" s="16">
        <f t="shared" si="11"/>
        <v>0</v>
      </c>
      <c r="BM348" s="16">
        <f t="shared" si="11"/>
        <v>0</v>
      </c>
      <c r="BN348" s="16">
        <f t="shared" si="11"/>
        <v>0</v>
      </c>
      <c r="BO348" s="16">
        <f t="shared" si="11"/>
        <v>0</v>
      </c>
      <c r="BP348" s="16">
        <f t="shared" si="11"/>
        <v>0</v>
      </c>
      <c r="BQ348" s="16">
        <f t="shared" si="11"/>
        <v>0</v>
      </c>
      <c r="BR348" s="23"/>
    </row>
    <row r="349" spans="1:70" x14ac:dyDescent="0.2">
      <c r="A349" t="s">
        <v>613</v>
      </c>
      <c r="B349">
        <v>7</v>
      </c>
      <c r="D349">
        <v>6</v>
      </c>
      <c r="E349" s="21">
        <f t="shared" ref="E349:AY349" si="12">SUMIF($D$6:$D$338,$D$349,E6:E338)+SUMIF($D$6:$D$338,$B$349,E6:E338)</f>
        <v>1682912.8209999998</v>
      </c>
      <c r="F349" s="21">
        <f t="shared" si="12"/>
        <v>65093.893999999964</v>
      </c>
      <c r="G349" s="16">
        <f t="shared" si="12"/>
        <v>63321.550999999992</v>
      </c>
      <c r="H349" s="16">
        <f t="shared" si="12"/>
        <v>22390.160999999996</v>
      </c>
      <c r="I349" s="16">
        <f t="shared" si="12"/>
        <v>9853.4259999999995</v>
      </c>
      <c r="J349" s="21">
        <f t="shared" si="12"/>
        <v>44581.33</v>
      </c>
      <c r="K349" s="16">
        <f t="shared" si="12"/>
        <v>-183.89</v>
      </c>
      <c r="L349" s="21">
        <f t="shared" si="12"/>
        <v>4607.7290000000003</v>
      </c>
      <c r="M349" s="21">
        <f t="shared" si="12"/>
        <v>2115272.7609999995</v>
      </c>
      <c r="N349" s="21">
        <f t="shared" si="12"/>
        <v>568253.70499999984</v>
      </c>
      <c r="O349" s="16">
        <f>SUMIF($D$6:$D$338,$D$349,O6:O338)+SUMIF($D$6:$D$338,$B$349,O6:O338)</f>
        <v>-3.3080000000000003</v>
      </c>
      <c r="P349" s="16">
        <f t="shared" si="12"/>
        <v>158.66199999999998</v>
      </c>
      <c r="Q349" s="21">
        <f t="shared" si="12"/>
        <v>1367.8539999999998</v>
      </c>
      <c r="R349" s="16">
        <f t="shared" si="12"/>
        <v>189.24499999999998</v>
      </c>
      <c r="S349" s="16">
        <f t="shared" si="12"/>
        <v>756.15499999999986</v>
      </c>
      <c r="T349" s="16">
        <f t="shared" si="12"/>
        <v>9411.4349999999995</v>
      </c>
      <c r="U349" s="16">
        <f t="shared" si="12"/>
        <v>-0.90700000000000003</v>
      </c>
      <c r="V349" s="16">
        <f t="shared" si="12"/>
        <v>3288.1039999999998</v>
      </c>
      <c r="W349" s="21">
        <f t="shared" si="12"/>
        <v>4770.1569999999992</v>
      </c>
      <c r="X349" s="21">
        <f t="shared" si="12"/>
        <v>14038.749</v>
      </c>
      <c r="Y349" s="16">
        <f t="shared" si="12"/>
        <v>-629.87100000000009</v>
      </c>
      <c r="Z349" s="16">
        <f t="shared" si="12"/>
        <v>259357.49599999998</v>
      </c>
      <c r="AA349" s="16">
        <f t="shared" si="12"/>
        <v>-93.459000000001907</v>
      </c>
      <c r="AB349" s="21">
        <f t="shared" si="12"/>
        <v>52002.99700000001</v>
      </c>
      <c r="AC349" s="16">
        <f t="shared" si="12"/>
        <v>7954.681999999998</v>
      </c>
      <c r="AD349" s="16">
        <f t="shared" si="12"/>
        <v>7446.6509999999998</v>
      </c>
      <c r="AE349" s="16">
        <f t="shared" si="12"/>
        <v>214.63799999999989</v>
      </c>
      <c r="AF349" s="16">
        <f t="shared" si="12"/>
        <v>984426.54800000007</v>
      </c>
      <c r="AG349" s="21">
        <f t="shared" si="12"/>
        <v>30407.416000000005</v>
      </c>
      <c r="AH349" s="16">
        <f t="shared" si="12"/>
        <v>1207.5629999999983</v>
      </c>
      <c r="AI349" s="21">
        <f t="shared" si="12"/>
        <v>3925747.6639999994</v>
      </c>
      <c r="AJ349" s="16">
        <f t="shared" si="12"/>
        <v>71892.771999999997</v>
      </c>
      <c r="AK349" s="16">
        <f t="shared" si="12"/>
        <v>1962.7240000000068</v>
      </c>
      <c r="AL349" s="16">
        <f t="shared" si="12"/>
        <v>310391.54300000001</v>
      </c>
      <c r="AM349" s="16">
        <f t="shared" si="12"/>
        <v>-28.846</v>
      </c>
      <c r="AN349" s="16">
        <f t="shared" si="12"/>
        <v>185456.54</v>
      </c>
      <c r="AO349" s="16">
        <f>SUMIF($D$6:$D$338,$D$349,AO6:AO338)+SUMIF($D$6:$D$338,$B$349,AO6:AO338)</f>
        <v>-440.34700000000004</v>
      </c>
      <c r="AP349" s="16">
        <f>SUMIF($D$6:$D$338,$D$349,AP6:AP338)+SUMIF($D$6:$D$338,$B$349,AP6:AP338)</f>
        <v>95676.057000000001</v>
      </c>
      <c r="AQ349" s="16">
        <f>SUMIF($D$6:$D$338,$D$349,AQ6:AQ338)+SUMIF($D$6:$D$338,$B$349,AQ6:AQ338)</f>
        <v>513.99699999999996</v>
      </c>
      <c r="AR349" s="16">
        <f t="shared" si="12"/>
        <v>-6.166999999999998</v>
      </c>
      <c r="AS349" s="16">
        <f t="shared" si="12"/>
        <v>4941.7900000000009</v>
      </c>
      <c r="AT349" s="16">
        <f t="shared" si="12"/>
        <v>-84.126999999999995</v>
      </c>
      <c r="AU349" s="16">
        <f t="shared" si="12"/>
        <v>209.51399999999995</v>
      </c>
      <c r="AV349" s="16">
        <f t="shared" si="12"/>
        <v>0</v>
      </c>
      <c r="AW349" s="21">
        <f t="shared" si="12"/>
        <v>1120.6110000000003</v>
      </c>
      <c r="AX349" s="16">
        <f t="shared" si="12"/>
        <v>6.1999999999999389E-2</v>
      </c>
      <c r="AY349" s="16">
        <f t="shared" si="12"/>
        <v>-33.536000000000001</v>
      </c>
      <c r="AZ349" s="16">
        <f>SUMIF($D$6:$D$338,$D$349,AZ6:AZ338)+SUMIF($D$6:$D$338,$B$349,AZ6:AZ338)</f>
        <v>-21.959</v>
      </c>
      <c r="BA349" s="16">
        <f t="shared" ref="BA349:BQ349" si="13">SUMIF($D$6:$D$338,$D$349,BA6:BA338)+SUMIF($D$6:$D$338,$B$349,BA6:BA338)</f>
        <v>300.666</v>
      </c>
      <c r="BB349" s="16">
        <f t="shared" si="13"/>
        <v>168.309</v>
      </c>
      <c r="BC349" s="16">
        <f t="shared" si="13"/>
        <v>-14.013999999999999</v>
      </c>
      <c r="BD349" s="16">
        <f t="shared" si="13"/>
        <v>158.54500000000002</v>
      </c>
      <c r="BE349" s="16">
        <f t="shared" si="13"/>
        <v>329.38600000000008</v>
      </c>
      <c r="BF349" s="16">
        <f t="shared" si="13"/>
        <v>276.44299999999998</v>
      </c>
      <c r="BG349" s="16">
        <f t="shared" si="13"/>
        <v>26.500999999999994</v>
      </c>
      <c r="BH349" s="16">
        <f t="shared" si="13"/>
        <v>26.500999999999994</v>
      </c>
      <c r="BI349" s="16">
        <f t="shared" si="13"/>
        <v>124.15400000000001</v>
      </c>
      <c r="BJ349" s="16">
        <f t="shared" si="13"/>
        <v>683.30599999997662</v>
      </c>
      <c r="BK349" s="16">
        <f t="shared" si="13"/>
        <v>85.12700000000001</v>
      </c>
      <c r="BL349" s="16">
        <f t="shared" si="13"/>
        <v>-4.8579999999999997</v>
      </c>
      <c r="BM349" s="16">
        <f t="shared" si="13"/>
        <v>-1.1220000000000001</v>
      </c>
      <c r="BN349" s="16">
        <f t="shared" si="13"/>
        <v>-326.25800000000004</v>
      </c>
      <c r="BO349" s="16">
        <f t="shared" si="13"/>
        <v>-61.420999999999999</v>
      </c>
      <c r="BP349" s="16">
        <f t="shared" si="13"/>
        <v>-17.122</v>
      </c>
      <c r="BQ349" s="16">
        <f t="shared" si="13"/>
        <v>-86.238</v>
      </c>
      <c r="BR349" s="23"/>
    </row>
    <row r="350" spans="1:70" x14ac:dyDescent="0.2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23"/>
    </row>
    <row r="351" spans="1:70" x14ac:dyDescent="0.2">
      <c r="E351">
        <f t="shared" ref="E351:N351" si="14">SUM(E344:E350)</f>
        <v>8043037.3399999999</v>
      </c>
      <c r="F351">
        <f t="shared" si="14"/>
        <v>926895.05200000003</v>
      </c>
      <c r="G351">
        <f t="shared" si="14"/>
        <v>1013955.8289999999</v>
      </c>
      <c r="H351">
        <f t="shared" si="14"/>
        <v>1100243.9609999999</v>
      </c>
      <c r="I351">
        <f t="shared" si="14"/>
        <v>144470.114</v>
      </c>
      <c r="J351">
        <f t="shared" si="14"/>
        <v>713101.56599999999</v>
      </c>
      <c r="K351">
        <f t="shared" si="14"/>
        <v>-183.89</v>
      </c>
      <c r="L351">
        <f t="shared" si="14"/>
        <v>307575.23800000001</v>
      </c>
      <c r="M351" s="22">
        <f t="shared" si="14"/>
        <v>8823850.4389999993</v>
      </c>
      <c r="N351">
        <f t="shared" si="14"/>
        <v>3194226.5380000006</v>
      </c>
      <c r="O351">
        <f>SUM(O344:O350)</f>
        <v>15284.066999999999</v>
      </c>
      <c r="P351">
        <f t="shared" ref="P351:AN351" si="15">SUM(P344:P350)</f>
        <v>6374.8670000000002</v>
      </c>
      <c r="Q351">
        <f t="shared" si="15"/>
        <v>19702.204000000002</v>
      </c>
      <c r="R351">
        <f t="shared" si="15"/>
        <v>11880.37</v>
      </c>
      <c r="S351">
        <f t="shared" si="15"/>
        <v>20699.724999999995</v>
      </c>
      <c r="T351">
        <f t="shared" si="15"/>
        <v>282773.84999999998</v>
      </c>
      <c r="U351">
        <f t="shared" si="15"/>
        <v>737.98900000000003</v>
      </c>
      <c r="V351">
        <f t="shared" si="15"/>
        <v>221260.96099999998</v>
      </c>
      <c r="W351">
        <f t="shared" si="15"/>
        <v>85408.88</v>
      </c>
      <c r="X351">
        <f t="shared" si="15"/>
        <v>218297.86199999999</v>
      </c>
      <c r="Y351">
        <f t="shared" si="15"/>
        <v>204869.37700000001</v>
      </c>
      <c r="Z351">
        <f t="shared" si="15"/>
        <v>1671698.2309999999</v>
      </c>
      <c r="AA351">
        <f t="shared" si="15"/>
        <v>132798.08599999998</v>
      </c>
      <c r="AB351">
        <f t="shared" si="15"/>
        <v>888284.46100000001</v>
      </c>
      <c r="AC351">
        <f t="shared" si="15"/>
        <v>244897.54199999999</v>
      </c>
      <c r="AD351">
        <f t="shared" si="15"/>
        <v>153833.20699999999</v>
      </c>
      <c r="AE351">
        <f t="shared" si="15"/>
        <v>54639.963999999993</v>
      </c>
      <c r="AF351">
        <f t="shared" si="15"/>
        <v>4781798.5540000005</v>
      </c>
      <c r="AG351">
        <f t="shared" si="15"/>
        <v>987962.5689999999</v>
      </c>
      <c r="AH351">
        <f t="shared" si="15"/>
        <v>231565.19900000002</v>
      </c>
      <c r="AI351">
        <f t="shared" si="15"/>
        <v>17939271.908</v>
      </c>
      <c r="AJ351">
        <f t="shared" si="15"/>
        <v>1853130.4109999998</v>
      </c>
      <c r="AK351">
        <f t="shared" si="15"/>
        <v>706479.94400000013</v>
      </c>
      <c r="AL351">
        <f t="shared" si="15"/>
        <v>9886388.6520000007</v>
      </c>
      <c r="AM351">
        <f t="shared" si="15"/>
        <v>-28.846</v>
      </c>
      <c r="AN351">
        <f t="shared" si="15"/>
        <v>5822879.8309999993</v>
      </c>
      <c r="AO351">
        <f>SUM(AO344:AO350)</f>
        <v>41538.935999999994</v>
      </c>
      <c r="AP351">
        <f>SUM(AP344:AP350)</f>
        <v>3283225.9559999998</v>
      </c>
      <c r="AQ351">
        <f>SUM(AQ344:AQ350)</f>
        <v>28141.688999999998</v>
      </c>
      <c r="AR351">
        <f>SUM(AR344:AR350)</f>
        <v>45505.500999999997</v>
      </c>
      <c r="AS351">
        <f t="shared" ref="AS351:AY351" si="16">SUM(AS344:AS350)</f>
        <v>296002.19199999998</v>
      </c>
      <c r="AT351">
        <f t="shared" si="16"/>
        <v>19741.921999999999</v>
      </c>
      <c r="AU351">
        <f t="shared" si="16"/>
        <v>3388.4680000000008</v>
      </c>
      <c r="AV351">
        <f t="shared" si="16"/>
        <v>0</v>
      </c>
      <c r="AW351">
        <f t="shared" si="16"/>
        <v>77137.377999999997</v>
      </c>
      <c r="AX351">
        <f t="shared" si="16"/>
        <v>69836.341</v>
      </c>
      <c r="AY351">
        <f t="shared" si="16"/>
        <v>69657.374000000011</v>
      </c>
      <c r="AZ351">
        <f>SUM(AZ344:AZ350)</f>
        <v>103428.87099999998</v>
      </c>
      <c r="BA351">
        <f t="shared" ref="BA351:BQ351" si="17">SUM(BA344:BA350)</f>
        <v>13674.428999999996</v>
      </c>
      <c r="BB351">
        <f t="shared" si="17"/>
        <v>4849.8550000000005</v>
      </c>
      <c r="BC351">
        <f t="shared" si="17"/>
        <v>55583.822999999997</v>
      </c>
      <c r="BD351">
        <f t="shared" si="17"/>
        <v>7275.2039999999988</v>
      </c>
      <c r="BE351">
        <f t="shared" si="17"/>
        <v>12572.652000000002</v>
      </c>
      <c r="BF351">
        <f t="shared" si="17"/>
        <v>8056.610999999999</v>
      </c>
      <c r="BG351">
        <f t="shared" si="17"/>
        <v>1337.146</v>
      </c>
      <c r="BH351">
        <f t="shared" si="17"/>
        <v>1337.146</v>
      </c>
      <c r="BI351">
        <f t="shared" si="17"/>
        <v>3564.6690000000003</v>
      </c>
      <c r="BJ351">
        <f t="shared" si="17"/>
        <v>503651.87600000005</v>
      </c>
      <c r="BK351">
        <f t="shared" si="17"/>
        <v>3776.7010000000005</v>
      </c>
      <c r="BL351">
        <f t="shared" si="17"/>
        <v>-4.8579999999999997</v>
      </c>
      <c r="BM351">
        <f t="shared" si="17"/>
        <v>-1.1200000000000001</v>
      </c>
      <c r="BN351">
        <f t="shared" si="17"/>
        <v>-326.25800000000004</v>
      </c>
      <c r="BO351">
        <f t="shared" si="17"/>
        <v>-61.420999999999999</v>
      </c>
      <c r="BP351">
        <f t="shared" si="17"/>
        <v>-17.122</v>
      </c>
      <c r="BQ351">
        <f t="shared" si="17"/>
        <v>-86.238</v>
      </c>
      <c r="BR351" s="23"/>
    </row>
    <row r="352" spans="1:70" x14ac:dyDescent="0.2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23"/>
    </row>
    <row r="353" spans="1:70" x14ac:dyDescent="0.2">
      <c r="A353" s="8"/>
      <c r="B353" s="8"/>
      <c r="C353" s="8"/>
      <c r="D353" s="8"/>
      <c r="E353" s="19">
        <f t="shared" ref="E353:AY353" si="18">E351-E339</f>
        <v>8043037.3399999999</v>
      </c>
      <c r="F353" s="19">
        <f t="shared" si="18"/>
        <v>926895.05200000003</v>
      </c>
      <c r="G353" s="19">
        <f t="shared" si="18"/>
        <v>1013955.8289999999</v>
      </c>
      <c r="H353" s="19">
        <f t="shared" si="18"/>
        <v>1100243.9609999999</v>
      </c>
      <c r="I353" s="19">
        <f t="shared" si="18"/>
        <v>144470.114</v>
      </c>
      <c r="J353" s="19">
        <f t="shared" si="18"/>
        <v>713101.56599999999</v>
      </c>
      <c r="K353" s="8">
        <f t="shared" si="18"/>
        <v>-183.89</v>
      </c>
      <c r="L353" s="20">
        <f t="shared" si="18"/>
        <v>307575.23800000001</v>
      </c>
      <c r="M353" s="20">
        <f t="shared" si="18"/>
        <v>8823850.4389999993</v>
      </c>
      <c r="N353" s="20">
        <f t="shared" si="18"/>
        <v>3194226.5380000006</v>
      </c>
      <c r="O353" s="20">
        <f>O351-O339</f>
        <v>15284.066999999999</v>
      </c>
      <c r="P353" s="8">
        <f t="shared" si="18"/>
        <v>6374.8670000000002</v>
      </c>
      <c r="Q353" s="19">
        <f t="shared" si="18"/>
        <v>19702.204000000002</v>
      </c>
      <c r="R353" s="19">
        <f t="shared" si="18"/>
        <v>11880.37</v>
      </c>
      <c r="S353" s="19">
        <f t="shared" si="18"/>
        <v>20699.724999999995</v>
      </c>
      <c r="T353" s="19">
        <f t="shared" si="18"/>
        <v>282773.84999999998</v>
      </c>
      <c r="U353" s="8">
        <f t="shared" si="18"/>
        <v>737.98900000000003</v>
      </c>
      <c r="V353" s="19">
        <f t="shared" si="18"/>
        <v>221260.96099999998</v>
      </c>
      <c r="W353" s="19">
        <f t="shared" si="18"/>
        <v>85408.88</v>
      </c>
      <c r="X353" s="19">
        <f t="shared" si="18"/>
        <v>218297.86199999999</v>
      </c>
      <c r="Y353" s="19">
        <f t="shared" si="18"/>
        <v>204869.37700000001</v>
      </c>
      <c r="Z353" s="19">
        <f t="shared" si="18"/>
        <v>1671698.2309999999</v>
      </c>
      <c r="AA353" s="19">
        <f t="shared" si="18"/>
        <v>132798.08599999998</v>
      </c>
      <c r="AB353" s="19">
        <f t="shared" si="18"/>
        <v>888284.46100000001</v>
      </c>
      <c r="AC353" s="19">
        <f t="shared" si="18"/>
        <v>244897.54199999999</v>
      </c>
      <c r="AD353" s="19">
        <f t="shared" si="18"/>
        <v>153833.20699999999</v>
      </c>
      <c r="AE353" s="19">
        <f t="shared" si="18"/>
        <v>54639.963999999993</v>
      </c>
      <c r="AF353" s="19">
        <f t="shared" si="18"/>
        <v>4781798.5540000005</v>
      </c>
      <c r="AG353" s="19">
        <f t="shared" si="18"/>
        <v>987962.5689999999</v>
      </c>
      <c r="AH353" s="19">
        <f t="shared" si="18"/>
        <v>231565.19900000002</v>
      </c>
      <c r="AI353" s="19">
        <f t="shared" si="18"/>
        <v>17939271.908</v>
      </c>
      <c r="AJ353" s="19">
        <f t="shared" si="18"/>
        <v>1853130.4109999998</v>
      </c>
      <c r="AK353" s="19">
        <f t="shared" si="18"/>
        <v>706479.94400000013</v>
      </c>
      <c r="AL353" s="19">
        <f t="shared" si="18"/>
        <v>9886388.6520000007</v>
      </c>
      <c r="AM353" s="8">
        <f t="shared" si="18"/>
        <v>-28.846</v>
      </c>
      <c r="AN353" s="19">
        <f t="shared" si="18"/>
        <v>5822879.8309999993</v>
      </c>
      <c r="AO353" s="19">
        <f t="shared" si="18"/>
        <v>41538.935999999994</v>
      </c>
      <c r="AP353" s="19">
        <f t="shared" si="18"/>
        <v>3283225.9559999998</v>
      </c>
      <c r="AQ353" s="19">
        <f t="shared" si="18"/>
        <v>28141.688999999998</v>
      </c>
      <c r="AR353" s="19">
        <f t="shared" si="18"/>
        <v>45505.500999999997</v>
      </c>
      <c r="AS353" s="19">
        <f t="shared" si="18"/>
        <v>296002.19199999998</v>
      </c>
      <c r="AT353" s="19">
        <f t="shared" si="18"/>
        <v>19741.921999999999</v>
      </c>
      <c r="AU353" s="8">
        <f t="shared" si="18"/>
        <v>3388.4680000000008</v>
      </c>
      <c r="AV353" s="8">
        <f t="shared" si="18"/>
        <v>0</v>
      </c>
      <c r="AW353" s="19">
        <f t="shared" si="18"/>
        <v>77137.377999999997</v>
      </c>
      <c r="AX353" s="19">
        <f t="shared" si="18"/>
        <v>69836.341</v>
      </c>
      <c r="AY353" s="19">
        <f t="shared" si="18"/>
        <v>69657.374000000011</v>
      </c>
      <c r="AZ353" s="19">
        <f>AZ351-AZ339</f>
        <v>103428.87099999998</v>
      </c>
      <c r="BA353" s="19">
        <f t="shared" ref="BA353:BQ353" si="19">BA351-BA339</f>
        <v>13674.428999999996</v>
      </c>
      <c r="BB353" s="8">
        <f t="shared" si="19"/>
        <v>4849.8550000000005</v>
      </c>
      <c r="BC353" s="19">
        <f t="shared" si="19"/>
        <v>55583.822999999997</v>
      </c>
      <c r="BD353" s="8">
        <f t="shared" si="19"/>
        <v>7275.2039999999988</v>
      </c>
      <c r="BE353" s="19">
        <f t="shared" si="19"/>
        <v>12572.652000000002</v>
      </c>
      <c r="BF353" s="8">
        <f t="shared" si="19"/>
        <v>8056.610999999999</v>
      </c>
      <c r="BG353" s="8">
        <f t="shared" si="19"/>
        <v>1337.146</v>
      </c>
      <c r="BH353" s="8">
        <f t="shared" si="19"/>
        <v>1337.146</v>
      </c>
      <c r="BI353" s="8">
        <f t="shared" si="19"/>
        <v>3564.6690000000003</v>
      </c>
      <c r="BJ353" s="19">
        <f t="shared" si="19"/>
        <v>503651.87600000005</v>
      </c>
      <c r="BK353" s="8">
        <f t="shared" si="19"/>
        <v>3776.7010000000005</v>
      </c>
      <c r="BL353" s="8">
        <f t="shared" si="19"/>
        <v>-4.8579999999999997</v>
      </c>
      <c r="BM353" s="8">
        <f t="shared" si="19"/>
        <v>-1.1200000000000001</v>
      </c>
      <c r="BN353" s="8">
        <f t="shared" si="19"/>
        <v>-326.25800000000004</v>
      </c>
      <c r="BO353" s="8">
        <f t="shared" si="19"/>
        <v>-61.420999999999999</v>
      </c>
      <c r="BP353" s="8">
        <f t="shared" si="19"/>
        <v>-17.122</v>
      </c>
      <c r="BQ353" s="8">
        <f t="shared" si="19"/>
        <v>-86.238</v>
      </c>
      <c r="BR353" s="23"/>
    </row>
    <row r="354" spans="1:70" x14ac:dyDescent="0.2">
      <c r="E354" s="17">
        <f t="shared" ref="E354:N354" si="20">E4</f>
        <v>401</v>
      </c>
      <c r="F354" s="17">
        <f t="shared" si="20"/>
        <v>242</v>
      </c>
      <c r="G354" s="17">
        <f t="shared" si="20"/>
        <v>385</v>
      </c>
      <c r="H354" s="17">
        <f t="shared" si="20"/>
        <v>528</v>
      </c>
      <c r="I354" s="17">
        <f t="shared" si="20"/>
        <v>384</v>
      </c>
      <c r="J354" s="17">
        <f t="shared" si="20"/>
        <v>716</v>
      </c>
      <c r="K354" s="17">
        <f t="shared" si="20"/>
        <v>686</v>
      </c>
      <c r="L354" s="17">
        <f t="shared" si="20"/>
        <v>715</v>
      </c>
      <c r="M354" s="17">
        <f t="shared" si="20"/>
        <v>9916</v>
      </c>
      <c r="N354" s="17">
        <f t="shared" si="20"/>
        <v>1100</v>
      </c>
      <c r="O354" s="17">
        <f>O4</f>
        <v>801</v>
      </c>
      <c r="P354" s="17">
        <f t="shared" ref="P354:U354" si="21">P4</f>
        <v>804</v>
      </c>
      <c r="Q354" s="17">
        <f t="shared" si="21"/>
        <v>806</v>
      </c>
      <c r="R354" s="17">
        <f t="shared" si="21"/>
        <v>8765</v>
      </c>
      <c r="S354" s="17">
        <f t="shared" si="21"/>
        <v>8766</v>
      </c>
      <c r="T354" s="17">
        <f t="shared" si="21"/>
        <v>9418</v>
      </c>
      <c r="U354" s="17">
        <f t="shared" si="21"/>
        <v>9475</v>
      </c>
      <c r="V354" s="17">
        <f>V4</f>
        <v>9906</v>
      </c>
      <c r="W354" s="17">
        <f>W4</f>
        <v>7905</v>
      </c>
      <c r="X354" s="17">
        <f t="shared" ref="X354:AY354" si="22">X4</f>
        <v>7906</v>
      </c>
      <c r="Y354" s="17">
        <f t="shared" si="22"/>
        <v>7907</v>
      </c>
      <c r="Z354" s="17">
        <f t="shared" si="22"/>
        <v>7908</v>
      </c>
      <c r="AA354" s="17">
        <f t="shared" si="22"/>
        <v>7909</v>
      </c>
      <c r="AB354" s="17">
        <f t="shared" si="22"/>
        <v>11310</v>
      </c>
      <c r="AC354" s="17">
        <f t="shared" si="22"/>
        <v>11311</v>
      </c>
      <c r="AD354" s="17">
        <f t="shared" si="22"/>
        <v>11312</v>
      </c>
      <c r="AE354" s="17">
        <f t="shared" si="22"/>
        <v>11335</v>
      </c>
      <c r="AF354" s="17">
        <f t="shared" si="22"/>
        <v>9529</v>
      </c>
      <c r="AG354" s="17">
        <f t="shared" si="22"/>
        <v>961</v>
      </c>
      <c r="AH354" s="17">
        <f t="shared" si="22"/>
        <v>9528</v>
      </c>
      <c r="AI354" s="17">
        <f t="shared" si="22"/>
        <v>964</v>
      </c>
      <c r="AJ354" s="17">
        <f t="shared" si="22"/>
        <v>968</v>
      </c>
      <c r="AK354" s="17">
        <f t="shared" si="22"/>
        <v>8629</v>
      </c>
      <c r="AL354" s="17">
        <f t="shared" si="22"/>
        <v>13264</v>
      </c>
      <c r="AM354" s="17">
        <f t="shared" si="22"/>
        <v>9917</v>
      </c>
      <c r="AN354" s="17">
        <f t="shared" si="22"/>
        <v>13263</v>
      </c>
      <c r="AO354" s="17">
        <f t="shared" si="22"/>
        <v>13209</v>
      </c>
      <c r="AP354" s="17">
        <f t="shared" si="22"/>
        <v>13250</v>
      </c>
      <c r="AQ354" s="17">
        <f t="shared" si="22"/>
        <v>14281</v>
      </c>
      <c r="AR354" s="17">
        <f t="shared" si="22"/>
        <v>2049</v>
      </c>
      <c r="AS354" s="17">
        <f t="shared" si="22"/>
        <v>7975</v>
      </c>
      <c r="AT354" s="17">
        <f t="shared" si="22"/>
        <v>8004</v>
      </c>
      <c r="AU354" s="17">
        <f t="shared" si="22"/>
        <v>1008</v>
      </c>
      <c r="AV354" s="17">
        <f t="shared" si="22"/>
        <v>9484</v>
      </c>
      <c r="AW354" s="17">
        <f t="shared" si="22"/>
        <v>682</v>
      </c>
      <c r="AX354" s="17">
        <f t="shared" si="22"/>
        <v>11352</v>
      </c>
      <c r="AY354" s="17">
        <f t="shared" si="22"/>
        <v>2058</v>
      </c>
      <c r="AZ354" s="17">
        <f>AZ4</f>
        <v>15007</v>
      </c>
      <c r="BA354" s="17">
        <f t="shared" ref="BA354:BQ354" si="23">BA4</f>
        <v>15208</v>
      </c>
      <c r="BB354" s="17">
        <f t="shared" si="23"/>
        <v>15209</v>
      </c>
      <c r="BC354" s="17">
        <f t="shared" si="23"/>
        <v>15210</v>
      </c>
      <c r="BD354" s="17">
        <f t="shared" si="23"/>
        <v>15211</v>
      </c>
      <c r="BE354" s="17">
        <f t="shared" si="23"/>
        <v>15212</v>
      </c>
      <c r="BF354" s="17">
        <f t="shared" si="23"/>
        <v>15232</v>
      </c>
      <c r="BG354" s="17">
        <f t="shared" si="23"/>
        <v>15214</v>
      </c>
      <c r="BH354" s="17">
        <f t="shared" si="23"/>
        <v>15214</v>
      </c>
      <c r="BI354" s="17">
        <f t="shared" si="23"/>
        <v>15233</v>
      </c>
      <c r="BJ354" s="17">
        <f t="shared" si="23"/>
        <v>15234</v>
      </c>
      <c r="BK354" s="17">
        <f t="shared" si="23"/>
        <v>15215</v>
      </c>
      <c r="BL354" s="17">
        <f t="shared" si="23"/>
        <v>12088</v>
      </c>
      <c r="BM354" s="17">
        <f t="shared" si="23"/>
        <v>14282</v>
      </c>
      <c r="BN354" s="17">
        <f t="shared" si="23"/>
        <v>211</v>
      </c>
      <c r="BO354" s="17">
        <f t="shared" si="23"/>
        <v>8624</v>
      </c>
      <c r="BP354" s="17">
        <f t="shared" si="23"/>
        <v>9905</v>
      </c>
      <c r="BQ354" s="17">
        <f t="shared" si="23"/>
        <v>1190</v>
      </c>
      <c r="BR354" s="23"/>
    </row>
    <row r="355" spans="1:70" x14ac:dyDescent="0.2">
      <c r="A355" t="s">
        <v>608</v>
      </c>
      <c r="E355" s="18">
        <f t="shared" ref="E355:AN355" si="24">E344/E351</f>
        <v>0.1096540108814166</v>
      </c>
      <c r="F355" s="18">
        <f t="shared" si="24"/>
        <v>0.17457432386854513</v>
      </c>
      <c r="G355" s="18">
        <f t="shared" si="24"/>
        <v>4.9568928510001192E-2</v>
      </c>
      <c r="H355" s="18">
        <f t="shared" si="24"/>
        <v>2.1167335450614666E-2</v>
      </c>
      <c r="I355" s="18">
        <f t="shared" si="24"/>
        <v>9.63202327091678E-2</v>
      </c>
      <c r="J355" s="18">
        <f t="shared" si="24"/>
        <v>4.1457624565081938E-2</v>
      </c>
      <c r="K355" s="18">
        <f t="shared" si="24"/>
        <v>0</v>
      </c>
      <c r="L355" s="18">
        <f t="shared" si="24"/>
        <v>2.193957499270471E-2</v>
      </c>
      <c r="M355" s="18">
        <f t="shared" si="24"/>
        <v>0.20767020879012885</v>
      </c>
      <c r="N355" s="18">
        <f t="shared" si="24"/>
        <v>7.8056135040475941E-2</v>
      </c>
      <c r="O355" s="18">
        <f>O344/O351</f>
        <v>1.7280740787121645E-2</v>
      </c>
      <c r="P355" s="18">
        <f t="shared" si="24"/>
        <v>0.74424125240573646</v>
      </c>
      <c r="Q355" s="18">
        <f t="shared" si="24"/>
        <v>2.3812259785757978E-2</v>
      </c>
      <c r="R355" s="18">
        <f t="shared" si="24"/>
        <v>0.53301100891638897</v>
      </c>
      <c r="S355" s="18">
        <f t="shared" si="24"/>
        <v>0.30572077648374563</v>
      </c>
      <c r="T355" s="18">
        <f t="shared" si="24"/>
        <v>0.17342533264656546</v>
      </c>
      <c r="U355" s="18">
        <f t="shared" si="24"/>
        <v>4.8525113517952162E-2</v>
      </c>
      <c r="V355" s="18">
        <f t="shared" si="24"/>
        <v>3.0370368860505856E-2</v>
      </c>
      <c r="W355" s="18">
        <f t="shared" si="24"/>
        <v>6.9971541600826512E-2</v>
      </c>
      <c r="X355" s="18">
        <f t="shared" si="24"/>
        <v>9.5199576439278191E-2</v>
      </c>
      <c r="Y355" s="18">
        <f t="shared" si="24"/>
        <v>0.10753195193247453</v>
      </c>
      <c r="Z355" s="18">
        <f t="shared" si="24"/>
        <v>0.1847622521052964</v>
      </c>
      <c r="AA355" s="18">
        <f t="shared" si="24"/>
        <v>0.55755890186549839</v>
      </c>
      <c r="AB355" s="18">
        <f t="shared" si="24"/>
        <v>0.10622591539401026</v>
      </c>
      <c r="AC355" s="18">
        <f t="shared" si="24"/>
        <v>0.7586814693305497</v>
      </c>
      <c r="AD355" s="18">
        <f t="shared" si="24"/>
        <v>0.19045673279111966</v>
      </c>
      <c r="AE355" s="18">
        <f t="shared" si="24"/>
        <v>0.29688026514805177</v>
      </c>
      <c r="AF355" s="18">
        <f t="shared" si="24"/>
        <v>0.19599373236164977</v>
      </c>
      <c r="AG355" s="18">
        <f t="shared" si="24"/>
        <v>0.33404219790841083</v>
      </c>
      <c r="AH355" s="18">
        <f t="shared" si="24"/>
        <v>0.30758234098898424</v>
      </c>
      <c r="AI355" s="18">
        <f t="shared" si="24"/>
        <v>0.16797327123717956</v>
      </c>
      <c r="AJ355" s="18">
        <f t="shared" si="24"/>
        <v>0.3129279831348038</v>
      </c>
      <c r="AK355" s="18">
        <f t="shared" si="24"/>
        <v>0.53904645026978992</v>
      </c>
      <c r="AL355" s="18">
        <f t="shared" si="24"/>
        <v>0.71309171095289847</v>
      </c>
      <c r="AM355" s="18">
        <f t="shared" si="24"/>
        <v>0</v>
      </c>
      <c r="AN355" s="18">
        <f t="shared" si="24"/>
        <v>0.71229181442470335</v>
      </c>
      <c r="AO355" s="18">
        <f>AO344/AO351</f>
        <v>1.5780279013405642E-2</v>
      </c>
      <c r="AP355" s="18">
        <f>AP344/AP351</f>
        <v>0.71432439936521996</v>
      </c>
      <c r="AQ355" s="18">
        <f>AQ344/AQ351</f>
        <v>0.22181536438697763</v>
      </c>
      <c r="AR355" s="18">
        <f>AR344/AR351</f>
        <v>0.10411037997362123</v>
      </c>
      <c r="AS355" s="18">
        <f t="shared" ref="AS355:AY355" si="25">AS344/AS351</f>
        <v>0.34265542871385224</v>
      </c>
      <c r="AT355" s="18">
        <f t="shared" si="25"/>
        <v>9.8287694582118196E-2</v>
      </c>
      <c r="AU355" s="18">
        <f t="shared" si="25"/>
        <v>0.16595464380953276</v>
      </c>
      <c r="AV355" s="18" t="e">
        <f t="shared" si="25"/>
        <v>#DIV/0!</v>
      </c>
      <c r="AW355" s="18">
        <f t="shared" si="25"/>
        <v>0.15490059825471381</v>
      </c>
      <c r="AX355" s="18">
        <f t="shared" si="25"/>
        <v>9.7809863778516123E-2</v>
      </c>
      <c r="AY355" s="18">
        <f t="shared" si="25"/>
        <v>0.10166251745292607</v>
      </c>
      <c r="AZ355" s="18">
        <f>AZ344/AZ351</f>
        <v>0.15630933455707935</v>
      </c>
      <c r="BA355" s="18">
        <f t="shared" ref="BA355:BQ355" si="26">BA344/BA351</f>
        <v>0.17196257335498252</v>
      </c>
      <c r="BB355" s="18">
        <f t="shared" si="26"/>
        <v>7.6546412212323875E-2</v>
      </c>
      <c r="BC355" s="18">
        <f t="shared" si="26"/>
        <v>0.15441537729421742</v>
      </c>
      <c r="BD355" s="18">
        <f t="shared" si="26"/>
        <v>0.20187915005544863</v>
      </c>
      <c r="BE355" s="18">
        <f t="shared" si="26"/>
        <v>8.9001588527225589E-2</v>
      </c>
      <c r="BF355" s="18">
        <f t="shared" si="26"/>
        <v>8.4930748176869908E-2</v>
      </c>
      <c r="BG355" s="18">
        <f t="shared" si="26"/>
        <v>0.26237449014542913</v>
      </c>
      <c r="BH355" s="18">
        <f t="shared" si="26"/>
        <v>0.26237449014542913</v>
      </c>
      <c r="BI355" s="18">
        <f t="shared" si="26"/>
        <v>7.3035112095961779E-2</v>
      </c>
      <c r="BJ355" s="18">
        <f t="shared" si="26"/>
        <v>0.62255854875441785</v>
      </c>
      <c r="BK355" s="18">
        <f t="shared" si="26"/>
        <v>0.17847295827760787</v>
      </c>
      <c r="BL355" s="18">
        <f t="shared" si="26"/>
        <v>0</v>
      </c>
      <c r="BM355" s="18">
        <f t="shared" si="26"/>
        <v>0</v>
      </c>
      <c r="BN355" s="18">
        <f t="shared" si="26"/>
        <v>0</v>
      </c>
      <c r="BO355" s="18">
        <f t="shared" si="26"/>
        <v>0</v>
      </c>
      <c r="BP355" s="18">
        <f t="shared" si="26"/>
        <v>0</v>
      </c>
      <c r="BQ355" s="18">
        <f t="shared" si="26"/>
        <v>0</v>
      </c>
      <c r="BR355" s="23"/>
    </row>
    <row r="356" spans="1:70" x14ac:dyDescent="0.2">
      <c r="A356" t="s">
        <v>609</v>
      </c>
      <c r="E356" s="18">
        <f t="shared" ref="E356:AN356" si="27">E345/E351</f>
        <v>0.22884814345521859</v>
      </c>
      <c r="F356" s="18">
        <f t="shared" si="27"/>
        <v>0.16658154196296215</v>
      </c>
      <c r="G356" s="18">
        <f t="shared" si="27"/>
        <v>0.34977601869479469</v>
      </c>
      <c r="H356" s="18">
        <f t="shared" si="27"/>
        <v>0</v>
      </c>
      <c r="I356" s="18">
        <f t="shared" si="27"/>
        <v>0.36402605039821595</v>
      </c>
      <c r="J356" s="18">
        <f t="shared" si="27"/>
        <v>0.3473676847878357</v>
      </c>
      <c r="K356" s="18">
        <f t="shared" si="27"/>
        <v>0</v>
      </c>
      <c r="L356" s="18">
        <f t="shared" si="27"/>
        <v>0.76393879926055686</v>
      </c>
      <c r="M356" s="18">
        <f t="shared" si="27"/>
        <v>6.2111113485975082E-2</v>
      </c>
      <c r="N356" s="18">
        <f t="shared" si="27"/>
        <v>0.19282420319056282</v>
      </c>
      <c r="O356" s="18">
        <f>O345/O351</f>
        <v>0.77301440774893238</v>
      </c>
      <c r="P356" s="18">
        <f t="shared" si="27"/>
        <v>5.6661574272843657E-3</v>
      </c>
      <c r="Q356" s="18">
        <f t="shared" si="27"/>
        <v>0.78340712541601942</v>
      </c>
      <c r="R356" s="18">
        <f t="shared" si="27"/>
        <v>0.14557669500192333</v>
      </c>
      <c r="S356" s="18">
        <f t="shared" si="27"/>
        <v>0.19914051998275348</v>
      </c>
      <c r="T356" s="18">
        <f t="shared" si="27"/>
        <v>0.16620876010988997</v>
      </c>
      <c r="U356" s="18">
        <f t="shared" si="27"/>
        <v>0.95270390209068156</v>
      </c>
      <c r="V356" s="18">
        <f t="shared" si="27"/>
        <v>0.76538970650136517</v>
      </c>
      <c r="W356" s="18">
        <f t="shared" si="27"/>
        <v>0.27578805623021874</v>
      </c>
      <c r="X356" s="18">
        <f t="shared" si="27"/>
        <v>0.23194039802368743</v>
      </c>
      <c r="Y356" s="18">
        <f t="shared" si="27"/>
        <v>0.10399263819697172</v>
      </c>
      <c r="Z356" s="18">
        <f t="shared" si="27"/>
        <v>0.14689864859945526</v>
      </c>
      <c r="AA356" s="18">
        <f t="shared" si="27"/>
        <v>5.6634099380016675E-4</v>
      </c>
      <c r="AB356" s="18">
        <f t="shared" si="27"/>
        <v>0.31079192321928956</v>
      </c>
      <c r="AC356" s="18">
        <f t="shared" si="27"/>
        <v>4.5195471990486539E-3</v>
      </c>
      <c r="AD356" s="18">
        <f t="shared" si="27"/>
        <v>0.13461722864556805</v>
      </c>
      <c r="AE356" s="18">
        <f t="shared" si="27"/>
        <v>0.16077298293973988</v>
      </c>
      <c r="AF356" s="18">
        <f t="shared" si="27"/>
        <v>0.13487558409596692</v>
      </c>
      <c r="AG356" s="18">
        <f t="shared" si="27"/>
        <v>3.1013397634096E-2</v>
      </c>
      <c r="AH356" s="18">
        <f t="shared" si="27"/>
        <v>0.1274575200740764</v>
      </c>
      <c r="AI356" s="18">
        <f t="shared" si="27"/>
        <v>0.12429723081490404</v>
      </c>
      <c r="AJ356" s="18">
        <f t="shared" si="27"/>
        <v>2.8847366964936179E-2</v>
      </c>
      <c r="AK356" s="18">
        <f t="shared" si="27"/>
        <v>5.7555915557597193E-4</v>
      </c>
      <c r="AL356" s="18">
        <f t="shared" si="27"/>
        <v>8.3169350906881573E-2</v>
      </c>
      <c r="AM356" s="18">
        <f t="shared" si="27"/>
        <v>0</v>
      </c>
      <c r="AN356" s="18">
        <f t="shared" si="27"/>
        <v>8.3276637518504892E-2</v>
      </c>
      <c r="AO356" s="18">
        <f>AO345/AO351</f>
        <v>0.79658407716557789</v>
      </c>
      <c r="AP356" s="18">
        <f>AP345/AP351</f>
        <v>8.3440290942924072E-2</v>
      </c>
      <c r="AQ356" s="18">
        <f>AQ345/AQ351</f>
        <v>0.19814016848811034</v>
      </c>
      <c r="AR356" s="18">
        <f>AR345/AR351</f>
        <v>0</v>
      </c>
      <c r="AS356" s="18">
        <f t="shared" ref="AS356:AY356" si="28">AS345/AS351</f>
        <v>3.1480185795380873E-2</v>
      </c>
      <c r="AT356" s="18">
        <f t="shared" si="28"/>
        <v>0</v>
      </c>
      <c r="AU356" s="18">
        <f t="shared" si="28"/>
        <v>0.33420649095697519</v>
      </c>
      <c r="AV356" s="18" t="e">
        <f t="shared" si="28"/>
        <v>#DIV/0!</v>
      </c>
      <c r="AW356" s="18">
        <f t="shared" si="28"/>
        <v>0.38822379988077893</v>
      </c>
      <c r="AX356" s="18">
        <f t="shared" si="28"/>
        <v>0</v>
      </c>
      <c r="AY356" s="18">
        <f t="shared" si="28"/>
        <v>0</v>
      </c>
      <c r="AZ356" s="18">
        <f>AZ345/AZ351</f>
        <v>9.7996138815050982E-2</v>
      </c>
      <c r="BA356" s="18">
        <f t="shared" ref="BA356:BQ356" si="29">BA345/BA351</f>
        <v>0.22267079671114606</v>
      </c>
      <c r="BB356" s="18">
        <f t="shared" si="29"/>
        <v>1.4516928856635919E-2</v>
      </c>
      <c r="BC356" s="18">
        <f t="shared" si="29"/>
        <v>9.8220807877860444E-2</v>
      </c>
      <c r="BD356" s="18">
        <f t="shared" si="29"/>
        <v>0.14726831027693521</v>
      </c>
      <c r="BE356" s="18">
        <f t="shared" si="29"/>
        <v>0.25588324563504977</v>
      </c>
      <c r="BF356" s="18">
        <f t="shared" si="29"/>
        <v>1.4386446112391428E-2</v>
      </c>
      <c r="BG356" s="18">
        <f t="shared" si="29"/>
        <v>0.16057184480976647</v>
      </c>
      <c r="BH356" s="18">
        <f t="shared" si="29"/>
        <v>0.16057184480976647</v>
      </c>
      <c r="BI356" s="18">
        <f t="shared" si="29"/>
        <v>1.4572180474540552E-2</v>
      </c>
      <c r="BJ356" s="18">
        <f t="shared" si="29"/>
        <v>7.1644349439492605E-2</v>
      </c>
      <c r="BK356" s="18">
        <f t="shared" si="29"/>
        <v>0.21488410123014767</v>
      </c>
      <c r="BL356" s="18">
        <f t="shared" si="29"/>
        <v>0</v>
      </c>
      <c r="BM356" s="18">
        <f t="shared" si="29"/>
        <v>0</v>
      </c>
      <c r="BN356" s="18">
        <f t="shared" si="29"/>
        <v>0</v>
      </c>
      <c r="BO356" s="18">
        <f t="shared" si="29"/>
        <v>0</v>
      </c>
      <c r="BP356" s="18">
        <f t="shared" si="29"/>
        <v>0</v>
      </c>
      <c r="BQ356" s="18">
        <f t="shared" si="29"/>
        <v>0</v>
      </c>
      <c r="BR356" s="23"/>
    </row>
    <row r="357" spans="1:70" x14ac:dyDescent="0.2">
      <c r="A357" t="s">
        <v>610</v>
      </c>
      <c r="E357" s="18">
        <f t="shared" ref="E357:AN357" si="30">E346/E351</f>
        <v>0.21985460296271611</v>
      </c>
      <c r="F357" s="18">
        <f t="shared" si="30"/>
        <v>0.27984805554879583</v>
      </c>
      <c r="G357" s="18">
        <f t="shared" si="30"/>
        <v>0.45074363688085267</v>
      </c>
      <c r="H357" s="18">
        <f t="shared" si="30"/>
        <v>6.6587959213529377E-2</v>
      </c>
      <c r="I357" s="18">
        <f t="shared" si="30"/>
        <v>0.30737775288250963</v>
      </c>
      <c r="J357" s="18">
        <f t="shared" si="30"/>
        <v>0.45247759419448536</v>
      </c>
      <c r="K357" s="18">
        <f t="shared" si="30"/>
        <v>0</v>
      </c>
      <c r="L357" s="18">
        <f t="shared" si="30"/>
        <v>0.17743788919704909</v>
      </c>
      <c r="M357" s="18">
        <f t="shared" si="30"/>
        <v>8.6489582668684686E-2</v>
      </c>
      <c r="N357" s="18">
        <f t="shared" si="30"/>
        <v>0.35217095331765097</v>
      </c>
      <c r="O357" s="18">
        <f>O346/O351</f>
        <v>0.20992128600326079</v>
      </c>
      <c r="P357" s="18">
        <f t="shared" si="30"/>
        <v>0</v>
      </c>
      <c r="Q357" s="18">
        <f t="shared" si="30"/>
        <v>3.4357577456816516E-3</v>
      </c>
      <c r="R357" s="18">
        <f t="shared" si="30"/>
        <v>0.23110408177523092</v>
      </c>
      <c r="S357" s="18">
        <f t="shared" si="30"/>
        <v>0.44922780375101612</v>
      </c>
      <c r="T357" s="18">
        <f t="shared" si="30"/>
        <v>0.37671322153728143</v>
      </c>
      <c r="U357" s="18">
        <f t="shared" si="30"/>
        <v>0</v>
      </c>
      <c r="V357" s="18">
        <f t="shared" si="30"/>
        <v>0.1777748854665781</v>
      </c>
      <c r="W357" s="18">
        <f t="shared" si="30"/>
        <v>0.51418508239424288</v>
      </c>
      <c r="X357" s="18">
        <f t="shared" si="30"/>
        <v>0.40265017803976472</v>
      </c>
      <c r="Y357" s="18">
        <f t="shared" si="30"/>
        <v>0</v>
      </c>
      <c r="Z357" s="18">
        <f t="shared" si="30"/>
        <v>0.11621453166447718</v>
      </c>
      <c r="AA357" s="18">
        <f t="shared" si="30"/>
        <v>9.664511279176119E-2</v>
      </c>
      <c r="AB357" s="18">
        <f t="shared" si="30"/>
        <v>0.4597343023880725</v>
      </c>
      <c r="AC357" s="18">
        <f t="shared" si="30"/>
        <v>0</v>
      </c>
      <c r="AD357" s="18">
        <f t="shared" si="30"/>
        <v>0.2955181256801076</v>
      </c>
      <c r="AE357" s="18">
        <f t="shared" si="30"/>
        <v>0.23850184088701087</v>
      </c>
      <c r="AF357" s="18">
        <f t="shared" si="30"/>
        <v>8.0921884857803661E-2</v>
      </c>
      <c r="AG357" s="18">
        <f t="shared" si="30"/>
        <v>1.1726075828688606E-2</v>
      </c>
      <c r="AH357" s="18">
        <f t="shared" si="30"/>
        <v>0.22613147064468866</v>
      </c>
      <c r="AI357" s="18">
        <f t="shared" si="30"/>
        <v>0.11932372188669542</v>
      </c>
      <c r="AJ357" s="18">
        <f t="shared" si="30"/>
        <v>1.0325137878275317E-2</v>
      </c>
      <c r="AK357" s="18">
        <f t="shared" si="30"/>
        <v>9.2441953313256386E-2</v>
      </c>
      <c r="AL357" s="18">
        <f t="shared" si="30"/>
        <v>0</v>
      </c>
      <c r="AM357" s="18">
        <f t="shared" si="30"/>
        <v>0</v>
      </c>
      <c r="AN357" s="18">
        <f t="shared" si="30"/>
        <v>0</v>
      </c>
      <c r="AO357" s="18">
        <f>AO346/AO351</f>
        <v>0.18502031443463071</v>
      </c>
      <c r="AP357" s="18">
        <f>AP346/AP351</f>
        <v>0</v>
      </c>
      <c r="AQ357" s="18">
        <f>AQ346/AQ351</f>
        <v>0.29399383242420168</v>
      </c>
      <c r="AR357" s="18">
        <f>AR346/AR351</f>
        <v>0</v>
      </c>
      <c r="AS357" s="18">
        <f t="shared" ref="AS357:AY357" si="31">AS346/AS351</f>
        <v>1.1498877683986882E-2</v>
      </c>
      <c r="AT357" s="18">
        <f t="shared" si="31"/>
        <v>0</v>
      </c>
      <c r="AU357" s="18">
        <f t="shared" si="31"/>
        <v>0.23115077374199786</v>
      </c>
      <c r="AV357" s="18" t="e">
        <f t="shared" si="31"/>
        <v>#DIV/0!</v>
      </c>
      <c r="AW357" s="18">
        <f t="shared" si="31"/>
        <v>0.32547353372576393</v>
      </c>
      <c r="AX357" s="18">
        <f t="shared" si="31"/>
        <v>0</v>
      </c>
      <c r="AY357" s="18">
        <f t="shared" si="31"/>
        <v>0</v>
      </c>
      <c r="AZ357" s="18">
        <f>AZ346/AZ351</f>
        <v>0</v>
      </c>
      <c r="BA357" s="18">
        <f t="shared" ref="BA357:BQ357" si="32">BA346/BA351</f>
        <v>0.48284604790444996</v>
      </c>
      <c r="BB357" s="18">
        <f t="shared" si="32"/>
        <v>2.8580029712228502E-2</v>
      </c>
      <c r="BC357" s="18">
        <f t="shared" si="32"/>
        <v>0</v>
      </c>
      <c r="BD357" s="18">
        <f t="shared" si="32"/>
        <v>0.33659262338210727</v>
      </c>
      <c r="BE357" s="18">
        <f t="shared" si="32"/>
        <v>0.62866410364336811</v>
      </c>
      <c r="BF357" s="18">
        <f t="shared" si="32"/>
        <v>2.8322951176369324E-2</v>
      </c>
      <c r="BG357" s="18">
        <f t="shared" si="32"/>
        <v>0.2982733373917284</v>
      </c>
      <c r="BH357" s="18">
        <f t="shared" si="32"/>
        <v>0.2982733373917284</v>
      </c>
      <c r="BI357" s="18">
        <f t="shared" si="32"/>
        <v>2.8688778677627567E-2</v>
      </c>
      <c r="BJ357" s="18">
        <f t="shared" si="32"/>
        <v>0.1012745498043176</v>
      </c>
      <c r="BK357" s="18">
        <f t="shared" si="32"/>
        <v>0.5838569163934344</v>
      </c>
      <c r="BL357" s="18">
        <f t="shared" si="32"/>
        <v>0</v>
      </c>
      <c r="BM357" s="18">
        <f t="shared" si="32"/>
        <v>0</v>
      </c>
      <c r="BN357" s="18">
        <f t="shared" si="32"/>
        <v>0</v>
      </c>
      <c r="BO357" s="18">
        <f t="shared" si="32"/>
        <v>0</v>
      </c>
      <c r="BP357" s="18">
        <f t="shared" si="32"/>
        <v>0</v>
      </c>
      <c r="BQ357" s="18">
        <f t="shared" si="32"/>
        <v>0</v>
      </c>
      <c r="BR357" s="23"/>
    </row>
    <row r="358" spans="1:70" x14ac:dyDescent="0.2">
      <c r="A358" t="s">
        <v>611</v>
      </c>
      <c r="E358" s="18">
        <f t="shared" ref="E358:AN358" si="33">E347/E351</f>
        <v>0.14082165382561806</v>
      </c>
      <c r="F358" s="18">
        <f t="shared" si="33"/>
        <v>0.2589669008180227</v>
      </c>
      <c r="G358" s="18">
        <f t="shared" si="33"/>
        <v>2.3589193252717124E-4</v>
      </c>
      <c r="H358" s="18">
        <f t="shared" si="33"/>
        <v>1.2316981033627324E-2</v>
      </c>
      <c r="I358" s="18">
        <f t="shared" si="33"/>
        <v>7.9703045018708854E-2</v>
      </c>
      <c r="J358" s="18">
        <f t="shared" si="33"/>
        <v>2.414298442306323E-4</v>
      </c>
      <c r="K358" s="18">
        <f t="shared" si="33"/>
        <v>0</v>
      </c>
      <c r="L358" s="18">
        <f t="shared" si="33"/>
        <v>0</v>
      </c>
      <c r="M358" s="18">
        <f t="shared" si="33"/>
        <v>0.33342955735018448</v>
      </c>
      <c r="N358" s="18">
        <f t="shared" si="33"/>
        <v>8.7715036697250073E-2</v>
      </c>
      <c r="O358" s="18">
        <f>O347/O351</f>
        <v>0</v>
      </c>
      <c r="P358" s="18">
        <f t="shared" si="33"/>
        <v>0.22520391405812856</v>
      </c>
      <c r="Q358" s="18">
        <f t="shared" si="33"/>
        <v>1.7591940475288955E-3</v>
      </c>
      <c r="R358" s="18">
        <f t="shared" si="33"/>
        <v>7.4378996613741824E-2</v>
      </c>
      <c r="S358" s="18">
        <f t="shared" si="33"/>
        <v>4.9050893188194548E-3</v>
      </c>
      <c r="T358" s="18">
        <f t="shared" si="33"/>
        <v>0.25514375887303586</v>
      </c>
      <c r="U358" s="18">
        <f t="shared" si="33"/>
        <v>0</v>
      </c>
      <c r="V358" s="18">
        <f t="shared" si="33"/>
        <v>0</v>
      </c>
      <c r="W358" s="18">
        <f t="shared" si="33"/>
        <v>3.0344619903691512E-4</v>
      </c>
      <c r="X358" s="18">
        <f t="shared" si="33"/>
        <v>9.4155406799174238E-2</v>
      </c>
      <c r="Y358" s="18">
        <f t="shared" si="33"/>
        <v>0.791549910360688</v>
      </c>
      <c r="Z358" s="18">
        <f t="shared" si="33"/>
        <v>0.27403246621010513</v>
      </c>
      <c r="AA358" s="18">
        <f t="shared" si="33"/>
        <v>0.3459334120222185</v>
      </c>
      <c r="AB358" s="18">
        <f t="shared" si="33"/>
        <v>2.4832135389566383E-4</v>
      </c>
      <c r="AC358" s="18">
        <f t="shared" si="33"/>
        <v>0.20433106266129858</v>
      </c>
      <c r="AD358" s="18">
        <f t="shared" si="33"/>
        <v>0.27860331222243845</v>
      </c>
      <c r="AE358" s="18">
        <f t="shared" si="33"/>
        <v>0.29991668735360077</v>
      </c>
      <c r="AF358" s="18">
        <f t="shared" si="33"/>
        <v>0.25034365594481711</v>
      </c>
      <c r="AG358" s="18">
        <f t="shared" si="33"/>
        <v>0.589979913500144</v>
      </c>
      <c r="AH358" s="18">
        <f t="shared" si="33"/>
        <v>0.31926899775643747</v>
      </c>
      <c r="AI358" s="18">
        <f t="shared" si="33"/>
        <v>0.26756841044699553</v>
      </c>
      <c r="AJ358" s="18">
        <f t="shared" si="33"/>
        <v>0.54836613816705637</v>
      </c>
      <c r="AK358" s="18">
        <f t="shared" si="33"/>
        <v>0.36512413861248966</v>
      </c>
      <c r="AL358" s="18">
        <f t="shared" si="33"/>
        <v>0.17233973384763912</v>
      </c>
      <c r="AM358" s="18">
        <f t="shared" si="33"/>
        <v>0</v>
      </c>
      <c r="AN358" s="18">
        <f t="shared" si="33"/>
        <v>0.17256204647236179</v>
      </c>
      <c r="AO358" s="18">
        <f>AO347/AO351</f>
        <v>0</v>
      </c>
      <c r="AP358" s="18">
        <f>AP347/AP351</f>
        <v>0.1729011623347437</v>
      </c>
      <c r="AQ358" s="18">
        <f>AQ347/AQ351</f>
        <v>0.27373062078825477</v>
      </c>
      <c r="AR358" s="18">
        <f>AR347/AR351</f>
        <v>0.89602514210314921</v>
      </c>
      <c r="AS358" s="18">
        <f t="shared" ref="AS358:AY358" si="34">AS347/AS351</f>
        <v>0.59324326219854473</v>
      </c>
      <c r="AT358" s="18">
        <f t="shared" si="34"/>
        <v>0.90597364329572372</v>
      </c>
      <c r="AU358" s="18">
        <f t="shared" si="34"/>
        <v>0.21106470534766741</v>
      </c>
      <c r="AV358" s="18" t="e">
        <f t="shared" si="34"/>
        <v>#DIV/0!</v>
      </c>
      <c r="AW358" s="18">
        <f t="shared" si="34"/>
        <v>0.11751033331726676</v>
      </c>
      <c r="AX358" s="18">
        <f t="shared" si="34"/>
        <v>0.90218924843155801</v>
      </c>
      <c r="AY358" s="18">
        <f t="shared" si="34"/>
        <v>0.89881892475590586</v>
      </c>
      <c r="AZ358" s="18">
        <f>AZ347/AZ351</f>
        <v>0.74590683678641345</v>
      </c>
      <c r="BA358" s="18">
        <f t="shared" ref="BA358:BQ358" si="35">BA347/BA351</f>
        <v>0.10244062110381356</v>
      </c>
      <c r="BB358" s="18">
        <f t="shared" si="35"/>
        <v>0.84565270508087353</v>
      </c>
      <c r="BC358" s="18">
        <f t="shared" si="35"/>
        <v>0.74761593854384578</v>
      </c>
      <c r="BD358" s="18">
        <f t="shared" si="35"/>
        <v>0.29775769861573648</v>
      </c>
      <c r="BE358" s="18">
        <f t="shared" si="35"/>
        <v>2.5173686506235911E-4</v>
      </c>
      <c r="BF358" s="18">
        <f t="shared" si="35"/>
        <v>0.83804728812151907</v>
      </c>
      <c r="BG358" s="18">
        <f t="shared" si="35"/>
        <v>0.26373185874990462</v>
      </c>
      <c r="BH358" s="18">
        <f t="shared" si="35"/>
        <v>0.26373185874990462</v>
      </c>
      <c r="BI358" s="18">
        <f t="shared" si="35"/>
        <v>0.84887488852401161</v>
      </c>
      <c r="BJ358" s="18">
        <f t="shared" si="35"/>
        <v>0.20316584902386028</v>
      </c>
      <c r="BK358" s="18">
        <f t="shared" si="35"/>
        <v>2.4518753271704589E-4</v>
      </c>
      <c r="BL358" s="18">
        <f t="shared" si="35"/>
        <v>0</v>
      </c>
      <c r="BM358" s="18">
        <f t="shared" si="35"/>
        <v>-1.7857142857142857E-3</v>
      </c>
      <c r="BN358" s="18">
        <f t="shared" si="35"/>
        <v>0</v>
      </c>
      <c r="BO358" s="18">
        <f t="shared" si="35"/>
        <v>0</v>
      </c>
      <c r="BP358" s="18">
        <f t="shared" si="35"/>
        <v>0</v>
      </c>
      <c r="BQ358" s="18">
        <f t="shared" si="35"/>
        <v>0</v>
      </c>
      <c r="BR358" s="23"/>
    </row>
    <row r="359" spans="1:70" x14ac:dyDescent="0.2">
      <c r="A359" t="s">
        <v>612</v>
      </c>
      <c r="E359" s="18">
        <f t="shared" ref="E359:AN359" si="36">E348/E351</f>
        <v>9.1583119642709501E-2</v>
      </c>
      <c r="F359" s="18">
        <f t="shared" si="36"/>
        <v>4.9801276746916964E-2</v>
      </c>
      <c r="G359" s="18">
        <f t="shared" si="36"/>
        <v>8.722551463334012E-2</v>
      </c>
      <c r="H359" s="18">
        <f t="shared" si="36"/>
        <v>0.8795775458021351</v>
      </c>
      <c r="I359" s="18">
        <f t="shared" si="36"/>
        <v>8.4369013510988175E-2</v>
      </c>
      <c r="J359" s="18">
        <f t="shared" si="36"/>
        <v>9.593816261511337E-2</v>
      </c>
      <c r="K359" s="18">
        <f t="shared" si="36"/>
        <v>0</v>
      </c>
      <c r="L359" s="18">
        <f t="shared" si="36"/>
        <v>2.1702917450071191E-2</v>
      </c>
      <c r="M359" s="18">
        <f t="shared" si="36"/>
        <v>7.0577346624947732E-2</v>
      </c>
      <c r="N359" s="18">
        <f t="shared" si="36"/>
        <v>0.11133342008443359</v>
      </c>
      <c r="O359" s="18">
        <f>O348/O351</f>
        <v>0</v>
      </c>
      <c r="P359" s="18">
        <f t="shared" si="36"/>
        <v>0</v>
      </c>
      <c r="Q359" s="18">
        <f t="shared" si="36"/>
        <v>0.11815921711093846</v>
      </c>
      <c r="R359" s="18">
        <f t="shared" si="36"/>
        <v>0</v>
      </c>
      <c r="S359" s="18">
        <f t="shared" si="36"/>
        <v>4.4760981124145382E-3</v>
      </c>
      <c r="T359" s="18">
        <f t="shared" si="36"/>
        <v>-4.7736238693924498E-3</v>
      </c>
      <c r="U359" s="18">
        <f t="shared" si="36"/>
        <v>0</v>
      </c>
      <c r="V359" s="18">
        <f t="shared" si="36"/>
        <v>1.1604288385966109E-2</v>
      </c>
      <c r="W359" s="18">
        <f t="shared" si="36"/>
        <v>8.3901041671545162E-2</v>
      </c>
      <c r="X359" s="18">
        <f t="shared" si="36"/>
        <v>0.11174437887989944</v>
      </c>
      <c r="Y359" s="18">
        <f t="shared" si="36"/>
        <v>0</v>
      </c>
      <c r="Z359" s="18">
        <f t="shared" si="36"/>
        <v>0.12294598043395311</v>
      </c>
      <c r="AA359" s="18">
        <f t="shared" si="36"/>
        <v>0</v>
      </c>
      <c r="AB359" s="18">
        <f t="shared" si="36"/>
        <v>6.4456357747768811E-2</v>
      </c>
      <c r="AC359" s="18">
        <f t="shared" si="36"/>
        <v>-1.3752690094374245E-5</v>
      </c>
      <c r="AD359" s="18">
        <f t="shared" si="36"/>
        <v>5.2397295468201474E-2</v>
      </c>
      <c r="AE359" s="18">
        <f t="shared" si="36"/>
        <v>0</v>
      </c>
      <c r="AF359" s="18">
        <f t="shared" si="36"/>
        <v>0.13199562797809988</v>
      </c>
      <c r="AG359" s="18">
        <f t="shared" si="36"/>
        <v>2.4605122463905822E-3</v>
      </c>
      <c r="AH359" s="18">
        <f t="shared" si="36"/>
        <v>1.4344884353714997E-2</v>
      </c>
      <c r="AI359" s="18">
        <f t="shared" si="36"/>
        <v>0.10200197005676603</v>
      </c>
      <c r="AJ359" s="18">
        <f t="shared" si="36"/>
        <v>6.073806210932664E-2</v>
      </c>
      <c r="AK359" s="18">
        <f t="shared" si="36"/>
        <v>3.372494888545625E-5</v>
      </c>
      <c r="AL359" s="18">
        <f t="shared" si="36"/>
        <v>3.3575455273331691E-6</v>
      </c>
      <c r="AM359" s="18">
        <f t="shared" si="36"/>
        <v>0</v>
      </c>
      <c r="AN359" s="18">
        <f t="shared" si="36"/>
        <v>1.9876419118909345E-5</v>
      </c>
      <c r="AO359" s="18">
        <f>AO348/AO351</f>
        <v>1.321615459770082E-2</v>
      </c>
      <c r="AP359" s="18">
        <f>AP348/AP351</f>
        <v>1.9327850367420769E-4</v>
      </c>
      <c r="AQ359" s="18">
        <f>AQ348/AQ351</f>
        <v>-5.9445969998460297E-3</v>
      </c>
      <c r="AR359" s="18">
        <f>AR348/AR351</f>
        <v>0</v>
      </c>
      <c r="AS359" s="18">
        <f t="shared" ref="AS359:AY359" si="37">AS348/AS351</f>
        <v>4.4271327558276993E-3</v>
      </c>
      <c r="AT359" s="18">
        <f t="shared" si="37"/>
        <v>0</v>
      </c>
      <c r="AU359" s="18">
        <f t="shared" si="37"/>
        <v>-4.208096402267927E-3</v>
      </c>
      <c r="AV359" s="18" t="e">
        <f t="shared" si="37"/>
        <v>#DIV/0!</v>
      </c>
      <c r="AW359" s="18">
        <f t="shared" si="37"/>
        <v>-6.3573589447128991E-4</v>
      </c>
      <c r="AX359" s="18">
        <f t="shared" si="37"/>
        <v>0</v>
      </c>
      <c r="AY359" s="18">
        <f t="shared" si="37"/>
        <v>0</v>
      </c>
      <c r="AZ359" s="18">
        <f>AZ348/AZ351</f>
        <v>0</v>
      </c>
      <c r="BA359" s="18">
        <f t="shared" ref="BA359:BQ359" si="38">BA348/BA351</f>
        <v>-1.9075019512697759E-3</v>
      </c>
      <c r="BB359" s="18">
        <f t="shared" si="38"/>
        <v>0</v>
      </c>
      <c r="BC359" s="18">
        <f t="shared" si="38"/>
        <v>0</v>
      </c>
      <c r="BD359" s="18">
        <f t="shared" si="38"/>
        <v>-5.2902983888836663E-3</v>
      </c>
      <c r="BE359" s="18">
        <f t="shared" si="38"/>
        <v>7.1583942671760882E-7</v>
      </c>
      <c r="BF359" s="18">
        <f t="shared" si="38"/>
        <v>0</v>
      </c>
      <c r="BG359" s="18">
        <f t="shared" si="38"/>
        <v>-4.7706084451510904E-3</v>
      </c>
      <c r="BH359" s="18">
        <f t="shared" si="38"/>
        <v>-4.7706084451510904E-3</v>
      </c>
      <c r="BI359" s="18">
        <f t="shared" si="38"/>
        <v>0</v>
      </c>
      <c r="BJ359" s="18">
        <f t="shared" si="38"/>
        <v>0</v>
      </c>
      <c r="BK359" s="18">
        <f t="shared" si="38"/>
        <v>7.9434405847855033E-7</v>
      </c>
      <c r="BL359" s="18">
        <f t="shared" si="38"/>
        <v>0</v>
      </c>
      <c r="BM359" s="18">
        <f t="shared" si="38"/>
        <v>0</v>
      </c>
      <c r="BN359" s="18">
        <f t="shared" si="38"/>
        <v>0</v>
      </c>
      <c r="BO359" s="18">
        <f t="shared" si="38"/>
        <v>0</v>
      </c>
      <c r="BP359" s="18">
        <f t="shared" si="38"/>
        <v>0</v>
      </c>
      <c r="BQ359" s="18">
        <f t="shared" si="38"/>
        <v>0</v>
      </c>
      <c r="BR359" s="23"/>
    </row>
    <row r="360" spans="1:70" x14ac:dyDescent="0.2">
      <c r="A360" t="s">
        <v>613</v>
      </c>
      <c r="E360" s="18">
        <f t="shared" ref="E360:N360" si="39">E349/E351</f>
        <v>0.20923846923232112</v>
      </c>
      <c r="F360" s="18">
        <f t="shared" si="39"/>
        <v>7.0227901054757125E-2</v>
      </c>
      <c r="G360" s="18">
        <f t="shared" si="39"/>
        <v>6.2450009348484152E-2</v>
      </c>
      <c r="H360" s="18">
        <f t="shared" si="39"/>
        <v>2.0350178500093578E-2</v>
      </c>
      <c r="I360" s="18">
        <f t="shared" si="39"/>
        <v>6.8203905480409596E-2</v>
      </c>
      <c r="J360" s="18">
        <f t="shared" si="39"/>
        <v>6.2517503993253051E-2</v>
      </c>
      <c r="K360" s="18">
        <f t="shared" si="39"/>
        <v>1</v>
      </c>
      <c r="L360" s="18">
        <f t="shared" si="39"/>
        <v>1.4980819099618157E-2</v>
      </c>
      <c r="M360" s="18">
        <f t="shared" si="39"/>
        <v>0.23972219108007931</v>
      </c>
      <c r="N360" s="18">
        <f t="shared" si="39"/>
        <v>0.17790025166962647</v>
      </c>
      <c r="O360" s="18">
        <f>O349/O351</f>
        <v>-2.1643453931469945E-4</v>
      </c>
      <c r="P360" s="18">
        <f t="shared" ref="P360:AN360" si="40">P349/P351</f>
        <v>2.488867610885058E-2</v>
      </c>
      <c r="Q360" s="18">
        <f t="shared" si="40"/>
        <v>6.9426445894073568E-2</v>
      </c>
      <c r="R360" s="18">
        <f t="shared" si="40"/>
        <v>1.5929217692714954E-2</v>
      </c>
      <c r="S360" s="18">
        <f t="shared" si="40"/>
        <v>3.6529712351251048E-2</v>
      </c>
      <c r="T360" s="18">
        <f t="shared" si="40"/>
        <v>3.3282550702619783E-2</v>
      </c>
      <c r="U360" s="18">
        <f t="shared" si="40"/>
        <v>-1.229015608633733E-3</v>
      </c>
      <c r="V360" s="18">
        <f t="shared" si="40"/>
        <v>1.486075078558481E-2</v>
      </c>
      <c r="W360" s="18">
        <f t="shared" si="40"/>
        <v>5.5850831904129865E-2</v>
      </c>
      <c r="X360" s="18">
        <f t="shared" si="40"/>
        <v>6.4310061818195915E-2</v>
      </c>
      <c r="Y360" s="18">
        <f t="shared" si="40"/>
        <v>-3.0745004901342578E-3</v>
      </c>
      <c r="Z360" s="18">
        <f t="shared" si="40"/>
        <v>0.15514612098671293</v>
      </c>
      <c r="AA360" s="18">
        <f t="shared" si="40"/>
        <v>-7.0376767327807663E-4</v>
      </c>
      <c r="AB360" s="18">
        <f t="shared" si="40"/>
        <v>5.854317989696322E-2</v>
      </c>
      <c r="AC360" s="18">
        <f t="shared" si="40"/>
        <v>3.2481673499197464E-2</v>
      </c>
      <c r="AD360" s="18">
        <f t="shared" si="40"/>
        <v>4.840730519256483E-2</v>
      </c>
      <c r="AE360" s="18">
        <f t="shared" si="40"/>
        <v>3.9282236715968543E-3</v>
      </c>
      <c r="AF360" s="18">
        <f t="shared" si="40"/>
        <v>0.20586951476166263</v>
      </c>
      <c r="AG360" s="18">
        <f t="shared" si="40"/>
        <v>3.0777902882270034E-2</v>
      </c>
      <c r="AH360" s="18">
        <f t="shared" si="40"/>
        <v>5.2147861820981065E-3</v>
      </c>
      <c r="AI360" s="18">
        <f t="shared" si="40"/>
        <v>0.2188353955574594</v>
      </c>
      <c r="AJ360" s="18">
        <f t="shared" si="40"/>
        <v>3.8795311745601697E-2</v>
      </c>
      <c r="AK360" s="18">
        <f t="shared" si="40"/>
        <v>2.7781737000024537E-3</v>
      </c>
      <c r="AL360" s="18">
        <f t="shared" si="40"/>
        <v>3.139584674705341E-2</v>
      </c>
      <c r="AM360" s="18">
        <f t="shared" si="40"/>
        <v>1</v>
      </c>
      <c r="AN360" s="18">
        <f t="shared" si="40"/>
        <v>3.1849625165311098E-2</v>
      </c>
      <c r="AO360" s="18">
        <f>AO349/AO351</f>
        <v>-1.0600825211314996E-2</v>
      </c>
      <c r="AP360" s="18">
        <f>AP349/AP351</f>
        <v>2.9140868853438123E-2</v>
      </c>
      <c r="AQ360" s="18">
        <f>AQ349/AQ351</f>
        <v>1.8264610912301676E-2</v>
      </c>
      <c r="AR360" s="18">
        <f>AR349/AR351</f>
        <v>-1.3552207677045461E-4</v>
      </c>
      <c r="AS360" s="18">
        <f t="shared" ref="AS360:AY360" si="41">AS349/AS351</f>
        <v>1.6695112852407528E-2</v>
      </c>
      <c r="AT360" s="18">
        <f t="shared" si="41"/>
        <v>-4.2613378778418838E-3</v>
      </c>
      <c r="AU360" s="18">
        <f t="shared" si="41"/>
        <v>6.1831482546094552E-2</v>
      </c>
      <c r="AV360" s="18" t="e">
        <f t="shared" si="41"/>
        <v>#DIV/0!</v>
      </c>
      <c r="AW360" s="18">
        <f t="shared" si="41"/>
        <v>1.4527470715947855E-2</v>
      </c>
      <c r="AX360" s="18">
        <f t="shared" si="41"/>
        <v>8.8778992587826716E-7</v>
      </c>
      <c r="AY360" s="18">
        <f t="shared" si="41"/>
        <v>-4.8144220883204693E-4</v>
      </c>
      <c r="AZ360" s="18">
        <f>AZ349/AZ351</f>
        <v>-2.1231015854364304E-4</v>
      </c>
      <c r="BA360" s="18">
        <f t="shared" ref="BA360:BQ360" si="42">BA349/BA351</f>
        <v>2.1987462876877716E-2</v>
      </c>
      <c r="BB360" s="18">
        <f t="shared" si="42"/>
        <v>3.4703924137938137E-2</v>
      </c>
      <c r="BC360" s="18">
        <f t="shared" si="42"/>
        <v>-2.5212371592360603E-4</v>
      </c>
      <c r="BD360" s="18">
        <f t="shared" si="42"/>
        <v>2.1792516058656231E-2</v>
      </c>
      <c r="BE360" s="18">
        <f t="shared" si="42"/>
        <v>2.6198609489867374E-2</v>
      </c>
      <c r="BF360" s="18">
        <f t="shared" si="42"/>
        <v>3.4312566412850271E-2</v>
      </c>
      <c r="BG360" s="18">
        <f t="shared" si="42"/>
        <v>1.9819077348322469E-2</v>
      </c>
      <c r="BH360" s="18">
        <f t="shared" si="42"/>
        <v>1.9819077348322469E-2</v>
      </c>
      <c r="BI360" s="18">
        <f t="shared" si="42"/>
        <v>3.482904022785846E-2</v>
      </c>
      <c r="BJ360" s="18">
        <f t="shared" si="42"/>
        <v>1.3567029779116252E-3</v>
      </c>
      <c r="BK360" s="18">
        <f t="shared" si="42"/>
        <v>2.2540042222034522E-2</v>
      </c>
      <c r="BL360" s="18">
        <f t="shared" si="42"/>
        <v>1</v>
      </c>
      <c r="BM360" s="18">
        <f t="shared" si="42"/>
        <v>1.0017857142857143</v>
      </c>
      <c r="BN360" s="18">
        <f t="shared" si="42"/>
        <v>1</v>
      </c>
      <c r="BO360" s="18">
        <f t="shared" si="42"/>
        <v>1</v>
      </c>
      <c r="BP360" s="18">
        <f t="shared" si="42"/>
        <v>1</v>
      </c>
      <c r="BQ360" s="18">
        <f t="shared" si="42"/>
        <v>1</v>
      </c>
      <c r="BR360" s="23"/>
    </row>
    <row r="361" spans="1:70" x14ac:dyDescent="0.2">
      <c r="A361" s="23" t="s">
        <v>699</v>
      </c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</row>
  </sheetData>
  <mergeCells count="3">
    <mergeCell ref="A2:BQ2"/>
    <mergeCell ref="BR2:BR361"/>
    <mergeCell ref="A361:BQ361"/>
  </mergeCells>
  <conditionalFormatting sqref="A18:A34">
    <cfRule type="cellIs" dxfId="3" priority="23" stopIfTrue="1" operator="lessThan">
      <formula>0</formula>
    </cfRule>
  </conditionalFormatting>
  <conditionalFormatting sqref="B24:B34">
    <cfRule type="cellIs" dxfId="2" priority="32" stopIfTrue="1" operator="lessThan">
      <formula>0</formula>
    </cfRule>
  </conditionalFormatting>
  <conditionalFormatting sqref="C17:D25">
    <cfRule type="cellIs" dxfId="1" priority="24" stopIfTrue="1" operator="lessThan">
      <formula>0</formula>
    </cfRule>
  </conditionalFormatting>
  <conditionalFormatting sqref="E16:BQ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14</Value>
      <Value>16</Value>
      <Value>17</Value>
      <Value>18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19</Value>
      <Value>20</Value>
      <Value>21</Value>
      <Value>22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00024514-E1AE-4175-8D7B-0E849A2B4174}"/>
</file>

<file path=customXml/itemProps2.xml><?xml version="1.0" encoding="utf-8"?>
<ds:datastoreItem xmlns:ds="http://schemas.openxmlformats.org/officeDocument/2006/customXml" ds:itemID="{F03FDA95-59CD-4C69-AAB8-47C22A7CBE81}"/>
</file>

<file path=customXml/itemProps3.xml><?xml version="1.0" encoding="utf-8"?>
<ds:datastoreItem xmlns:ds="http://schemas.openxmlformats.org/officeDocument/2006/customXml" ds:itemID="{111E17AD-47A6-4E03-817E-E9C75E588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9/2024</dc:title>
  <dc:creator>פרידמן אמיר</dc:creator>
  <cp:lastModifiedBy>מטי לנדו</cp:lastModifiedBy>
  <dcterms:created xsi:type="dcterms:W3CDTF">2024-10-30T15:32:16Z</dcterms:created>
  <dcterms:modified xsi:type="dcterms:W3CDTF">2024-11-13T06:40:17Z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