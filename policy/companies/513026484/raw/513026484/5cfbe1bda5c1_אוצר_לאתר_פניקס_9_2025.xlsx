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FBBC55B2-2786-4886-B99C-93FA63390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4" i="1" l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C351" i="1" s="1"/>
  <c r="AC353" i="1" s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AU351" i="1" l="1"/>
  <c r="AU357" i="1" s="1"/>
  <c r="I351" i="1"/>
  <c r="I353" i="1" s="1"/>
  <c r="AD351" i="1"/>
  <c r="AD353" i="1" s="1"/>
  <c r="AV351" i="1"/>
  <c r="AV357" i="1" s="1"/>
  <c r="AW351" i="1"/>
  <c r="AW353" i="1" s="1"/>
  <c r="AX351" i="1"/>
  <c r="AX356" i="1" s="1"/>
  <c r="AA351" i="1"/>
  <c r="AA355" i="1" s="1"/>
  <c r="AB351" i="1"/>
  <c r="AB353" i="1" s="1"/>
  <c r="I356" i="1"/>
  <c r="AE351" i="1"/>
  <c r="AE353" i="1" s="1"/>
  <c r="AU356" i="1"/>
  <c r="AF351" i="1"/>
  <c r="AF359" i="1" s="1"/>
  <c r="AV356" i="1"/>
  <c r="AG351" i="1"/>
  <c r="AG353" i="1" s="1"/>
  <c r="J351" i="1"/>
  <c r="J353" i="1" s="1"/>
  <c r="AC355" i="1"/>
  <c r="I355" i="1"/>
  <c r="AZ351" i="1"/>
  <c r="AZ357" i="1" s="1"/>
  <c r="AU355" i="1"/>
  <c r="AV355" i="1"/>
  <c r="BI351" i="1"/>
  <c r="BI355" i="1" s="1"/>
  <c r="AO351" i="1"/>
  <c r="AO360" i="1" s="1"/>
  <c r="E351" i="1"/>
  <c r="E360" i="1" s="1"/>
  <c r="F351" i="1"/>
  <c r="F360" i="1" s="1"/>
  <c r="AF356" i="1"/>
  <c r="AF355" i="1"/>
  <c r="AF358" i="1"/>
  <c r="AX359" i="1"/>
  <c r="BD351" i="1"/>
  <c r="BD353" i="1" s="1"/>
  <c r="AL351" i="1"/>
  <c r="AL353" i="1" s="1"/>
  <c r="AH351" i="1"/>
  <c r="AH358" i="1" s="1"/>
  <c r="AH357" i="1"/>
  <c r="BE351" i="1"/>
  <c r="BE353" i="1" s="1"/>
  <c r="S351" i="1"/>
  <c r="S353" i="1" s="1"/>
  <c r="AX355" i="1"/>
  <c r="N351" i="1"/>
  <c r="N358" i="1" s="1"/>
  <c r="AY351" i="1"/>
  <c r="AY360" i="1" s="1"/>
  <c r="AH359" i="1"/>
  <c r="O351" i="1"/>
  <c r="O353" i="1" s="1"/>
  <c r="O356" i="1"/>
  <c r="BF351" i="1"/>
  <c r="BF353" i="1" s="1"/>
  <c r="BC351" i="1"/>
  <c r="BC357" i="1" s="1"/>
  <c r="AK351" i="1"/>
  <c r="AK353" i="1" s="1"/>
  <c r="AK355" i="1"/>
  <c r="AJ351" i="1"/>
  <c r="AJ353" i="1" s="1"/>
  <c r="BA351" i="1"/>
  <c r="BA359" i="1" s="1"/>
  <c r="AM351" i="1"/>
  <c r="AM353" i="1" s="1"/>
  <c r="AU353" i="1"/>
  <c r="AU358" i="1"/>
  <c r="AU360" i="1"/>
  <c r="AU359" i="1"/>
  <c r="AV353" i="1"/>
  <c r="AV359" i="1"/>
  <c r="AV360" i="1"/>
  <c r="AV358" i="1"/>
  <c r="K351" i="1"/>
  <c r="AX353" i="1"/>
  <c r="AE357" i="1"/>
  <c r="AE356" i="1"/>
  <c r="AE359" i="1"/>
  <c r="P351" i="1"/>
  <c r="P353" i="1" s="1"/>
  <c r="BB351" i="1"/>
  <c r="BB357" i="1" s="1"/>
  <c r="AI351" i="1"/>
  <c r="AI353" i="1" s="1"/>
  <c r="Q351" i="1"/>
  <c r="Q353" i="1" s="1"/>
  <c r="AZ360" i="1"/>
  <c r="R351" i="1"/>
  <c r="R353" i="1" s="1"/>
  <c r="BG351" i="1"/>
  <c r="BG353" i="1" s="1"/>
  <c r="AA360" i="1"/>
  <c r="I360" i="1"/>
  <c r="I359" i="1"/>
  <c r="I358" i="1"/>
  <c r="I357" i="1"/>
  <c r="AC357" i="1"/>
  <c r="AC359" i="1"/>
  <c r="AC356" i="1"/>
  <c r="AC358" i="1"/>
  <c r="AC360" i="1"/>
  <c r="AW360" i="1"/>
  <c r="AW358" i="1"/>
  <c r="AW357" i="1"/>
  <c r="AW356" i="1"/>
  <c r="AW359" i="1"/>
  <c r="L351" i="1"/>
  <c r="L359" i="1" s="1"/>
  <c r="M351" i="1"/>
  <c r="M359" i="1" s="1"/>
  <c r="AD359" i="1"/>
  <c r="AD358" i="1"/>
  <c r="AD357" i="1"/>
  <c r="AD356" i="1"/>
  <c r="AD360" i="1"/>
  <c r="T351" i="1"/>
  <c r="T353" i="1" s="1"/>
  <c r="AN351" i="1"/>
  <c r="AN353" i="1" s="1"/>
  <c r="BH351" i="1"/>
  <c r="BH353" i="1" s="1"/>
  <c r="U351" i="1"/>
  <c r="U356" i="1" s="1"/>
  <c r="V351" i="1"/>
  <c r="V357" i="1" s="1"/>
  <c r="G351" i="1"/>
  <c r="G355" i="1" s="1"/>
  <c r="W351" i="1"/>
  <c r="W355" i="1" s="1"/>
  <c r="AQ351" i="1"/>
  <c r="AQ355" i="1" s="1"/>
  <c r="AP351" i="1"/>
  <c r="H351" i="1"/>
  <c r="H357" i="1" s="1"/>
  <c r="X351" i="1"/>
  <c r="X355" i="1" s="1"/>
  <c r="AR351" i="1"/>
  <c r="AR355" i="1" s="1"/>
  <c r="E355" i="1"/>
  <c r="AO355" i="1"/>
  <c r="Y351" i="1"/>
  <c r="Y355" i="1" s="1"/>
  <c r="AS351" i="1"/>
  <c r="Z351" i="1"/>
  <c r="Z355" i="1" s="1"/>
  <c r="AT351" i="1"/>
  <c r="AT355" i="1" s="1"/>
  <c r="AA353" i="1" l="1"/>
  <c r="Q355" i="1"/>
  <c r="J360" i="1"/>
  <c r="BH358" i="1"/>
  <c r="AA359" i="1"/>
  <c r="J356" i="1"/>
  <c r="AG360" i="1"/>
  <c r="T359" i="1"/>
  <c r="AN358" i="1"/>
  <c r="T355" i="1"/>
  <c r="R360" i="1"/>
  <c r="X357" i="1"/>
  <c r="AI356" i="1"/>
  <c r="J357" i="1"/>
  <c r="T358" i="1"/>
  <c r="AL356" i="1"/>
  <c r="AZ356" i="1"/>
  <c r="AN357" i="1"/>
  <c r="AN356" i="1"/>
  <c r="J355" i="1"/>
  <c r="AF360" i="1"/>
  <c r="AX360" i="1"/>
  <c r="AD355" i="1"/>
  <c r="AA357" i="1"/>
  <c r="BI358" i="1"/>
  <c r="BA358" i="1"/>
  <c r="BI353" i="1"/>
  <c r="AL360" i="1"/>
  <c r="AB357" i="1"/>
  <c r="J358" i="1"/>
  <c r="BI360" i="1"/>
  <c r="AB358" i="1"/>
  <c r="J359" i="1"/>
  <c r="BD359" i="1"/>
  <c r="AB356" i="1"/>
  <c r="AB359" i="1"/>
  <c r="BI359" i="1"/>
  <c r="AX357" i="1"/>
  <c r="AB360" i="1"/>
  <c r="BH359" i="1"/>
  <c r="AX358" i="1"/>
  <c r="AB355" i="1"/>
  <c r="AA356" i="1"/>
  <c r="AA358" i="1"/>
  <c r="AG358" i="1"/>
  <c r="BC356" i="1"/>
  <c r="AN359" i="1"/>
  <c r="BI357" i="1"/>
  <c r="BC359" i="1"/>
  <c r="AW355" i="1"/>
  <c r="S360" i="1"/>
  <c r="Q357" i="1"/>
  <c r="S356" i="1"/>
  <c r="Q356" i="1"/>
  <c r="BH355" i="1"/>
  <c r="BF360" i="1"/>
  <c r="AF357" i="1"/>
  <c r="AF353" i="1"/>
  <c r="AJ358" i="1"/>
  <c r="AZ353" i="1"/>
  <c r="AG357" i="1"/>
  <c r="AL357" i="1"/>
  <c r="AE358" i="1"/>
  <c r="AZ359" i="1"/>
  <c r="U358" i="1"/>
  <c r="AO356" i="1"/>
  <c r="AG359" i="1"/>
  <c r="AG356" i="1"/>
  <c r="AZ358" i="1"/>
  <c r="AE355" i="1"/>
  <c r="N360" i="1"/>
  <c r="BG360" i="1"/>
  <c r="F359" i="1"/>
  <c r="BG359" i="1"/>
  <c r="AL358" i="1"/>
  <c r="AG355" i="1"/>
  <c r="AZ355" i="1"/>
  <c r="N359" i="1"/>
  <c r="AM360" i="1"/>
  <c r="BF358" i="1"/>
  <c r="AE360" i="1"/>
  <c r="AM359" i="1"/>
  <c r="AN355" i="1"/>
  <c r="BH360" i="1"/>
  <c r="E358" i="1"/>
  <c r="BF356" i="1"/>
  <c r="E357" i="1"/>
  <c r="AN360" i="1"/>
  <c r="F357" i="1"/>
  <c r="R356" i="1"/>
  <c r="F356" i="1"/>
  <c r="R357" i="1"/>
  <c r="T360" i="1"/>
  <c r="G356" i="1"/>
  <c r="AO357" i="1"/>
  <c r="AM355" i="1"/>
  <c r="H355" i="1"/>
  <c r="AL359" i="1"/>
  <c r="AO353" i="1"/>
  <c r="AO359" i="1"/>
  <c r="S358" i="1"/>
  <c r="BI356" i="1"/>
  <c r="AK359" i="1"/>
  <c r="P358" i="1"/>
  <c r="U359" i="1"/>
  <c r="T357" i="1"/>
  <c r="N357" i="1"/>
  <c r="AK360" i="1"/>
  <c r="T356" i="1"/>
  <c r="BF355" i="1"/>
  <c r="AK356" i="1"/>
  <c r="E359" i="1"/>
  <c r="BF359" i="1"/>
  <c r="E353" i="1"/>
  <c r="M360" i="1"/>
  <c r="P356" i="1"/>
  <c r="F358" i="1"/>
  <c r="E356" i="1"/>
  <c r="R359" i="1"/>
  <c r="P360" i="1"/>
  <c r="AK357" i="1"/>
  <c r="AO358" i="1"/>
  <c r="F355" i="1"/>
  <c r="P357" i="1"/>
  <c r="X356" i="1"/>
  <c r="V355" i="1"/>
  <c r="BG358" i="1"/>
  <c r="P359" i="1"/>
  <c r="P355" i="1"/>
  <c r="H356" i="1"/>
  <c r="F353" i="1"/>
  <c r="BH357" i="1"/>
  <c r="BF357" i="1"/>
  <c r="AS353" i="1"/>
  <c r="AS360" i="1"/>
  <c r="AS358" i="1"/>
  <c r="AS357" i="1"/>
  <c r="AS359" i="1"/>
  <c r="Y353" i="1"/>
  <c r="Y360" i="1"/>
  <c r="Y358" i="1"/>
  <c r="Y357" i="1"/>
  <c r="Y359" i="1"/>
  <c r="K357" i="1"/>
  <c r="K358" i="1"/>
  <c r="K356" i="1"/>
  <c r="K359" i="1"/>
  <c r="K355" i="1"/>
  <c r="K353" i="1"/>
  <c r="BE357" i="1"/>
  <c r="BE358" i="1"/>
  <c r="AI357" i="1"/>
  <c r="AS355" i="1"/>
  <c r="Q358" i="1"/>
  <c r="AI355" i="1"/>
  <c r="S355" i="1"/>
  <c r="L357" i="1"/>
  <c r="L356" i="1"/>
  <c r="L355" i="1"/>
  <c r="L358" i="1"/>
  <c r="L353" i="1"/>
  <c r="O355" i="1"/>
  <c r="BB355" i="1"/>
  <c r="BB353" i="1"/>
  <c r="BB356" i="1"/>
  <c r="AH355" i="1"/>
  <c r="AH356" i="1"/>
  <c r="AH353" i="1"/>
  <c r="AI359" i="1"/>
  <c r="AR353" i="1"/>
  <c r="AR360" i="1"/>
  <c r="AR358" i="1"/>
  <c r="AR359" i="1"/>
  <c r="BB358" i="1"/>
  <c r="BE355" i="1"/>
  <c r="BD358" i="1"/>
  <c r="AP359" i="1"/>
  <c r="AP353" i="1"/>
  <c r="AP360" i="1"/>
  <c r="M358" i="1"/>
  <c r="AQ358" i="1"/>
  <c r="AQ353" i="1"/>
  <c r="AQ360" i="1"/>
  <c r="AQ359" i="1"/>
  <c r="AP355" i="1"/>
  <c r="AJ356" i="1"/>
  <c r="AR357" i="1"/>
  <c r="BD360" i="1"/>
  <c r="AI358" i="1"/>
  <c r="AJ360" i="1"/>
  <c r="BE360" i="1"/>
  <c r="AJ357" i="1"/>
  <c r="BD357" i="1"/>
  <c r="Y356" i="1"/>
  <c r="L360" i="1"/>
  <c r="S357" i="1"/>
  <c r="U360" i="1"/>
  <c r="U353" i="1"/>
  <c r="V358" i="1"/>
  <c r="O357" i="1"/>
  <c r="U355" i="1"/>
  <c r="AM358" i="1"/>
  <c r="AL355" i="1"/>
  <c r="BG355" i="1"/>
  <c r="AP357" i="1"/>
  <c r="BG357" i="1"/>
  <c r="AY358" i="1"/>
  <c r="AY355" i="1"/>
  <c r="AY357" i="1"/>
  <c r="AY356" i="1"/>
  <c r="AY359" i="1"/>
  <c r="AY353" i="1"/>
  <c r="U357" i="1"/>
  <c r="O360" i="1"/>
  <c r="AT353" i="1"/>
  <c r="AT359" i="1"/>
  <c r="AT360" i="1"/>
  <c r="AT358" i="1"/>
  <c r="AT356" i="1"/>
  <c r="AT357" i="1"/>
  <c r="BB359" i="1"/>
  <c r="AQ357" i="1"/>
  <c r="BH356" i="1"/>
  <c r="AK358" i="1"/>
  <c r="BE359" i="1"/>
  <c r="M355" i="1"/>
  <c r="M356" i="1"/>
  <c r="M357" i="1"/>
  <c r="M353" i="1"/>
  <c r="BA355" i="1"/>
  <c r="BA356" i="1"/>
  <c r="BA353" i="1"/>
  <c r="BA357" i="1"/>
  <c r="AS356" i="1"/>
  <c r="O359" i="1"/>
  <c r="X353" i="1"/>
  <c r="X358" i="1"/>
  <c r="X360" i="1"/>
  <c r="X359" i="1"/>
  <c r="H353" i="1"/>
  <c r="H360" i="1"/>
  <c r="H358" i="1"/>
  <c r="H359" i="1"/>
  <c r="S359" i="1"/>
  <c r="AI360" i="1"/>
  <c r="W358" i="1"/>
  <c r="W353" i="1"/>
  <c r="W360" i="1"/>
  <c r="W359" i="1"/>
  <c r="AJ355" i="1"/>
  <c r="BA360" i="1"/>
  <c r="G358" i="1"/>
  <c r="G353" i="1"/>
  <c r="G360" i="1"/>
  <c r="G359" i="1"/>
  <c r="BB360" i="1"/>
  <c r="BE356" i="1"/>
  <c r="Q360" i="1"/>
  <c r="V359" i="1"/>
  <c r="V353" i="1"/>
  <c r="V360" i="1"/>
  <c r="AP358" i="1"/>
  <c r="Z353" i="1"/>
  <c r="Z360" i="1"/>
  <c r="Z358" i="1"/>
  <c r="Z356" i="1"/>
  <c r="Z357" i="1"/>
  <c r="Z359" i="1"/>
  <c r="O358" i="1"/>
  <c r="W357" i="1"/>
  <c r="AP356" i="1"/>
  <c r="BG356" i="1"/>
  <c r="Q359" i="1"/>
  <c r="BD356" i="1"/>
  <c r="AJ359" i="1"/>
  <c r="BC353" i="1"/>
  <c r="BC355" i="1"/>
  <c r="G357" i="1"/>
  <c r="AQ356" i="1"/>
  <c r="N353" i="1"/>
  <c r="N355" i="1"/>
  <c r="N356" i="1"/>
  <c r="V356" i="1"/>
  <c r="R358" i="1"/>
  <c r="K360" i="1"/>
  <c r="R355" i="1"/>
  <c r="AM356" i="1"/>
  <c r="AR356" i="1"/>
  <c r="W356" i="1"/>
  <c r="BC360" i="1"/>
  <c r="BC358" i="1"/>
  <c r="AH360" i="1"/>
  <c r="AM357" i="1"/>
  <c r="BD355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<sst xmlns="http://schemas.openxmlformats.org/spreadsheetml/2006/main" count="765" uniqueCount="697">
  <si>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</si>
  <si>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</si>
  <si>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</si>
  <si>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</si>
  <si>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</si>
  <si>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</si>
  <si>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</si>
  <si>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</si>
  <si>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</si>
  <si>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</si>
  <si>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</si>
  <si>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</si>
  <si>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</si>
  <si>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</si>
  <si>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</si>
  <si>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</si>
  <si>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</si>
  <si>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</si>
  <si>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</si>
  <si>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</si>
  <si>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</si>
  <si>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</si>
  <si>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</si>
  <si>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</si>
  <si>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</si>
  <si>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</si>
  <si>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</si>
  <si>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</si>
  <si>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</si>
  <si>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</si>
  <si>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</si>
  <si>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</si>
  <si>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</si>
  <si>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</si>
  <si>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</si>
  <si>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</si>
  <si>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</si>
  <si>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</si>
  <si>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</si>
  <si>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</si>
  <si>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</si>
  <si>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</si>
  <si>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</si>
  <si>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</si>
  <si>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</si>
  <si>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</si>
  <si>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</si>
  <si>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</si>
  <si>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</si>
  <si>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</si>
  <si>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</si>
  <si>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</si>
  <si>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</si>
  <si>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</si>
  <si>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</si>
  <si>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</si>
  <si>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</si>
  <si>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</si>
  <si>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</si>
  <si>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</si>
  <si>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</si>
  <si>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</si>
  <si>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</si>
  <si>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</si>
  <si>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</si>
  <si>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</si>
  <si>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</si>
  <si>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</si>
  <si>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</si>
  <si>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</si>
  <si>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</si>
  <si>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</si>
  <si>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</si>
  <si>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</si>
  <si>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</si>
  <si>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</si>
  <si>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</si>
  <si>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</si>
  <si>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</si>
  <si>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</si>
  <si>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</si>
  <si>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</si>
  <si>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</si>
  <si>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</si>
  <si>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</si>
  <si>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</si>
  <si>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</si>
  <si>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</si>
  <si>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</si>
  <si>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</si>
  <si>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</si>
  <si>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</si>
  <si>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</si>
  <si>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</si>
  <si>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</si>
  <si>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</si>
  <si>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</si>
  <si>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</si>
  <si>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</si>
  <si>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</si>
  <si>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</si>
  <si>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</si>
  <si>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</si>
  <si>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</si>
  <si>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</si>
  <si>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</si>
  <si>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</si>
  <si>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</si>
  <si>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</si>
  <si>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</si>
  <si>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</si>
  <si>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</si>
  <si>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</si>
  <si>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</si>
  <si>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</si>
  <si>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</si>
  <si>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</si>
  <si>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</si>
  <si>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</si>
  <si>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</si>
  <si>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</si>
  <si>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</si>
  <si>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</si>
  <si>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</si>
  <si>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</si>
  <si>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</si>
  <si>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</si>
  <si>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</si>
  <si>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</si>
  <si>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</si>
  <si>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</si>
  <si>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</si>
  <si>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</si>
  <si>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</si>
  <si>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</si>
  <si>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</si>
  <si>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</si>
  <si>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</si>
  <si>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</si>
  <si>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</si>
  <si>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</si>
  <si>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</si>
  <si>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</si>
  <si>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</si>
  <si>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</si>
  <si>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</si>
  <si>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</si>
  <si>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</si>
  <si>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</si>
  <si>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</si>
  <si>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</si>
  <si>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</si>
  <si>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</si>
  <si>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</si>
  <si>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</si>
  <si>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</si>
  <si>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</si>
  <si>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</si>
  <si>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</si>
  <si>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</si>
  <si>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</si>
  <si>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</si>
  <si>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</si>
  <si>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</si>
  <si>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</si>
  <si>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</si>
  <si>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</si>
  <si>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</si>
  <si>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</si>
  <si>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</si>
  <si>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</si>
  <si>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</si>
  <si>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</si>
  <si>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</si>
  <si>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</si>
  <si>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</si>
  <si>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</si>
  <si>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</si>
  <si>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</si>
  <si>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</si>
  <si>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</si>
  <si>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</si>
  <si>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</si>
  <si>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</si>
  <si>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</si>
  <si>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</si>
  <si>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</si>
  <si>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</si>
  <si>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</si>
  <si>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</si>
  <si>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</si>
  <si>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</si>
  <si>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</si>
  <si>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</si>
  <si>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</si>
  <si>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</si>
  <si>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</si>
  <si>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</si>
  <si>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</si>
  <si>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</si>
  <si>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</si>
  <si>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</si>
  <si>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</si>
  <si>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</si>
  <si>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</si>
  <si>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</si>
  <si>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</si>
  <si>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</si>
  <si>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</si>
  <si>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</si>
  <si>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</si>
  <si>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</si>
  <si>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</si>
  <si>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</si>
  <si>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</si>
  <si>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</si>
  <si>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</si>
  <si>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</si>
  <si>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</si>
  <si>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</si>
  <si>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</si>
  <si>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</si>
  <si>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</si>
  <si>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</si>
  <si>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</si>
  <si>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</si>
  <si>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</si>
  <si>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</si>
  <si>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</si>
  <si>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</si>
  <si>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</si>
  <si>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</si>
  <si>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</si>
  <si>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</si>
  <si>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</si>
  <si>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</si>
  <si>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</si>
  <si>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</si>
  <si>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</si>
  <si>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</si>
  <si>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</si>
  <si>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</si>
  <si>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</si>
  <si>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</si>
  <si>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</si>
  <si>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</si>
  <si>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</si>
  <si>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</si>
  <si>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</si>
  <si>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</si>
  <si>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</si>
  <si>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</si>
  <si>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</si>
  <si>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</si>
  <si>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</si>
  <si>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</si>
  <si>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</si>
  <si>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</si>
  <si>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</si>
  <si>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</si>
  <si>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</si>
  <si>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</si>
  <si>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</si>
  <si>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</si>
  <si>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</si>
  <si>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</si>
  <si>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</si>
  <si>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</si>
  <si>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</si>
  <si>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</si>
  <si>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</si>
  <si>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</si>
  <si>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</si>
  <si>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</si>
  <si>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</si>
  <si>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</si>
  <si>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</si>
  <si>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</si>
  <si>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</si>
  <si>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</si>
  <si>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</si>
  <si>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</si>
  <si>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</si>
  <si>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</si>
  <si>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</si>
  <si>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</si>
  <si>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</si>
  <si>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</si>
  <si>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</si>
  <si>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</si>
  <si>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</si>
  <si>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</si>
  <si>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</si>
  <si>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</si>
  <si>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</si>
  <si>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</si>
  <si>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</si>
  <si>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</si>
  <si>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</si>
  <si>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</si>
  <si>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</si>
  <si>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</si>
  <si>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</si>
  <si>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</si>
  <si>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</si>
  <si>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</si>
  <si>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</si>
  <si>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</si>
  <si>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</si>
  <si>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</si>
  <si>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</si>
  <si>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</si>
  <si>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</si>
  <si>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</si>
  <si>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</si>
  <si>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</si>
  <si>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</si>
  <si>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</si>
  <si>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</si>
  <si>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</si>
  <si>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</si>
  <si>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</si>
  <si>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</si>
  <si>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</si>
  <si>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</si>
  <si>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</si>
  <si>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</si>
  <si>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</si>
  <si>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</si>
  <si>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</si>
  <si>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</si>
  <si>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</si>
  <si>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</si>
  <si>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</si>
  <si>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</si>
  <si>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</si>
  <si>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</si>
  <si>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</si>
  <si>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</si>
  <si>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</si>
  <si>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</si>
  <si>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</si>
  <si>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</si>
  <si>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</si>
  <si>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</si>
  <si>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</si>
  <si>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</si>
  <si>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</si>
  <si>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</si>
  <si>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</si>
  <si>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</si>
  <si>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</si>
  <si>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</si>
  <si>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</si>
  <si>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</si>
  <si>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</si>
  <si>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</si>
  <si>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</si>
  <si>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</si>
  <si>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</si>
  <si>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</si>
  <si>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</si>
  <si>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</si>
  <si>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</si>
  <si>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</si>
  <si>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</si>
  <si>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</si>
  <si>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</si>
  <si>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</si>
  <si>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</si>
  <si>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</si>
  <si>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</si>
  <si>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</si>
  <si>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</si>
  <si>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</si>
  <si>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</si>
  <si>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</si>
  <si>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</si>
  <si>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</si>
  <si>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</si>
  <si>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</si>
  <si>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</si>
  <si>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</si>
  <si>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</si>
  <si>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</si>
  <si>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</si>
  <si>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</si>
  <si>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</si>
  <si>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</si>
  <si>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</si>
  <si>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</si>
  <si>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</si>
  <si>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</si>
  <si>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</si>
  <si>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</si>
  <si>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</si>
  <si>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</si>
  <si>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</si>
  <si>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</si>
  <si>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</si>
  <si>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</si>
  <si>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</si>
  <si>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</si>
  <si>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</si>
  <si>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</si>
  <si>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</si>
  <si>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</si>
  <si>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</si>
  <si>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</si>
  <si>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</si>
  <si>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</si>
  <si>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</si>
  <si>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</si>
  <si>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</si>
  <si>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</si>
  <si>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</si>
  <si>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</si>
  <si>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</si>
  <si>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</si>
  <si>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</si>
  <si>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</si>
  <si>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</si>
  <si>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</si>
  <si>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</si>
  <si>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</si>
  <si>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</si>
  <si>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</si>
  <si>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</si>
  <si>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</si>
  <si>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</si>
  <si>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</si>
  <si>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</si>
  <si>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</si>
  <si>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</si>
  <si>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</si>
  <si>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</si>
  <si>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</si>
  <si>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</si>
  <si>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</si>
  <si>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</si>
  <si>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</si>
  <si>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</si>
  <si>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</si>
  <si>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</si>
  <si>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</si>
  <si>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</si>
  <si>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</si>
  <si>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</si>
  <si>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</si>
  <si>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</si>
  <si>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</si>
  <si>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</si>
  <si>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</si>
  <si>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</si>
  <si>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</si>
  <si>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</si>
  <si>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</si>
  <si>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</si>
  <si>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</si>
  <si>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</si>
  <si>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</si>
  <si>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</si>
  <si>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</si>
  <si>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</si>
  <si>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</si>
  <si>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</si>
  <si>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</si>
  <si>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</si>
  <si>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</si>
  <si>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</si>
  <si>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</si>
  <si>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</si>
  <si>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</si>
  <si>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</si>
  <si>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</si>
  <si>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</si>
  <si>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</si>
  <si>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</si>
  <si>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</si>
  <si>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</si>
  <si>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</si>
  <si>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</si>
  <si>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</si>
  <si>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</si>
  <si>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</si>
  <si>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</si>
  <si>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</si>
  <si>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</si>
  <si>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</si>
  <si>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</si>
  <si>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</si>
  <si>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</si>
  <si>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</si>
  <si>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</si>
  <si>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</si>
  <si>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</si>
  <si>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</si>
  <si>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</si>
  <si>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</si>
  <si>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</si>
  <si>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</si>
  <si>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</si>
  <si>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</si>
  <si>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</si>
  <si>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</si>
  <si>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</si>
  <si>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</si>
  <si>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</si>
  <si>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</si>
  <si>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</si>
  <si>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</si>
  <si>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</si>
  <si>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</si>
  <si>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</si>
  <si>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</si>
  <si>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</si>
  <si>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</si>
  <si>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</si>
  <si>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</si>
  <si>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</si>
  <si>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</si>
  <si>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</si>
  <si>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</si>
  <si>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</si>
  <si>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</si>
  <si>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</si>
  <si>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</si>
  <si>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</si>
  <si>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</si>
  <si>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</si>
  <si>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</si>
  <si>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</si>
  <si>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</si>
  <si>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</si>
  <si>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</si>
  <si>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</si>
  <si>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</si>
  <si>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</si>
  <si>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</si>
  <si>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</si>
  <si>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</si>
  <si>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</si>
  <si>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</si>
  <si>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</si>
  <si>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</si>
  <si>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</si>
  <si>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</si>
  <si>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</si>
  <si>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</si>
  <si>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</si>
  <si>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</si>
  <si>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</si>
  <si>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</si>
  <si>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</si>
  <si>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</si>
  <si>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</si>
  <si>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</si>
  <si>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</si>
  <si>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</si>
  <si>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</si>
  <si>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</si>
  <si>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</si>
  <si>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</si>
  <si>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</si>
  <si>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</si>
  <si>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</si>
  <si>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</si>
  <si>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</si>
  <si>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</si>
  <si>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</si>
  <si>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</si>
  <si>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</si>
  <si>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</si>
  <si>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</si>
  <si>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</si>
  <si>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</si>
  <si>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</si>
  <si>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</si>
  <si>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</si>
  <si>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</si>
  <si>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</si>
  <si>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</si>
  <si>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</si>
  <si>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</si>
  <si>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</si>
  <si>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</si>
  <si>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</si>
  <si>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</si>
  <si>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</si>
  <si>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</si>
  <si>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</si>
  <si>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</si>
  <si>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</si>
  <si>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</si>
  <si>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</si>
  <si>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</si>
  <si>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</si>
  <si>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</si>
  <si>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</si>
  <si>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</si>
  <si>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</si>
  <si>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</si>
  <si>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</si>
  <si>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</si>
  <si>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</si>
  <si>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</si>
  <si>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</si>
  <si>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</si>
  <si>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</si>
  <si>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</si>
  <si>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</si>
  <si>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</si>
  <si>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</si>
  <si>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</si>
  <si>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</si>
  <si>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</si>
  <si>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</si>
  <si>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</si>
  <si>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</si>
  <si>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</si>
  <si>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</si>
  <si>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</si>
  <si>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</si>
  <si>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</si>
  <si>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</si>
  <si>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</si>
  <si>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</si>
  <si>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</si>
  <si>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</si>
  <si>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</si>
  <si>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</si>
  <si>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</si>
  <si>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</si>
  <si>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</si>
  <si>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</si>
  <si>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</si>
  <si>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</si>
  <si>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</si>
  <si>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</si>
  <si>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</si>
  <si>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</si>
  <si>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</si>
  <si>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</si>
  <si>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</si>
  <si>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</si>
  <si>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</si>
  <si>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</si>
  <si>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</si>
  <si>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</si>
  <si>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</si>
  <si>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</si>
  <si>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</si>
  <si>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</si>
  <si>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</si>
  <si>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</si>
  <si>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</si>
  <si>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</si>
  <si>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</si>
  <si>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</si>
  <si>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</si>
  <si>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</si>
  <si>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</si>
  <si>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</si>
  <si>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</si>
  <si>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</si>
  <si>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</si>
  <si>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</si>
  <si>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</si>
  <si>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</si>
  <si>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</si>
  <si>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</si>
  <si>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</si>
  <si>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</si>
  <si>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</si>
  <si>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</si>
  <si>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</si>
  <si>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</si>
  <si>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</si>
  <si>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</si>
  <si>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</si>
  <si>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</si>
  <si>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</si>
  <si>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</si>
  <si>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</si>
  <si>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</si>
  <si>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</si>
  <si>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</si>
  <si>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</si>
  <si>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</si>
  <si>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</si>
  <si>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</si>
  <si>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</si>
  <si>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</si>
  <si>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</si>
  <si>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</si>
  <si>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סיום מידע טבלה צד שמאל</t>
  </si>
  <si>
    <t>סיום מידע טבלה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</si>
</sst>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29106085" y="0"/>
          <a:ext cx="899160" cy="603123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434340</xdr:colOff>
      <xdr:row>2</xdr:row>
      <xdr:rowOff>53340</xdr:rowOff>
    </xdr:to>
    <xdr:pic>
      <xdr:nvPicPr>
        <xdr:cNvPr id="3" name="תמונה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77B528A8-F313-4FD0-B4CF-7016C8398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679580" y="0"/>
          <a:ext cx="43434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2"/>
      <sheetName val="גיליון224"/>
      <sheetName val="גיליון226"/>
      <sheetName val="גיליון228"/>
      <sheetName val="גיליון230"/>
      <sheetName val="גיליון23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361"/>
  <sheetViews>
    <sheetView rightToLeft="1" tabSelected="1" workbookViewId="0">
      <selection activeCell="A2" sqref="A2:BI2"/>
    </sheetView>
  </sheetViews>
  <sheetFormatPr defaultRowHeight="13.8" x14ac:dyDescent="0.25"/>
  <sheetData>
    <row r="2" spans="1:62" x14ac:dyDescent="0.25">
      <c r="A2" s="21" t="s">
        <v>694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695</v>
      </c>
    </row>
    <row r="3" spans="1:62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102</v>
      </c>
      <c r="L3">
        <v>122</v>
      </c>
      <c r="M3">
        <v>142</v>
      </c>
      <c r="N3">
        <v>164</v>
      </c>
      <c r="O3">
        <v>167</v>
      </c>
      <c r="P3">
        <v>169</v>
      </c>
      <c r="Q3">
        <v>425</v>
      </c>
      <c r="R3">
        <v>426</v>
      </c>
      <c r="S3">
        <v>499</v>
      </c>
      <c r="T3">
        <v>519</v>
      </c>
      <c r="U3">
        <v>526</v>
      </c>
      <c r="V3">
        <v>570</v>
      </c>
      <c r="W3">
        <v>571</v>
      </c>
      <c r="X3">
        <v>572</v>
      </c>
      <c r="Y3">
        <v>573</v>
      </c>
      <c r="Z3">
        <v>574</v>
      </c>
      <c r="AA3">
        <v>628</v>
      </c>
      <c r="AB3">
        <v>629</v>
      </c>
      <c r="AC3">
        <v>631</v>
      </c>
      <c r="AD3">
        <v>632</v>
      </c>
      <c r="AE3">
        <v>658</v>
      </c>
      <c r="AF3">
        <v>660</v>
      </c>
      <c r="AG3">
        <v>662</v>
      </c>
      <c r="AH3">
        <v>664</v>
      </c>
      <c r="AI3">
        <v>666</v>
      </c>
      <c r="AJ3">
        <v>726</v>
      </c>
      <c r="AK3">
        <v>737</v>
      </c>
      <c r="AL3">
        <v>827</v>
      </c>
      <c r="AM3">
        <v>575</v>
      </c>
      <c r="AN3">
        <v>576</v>
      </c>
      <c r="AO3">
        <v>359</v>
      </c>
      <c r="AP3" s="9">
        <v>828</v>
      </c>
      <c r="AQ3" s="9">
        <v>844</v>
      </c>
      <c r="AR3" s="9">
        <v>839</v>
      </c>
      <c r="AS3" s="9">
        <v>857</v>
      </c>
      <c r="AT3" s="9">
        <v>851</v>
      </c>
      <c r="AU3" s="9">
        <v>849</v>
      </c>
      <c r="AV3" s="9">
        <v>846</v>
      </c>
      <c r="AW3" s="9">
        <v>834</v>
      </c>
      <c r="AX3" s="9">
        <v>506</v>
      </c>
      <c r="AY3" s="9">
        <v>521</v>
      </c>
      <c r="AZ3" s="9">
        <v>522</v>
      </c>
      <c r="BA3" s="9">
        <v>528</v>
      </c>
      <c r="BB3" s="9">
        <v>548</v>
      </c>
      <c r="BC3" s="9">
        <v>551</v>
      </c>
      <c r="BD3" s="9">
        <v>555</v>
      </c>
      <c r="BE3" s="9">
        <v>558</v>
      </c>
      <c r="BF3" s="9">
        <v>558</v>
      </c>
      <c r="BG3" s="9">
        <v>578</v>
      </c>
      <c r="BH3" s="9">
        <v>580</v>
      </c>
      <c r="BI3" s="9">
        <v>577</v>
      </c>
      <c r="BJ3" s="21"/>
    </row>
    <row r="4" spans="1:62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715</v>
      </c>
      <c r="L4" s="10">
        <v>9916</v>
      </c>
      <c r="M4" s="10">
        <v>1100</v>
      </c>
      <c r="N4" s="10">
        <v>801</v>
      </c>
      <c r="O4" s="10">
        <v>804</v>
      </c>
      <c r="P4" s="10">
        <v>806</v>
      </c>
      <c r="Q4" s="10">
        <v>8765</v>
      </c>
      <c r="R4" s="10">
        <v>8766</v>
      </c>
      <c r="S4" s="10">
        <v>9418</v>
      </c>
      <c r="T4" s="10">
        <v>9475</v>
      </c>
      <c r="U4" s="10">
        <v>9906</v>
      </c>
      <c r="V4" s="10">
        <v>7905</v>
      </c>
      <c r="W4" s="10">
        <v>7906</v>
      </c>
      <c r="X4" s="10">
        <v>7907</v>
      </c>
      <c r="Y4" s="10">
        <v>7908</v>
      </c>
      <c r="Z4" s="10">
        <v>7909</v>
      </c>
      <c r="AA4" s="10">
        <v>11310</v>
      </c>
      <c r="AB4" s="10">
        <v>11311</v>
      </c>
      <c r="AC4" s="10">
        <v>11312</v>
      </c>
      <c r="AD4" s="10">
        <v>11335</v>
      </c>
      <c r="AE4" s="10">
        <v>9529</v>
      </c>
      <c r="AF4" s="10">
        <v>961</v>
      </c>
      <c r="AG4" s="10">
        <v>9528</v>
      </c>
      <c r="AH4" s="10">
        <v>964</v>
      </c>
      <c r="AI4" s="10">
        <v>968</v>
      </c>
      <c r="AJ4" s="10">
        <v>8629</v>
      </c>
      <c r="AK4" s="10">
        <v>13264</v>
      </c>
      <c r="AL4" s="10">
        <v>13263</v>
      </c>
      <c r="AM4" s="10">
        <v>13209</v>
      </c>
      <c r="AN4" s="10">
        <v>13250</v>
      </c>
      <c r="AO4" s="10">
        <v>14281</v>
      </c>
      <c r="AP4" s="11">
        <v>2049</v>
      </c>
      <c r="AQ4" s="12">
        <v>7975</v>
      </c>
      <c r="AR4" s="12">
        <v>8004</v>
      </c>
      <c r="AS4" s="11">
        <v>1008</v>
      </c>
      <c r="AT4" s="11">
        <v>9484</v>
      </c>
      <c r="AU4" s="11">
        <v>682</v>
      </c>
      <c r="AV4" s="11">
        <v>11352</v>
      </c>
      <c r="AW4" s="11">
        <v>2058</v>
      </c>
      <c r="AX4" s="11">
        <v>15007</v>
      </c>
      <c r="AY4" s="11">
        <v>15208</v>
      </c>
      <c r="AZ4" s="11">
        <v>15209</v>
      </c>
      <c r="BA4" s="11">
        <v>15210</v>
      </c>
      <c r="BB4" s="11">
        <v>15211</v>
      </c>
      <c r="BC4" s="11">
        <v>15212</v>
      </c>
      <c r="BD4" s="11">
        <v>15232</v>
      </c>
      <c r="BE4" s="11">
        <v>15214</v>
      </c>
      <c r="BF4" s="11">
        <v>15214</v>
      </c>
      <c r="BG4" s="11">
        <v>15233</v>
      </c>
      <c r="BH4" s="11">
        <v>15234</v>
      </c>
      <c r="BI4" s="11">
        <v>15215</v>
      </c>
      <c r="BJ4" s="21"/>
    </row>
    <row r="5" spans="1:62" ht="15.6" x14ac:dyDescent="0.3">
      <c r="A5" s="3">
        <v>45901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s="13" t="s">
        <v>651</v>
      </c>
      <c r="AQ5" s="14" t="s">
        <v>652</v>
      </c>
      <c r="AR5" s="13" t="s">
        <v>653</v>
      </c>
      <c r="AS5" s="13" t="s">
        <v>654</v>
      </c>
      <c r="AT5" s="13" t="s">
        <v>655</v>
      </c>
      <c r="AU5" s="13" t="s">
        <v>656</v>
      </c>
      <c r="AV5" s="13" t="s">
        <v>657</v>
      </c>
      <c r="AW5" s="13" t="s">
        <v>658</v>
      </c>
      <c r="AX5" s="13" t="s">
        <v>659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21"/>
    </row>
    <row r="6" spans="1:62" ht="15.6" x14ac:dyDescent="0.3">
      <c r="A6" s="4"/>
      <c r="B6" s="5"/>
      <c r="C6" s="5"/>
      <c r="D6" s="6" t="s">
        <v>0</v>
      </c>
      <c r="E6" s="15" t="s">
        <v>660</v>
      </c>
      <c r="F6" s="15" t="s">
        <v>661</v>
      </c>
      <c r="G6" s="15" t="s">
        <v>662</v>
      </c>
      <c r="H6" s="15" t="s">
        <v>663</v>
      </c>
      <c r="I6" s="15" t="s">
        <v>664</v>
      </c>
      <c r="J6" s="15" t="s">
        <v>665</v>
      </c>
      <c r="K6" s="15" t="s">
        <v>666</v>
      </c>
      <c r="L6" s="15" t="s">
        <v>667</v>
      </c>
      <c r="M6" s="15" t="s">
        <v>668</v>
      </c>
      <c r="N6" s="15" t="s">
        <v>669</v>
      </c>
      <c r="O6" s="15" t="s">
        <v>670</v>
      </c>
      <c r="P6" s="15" t="s">
        <v>671</v>
      </c>
      <c r="Q6" s="15" t="s">
        <v>672</v>
      </c>
      <c r="R6" s="15" t="s">
        <v>673</v>
      </c>
      <c r="S6" s="15" t="s">
        <v>674</v>
      </c>
      <c r="T6" s="15" t="s">
        <v>675</v>
      </c>
      <c r="U6" s="15" t="s">
        <v>676</v>
      </c>
      <c r="V6" s="15" t="s">
        <v>677</v>
      </c>
      <c r="W6" s="15" t="s">
        <v>678</v>
      </c>
      <c r="X6" s="15" t="s">
        <v>679</v>
      </c>
      <c r="Y6" s="15" t="s">
        <v>680</v>
      </c>
      <c r="Z6" s="15" t="s">
        <v>681</v>
      </c>
      <c r="AA6" s="15" t="s">
        <v>682</v>
      </c>
      <c r="AB6" s="15" t="s">
        <v>683</v>
      </c>
      <c r="AC6" s="15" t="s">
        <v>684</v>
      </c>
      <c r="AD6" s="15" t="s">
        <v>685</v>
      </c>
      <c r="AE6" s="15" t="s">
        <v>686</v>
      </c>
      <c r="AF6" s="15" t="s">
        <v>687</v>
      </c>
      <c r="AG6" s="15" t="s">
        <v>688</v>
      </c>
      <c r="AH6" s="15" t="s">
        <v>689</v>
      </c>
      <c r="AI6" s="15" t="s">
        <v>690</v>
      </c>
      <c r="AJ6" s="15" t="s">
        <v>691</v>
      </c>
      <c r="AK6" s="15" t="s">
        <v>692</v>
      </c>
      <c r="AL6" s="15" t="s">
        <v>693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21"/>
    </row>
    <row r="7" spans="1:62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209119.288</v>
      </c>
      <c r="F7" s="7">
        <v>28344.706999999999</v>
      </c>
      <c r="G7" s="7">
        <v>23167.548999999999</v>
      </c>
      <c r="H7" s="7">
        <v>9.99</v>
      </c>
      <c r="I7" s="7">
        <v>3013.6019999999999</v>
      </c>
      <c r="J7" s="7">
        <v>15010.12</v>
      </c>
      <c r="K7" s="7">
        <v>3371.3609999999999</v>
      </c>
      <c r="L7" s="7">
        <v>244211.478</v>
      </c>
      <c r="M7" s="7">
        <v>56060.591999999997</v>
      </c>
      <c r="N7" s="7">
        <v>3.048</v>
      </c>
      <c r="O7" s="7">
        <v>1936.6659999999999</v>
      </c>
      <c r="P7" s="7">
        <v>82.387</v>
      </c>
      <c r="Q7" s="7">
        <v>1418.5039999999999</v>
      </c>
      <c r="R7" s="7">
        <v>949.54399999999998</v>
      </c>
      <c r="S7" s="7">
        <v>8872.1290000000008</v>
      </c>
      <c r="T7" s="7">
        <v>1.2869999999999999</v>
      </c>
      <c r="U7" s="7">
        <v>2700.5239999999999</v>
      </c>
      <c r="V7" s="7">
        <v>2565.8490000000002</v>
      </c>
      <c r="W7" s="7">
        <v>6520.5950000000003</v>
      </c>
      <c r="X7" s="7">
        <v>20851.59</v>
      </c>
      <c r="Y7" s="7">
        <v>64511.163</v>
      </c>
      <c r="Z7" s="7">
        <v>15974.754000000001</v>
      </c>
      <c r="AA7" s="7">
        <v>32095.097000000002</v>
      </c>
      <c r="AB7" s="7">
        <v>59459.82</v>
      </c>
      <c r="AC7" s="7">
        <v>5406.3010000000004</v>
      </c>
      <c r="AD7" s="7">
        <v>4563.7950000000001</v>
      </c>
      <c r="AE7" s="7">
        <v>182094.245</v>
      </c>
      <c r="AF7" s="7">
        <v>68242.307000000001</v>
      </c>
      <c r="AG7" s="7">
        <v>22893.531999999999</v>
      </c>
      <c r="AH7" s="7">
        <v>493584.783</v>
      </c>
      <c r="AI7" s="7">
        <v>103752.65</v>
      </c>
      <c r="AJ7" s="7">
        <v>82176.142000000007</v>
      </c>
      <c r="AK7" s="7">
        <v>218923.462</v>
      </c>
      <c r="AL7" s="7">
        <v>118190.47100000001</v>
      </c>
      <c r="AM7" s="7">
        <v>643.24599999999998</v>
      </c>
      <c r="AN7" s="7">
        <v>78150.251000000004</v>
      </c>
      <c r="AO7" s="7">
        <v>5338.8280000000004</v>
      </c>
      <c r="AP7" s="7">
        <v>4485.2</v>
      </c>
      <c r="AQ7" s="7">
        <v>36334.65</v>
      </c>
      <c r="AR7" s="7">
        <v>880.69</v>
      </c>
      <c r="AS7" s="7">
        <v>206.57499999999999</v>
      </c>
      <c r="AT7" s="7">
        <v>0</v>
      </c>
      <c r="AU7" s="7">
        <v>6841.366</v>
      </c>
      <c r="AV7" s="7">
        <v>2343.502</v>
      </c>
      <c r="AW7" s="7">
        <v>5096.6279999999997</v>
      </c>
      <c r="AX7" s="7">
        <v>23770.710999999999</v>
      </c>
      <c r="AY7" s="7">
        <v>2700.46</v>
      </c>
      <c r="AZ7" s="7">
        <v>18464.893</v>
      </c>
      <c r="BA7" s="7">
        <v>19609.264999999999</v>
      </c>
      <c r="BB7" s="7">
        <v>2399.904</v>
      </c>
      <c r="BC7" s="7">
        <v>1734.3589999999999</v>
      </c>
      <c r="BD7" s="7">
        <v>17213.026999999998</v>
      </c>
      <c r="BE7" s="7">
        <v>729.53099999999995</v>
      </c>
      <c r="BF7" s="7">
        <v>729.53099999999995</v>
      </c>
      <c r="BG7" s="7">
        <v>3135.982</v>
      </c>
      <c r="BH7" s="7">
        <v>52760.271000000001</v>
      </c>
      <c r="BI7" s="7">
        <v>833.346</v>
      </c>
      <c r="BJ7" s="21"/>
    </row>
    <row r="8" spans="1:62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97146.035000000003</v>
      </c>
      <c r="F8" s="7">
        <v>19703.508000000002</v>
      </c>
      <c r="G8" s="7">
        <v>8612.9419999999991</v>
      </c>
      <c r="H8" s="7">
        <v>652.04200000000003</v>
      </c>
      <c r="I8" s="7">
        <v>3550.3040000000001</v>
      </c>
      <c r="J8" s="7">
        <v>5147.6790000000001</v>
      </c>
      <c r="K8" s="7">
        <v>0</v>
      </c>
      <c r="L8" s="7">
        <v>185853.45699999999</v>
      </c>
      <c r="M8" s="7">
        <v>31774.973000000002</v>
      </c>
      <c r="N8" s="7">
        <v>0</v>
      </c>
      <c r="O8" s="7">
        <v>150.68700000000001</v>
      </c>
      <c r="P8" s="7">
        <v>362.57900000000001</v>
      </c>
      <c r="Q8" s="7">
        <v>88.611999999999995</v>
      </c>
      <c r="R8" s="7">
        <v>285.59899999999999</v>
      </c>
      <c r="S8" s="7">
        <v>5100.5379999999996</v>
      </c>
      <c r="T8" s="7">
        <v>0</v>
      </c>
      <c r="U8" s="7">
        <v>0</v>
      </c>
      <c r="V8" s="7">
        <v>819.49699999999996</v>
      </c>
      <c r="W8" s="7">
        <v>3999.614</v>
      </c>
      <c r="X8" s="7">
        <v>867.26599999999996</v>
      </c>
      <c r="Y8" s="7">
        <v>39218.127</v>
      </c>
      <c r="Z8" s="7">
        <v>2038.4839999999999</v>
      </c>
      <c r="AA8" s="7">
        <v>19280.242999999999</v>
      </c>
      <c r="AB8" s="7">
        <v>3624.9290000000001</v>
      </c>
      <c r="AC8" s="7">
        <v>3322.83</v>
      </c>
      <c r="AD8" s="7">
        <v>707.69100000000003</v>
      </c>
      <c r="AE8" s="7">
        <v>94216.77</v>
      </c>
      <c r="AF8" s="7">
        <v>53462.057999999997</v>
      </c>
      <c r="AG8" s="7">
        <v>3743.4639999999999</v>
      </c>
      <c r="AH8" s="7">
        <v>311883.95600000001</v>
      </c>
      <c r="AI8" s="7">
        <v>82586.203999999998</v>
      </c>
      <c r="AJ8" s="7">
        <v>9152.4779999999992</v>
      </c>
      <c r="AK8" s="7">
        <v>136052.386</v>
      </c>
      <c r="AL8" s="7">
        <v>71901.206000000006</v>
      </c>
      <c r="AM8" s="7">
        <v>0</v>
      </c>
      <c r="AN8" s="7">
        <v>47262.271000000001</v>
      </c>
      <c r="AO8" s="7">
        <v>3380.683</v>
      </c>
      <c r="AP8" s="7">
        <v>4770.9960000000001</v>
      </c>
      <c r="AQ8" s="7">
        <v>19237.892</v>
      </c>
      <c r="AR8" s="7">
        <v>1666.1610000000001</v>
      </c>
      <c r="AS8" s="7">
        <v>63.320999999999998</v>
      </c>
      <c r="AT8" s="7">
        <v>0</v>
      </c>
      <c r="AU8" s="7">
        <v>3822.4839999999999</v>
      </c>
      <c r="AV8" s="7">
        <v>5359.7190000000001</v>
      </c>
      <c r="AW8" s="7">
        <v>8016.7330000000002</v>
      </c>
      <c r="AX8" s="7">
        <v>960.18499999999995</v>
      </c>
      <c r="AY8" s="7">
        <v>318.92099999999999</v>
      </c>
      <c r="AZ8" s="7">
        <v>1095.085</v>
      </c>
      <c r="BA8" s="7">
        <v>682.95500000000004</v>
      </c>
      <c r="BB8" s="7">
        <v>1092.117</v>
      </c>
      <c r="BC8" s="7">
        <v>266.52</v>
      </c>
      <c r="BD8" s="7">
        <v>1268.3389999999999</v>
      </c>
      <c r="BE8" s="7">
        <v>319.64800000000002</v>
      </c>
      <c r="BF8" s="7">
        <v>319.64800000000002</v>
      </c>
      <c r="BG8" s="7">
        <v>442.33800000000002</v>
      </c>
      <c r="BH8" s="7">
        <v>7558.348</v>
      </c>
      <c r="BI8" s="7">
        <v>53.752000000000002</v>
      </c>
      <c r="BJ8" s="21"/>
    </row>
    <row r="9" spans="1:62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100196.17</v>
      </c>
      <c r="F9" s="7">
        <v>20161.776000000002</v>
      </c>
      <c r="G9" s="7">
        <v>7378.46</v>
      </c>
      <c r="H9" s="7">
        <v>17400.559000000001</v>
      </c>
      <c r="I9" s="7">
        <v>534.79999999999995</v>
      </c>
      <c r="J9" s="7">
        <v>5688.0140000000001</v>
      </c>
      <c r="K9" s="7">
        <v>2192.11</v>
      </c>
      <c r="L9" s="7">
        <v>86660.311000000002</v>
      </c>
      <c r="M9" s="7">
        <v>2066.1</v>
      </c>
      <c r="N9" s="7">
        <v>105.386</v>
      </c>
      <c r="O9" s="7">
        <v>1039.6880000000001</v>
      </c>
      <c r="P9" s="7">
        <v>164.643</v>
      </c>
      <c r="Q9" s="7">
        <v>703.70600000000002</v>
      </c>
      <c r="R9" s="7">
        <v>398.90699999999998</v>
      </c>
      <c r="S9" s="7">
        <v>3697.5439999999999</v>
      </c>
      <c r="T9" s="7">
        <v>31.882000000000001</v>
      </c>
      <c r="U9" s="7">
        <v>4720.8999999999996</v>
      </c>
      <c r="V9" s="7">
        <v>3536.2979999999998</v>
      </c>
      <c r="W9" s="7">
        <v>2285.0819999999999</v>
      </c>
      <c r="X9" s="7">
        <v>12430.34</v>
      </c>
      <c r="Y9" s="7">
        <v>33231.775000000001</v>
      </c>
      <c r="Z9" s="7">
        <v>7704.89</v>
      </c>
      <c r="AA9" s="7">
        <v>38119.908000000003</v>
      </c>
      <c r="AB9" s="7">
        <v>34257.266000000003</v>
      </c>
      <c r="AC9" s="7">
        <v>2053.4009999999998</v>
      </c>
      <c r="AD9" s="7">
        <v>3762.3330000000001</v>
      </c>
      <c r="AE9" s="7">
        <v>121715.128</v>
      </c>
      <c r="AF9" s="7">
        <v>36358.826999999997</v>
      </c>
      <c r="AG9" s="7">
        <v>18578.103999999999</v>
      </c>
      <c r="AH9" s="7">
        <v>217697.285</v>
      </c>
      <c r="AI9" s="7">
        <v>60051.964</v>
      </c>
      <c r="AJ9" s="7">
        <v>43435.190999999999</v>
      </c>
      <c r="AK9" s="7">
        <v>125754.466</v>
      </c>
      <c r="AL9" s="7">
        <v>59335.044000000002</v>
      </c>
      <c r="AM9" s="7">
        <v>556.58699999999999</v>
      </c>
      <c r="AN9" s="7">
        <v>39498.538</v>
      </c>
      <c r="AO9" s="7">
        <v>2249.9409999999998</v>
      </c>
      <c r="AP9" s="7">
        <v>0</v>
      </c>
      <c r="AQ9" s="7">
        <v>5042.3990000000003</v>
      </c>
      <c r="AR9" s="7">
        <v>0</v>
      </c>
      <c r="AS9" s="7">
        <v>14.112</v>
      </c>
      <c r="AT9" s="7">
        <v>0</v>
      </c>
      <c r="AU9" s="7">
        <v>187.90199999999999</v>
      </c>
      <c r="AV9" s="7">
        <v>0</v>
      </c>
      <c r="AW9" s="7">
        <v>0</v>
      </c>
      <c r="AX9" s="7">
        <v>17144.148000000001</v>
      </c>
      <c r="AY9" s="7">
        <v>178.78899999999999</v>
      </c>
      <c r="AZ9" s="7">
        <v>942.75199999999995</v>
      </c>
      <c r="BA9" s="7">
        <v>8081.3819999999996</v>
      </c>
      <c r="BB9" s="7">
        <v>298.08499999999998</v>
      </c>
      <c r="BC9" s="7">
        <v>107.357</v>
      </c>
      <c r="BD9" s="7">
        <v>1101.0650000000001</v>
      </c>
      <c r="BE9" s="7">
        <v>83.555999999999997</v>
      </c>
      <c r="BF9" s="7">
        <v>83.555999999999997</v>
      </c>
      <c r="BG9" s="7">
        <v>380.04</v>
      </c>
      <c r="BH9" s="7">
        <v>22129.05</v>
      </c>
      <c r="BI9" s="7">
        <v>37.856000000000002</v>
      </c>
      <c r="BJ9" s="21"/>
    </row>
    <row r="10" spans="1:62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506392.31300000002</v>
      </c>
      <c r="F10" s="7">
        <v>98733.744000000006</v>
      </c>
      <c r="G10" s="7">
        <v>0</v>
      </c>
      <c r="H10" s="7">
        <v>0</v>
      </c>
      <c r="I10" s="7">
        <v>2019.53</v>
      </c>
      <c r="J10" s="7">
        <v>0</v>
      </c>
      <c r="K10" s="7">
        <v>0</v>
      </c>
      <c r="L10" s="7">
        <v>1164853.95</v>
      </c>
      <c r="M10" s="7">
        <v>38587.247000000003</v>
      </c>
      <c r="N10" s="7">
        <v>0</v>
      </c>
      <c r="O10" s="7">
        <v>7273.4530000000004</v>
      </c>
      <c r="P10" s="7">
        <v>0</v>
      </c>
      <c r="Q10" s="7">
        <v>4263.5720000000001</v>
      </c>
      <c r="R10" s="7">
        <v>844.69500000000005</v>
      </c>
      <c r="S10" s="7">
        <v>31590.799999999999</v>
      </c>
      <c r="T10" s="7">
        <v>0</v>
      </c>
      <c r="U10" s="7">
        <v>0</v>
      </c>
      <c r="V10" s="7">
        <v>0</v>
      </c>
      <c r="W10" s="7">
        <v>9364.5310000000009</v>
      </c>
      <c r="X10" s="7">
        <v>21062.545999999998</v>
      </c>
      <c r="Y10" s="7">
        <v>243298.83799999999</v>
      </c>
      <c r="Z10" s="7">
        <v>38369.334999999999</v>
      </c>
      <c r="AA10" s="7">
        <v>553.875</v>
      </c>
      <c r="AB10" s="7">
        <v>235729.58499999999</v>
      </c>
      <c r="AC10" s="7">
        <v>18317.618999999999</v>
      </c>
      <c r="AD10" s="7">
        <v>10295.106</v>
      </c>
      <c r="AE10" s="7">
        <v>684176.84299999999</v>
      </c>
      <c r="AF10" s="7">
        <v>432125.62199999997</v>
      </c>
      <c r="AG10" s="7">
        <v>59955.997000000003</v>
      </c>
      <c r="AH10" s="7">
        <v>1946267.683</v>
      </c>
      <c r="AI10" s="7">
        <v>648229.67500000005</v>
      </c>
      <c r="AJ10" s="7">
        <v>197182.21900000001</v>
      </c>
      <c r="AK10" s="7">
        <v>7276724.1540000001</v>
      </c>
      <c r="AL10" s="7">
        <v>3928545.0989999999</v>
      </c>
      <c r="AM10" s="7">
        <v>0</v>
      </c>
      <c r="AN10" s="7">
        <v>2597645.8080000002</v>
      </c>
      <c r="AO10" s="7">
        <v>22346.008000000002</v>
      </c>
      <c r="AP10" s="7">
        <v>0</v>
      </c>
      <c r="AQ10" s="7">
        <v>161109.057</v>
      </c>
      <c r="AR10" s="7">
        <v>0</v>
      </c>
      <c r="AS10" s="7">
        <v>326.654</v>
      </c>
      <c r="AT10" s="7">
        <v>0</v>
      </c>
      <c r="AU10" s="7">
        <v>2052.6350000000002</v>
      </c>
      <c r="AV10" s="7">
        <v>0</v>
      </c>
      <c r="AW10" s="7">
        <v>0</v>
      </c>
      <c r="AX10" s="7">
        <v>24011.196</v>
      </c>
      <c r="AY10" s="7">
        <v>0</v>
      </c>
      <c r="AZ10" s="7">
        <v>0</v>
      </c>
      <c r="BA10" s="7">
        <v>17630.007000000001</v>
      </c>
      <c r="BB10" s="7">
        <v>7551.1260000000002</v>
      </c>
      <c r="BC10" s="7">
        <v>0</v>
      </c>
      <c r="BD10" s="7">
        <v>0</v>
      </c>
      <c r="BE10" s="7">
        <v>2148.08</v>
      </c>
      <c r="BF10" s="7">
        <v>2148.08</v>
      </c>
      <c r="BG10" s="7">
        <v>0</v>
      </c>
      <c r="BH10" s="7">
        <v>119075.58199999999</v>
      </c>
      <c r="BI10" s="7">
        <v>0</v>
      </c>
      <c r="BJ10" s="21"/>
    </row>
    <row r="11" spans="1:62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58821.292999999998</v>
      </c>
      <c r="F13" s="7">
        <v>12677.674000000001</v>
      </c>
      <c r="G13" s="7">
        <v>3387.95</v>
      </c>
      <c r="H13" s="7">
        <v>8.6999999999999994E-2</v>
      </c>
      <c r="I13" s="7">
        <v>769.69899999999996</v>
      </c>
      <c r="J13" s="7">
        <v>4433.4840000000004</v>
      </c>
      <c r="K13" s="7">
        <v>0</v>
      </c>
      <c r="L13" s="7">
        <v>95026.399000000005</v>
      </c>
      <c r="M13" s="7">
        <v>14435.34</v>
      </c>
      <c r="N13" s="7">
        <v>0</v>
      </c>
      <c r="O13" s="7">
        <v>16.663</v>
      </c>
      <c r="P13" s="7">
        <v>68.903999999999996</v>
      </c>
      <c r="Q13" s="7">
        <v>21.113</v>
      </c>
      <c r="R13" s="7">
        <v>26.260999999999999</v>
      </c>
      <c r="S13" s="7">
        <v>3534.893</v>
      </c>
      <c r="T13" s="7">
        <v>0</v>
      </c>
      <c r="U13" s="7">
        <v>0</v>
      </c>
      <c r="V13" s="7">
        <v>526.16300000000001</v>
      </c>
      <c r="W13" s="7">
        <v>1380.6759999999999</v>
      </c>
      <c r="X13" s="7">
        <v>910.88800000000003</v>
      </c>
      <c r="Y13" s="7">
        <v>26118.315999999999</v>
      </c>
      <c r="Z13" s="7">
        <v>699.05100000000004</v>
      </c>
      <c r="AA13" s="7">
        <v>8419.3439999999991</v>
      </c>
      <c r="AB13" s="7">
        <v>402.762</v>
      </c>
      <c r="AC13" s="7">
        <v>1885.0989999999999</v>
      </c>
      <c r="AD13" s="7">
        <v>168.53800000000001</v>
      </c>
      <c r="AE13" s="7">
        <v>57574.750999999997</v>
      </c>
      <c r="AF13" s="7">
        <v>32239.066999999999</v>
      </c>
      <c r="AG13" s="7">
        <v>651.42600000000004</v>
      </c>
      <c r="AH13" s="7">
        <v>182224.55100000001</v>
      </c>
      <c r="AI13" s="7">
        <v>47889.152999999998</v>
      </c>
      <c r="AJ13" s="7">
        <v>3781.45</v>
      </c>
      <c r="AK13" s="7">
        <v>86876.091</v>
      </c>
      <c r="AL13" s="7">
        <v>46902.512000000002</v>
      </c>
      <c r="AM13" s="7">
        <v>0</v>
      </c>
      <c r="AN13" s="7">
        <v>31013.037</v>
      </c>
      <c r="AO13" s="7">
        <v>2217.5149999999999</v>
      </c>
      <c r="AP13" s="7">
        <v>0</v>
      </c>
      <c r="AQ13" s="7">
        <v>10692.882</v>
      </c>
      <c r="AR13" s="7">
        <v>0</v>
      </c>
      <c r="AS13" s="7">
        <v>25.338999999999999</v>
      </c>
      <c r="AT13" s="7">
        <v>0</v>
      </c>
      <c r="AU13" s="7">
        <v>161.53100000000001</v>
      </c>
      <c r="AV13" s="7">
        <v>0</v>
      </c>
      <c r="AW13" s="7">
        <v>0</v>
      </c>
      <c r="AX13" s="7">
        <v>1038.383</v>
      </c>
      <c r="AY13" s="7">
        <v>24.09</v>
      </c>
      <c r="AZ13" s="7">
        <v>0.58599999999999997</v>
      </c>
      <c r="BA13" s="7">
        <v>762.423</v>
      </c>
      <c r="BB13" s="7">
        <v>740.04499999999996</v>
      </c>
      <c r="BC13" s="7">
        <v>16.91</v>
      </c>
      <c r="BD13" s="7">
        <v>0.68400000000000005</v>
      </c>
      <c r="BE13" s="7">
        <v>208.51</v>
      </c>
      <c r="BF13" s="7">
        <v>208.51</v>
      </c>
      <c r="BG13" s="7">
        <v>0.23599999999999999</v>
      </c>
      <c r="BH13" s="7">
        <v>2198.3820000000001</v>
      </c>
      <c r="BI13" s="7">
        <v>6.3559999999999999</v>
      </c>
      <c r="BJ13" s="21"/>
    </row>
    <row r="14" spans="1:62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30.186</v>
      </c>
      <c r="F14" s="7">
        <v>4.1760000000000002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134.56200000000001</v>
      </c>
      <c r="M14" s="7">
        <v>9.9879999999999995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9.2189999999999994</v>
      </c>
      <c r="AF14" s="7">
        <v>1.3720000000000001</v>
      </c>
      <c r="AG14" s="7">
        <v>0</v>
      </c>
      <c r="AH14" s="7">
        <v>86.403999999999996</v>
      </c>
      <c r="AI14" s="7">
        <v>0.93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21"/>
    </row>
    <row r="15" spans="1:62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12072.839</v>
      </c>
      <c r="F15" s="7">
        <v>107.824</v>
      </c>
      <c r="G15" s="7">
        <v>0</v>
      </c>
      <c r="H15" s="7">
        <v>0</v>
      </c>
      <c r="I15" s="7">
        <v>2.2050000000000001</v>
      </c>
      <c r="J15" s="7">
        <v>0</v>
      </c>
      <c r="K15" s="7">
        <v>0</v>
      </c>
      <c r="L15" s="7">
        <v>11433.67</v>
      </c>
      <c r="M15" s="7">
        <v>11279.512000000001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34.499000000000002</v>
      </c>
      <c r="T15" s="7">
        <v>0</v>
      </c>
      <c r="U15" s="7">
        <v>0</v>
      </c>
      <c r="V15" s="7">
        <v>0</v>
      </c>
      <c r="W15" s="7">
        <v>10.227</v>
      </c>
      <c r="X15" s="7">
        <v>0</v>
      </c>
      <c r="Y15" s="7">
        <v>260.26600000000002</v>
      </c>
      <c r="Z15" s="7">
        <v>0</v>
      </c>
      <c r="AA15" s="7">
        <v>0</v>
      </c>
      <c r="AB15" s="7">
        <v>0</v>
      </c>
      <c r="AC15" s="7">
        <v>20.004000000000001</v>
      </c>
      <c r="AD15" s="7">
        <v>0</v>
      </c>
      <c r="AE15" s="7">
        <v>650.07100000000003</v>
      </c>
      <c r="AF15" s="7">
        <v>471.91199999999998</v>
      </c>
      <c r="AG15" s="7">
        <v>0</v>
      </c>
      <c r="AH15" s="7">
        <v>13138.725</v>
      </c>
      <c r="AI15" s="7">
        <v>707.91399999999999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24.402999999999999</v>
      </c>
      <c r="AP15" s="7">
        <v>0</v>
      </c>
      <c r="AQ15" s="7">
        <v>175.94300000000001</v>
      </c>
      <c r="AR15" s="7">
        <v>0</v>
      </c>
      <c r="AS15" s="7">
        <v>0.35699999999999998</v>
      </c>
      <c r="AT15" s="7">
        <v>0</v>
      </c>
      <c r="AU15" s="7">
        <v>2.242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8.2460000000000004</v>
      </c>
      <c r="BC15" s="7">
        <v>0</v>
      </c>
      <c r="BD15" s="7">
        <v>0</v>
      </c>
      <c r="BE15" s="7">
        <v>2.3460000000000001</v>
      </c>
      <c r="BF15" s="7">
        <v>2.3460000000000001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1367198.405</v>
      </c>
      <c r="F16" s="7">
        <v>98498.932000000001</v>
      </c>
      <c r="G16" s="7">
        <v>241949.63</v>
      </c>
      <c r="H16" s="7">
        <v>0</v>
      </c>
      <c r="I16" s="7">
        <v>34188.213000000003</v>
      </c>
      <c r="J16" s="7">
        <v>161670.212</v>
      </c>
      <c r="K16" s="7">
        <v>0</v>
      </c>
      <c r="L16" s="7">
        <v>368448.80900000001</v>
      </c>
      <c r="M16" s="7">
        <v>390726.141</v>
      </c>
      <c r="N16" s="7">
        <v>0</v>
      </c>
      <c r="O16" s="7">
        <v>0</v>
      </c>
      <c r="P16" s="7">
        <v>15736.427</v>
      </c>
      <c r="Q16" s="7">
        <v>810.33299999999997</v>
      </c>
      <c r="R16" s="7">
        <v>1345.067</v>
      </c>
      <c r="S16" s="7">
        <v>30435.618999999999</v>
      </c>
      <c r="T16" s="7">
        <v>0</v>
      </c>
      <c r="U16" s="7">
        <v>0</v>
      </c>
      <c r="V16" s="7">
        <v>19746.142</v>
      </c>
      <c r="W16" s="7">
        <v>33883.415000000001</v>
      </c>
      <c r="X16" s="7">
        <v>0</v>
      </c>
      <c r="Y16" s="7">
        <v>245072.93799999999</v>
      </c>
      <c r="Z16" s="7">
        <v>0</v>
      </c>
      <c r="AA16" s="7">
        <v>368979.02500000002</v>
      </c>
      <c r="AB16" s="7">
        <v>0</v>
      </c>
      <c r="AC16" s="7">
        <v>14415.507</v>
      </c>
      <c r="AD16" s="7">
        <v>7796.7290000000003</v>
      </c>
      <c r="AE16" s="7">
        <v>628613.59699999995</v>
      </c>
      <c r="AF16" s="7">
        <v>0</v>
      </c>
      <c r="AG16" s="7">
        <v>28503.867999999999</v>
      </c>
      <c r="AH16" s="7">
        <v>1455143.9639999999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17986.482</v>
      </c>
      <c r="AP16" s="7">
        <v>0</v>
      </c>
      <c r="AQ16" s="7">
        <v>0</v>
      </c>
      <c r="AR16" s="7">
        <v>0</v>
      </c>
      <c r="AS16" s="7">
        <v>862.99</v>
      </c>
      <c r="AT16" s="7">
        <v>0</v>
      </c>
      <c r="AU16" s="7">
        <v>20255.352999999999</v>
      </c>
      <c r="AV16" s="7">
        <v>0</v>
      </c>
      <c r="AW16" s="7">
        <v>0</v>
      </c>
      <c r="AX16" s="7">
        <v>0</v>
      </c>
      <c r="AY16" s="7">
        <v>10798.593999999999</v>
      </c>
      <c r="AZ16" s="7">
        <v>0</v>
      </c>
      <c r="BA16" s="7">
        <v>0</v>
      </c>
      <c r="BB16" s="7">
        <v>6370.2820000000002</v>
      </c>
      <c r="BC16" s="7">
        <v>6455.4120000000003</v>
      </c>
      <c r="BD16" s="7">
        <v>0</v>
      </c>
      <c r="BE16" s="7">
        <v>1593.4169999999999</v>
      </c>
      <c r="BF16" s="7">
        <v>1593.4169999999999</v>
      </c>
      <c r="BG16" s="7">
        <v>0</v>
      </c>
      <c r="BH16" s="7">
        <v>0</v>
      </c>
      <c r="BI16" s="7">
        <v>2103.3440000000001</v>
      </c>
      <c r="BJ16" s="21"/>
    </row>
    <row r="17" spans="1:62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21"/>
    </row>
    <row r="18" spans="1:62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544696.42200000002</v>
      </c>
      <c r="F18" s="7">
        <v>42068.758999999998</v>
      </c>
      <c r="G18" s="7">
        <v>92971.308999999994</v>
      </c>
      <c r="H18" s="7">
        <v>0</v>
      </c>
      <c r="I18" s="7">
        <v>13223.437</v>
      </c>
      <c r="J18" s="7">
        <v>62123.224999999999</v>
      </c>
      <c r="K18" s="7">
        <v>103713.84299999999</v>
      </c>
      <c r="L18" s="7">
        <v>191355.967</v>
      </c>
      <c r="M18" s="7">
        <v>151789.14799999999</v>
      </c>
      <c r="N18" s="7">
        <v>12318.48</v>
      </c>
      <c r="O18" s="7">
        <v>0</v>
      </c>
      <c r="P18" s="7">
        <v>0</v>
      </c>
      <c r="Q18" s="7">
        <v>1262.9780000000001</v>
      </c>
      <c r="R18" s="7">
        <v>2096.4090000000001</v>
      </c>
      <c r="S18" s="7">
        <v>13045.28</v>
      </c>
      <c r="T18" s="7">
        <v>0</v>
      </c>
      <c r="U18" s="7">
        <v>82984.270999999993</v>
      </c>
      <c r="V18" s="7">
        <v>7587.6319999999996</v>
      </c>
      <c r="W18" s="7">
        <v>13420.225</v>
      </c>
      <c r="X18" s="7">
        <v>0</v>
      </c>
      <c r="Y18" s="7">
        <v>104356.88</v>
      </c>
      <c r="Z18" s="7">
        <v>0</v>
      </c>
      <c r="AA18" s="7">
        <v>141783.49</v>
      </c>
      <c r="AB18" s="7">
        <v>0</v>
      </c>
      <c r="AC18" s="7">
        <v>6322.1419999999998</v>
      </c>
      <c r="AD18" s="7">
        <v>2995.9630000000002</v>
      </c>
      <c r="AE18" s="7">
        <v>266990.64299999998</v>
      </c>
      <c r="AF18" s="7">
        <v>18468.074000000001</v>
      </c>
      <c r="AG18" s="7">
        <v>10952.866</v>
      </c>
      <c r="AH18" s="7">
        <v>642582.24399999995</v>
      </c>
      <c r="AI18" s="7">
        <v>27703.912</v>
      </c>
      <c r="AJ18" s="7">
        <v>0</v>
      </c>
      <c r="AK18" s="7">
        <v>0</v>
      </c>
      <c r="AL18" s="7">
        <v>0</v>
      </c>
      <c r="AM18" s="7">
        <v>19787.625</v>
      </c>
      <c r="AN18" s="7">
        <v>0</v>
      </c>
      <c r="AO18" s="7">
        <v>7866.4859999999999</v>
      </c>
      <c r="AP18" s="7">
        <v>0</v>
      </c>
      <c r="AQ18" s="7">
        <v>6885.4470000000001</v>
      </c>
      <c r="AR18" s="7">
        <v>0</v>
      </c>
      <c r="AS18" s="7">
        <v>345.572</v>
      </c>
      <c r="AT18" s="7">
        <v>0</v>
      </c>
      <c r="AU18" s="7">
        <v>10176.582</v>
      </c>
      <c r="AV18" s="7">
        <v>0</v>
      </c>
      <c r="AW18" s="7">
        <v>0</v>
      </c>
      <c r="AX18" s="7">
        <v>0</v>
      </c>
      <c r="AY18" s="7">
        <v>4149.4560000000001</v>
      </c>
      <c r="AZ18" s="7">
        <v>0</v>
      </c>
      <c r="BA18" s="7">
        <v>0</v>
      </c>
      <c r="BB18" s="7">
        <v>2770.556</v>
      </c>
      <c r="BC18" s="7">
        <v>2480.5500000000002</v>
      </c>
      <c r="BD18" s="7">
        <v>0</v>
      </c>
      <c r="BE18" s="7">
        <v>704.08900000000006</v>
      </c>
      <c r="BF18" s="7">
        <v>704.08900000000006</v>
      </c>
      <c r="BG18" s="7">
        <v>0</v>
      </c>
      <c r="BH18" s="7">
        <v>0</v>
      </c>
      <c r="BI18" s="7">
        <v>808.22900000000004</v>
      </c>
      <c r="BJ18" s="21"/>
    </row>
    <row r="19" spans="1:62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7.0389999999999997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21"/>
    </row>
    <row r="20" spans="1:62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112436.13099999999</v>
      </c>
      <c r="F20" s="7">
        <v>24438.625</v>
      </c>
      <c r="G20" s="7">
        <v>0</v>
      </c>
      <c r="H20" s="7">
        <v>0</v>
      </c>
      <c r="I20" s="7">
        <v>508.75400000000002</v>
      </c>
      <c r="J20" s="7">
        <v>0</v>
      </c>
      <c r="K20" s="7">
        <v>75015.517000000007</v>
      </c>
      <c r="L20" s="7">
        <v>288619.38500000001</v>
      </c>
      <c r="M20" s="7">
        <v>9770.1170000000002</v>
      </c>
      <c r="N20" s="7">
        <v>0</v>
      </c>
      <c r="O20" s="7">
        <v>0</v>
      </c>
      <c r="P20" s="7">
        <v>0.104</v>
      </c>
      <c r="Q20" s="7">
        <v>0</v>
      </c>
      <c r="R20" s="7">
        <v>0</v>
      </c>
      <c r="S20" s="7">
        <v>7826.1540000000005</v>
      </c>
      <c r="T20" s="7">
        <v>966.52</v>
      </c>
      <c r="U20" s="7">
        <v>60021.959000000003</v>
      </c>
      <c r="V20" s="7">
        <v>0</v>
      </c>
      <c r="W20" s="7">
        <v>2327.8319999999999</v>
      </c>
      <c r="X20" s="7">
        <v>0</v>
      </c>
      <c r="Y20" s="7">
        <v>59032.161999999997</v>
      </c>
      <c r="Z20" s="7">
        <v>0</v>
      </c>
      <c r="AA20" s="7">
        <v>0</v>
      </c>
      <c r="AB20" s="7">
        <v>0</v>
      </c>
      <c r="AC20" s="7">
        <v>4540.9070000000002</v>
      </c>
      <c r="AD20" s="7">
        <v>0</v>
      </c>
      <c r="AE20" s="7">
        <v>147358.06099999999</v>
      </c>
      <c r="AF20" s="7">
        <v>106822.91800000001</v>
      </c>
      <c r="AG20" s="7">
        <v>0</v>
      </c>
      <c r="AH20" s="7">
        <v>481255.71899999998</v>
      </c>
      <c r="AI20" s="7">
        <v>160631.53599999999</v>
      </c>
      <c r="AJ20" s="7">
        <v>0</v>
      </c>
      <c r="AK20" s="7">
        <v>0</v>
      </c>
      <c r="AL20" s="7">
        <v>0</v>
      </c>
      <c r="AM20" s="7">
        <v>14312.254999999999</v>
      </c>
      <c r="AN20" s="7">
        <v>0</v>
      </c>
      <c r="AO20" s="7">
        <v>5514.2690000000002</v>
      </c>
      <c r="AP20" s="7">
        <v>0</v>
      </c>
      <c r="AQ20" s="7">
        <v>39823.322</v>
      </c>
      <c r="AR20" s="7">
        <v>0</v>
      </c>
      <c r="AS20" s="7">
        <v>80.766999999999996</v>
      </c>
      <c r="AT20" s="7">
        <v>0</v>
      </c>
      <c r="AU20" s="7">
        <v>508.375</v>
      </c>
      <c r="AV20" s="7">
        <v>0</v>
      </c>
      <c r="AW20" s="7">
        <v>0</v>
      </c>
      <c r="AX20" s="7">
        <v>0</v>
      </c>
      <c r="AY20" s="7">
        <v>31.978000000000002</v>
      </c>
      <c r="AZ20" s="7">
        <v>1015.138</v>
      </c>
      <c r="BA20" s="7">
        <v>0</v>
      </c>
      <c r="BB20" s="7">
        <v>1863.377</v>
      </c>
      <c r="BC20" s="7">
        <v>0</v>
      </c>
      <c r="BD20" s="7">
        <v>1185.606</v>
      </c>
      <c r="BE20" s="7">
        <v>529.48299999999995</v>
      </c>
      <c r="BF20" s="7">
        <v>529.48299999999995</v>
      </c>
      <c r="BG20" s="7">
        <v>409.22</v>
      </c>
      <c r="BH20" s="7">
        <v>0</v>
      </c>
      <c r="BI20" s="7">
        <v>0</v>
      </c>
      <c r="BJ20" s="21"/>
    </row>
    <row r="21" spans="1:62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986543.37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6639.7520000000004</v>
      </c>
      <c r="F23" s="7">
        <v>0</v>
      </c>
      <c r="G23" s="7">
        <v>1691.0550000000001</v>
      </c>
      <c r="H23" s="7">
        <v>0</v>
      </c>
      <c r="I23" s="7">
        <v>0</v>
      </c>
      <c r="J23" s="7">
        <v>1297.501</v>
      </c>
      <c r="K23" s="7">
        <v>0</v>
      </c>
      <c r="L23" s="7">
        <v>4126.1750000000002</v>
      </c>
      <c r="M23" s="7">
        <v>2272.2060000000001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768.66200000000003</v>
      </c>
      <c r="AF23" s="7">
        <v>0</v>
      </c>
      <c r="AG23" s="7">
        <v>0</v>
      </c>
      <c r="AH23" s="7">
        <v>3880.203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42546.906999999999</v>
      </c>
      <c r="F24" s="7">
        <v>8247.7939999999999</v>
      </c>
      <c r="G24" s="7">
        <v>6909.518</v>
      </c>
      <c r="H24" s="7">
        <v>0</v>
      </c>
      <c r="I24" s="7">
        <v>1386.095</v>
      </c>
      <c r="J24" s="7">
        <v>5379.9160000000002</v>
      </c>
      <c r="K24" s="7">
        <v>0</v>
      </c>
      <c r="L24" s="7">
        <v>44602.968999999997</v>
      </c>
      <c r="M24" s="7">
        <v>23450.541000000001</v>
      </c>
      <c r="N24" s="7">
        <v>0</v>
      </c>
      <c r="O24" s="7">
        <v>123.559</v>
      </c>
      <c r="P24" s="7">
        <v>0</v>
      </c>
      <c r="Q24" s="7">
        <v>42.018000000000001</v>
      </c>
      <c r="R24" s="7">
        <v>0</v>
      </c>
      <c r="S24" s="7">
        <v>2423.6610000000001</v>
      </c>
      <c r="T24" s="7">
        <v>0</v>
      </c>
      <c r="U24" s="7">
        <v>0</v>
      </c>
      <c r="V24" s="7">
        <v>824.93600000000004</v>
      </c>
      <c r="W24" s="7">
        <v>2047.2670000000001</v>
      </c>
      <c r="X24" s="7">
        <v>1480.076</v>
      </c>
      <c r="Y24" s="7">
        <v>13461.552</v>
      </c>
      <c r="Z24" s="7">
        <v>386.74700000000001</v>
      </c>
      <c r="AA24" s="7">
        <v>6910.61</v>
      </c>
      <c r="AB24" s="7">
        <v>2804.3719999999998</v>
      </c>
      <c r="AC24" s="7">
        <v>1328.165</v>
      </c>
      <c r="AD24" s="7">
        <v>164.40100000000001</v>
      </c>
      <c r="AE24" s="7">
        <v>34312.597999999998</v>
      </c>
      <c r="AF24" s="7">
        <v>6519.3090000000002</v>
      </c>
      <c r="AG24" s="7">
        <v>1158.155</v>
      </c>
      <c r="AH24" s="7">
        <v>107903.111</v>
      </c>
      <c r="AI24" s="7">
        <v>9779.5990000000002</v>
      </c>
      <c r="AJ24" s="7">
        <v>1832.69</v>
      </c>
      <c r="AK24" s="7">
        <v>836641.97100000002</v>
      </c>
      <c r="AL24" s="7">
        <v>451684.80300000001</v>
      </c>
      <c r="AM24" s="7">
        <v>0</v>
      </c>
      <c r="AN24" s="7">
        <v>298664.54499999998</v>
      </c>
      <c r="AO24" s="7">
        <v>888.74099999999999</v>
      </c>
      <c r="AP24" s="7">
        <v>0</v>
      </c>
      <c r="AQ24" s="7">
        <v>2430.5920000000001</v>
      </c>
      <c r="AR24" s="7">
        <v>0</v>
      </c>
      <c r="AS24" s="7">
        <v>9.24</v>
      </c>
      <c r="AT24" s="7">
        <v>0</v>
      </c>
      <c r="AU24" s="7">
        <v>162.03299999999999</v>
      </c>
      <c r="AV24" s="7">
        <v>0</v>
      </c>
      <c r="AW24" s="7">
        <v>0</v>
      </c>
      <c r="AX24" s="7">
        <v>1687.279</v>
      </c>
      <c r="AY24" s="7">
        <v>23.52</v>
      </c>
      <c r="AZ24" s="7">
        <v>0</v>
      </c>
      <c r="BA24" s="7">
        <v>1238.8699999999999</v>
      </c>
      <c r="BB24" s="7">
        <v>306.98399999999998</v>
      </c>
      <c r="BC24" s="7">
        <v>14.06</v>
      </c>
      <c r="BD24" s="7">
        <v>0</v>
      </c>
      <c r="BE24" s="7">
        <v>112.014</v>
      </c>
      <c r="BF24" s="7">
        <v>112.014</v>
      </c>
      <c r="BG24" s="7">
        <v>0</v>
      </c>
      <c r="BH24" s="7">
        <v>26956.902999999998</v>
      </c>
      <c r="BI24" s="7">
        <v>4.5810000000000004</v>
      </c>
      <c r="BJ24" s="21"/>
    </row>
    <row r="25" spans="1:62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4672.7169999999996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3738.768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24.837</v>
      </c>
      <c r="AI32" s="7">
        <v>0</v>
      </c>
      <c r="AJ32" s="7">
        <v>0</v>
      </c>
      <c r="AK32" s="7">
        <v>0</v>
      </c>
      <c r="AL32" s="7">
        <v>0</v>
      </c>
      <c r="AM32" s="7">
        <v>891.51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4689.58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3752.261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24.927</v>
      </c>
      <c r="AI35" s="7">
        <v>0</v>
      </c>
      <c r="AJ35" s="7">
        <v>0</v>
      </c>
      <c r="AK35" s="7">
        <v>0</v>
      </c>
      <c r="AL35" s="7">
        <v>0</v>
      </c>
      <c r="AM35" s="7">
        <v>894.72799999999995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989978.70600000001</v>
      </c>
      <c r="F62" s="7">
        <v>105893.023</v>
      </c>
      <c r="G62" s="7">
        <v>235726.554</v>
      </c>
      <c r="H62" s="7">
        <v>0</v>
      </c>
      <c r="I62" s="7">
        <v>21479.966</v>
      </c>
      <c r="J62" s="7">
        <v>165090.82699999999</v>
      </c>
      <c r="K62" s="7">
        <v>0</v>
      </c>
      <c r="L62" s="7">
        <v>380299.527</v>
      </c>
      <c r="M62" s="7">
        <v>557784.90399999998</v>
      </c>
      <c r="N62" s="7">
        <v>0</v>
      </c>
      <c r="O62" s="7">
        <v>0</v>
      </c>
      <c r="P62" s="7">
        <v>32.932000000000002</v>
      </c>
      <c r="Q62" s="7">
        <v>1594.9349999999999</v>
      </c>
      <c r="R62" s="7">
        <v>4708.4669999999996</v>
      </c>
      <c r="S62" s="7">
        <v>42609.737000000001</v>
      </c>
      <c r="T62" s="7">
        <v>0</v>
      </c>
      <c r="U62" s="7">
        <v>0</v>
      </c>
      <c r="V62" s="7">
        <v>25301.603999999999</v>
      </c>
      <c r="W62" s="7">
        <v>52114.021999999997</v>
      </c>
      <c r="X62" s="7">
        <v>0</v>
      </c>
      <c r="Y62" s="7">
        <v>164287.91800000001</v>
      </c>
      <c r="Z62" s="7">
        <v>0</v>
      </c>
      <c r="AA62" s="7">
        <v>317030.179</v>
      </c>
      <c r="AB62" s="7">
        <v>0</v>
      </c>
      <c r="AC62" s="7">
        <v>19564.228999999999</v>
      </c>
      <c r="AD62" s="7">
        <v>227.80199999999999</v>
      </c>
      <c r="AE62" s="7">
        <v>402038.85800000001</v>
      </c>
      <c r="AF62" s="7">
        <v>0</v>
      </c>
      <c r="AG62" s="7">
        <v>5.9820000000000002</v>
      </c>
      <c r="AH62" s="7">
        <v>1126605.7990000001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20645.179</v>
      </c>
      <c r="AP62" s="7">
        <v>0</v>
      </c>
      <c r="AQ62" s="7">
        <v>0</v>
      </c>
      <c r="AR62" s="7">
        <v>0</v>
      </c>
      <c r="AS62" s="7">
        <v>274.68900000000002</v>
      </c>
      <c r="AT62" s="7">
        <v>0</v>
      </c>
      <c r="AU62" s="7">
        <v>10309.326999999999</v>
      </c>
      <c r="AV62" s="7">
        <v>0</v>
      </c>
      <c r="AW62" s="7">
        <v>0</v>
      </c>
      <c r="AX62" s="7">
        <v>0</v>
      </c>
      <c r="AY62" s="7">
        <v>14347.405000000001</v>
      </c>
      <c r="AZ62" s="7">
        <v>0</v>
      </c>
      <c r="BA62" s="7">
        <v>0</v>
      </c>
      <c r="BB62" s="7">
        <v>7112.2389999999996</v>
      </c>
      <c r="BC62" s="7">
        <v>10652.55</v>
      </c>
      <c r="BD62" s="7">
        <v>0</v>
      </c>
      <c r="BE62" s="7">
        <v>1991.308</v>
      </c>
      <c r="BF62" s="7">
        <v>1991.308</v>
      </c>
      <c r="BG62" s="7">
        <v>0</v>
      </c>
      <c r="BH62" s="7">
        <v>0</v>
      </c>
      <c r="BI62" s="7">
        <v>3748.7370000000001</v>
      </c>
      <c r="BJ62" s="21"/>
    </row>
    <row r="63" spans="1:62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5741.0630000000001</v>
      </c>
      <c r="F63" s="7">
        <v>779.08600000000001</v>
      </c>
      <c r="G63" s="7">
        <v>1209.8869999999999</v>
      </c>
      <c r="H63" s="7">
        <v>0</v>
      </c>
      <c r="I63" s="7">
        <v>119.727</v>
      </c>
      <c r="J63" s="7">
        <v>717.49</v>
      </c>
      <c r="K63" s="7">
        <v>0</v>
      </c>
      <c r="L63" s="7">
        <v>2266.1990000000001</v>
      </c>
      <c r="M63" s="7">
        <v>2928.9119999999998</v>
      </c>
      <c r="N63" s="7">
        <v>0</v>
      </c>
      <c r="O63" s="7">
        <v>0</v>
      </c>
      <c r="P63" s="7">
        <v>0.108</v>
      </c>
      <c r="Q63" s="7">
        <v>122.495</v>
      </c>
      <c r="R63" s="7">
        <v>361.62200000000001</v>
      </c>
      <c r="S63" s="7">
        <v>337.774</v>
      </c>
      <c r="T63" s="7">
        <v>0</v>
      </c>
      <c r="U63" s="7">
        <v>0</v>
      </c>
      <c r="V63" s="7">
        <v>159.208</v>
      </c>
      <c r="W63" s="7">
        <v>233.97200000000001</v>
      </c>
      <c r="X63" s="7">
        <v>0</v>
      </c>
      <c r="Y63" s="7">
        <v>931.90300000000002</v>
      </c>
      <c r="Z63" s="7">
        <v>0</v>
      </c>
      <c r="AA63" s="7">
        <v>1879.2149999999999</v>
      </c>
      <c r="AB63" s="7">
        <v>0</v>
      </c>
      <c r="AC63" s="7">
        <v>128.59200000000001</v>
      </c>
      <c r="AD63" s="7">
        <v>0</v>
      </c>
      <c r="AE63" s="7">
        <v>1096.346</v>
      </c>
      <c r="AF63" s="7">
        <v>0</v>
      </c>
      <c r="AG63" s="7">
        <v>0</v>
      </c>
      <c r="AH63" s="7">
        <v>5346.3940000000002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126.42400000000001</v>
      </c>
      <c r="AP63" s="7">
        <v>0</v>
      </c>
      <c r="AQ63" s="7">
        <v>0</v>
      </c>
      <c r="AR63" s="7">
        <v>0</v>
      </c>
      <c r="AS63" s="7">
        <v>2.9369999999999998</v>
      </c>
      <c r="AT63" s="7">
        <v>0</v>
      </c>
      <c r="AU63" s="7">
        <v>83.665000000000006</v>
      </c>
      <c r="AV63" s="7">
        <v>0</v>
      </c>
      <c r="AW63" s="7">
        <v>0</v>
      </c>
      <c r="AX63" s="7">
        <v>0</v>
      </c>
      <c r="AY63" s="7">
        <v>89.233999999999995</v>
      </c>
      <c r="AZ63" s="7">
        <v>0</v>
      </c>
      <c r="BA63" s="7">
        <v>0</v>
      </c>
      <c r="BB63" s="7">
        <v>42.747</v>
      </c>
      <c r="BC63" s="7">
        <v>64.721000000000004</v>
      </c>
      <c r="BD63" s="7">
        <v>0</v>
      </c>
      <c r="BE63" s="7">
        <v>11.731</v>
      </c>
      <c r="BF63" s="7">
        <v>11.731</v>
      </c>
      <c r="BG63" s="7">
        <v>0</v>
      </c>
      <c r="BH63" s="7">
        <v>0</v>
      </c>
      <c r="BI63" s="7">
        <v>24.774999999999999</v>
      </c>
      <c r="BJ63" s="21"/>
    </row>
    <row r="64" spans="1:62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164364.818</v>
      </c>
      <c r="F64" s="7">
        <v>20832.219000000001</v>
      </c>
      <c r="G64" s="7">
        <v>36041.29</v>
      </c>
      <c r="H64" s="7">
        <v>0</v>
      </c>
      <c r="I64" s="7">
        <v>3470.9360000000001</v>
      </c>
      <c r="J64" s="7">
        <v>22682.92</v>
      </c>
      <c r="K64" s="7">
        <v>17524.954000000002</v>
      </c>
      <c r="L64" s="7">
        <v>64338.088000000003</v>
      </c>
      <c r="M64" s="7">
        <v>86583.297000000006</v>
      </c>
      <c r="N64" s="7">
        <v>0</v>
      </c>
      <c r="O64" s="7">
        <v>0</v>
      </c>
      <c r="P64" s="7">
        <v>3.8239999999999998</v>
      </c>
      <c r="Q64" s="7">
        <v>616.25699999999995</v>
      </c>
      <c r="R64" s="7">
        <v>1819.277</v>
      </c>
      <c r="S64" s="7">
        <v>8861.0040000000008</v>
      </c>
      <c r="T64" s="7">
        <v>0</v>
      </c>
      <c r="U64" s="7">
        <v>14022.192999999999</v>
      </c>
      <c r="V64" s="7">
        <v>4446.68</v>
      </c>
      <c r="W64" s="7">
        <v>7307.7190000000001</v>
      </c>
      <c r="X64" s="7">
        <v>0</v>
      </c>
      <c r="Y64" s="7">
        <v>26866.038</v>
      </c>
      <c r="Z64" s="7">
        <v>0</v>
      </c>
      <c r="AA64" s="7">
        <v>53438.036</v>
      </c>
      <c r="AB64" s="7">
        <v>0</v>
      </c>
      <c r="AC64" s="7">
        <v>3546.444</v>
      </c>
      <c r="AD64" s="7">
        <v>0</v>
      </c>
      <c r="AE64" s="7">
        <v>42413.252999999997</v>
      </c>
      <c r="AF64" s="7">
        <v>0</v>
      </c>
      <c r="AG64" s="7">
        <v>0</v>
      </c>
      <c r="AH64" s="7">
        <v>163754.08600000001</v>
      </c>
      <c r="AI64" s="7">
        <v>0</v>
      </c>
      <c r="AJ64" s="7">
        <v>0</v>
      </c>
      <c r="AK64" s="7">
        <v>0</v>
      </c>
      <c r="AL64" s="7">
        <v>0</v>
      </c>
      <c r="AM64" s="7">
        <v>3343.596</v>
      </c>
      <c r="AN64" s="7">
        <v>0</v>
      </c>
      <c r="AO64" s="7">
        <v>3559.6819999999998</v>
      </c>
      <c r="AP64" s="7">
        <v>0</v>
      </c>
      <c r="AQ64" s="7">
        <v>0</v>
      </c>
      <c r="AR64" s="7">
        <v>0</v>
      </c>
      <c r="AS64" s="7">
        <v>72.078999999999994</v>
      </c>
      <c r="AT64" s="7">
        <v>0</v>
      </c>
      <c r="AU64" s="7">
        <v>2279.6529999999998</v>
      </c>
      <c r="AV64" s="7">
        <v>0</v>
      </c>
      <c r="AW64" s="7">
        <v>0</v>
      </c>
      <c r="AX64" s="7">
        <v>0</v>
      </c>
      <c r="AY64" s="7">
        <v>2500.9</v>
      </c>
      <c r="AZ64" s="7">
        <v>0</v>
      </c>
      <c r="BA64" s="7">
        <v>0</v>
      </c>
      <c r="BB64" s="7">
        <v>1210.42</v>
      </c>
      <c r="BC64" s="7">
        <v>1826.6579999999999</v>
      </c>
      <c r="BD64" s="7">
        <v>0</v>
      </c>
      <c r="BE64" s="7">
        <v>334.22399999999999</v>
      </c>
      <c r="BF64" s="7">
        <v>334.22399999999999</v>
      </c>
      <c r="BG64" s="7">
        <v>0</v>
      </c>
      <c r="BH64" s="7">
        <v>0</v>
      </c>
      <c r="BI64" s="7">
        <v>682.202</v>
      </c>
      <c r="BJ64" s="21"/>
    </row>
    <row r="65" spans="1:62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21"/>
    </row>
    <row r="66" spans="1:62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182041.53700000001</v>
      </c>
      <c r="F66" s="7">
        <v>25053.469000000001</v>
      </c>
      <c r="G66" s="7">
        <v>38358.351999999999</v>
      </c>
      <c r="H66" s="7">
        <v>3491.5259999999998</v>
      </c>
      <c r="I66" s="7">
        <v>3755.93</v>
      </c>
      <c r="J66" s="7">
        <v>22633.261999999999</v>
      </c>
      <c r="K66" s="7">
        <v>0</v>
      </c>
      <c r="L66" s="7">
        <v>75039.884000000005</v>
      </c>
      <c r="M66" s="7">
        <v>92589.535999999993</v>
      </c>
      <c r="N66" s="7">
        <v>0</v>
      </c>
      <c r="O66" s="7">
        <v>0</v>
      </c>
      <c r="P66" s="7">
        <v>3.2269999999999999</v>
      </c>
      <c r="Q66" s="7">
        <v>514.20600000000002</v>
      </c>
      <c r="R66" s="7">
        <v>1518.008</v>
      </c>
      <c r="S66" s="7">
        <v>10791.155000000001</v>
      </c>
      <c r="T66" s="7">
        <v>0</v>
      </c>
      <c r="U66" s="7">
        <v>0</v>
      </c>
      <c r="V66" s="7">
        <v>5029.826</v>
      </c>
      <c r="W66" s="7">
        <v>7230.0680000000002</v>
      </c>
      <c r="X66" s="7">
        <v>0</v>
      </c>
      <c r="Y66" s="7">
        <v>29411.477999999999</v>
      </c>
      <c r="Z66" s="7">
        <v>0</v>
      </c>
      <c r="AA66" s="7">
        <v>59265.023999999998</v>
      </c>
      <c r="AB66" s="7">
        <v>0</v>
      </c>
      <c r="AC66" s="7">
        <v>4072.0250000000001</v>
      </c>
      <c r="AD66" s="7">
        <v>0</v>
      </c>
      <c r="AE66" s="7">
        <v>33064.22</v>
      </c>
      <c r="AF66" s="7">
        <v>0</v>
      </c>
      <c r="AG66" s="7">
        <v>0</v>
      </c>
      <c r="AH66" s="7">
        <v>168993.008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3988.0880000000002</v>
      </c>
      <c r="AP66" s="7">
        <v>0</v>
      </c>
      <c r="AQ66" s="7">
        <v>0</v>
      </c>
      <c r="AR66" s="7">
        <v>0</v>
      </c>
      <c r="AS66" s="7">
        <v>94.852999999999994</v>
      </c>
      <c r="AT66" s="7">
        <v>0</v>
      </c>
      <c r="AU66" s="7">
        <v>2739.3139999999999</v>
      </c>
      <c r="AV66" s="7">
        <v>0</v>
      </c>
      <c r="AW66" s="7">
        <v>0</v>
      </c>
      <c r="AX66" s="7">
        <v>0</v>
      </c>
      <c r="AY66" s="7">
        <v>2817.3380000000002</v>
      </c>
      <c r="AZ66" s="7">
        <v>0</v>
      </c>
      <c r="BA66" s="7">
        <v>0</v>
      </c>
      <c r="BB66" s="7">
        <v>1347.0319999999999</v>
      </c>
      <c r="BC66" s="7">
        <v>2040.748</v>
      </c>
      <c r="BD66" s="7">
        <v>0</v>
      </c>
      <c r="BE66" s="7">
        <v>369.245</v>
      </c>
      <c r="BF66" s="7">
        <v>369.245</v>
      </c>
      <c r="BG66" s="7">
        <v>0</v>
      </c>
      <c r="BH66" s="7">
        <v>0</v>
      </c>
      <c r="BI66" s="7">
        <v>784.74800000000005</v>
      </c>
      <c r="BJ66" s="21"/>
    </row>
    <row r="67" spans="1:62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21199.888999999999</v>
      </c>
      <c r="F67" s="7">
        <v>2913.1060000000002</v>
      </c>
      <c r="G67" s="7">
        <v>4433.2529999999997</v>
      </c>
      <c r="H67" s="7">
        <v>0</v>
      </c>
      <c r="I67" s="7">
        <v>441.05</v>
      </c>
      <c r="J67" s="7">
        <v>2596.8330000000001</v>
      </c>
      <c r="K67" s="7">
        <v>0</v>
      </c>
      <c r="L67" s="7">
        <v>8381.6740000000009</v>
      </c>
      <c r="M67" s="7">
        <v>10748.447</v>
      </c>
      <c r="N67" s="7">
        <v>0</v>
      </c>
      <c r="O67" s="7">
        <v>0</v>
      </c>
      <c r="P67" s="7">
        <v>0.379</v>
      </c>
      <c r="Q67" s="7">
        <v>54.427</v>
      </c>
      <c r="R67" s="7">
        <v>160.67500000000001</v>
      </c>
      <c r="S67" s="7">
        <v>1267.181</v>
      </c>
      <c r="T67" s="7">
        <v>0</v>
      </c>
      <c r="U67" s="7">
        <v>0</v>
      </c>
      <c r="V67" s="7">
        <v>590.64099999999996</v>
      </c>
      <c r="W67" s="7">
        <v>849.01099999999997</v>
      </c>
      <c r="X67" s="7">
        <v>0</v>
      </c>
      <c r="Y67" s="7">
        <v>3436.6469999999999</v>
      </c>
      <c r="Z67" s="7">
        <v>0</v>
      </c>
      <c r="AA67" s="7">
        <v>6948.2629999999999</v>
      </c>
      <c r="AB67" s="7">
        <v>0</v>
      </c>
      <c r="AC67" s="7">
        <v>478.16899999999998</v>
      </c>
      <c r="AD67" s="7">
        <v>0</v>
      </c>
      <c r="AE67" s="7">
        <v>3777.5070000000001</v>
      </c>
      <c r="AF67" s="7">
        <v>0</v>
      </c>
      <c r="AG67" s="7">
        <v>0</v>
      </c>
      <c r="AH67" s="7">
        <v>19482.121999999999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468.31200000000001</v>
      </c>
      <c r="AP67" s="7">
        <v>0</v>
      </c>
      <c r="AQ67" s="7">
        <v>0</v>
      </c>
      <c r="AR67" s="7">
        <v>0</v>
      </c>
      <c r="AS67" s="7">
        <v>11.138</v>
      </c>
      <c r="AT67" s="7">
        <v>0</v>
      </c>
      <c r="AU67" s="7">
        <v>323.37099999999998</v>
      </c>
      <c r="AV67" s="7">
        <v>0</v>
      </c>
      <c r="AW67" s="7">
        <v>0</v>
      </c>
      <c r="AX67" s="7">
        <v>0</v>
      </c>
      <c r="AY67" s="7">
        <v>330.834</v>
      </c>
      <c r="AZ67" s="7">
        <v>0</v>
      </c>
      <c r="BA67" s="7">
        <v>0</v>
      </c>
      <c r="BB67" s="7">
        <v>158.179</v>
      </c>
      <c r="BC67" s="7">
        <v>239.64</v>
      </c>
      <c r="BD67" s="7">
        <v>0</v>
      </c>
      <c r="BE67" s="7">
        <v>43.36</v>
      </c>
      <c r="BF67" s="7">
        <v>43.36</v>
      </c>
      <c r="BG67" s="7">
        <v>0</v>
      </c>
      <c r="BH67" s="7">
        <v>0</v>
      </c>
      <c r="BI67" s="7">
        <v>92.150999999999996</v>
      </c>
      <c r="BJ67" s="21"/>
    </row>
    <row r="68" spans="1:62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167615.25200000001</v>
      </c>
      <c r="F68" s="7">
        <v>23032.243999999999</v>
      </c>
      <c r="G68" s="7">
        <v>35051.163</v>
      </c>
      <c r="H68" s="7">
        <v>0</v>
      </c>
      <c r="I68" s="7">
        <v>3487.13</v>
      </c>
      <c r="J68" s="7">
        <v>20531.654999999999</v>
      </c>
      <c r="K68" s="7">
        <v>3556.1529999999998</v>
      </c>
      <c r="L68" s="7">
        <v>66269.043999999994</v>
      </c>
      <c r="M68" s="7">
        <v>84981.747000000003</v>
      </c>
      <c r="N68" s="7">
        <v>0</v>
      </c>
      <c r="O68" s="7">
        <v>0</v>
      </c>
      <c r="P68" s="7">
        <v>2.996</v>
      </c>
      <c r="Q68" s="7">
        <v>799.24</v>
      </c>
      <c r="R68" s="7">
        <v>2359.4659999999999</v>
      </c>
      <c r="S68" s="7">
        <v>10018.867</v>
      </c>
      <c r="T68" s="7">
        <v>0</v>
      </c>
      <c r="U68" s="7">
        <v>2845.375</v>
      </c>
      <c r="V68" s="7">
        <v>4669.8580000000002</v>
      </c>
      <c r="W68" s="7">
        <v>6712.6350000000002</v>
      </c>
      <c r="X68" s="7">
        <v>0</v>
      </c>
      <c r="Y68" s="7">
        <v>27171.576000000001</v>
      </c>
      <c r="Z68" s="7">
        <v>0</v>
      </c>
      <c r="AA68" s="7">
        <v>54935.89</v>
      </c>
      <c r="AB68" s="7">
        <v>0</v>
      </c>
      <c r="AC68" s="7">
        <v>3780.6030000000001</v>
      </c>
      <c r="AD68" s="7">
        <v>0</v>
      </c>
      <c r="AE68" s="7">
        <v>29866.562000000002</v>
      </c>
      <c r="AF68" s="7">
        <v>0</v>
      </c>
      <c r="AG68" s="7">
        <v>0</v>
      </c>
      <c r="AH68" s="7">
        <v>154052.766</v>
      </c>
      <c r="AI68" s="7">
        <v>0</v>
      </c>
      <c r="AJ68" s="7">
        <v>0</v>
      </c>
      <c r="AK68" s="7">
        <v>0</v>
      </c>
      <c r="AL68" s="7">
        <v>0</v>
      </c>
      <c r="AM68" s="7">
        <v>678.48099999999999</v>
      </c>
      <c r="AN68" s="7">
        <v>0</v>
      </c>
      <c r="AO68" s="7">
        <v>3702.674</v>
      </c>
      <c r="AP68" s="7">
        <v>0</v>
      </c>
      <c r="AQ68" s="7">
        <v>0</v>
      </c>
      <c r="AR68" s="7">
        <v>0</v>
      </c>
      <c r="AS68" s="7">
        <v>88.064999999999998</v>
      </c>
      <c r="AT68" s="7">
        <v>0</v>
      </c>
      <c r="AU68" s="7">
        <v>2553.8670000000002</v>
      </c>
      <c r="AV68" s="7">
        <v>0</v>
      </c>
      <c r="AW68" s="7">
        <v>0</v>
      </c>
      <c r="AX68" s="7">
        <v>0</v>
      </c>
      <c r="AY68" s="7">
        <v>2615.71</v>
      </c>
      <c r="AZ68" s="7">
        <v>0</v>
      </c>
      <c r="BA68" s="7">
        <v>0</v>
      </c>
      <c r="BB68" s="7">
        <v>1250.6289999999999</v>
      </c>
      <c r="BC68" s="7">
        <v>1894.6980000000001</v>
      </c>
      <c r="BD68" s="7">
        <v>0</v>
      </c>
      <c r="BE68" s="7">
        <v>342.82</v>
      </c>
      <c r="BF68" s="7">
        <v>342.82</v>
      </c>
      <c r="BG68" s="7">
        <v>0</v>
      </c>
      <c r="BH68" s="7">
        <v>0</v>
      </c>
      <c r="BI68" s="7">
        <v>728.58600000000001</v>
      </c>
      <c r="BJ68" s="21"/>
    </row>
    <row r="69" spans="1:62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21"/>
    </row>
    <row r="70" spans="1:62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48553.243999999999</v>
      </c>
      <c r="F70" s="7">
        <v>6671.7690000000002</v>
      </c>
      <c r="G70" s="7">
        <v>10153.298000000001</v>
      </c>
      <c r="H70" s="7">
        <v>25022.187999999998</v>
      </c>
      <c r="I70" s="7">
        <v>1010.12</v>
      </c>
      <c r="J70" s="7">
        <v>5947.4210000000003</v>
      </c>
      <c r="K70" s="7">
        <v>0</v>
      </c>
      <c r="L70" s="7">
        <v>19196.206999999999</v>
      </c>
      <c r="M70" s="7">
        <v>24616.731</v>
      </c>
      <c r="N70" s="7">
        <v>0</v>
      </c>
      <c r="O70" s="7">
        <v>0</v>
      </c>
      <c r="P70" s="7">
        <v>0.86799999999999999</v>
      </c>
      <c r="Q70" s="7">
        <v>0</v>
      </c>
      <c r="R70" s="7">
        <v>0</v>
      </c>
      <c r="S70" s="7">
        <v>2902.1729999999998</v>
      </c>
      <c r="T70" s="7">
        <v>0</v>
      </c>
      <c r="U70" s="7">
        <v>0</v>
      </c>
      <c r="V70" s="7">
        <v>1352.721</v>
      </c>
      <c r="W70" s="7">
        <v>1944.454</v>
      </c>
      <c r="X70" s="7">
        <v>0</v>
      </c>
      <c r="Y70" s="7">
        <v>7870.8119999999999</v>
      </c>
      <c r="Z70" s="7">
        <v>0</v>
      </c>
      <c r="AA70" s="7">
        <v>15913.323</v>
      </c>
      <c r="AB70" s="7">
        <v>0</v>
      </c>
      <c r="AC70" s="7">
        <v>1095.1300000000001</v>
      </c>
      <c r="AD70" s="7">
        <v>0</v>
      </c>
      <c r="AE70" s="7">
        <v>8651.4709999999995</v>
      </c>
      <c r="AF70" s="7">
        <v>0</v>
      </c>
      <c r="AG70" s="7">
        <v>0</v>
      </c>
      <c r="AH70" s="7">
        <v>44619.112999999998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1072.556</v>
      </c>
      <c r="AP70" s="7">
        <v>0</v>
      </c>
      <c r="AQ70" s="7">
        <v>0</v>
      </c>
      <c r="AR70" s="7">
        <v>0</v>
      </c>
      <c r="AS70" s="7">
        <v>25.51</v>
      </c>
      <c r="AT70" s="7">
        <v>0</v>
      </c>
      <c r="AU70" s="7">
        <v>720.66200000000003</v>
      </c>
      <c r="AV70" s="7">
        <v>0</v>
      </c>
      <c r="AW70" s="7">
        <v>0</v>
      </c>
      <c r="AX70" s="7">
        <v>0</v>
      </c>
      <c r="AY70" s="7">
        <v>757.69500000000005</v>
      </c>
      <c r="AZ70" s="7">
        <v>0</v>
      </c>
      <c r="BA70" s="7">
        <v>0</v>
      </c>
      <c r="BB70" s="7">
        <v>362.27100000000002</v>
      </c>
      <c r="BC70" s="7">
        <v>548.83900000000006</v>
      </c>
      <c r="BD70" s="7">
        <v>0</v>
      </c>
      <c r="BE70" s="7">
        <v>99.305000000000007</v>
      </c>
      <c r="BF70" s="7">
        <v>99.305000000000007</v>
      </c>
      <c r="BG70" s="7">
        <v>0</v>
      </c>
      <c r="BH70" s="7">
        <v>0</v>
      </c>
      <c r="BI70" s="7">
        <v>211.05</v>
      </c>
      <c r="BJ70" s="21"/>
    </row>
    <row r="71" spans="1:62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19935.041000000001</v>
      </c>
      <c r="F71" s="7">
        <v>2739.3020000000001</v>
      </c>
      <c r="G71" s="7">
        <v>4168.7520000000004</v>
      </c>
      <c r="H71" s="7">
        <v>3149.4</v>
      </c>
      <c r="I71" s="7">
        <v>414.73599999999999</v>
      </c>
      <c r="J71" s="7">
        <v>2441.8980000000001</v>
      </c>
      <c r="K71" s="7">
        <v>0</v>
      </c>
      <c r="L71" s="7">
        <v>7881.598</v>
      </c>
      <c r="M71" s="7">
        <v>10107.163</v>
      </c>
      <c r="N71" s="7">
        <v>0</v>
      </c>
      <c r="O71" s="7">
        <v>0</v>
      </c>
      <c r="P71" s="7">
        <v>0.35599999999999998</v>
      </c>
      <c r="Q71" s="7">
        <v>0</v>
      </c>
      <c r="R71" s="7">
        <v>0</v>
      </c>
      <c r="S71" s="7">
        <v>1191.577</v>
      </c>
      <c r="T71" s="7">
        <v>0</v>
      </c>
      <c r="U71" s="7">
        <v>0</v>
      </c>
      <c r="V71" s="7">
        <v>555.40200000000004</v>
      </c>
      <c r="W71" s="7">
        <v>798.35599999999999</v>
      </c>
      <c r="X71" s="7">
        <v>0</v>
      </c>
      <c r="Y71" s="7">
        <v>3231.6060000000002</v>
      </c>
      <c r="Z71" s="7">
        <v>0</v>
      </c>
      <c r="AA71" s="7">
        <v>6533.7089999999998</v>
      </c>
      <c r="AB71" s="7">
        <v>0</v>
      </c>
      <c r="AC71" s="7">
        <v>449.64</v>
      </c>
      <c r="AD71" s="7">
        <v>0</v>
      </c>
      <c r="AE71" s="7">
        <v>3552.13</v>
      </c>
      <c r="AF71" s="7">
        <v>0</v>
      </c>
      <c r="AG71" s="7">
        <v>0</v>
      </c>
      <c r="AH71" s="7">
        <v>18319.760999999999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440.37099999999998</v>
      </c>
      <c r="AP71" s="7">
        <v>0</v>
      </c>
      <c r="AQ71" s="7">
        <v>0</v>
      </c>
      <c r="AR71" s="7">
        <v>0</v>
      </c>
      <c r="AS71" s="7">
        <v>10.474</v>
      </c>
      <c r="AT71" s="7">
        <v>0</v>
      </c>
      <c r="AU71" s="7">
        <v>295.89</v>
      </c>
      <c r="AV71" s="7">
        <v>0</v>
      </c>
      <c r="AW71" s="7">
        <v>0</v>
      </c>
      <c r="AX71" s="7">
        <v>0</v>
      </c>
      <c r="AY71" s="7">
        <v>311.09500000000003</v>
      </c>
      <c r="AZ71" s="7">
        <v>0</v>
      </c>
      <c r="BA71" s="7">
        <v>0</v>
      </c>
      <c r="BB71" s="7">
        <v>148.74199999999999</v>
      </c>
      <c r="BC71" s="7">
        <v>225.34299999999999</v>
      </c>
      <c r="BD71" s="7">
        <v>0</v>
      </c>
      <c r="BE71" s="7">
        <v>40.773000000000003</v>
      </c>
      <c r="BF71" s="7">
        <v>40.773000000000003</v>
      </c>
      <c r="BG71" s="7">
        <v>0</v>
      </c>
      <c r="BH71" s="7">
        <v>0</v>
      </c>
      <c r="BI71" s="7">
        <v>86.653000000000006</v>
      </c>
      <c r="BJ71" s="21"/>
    </row>
    <row r="72" spans="1:62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66943.035000000003</v>
      </c>
      <c r="F72" s="7">
        <v>9204.527</v>
      </c>
      <c r="G72" s="7">
        <v>13973.851000000001</v>
      </c>
      <c r="H72" s="7">
        <v>23141.65</v>
      </c>
      <c r="I72" s="7">
        <v>1391.0319999999999</v>
      </c>
      <c r="J72" s="7">
        <v>8185.357</v>
      </c>
      <c r="K72" s="7">
        <v>5459.9939999999997</v>
      </c>
      <c r="L72" s="7">
        <v>26695.743999999999</v>
      </c>
      <c r="M72" s="7">
        <v>33897.321000000004</v>
      </c>
      <c r="N72" s="7">
        <v>0</v>
      </c>
      <c r="O72" s="7">
        <v>0</v>
      </c>
      <c r="P72" s="7">
        <v>1.1990000000000001</v>
      </c>
      <c r="Q72" s="7">
        <v>4.0750000000000002</v>
      </c>
      <c r="R72" s="7">
        <v>12.031000000000001</v>
      </c>
      <c r="S72" s="7">
        <v>4001.6219999999998</v>
      </c>
      <c r="T72" s="7">
        <v>0</v>
      </c>
      <c r="U72" s="7">
        <v>4368.6899999999996</v>
      </c>
      <c r="V72" s="7">
        <v>1861.7329999999999</v>
      </c>
      <c r="W72" s="7">
        <v>2678.643</v>
      </c>
      <c r="X72" s="7">
        <v>0</v>
      </c>
      <c r="Y72" s="7">
        <v>10887.95</v>
      </c>
      <c r="Z72" s="7">
        <v>0</v>
      </c>
      <c r="AA72" s="7">
        <v>21901.298999999999</v>
      </c>
      <c r="AB72" s="7">
        <v>0</v>
      </c>
      <c r="AC72" s="7">
        <v>1511.626</v>
      </c>
      <c r="AD72" s="7">
        <v>0</v>
      </c>
      <c r="AE72" s="7">
        <v>12041.85</v>
      </c>
      <c r="AF72" s="7">
        <v>99.873000000000005</v>
      </c>
      <c r="AG72" s="7">
        <v>0</v>
      </c>
      <c r="AH72" s="7">
        <v>61909.822</v>
      </c>
      <c r="AI72" s="7">
        <v>181.43899999999999</v>
      </c>
      <c r="AJ72" s="7">
        <v>0</v>
      </c>
      <c r="AK72" s="7">
        <v>0</v>
      </c>
      <c r="AL72" s="7">
        <v>0</v>
      </c>
      <c r="AM72" s="7">
        <v>1041.7149999999999</v>
      </c>
      <c r="AN72" s="7">
        <v>0</v>
      </c>
      <c r="AO72" s="7">
        <v>1480.4970000000001</v>
      </c>
      <c r="AP72" s="7">
        <v>0</v>
      </c>
      <c r="AQ72" s="7">
        <v>34.098999999999997</v>
      </c>
      <c r="AR72" s="7">
        <v>0</v>
      </c>
      <c r="AS72" s="7">
        <v>35.179000000000002</v>
      </c>
      <c r="AT72" s="7">
        <v>0</v>
      </c>
      <c r="AU72" s="7">
        <v>992.31299999999999</v>
      </c>
      <c r="AV72" s="7">
        <v>0</v>
      </c>
      <c r="AW72" s="7">
        <v>0</v>
      </c>
      <c r="AX72" s="7">
        <v>0</v>
      </c>
      <c r="AY72" s="7">
        <v>1044.1099999999999</v>
      </c>
      <c r="AZ72" s="7">
        <v>41.427999999999997</v>
      </c>
      <c r="BA72" s="7">
        <v>0</v>
      </c>
      <c r="BB72" s="7">
        <v>500.05900000000003</v>
      </c>
      <c r="BC72" s="7">
        <v>755.35900000000004</v>
      </c>
      <c r="BD72" s="7">
        <v>48.384999999999998</v>
      </c>
      <c r="BE72" s="7">
        <v>137.066</v>
      </c>
      <c r="BF72" s="7">
        <v>137.066</v>
      </c>
      <c r="BG72" s="7">
        <v>16.701000000000001</v>
      </c>
      <c r="BH72" s="7">
        <v>0</v>
      </c>
      <c r="BI72" s="7">
        <v>290.46499999999997</v>
      </c>
      <c r="BJ72" s="21"/>
    </row>
    <row r="73" spans="1:62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21"/>
    </row>
    <row r="74" spans="1:62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63606.517999999996</v>
      </c>
      <c r="F74" s="7">
        <v>6118.4949999999999</v>
      </c>
      <c r="G74" s="7">
        <v>15758.638000000001</v>
      </c>
      <c r="H74" s="7">
        <v>1921.732</v>
      </c>
      <c r="I74" s="7">
        <v>1318.326</v>
      </c>
      <c r="J74" s="7">
        <v>11863.945</v>
      </c>
      <c r="K74" s="7">
        <v>0</v>
      </c>
      <c r="L74" s="7">
        <v>27891.973000000002</v>
      </c>
      <c r="M74" s="7">
        <v>35321.114000000001</v>
      </c>
      <c r="N74" s="7">
        <v>0</v>
      </c>
      <c r="O74" s="7">
        <v>0</v>
      </c>
      <c r="P74" s="7">
        <v>33.731000000000002</v>
      </c>
      <c r="Q74" s="7">
        <v>0</v>
      </c>
      <c r="R74" s="7">
        <v>127.456</v>
      </c>
      <c r="S74" s="7">
        <v>1888.2919999999999</v>
      </c>
      <c r="T74" s="7">
        <v>0</v>
      </c>
      <c r="U74" s="7">
        <v>0</v>
      </c>
      <c r="V74" s="7">
        <v>1375.127</v>
      </c>
      <c r="W74" s="7">
        <v>3276.5650000000001</v>
      </c>
      <c r="X74" s="7">
        <v>0</v>
      </c>
      <c r="Y74" s="7">
        <v>10960.16</v>
      </c>
      <c r="Z74" s="7">
        <v>0</v>
      </c>
      <c r="AA74" s="7">
        <v>17243.562000000002</v>
      </c>
      <c r="AB74" s="7">
        <v>0</v>
      </c>
      <c r="AC74" s="7">
        <v>1092.317</v>
      </c>
      <c r="AD74" s="7">
        <v>0</v>
      </c>
      <c r="AE74" s="7">
        <v>38356.811000000002</v>
      </c>
      <c r="AF74" s="7">
        <v>0</v>
      </c>
      <c r="AG74" s="7">
        <v>0</v>
      </c>
      <c r="AH74" s="7">
        <v>86477.85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1056.0129999999999</v>
      </c>
      <c r="AP74" s="7">
        <v>0</v>
      </c>
      <c r="AQ74" s="7">
        <v>0</v>
      </c>
      <c r="AR74" s="7">
        <v>0</v>
      </c>
      <c r="AS74" s="7">
        <v>9.2970000000000006</v>
      </c>
      <c r="AT74" s="7">
        <v>0</v>
      </c>
      <c r="AU74" s="7">
        <v>421.50200000000001</v>
      </c>
      <c r="AV74" s="7">
        <v>0</v>
      </c>
      <c r="AW74" s="7">
        <v>0</v>
      </c>
      <c r="AX74" s="7">
        <v>0</v>
      </c>
      <c r="AY74" s="7">
        <v>728.66700000000003</v>
      </c>
      <c r="AZ74" s="7">
        <v>0</v>
      </c>
      <c r="BA74" s="7">
        <v>0</v>
      </c>
      <c r="BB74" s="7">
        <v>366.85</v>
      </c>
      <c r="BC74" s="7">
        <v>546.822</v>
      </c>
      <c r="BD74" s="7">
        <v>0</v>
      </c>
      <c r="BE74" s="7">
        <v>103.611</v>
      </c>
      <c r="BF74" s="7">
        <v>103.611</v>
      </c>
      <c r="BG74" s="7">
        <v>0</v>
      </c>
      <c r="BH74" s="7">
        <v>0</v>
      </c>
      <c r="BI74" s="7">
        <v>184.857</v>
      </c>
      <c r="BJ74" s="21"/>
    </row>
    <row r="75" spans="1:62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764.10799999999995</v>
      </c>
      <c r="F75" s="7">
        <v>68.19</v>
      </c>
      <c r="G75" s="7">
        <v>96.427000000000007</v>
      </c>
      <c r="H75" s="7">
        <v>0</v>
      </c>
      <c r="I75" s="7">
        <v>16.803000000000001</v>
      </c>
      <c r="J75" s="7">
        <v>58.613999999999997</v>
      </c>
      <c r="K75" s="7">
        <v>0</v>
      </c>
      <c r="L75" s="7">
        <v>552.65300000000002</v>
      </c>
      <c r="M75" s="7">
        <v>260.77100000000002</v>
      </c>
      <c r="N75" s="7">
        <v>0</v>
      </c>
      <c r="O75" s="7">
        <v>0</v>
      </c>
      <c r="P75" s="7">
        <v>3.0449999999999999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9.3320000000000007</v>
      </c>
      <c r="W75" s="7">
        <v>27.693999999999999</v>
      </c>
      <c r="X75" s="7">
        <v>0</v>
      </c>
      <c r="Y75" s="7">
        <v>218.69</v>
      </c>
      <c r="Z75" s="7">
        <v>0</v>
      </c>
      <c r="AA75" s="7">
        <v>76.078000000000003</v>
      </c>
      <c r="AB75" s="7">
        <v>0</v>
      </c>
      <c r="AC75" s="7">
        <v>12.002000000000001</v>
      </c>
      <c r="AD75" s="7">
        <v>0</v>
      </c>
      <c r="AE75" s="7">
        <v>705.12599999999998</v>
      </c>
      <c r="AF75" s="7">
        <v>0</v>
      </c>
      <c r="AG75" s="7">
        <v>0</v>
      </c>
      <c r="AH75" s="7">
        <v>1604.404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9545.6589999999997</v>
      </c>
      <c r="F76" s="7">
        <v>1695.3869999999999</v>
      </c>
      <c r="G76" s="7">
        <v>1148.184</v>
      </c>
      <c r="H76" s="7">
        <v>0</v>
      </c>
      <c r="I76" s="7">
        <v>127.22499999999999</v>
      </c>
      <c r="J76" s="7">
        <v>1293.162</v>
      </c>
      <c r="K76" s="7">
        <v>0</v>
      </c>
      <c r="L76" s="7">
        <v>16861.364000000001</v>
      </c>
      <c r="M76" s="7">
        <v>3908.732</v>
      </c>
      <c r="N76" s="7">
        <v>0</v>
      </c>
      <c r="O76" s="7">
        <v>0</v>
      </c>
      <c r="P76" s="7">
        <v>5.5720000000000001</v>
      </c>
      <c r="Q76" s="7">
        <v>0</v>
      </c>
      <c r="R76" s="7">
        <v>243.39500000000001</v>
      </c>
      <c r="S76" s="7">
        <v>278.51299999999998</v>
      </c>
      <c r="T76" s="7">
        <v>0</v>
      </c>
      <c r="U76" s="7">
        <v>0</v>
      </c>
      <c r="V76" s="7">
        <v>146.637</v>
      </c>
      <c r="W76" s="7">
        <v>236.51900000000001</v>
      </c>
      <c r="X76" s="7">
        <v>0</v>
      </c>
      <c r="Y76" s="7">
        <v>1149.508</v>
      </c>
      <c r="Z76" s="7">
        <v>0</v>
      </c>
      <c r="AA76" s="7">
        <v>1664.28</v>
      </c>
      <c r="AB76" s="7">
        <v>0</v>
      </c>
      <c r="AC76" s="7">
        <v>126.729</v>
      </c>
      <c r="AD76" s="7">
        <v>0</v>
      </c>
      <c r="AE76" s="7">
        <v>3674.9409999999998</v>
      </c>
      <c r="AF76" s="7">
        <v>0</v>
      </c>
      <c r="AG76" s="7">
        <v>0</v>
      </c>
      <c r="AH76" s="7">
        <v>16364.156999999999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102.93</v>
      </c>
      <c r="AP76" s="7">
        <v>0</v>
      </c>
      <c r="AQ76" s="7">
        <v>0</v>
      </c>
      <c r="AR76" s="7">
        <v>0</v>
      </c>
      <c r="AS76" s="7">
        <v>2.448</v>
      </c>
      <c r="AT76" s="7">
        <v>0</v>
      </c>
      <c r="AU76" s="7">
        <v>69.16</v>
      </c>
      <c r="AV76" s="7">
        <v>0</v>
      </c>
      <c r="AW76" s="7">
        <v>0</v>
      </c>
      <c r="AX76" s="7">
        <v>0</v>
      </c>
      <c r="AY76" s="7">
        <v>72.713999999999999</v>
      </c>
      <c r="AZ76" s="7">
        <v>0</v>
      </c>
      <c r="BA76" s="7">
        <v>0</v>
      </c>
      <c r="BB76" s="7">
        <v>34.765999999999998</v>
      </c>
      <c r="BC76" s="7">
        <v>52.670999999999999</v>
      </c>
      <c r="BD76" s="7">
        <v>0</v>
      </c>
      <c r="BE76" s="7">
        <v>9.5299999999999994</v>
      </c>
      <c r="BF76" s="7">
        <v>9.5299999999999994</v>
      </c>
      <c r="BG76" s="7">
        <v>0</v>
      </c>
      <c r="BH76" s="7">
        <v>0</v>
      </c>
      <c r="BI76" s="7">
        <v>20.254000000000001</v>
      </c>
      <c r="BJ76" s="21"/>
    </row>
    <row r="77" spans="1:62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9201.7900000000009</v>
      </c>
      <c r="F78" s="7">
        <v>1158.99</v>
      </c>
      <c r="G78" s="7">
        <v>1742.7370000000001</v>
      </c>
      <c r="H78" s="7">
        <v>5662.9610000000002</v>
      </c>
      <c r="I78" s="7">
        <v>194.03399999999999</v>
      </c>
      <c r="J78" s="7">
        <v>1026.933</v>
      </c>
      <c r="K78" s="7">
        <v>0</v>
      </c>
      <c r="L78" s="7">
        <v>4355.8190000000004</v>
      </c>
      <c r="M78" s="7">
        <v>4302.5770000000002</v>
      </c>
      <c r="N78" s="7">
        <v>0</v>
      </c>
      <c r="O78" s="7">
        <v>0</v>
      </c>
      <c r="P78" s="7">
        <v>8.8490000000000002</v>
      </c>
      <c r="Q78" s="7">
        <v>0</v>
      </c>
      <c r="R78" s="7">
        <v>0</v>
      </c>
      <c r="S78" s="7">
        <v>419.178</v>
      </c>
      <c r="T78" s="7">
        <v>0</v>
      </c>
      <c r="U78" s="7">
        <v>0</v>
      </c>
      <c r="V78" s="7">
        <v>222.11600000000001</v>
      </c>
      <c r="W78" s="7">
        <v>360.18400000000003</v>
      </c>
      <c r="X78" s="7">
        <v>0</v>
      </c>
      <c r="Y78" s="7">
        <v>1763.3150000000001</v>
      </c>
      <c r="Z78" s="7">
        <v>0</v>
      </c>
      <c r="AA78" s="7">
        <v>2516.3960000000002</v>
      </c>
      <c r="AB78" s="7">
        <v>0</v>
      </c>
      <c r="AC78" s="7">
        <v>192.55799999999999</v>
      </c>
      <c r="AD78" s="7">
        <v>0</v>
      </c>
      <c r="AE78" s="7">
        <v>3269.5749999999998</v>
      </c>
      <c r="AF78" s="7">
        <v>0</v>
      </c>
      <c r="AG78" s="7">
        <v>0</v>
      </c>
      <c r="AH78" s="7">
        <v>11040.776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154.916</v>
      </c>
      <c r="AP78" s="7">
        <v>0</v>
      </c>
      <c r="AQ78" s="7">
        <v>0</v>
      </c>
      <c r="AR78" s="7">
        <v>0</v>
      </c>
      <c r="AS78" s="7">
        <v>3.6850000000000001</v>
      </c>
      <c r="AT78" s="7">
        <v>0</v>
      </c>
      <c r="AU78" s="7">
        <v>104.089</v>
      </c>
      <c r="AV78" s="7">
        <v>0</v>
      </c>
      <c r="AW78" s="7">
        <v>0</v>
      </c>
      <c r="AX78" s="7">
        <v>0</v>
      </c>
      <c r="AY78" s="7">
        <v>109.438</v>
      </c>
      <c r="AZ78" s="7">
        <v>0</v>
      </c>
      <c r="BA78" s="7">
        <v>0</v>
      </c>
      <c r="BB78" s="7">
        <v>52.325000000000003</v>
      </c>
      <c r="BC78" s="7">
        <v>79.272000000000006</v>
      </c>
      <c r="BD78" s="7">
        <v>0</v>
      </c>
      <c r="BE78" s="7">
        <v>14.343</v>
      </c>
      <c r="BF78" s="7">
        <v>14.343</v>
      </c>
      <c r="BG78" s="7">
        <v>0</v>
      </c>
      <c r="BH78" s="7">
        <v>0</v>
      </c>
      <c r="BI78" s="7">
        <v>30.483000000000001</v>
      </c>
      <c r="BJ78" s="21"/>
    </row>
    <row r="79" spans="1:62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21"/>
    </row>
    <row r="80" spans="1:62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6378.808</v>
      </c>
      <c r="F80" s="7">
        <v>901.01400000000001</v>
      </c>
      <c r="G80" s="7">
        <v>1380.5350000000001</v>
      </c>
      <c r="H80" s="7">
        <v>0</v>
      </c>
      <c r="I80" s="7">
        <v>99.781000000000006</v>
      </c>
      <c r="J80" s="7">
        <v>1000.982</v>
      </c>
      <c r="K80" s="7">
        <v>0</v>
      </c>
      <c r="L80" s="7">
        <v>8009.1450000000004</v>
      </c>
      <c r="M80" s="7">
        <v>2484.9899999999998</v>
      </c>
      <c r="N80" s="7">
        <v>0</v>
      </c>
      <c r="O80" s="7">
        <v>0</v>
      </c>
      <c r="P80" s="7">
        <v>10.612</v>
      </c>
      <c r="Q80" s="7">
        <v>0</v>
      </c>
      <c r="R80" s="7">
        <v>101.52800000000001</v>
      </c>
      <c r="S80" s="7">
        <v>119.008</v>
      </c>
      <c r="T80" s="7">
        <v>0</v>
      </c>
      <c r="U80" s="7">
        <v>0</v>
      </c>
      <c r="V80" s="7">
        <v>87.882999999999996</v>
      </c>
      <c r="W80" s="7">
        <v>175.91900000000001</v>
      </c>
      <c r="X80" s="7">
        <v>0</v>
      </c>
      <c r="Y80" s="7">
        <v>1241.8389999999999</v>
      </c>
      <c r="Z80" s="7">
        <v>0</v>
      </c>
      <c r="AA80" s="7">
        <v>996.98900000000003</v>
      </c>
      <c r="AB80" s="7">
        <v>0</v>
      </c>
      <c r="AC80" s="7">
        <v>86.590999999999994</v>
      </c>
      <c r="AD80" s="7">
        <v>0</v>
      </c>
      <c r="AE80" s="7">
        <v>3823.819</v>
      </c>
      <c r="AF80" s="7">
        <v>0</v>
      </c>
      <c r="AG80" s="7">
        <v>0</v>
      </c>
      <c r="AH80" s="7">
        <v>11601.365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43.981999999999999</v>
      </c>
      <c r="AP80" s="7">
        <v>0</v>
      </c>
      <c r="AQ80" s="7">
        <v>0</v>
      </c>
      <c r="AR80" s="7">
        <v>0</v>
      </c>
      <c r="AS80" s="7">
        <v>1.046</v>
      </c>
      <c r="AT80" s="7">
        <v>0</v>
      </c>
      <c r="AU80" s="7">
        <v>29.552</v>
      </c>
      <c r="AV80" s="7">
        <v>0</v>
      </c>
      <c r="AW80" s="7">
        <v>0</v>
      </c>
      <c r="AX80" s="7">
        <v>0</v>
      </c>
      <c r="AY80" s="7">
        <v>31.07</v>
      </c>
      <c r="AZ80" s="7">
        <v>0</v>
      </c>
      <c r="BA80" s="7">
        <v>0</v>
      </c>
      <c r="BB80" s="7">
        <v>14.855</v>
      </c>
      <c r="BC80" s="7">
        <v>22.506</v>
      </c>
      <c r="BD80" s="7">
        <v>0</v>
      </c>
      <c r="BE80" s="7">
        <v>4.0720000000000001</v>
      </c>
      <c r="BF80" s="7">
        <v>4.0720000000000001</v>
      </c>
      <c r="BG80" s="7">
        <v>0</v>
      </c>
      <c r="BH80" s="7">
        <v>0</v>
      </c>
      <c r="BI80" s="7">
        <v>8.6539999999999999</v>
      </c>
      <c r="BJ80" s="21"/>
    </row>
    <row r="81" spans="1:62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14226.882</v>
      </c>
      <c r="F86" s="7">
        <v>1955.481</v>
      </c>
      <c r="G86" s="7">
        <v>2975.279</v>
      </c>
      <c r="H86" s="7">
        <v>2379.5709999999999</v>
      </c>
      <c r="I86" s="7">
        <v>296.02999999999997</v>
      </c>
      <c r="J86" s="7">
        <v>1742.758</v>
      </c>
      <c r="K86" s="7">
        <v>0</v>
      </c>
      <c r="L86" s="7">
        <v>5641.2979999999998</v>
      </c>
      <c r="M86" s="7">
        <v>7214.8829999999998</v>
      </c>
      <c r="N86" s="7">
        <v>0</v>
      </c>
      <c r="O86" s="7">
        <v>0</v>
      </c>
      <c r="P86" s="7">
        <v>0.27700000000000002</v>
      </c>
      <c r="Q86" s="7">
        <v>0</v>
      </c>
      <c r="R86" s="7">
        <v>0</v>
      </c>
      <c r="S86" s="7">
        <v>850.13300000000004</v>
      </c>
      <c r="T86" s="7">
        <v>0</v>
      </c>
      <c r="U86" s="7">
        <v>0</v>
      </c>
      <c r="V86" s="7">
        <v>396.26299999999998</v>
      </c>
      <c r="W86" s="7">
        <v>569.63</v>
      </c>
      <c r="X86" s="7">
        <v>0</v>
      </c>
      <c r="Y86" s="7">
        <v>2305.7109999999998</v>
      </c>
      <c r="Z86" s="7">
        <v>0</v>
      </c>
      <c r="AA86" s="7">
        <v>4661.5929999999998</v>
      </c>
      <c r="AB86" s="7">
        <v>0</v>
      </c>
      <c r="AC86" s="7">
        <v>320.81</v>
      </c>
      <c r="AD86" s="7">
        <v>0</v>
      </c>
      <c r="AE86" s="7">
        <v>2534.5500000000002</v>
      </c>
      <c r="AF86" s="7">
        <v>0</v>
      </c>
      <c r="AG86" s="7">
        <v>0</v>
      </c>
      <c r="AH86" s="7">
        <v>13096.911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314.18400000000003</v>
      </c>
      <c r="AP86" s="7">
        <v>0</v>
      </c>
      <c r="AQ86" s="7">
        <v>0</v>
      </c>
      <c r="AR86" s="7">
        <v>0</v>
      </c>
      <c r="AS86" s="7">
        <v>7.4729999999999999</v>
      </c>
      <c r="AT86" s="7">
        <v>0</v>
      </c>
      <c r="AU86" s="7">
        <v>211.10400000000001</v>
      </c>
      <c r="AV86" s="7">
        <v>0</v>
      </c>
      <c r="AW86" s="7">
        <v>0</v>
      </c>
      <c r="AX86" s="7">
        <v>0</v>
      </c>
      <c r="AY86" s="7">
        <v>221.95099999999999</v>
      </c>
      <c r="AZ86" s="7">
        <v>0</v>
      </c>
      <c r="BA86" s="7">
        <v>0</v>
      </c>
      <c r="BB86" s="7">
        <v>106.12</v>
      </c>
      <c r="BC86" s="7">
        <v>160.77099999999999</v>
      </c>
      <c r="BD86" s="7">
        <v>0</v>
      </c>
      <c r="BE86" s="7">
        <v>29.088999999999999</v>
      </c>
      <c r="BF86" s="7">
        <v>29.088999999999999</v>
      </c>
      <c r="BG86" s="7">
        <v>0</v>
      </c>
      <c r="BH86" s="7">
        <v>0</v>
      </c>
      <c r="BI86" s="7">
        <v>61.823</v>
      </c>
      <c r="BJ86" s="21"/>
    </row>
    <row r="87" spans="1:62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21"/>
    </row>
    <row r="88" spans="1:62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39996.330999999998</v>
      </c>
      <c r="F88" s="7">
        <v>5892.067</v>
      </c>
      <c r="G88" s="7">
        <v>7899.8490000000002</v>
      </c>
      <c r="H88" s="7">
        <v>5771.027</v>
      </c>
      <c r="I88" s="7">
        <v>977.03399999999999</v>
      </c>
      <c r="J88" s="7">
        <v>4856.59</v>
      </c>
      <c r="K88" s="7">
        <v>0</v>
      </c>
      <c r="L88" s="7">
        <v>26285.721000000001</v>
      </c>
      <c r="M88" s="7">
        <v>19288.352999999999</v>
      </c>
      <c r="N88" s="7">
        <v>0</v>
      </c>
      <c r="O88" s="7">
        <v>0</v>
      </c>
      <c r="P88" s="7">
        <v>71.37</v>
      </c>
      <c r="Q88" s="7">
        <v>0</v>
      </c>
      <c r="R88" s="7">
        <v>111.181</v>
      </c>
      <c r="S88" s="7">
        <v>2132.6579999999999</v>
      </c>
      <c r="T88" s="7">
        <v>0</v>
      </c>
      <c r="U88" s="7">
        <v>0</v>
      </c>
      <c r="V88" s="7">
        <v>1001.134</v>
      </c>
      <c r="W88" s="7">
        <v>1449.914</v>
      </c>
      <c r="X88" s="7">
        <v>0</v>
      </c>
      <c r="Y88" s="7">
        <v>6057.1390000000001</v>
      </c>
      <c r="Z88" s="7">
        <v>0</v>
      </c>
      <c r="AA88" s="7">
        <v>11751.665999999999</v>
      </c>
      <c r="AB88" s="7">
        <v>0</v>
      </c>
      <c r="AC88" s="7">
        <v>813.87099999999998</v>
      </c>
      <c r="AD88" s="7">
        <v>0</v>
      </c>
      <c r="AE88" s="7">
        <v>8018.5140000000001</v>
      </c>
      <c r="AF88" s="7">
        <v>0</v>
      </c>
      <c r="AG88" s="7">
        <v>0</v>
      </c>
      <c r="AH88" s="7">
        <v>45805.493999999999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788.16700000000003</v>
      </c>
      <c r="AP88" s="7">
        <v>0</v>
      </c>
      <c r="AQ88" s="7">
        <v>0</v>
      </c>
      <c r="AR88" s="7">
        <v>0</v>
      </c>
      <c r="AS88" s="7">
        <v>18.745999999999999</v>
      </c>
      <c r="AT88" s="7">
        <v>0</v>
      </c>
      <c r="AU88" s="7">
        <v>529.57799999999997</v>
      </c>
      <c r="AV88" s="7">
        <v>0</v>
      </c>
      <c r="AW88" s="7">
        <v>0</v>
      </c>
      <c r="AX88" s="7">
        <v>0</v>
      </c>
      <c r="AY88" s="7">
        <v>556.79100000000005</v>
      </c>
      <c r="AZ88" s="7">
        <v>0</v>
      </c>
      <c r="BA88" s="7">
        <v>0</v>
      </c>
      <c r="BB88" s="7">
        <v>266.214</v>
      </c>
      <c r="BC88" s="7">
        <v>403.31299999999999</v>
      </c>
      <c r="BD88" s="7">
        <v>0</v>
      </c>
      <c r="BE88" s="7">
        <v>72.974000000000004</v>
      </c>
      <c r="BF88" s="7">
        <v>72.974000000000004</v>
      </c>
      <c r="BG88" s="7">
        <v>0</v>
      </c>
      <c r="BH88" s="7">
        <v>0</v>
      </c>
      <c r="BI88" s="7">
        <v>155.09</v>
      </c>
      <c r="BJ88" s="21"/>
    </row>
    <row r="89" spans="1:62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60725.061000000002</v>
      </c>
      <c r="F91" s="7">
        <v>8262.2099999999991</v>
      </c>
      <c r="G91" s="7">
        <v>13712.92</v>
      </c>
      <c r="H91" s="7">
        <v>0</v>
      </c>
      <c r="I91" s="7">
        <v>1215.163</v>
      </c>
      <c r="J91" s="7">
        <v>8721.4150000000009</v>
      </c>
      <c r="K91" s="7">
        <v>0</v>
      </c>
      <c r="L91" s="7">
        <v>24060.114000000001</v>
      </c>
      <c r="M91" s="7">
        <v>31452.865000000002</v>
      </c>
      <c r="N91" s="7">
        <v>0</v>
      </c>
      <c r="O91" s="7">
        <v>0</v>
      </c>
      <c r="P91" s="7">
        <v>1.044</v>
      </c>
      <c r="Q91" s="7">
        <v>0</v>
      </c>
      <c r="R91" s="7">
        <v>136.238</v>
      </c>
      <c r="S91" s="7">
        <v>3491.2829999999999</v>
      </c>
      <c r="T91" s="7">
        <v>0</v>
      </c>
      <c r="U91" s="7">
        <v>0</v>
      </c>
      <c r="V91" s="7">
        <v>1627.309</v>
      </c>
      <c r="W91" s="7">
        <v>2339.1570000000002</v>
      </c>
      <c r="X91" s="7">
        <v>0</v>
      </c>
      <c r="Y91" s="7">
        <v>9468.5010000000002</v>
      </c>
      <c r="Z91" s="7">
        <v>0</v>
      </c>
      <c r="AA91" s="7">
        <v>19143.554</v>
      </c>
      <c r="AB91" s="7">
        <v>0</v>
      </c>
      <c r="AC91" s="7">
        <v>1317.43</v>
      </c>
      <c r="AD91" s="7">
        <v>0</v>
      </c>
      <c r="AE91" s="7">
        <v>14653.697</v>
      </c>
      <c r="AF91" s="7">
        <v>0</v>
      </c>
      <c r="AG91" s="7">
        <v>0</v>
      </c>
      <c r="AH91" s="7">
        <v>58217.557999999997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1290.2739999999999</v>
      </c>
      <c r="AP91" s="7">
        <v>0</v>
      </c>
      <c r="AQ91" s="7">
        <v>0</v>
      </c>
      <c r="AR91" s="7">
        <v>0</v>
      </c>
      <c r="AS91" s="7">
        <v>30.687999999999999</v>
      </c>
      <c r="AT91" s="7">
        <v>0</v>
      </c>
      <c r="AU91" s="7">
        <v>866.94899999999996</v>
      </c>
      <c r="AV91" s="7">
        <v>0</v>
      </c>
      <c r="AW91" s="7">
        <v>0</v>
      </c>
      <c r="AX91" s="7">
        <v>0</v>
      </c>
      <c r="AY91" s="7">
        <v>911.49900000000002</v>
      </c>
      <c r="AZ91" s="7">
        <v>0</v>
      </c>
      <c r="BA91" s="7">
        <v>0</v>
      </c>
      <c r="BB91" s="7">
        <v>435.80799999999999</v>
      </c>
      <c r="BC91" s="7">
        <v>660.24699999999996</v>
      </c>
      <c r="BD91" s="7">
        <v>0</v>
      </c>
      <c r="BE91" s="7">
        <v>119.46299999999999</v>
      </c>
      <c r="BF91" s="7">
        <v>119.46299999999999</v>
      </c>
      <c r="BG91" s="7">
        <v>0</v>
      </c>
      <c r="BH91" s="7">
        <v>0</v>
      </c>
      <c r="BI91" s="7">
        <v>253.89099999999999</v>
      </c>
      <c r="BJ91" s="21"/>
    </row>
    <row r="92" spans="1:62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71634.384000000005</v>
      </c>
      <c r="F92" s="7">
        <v>9843.3799999999992</v>
      </c>
      <c r="G92" s="7">
        <v>14979.951999999999</v>
      </c>
      <c r="H92" s="7">
        <v>0</v>
      </c>
      <c r="I92" s="7">
        <v>1490.308</v>
      </c>
      <c r="J92" s="7">
        <v>8774.6929999999993</v>
      </c>
      <c r="K92" s="7">
        <v>0</v>
      </c>
      <c r="L92" s="7">
        <v>28321.66</v>
      </c>
      <c r="M92" s="7">
        <v>36318.981</v>
      </c>
      <c r="N92" s="7">
        <v>0</v>
      </c>
      <c r="O92" s="7">
        <v>0</v>
      </c>
      <c r="P92" s="7">
        <v>1.28</v>
      </c>
      <c r="Q92" s="7">
        <v>0</v>
      </c>
      <c r="R92" s="7">
        <v>0</v>
      </c>
      <c r="S92" s="7">
        <v>4281.8019999999997</v>
      </c>
      <c r="T92" s="7">
        <v>0</v>
      </c>
      <c r="U92" s="7">
        <v>0</v>
      </c>
      <c r="V92" s="7">
        <v>1995.7750000000001</v>
      </c>
      <c r="W92" s="7">
        <v>2868.8049999999998</v>
      </c>
      <c r="X92" s="7">
        <v>0</v>
      </c>
      <c r="Y92" s="7">
        <v>11612.422</v>
      </c>
      <c r="Z92" s="7">
        <v>0</v>
      </c>
      <c r="AA92" s="7">
        <v>23478.166000000001</v>
      </c>
      <c r="AB92" s="7">
        <v>0</v>
      </c>
      <c r="AC92" s="7">
        <v>1615.731</v>
      </c>
      <c r="AD92" s="7">
        <v>0</v>
      </c>
      <c r="AE92" s="7">
        <v>12764.189</v>
      </c>
      <c r="AF92" s="7">
        <v>0</v>
      </c>
      <c r="AG92" s="7">
        <v>0</v>
      </c>
      <c r="AH92" s="7">
        <v>65830.053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1582.4259999999999</v>
      </c>
      <c r="AP92" s="7">
        <v>0</v>
      </c>
      <c r="AQ92" s="7">
        <v>0</v>
      </c>
      <c r="AR92" s="7">
        <v>0</v>
      </c>
      <c r="AS92" s="7">
        <v>37.637</v>
      </c>
      <c r="AT92" s="7">
        <v>0</v>
      </c>
      <c r="AU92" s="7">
        <v>1063.249</v>
      </c>
      <c r="AV92" s="7">
        <v>0</v>
      </c>
      <c r="AW92" s="7">
        <v>0</v>
      </c>
      <c r="AX92" s="7">
        <v>0</v>
      </c>
      <c r="AY92" s="7">
        <v>1117.886</v>
      </c>
      <c r="AZ92" s="7">
        <v>0</v>
      </c>
      <c r="BA92" s="7">
        <v>0</v>
      </c>
      <c r="BB92" s="7">
        <v>534.48599999999999</v>
      </c>
      <c r="BC92" s="7">
        <v>809.74400000000003</v>
      </c>
      <c r="BD92" s="7">
        <v>0</v>
      </c>
      <c r="BE92" s="7">
        <v>146.512</v>
      </c>
      <c r="BF92" s="7">
        <v>146.512</v>
      </c>
      <c r="BG92" s="7">
        <v>0</v>
      </c>
      <c r="BH92" s="7">
        <v>0</v>
      </c>
      <c r="BI92" s="7">
        <v>311.37900000000002</v>
      </c>
      <c r="BJ92" s="21"/>
    </row>
    <row r="93" spans="1:62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6468.1040000000003</v>
      </c>
      <c r="F93" s="7">
        <v>2272.049</v>
      </c>
      <c r="G93" s="7">
        <v>4847.37</v>
      </c>
      <c r="H93" s="7">
        <v>0</v>
      </c>
      <c r="I93" s="7">
        <v>110.072</v>
      </c>
      <c r="J93" s="7">
        <v>1622.95</v>
      </c>
      <c r="K93" s="7">
        <v>0</v>
      </c>
      <c r="L93" s="7">
        <v>15540.475</v>
      </c>
      <c r="M93" s="7">
        <v>4644.8620000000001</v>
      </c>
      <c r="N93" s="7">
        <v>0</v>
      </c>
      <c r="O93" s="7">
        <v>0</v>
      </c>
      <c r="P93" s="7">
        <v>0.20100000000000001</v>
      </c>
      <c r="Q93" s="7">
        <v>0</v>
      </c>
      <c r="R93" s="7">
        <v>0</v>
      </c>
      <c r="S93" s="7">
        <v>900.93600000000004</v>
      </c>
      <c r="T93" s="7">
        <v>0</v>
      </c>
      <c r="U93" s="7">
        <v>0</v>
      </c>
      <c r="V93" s="7">
        <v>378.04399999999998</v>
      </c>
      <c r="W93" s="7">
        <v>278.26299999999998</v>
      </c>
      <c r="X93" s="7">
        <v>0</v>
      </c>
      <c r="Y93" s="7">
        <v>4349.7460000000001</v>
      </c>
      <c r="Z93" s="7">
        <v>0</v>
      </c>
      <c r="AA93" s="7">
        <v>3481.547</v>
      </c>
      <c r="AB93" s="7">
        <v>0</v>
      </c>
      <c r="AC93" s="7">
        <v>899.21</v>
      </c>
      <c r="AD93" s="7">
        <v>0</v>
      </c>
      <c r="AE93" s="7">
        <v>19064.399000000001</v>
      </c>
      <c r="AF93" s="7">
        <v>2580.5839999999998</v>
      </c>
      <c r="AG93" s="7">
        <v>0</v>
      </c>
      <c r="AH93" s="7">
        <v>27822.487000000001</v>
      </c>
      <c r="AI93" s="7">
        <v>4314.6400000000003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869.48599999999999</v>
      </c>
      <c r="AP93" s="7">
        <v>0</v>
      </c>
      <c r="AQ93" s="7">
        <v>958.17700000000002</v>
      </c>
      <c r="AR93" s="7">
        <v>0</v>
      </c>
      <c r="AS93" s="7">
        <v>4.09</v>
      </c>
      <c r="AT93" s="7">
        <v>0</v>
      </c>
      <c r="AU93" s="7">
        <v>26.878</v>
      </c>
      <c r="AV93" s="7">
        <v>0</v>
      </c>
      <c r="AW93" s="7">
        <v>0</v>
      </c>
      <c r="AX93" s="7">
        <v>0</v>
      </c>
      <c r="AY93" s="7">
        <v>63.125999999999998</v>
      </c>
      <c r="AZ93" s="7">
        <v>1164.1410000000001</v>
      </c>
      <c r="BA93" s="7">
        <v>0</v>
      </c>
      <c r="BB93" s="7">
        <v>288.20100000000002</v>
      </c>
      <c r="BC93" s="7">
        <v>19.975999999999999</v>
      </c>
      <c r="BD93" s="7">
        <v>1359.63</v>
      </c>
      <c r="BE93" s="7">
        <v>77.954999999999998</v>
      </c>
      <c r="BF93" s="7">
        <v>77.954999999999998</v>
      </c>
      <c r="BG93" s="7">
        <v>469.28500000000003</v>
      </c>
      <c r="BH93" s="7">
        <v>0</v>
      </c>
      <c r="BI93" s="7">
        <v>6.5919999999999996</v>
      </c>
      <c r="BJ93" s="21"/>
    </row>
    <row r="94" spans="1:62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18301.008000000002</v>
      </c>
      <c r="F94" s="7">
        <v>13642.236999999999</v>
      </c>
      <c r="G94" s="7">
        <v>23183.916000000001</v>
      </c>
      <c r="H94" s="7">
        <v>0.22600000000000001</v>
      </c>
      <c r="I94" s="7">
        <v>707.04899999999998</v>
      </c>
      <c r="J94" s="7">
        <v>10252.92</v>
      </c>
      <c r="K94" s="7">
        <v>0</v>
      </c>
      <c r="L94" s="7">
        <v>59078.178999999996</v>
      </c>
      <c r="M94" s="7">
        <v>19354.662</v>
      </c>
      <c r="N94" s="7">
        <v>0</v>
      </c>
      <c r="O94" s="7">
        <v>0</v>
      </c>
      <c r="P94" s="7">
        <v>0.19</v>
      </c>
      <c r="Q94" s="7">
        <v>0</v>
      </c>
      <c r="R94" s="7">
        <v>0</v>
      </c>
      <c r="S94" s="7">
        <v>5604.5510000000004</v>
      </c>
      <c r="T94" s="7">
        <v>0</v>
      </c>
      <c r="U94" s="7">
        <v>0</v>
      </c>
      <c r="V94" s="7">
        <v>2387.8240000000001</v>
      </c>
      <c r="W94" s="7">
        <v>591.71400000000006</v>
      </c>
      <c r="X94" s="7">
        <v>0</v>
      </c>
      <c r="Y94" s="7">
        <v>15528.462</v>
      </c>
      <c r="Z94" s="7">
        <v>0</v>
      </c>
      <c r="AA94" s="7">
        <v>27447.476999999999</v>
      </c>
      <c r="AB94" s="7">
        <v>0</v>
      </c>
      <c r="AC94" s="7">
        <v>4894.4290000000001</v>
      </c>
      <c r="AD94" s="7">
        <v>0</v>
      </c>
      <c r="AE94" s="7">
        <v>82713.134000000005</v>
      </c>
      <c r="AF94" s="7">
        <v>3889.8919999999998</v>
      </c>
      <c r="AG94" s="7">
        <v>0</v>
      </c>
      <c r="AH94" s="7">
        <v>100358.894</v>
      </c>
      <c r="AI94" s="7">
        <v>6351.39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5692.2929999999997</v>
      </c>
      <c r="AP94" s="7">
        <v>0</v>
      </c>
      <c r="AQ94" s="7">
        <v>1423.905</v>
      </c>
      <c r="AR94" s="7">
        <v>0</v>
      </c>
      <c r="AS94" s="7">
        <v>19.718</v>
      </c>
      <c r="AT94" s="7">
        <v>0</v>
      </c>
      <c r="AU94" s="7">
        <v>20.593</v>
      </c>
      <c r="AV94" s="7">
        <v>0</v>
      </c>
      <c r="AW94" s="7">
        <v>0</v>
      </c>
      <c r="AX94" s="7">
        <v>0</v>
      </c>
      <c r="AY94" s="7">
        <v>53.982999999999997</v>
      </c>
      <c r="AZ94" s="7">
        <v>1713.6610000000001</v>
      </c>
      <c r="BA94" s="7">
        <v>0</v>
      </c>
      <c r="BB94" s="7">
        <v>1866.883</v>
      </c>
      <c r="BC94" s="7">
        <v>0</v>
      </c>
      <c r="BD94" s="7">
        <v>2001.43</v>
      </c>
      <c r="BE94" s="7">
        <v>505.87799999999999</v>
      </c>
      <c r="BF94" s="7">
        <v>505.87799999999999</v>
      </c>
      <c r="BG94" s="7">
        <v>690.80700000000002</v>
      </c>
      <c r="BH94" s="7">
        <v>0</v>
      </c>
      <c r="BI94" s="7">
        <v>0</v>
      </c>
      <c r="BJ94" s="21"/>
    </row>
    <row r="95" spans="1:62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89707.042000000001</v>
      </c>
      <c r="F95" s="7">
        <v>36655.868999999999</v>
      </c>
      <c r="G95" s="7">
        <v>2633.8739999999998</v>
      </c>
      <c r="H95" s="7">
        <v>1580.915</v>
      </c>
      <c r="I95" s="7">
        <v>2739.4160000000002</v>
      </c>
      <c r="J95" s="7">
        <v>20240.935000000001</v>
      </c>
      <c r="K95" s="7">
        <v>0</v>
      </c>
      <c r="L95" s="7">
        <v>176225.473</v>
      </c>
      <c r="M95" s="7">
        <v>19498.385999999999</v>
      </c>
      <c r="N95" s="7">
        <v>0</v>
      </c>
      <c r="O95" s="7">
        <v>0</v>
      </c>
      <c r="P95" s="7">
        <v>1.881</v>
      </c>
      <c r="Q95" s="7">
        <v>0</v>
      </c>
      <c r="R95" s="7">
        <v>0</v>
      </c>
      <c r="S95" s="7">
        <v>14051.578</v>
      </c>
      <c r="T95" s="7">
        <v>0</v>
      </c>
      <c r="U95" s="7">
        <v>0</v>
      </c>
      <c r="V95" s="7">
        <v>3571.3789999999999</v>
      </c>
      <c r="W95" s="7">
        <v>1119.627</v>
      </c>
      <c r="X95" s="7">
        <v>0</v>
      </c>
      <c r="Y95" s="7">
        <v>25540.366000000002</v>
      </c>
      <c r="Z95" s="7">
        <v>0</v>
      </c>
      <c r="AA95" s="7">
        <v>67504.956000000006</v>
      </c>
      <c r="AB95" s="7">
        <v>0</v>
      </c>
      <c r="AC95" s="7">
        <v>6493.7020000000002</v>
      </c>
      <c r="AD95" s="7">
        <v>0</v>
      </c>
      <c r="AE95" s="7">
        <v>73640.635999999999</v>
      </c>
      <c r="AF95" s="7">
        <v>39451.999000000003</v>
      </c>
      <c r="AG95" s="7">
        <v>0</v>
      </c>
      <c r="AH95" s="7">
        <v>296213.02799999999</v>
      </c>
      <c r="AI95" s="7">
        <v>65136.792999999998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11705.989</v>
      </c>
      <c r="AP95" s="7">
        <v>0</v>
      </c>
      <c r="AQ95" s="7">
        <v>14537.981</v>
      </c>
      <c r="AR95" s="7">
        <v>0</v>
      </c>
      <c r="AS95" s="7">
        <v>67.733999999999995</v>
      </c>
      <c r="AT95" s="7">
        <v>0</v>
      </c>
      <c r="AU95" s="7">
        <v>206.666</v>
      </c>
      <c r="AV95" s="7">
        <v>0</v>
      </c>
      <c r="AW95" s="7">
        <v>0</v>
      </c>
      <c r="AX95" s="7">
        <v>0</v>
      </c>
      <c r="AY95" s="7">
        <v>553.62400000000002</v>
      </c>
      <c r="AZ95" s="7">
        <v>17574.575000000001</v>
      </c>
      <c r="BA95" s="7">
        <v>0</v>
      </c>
      <c r="BB95" s="7">
        <v>3819.567</v>
      </c>
      <c r="BC95" s="7">
        <v>0</v>
      </c>
      <c r="BD95" s="7">
        <v>20525.808000000001</v>
      </c>
      <c r="BE95" s="7">
        <v>1039.4559999999999</v>
      </c>
      <c r="BF95" s="7">
        <v>1039.4559999999999</v>
      </c>
      <c r="BG95" s="7">
        <v>7084.6149999999998</v>
      </c>
      <c r="BH95" s="7">
        <v>0</v>
      </c>
      <c r="BI95" s="7">
        <v>0</v>
      </c>
      <c r="BJ95" s="21"/>
    </row>
    <row r="96" spans="1:62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26939.776000000002</v>
      </c>
      <c r="F103" s="7">
        <v>0</v>
      </c>
      <c r="G103" s="7">
        <v>0</v>
      </c>
      <c r="H103" s="7">
        <v>1679.5630000000001</v>
      </c>
      <c r="I103" s="7">
        <v>0</v>
      </c>
      <c r="J103" s="7">
        <v>0</v>
      </c>
      <c r="K103" s="7">
        <v>0</v>
      </c>
      <c r="L103" s="7">
        <v>21633.277999999998</v>
      </c>
      <c r="M103" s="7">
        <v>20051.012999999999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13447.315000000001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448552.79200000002</v>
      </c>
      <c r="F104" s="7">
        <v>87256.565000000002</v>
      </c>
      <c r="G104" s="7">
        <v>0</v>
      </c>
      <c r="H104" s="7">
        <v>9488.4639999999999</v>
      </c>
      <c r="I104" s="7">
        <v>3022.915</v>
      </c>
      <c r="J104" s="7">
        <v>0</v>
      </c>
      <c r="K104" s="7">
        <v>0</v>
      </c>
      <c r="L104" s="7">
        <v>1034390.943</v>
      </c>
      <c r="M104" s="7">
        <v>65203.370999999999</v>
      </c>
      <c r="N104" s="7">
        <v>0</v>
      </c>
      <c r="O104" s="7">
        <v>119.23699999999999</v>
      </c>
      <c r="P104" s="7">
        <v>15.717000000000001</v>
      </c>
      <c r="Q104" s="7">
        <v>130.166</v>
      </c>
      <c r="R104" s="7">
        <v>0</v>
      </c>
      <c r="S104" s="7">
        <v>27354.850999999999</v>
      </c>
      <c r="T104" s="7">
        <v>0</v>
      </c>
      <c r="U104" s="7">
        <v>0</v>
      </c>
      <c r="V104" s="7">
        <v>0</v>
      </c>
      <c r="W104" s="7">
        <v>9302.0130000000008</v>
      </c>
      <c r="X104" s="7">
        <v>0</v>
      </c>
      <c r="Y104" s="7">
        <v>205023.51199999999</v>
      </c>
      <c r="Z104" s="7">
        <v>0</v>
      </c>
      <c r="AA104" s="7">
        <v>0</v>
      </c>
      <c r="AB104" s="7">
        <v>7541.6090000000004</v>
      </c>
      <c r="AC104" s="7">
        <v>16312.213</v>
      </c>
      <c r="AD104" s="7">
        <v>0</v>
      </c>
      <c r="AE104" s="7">
        <v>504243.614</v>
      </c>
      <c r="AF104" s="7">
        <v>339527.34299999999</v>
      </c>
      <c r="AG104" s="7">
        <v>0</v>
      </c>
      <c r="AH104" s="7">
        <v>1759326.6950000001</v>
      </c>
      <c r="AI104" s="7">
        <v>567677.05500000005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16086.837</v>
      </c>
      <c r="AP104" s="7">
        <v>0</v>
      </c>
      <c r="AQ104" s="7">
        <v>126067.299</v>
      </c>
      <c r="AR104" s="7">
        <v>0</v>
      </c>
      <c r="AS104" s="7">
        <v>259.238</v>
      </c>
      <c r="AT104" s="7">
        <v>0</v>
      </c>
      <c r="AU104" s="7">
        <v>1756.9949999999999</v>
      </c>
      <c r="AV104" s="7">
        <v>0</v>
      </c>
      <c r="AW104" s="7">
        <v>0</v>
      </c>
      <c r="AX104" s="7">
        <v>0</v>
      </c>
      <c r="AY104" s="7">
        <v>4824.9449999999997</v>
      </c>
      <c r="AZ104" s="7">
        <v>153165.96</v>
      </c>
      <c r="BA104" s="7">
        <v>0</v>
      </c>
      <c r="BB104" s="7">
        <v>5436.78</v>
      </c>
      <c r="BC104" s="7">
        <v>0</v>
      </c>
      <c r="BD104" s="7">
        <v>178886.55100000001</v>
      </c>
      <c r="BE104" s="7">
        <v>1456.92</v>
      </c>
      <c r="BF104" s="7">
        <v>1456.92</v>
      </c>
      <c r="BG104" s="7">
        <v>61743.847999999998</v>
      </c>
      <c r="BH104" s="7">
        <v>0</v>
      </c>
      <c r="BI104" s="7">
        <v>0</v>
      </c>
      <c r="BJ104" s="21"/>
    </row>
    <row r="105" spans="1:62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230477.81599999999</v>
      </c>
      <c r="F105" s="7">
        <v>42723.055</v>
      </c>
      <c r="G105" s="7">
        <v>0</v>
      </c>
      <c r="H105" s="7">
        <v>3499.377</v>
      </c>
      <c r="I105" s="7">
        <v>1569.3219999999999</v>
      </c>
      <c r="J105" s="7">
        <v>0</v>
      </c>
      <c r="K105" s="7">
        <v>0</v>
      </c>
      <c r="L105" s="7">
        <v>530228.19999999995</v>
      </c>
      <c r="M105" s="7">
        <v>33849.805999999997</v>
      </c>
      <c r="N105" s="7">
        <v>0</v>
      </c>
      <c r="O105" s="7">
        <v>22.484000000000002</v>
      </c>
      <c r="P105" s="7">
        <v>8.1590000000000007</v>
      </c>
      <c r="Q105" s="7">
        <v>24.545000000000002</v>
      </c>
      <c r="R105" s="7">
        <v>0</v>
      </c>
      <c r="S105" s="7">
        <v>14201.050999999999</v>
      </c>
      <c r="T105" s="7">
        <v>0</v>
      </c>
      <c r="U105" s="7">
        <v>0</v>
      </c>
      <c r="V105" s="7">
        <v>0</v>
      </c>
      <c r="W105" s="7">
        <v>4829.0649999999996</v>
      </c>
      <c r="X105" s="7">
        <v>0</v>
      </c>
      <c r="Y105" s="7">
        <v>106436.307</v>
      </c>
      <c r="Z105" s="7">
        <v>0</v>
      </c>
      <c r="AA105" s="7">
        <v>0</v>
      </c>
      <c r="AB105" s="7">
        <v>1422.0909999999999</v>
      </c>
      <c r="AC105" s="7">
        <v>8468.3539999999994</v>
      </c>
      <c r="AD105" s="7">
        <v>0</v>
      </c>
      <c r="AE105" s="7">
        <v>260008.44200000001</v>
      </c>
      <c r="AF105" s="7">
        <v>176262.889</v>
      </c>
      <c r="AG105" s="7">
        <v>0</v>
      </c>
      <c r="AH105" s="7">
        <v>906115.76599999995</v>
      </c>
      <c r="AI105" s="7">
        <v>294704.97600000002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8351.3520000000008</v>
      </c>
      <c r="AP105" s="7">
        <v>0</v>
      </c>
      <c r="AQ105" s="7">
        <v>65446.824000000001</v>
      </c>
      <c r="AR105" s="7">
        <v>0</v>
      </c>
      <c r="AS105" s="7">
        <v>134.58099999999999</v>
      </c>
      <c r="AT105" s="7">
        <v>0</v>
      </c>
      <c r="AU105" s="7">
        <v>912.12900000000002</v>
      </c>
      <c r="AV105" s="7">
        <v>0</v>
      </c>
      <c r="AW105" s="7">
        <v>0</v>
      </c>
      <c r="AX105" s="7">
        <v>0</v>
      </c>
      <c r="AY105" s="7">
        <v>2504.8310000000001</v>
      </c>
      <c r="AZ105" s="7">
        <v>79514.876000000004</v>
      </c>
      <c r="BA105" s="7">
        <v>0</v>
      </c>
      <c r="BB105" s="7">
        <v>2822.4609999999998</v>
      </c>
      <c r="BC105" s="7">
        <v>0</v>
      </c>
      <c r="BD105" s="7">
        <v>92867.513999999996</v>
      </c>
      <c r="BE105" s="7">
        <v>756.34799999999996</v>
      </c>
      <c r="BF105" s="7">
        <v>756.34799999999996</v>
      </c>
      <c r="BG105" s="7">
        <v>32053.822</v>
      </c>
      <c r="BH105" s="7">
        <v>0</v>
      </c>
      <c r="BI105" s="7">
        <v>0</v>
      </c>
      <c r="BJ105" s="21"/>
    </row>
    <row r="106" spans="1:62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96364.409</v>
      </c>
      <c r="F106" s="7">
        <v>17428.236000000001</v>
      </c>
      <c r="G106" s="7">
        <v>371.483</v>
      </c>
      <c r="H106" s="7">
        <v>4198.5690000000004</v>
      </c>
      <c r="I106" s="7">
        <v>660.005</v>
      </c>
      <c r="J106" s="7">
        <v>217.601</v>
      </c>
      <c r="K106" s="7">
        <v>0</v>
      </c>
      <c r="L106" s="7">
        <v>212727.67600000001</v>
      </c>
      <c r="M106" s="7">
        <v>14995.763000000001</v>
      </c>
      <c r="N106" s="7">
        <v>0</v>
      </c>
      <c r="O106" s="7">
        <v>124.062</v>
      </c>
      <c r="P106" s="7">
        <v>3.2709999999999999</v>
      </c>
      <c r="Q106" s="7">
        <v>135.434</v>
      </c>
      <c r="R106" s="7">
        <v>0</v>
      </c>
      <c r="S106" s="7">
        <v>5744.2430000000004</v>
      </c>
      <c r="T106" s="7">
        <v>0</v>
      </c>
      <c r="U106" s="7">
        <v>0</v>
      </c>
      <c r="V106" s="7">
        <v>49.493000000000002</v>
      </c>
      <c r="W106" s="7">
        <v>1988.364</v>
      </c>
      <c r="X106" s="7">
        <v>0</v>
      </c>
      <c r="Y106" s="7">
        <v>42545.006000000001</v>
      </c>
      <c r="Z106" s="7">
        <v>0</v>
      </c>
      <c r="AA106" s="7">
        <v>582.22699999999998</v>
      </c>
      <c r="AB106" s="7">
        <v>7846.7960000000003</v>
      </c>
      <c r="AC106" s="7">
        <v>3402.1489999999999</v>
      </c>
      <c r="AD106" s="7">
        <v>0</v>
      </c>
      <c r="AE106" s="7">
        <v>108701.523</v>
      </c>
      <c r="AF106" s="7">
        <v>69982.048999999999</v>
      </c>
      <c r="AG106" s="7">
        <v>0</v>
      </c>
      <c r="AH106" s="7">
        <v>363378.11</v>
      </c>
      <c r="AI106" s="7">
        <v>117012.179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3354.8719999999998</v>
      </c>
      <c r="AP106" s="7">
        <v>0</v>
      </c>
      <c r="AQ106" s="7">
        <v>25983.508000000002</v>
      </c>
      <c r="AR106" s="7">
        <v>0</v>
      </c>
      <c r="AS106" s="7">
        <v>54.363999999999997</v>
      </c>
      <c r="AT106" s="7">
        <v>0</v>
      </c>
      <c r="AU106" s="7">
        <v>388.49799999999999</v>
      </c>
      <c r="AV106" s="7">
        <v>0</v>
      </c>
      <c r="AW106" s="7">
        <v>0</v>
      </c>
      <c r="AX106" s="7">
        <v>0</v>
      </c>
      <c r="AY106" s="7">
        <v>1022.183</v>
      </c>
      <c r="AZ106" s="7">
        <v>31568.764999999999</v>
      </c>
      <c r="BA106" s="7">
        <v>0</v>
      </c>
      <c r="BB106" s="7">
        <v>1133.82</v>
      </c>
      <c r="BC106" s="7">
        <v>20.081</v>
      </c>
      <c r="BD106" s="7">
        <v>36869.99</v>
      </c>
      <c r="BE106" s="7">
        <v>303.91699999999997</v>
      </c>
      <c r="BF106" s="7">
        <v>303.91699999999997</v>
      </c>
      <c r="BG106" s="7">
        <v>12725.915000000001</v>
      </c>
      <c r="BH106" s="7">
        <v>0</v>
      </c>
      <c r="BI106" s="7">
        <v>7.7220000000000004</v>
      </c>
      <c r="BJ106" s="21"/>
    </row>
    <row r="107" spans="1:62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424.70600000000002</v>
      </c>
      <c r="F107" s="7">
        <v>73.72</v>
      </c>
      <c r="G107" s="7">
        <v>1.147</v>
      </c>
      <c r="H107" s="7">
        <v>0</v>
      </c>
      <c r="I107" s="7">
        <v>2.794</v>
      </c>
      <c r="J107" s="7">
        <v>0.67200000000000004</v>
      </c>
      <c r="K107" s="7">
        <v>0</v>
      </c>
      <c r="L107" s="7">
        <v>907.85500000000002</v>
      </c>
      <c r="M107" s="7">
        <v>60.591999999999999</v>
      </c>
      <c r="N107" s="7">
        <v>0</v>
      </c>
      <c r="O107" s="7">
        <v>1.2789999999999999</v>
      </c>
      <c r="P107" s="7">
        <v>1.4E-2</v>
      </c>
      <c r="Q107" s="7">
        <v>1.3959999999999999</v>
      </c>
      <c r="R107" s="7">
        <v>0</v>
      </c>
      <c r="S107" s="7">
        <v>24.582000000000001</v>
      </c>
      <c r="T107" s="7">
        <v>0</v>
      </c>
      <c r="U107" s="7">
        <v>0</v>
      </c>
      <c r="V107" s="7">
        <v>0.153</v>
      </c>
      <c r="W107" s="7">
        <v>8.4670000000000005</v>
      </c>
      <c r="X107" s="7">
        <v>0</v>
      </c>
      <c r="Y107" s="7">
        <v>182.67</v>
      </c>
      <c r="Z107" s="7">
        <v>0</v>
      </c>
      <c r="AA107" s="7">
        <v>1.7969999999999999</v>
      </c>
      <c r="AB107" s="7">
        <v>80.896000000000001</v>
      </c>
      <c r="AC107" s="7">
        <v>14.587</v>
      </c>
      <c r="AD107" s="7">
        <v>0</v>
      </c>
      <c r="AE107" s="7">
        <v>500.61099999999999</v>
      </c>
      <c r="AF107" s="7">
        <v>301.036</v>
      </c>
      <c r="AG107" s="7">
        <v>0</v>
      </c>
      <c r="AH107" s="7">
        <v>1552.579</v>
      </c>
      <c r="AI107" s="7">
        <v>503.322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14.384</v>
      </c>
      <c r="AP107" s="7">
        <v>0</v>
      </c>
      <c r="AQ107" s="7">
        <v>111.776</v>
      </c>
      <c r="AR107" s="7">
        <v>0</v>
      </c>
      <c r="AS107" s="7">
        <v>0.23300000000000001</v>
      </c>
      <c r="AT107" s="7">
        <v>0</v>
      </c>
      <c r="AU107" s="7">
        <v>1.639</v>
      </c>
      <c r="AV107" s="7">
        <v>0</v>
      </c>
      <c r="AW107" s="7">
        <v>0</v>
      </c>
      <c r="AX107" s="7">
        <v>0</v>
      </c>
      <c r="AY107" s="7">
        <v>4.3639999999999999</v>
      </c>
      <c r="AZ107" s="7">
        <v>135.80199999999999</v>
      </c>
      <c r="BA107" s="7">
        <v>0</v>
      </c>
      <c r="BB107" s="7">
        <v>4.8609999999999998</v>
      </c>
      <c r="BC107" s="7">
        <v>6.2E-2</v>
      </c>
      <c r="BD107" s="7">
        <v>158.607</v>
      </c>
      <c r="BE107" s="7">
        <v>1.3029999999999999</v>
      </c>
      <c r="BF107" s="7">
        <v>1.3029999999999999</v>
      </c>
      <c r="BG107" s="7">
        <v>54.744</v>
      </c>
      <c r="BH107" s="7">
        <v>0</v>
      </c>
      <c r="BI107" s="7">
        <v>2.4E-2</v>
      </c>
      <c r="BJ107" s="21"/>
    </row>
    <row r="108" spans="1:62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94448.885999999999</v>
      </c>
      <c r="F110" s="7">
        <v>560.88800000000003</v>
      </c>
      <c r="G110" s="7">
        <v>0</v>
      </c>
      <c r="H110" s="7">
        <v>10100.645</v>
      </c>
      <c r="I110" s="7">
        <v>1.4E-2</v>
      </c>
      <c r="J110" s="7">
        <v>0</v>
      </c>
      <c r="K110" s="7">
        <v>0</v>
      </c>
      <c r="L110" s="7">
        <v>137465.92800000001</v>
      </c>
      <c r="M110" s="7">
        <v>21961.260999999999</v>
      </c>
      <c r="N110" s="7">
        <v>0</v>
      </c>
      <c r="O110" s="7">
        <v>0</v>
      </c>
      <c r="P110" s="7">
        <v>0</v>
      </c>
      <c r="Q110" s="7">
        <v>0</v>
      </c>
      <c r="R110" s="7">
        <v>2E-3</v>
      </c>
      <c r="S110" s="7">
        <v>0.128</v>
      </c>
      <c r="T110" s="7">
        <v>0</v>
      </c>
      <c r="U110" s="7">
        <v>0</v>
      </c>
      <c r="V110" s="7">
        <v>0</v>
      </c>
      <c r="W110" s="7">
        <v>4.3999999999999997E-2</v>
      </c>
      <c r="X110" s="7">
        <v>0</v>
      </c>
      <c r="Y110" s="7">
        <v>35373.065999999999</v>
      </c>
      <c r="Z110" s="7">
        <v>0</v>
      </c>
      <c r="AA110" s="7">
        <v>0</v>
      </c>
      <c r="AB110" s="7">
        <v>0</v>
      </c>
      <c r="AC110" s="7">
        <v>7.6999999999999999E-2</v>
      </c>
      <c r="AD110" s="7">
        <v>0</v>
      </c>
      <c r="AE110" s="7">
        <v>114742.19899999999</v>
      </c>
      <c r="AF110" s="7">
        <v>6363.0420000000004</v>
      </c>
      <c r="AG110" s="7">
        <v>0</v>
      </c>
      <c r="AH110" s="7">
        <v>329661.99400000001</v>
      </c>
      <c r="AI110" s="7">
        <v>7801.6769999999997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7.4999999999999997E-2</v>
      </c>
      <c r="AP110" s="7">
        <v>0</v>
      </c>
      <c r="AQ110" s="7">
        <v>0.59099999999999997</v>
      </c>
      <c r="AR110" s="7">
        <v>0</v>
      </c>
      <c r="AS110" s="7">
        <v>6.0000000000000001E-3</v>
      </c>
      <c r="AT110" s="7">
        <v>0</v>
      </c>
      <c r="AU110" s="7">
        <v>8.0000000000000002E-3</v>
      </c>
      <c r="AV110" s="7">
        <v>0</v>
      </c>
      <c r="AW110" s="7">
        <v>0</v>
      </c>
      <c r="AX110" s="7">
        <v>0</v>
      </c>
      <c r="AY110" s="7">
        <v>2.3E-2</v>
      </c>
      <c r="AZ110" s="7">
        <v>0.71899999999999997</v>
      </c>
      <c r="BA110" s="7">
        <v>0</v>
      </c>
      <c r="BB110" s="7">
        <v>2.5999999999999999E-2</v>
      </c>
      <c r="BC110" s="7">
        <v>0</v>
      </c>
      <c r="BD110" s="7">
        <v>0.83899999999999997</v>
      </c>
      <c r="BE110" s="7">
        <v>7.0000000000000001E-3</v>
      </c>
      <c r="BF110" s="7">
        <v>7.0000000000000001E-3</v>
      </c>
      <c r="BG110" s="7">
        <v>0.28999999999999998</v>
      </c>
      <c r="BH110" s="7">
        <v>0</v>
      </c>
      <c r="BI110" s="7">
        <v>0</v>
      </c>
      <c r="BJ110" s="21"/>
    </row>
    <row r="111" spans="1:62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100329.07399999999</v>
      </c>
      <c r="F111" s="7">
        <v>18661.079000000002</v>
      </c>
      <c r="G111" s="7">
        <v>0</v>
      </c>
      <c r="H111" s="7">
        <v>0</v>
      </c>
      <c r="I111" s="7">
        <v>682.55600000000004</v>
      </c>
      <c r="J111" s="7">
        <v>0</v>
      </c>
      <c r="K111" s="7">
        <v>0</v>
      </c>
      <c r="L111" s="7">
        <v>231798.04</v>
      </c>
      <c r="M111" s="7">
        <v>14717.84</v>
      </c>
      <c r="N111" s="7">
        <v>0</v>
      </c>
      <c r="O111" s="7">
        <v>0</v>
      </c>
      <c r="P111" s="7">
        <v>3.532</v>
      </c>
      <c r="Q111" s="7">
        <v>0</v>
      </c>
      <c r="R111" s="7">
        <v>0</v>
      </c>
      <c r="S111" s="7">
        <v>6197.7430000000004</v>
      </c>
      <c r="T111" s="7">
        <v>0</v>
      </c>
      <c r="U111" s="7">
        <v>0</v>
      </c>
      <c r="V111" s="7">
        <v>0</v>
      </c>
      <c r="W111" s="7">
        <v>2105.35</v>
      </c>
      <c r="X111" s="7">
        <v>0</v>
      </c>
      <c r="Y111" s="7">
        <v>46463.95</v>
      </c>
      <c r="Z111" s="7">
        <v>0</v>
      </c>
      <c r="AA111" s="7">
        <v>0</v>
      </c>
      <c r="AB111" s="7">
        <v>6.4269999999999996</v>
      </c>
      <c r="AC111" s="7">
        <v>3695.0030000000002</v>
      </c>
      <c r="AD111" s="7">
        <v>0</v>
      </c>
      <c r="AE111" s="7">
        <v>113110.939</v>
      </c>
      <c r="AF111" s="7">
        <v>77005.875</v>
      </c>
      <c r="AG111" s="7">
        <v>0</v>
      </c>
      <c r="AH111" s="7">
        <v>396295.94199999998</v>
      </c>
      <c r="AI111" s="7">
        <v>128622.02499999999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3650.7620000000002</v>
      </c>
      <c r="AP111" s="7">
        <v>0</v>
      </c>
      <c r="AQ111" s="7">
        <v>28593.973999999998</v>
      </c>
      <c r="AR111" s="7">
        <v>0</v>
      </c>
      <c r="AS111" s="7">
        <v>58.779000000000003</v>
      </c>
      <c r="AT111" s="7">
        <v>0</v>
      </c>
      <c r="AU111" s="7">
        <v>517.27499999999998</v>
      </c>
      <c r="AV111" s="7">
        <v>0</v>
      </c>
      <c r="AW111" s="7">
        <v>0</v>
      </c>
      <c r="AX111" s="7">
        <v>0</v>
      </c>
      <c r="AY111" s="7">
        <v>1084.317</v>
      </c>
      <c r="AZ111" s="7">
        <v>34421.205000000002</v>
      </c>
      <c r="BA111" s="7">
        <v>0</v>
      </c>
      <c r="BB111" s="7">
        <v>1233.826</v>
      </c>
      <c r="BC111" s="7">
        <v>0</v>
      </c>
      <c r="BD111" s="7">
        <v>40201.430999999997</v>
      </c>
      <c r="BE111" s="7">
        <v>330.83199999999999</v>
      </c>
      <c r="BF111" s="7">
        <v>330.83199999999999</v>
      </c>
      <c r="BG111" s="7">
        <v>13875.782999999999</v>
      </c>
      <c r="BH111" s="7">
        <v>0</v>
      </c>
      <c r="BI111" s="7">
        <v>0</v>
      </c>
      <c r="BJ111" s="21"/>
    </row>
    <row r="112" spans="1:62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153153.29999999999</v>
      </c>
      <c r="F112" s="7">
        <v>36353.218999999997</v>
      </c>
      <c r="G112" s="7">
        <v>0</v>
      </c>
      <c r="H112" s="7">
        <v>0</v>
      </c>
      <c r="I112" s="7">
        <v>934.43799999999999</v>
      </c>
      <c r="J112" s="7">
        <v>0</v>
      </c>
      <c r="K112" s="7">
        <v>0</v>
      </c>
      <c r="L112" s="7">
        <v>391450.98599999998</v>
      </c>
      <c r="M112" s="7">
        <v>18546.287</v>
      </c>
      <c r="N112" s="7">
        <v>0</v>
      </c>
      <c r="O112" s="7">
        <v>0</v>
      </c>
      <c r="P112" s="7">
        <v>0.39500000000000002</v>
      </c>
      <c r="Q112" s="7">
        <v>0</v>
      </c>
      <c r="R112" s="7">
        <v>0</v>
      </c>
      <c r="S112" s="7">
        <v>11559.921</v>
      </c>
      <c r="T112" s="7">
        <v>0</v>
      </c>
      <c r="U112" s="7">
        <v>0</v>
      </c>
      <c r="V112" s="7">
        <v>0</v>
      </c>
      <c r="W112" s="7">
        <v>3513.0390000000002</v>
      </c>
      <c r="X112" s="7">
        <v>80319.38</v>
      </c>
      <c r="Y112" s="7">
        <v>79922.100000000006</v>
      </c>
      <c r="Z112" s="7">
        <v>0</v>
      </c>
      <c r="AA112" s="7">
        <v>0</v>
      </c>
      <c r="AB112" s="7">
        <v>0</v>
      </c>
      <c r="AC112" s="7">
        <v>6622.8180000000002</v>
      </c>
      <c r="AD112" s="7">
        <v>0</v>
      </c>
      <c r="AE112" s="7">
        <v>199291.45199999999</v>
      </c>
      <c r="AF112" s="7">
        <v>150974.533</v>
      </c>
      <c r="AG112" s="7">
        <v>0</v>
      </c>
      <c r="AH112" s="7">
        <v>763253.67200000002</v>
      </c>
      <c r="AI112" s="7">
        <v>229316.128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7414.3649999999998</v>
      </c>
      <c r="AP112" s="7">
        <v>72661.684999999998</v>
      </c>
      <c r="AQ112" s="7">
        <v>54562.98</v>
      </c>
      <c r="AR112" s="7">
        <v>23283.286</v>
      </c>
      <c r="AS112" s="7">
        <v>108.988</v>
      </c>
      <c r="AT112" s="7">
        <v>0</v>
      </c>
      <c r="AU112" s="7">
        <v>688.07500000000005</v>
      </c>
      <c r="AV112" s="7">
        <v>70541.038</v>
      </c>
      <c r="AW112" s="7">
        <v>111901.603</v>
      </c>
      <c r="AX112" s="7">
        <v>91563.69</v>
      </c>
      <c r="AY112" s="7">
        <v>121.181</v>
      </c>
      <c r="AZ112" s="7">
        <v>3846.8490000000002</v>
      </c>
      <c r="BA112" s="7">
        <v>67229.823999999993</v>
      </c>
      <c r="BB112" s="7">
        <v>2505.4690000000001</v>
      </c>
      <c r="BC112" s="7">
        <v>0</v>
      </c>
      <c r="BD112" s="7">
        <v>4492.8360000000002</v>
      </c>
      <c r="BE112" s="7">
        <v>710.48199999999997</v>
      </c>
      <c r="BF112" s="7">
        <v>710.48199999999997</v>
      </c>
      <c r="BG112" s="7">
        <v>1550.731</v>
      </c>
      <c r="BH112" s="7">
        <v>0</v>
      </c>
      <c r="BI112" s="7">
        <v>0</v>
      </c>
      <c r="BJ112" s="21"/>
    </row>
    <row r="113" spans="1:62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0.66100000000000003</v>
      </c>
      <c r="F114" s="7">
        <v>38.35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-0.20899999999999999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321.34300000000002</v>
      </c>
      <c r="AF114" s="7">
        <v>21.489000000000001</v>
      </c>
      <c r="AG114" s="7">
        <v>0</v>
      </c>
      <c r="AH114" s="7">
        <v>268.33600000000001</v>
      </c>
      <c r="AI114" s="7">
        <v>11.24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86180.84</v>
      </c>
      <c r="F115" s="7">
        <v>841.20899999999995</v>
      </c>
      <c r="G115" s="7">
        <v>0</v>
      </c>
      <c r="H115" s="7">
        <v>0</v>
      </c>
      <c r="I115" s="7">
        <v>78.863</v>
      </c>
      <c r="J115" s="7">
        <v>0</v>
      </c>
      <c r="K115" s="7">
        <v>0</v>
      </c>
      <c r="L115" s="7">
        <v>177780.37400000001</v>
      </c>
      <c r="M115" s="7">
        <v>38143.646999999997</v>
      </c>
      <c r="N115" s="7">
        <v>0</v>
      </c>
      <c r="O115" s="7">
        <v>0</v>
      </c>
      <c r="P115" s="7">
        <v>26.288</v>
      </c>
      <c r="Q115" s="7">
        <v>0</v>
      </c>
      <c r="R115" s="7">
        <v>26.288</v>
      </c>
      <c r="S115" s="7">
        <v>0</v>
      </c>
      <c r="T115" s="7">
        <v>0</v>
      </c>
      <c r="U115" s="7">
        <v>0</v>
      </c>
      <c r="V115" s="7">
        <v>0</v>
      </c>
      <c r="W115" s="7">
        <v>262.87799999999999</v>
      </c>
      <c r="X115" s="7">
        <v>0</v>
      </c>
      <c r="Y115" s="7">
        <v>18969.149000000001</v>
      </c>
      <c r="Z115" s="7">
        <v>0</v>
      </c>
      <c r="AA115" s="7">
        <v>2471.0500000000002</v>
      </c>
      <c r="AB115" s="7">
        <v>0</v>
      </c>
      <c r="AC115" s="7">
        <v>210.30199999999999</v>
      </c>
      <c r="AD115" s="7">
        <v>0</v>
      </c>
      <c r="AE115" s="7">
        <v>53572.999000000003</v>
      </c>
      <c r="AF115" s="7">
        <v>16.631</v>
      </c>
      <c r="AG115" s="7">
        <v>0</v>
      </c>
      <c r="AH115" s="7">
        <v>277842.78899999999</v>
      </c>
      <c r="AI115" s="7">
        <v>2434.1990000000001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48918.625</v>
      </c>
      <c r="F116" s="7">
        <v>8843.8670000000002</v>
      </c>
      <c r="G116" s="7">
        <v>0</v>
      </c>
      <c r="H116" s="7">
        <v>28219.23</v>
      </c>
      <c r="I116" s="7">
        <v>324.85700000000003</v>
      </c>
      <c r="J116" s="7">
        <v>0</v>
      </c>
      <c r="K116" s="7">
        <v>0</v>
      </c>
      <c r="L116" s="7">
        <v>109765.29</v>
      </c>
      <c r="M116" s="7">
        <v>7007.0640000000003</v>
      </c>
      <c r="N116" s="7">
        <v>0</v>
      </c>
      <c r="O116" s="7">
        <v>63.244999999999997</v>
      </c>
      <c r="P116" s="7">
        <v>1.6890000000000001</v>
      </c>
      <c r="Q116" s="7">
        <v>69.042000000000002</v>
      </c>
      <c r="R116" s="7">
        <v>0</v>
      </c>
      <c r="S116" s="7">
        <v>2939.6819999999998</v>
      </c>
      <c r="T116" s="7">
        <v>0</v>
      </c>
      <c r="U116" s="7">
        <v>0</v>
      </c>
      <c r="V116" s="7">
        <v>0</v>
      </c>
      <c r="W116" s="7">
        <v>999.63800000000003</v>
      </c>
      <c r="X116" s="7">
        <v>0</v>
      </c>
      <c r="Y116" s="7">
        <v>22032.799999999999</v>
      </c>
      <c r="Z116" s="7">
        <v>0</v>
      </c>
      <c r="AA116" s="7">
        <v>0</v>
      </c>
      <c r="AB116" s="7">
        <v>4000.1640000000002</v>
      </c>
      <c r="AC116" s="7">
        <v>1752.9880000000001</v>
      </c>
      <c r="AD116" s="7">
        <v>12017.618</v>
      </c>
      <c r="AE116" s="7">
        <v>56447.337</v>
      </c>
      <c r="AF116" s="7">
        <v>36487.220999999998</v>
      </c>
      <c r="AG116" s="7">
        <v>55652.813999999998</v>
      </c>
      <c r="AH116" s="7">
        <v>187570.09099999999</v>
      </c>
      <c r="AI116" s="7">
        <v>61005.271999999997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1728.768</v>
      </c>
      <c r="AP116" s="7">
        <v>0</v>
      </c>
      <c r="AQ116" s="7">
        <v>13547.790999999999</v>
      </c>
      <c r="AR116" s="7">
        <v>0</v>
      </c>
      <c r="AS116" s="7">
        <v>27.859000000000002</v>
      </c>
      <c r="AT116" s="7">
        <v>0</v>
      </c>
      <c r="AU116" s="7">
        <v>2791.0360000000001</v>
      </c>
      <c r="AV116" s="7">
        <v>0</v>
      </c>
      <c r="AW116" s="7">
        <v>0</v>
      </c>
      <c r="AX116" s="7">
        <v>0</v>
      </c>
      <c r="AY116" s="7">
        <v>518.51199999999994</v>
      </c>
      <c r="AZ116" s="7">
        <v>37290.69</v>
      </c>
      <c r="BA116" s="7">
        <v>0</v>
      </c>
      <c r="BB116" s="7">
        <v>584.26199999999994</v>
      </c>
      <c r="BC116" s="7">
        <v>0</v>
      </c>
      <c r="BD116" s="7">
        <v>19223.998</v>
      </c>
      <c r="BE116" s="7">
        <v>156.56800000000001</v>
      </c>
      <c r="BF116" s="7">
        <v>156.56800000000001</v>
      </c>
      <c r="BG116" s="7">
        <v>6635.2870000000003</v>
      </c>
      <c r="BH116" s="7">
        <v>0</v>
      </c>
      <c r="BI116" s="7">
        <v>0</v>
      </c>
      <c r="BJ116" s="21"/>
    </row>
    <row r="117" spans="1:62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314.077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691590.83799999999</v>
      </c>
      <c r="AL117" s="7">
        <v>373374.85100000002</v>
      </c>
      <c r="AM117" s="7">
        <v>0</v>
      </c>
      <c r="AN117" s="7">
        <v>246884.17499999999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1736.2090000000001</v>
      </c>
      <c r="AV117" s="7">
        <v>0</v>
      </c>
      <c r="AW117" s="7">
        <v>0</v>
      </c>
      <c r="AX117" s="7">
        <v>358.04599999999999</v>
      </c>
      <c r="AY117" s="7">
        <v>0</v>
      </c>
      <c r="AZ117" s="7">
        <v>0</v>
      </c>
      <c r="BA117" s="7">
        <v>262.892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27733.947</v>
      </c>
      <c r="F118" s="7">
        <v>3810.96</v>
      </c>
      <c r="G118" s="7">
        <v>5799.634</v>
      </c>
      <c r="H118" s="7">
        <v>0</v>
      </c>
      <c r="I118" s="7">
        <v>576.98699999999997</v>
      </c>
      <c r="J118" s="7">
        <v>3397.2080000000001</v>
      </c>
      <c r="K118" s="7">
        <v>11804.743</v>
      </c>
      <c r="L118" s="7">
        <v>10965.005999999999</v>
      </c>
      <c r="M118" s="7">
        <v>14061.245999999999</v>
      </c>
      <c r="N118" s="7">
        <v>2873.373</v>
      </c>
      <c r="O118" s="7">
        <v>0</v>
      </c>
      <c r="P118" s="7">
        <v>0.496</v>
      </c>
      <c r="Q118" s="7">
        <v>0</v>
      </c>
      <c r="R118" s="7">
        <v>0</v>
      </c>
      <c r="S118" s="7">
        <v>1657.741</v>
      </c>
      <c r="T118" s="7">
        <v>0</v>
      </c>
      <c r="U118" s="7">
        <v>9445.2960000000003</v>
      </c>
      <c r="V118" s="7">
        <v>772.68399999999997</v>
      </c>
      <c r="W118" s="7">
        <v>1110.6859999999999</v>
      </c>
      <c r="X118" s="7">
        <v>0</v>
      </c>
      <c r="Y118" s="7">
        <v>4495.8620000000001</v>
      </c>
      <c r="Z118" s="7">
        <v>0</v>
      </c>
      <c r="AA118" s="7">
        <v>9089.7999999999993</v>
      </c>
      <c r="AB118" s="7">
        <v>0</v>
      </c>
      <c r="AC118" s="7">
        <v>625.54600000000005</v>
      </c>
      <c r="AD118" s="7">
        <v>11611.534</v>
      </c>
      <c r="AE118" s="7">
        <v>4941.78</v>
      </c>
      <c r="AF118" s="7">
        <v>0</v>
      </c>
      <c r="AG118" s="7">
        <v>48210.322999999997</v>
      </c>
      <c r="AH118" s="7">
        <v>25549.491000000002</v>
      </c>
      <c r="AI118" s="7">
        <v>0</v>
      </c>
      <c r="AJ118" s="7">
        <v>0</v>
      </c>
      <c r="AK118" s="7">
        <v>0</v>
      </c>
      <c r="AL118" s="7">
        <v>0</v>
      </c>
      <c r="AM118" s="7">
        <v>2252.2339999999999</v>
      </c>
      <c r="AN118" s="7">
        <v>0</v>
      </c>
      <c r="AO118" s="7">
        <v>612.65200000000004</v>
      </c>
      <c r="AP118" s="7">
        <v>0</v>
      </c>
      <c r="AQ118" s="7">
        <v>0</v>
      </c>
      <c r="AR118" s="7">
        <v>0</v>
      </c>
      <c r="AS118" s="7">
        <v>60.261000000000003</v>
      </c>
      <c r="AT118" s="7">
        <v>0</v>
      </c>
      <c r="AU118" s="7">
        <v>2669.2139999999999</v>
      </c>
      <c r="AV118" s="7">
        <v>0</v>
      </c>
      <c r="AW118" s="7">
        <v>0</v>
      </c>
      <c r="AX118" s="7">
        <v>0</v>
      </c>
      <c r="AY118" s="7">
        <v>432.8</v>
      </c>
      <c r="AZ118" s="7">
        <v>0</v>
      </c>
      <c r="BA118" s="7">
        <v>0</v>
      </c>
      <c r="BB118" s="7">
        <v>206.93199999999999</v>
      </c>
      <c r="BC118" s="7">
        <v>313.5</v>
      </c>
      <c r="BD118" s="7">
        <v>0</v>
      </c>
      <c r="BE118" s="7">
        <v>56.723999999999997</v>
      </c>
      <c r="BF118" s="7">
        <v>56.723999999999997</v>
      </c>
      <c r="BG118" s="7">
        <v>0</v>
      </c>
      <c r="BH118" s="7">
        <v>0</v>
      </c>
      <c r="BI118" s="7">
        <v>120.553</v>
      </c>
      <c r="BJ118" s="21"/>
    </row>
    <row r="119" spans="1:62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345362.99699999997</v>
      </c>
      <c r="F122" s="7">
        <v>75443.303</v>
      </c>
      <c r="G122" s="7">
        <v>0</v>
      </c>
      <c r="H122" s="7">
        <v>0</v>
      </c>
      <c r="I122" s="7">
        <v>1547.143</v>
      </c>
      <c r="J122" s="7">
        <v>0</v>
      </c>
      <c r="K122" s="7">
        <v>0</v>
      </c>
      <c r="L122" s="7">
        <v>888964.30700000003</v>
      </c>
      <c r="M122" s="7">
        <v>29574.178</v>
      </c>
      <c r="N122" s="7">
        <v>0</v>
      </c>
      <c r="O122" s="7">
        <v>1956.364</v>
      </c>
      <c r="P122" s="7">
        <v>0</v>
      </c>
      <c r="Q122" s="7">
        <v>584.16999999999996</v>
      </c>
      <c r="R122" s="7">
        <v>0</v>
      </c>
      <c r="S122" s="7">
        <v>24136.323</v>
      </c>
      <c r="T122" s="7">
        <v>0</v>
      </c>
      <c r="U122" s="7">
        <v>0</v>
      </c>
      <c r="V122" s="7">
        <v>0</v>
      </c>
      <c r="W122" s="7">
        <v>7156.2179999999998</v>
      </c>
      <c r="X122" s="7">
        <v>99379.145999999993</v>
      </c>
      <c r="Y122" s="7">
        <v>181901.486</v>
      </c>
      <c r="Z122" s="7">
        <v>37654.146999999997</v>
      </c>
      <c r="AA122" s="7">
        <v>0</v>
      </c>
      <c r="AB122" s="7">
        <v>47028.35</v>
      </c>
      <c r="AC122" s="7">
        <v>13992.885</v>
      </c>
      <c r="AD122" s="7">
        <v>7495.7039999999997</v>
      </c>
      <c r="AE122" s="7">
        <v>468109.11099999998</v>
      </c>
      <c r="AF122" s="7">
        <v>329996.63799999998</v>
      </c>
      <c r="AG122" s="7">
        <v>31664.492999999999</v>
      </c>
      <c r="AH122" s="7">
        <v>1482961.382</v>
      </c>
      <c r="AI122" s="7">
        <v>495062.11</v>
      </c>
      <c r="AJ122" s="7">
        <v>211669.114</v>
      </c>
      <c r="AK122" s="7">
        <v>1653633.067</v>
      </c>
      <c r="AL122" s="7">
        <v>892760.52599999995</v>
      </c>
      <c r="AM122" s="7">
        <v>0</v>
      </c>
      <c r="AN122" s="7">
        <v>590314.11899999995</v>
      </c>
      <c r="AO122" s="7">
        <v>17055.694</v>
      </c>
      <c r="AP122" s="7">
        <v>0</v>
      </c>
      <c r="AQ122" s="7">
        <v>122988.976</v>
      </c>
      <c r="AR122" s="7">
        <v>0</v>
      </c>
      <c r="AS122" s="7">
        <v>249.32</v>
      </c>
      <c r="AT122" s="7">
        <v>0</v>
      </c>
      <c r="AU122" s="7">
        <v>1566.682</v>
      </c>
      <c r="AV122" s="7">
        <v>0</v>
      </c>
      <c r="AW122" s="7">
        <v>0</v>
      </c>
      <c r="AX122" s="7">
        <v>113291.727</v>
      </c>
      <c r="AY122" s="7">
        <v>0</v>
      </c>
      <c r="AZ122" s="7">
        <v>0</v>
      </c>
      <c r="BA122" s="7">
        <v>83183.441000000006</v>
      </c>
      <c r="BB122" s="7">
        <v>5763.4319999999998</v>
      </c>
      <c r="BC122" s="7">
        <v>0</v>
      </c>
      <c r="BD122" s="7">
        <v>0</v>
      </c>
      <c r="BE122" s="7">
        <v>1639.5319999999999</v>
      </c>
      <c r="BF122" s="7">
        <v>1639.5319999999999</v>
      </c>
      <c r="BG122" s="7">
        <v>0</v>
      </c>
      <c r="BH122" s="7">
        <v>92872.877999999997</v>
      </c>
      <c r="BI122" s="7">
        <v>0</v>
      </c>
      <c r="BJ122" s="21"/>
    </row>
    <row r="123" spans="1:62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963.08900000000006</v>
      </c>
      <c r="F123" s="7">
        <v>671.351</v>
      </c>
      <c r="G123" s="7">
        <v>45.915999999999997</v>
      </c>
      <c r="H123" s="7">
        <v>3.1E-2</v>
      </c>
      <c r="I123" s="7">
        <v>59.411000000000001</v>
      </c>
      <c r="J123" s="7">
        <v>498.66</v>
      </c>
      <c r="K123" s="7">
        <v>0</v>
      </c>
      <c r="L123" s="7">
        <v>1438.953</v>
      </c>
      <c r="M123" s="7">
        <v>235.29</v>
      </c>
      <c r="N123" s="7">
        <v>0</v>
      </c>
      <c r="O123" s="7">
        <v>0</v>
      </c>
      <c r="P123" s="7">
        <v>2E-3</v>
      </c>
      <c r="Q123" s="7">
        <v>244.51300000000001</v>
      </c>
      <c r="R123" s="7">
        <v>396.23700000000002</v>
      </c>
      <c r="S123" s="7">
        <v>269.05</v>
      </c>
      <c r="T123" s="7">
        <v>0</v>
      </c>
      <c r="U123" s="7">
        <v>0</v>
      </c>
      <c r="V123" s="7">
        <v>87.483000000000004</v>
      </c>
      <c r="W123" s="7">
        <v>0.88800000000000001</v>
      </c>
      <c r="X123" s="7">
        <v>0</v>
      </c>
      <c r="Y123" s="7">
        <v>39.049999999999997</v>
      </c>
      <c r="Z123" s="7">
        <v>7373.1530000000002</v>
      </c>
      <c r="AA123" s="7">
        <v>1668.925</v>
      </c>
      <c r="AB123" s="7">
        <v>0</v>
      </c>
      <c r="AC123" s="7">
        <v>111.81</v>
      </c>
      <c r="AD123" s="7">
        <v>1721.451</v>
      </c>
      <c r="AE123" s="7">
        <v>344.16</v>
      </c>
      <c r="AF123" s="7">
        <v>12.307</v>
      </c>
      <c r="AG123" s="7">
        <v>5981.607</v>
      </c>
      <c r="AH123" s="7">
        <v>2335.636</v>
      </c>
      <c r="AI123" s="7">
        <v>8.9999999999999993E-3</v>
      </c>
      <c r="AJ123" s="7">
        <v>38400</v>
      </c>
      <c r="AK123" s="7">
        <v>0</v>
      </c>
      <c r="AL123" s="7">
        <v>0</v>
      </c>
      <c r="AM123" s="7">
        <v>0</v>
      </c>
      <c r="AN123" s="7">
        <v>0</v>
      </c>
      <c r="AO123" s="7">
        <v>242.46700000000001</v>
      </c>
      <c r="AP123" s="7">
        <v>0</v>
      </c>
      <c r="AQ123" s="7">
        <v>1.8129999999999999</v>
      </c>
      <c r="AR123" s="7">
        <v>0</v>
      </c>
      <c r="AS123" s="7">
        <v>0.93799999999999994</v>
      </c>
      <c r="AT123" s="7">
        <v>0</v>
      </c>
      <c r="AU123" s="7">
        <v>44.51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78.567999999999998</v>
      </c>
      <c r="BC123" s="7">
        <v>0</v>
      </c>
      <c r="BD123" s="7">
        <v>0</v>
      </c>
      <c r="BE123" s="7">
        <v>21.448</v>
      </c>
      <c r="BF123" s="7">
        <v>21.448</v>
      </c>
      <c r="BG123" s="7">
        <v>0</v>
      </c>
      <c r="BH123" s="7">
        <v>23622.276000000002</v>
      </c>
      <c r="BI123" s="7">
        <v>0</v>
      </c>
      <c r="BJ123" s="21"/>
    </row>
    <row r="124" spans="1:62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28.035</v>
      </c>
      <c r="F126" s="7">
        <v>3.2730000000000001</v>
      </c>
      <c r="G126" s="7">
        <v>6.415</v>
      </c>
      <c r="H126" s="7">
        <v>0</v>
      </c>
      <c r="I126" s="7">
        <v>0.6</v>
      </c>
      <c r="J126" s="7">
        <v>4.2770000000000001</v>
      </c>
      <c r="K126" s="7">
        <v>0</v>
      </c>
      <c r="L126" s="7">
        <v>10.871</v>
      </c>
      <c r="M126" s="7">
        <v>15.288</v>
      </c>
      <c r="N126" s="7">
        <v>0</v>
      </c>
      <c r="O126" s="7">
        <v>0</v>
      </c>
      <c r="P126" s="7">
        <v>0</v>
      </c>
      <c r="Q126" s="7">
        <v>0</v>
      </c>
      <c r="R126" s="7">
        <v>95.41</v>
      </c>
      <c r="S126" s="7">
        <v>1.357</v>
      </c>
      <c r="T126" s="7">
        <v>0</v>
      </c>
      <c r="U126" s="7">
        <v>0</v>
      </c>
      <c r="V126" s="7">
        <v>0.73699999999999999</v>
      </c>
      <c r="W126" s="7">
        <v>1.3620000000000001</v>
      </c>
      <c r="X126" s="7">
        <v>0</v>
      </c>
      <c r="Y126" s="7">
        <v>4.6180000000000003</v>
      </c>
      <c r="Z126" s="7">
        <v>0</v>
      </c>
      <c r="AA126" s="7">
        <v>9.0459999999999994</v>
      </c>
      <c r="AB126" s="7">
        <v>0</v>
      </c>
      <c r="AC126" s="7">
        <v>0.57899999999999996</v>
      </c>
      <c r="AD126" s="7">
        <v>0</v>
      </c>
      <c r="AE126" s="7">
        <v>9.3339999999999996</v>
      </c>
      <c r="AF126" s="7">
        <v>0</v>
      </c>
      <c r="AG126" s="7">
        <v>0</v>
      </c>
      <c r="AH126" s="7">
        <v>29.933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0.59599999999999997</v>
      </c>
      <c r="AP126" s="7">
        <v>0</v>
      </c>
      <c r="AQ126" s="7">
        <v>0</v>
      </c>
      <c r="AR126" s="7">
        <v>0</v>
      </c>
      <c r="AS126" s="7">
        <v>0.01</v>
      </c>
      <c r="AT126" s="7">
        <v>0</v>
      </c>
      <c r="AU126" s="7">
        <v>0.32500000000000001</v>
      </c>
      <c r="AV126" s="7">
        <v>0</v>
      </c>
      <c r="AW126" s="7">
        <v>0</v>
      </c>
      <c r="AX126" s="7">
        <v>0</v>
      </c>
      <c r="AY126" s="7">
        <v>0.41599999999999998</v>
      </c>
      <c r="AZ126" s="7">
        <v>0</v>
      </c>
      <c r="BA126" s="7">
        <v>0</v>
      </c>
      <c r="BB126" s="7">
        <v>0.20399999999999999</v>
      </c>
      <c r="BC126" s="7">
        <v>0.307</v>
      </c>
      <c r="BD126" s="7">
        <v>0</v>
      </c>
      <c r="BE126" s="7">
        <v>5.7000000000000002E-2</v>
      </c>
      <c r="BF126" s="7">
        <v>5.7000000000000002E-2</v>
      </c>
      <c r="BG126" s="7">
        <v>0</v>
      </c>
      <c r="BH126" s="7">
        <v>0</v>
      </c>
      <c r="BI126" s="7">
        <v>0.111</v>
      </c>
      <c r="BJ126" s="21"/>
    </row>
    <row r="127" spans="1:62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2482.4670000000001</v>
      </c>
      <c r="F127" s="7">
        <v>1730.481</v>
      </c>
      <c r="G127" s="7">
        <v>118.35299999999999</v>
      </c>
      <c r="H127" s="7">
        <v>7.9000000000000001E-2</v>
      </c>
      <c r="I127" s="7">
        <v>153.13900000000001</v>
      </c>
      <c r="J127" s="7">
        <v>1285.3510000000001</v>
      </c>
      <c r="K127" s="7">
        <v>0</v>
      </c>
      <c r="L127" s="7">
        <v>3709.06</v>
      </c>
      <c r="M127" s="7">
        <v>606.48500000000001</v>
      </c>
      <c r="N127" s="7">
        <v>0</v>
      </c>
      <c r="O127" s="7">
        <v>0</v>
      </c>
      <c r="P127" s="7">
        <v>5.0000000000000001E-3</v>
      </c>
      <c r="Q127" s="7">
        <v>0</v>
      </c>
      <c r="R127" s="7">
        <v>0</v>
      </c>
      <c r="S127" s="7">
        <v>693.505</v>
      </c>
      <c r="T127" s="7">
        <v>0</v>
      </c>
      <c r="U127" s="7">
        <v>0</v>
      </c>
      <c r="V127" s="7">
        <v>225.49600000000001</v>
      </c>
      <c r="W127" s="7">
        <v>2.2890000000000001</v>
      </c>
      <c r="X127" s="7">
        <v>0</v>
      </c>
      <c r="Y127" s="7">
        <v>100.65600000000001</v>
      </c>
      <c r="Z127" s="7">
        <v>0</v>
      </c>
      <c r="AA127" s="7">
        <v>4301.8370000000004</v>
      </c>
      <c r="AB127" s="7">
        <v>0</v>
      </c>
      <c r="AC127" s="7">
        <v>288.20299999999997</v>
      </c>
      <c r="AD127" s="7">
        <v>0</v>
      </c>
      <c r="AE127" s="7">
        <v>887.11</v>
      </c>
      <c r="AF127" s="7">
        <v>31.722000000000001</v>
      </c>
      <c r="AG127" s="7">
        <v>0</v>
      </c>
      <c r="AH127" s="7">
        <v>6020.3590000000004</v>
      </c>
      <c r="AI127" s="7">
        <v>2.4E-2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624.98599999999999</v>
      </c>
      <c r="AP127" s="7">
        <v>0</v>
      </c>
      <c r="AQ127" s="7">
        <v>4.673</v>
      </c>
      <c r="AR127" s="7">
        <v>0</v>
      </c>
      <c r="AS127" s="7">
        <v>2.4180000000000001</v>
      </c>
      <c r="AT127" s="7">
        <v>0</v>
      </c>
      <c r="AU127" s="7">
        <v>0.32500000000000001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202.518</v>
      </c>
      <c r="BC127" s="7">
        <v>0</v>
      </c>
      <c r="BD127" s="7">
        <v>0</v>
      </c>
      <c r="BE127" s="7">
        <v>55.286000000000001</v>
      </c>
      <c r="BF127" s="7">
        <v>55.286000000000001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57931.527000000002</v>
      </c>
      <c r="F128" s="7">
        <v>11577.766</v>
      </c>
      <c r="G128" s="7">
        <v>11292.632</v>
      </c>
      <c r="H128" s="7">
        <v>0</v>
      </c>
      <c r="I128" s="7">
        <v>2266.7620000000002</v>
      </c>
      <c r="J128" s="7">
        <v>8895.6710000000003</v>
      </c>
      <c r="K128" s="7">
        <v>0</v>
      </c>
      <c r="L128" s="7">
        <v>46407.408000000003</v>
      </c>
      <c r="M128" s="7">
        <v>38955.328000000001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3327.6489999999999</v>
      </c>
      <c r="T128" s="7">
        <v>0</v>
      </c>
      <c r="U128" s="7">
        <v>0</v>
      </c>
      <c r="V128" s="7">
        <v>1383.4649999999999</v>
      </c>
      <c r="W128" s="7">
        <v>3241.69</v>
      </c>
      <c r="X128" s="7">
        <v>0</v>
      </c>
      <c r="Y128" s="7">
        <v>16511.600999999999</v>
      </c>
      <c r="Z128" s="7">
        <v>0</v>
      </c>
      <c r="AA128" s="7">
        <v>10805.044</v>
      </c>
      <c r="AB128" s="7">
        <v>0</v>
      </c>
      <c r="AC128" s="7">
        <v>1805.423</v>
      </c>
      <c r="AD128" s="7">
        <v>0</v>
      </c>
      <c r="AE128" s="7">
        <v>42066.27</v>
      </c>
      <c r="AF128" s="7">
        <v>0</v>
      </c>
      <c r="AG128" s="7">
        <v>0</v>
      </c>
      <c r="AH128" s="7">
        <v>133541.69200000001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906.66</v>
      </c>
      <c r="AP128" s="7">
        <v>0</v>
      </c>
      <c r="AQ128" s="7">
        <v>0</v>
      </c>
      <c r="AR128" s="7">
        <v>0</v>
      </c>
      <c r="AS128" s="7">
        <v>4.3040000000000003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317.03699999999998</v>
      </c>
      <c r="BC128" s="7">
        <v>0</v>
      </c>
      <c r="BD128" s="7">
        <v>0</v>
      </c>
      <c r="BE128" s="7">
        <v>134.708</v>
      </c>
      <c r="BF128" s="7">
        <v>134.708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27326.654999999999</v>
      </c>
      <c r="F129" s="7">
        <v>5962.7690000000002</v>
      </c>
      <c r="G129" s="7">
        <v>0</v>
      </c>
      <c r="H129" s="7">
        <v>0</v>
      </c>
      <c r="I129" s="7">
        <v>121.964</v>
      </c>
      <c r="J129" s="7">
        <v>0</v>
      </c>
      <c r="K129" s="7">
        <v>0</v>
      </c>
      <c r="L129" s="7">
        <v>70338.346999999994</v>
      </c>
      <c r="M129" s="7">
        <v>2330.377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1907.8440000000001</v>
      </c>
      <c r="T129" s="7">
        <v>0</v>
      </c>
      <c r="U129" s="7">
        <v>0</v>
      </c>
      <c r="V129" s="7">
        <v>0</v>
      </c>
      <c r="W129" s="7">
        <v>565.54700000000003</v>
      </c>
      <c r="X129" s="7">
        <v>0</v>
      </c>
      <c r="Y129" s="7">
        <v>14392.918</v>
      </c>
      <c r="Z129" s="7">
        <v>0</v>
      </c>
      <c r="AA129" s="7">
        <v>0</v>
      </c>
      <c r="AB129" s="7">
        <v>0</v>
      </c>
      <c r="AC129" s="7">
        <v>1106.2449999999999</v>
      </c>
      <c r="AD129" s="7">
        <v>0</v>
      </c>
      <c r="AE129" s="7">
        <v>35949.394999999997</v>
      </c>
      <c r="AF129" s="7">
        <v>26097.077000000001</v>
      </c>
      <c r="AG129" s="7">
        <v>0</v>
      </c>
      <c r="AH129" s="7">
        <v>117115.43700000001</v>
      </c>
      <c r="AI129" s="7">
        <v>39148.160000000003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1349.53</v>
      </c>
      <c r="AP129" s="7">
        <v>0</v>
      </c>
      <c r="AQ129" s="7">
        <v>9729.7669999999998</v>
      </c>
      <c r="AR129" s="7">
        <v>0</v>
      </c>
      <c r="AS129" s="7">
        <v>19.727</v>
      </c>
      <c r="AT129" s="7">
        <v>0</v>
      </c>
      <c r="AU129" s="7">
        <v>123.962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456.03</v>
      </c>
      <c r="BC129" s="7">
        <v>0</v>
      </c>
      <c r="BD129" s="7">
        <v>0</v>
      </c>
      <c r="BE129" s="7">
        <v>129.72900000000001</v>
      </c>
      <c r="BF129" s="7">
        <v>129.72900000000001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1214.3130000000001</v>
      </c>
      <c r="F130" s="7">
        <v>440.75700000000001</v>
      </c>
      <c r="G130" s="7">
        <v>17.501000000000001</v>
      </c>
      <c r="H130" s="7">
        <v>1.2E-2</v>
      </c>
      <c r="I130" s="7">
        <v>26.425999999999998</v>
      </c>
      <c r="J130" s="7">
        <v>190.06800000000001</v>
      </c>
      <c r="K130" s="7">
        <v>0</v>
      </c>
      <c r="L130" s="7">
        <v>2729.21</v>
      </c>
      <c r="M130" s="7">
        <v>161.93199999999999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161.69999999999999</v>
      </c>
      <c r="T130" s="7">
        <v>0</v>
      </c>
      <c r="U130" s="7">
        <v>0</v>
      </c>
      <c r="V130" s="7">
        <v>33.344999999999999</v>
      </c>
      <c r="W130" s="7">
        <v>17.872</v>
      </c>
      <c r="X130" s="7">
        <v>0</v>
      </c>
      <c r="Y130" s="7">
        <v>461.11700000000002</v>
      </c>
      <c r="Z130" s="7">
        <v>0</v>
      </c>
      <c r="AA130" s="7">
        <v>636.12199999999996</v>
      </c>
      <c r="AB130" s="7">
        <v>0</v>
      </c>
      <c r="AC130" s="7">
        <v>76.915000000000006</v>
      </c>
      <c r="AD130" s="7">
        <v>0</v>
      </c>
      <c r="AE130" s="7">
        <v>1245.74</v>
      </c>
      <c r="AF130" s="7">
        <v>813.79499999999996</v>
      </c>
      <c r="AG130" s="7">
        <v>0</v>
      </c>
      <c r="AH130" s="7">
        <v>4521.2460000000001</v>
      </c>
      <c r="AI130" s="7">
        <v>1213.7380000000001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134.25800000000001</v>
      </c>
      <c r="AP130" s="7">
        <v>0</v>
      </c>
      <c r="AQ130" s="7">
        <v>302.34899999999999</v>
      </c>
      <c r="AR130" s="7">
        <v>0</v>
      </c>
      <c r="AS130" s="7">
        <v>0.96899999999999997</v>
      </c>
      <c r="AT130" s="7">
        <v>0</v>
      </c>
      <c r="AU130" s="7">
        <v>3.891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44.085000000000001</v>
      </c>
      <c r="BC130" s="7">
        <v>0</v>
      </c>
      <c r="BD130" s="7">
        <v>0</v>
      </c>
      <c r="BE130" s="7">
        <v>12.196999999999999</v>
      </c>
      <c r="BF130" s="7">
        <v>12.196999999999999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45099.252</v>
      </c>
      <c r="F131" s="7">
        <v>336.17500000000001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70704.673999999999</v>
      </c>
      <c r="M131" s="7">
        <v>10915.618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6014.2269999999999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26531.78</v>
      </c>
      <c r="AF131" s="7">
        <v>57.713999999999999</v>
      </c>
      <c r="AG131" s="7">
        <v>0</v>
      </c>
      <c r="AH131" s="7">
        <v>113387.247</v>
      </c>
      <c r="AI131" s="7">
        <v>89.978999999999999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60643.644</v>
      </c>
      <c r="F132" s="7">
        <v>4623.3459999999995</v>
      </c>
      <c r="G132" s="7">
        <v>6467.8860000000004</v>
      </c>
      <c r="H132" s="7">
        <v>0</v>
      </c>
      <c r="I132" s="7">
        <v>1127.808</v>
      </c>
      <c r="J132" s="7">
        <v>3938.29</v>
      </c>
      <c r="K132" s="7">
        <v>0</v>
      </c>
      <c r="L132" s="7">
        <v>56158.868999999999</v>
      </c>
      <c r="M132" s="7">
        <v>18130.978999999999</v>
      </c>
      <c r="N132" s="7">
        <v>0</v>
      </c>
      <c r="O132" s="7">
        <v>0</v>
      </c>
      <c r="P132" s="7">
        <v>200.50200000000001</v>
      </c>
      <c r="Q132" s="7">
        <v>0</v>
      </c>
      <c r="R132" s="7">
        <v>0.64800000000000002</v>
      </c>
      <c r="S132" s="7">
        <v>0</v>
      </c>
      <c r="T132" s="7">
        <v>0</v>
      </c>
      <c r="U132" s="7">
        <v>0</v>
      </c>
      <c r="V132" s="7">
        <v>645.78800000000001</v>
      </c>
      <c r="W132" s="7">
        <v>1908.2159999999999</v>
      </c>
      <c r="X132" s="7">
        <v>0</v>
      </c>
      <c r="Y132" s="7">
        <v>15073.144</v>
      </c>
      <c r="Z132" s="7">
        <v>0</v>
      </c>
      <c r="AA132" s="7">
        <v>5333.9790000000003</v>
      </c>
      <c r="AB132" s="7">
        <v>0</v>
      </c>
      <c r="AC132" s="7">
        <v>850.74099999999999</v>
      </c>
      <c r="AD132" s="7">
        <v>0</v>
      </c>
      <c r="AE132" s="7">
        <v>49376.947</v>
      </c>
      <c r="AF132" s="7">
        <v>0</v>
      </c>
      <c r="AG132" s="7">
        <v>0</v>
      </c>
      <c r="AH132" s="7">
        <v>118873.75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13530.73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75284.233999999997</v>
      </c>
      <c r="M133" s="7">
        <v>1932.61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224.05199999999999</v>
      </c>
      <c r="AB133" s="7">
        <v>0</v>
      </c>
      <c r="AC133" s="7">
        <v>0</v>
      </c>
      <c r="AD133" s="7">
        <v>0</v>
      </c>
      <c r="AE133" s="7">
        <v>17037.087</v>
      </c>
      <c r="AF133" s="7">
        <v>0</v>
      </c>
      <c r="AG133" s="7">
        <v>0</v>
      </c>
      <c r="AH133" s="7">
        <v>103372.80899999999</v>
      </c>
      <c r="AI133" s="7">
        <v>19526.755000000001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225167.071</v>
      </c>
      <c r="F134" s="7">
        <v>12110.592000000001</v>
      </c>
      <c r="G134" s="7">
        <v>9401.68</v>
      </c>
      <c r="H134" s="7">
        <v>4043.06</v>
      </c>
      <c r="I134" s="7">
        <v>1588.001</v>
      </c>
      <c r="J134" s="7">
        <v>6236.9549999999999</v>
      </c>
      <c r="K134" s="7">
        <v>0</v>
      </c>
      <c r="L134" s="7">
        <v>302136.24200000003</v>
      </c>
      <c r="M134" s="7">
        <v>62519.951000000001</v>
      </c>
      <c r="N134" s="7">
        <v>0</v>
      </c>
      <c r="O134" s="7">
        <v>0</v>
      </c>
      <c r="P134" s="7">
        <v>216.78700000000001</v>
      </c>
      <c r="Q134" s="7">
        <v>0</v>
      </c>
      <c r="R134" s="7">
        <v>92.067999999999998</v>
      </c>
      <c r="S134" s="7">
        <v>3316.4659999999999</v>
      </c>
      <c r="T134" s="7">
        <v>0</v>
      </c>
      <c r="U134" s="7">
        <v>0</v>
      </c>
      <c r="V134" s="7">
        <v>1085.1320000000001</v>
      </c>
      <c r="W134" s="7">
        <v>3110.4969999999998</v>
      </c>
      <c r="X134" s="7">
        <v>0</v>
      </c>
      <c r="Y134" s="7">
        <v>37568.67</v>
      </c>
      <c r="Z134" s="7">
        <v>0</v>
      </c>
      <c r="AA134" s="7">
        <v>9778.8389999999999</v>
      </c>
      <c r="AB134" s="7">
        <v>0</v>
      </c>
      <c r="AC134" s="7">
        <v>1667.0740000000001</v>
      </c>
      <c r="AD134" s="7">
        <v>0</v>
      </c>
      <c r="AE134" s="7">
        <v>135541.60399999999</v>
      </c>
      <c r="AF134" s="7">
        <v>3689.8530000000001</v>
      </c>
      <c r="AG134" s="7">
        <v>0</v>
      </c>
      <c r="AH134" s="7">
        <v>512520.08500000002</v>
      </c>
      <c r="AI134" s="7">
        <v>4666.3270000000002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36.838999999999999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11917.89</v>
      </c>
      <c r="F135" s="7">
        <v>28.925000000000001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10380.67</v>
      </c>
      <c r="M135" s="7">
        <v>1110.239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1320.46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6095.3739999999998</v>
      </c>
      <c r="AF135" s="7">
        <v>733.29600000000005</v>
      </c>
      <c r="AG135" s="7">
        <v>0</v>
      </c>
      <c r="AH135" s="7">
        <v>23175.499</v>
      </c>
      <c r="AI135" s="7">
        <v>2420.8440000000001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93607.79</v>
      </c>
      <c r="F136" s="7">
        <v>2281.7330000000002</v>
      </c>
      <c r="G136" s="7">
        <v>689.71799999999996</v>
      </c>
      <c r="H136" s="7">
        <v>0</v>
      </c>
      <c r="I136" s="7">
        <v>121.441</v>
      </c>
      <c r="J136" s="7">
        <v>430.92200000000003</v>
      </c>
      <c r="K136" s="7">
        <v>0</v>
      </c>
      <c r="L136" s="7">
        <v>92140.273000000001</v>
      </c>
      <c r="M136" s="7">
        <v>27369.278999999999</v>
      </c>
      <c r="N136" s="7">
        <v>0</v>
      </c>
      <c r="O136" s="7">
        <v>0</v>
      </c>
      <c r="P136" s="7">
        <v>15.282999999999999</v>
      </c>
      <c r="Q136" s="7">
        <v>0</v>
      </c>
      <c r="R136" s="7">
        <v>1.121</v>
      </c>
      <c r="S136" s="7">
        <v>0</v>
      </c>
      <c r="T136" s="7">
        <v>0</v>
      </c>
      <c r="U136" s="7">
        <v>0</v>
      </c>
      <c r="V136" s="7">
        <v>101.01300000000001</v>
      </c>
      <c r="W136" s="7">
        <v>285.64</v>
      </c>
      <c r="X136" s="7">
        <v>0</v>
      </c>
      <c r="Y136" s="7">
        <v>13422.61</v>
      </c>
      <c r="Z136" s="7">
        <v>0</v>
      </c>
      <c r="AA136" s="7">
        <v>1801.9359999999999</v>
      </c>
      <c r="AB136" s="7">
        <v>0</v>
      </c>
      <c r="AC136" s="7">
        <v>164.87</v>
      </c>
      <c r="AD136" s="7">
        <v>0</v>
      </c>
      <c r="AE136" s="7">
        <v>52368.648999999998</v>
      </c>
      <c r="AF136" s="7">
        <v>1401.768</v>
      </c>
      <c r="AG136" s="7">
        <v>0</v>
      </c>
      <c r="AH136" s="7">
        <v>199991.82800000001</v>
      </c>
      <c r="AI136" s="7">
        <v>1851.31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26110.669000000002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52277.572999999997</v>
      </c>
      <c r="M137" s="7">
        <v>4353.8090000000002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8998.6460000000006</v>
      </c>
      <c r="AF137" s="7">
        <v>0</v>
      </c>
      <c r="AG137" s="7">
        <v>0</v>
      </c>
      <c r="AH137" s="7">
        <v>95140.126999999993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1031200.1629999999</v>
      </c>
      <c r="F138" s="7">
        <v>18835.032999999999</v>
      </c>
      <c r="G138" s="7">
        <v>22269.972000000002</v>
      </c>
      <c r="H138" s="7">
        <v>2203.2370000000001</v>
      </c>
      <c r="I138" s="7">
        <v>4229.7349999999997</v>
      </c>
      <c r="J138" s="7">
        <v>13049.637000000001</v>
      </c>
      <c r="K138" s="7">
        <v>0</v>
      </c>
      <c r="L138" s="7">
        <v>995666.20200000005</v>
      </c>
      <c r="M138" s="7">
        <v>283146.16800000001</v>
      </c>
      <c r="N138" s="7">
        <v>0</v>
      </c>
      <c r="O138" s="7">
        <v>0</v>
      </c>
      <c r="P138" s="7">
        <v>677.87</v>
      </c>
      <c r="Q138" s="7">
        <v>0</v>
      </c>
      <c r="R138" s="7">
        <v>5.9260000000000002</v>
      </c>
      <c r="S138" s="7">
        <v>0</v>
      </c>
      <c r="T138" s="7">
        <v>0</v>
      </c>
      <c r="U138" s="7">
        <v>0</v>
      </c>
      <c r="V138" s="7">
        <v>1806.2809999999999</v>
      </c>
      <c r="W138" s="7">
        <v>5376.65</v>
      </c>
      <c r="X138" s="7">
        <v>0</v>
      </c>
      <c r="Y138" s="7">
        <v>175345.82</v>
      </c>
      <c r="Z138" s="7">
        <v>0</v>
      </c>
      <c r="AA138" s="7">
        <v>36912.038999999997</v>
      </c>
      <c r="AB138" s="7">
        <v>0</v>
      </c>
      <c r="AC138" s="7">
        <v>2507.8359999999998</v>
      </c>
      <c r="AD138" s="7">
        <v>0</v>
      </c>
      <c r="AE138" s="7">
        <v>628522.75</v>
      </c>
      <c r="AF138" s="7">
        <v>17684.634999999998</v>
      </c>
      <c r="AG138" s="7">
        <v>0</v>
      </c>
      <c r="AH138" s="7">
        <v>2275875.5830000001</v>
      </c>
      <c r="AI138" s="7">
        <v>51636.682000000001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98.414000000000001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1325.4949999999999</v>
      </c>
      <c r="F139" s="7">
        <v>209.953</v>
      </c>
      <c r="G139" s="7">
        <v>156.83199999999999</v>
      </c>
      <c r="H139" s="7">
        <v>116.92</v>
      </c>
      <c r="I139" s="7">
        <v>19.529</v>
      </c>
      <c r="J139" s="7">
        <v>91.867000000000004</v>
      </c>
      <c r="K139" s="7">
        <v>0</v>
      </c>
      <c r="L139" s="7">
        <v>1623.1969999999999</v>
      </c>
      <c r="M139" s="7">
        <v>464.93700000000001</v>
      </c>
      <c r="N139" s="7">
        <v>0</v>
      </c>
      <c r="O139" s="7">
        <v>0</v>
      </c>
      <c r="P139" s="7">
        <v>3.4000000000000002E-2</v>
      </c>
      <c r="Q139" s="7">
        <v>0</v>
      </c>
      <c r="R139" s="7">
        <v>0</v>
      </c>
      <c r="S139" s="7">
        <v>80.361000000000004</v>
      </c>
      <c r="T139" s="7">
        <v>0</v>
      </c>
      <c r="U139" s="7">
        <v>0</v>
      </c>
      <c r="V139" s="7">
        <v>20.895</v>
      </c>
      <c r="W139" s="7">
        <v>42.118000000000002</v>
      </c>
      <c r="X139" s="7">
        <v>0</v>
      </c>
      <c r="Y139" s="7">
        <v>387.89100000000002</v>
      </c>
      <c r="Z139" s="7">
        <v>0</v>
      </c>
      <c r="AA139" s="7">
        <v>245.804</v>
      </c>
      <c r="AB139" s="7">
        <v>0</v>
      </c>
      <c r="AC139" s="7">
        <v>38.104999999999997</v>
      </c>
      <c r="AD139" s="7">
        <v>0</v>
      </c>
      <c r="AE139" s="7">
        <v>781.68399999999997</v>
      </c>
      <c r="AF139" s="7">
        <v>441.36399999999998</v>
      </c>
      <c r="AG139" s="7">
        <v>0</v>
      </c>
      <c r="AH139" s="7">
        <v>2956.4079999999999</v>
      </c>
      <c r="AI139" s="7">
        <v>738.548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37.463000000000001</v>
      </c>
      <c r="AP139" s="7">
        <v>0</v>
      </c>
      <c r="AQ139" s="7">
        <v>163.755</v>
      </c>
      <c r="AR139" s="7">
        <v>0</v>
      </c>
      <c r="AS139" s="7">
        <v>0.73099999999999998</v>
      </c>
      <c r="AT139" s="7">
        <v>0</v>
      </c>
      <c r="AU139" s="7">
        <v>13.414</v>
      </c>
      <c r="AV139" s="7">
        <v>0</v>
      </c>
      <c r="AW139" s="7">
        <v>0</v>
      </c>
      <c r="AX139" s="7">
        <v>0</v>
      </c>
      <c r="AY139" s="7">
        <v>17.971</v>
      </c>
      <c r="AZ139" s="7">
        <v>198.95500000000001</v>
      </c>
      <c r="BA139" s="7">
        <v>0</v>
      </c>
      <c r="BB139" s="7">
        <v>12.657999999999999</v>
      </c>
      <c r="BC139" s="7">
        <v>8.4779999999999998</v>
      </c>
      <c r="BD139" s="7">
        <v>232.36500000000001</v>
      </c>
      <c r="BE139" s="7">
        <v>3.4260000000000002</v>
      </c>
      <c r="BF139" s="7">
        <v>3.4260000000000002</v>
      </c>
      <c r="BG139" s="7">
        <v>80.201999999999998</v>
      </c>
      <c r="BH139" s="7">
        <v>0</v>
      </c>
      <c r="BI139" s="7">
        <v>3.26</v>
      </c>
      <c r="BJ139" s="21"/>
    </row>
    <row r="140" spans="1:62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2167.172</v>
      </c>
      <c r="F140" s="7">
        <v>51.601999999999997</v>
      </c>
      <c r="G140" s="7">
        <v>0</v>
      </c>
      <c r="H140" s="7">
        <v>1.0999999999999999E-2</v>
      </c>
      <c r="I140" s="7">
        <v>1.895</v>
      </c>
      <c r="J140" s="7">
        <v>0</v>
      </c>
      <c r="K140" s="7">
        <v>0</v>
      </c>
      <c r="L140" s="7">
        <v>3897.596</v>
      </c>
      <c r="M140" s="7">
        <v>597.46799999999996</v>
      </c>
      <c r="N140" s="7">
        <v>0</v>
      </c>
      <c r="O140" s="7">
        <v>0</v>
      </c>
      <c r="P140" s="7">
        <v>0.01</v>
      </c>
      <c r="Q140" s="7">
        <v>0</v>
      </c>
      <c r="R140" s="7">
        <v>0</v>
      </c>
      <c r="S140" s="7">
        <v>17.152000000000001</v>
      </c>
      <c r="T140" s="7">
        <v>0</v>
      </c>
      <c r="U140" s="7">
        <v>0</v>
      </c>
      <c r="V140" s="7">
        <v>0</v>
      </c>
      <c r="W140" s="7">
        <v>5.8330000000000002</v>
      </c>
      <c r="X140" s="7">
        <v>0</v>
      </c>
      <c r="Y140" s="7">
        <v>567.30100000000004</v>
      </c>
      <c r="Z140" s="7">
        <v>0</v>
      </c>
      <c r="AA140" s="7">
        <v>0</v>
      </c>
      <c r="AB140" s="7">
        <v>0</v>
      </c>
      <c r="AC140" s="7">
        <v>10.228</v>
      </c>
      <c r="AD140" s="7">
        <v>0</v>
      </c>
      <c r="AE140" s="7">
        <v>2364.5569999999998</v>
      </c>
      <c r="AF140" s="7">
        <v>212.899</v>
      </c>
      <c r="AG140" s="7">
        <v>0</v>
      </c>
      <c r="AH140" s="7">
        <v>9299.3430000000008</v>
      </c>
      <c r="AI140" s="7">
        <v>355.95800000000003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10.087</v>
      </c>
      <c r="AP140" s="7">
        <v>0</v>
      </c>
      <c r="AQ140" s="7">
        <v>79.048000000000002</v>
      </c>
      <c r="AR140" s="7">
        <v>0</v>
      </c>
      <c r="AS140" s="7">
        <v>0.16300000000000001</v>
      </c>
      <c r="AT140" s="7">
        <v>0</v>
      </c>
      <c r="AU140" s="7">
        <v>1.1020000000000001</v>
      </c>
      <c r="AV140" s="7">
        <v>0</v>
      </c>
      <c r="AW140" s="7">
        <v>0</v>
      </c>
      <c r="AX140" s="7">
        <v>0</v>
      </c>
      <c r="AY140" s="7">
        <v>3.0249999999999999</v>
      </c>
      <c r="AZ140" s="7">
        <v>96.039000000000001</v>
      </c>
      <c r="BA140" s="7">
        <v>0</v>
      </c>
      <c r="BB140" s="7">
        <v>3.4089999999999998</v>
      </c>
      <c r="BC140" s="7">
        <v>0</v>
      </c>
      <c r="BD140" s="7">
        <v>112.167</v>
      </c>
      <c r="BE140" s="7">
        <v>0.91400000000000003</v>
      </c>
      <c r="BF140" s="7">
        <v>0.91400000000000003</v>
      </c>
      <c r="BG140" s="7">
        <v>38.715000000000003</v>
      </c>
      <c r="BH140" s="7">
        <v>0</v>
      </c>
      <c r="BI140" s="7">
        <v>0</v>
      </c>
      <c r="BJ140" s="21"/>
    </row>
    <row r="141" spans="1:62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2.7010000000000001</v>
      </c>
      <c r="F141" s="7">
        <v>0.57399999999999995</v>
      </c>
      <c r="G141" s="7">
        <v>0</v>
      </c>
      <c r="H141" s="7">
        <v>0</v>
      </c>
      <c r="I141" s="7">
        <v>1.2999999999999999E-2</v>
      </c>
      <c r="J141" s="7">
        <v>0</v>
      </c>
      <c r="K141" s="7">
        <v>0</v>
      </c>
      <c r="L141" s="7">
        <v>6.8209999999999997</v>
      </c>
      <c r="M141" s="7">
        <v>0.26100000000000001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0.185</v>
      </c>
      <c r="T141" s="7">
        <v>0</v>
      </c>
      <c r="U141" s="7">
        <v>0</v>
      </c>
      <c r="V141" s="7">
        <v>0</v>
      </c>
      <c r="W141" s="7">
        <v>5.6000000000000001E-2</v>
      </c>
      <c r="X141" s="7">
        <v>0</v>
      </c>
      <c r="Y141" s="7">
        <v>1.391</v>
      </c>
      <c r="Z141" s="7">
        <v>0</v>
      </c>
      <c r="AA141" s="7">
        <v>0</v>
      </c>
      <c r="AB141" s="7">
        <v>0</v>
      </c>
      <c r="AC141" s="7">
        <v>0.108</v>
      </c>
      <c r="AD141" s="7">
        <v>0</v>
      </c>
      <c r="AE141" s="7">
        <v>3.4609999999999999</v>
      </c>
      <c r="AF141" s="7">
        <v>2.488</v>
      </c>
      <c r="AG141" s="7">
        <v>0</v>
      </c>
      <c r="AH141" s="7">
        <v>11.407</v>
      </c>
      <c r="AI141" s="7">
        <v>3.7959999999999998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0.127</v>
      </c>
      <c r="AP141" s="7">
        <v>0</v>
      </c>
      <c r="AQ141" s="7">
        <v>0.92700000000000005</v>
      </c>
      <c r="AR141" s="7">
        <v>0</v>
      </c>
      <c r="AS141" s="7">
        <v>2E-3</v>
      </c>
      <c r="AT141" s="7">
        <v>0</v>
      </c>
      <c r="AU141" s="7">
        <v>1.0999999999999999E-2</v>
      </c>
      <c r="AV141" s="7">
        <v>0</v>
      </c>
      <c r="AW141" s="7">
        <v>0</v>
      </c>
      <c r="AX141" s="7">
        <v>0</v>
      </c>
      <c r="AY141" s="7">
        <v>5.0000000000000001E-3</v>
      </c>
      <c r="AZ141" s="7">
        <v>0.16800000000000001</v>
      </c>
      <c r="BA141" s="7">
        <v>0</v>
      </c>
      <c r="BB141" s="7">
        <v>4.2999999999999997E-2</v>
      </c>
      <c r="BC141" s="7">
        <v>0</v>
      </c>
      <c r="BD141" s="7">
        <v>0.19700000000000001</v>
      </c>
      <c r="BE141" s="7">
        <v>1.2E-2</v>
      </c>
      <c r="BF141" s="7">
        <v>1.2E-2</v>
      </c>
      <c r="BG141" s="7">
        <v>6.8000000000000005E-2</v>
      </c>
      <c r="BH141" s="7">
        <v>0</v>
      </c>
      <c r="BI141" s="7">
        <v>0</v>
      </c>
      <c r="BJ141" s="21"/>
    </row>
    <row r="142" spans="1:62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1763.278</v>
      </c>
      <c r="F142" s="7">
        <v>12.784000000000001</v>
      </c>
      <c r="G142" s="7">
        <v>18.077000000000002</v>
      </c>
      <c r="H142" s="7">
        <v>0</v>
      </c>
      <c r="I142" s="7">
        <v>3.15</v>
      </c>
      <c r="J142" s="7">
        <v>10.988</v>
      </c>
      <c r="K142" s="7">
        <v>0</v>
      </c>
      <c r="L142" s="7">
        <v>2659.145</v>
      </c>
      <c r="M142" s="7">
        <v>582.81200000000001</v>
      </c>
      <c r="N142" s="7">
        <v>0</v>
      </c>
      <c r="O142" s="7">
        <v>0</v>
      </c>
      <c r="P142" s="7">
        <v>0.57099999999999995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1.75</v>
      </c>
      <c r="W142" s="7">
        <v>5.1920000000000002</v>
      </c>
      <c r="X142" s="7">
        <v>0</v>
      </c>
      <c r="Y142" s="7">
        <v>529.28899999999999</v>
      </c>
      <c r="Z142" s="7">
        <v>0</v>
      </c>
      <c r="AA142" s="7">
        <v>14.262</v>
      </c>
      <c r="AB142" s="7">
        <v>0</v>
      </c>
      <c r="AC142" s="7">
        <v>2.25</v>
      </c>
      <c r="AD142" s="7">
        <v>0</v>
      </c>
      <c r="AE142" s="7">
        <v>2071.6619999999998</v>
      </c>
      <c r="AF142" s="7">
        <v>0</v>
      </c>
      <c r="AG142" s="7">
        <v>0</v>
      </c>
      <c r="AH142" s="7">
        <v>5608.085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5571.6360000000004</v>
      </c>
      <c r="F144" s="7">
        <v>576.72699999999998</v>
      </c>
      <c r="G144" s="7">
        <v>0</v>
      </c>
      <c r="H144" s="7">
        <v>0</v>
      </c>
      <c r="I144" s="7">
        <v>21.184999999999999</v>
      </c>
      <c r="J144" s="7">
        <v>0</v>
      </c>
      <c r="K144" s="7">
        <v>0</v>
      </c>
      <c r="L144" s="7">
        <v>7169.1369999999997</v>
      </c>
      <c r="M144" s="7">
        <v>456.94600000000003</v>
      </c>
      <c r="N144" s="7">
        <v>0</v>
      </c>
      <c r="O144" s="7">
        <v>119.57</v>
      </c>
      <c r="P144" s="7">
        <v>0.11</v>
      </c>
      <c r="Q144" s="7">
        <v>130.53</v>
      </c>
      <c r="R144" s="7">
        <v>0</v>
      </c>
      <c r="S144" s="7">
        <v>191.703</v>
      </c>
      <c r="T144" s="7">
        <v>0</v>
      </c>
      <c r="U144" s="7">
        <v>0</v>
      </c>
      <c r="V144" s="7">
        <v>0</v>
      </c>
      <c r="W144" s="7">
        <v>65.188999999999993</v>
      </c>
      <c r="X144" s="7">
        <v>0</v>
      </c>
      <c r="Y144" s="7">
        <v>1436.806</v>
      </c>
      <c r="Z144" s="7">
        <v>0</v>
      </c>
      <c r="AA144" s="7">
        <v>0</v>
      </c>
      <c r="AB144" s="7">
        <v>7562.7049999999999</v>
      </c>
      <c r="AC144" s="7">
        <v>114.316</v>
      </c>
      <c r="AD144" s="7">
        <v>0</v>
      </c>
      <c r="AE144" s="7">
        <v>8852.1560000000009</v>
      </c>
      <c r="AF144" s="7">
        <v>2379.4090000000001</v>
      </c>
      <c r="AG144" s="7">
        <v>0</v>
      </c>
      <c r="AH144" s="7">
        <v>12231.844999999999</v>
      </c>
      <c r="AI144" s="7">
        <v>3978.2840000000001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112.73699999999999</v>
      </c>
      <c r="AP144" s="7">
        <v>0</v>
      </c>
      <c r="AQ144" s="7">
        <v>883.48</v>
      </c>
      <c r="AR144" s="7">
        <v>0</v>
      </c>
      <c r="AS144" s="7">
        <v>1.8169999999999999</v>
      </c>
      <c r="AT144" s="7">
        <v>0</v>
      </c>
      <c r="AU144" s="7">
        <v>12.313000000000001</v>
      </c>
      <c r="AV144" s="7">
        <v>0</v>
      </c>
      <c r="AW144" s="7">
        <v>0</v>
      </c>
      <c r="AX144" s="7">
        <v>0</v>
      </c>
      <c r="AY144" s="7">
        <v>33.813000000000002</v>
      </c>
      <c r="AZ144" s="7">
        <v>1073.3879999999999</v>
      </c>
      <c r="BA144" s="7">
        <v>0</v>
      </c>
      <c r="BB144" s="7">
        <v>38.100999999999999</v>
      </c>
      <c r="BC144" s="7">
        <v>0</v>
      </c>
      <c r="BD144" s="7">
        <v>1253.6379999999999</v>
      </c>
      <c r="BE144" s="7">
        <v>10.210000000000001</v>
      </c>
      <c r="BF144" s="7">
        <v>10.210000000000001</v>
      </c>
      <c r="BG144" s="7">
        <v>432.70100000000002</v>
      </c>
      <c r="BH144" s="7">
        <v>0</v>
      </c>
      <c r="BI144" s="7">
        <v>0</v>
      </c>
      <c r="BJ144" s="21"/>
    </row>
    <row r="145" spans="1:62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75258.593999999997</v>
      </c>
      <c r="F145" s="7">
        <v>3583.2750000000001</v>
      </c>
      <c r="G145" s="7">
        <v>4390.9840000000004</v>
      </c>
      <c r="H145" s="7">
        <v>-288.54599999999999</v>
      </c>
      <c r="I145" s="7">
        <v>571.04499999999996</v>
      </c>
      <c r="J145" s="7">
        <v>2270.567</v>
      </c>
      <c r="K145" s="7">
        <v>0</v>
      </c>
      <c r="L145" s="7">
        <v>66700.929000000004</v>
      </c>
      <c r="M145" s="7">
        <v>18606.307000000001</v>
      </c>
      <c r="N145" s="7">
        <v>0</v>
      </c>
      <c r="O145" s="7">
        <v>-168.203</v>
      </c>
      <c r="P145" s="7">
        <v>43.917000000000002</v>
      </c>
      <c r="Q145" s="7">
        <v>-67.039000000000001</v>
      </c>
      <c r="R145" s="7">
        <v>-26.844000000000001</v>
      </c>
      <c r="S145" s="7">
        <v>803.27499999999998</v>
      </c>
      <c r="T145" s="7">
        <v>0</v>
      </c>
      <c r="U145" s="7">
        <v>0</v>
      </c>
      <c r="V145" s="7">
        <v>587.72699999999998</v>
      </c>
      <c r="W145" s="7">
        <v>957.75400000000002</v>
      </c>
      <c r="X145" s="7">
        <v>-10381.239</v>
      </c>
      <c r="Y145" s="7">
        <v>12376.821</v>
      </c>
      <c r="Z145" s="7">
        <v>-2709.2579999999998</v>
      </c>
      <c r="AA145" s="7">
        <v>7041.6180000000004</v>
      </c>
      <c r="AB145" s="7">
        <v>-4073.4949999999999</v>
      </c>
      <c r="AC145" s="7">
        <v>918.4</v>
      </c>
      <c r="AD145" s="7">
        <v>-75.988</v>
      </c>
      <c r="AE145" s="7">
        <v>50045.942999999999</v>
      </c>
      <c r="AF145" s="7">
        <v>1019.912</v>
      </c>
      <c r="AG145" s="7">
        <v>-309.74900000000002</v>
      </c>
      <c r="AH145" s="7">
        <v>165670.22399999999</v>
      </c>
      <c r="AI145" s="7">
        <v>2506.1</v>
      </c>
      <c r="AJ145" s="7">
        <v>-15583.338</v>
      </c>
      <c r="AK145" s="7">
        <v>-179478.85</v>
      </c>
      <c r="AL145" s="7">
        <v>-96896.726999999999</v>
      </c>
      <c r="AM145" s="7">
        <v>0</v>
      </c>
      <c r="AN145" s="7">
        <v>-64070.38</v>
      </c>
      <c r="AO145" s="7">
        <v>823.35299999999995</v>
      </c>
      <c r="AP145" s="7">
        <v>0</v>
      </c>
      <c r="AQ145" s="7">
        <v>260.81</v>
      </c>
      <c r="AR145" s="7">
        <v>0</v>
      </c>
      <c r="AS145" s="7">
        <v>-0.28000000000000003</v>
      </c>
      <c r="AT145" s="7">
        <v>0</v>
      </c>
      <c r="AU145" s="7">
        <v>127.42700000000001</v>
      </c>
      <c r="AV145" s="7">
        <v>0</v>
      </c>
      <c r="AW145" s="7">
        <v>0</v>
      </c>
      <c r="AX145" s="7">
        <v>-11834.561</v>
      </c>
      <c r="AY145" s="7">
        <v>-24.954999999999998</v>
      </c>
      <c r="AZ145" s="7">
        <v>-163.429</v>
      </c>
      <c r="BA145" s="7">
        <v>-8696.4609999999993</v>
      </c>
      <c r="BB145" s="7">
        <v>247.40700000000001</v>
      </c>
      <c r="BC145" s="7">
        <v>8.9819999999999993</v>
      </c>
      <c r="BD145" s="7">
        <v>-87.507000000000005</v>
      </c>
      <c r="BE145" s="7">
        <v>71.546000000000006</v>
      </c>
      <c r="BF145" s="7">
        <v>71.546000000000006</v>
      </c>
      <c r="BG145" s="7">
        <v>-88.685000000000002</v>
      </c>
      <c r="BH145" s="7">
        <v>-8253.0490000000009</v>
      </c>
      <c r="BI145" s="7">
        <v>-2.6549999999999998</v>
      </c>
      <c r="BJ145" s="21"/>
    </row>
    <row r="146" spans="1:62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-15760.508</v>
      </c>
      <c r="F146" s="7">
        <v>-3223.8789999999999</v>
      </c>
      <c r="G146" s="7">
        <v>-937.51599999999996</v>
      </c>
      <c r="H146" s="7">
        <v>-4.4999999999999998E-2</v>
      </c>
      <c r="I146" s="7">
        <v>-280.10399999999998</v>
      </c>
      <c r="J146" s="7">
        <v>-1253.604</v>
      </c>
      <c r="K146" s="7">
        <v>0</v>
      </c>
      <c r="L146" s="7">
        <v>-27340.92</v>
      </c>
      <c r="M146" s="7">
        <v>-3434.652</v>
      </c>
      <c r="N146" s="7">
        <v>0</v>
      </c>
      <c r="O146" s="7">
        <v>0</v>
      </c>
      <c r="P146" s="7">
        <v>-31.542999999999999</v>
      </c>
      <c r="Q146" s="7">
        <v>0</v>
      </c>
      <c r="R146" s="7">
        <v>0.442</v>
      </c>
      <c r="S146" s="7">
        <v>-926.78</v>
      </c>
      <c r="T146" s="7">
        <v>0</v>
      </c>
      <c r="U146" s="7">
        <v>0</v>
      </c>
      <c r="V146" s="7">
        <v>-202.94900000000001</v>
      </c>
      <c r="W146" s="7">
        <v>-386.99299999999999</v>
      </c>
      <c r="X146" s="7">
        <v>0</v>
      </c>
      <c r="Y146" s="7">
        <v>-5869.8209999999999</v>
      </c>
      <c r="Z146" s="7">
        <v>0</v>
      </c>
      <c r="AA146" s="7">
        <v>-3002.25</v>
      </c>
      <c r="AB146" s="7">
        <v>0</v>
      </c>
      <c r="AC146" s="7">
        <v>-543.28200000000004</v>
      </c>
      <c r="AD146" s="7">
        <v>0</v>
      </c>
      <c r="AE146" s="7">
        <v>-16908.867999999999</v>
      </c>
      <c r="AF146" s="7">
        <v>-7381.2129999999997</v>
      </c>
      <c r="AG146" s="7">
        <v>0</v>
      </c>
      <c r="AH146" s="7">
        <v>-49716.196000000004</v>
      </c>
      <c r="AI146" s="7">
        <v>-11212.852999999999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-715.06500000000005</v>
      </c>
      <c r="AP146" s="7">
        <v>0</v>
      </c>
      <c r="AQ146" s="7">
        <v>-2671.8850000000002</v>
      </c>
      <c r="AR146" s="7">
        <v>0</v>
      </c>
      <c r="AS146" s="7">
        <v>-6.99</v>
      </c>
      <c r="AT146" s="7">
        <v>0</v>
      </c>
      <c r="AU146" s="7">
        <v>-34.04</v>
      </c>
      <c r="AV146" s="7">
        <v>0</v>
      </c>
      <c r="AW146" s="7">
        <v>0</v>
      </c>
      <c r="AX146" s="7">
        <v>0</v>
      </c>
      <c r="AY146" s="7">
        <v>-1.095</v>
      </c>
      <c r="AZ146" s="7">
        <v>-2.637</v>
      </c>
      <c r="BA146" s="7">
        <v>0</v>
      </c>
      <c r="BB146" s="7">
        <v>-236.892</v>
      </c>
      <c r="BC146" s="7">
        <v>0.01</v>
      </c>
      <c r="BD146" s="7">
        <v>-2.879</v>
      </c>
      <c r="BE146" s="7">
        <v>-66.013000000000005</v>
      </c>
      <c r="BF146" s="7">
        <v>-66.013000000000005</v>
      </c>
      <c r="BG146" s="7">
        <v>-0.99</v>
      </c>
      <c r="BH146" s="7">
        <v>0</v>
      </c>
      <c r="BI146" s="7">
        <v>4.9000000000000002E-2</v>
      </c>
      <c r="BJ146" s="21"/>
    </row>
    <row r="147" spans="1:62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3055.2150000000001</v>
      </c>
      <c r="F147" s="7">
        <v>429.97199999999998</v>
      </c>
      <c r="G147" s="7">
        <v>365.72399999999999</v>
      </c>
      <c r="H147" s="7">
        <v>3.0000000000000001E-3</v>
      </c>
      <c r="I147" s="7">
        <v>59.34</v>
      </c>
      <c r="J147" s="7">
        <v>270.75200000000001</v>
      </c>
      <c r="K147" s="7">
        <v>0</v>
      </c>
      <c r="L147" s="7">
        <v>3132.9609999999998</v>
      </c>
      <c r="M147" s="7">
        <v>873.53099999999995</v>
      </c>
      <c r="N147" s="7">
        <v>0</v>
      </c>
      <c r="O147" s="7">
        <v>0</v>
      </c>
      <c r="P147" s="7">
        <v>3.61</v>
      </c>
      <c r="Q147" s="7">
        <v>0</v>
      </c>
      <c r="R147" s="7">
        <v>0</v>
      </c>
      <c r="S147" s="7">
        <v>123.396</v>
      </c>
      <c r="T147" s="7">
        <v>0</v>
      </c>
      <c r="U147" s="7">
        <v>0</v>
      </c>
      <c r="V147" s="7">
        <v>44.101999999999997</v>
      </c>
      <c r="W147" s="7">
        <v>88.191999999999993</v>
      </c>
      <c r="X147" s="7">
        <v>0</v>
      </c>
      <c r="Y147" s="7">
        <v>886.02</v>
      </c>
      <c r="Z147" s="7">
        <v>0</v>
      </c>
      <c r="AA147" s="7">
        <v>619.51499999999999</v>
      </c>
      <c r="AB147" s="7">
        <v>0</v>
      </c>
      <c r="AC147" s="7">
        <v>74.114000000000004</v>
      </c>
      <c r="AD147" s="7">
        <v>4.7869999999999999</v>
      </c>
      <c r="AE147" s="7">
        <v>2325.5160000000001</v>
      </c>
      <c r="AF147" s="7">
        <v>720.30700000000002</v>
      </c>
      <c r="AG147" s="7">
        <v>17.501999999999999</v>
      </c>
      <c r="AH147" s="7">
        <v>6660.6239999999998</v>
      </c>
      <c r="AI147" s="7">
        <v>1078.8969999999999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80.162999999999997</v>
      </c>
      <c r="AP147" s="7">
        <v>0</v>
      </c>
      <c r="AQ147" s="7">
        <v>268.30599999999998</v>
      </c>
      <c r="AR147" s="7">
        <v>0</v>
      </c>
      <c r="AS147" s="7">
        <v>1.405</v>
      </c>
      <c r="AT147" s="7">
        <v>0</v>
      </c>
      <c r="AU147" s="7">
        <v>20.873999999999999</v>
      </c>
      <c r="AV147" s="7">
        <v>0</v>
      </c>
      <c r="AW147" s="7">
        <v>0</v>
      </c>
      <c r="AX147" s="7">
        <v>0</v>
      </c>
      <c r="AY147" s="7">
        <v>14.023</v>
      </c>
      <c r="AZ147" s="7">
        <v>0</v>
      </c>
      <c r="BA147" s="7">
        <v>0</v>
      </c>
      <c r="BB147" s="7">
        <v>26.968</v>
      </c>
      <c r="BC147" s="7">
        <v>9.3179999999999996</v>
      </c>
      <c r="BD147" s="7">
        <v>0</v>
      </c>
      <c r="BE147" s="7">
        <v>7.4210000000000003</v>
      </c>
      <c r="BF147" s="7">
        <v>7.4210000000000003</v>
      </c>
      <c r="BG147" s="7">
        <v>0</v>
      </c>
      <c r="BH147" s="7">
        <v>0</v>
      </c>
      <c r="BI147" s="7">
        <v>3.351</v>
      </c>
      <c r="BJ147" s="21"/>
    </row>
    <row r="148" spans="1:62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-1189.152</v>
      </c>
      <c r="F148" s="7">
        <v>-828.93499999999995</v>
      </c>
      <c r="G148" s="7">
        <v>70.373999999999995</v>
      </c>
      <c r="H148" s="7">
        <v>-3.7999999999999999E-2</v>
      </c>
      <c r="I148" s="7">
        <v>-73.356999999999999</v>
      </c>
      <c r="J148" s="7">
        <v>-518.21299999999997</v>
      </c>
      <c r="K148" s="7">
        <v>0</v>
      </c>
      <c r="L148" s="7">
        <v>-1724.732</v>
      </c>
      <c r="M148" s="7">
        <v>-197.64400000000001</v>
      </c>
      <c r="N148" s="7">
        <v>0</v>
      </c>
      <c r="O148" s="7">
        <v>0</v>
      </c>
      <c r="P148" s="7">
        <v>-2E-3</v>
      </c>
      <c r="Q148" s="7">
        <v>-419.94900000000001</v>
      </c>
      <c r="R148" s="7">
        <v>-680.53300000000002</v>
      </c>
      <c r="S148" s="7">
        <v>-332.20299999999997</v>
      </c>
      <c r="T148" s="7">
        <v>0</v>
      </c>
      <c r="U148" s="7">
        <v>0</v>
      </c>
      <c r="V148" s="7">
        <v>-108.017</v>
      </c>
      <c r="W148" s="7">
        <v>-1.0960000000000001</v>
      </c>
      <c r="X148" s="7">
        <v>0</v>
      </c>
      <c r="Y148" s="7">
        <v>-48.216000000000001</v>
      </c>
      <c r="Z148" s="7">
        <v>-12663.3</v>
      </c>
      <c r="AA148" s="7">
        <v>-2060.6669999999999</v>
      </c>
      <c r="AB148" s="7">
        <v>0</v>
      </c>
      <c r="AC148" s="7">
        <v>-138.05500000000001</v>
      </c>
      <c r="AD148" s="7">
        <v>-2139.442</v>
      </c>
      <c r="AE148" s="7">
        <v>-367.185</v>
      </c>
      <c r="AF148" s="7">
        <v>-15.196</v>
      </c>
      <c r="AG148" s="7">
        <v>-7047.2219999999998</v>
      </c>
      <c r="AH148" s="7">
        <v>-2883.873</v>
      </c>
      <c r="AI148" s="7">
        <v>-1.0999999999999999E-2</v>
      </c>
      <c r="AJ148" s="7">
        <v>-65951.532000000007</v>
      </c>
      <c r="AK148" s="7">
        <v>0</v>
      </c>
      <c r="AL148" s="7">
        <v>0</v>
      </c>
      <c r="AM148" s="7">
        <v>0</v>
      </c>
      <c r="AN148" s="7">
        <v>0</v>
      </c>
      <c r="AO148" s="7">
        <v>-299.38099999999997</v>
      </c>
      <c r="AP148" s="7">
        <v>0</v>
      </c>
      <c r="AQ148" s="7">
        <v>-2.238</v>
      </c>
      <c r="AR148" s="7">
        <v>0</v>
      </c>
      <c r="AS148" s="7">
        <v>-1.1579999999999999</v>
      </c>
      <c r="AT148" s="7">
        <v>0</v>
      </c>
      <c r="AU148" s="7">
        <v>-0.156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-97.01</v>
      </c>
      <c r="BC148" s="7">
        <v>0</v>
      </c>
      <c r="BD148" s="7">
        <v>0</v>
      </c>
      <c r="BE148" s="7">
        <v>-26.483000000000001</v>
      </c>
      <c r="BF148" s="7">
        <v>-26.483000000000001</v>
      </c>
      <c r="BG148" s="7">
        <v>0</v>
      </c>
      <c r="BH148" s="7">
        <v>-40570.970999999998</v>
      </c>
      <c r="BI148" s="7">
        <v>0</v>
      </c>
      <c r="BJ148" s="21"/>
    </row>
    <row r="149" spans="1:62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6563.6149999999998</v>
      </c>
      <c r="F149" s="7">
        <v>1180.3779999999999</v>
      </c>
      <c r="G149" s="7">
        <v>94.358999999999995</v>
      </c>
      <c r="H149" s="7">
        <v>0</v>
      </c>
      <c r="I149" s="7">
        <v>37.177999999999997</v>
      </c>
      <c r="J149" s="7">
        <v>63.05</v>
      </c>
      <c r="K149" s="7">
        <v>0</v>
      </c>
      <c r="L149" s="7">
        <v>14291.56</v>
      </c>
      <c r="M149" s="7">
        <v>1159.3810000000001</v>
      </c>
      <c r="N149" s="7">
        <v>0</v>
      </c>
      <c r="O149" s="7">
        <v>9.4309999999999992</v>
      </c>
      <c r="P149" s="7">
        <v>0</v>
      </c>
      <c r="Q149" s="7">
        <v>3.3919999999999999</v>
      </c>
      <c r="R149" s="7">
        <v>0</v>
      </c>
      <c r="S149" s="7">
        <v>376.947</v>
      </c>
      <c r="T149" s="7">
        <v>0</v>
      </c>
      <c r="U149" s="7">
        <v>0</v>
      </c>
      <c r="V149" s="7">
        <v>7.7009999999999996</v>
      </c>
      <c r="W149" s="7">
        <v>121.61199999999999</v>
      </c>
      <c r="X149" s="7">
        <v>-122.65600000000001</v>
      </c>
      <c r="Y149" s="7">
        <v>2827.0390000000002</v>
      </c>
      <c r="Z149" s="7">
        <v>-8.9819999999999993</v>
      </c>
      <c r="AA149" s="7">
        <v>143.9</v>
      </c>
      <c r="AB149" s="7">
        <v>208.08099999999999</v>
      </c>
      <c r="AC149" s="7">
        <v>217.02600000000001</v>
      </c>
      <c r="AD149" s="7">
        <v>19.064</v>
      </c>
      <c r="AE149" s="7">
        <v>7057.2550000000001</v>
      </c>
      <c r="AF149" s="7">
        <v>4974.1589999999997</v>
      </c>
      <c r="AG149" s="7">
        <v>128.577</v>
      </c>
      <c r="AH149" s="7">
        <v>23761.071</v>
      </c>
      <c r="AI149" s="7">
        <v>7466.027</v>
      </c>
      <c r="AJ149" s="7">
        <v>-100.837</v>
      </c>
      <c r="AK149" s="7">
        <v>-1413.848</v>
      </c>
      <c r="AL149" s="7">
        <v>-763.30600000000004</v>
      </c>
      <c r="AM149" s="7">
        <v>0</v>
      </c>
      <c r="AN149" s="7">
        <v>-504.71600000000001</v>
      </c>
      <c r="AO149" s="7">
        <v>263.12599999999998</v>
      </c>
      <c r="AP149" s="7">
        <v>0</v>
      </c>
      <c r="AQ149" s="7">
        <v>1849.1590000000001</v>
      </c>
      <c r="AR149" s="7">
        <v>0</v>
      </c>
      <c r="AS149" s="7">
        <v>4.0819999999999999</v>
      </c>
      <c r="AT149" s="7">
        <v>0</v>
      </c>
      <c r="AU149" s="7">
        <v>30.157</v>
      </c>
      <c r="AV149" s="7">
        <v>0</v>
      </c>
      <c r="AW149" s="7">
        <v>0</v>
      </c>
      <c r="AX149" s="7">
        <v>-139.827</v>
      </c>
      <c r="AY149" s="7">
        <v>4.2110000000000003</v>
      </c>
      <c r="AZ149" s="7">
        <v>0</v>
      </c>
      <c r="BA149" s="7">
        <v>-102.667</v>
      </c>
      <c r="BB149" s="7">
        <v>89.025000000000006</v>
      </c>
      <c r="BC149" s="7">
        <v>2.5179999999999998</v>
      </c>
      <c r="BD149" s="7">
        <v>0</v>
      </c>
      <c r="BE149" s="7">
        <v>25.24</v>
      </c>
      <c r="BF149" s="7">
        <v>25.24</v>
      </c>
      <c r="BG149" s="7">
        <v>0</v>
      </c>
      <c r="BH149" s="7">
        <v>-25.428000000000001</v>
      </c>
      <c r="BI149" s="7">
        <v>0.82</v>
      </c>
      <c r="BJ149" s="21"/>
    </row>
    <row r="150" spans="1:62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5803.4040000000005</v>
      </c>
      <c r="F150" s="7">
        <v>1043.855</v>
      </c>
      <c r="G150" s="7">
        <v>-794.90800000000002</v>
      </c>
      <c r="H150" s="7">
        <v>0</v>
      </c>
      <c r="I150" s="7">
        <v>18.754999999999999</v>
      </c>
      <c r="J150" s="7">
        <v>-228.23099999999999</v>
      </c>
      <c r="K150" s="7">
        <v>0</v>
      </c>
      <c r="L150" s="7">
        <v>14206.813</v>
      </c>
      <c r="M150" s="7">
        <v>-34.183</v>
      </c>
      <c r="N150" s="7">
        <v>0</v>
      </c>
      <c r="O150" s="7">
        <v>309.916</v>
      </c>
      <c r="P150" s="7">
        <v>0</v>
      </c>
      <c r="Q150" s="7">
        <v>-454.76900000000001</v>
      </c>
      <c r="R150" s="7">
        <v>-905.18899999999996</v>
      </c>
      <c r="S150" s="7">
        <v>305.238</v>
      </c>
      <c r="T150" s="7">
        <v>0</v>
      </c>
      <c r="U150" s="7">
        <v>0</v>
      </c>
      <c r="V150" s="7">
        <v>-60.539000000000001</v>
      </c>
      <c r="W150" s="7">
        <v>107.83799999999999</v>
      </c>
      <c r="X150" s="7">
        <v>1203.7840000000001</v>
      </c>
      <c r="Y150" s="7">
        <v>2719.9830000000002</v>
      </c>
      <c r="Z150" s="7">
        <v>-15544.526</v>
      </c>
      <c r="AA150" s="7">
        <v>-524.88599999999997</v>
      </c>
      <c r="AB150" s="7">
        <v>7085.1850000000004</v>
      </c>
      <c r="AC150" s="7">
        <v>108.541</v>
      </c>
      <c r="AD150" s="7">
        <v>-5402.2550000000001</v>
      </c>
      <c r="AE150" s="7">
        <v>6003.6710000000003</v>
      </c>
      <c r="AF150" s="7">
        <v>5748.6220000000003</v>
      </c>
      <c r="AG150" s="7">
        <v>-18305.662</v>
      </c>
      <c r="AH150" s="7">
        <v>23587.368999999999</v>
      </c>
      <c r="AI150" s="7">
        <v>8623.4940000000006</v>
      </c>
      <c r="AJ150" s="7">
        <v>-81068.880999999994</v>
      </c>
      <c r="AK150" s="7">
        <v>491781.13500000001</v>
      </c>
      <c r="AL150" s="7">
        <v>265501.93900000001</v>
      </c>
      <c r="AM150" s="7">
        <v>0</v>
      </c>
      <c r="AN150" s="7">
        <v>175556.08499999999</v>
      </c>
      <c r="AO150" s="7">
        <v>167.96100000000001</v>
      </c>
      <c r="AP150" s="7">
        <v>0</v>
      </c>
      <c r="AQ150" s="7">
        <v>2143.2570000000001</v>
      </c>
      <c r="AR150" s="7">
        <v>0</v>
      </c>
      <c r="AS150" s="7">
        <v>4.0019999999999998</v>
      </c>
      <c r="AT150" s="7">
        <v>0</v>
      </c>
      <c r="AU150" s="7">
        <v>27.306000000000001</v>
      </c>
      <c r="AV150" s="7">
        <v>0</v>
      </c>
      <c r="AW150" s="7">
        <v>0</v>
      </c>
      <c r="AX150" s="7">
        <v>1372.307</v>
      </c>
      <c r="AY150" s="7">
        <v>0</v>
      </c>
      <c r="AZ150" s="7">
        <v>0</v>
      </c>
      <c r="BA150" s="7">
        <v>1007.605</v>
      </c>
      <c r="BB150" s="7">
        <v>57.860999999999997</v>
      </c>
      <c r="BC150" s="7">
        <v>0</v>
      </c>
      <c r="BD150" s="7">
        <v>0</v>
      </c>
      <c r="BE150" s="7">
        <v>17.068999999999999</v>
      </c>
      <c r="BF150" s="7">
        <v>17.068999999999999</v>
      </c>
      <c r="BG150" s="7">
        <v>0</v>
      </c>
      <c r="BH150" s="7">
        <v>-50024.224000000002</v>
      </c>
      <c r="BI150" s="7">
        <v>0</v>
      </c>
      <c r="BJ150" s="21"/>
    </row>
    <row r="151" spans="1:62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1415.8789999999999</v>
      </c>
      <c r="F153" s="7">
        <v>1104.7929999999999</v>
      </c>
      <c r="G153" s="7">
        <v>844.27599999999995</v>
      </c>
      <c r="H153" s="7">
        <v>3.7999999999999999E-2</v>
      </c>
      <c r="I153" s="7">
        <v>82.177999999999997</v>
      </c>
      <c r="J153" s="7">
        <v>848.29700000000003</v>
      </c>
      <c r="K153" s="7">
        <v>0</v>
      </c>
      <c r="L153" s="7">
        <v>3070.2170000000001</v>
      </c>
      <c r="M153" s="7">
        <v>835.69799999999998</v>
      </c>
      <c r="N153" s="7">
        <v>0</v>
      </c>
      <c r="O153" s="7">
        <v>0</v>
      </c>
      <c r="P153" s="7">
        <v>2E-3</v>
      </c>
      <c r="Q153" s="7">
        <v>1004.877</v>
      </c>
      <c r="R153" s="7">
        <v>1628.4159999999999</v>
      </c>
      <c r="S153" s="7">
        <v>449.654</v>
      </c>
      <c r="T153" s="7">
        <v>0</v>
      </c>
      <c r="U153" s="7">
        <v>0</v>
      </c>
      <c r="V153" s="7">
        <v>169.11600000000001</v>
      </c>
      <c r="W153" s="7">
        <v>17.681000000000001</v>
      </c>
      <c r="X153" s="7">
        <v>0</v>
      </c>
      <c r="Y153" s="7">
        <v>494.70400000000001</v>
      </c>
      <c r="Z153" s="7">
        <v>30301.437999999998</v>
      </c>
      <c r="AA153" s="7">
        <v>2602.5219999999999</v>
      </c>
      <c r="AB153" s="7">
        <v>0</v>
      </c>
      <c r="AC153" s="7">
        <v>273.33499999999998</v>
      </c>
      <c r="AD153" s="7">
        <v>7988.0439999999999</v>
      </c>
      <c r="AE153" s="7">
        <v>2998.8760000000002</v>
      </c>
      <c r="AF153" s="7">
        <v>15.359</v>
      </c>
      <c r="AG153" s="7">
        <v>28188.796999999999</v>
      </c>
      <c r="AH153" s="7">
        <v>5103.5150000000003</v>
      </c>
      <c r="AI153" s="7">
        <v>1.0999999999999999E-2</v>
      </c>
      <c r="AJ153" s="7">
        <v>157812.43799999999</v>
      </c>
      <c r="AK153" s="7">
        <v>0</v>
      </c>
      <c r="AL153" s="7">
        <v>0</v>
      </c>
      <c r="AM153" s="7">
        <v>0</v>
      </c>
      <c r="AN153" s="7">
        <v>0</v>
      </c>
      <c r="AO153" s="7">
        <v>430.62799999999999</v>
      </c>
      <c r="AP153" s="7">
        <v>0</v>
      </c>
      <c r="AQ153" s="7">
        <v>2.2629999999999999</v>
      </c>
      <c r="AR153" s="7">
        <v>0</v>
      </c>
      <c r="AS153" s="7">
        <v>1.5109999999999999</v>
      </c>
      <c r="AT153" s="7">
        <v>0</v>
      </c>
      <c r="AU153" s="7">
        <v>0.158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140.22399999999999</v>
      </c>
      <c r="BC153" s="7">
        <v>0</v>
      </c>
      <c r="BD153" s="7">
        <v>0</v>
      </c>
      <c r="BE153" s="7">
        <v>38.161000000000001</v>
      </c>
      <c r="BF153" s="7">
        <v>38.161000000000001</v>
      </c>
      <c r="BG153" s="7">
        <v>0</v>
      </c>
      <c r="BH153" s="7">
        <v>97080.441999999995</v>
      </c>
      <c r="BI153" s="7">
        <v>0</v>
      </c>
      <c r="BJ153" s="21"/>
    </row>
    <row r="154" spans="1:62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6727.5730000000003</v>
      </c>
      <c r="F154" s="7">
        <v>1249.5920000000001</v>
      </c>
      <c r="G154" s="7">
        <v>0</v>
      </c>
      <c r="H154" s="7">
        <v>0</v>
      </c>
      <c r="I154" s="7">
        <v>45.899000000000001</v>
      </c>
      <c r="J154" s="7">
        <v>0</v>
      </c>
      <c r="K154" s="7">
        <v>0</v>
      </c>
      <c r="L154" s="7">
        <v>15508.346</v>
      </c>
      <c r="M154" s="7">
        <v>990.05499999999995</v>
      </c>
      <c r="N154" s="7">
        <v>0</v>
      </c>
      <c r="O154" s="7">
        <v>0</v>
      </c>
      <c r="P154" s="7">
        <v>0.23899999999999999</v>
      </c>
      <c r="Q154" s="7">
        <v>0</v>
      </c>
      <c r="R154" s="7">
        <v>0</v>
      </c>
      <c r="S154" s="7">
        <v>415.35500000000002</v>
      </c>
      <c r="T154" s="7">
        <v>0</v>
      </c>
      <c r="U154" s="7">
        <v>0</v>
      </c>
      <c r="V154" s="7">
        <v>0</v>
      </c>
      <c r="W154" s="7">
        <v>141.245</v>
      </c>
      <c r="X154" s="7">
        <v>0</v>
      </c>
      <c r="Y154" s="7">
        <v>3113.1039999999998</v>
      </c>
      <c r="Z154" s="7">
        <v>0</v>
      </c>
      <c r="AA154" s="7">
        <v>0</v>
      </c>
      <c r="AB154" s="7">
        <v>0</v>
      </c>
      <c r="AC154" s="7">
        <v>247.685</v>
      </c>
      <c r="AD154" s="7">
        <v>0</v>
      </c>
      <c r="AE154" s="7">
        <v>7575.4170000000004</v>
      </c>
      <c r="AF154" s="7">
        <v>5155.43</v>
      </c>
      <c r="AG154" s="7">
        <v>0</v>
      </c>
      <c r="AH154" s="7">
        <v>26502.573</v>
      </c>
      <c r="AI154" s="7">
        <v>8619.6880000000001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244.26599999999999</v>
      </c>
      <c r="AP154" s="7">
        <v>0</v>
      </c>
      <c r="AQ154" s="7">
        <v>1914.2239999999999</v>
      </c>
      <c r="AR154" s="7">
        <v>0</v>
      </c>
      <c r="AS154" s="7">
        <v>3.9380000000000002</v>
      </c>
      <c r="AT154" s="7">
        <v>0</v>
      </c>
      <c r="AU154" s="7">
        <v>26.675000000000001</v>
      </c>
      <c r="AV154" s="7">
        <v>0</v>
      </c>
      <c r="AW154" s="7">
        <v>0</v>
      </c>
      <c r="AX154" s="7">
        <v>0</v>
      </c>
      <c r="AY154" s="7">
        <v>73.27</v>
      </c>
      <c r="AZ154" s="7">
        <v>2325.6889999999999</v>
      </c>
      <c r="BA154" s="7">
        <v>0</v>
      </c>
      <c r="BB154" s="7">
        <v>82.554000000000002</v>
      </c>
      <c r="BC154" s="7">
        <v>0</v>
      </c>
      <c r="BD154" s="7">
        <v>2716.2370000000001</v>
      </c>
      <c r="BE154" s="7">
        <v>22.125</v>
      </c>
      <c r="BF154" s="7">
        <v>22.125</v>
      </c>
      <c r="BG154" s="7">
        <v>937.529</v>
      </c>
      <c r="BH154" s="7">
        <v>0</v>
      </c>
      <c r="BI154" s="7">
        <v>0</v>
      </c>
      <c r="BJ154" s="21"/>
    </row>
    <row r="155" spans="1:62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-0.154</v>
      </c>
      <c r="F158" s="7">
        <v>-2.9000000000000001E-2</v>
      </c>
      <c r="G158" s="7">
        <v>0</v>
      </c>
      <c r="H158" s="7">
        <v>0</v>
      </c>
      <c r="I158" s="7">
        <v>-1E-3</v>
      </c>
      <c r="J158" s="7">
        <v>0</v>
      </c>
      <c r="K158" s="7">
        <v>0</v>
      </c>
      <c r="L158" s="7">
        <v>-0.35599999999999998</v>
      </c>
      <c r="M158" s="7">
        <v>-2.3E-2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-0.01</v>
      </c>
      <c r="T158" s="7">
        <v>0</v>
      </c>
      <c r="U158" s="7">
        <v>0</v>
      </c>
      <c r="V158" s="7">
        <v>0</v>
      </c>
      <c r="W158" s="7">
        <v>-3.0000000000000001E-3</v>
      </c>
      <c r="X158" s="7">
        <v>0</v>
      </c>
      <c r="Y158" s="7">
        <v>-7.0999999999999994E-2</v>
      </c>
      <c r="Z158" s="7">
        <v>0</v>
      </c>
      <c r="AA158" s="7">
        <v>0</v>
      </c>
      <c r="AB158" s="7">
        <v>0</v>
      </c>
      <c r="AC158" s="7">
        <v>-6.0000000000000001E-3</v>
      </c>
      <c r="AD158" s="7">
        <v>0</v>
      </c>
      <c r="AE158" s="7">
        <v>-0.17399999999999999</v>
      </c>
      <c r="AF158" s="7">
        <v>-0.11799999999999999</v>
      </c>
      <c r="AG158" s="7">
        <v>0</v>
      </c>
      <c r="AH158" s="7">
        <v>-0.60899999999999999</v>
      </c>
      <c r="AI158" s="7">
        <v>-0.19800000000000001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-6.0000000000000001E-3</v>
      </c>
      <c r="AP158" s="7">
        <v>0</v>
      </c>
      <c r="AQ158" s="7">
        <v>-4.3999999999999997E-2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-2E-3</v>
      </c>
      <c r="AZ158" s="7">
        <v>-5.2999999999999999E-2</v>
      </c>
      <c r="BA158" s="7">
        <v>0</v>
      </c>
      <c r="BB158" s="7">
        <v>-2E-3</v>
      </c>
      <c r="BC158" s="7">
        <v>0</v>
      </c>
      <c r="BD158" s="7">
        <v>-6.2E-2</v>
      </c>
      <c r="BE158" s="7">
        <v>0</v>
      </c>
      <c r="BF158" s="7">
        <v>0</v>
      </c>
      <c r="BG158" s="7">
        <v>-2.1999999999999999E-2</v>
      </c>
      <c r="BH158" s="7">
        <v>0</v>
      </c>
      <c r="BI158" s="7">
        <v>0</v>
      </c>
      <c r="BJ158" s="21"/>
    </row>
    <row r="159" spans="1:62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3109.8110000000001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1335.4290000000001</v>
      </c>
      <c r="F166" s="7">
        <v>119.176</v>
      </c>
      <c r="G166" s="7">
        <v>168.52500000000001</v>
      </c>
      <c r="H166" s="7">
        <v>0</v>
      </c>
      <c r="I166" s="7">
        <v>29.367000000000001</v>
      </c>
      <c r="J166" s="7">
        <v>102.43899999999999</v>
      </c>
      <c r="K166" s="7">
        <v>0</v>
      </c>
      <c r="L166" s="7">
        <v>965.86900000000003</v>
      </c>
      <c r="M166" s="7">
        <v>455.74900000000002</v>
      </c>
      <c r="N166" s="7">
        <v>0</v>
      </c>
      <c r="O166" s="7">
        <v>0</v>
      </c>
      <c r="P166" s="7">
        <v>5.3220000000000001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16.309999999999999</v>
      </c>
      <c r="W166" s="7">
        <v>48.4</v>
      </c>
      <c r="X166" s="7">
        <v>0</v>
      </c>
      <c r="Y166" s="7">
        <v>382.20400000000001</v>
      </c>
      <c r="Z166" s="7">
        <v>0</v>
      </c>
      <c r="AA166" s="7">
        <v>132.96100000000001</v>
      </c>
      <c r="AB166" s="7">
        <v>0</v>
      </c>
      <c r="AC166" s="7">
        <v>20.975999999999999</v>
      </c>
      <c r="AD166" s="7">
        <v>0</v>
      </c>
      <c r="AE166" s="7">
        <v>1232.346</v>
      </c>
      <c r="AF166" s="7">
        <v>0</v>
      </c>
      <c r="AG166" s="7">
        <v>0</v>
      </c>
      <c r="AH166" s="7">
        <v>2804.01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-28.17</v>
      </c>
      <c r="F169" s="7">
        <v>-5.8440000000000003</v>
      </c>
      <c r="G169" s="7">
        <v>-3.214</v>
      </c>
      <c r="H169" s="7">
        <v>0</v>
      </c>
      <c r="I169" s="7">
        <v>-0.69699999999999995</v>
      </c>
      <c r="J169" s="7">
        <v>-2.532</v>
      </c>
      <c r="K169" s="7">
        <v>0</v>
      </c>
      <c r="L169" s="7">
        <v>-43.277000000000001</v>
      </c>
      <c r="M169" s="7">
        <v>-12.083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-1.7629999999999999</v>
      </c>
      <c r="T169" s="7">
        <v>0</v>
      </c>
      <c r="U169" s="7">
        <v>0</v>
      </c>
      <c r="V169" s="7">
        <v>-0.39400000000000002</v>
      </c>
      <c r="W169" s="7">
        <v>-1.1639999999999999</v>
      </c>
      <c r="X169" s="7">
        <v>0</v>
      </c>
      <c r="Y169" s="7">
        <v>-10.852</v>
      </c>
      <c r="Z169" s="7">
        <v>0</v>
      </c>
      <c r="AA169" s="7">
        <v>-3.0750000000000002</v>
      </c>
      <c r="AB169" s="7">
        <v>0</v>
      </c>
      <c r="AC169" s="7">
        <v>-0.98699999999999999</v>
      </c>
      <c r="AD169" s="7">
        <v>0</v>
      </c>
      <c r="AE169" s="7">
        <v>-27.341000000000001</v>
      </c>
      <c r="AF169" s="7">
        <v>-11.156000000000001</v>
      </c>
      <c r="AG169" s="7">
        <v>0</v>
      </c>
      <c r="AH169" s="7">
        <v>-88.072999999999993</v>
      </c>
      <c r="AI169" s="7">
        <v>-16.736000000000001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-0.83499999999999996</v>
      </c>
      <c r="AP169" s="7">
        <v>0</v>
      </c>
      <c r="AQ169" s="7">
        <v>-4.1589999999999998</v>
      </c>
      <c r="AR169" s="7">
        <v>0</v>
      </c>
      <c r="AS169" s="7">
        <v>-0.01</v>
      </c>
      <c r="AT169" s="7">
        <v>0</v>
      </c>
      <c r="AU169" s="7">
        <v>-5.2999999999999999E-2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-0.28499999999999998</v>
      </c>
      <c r="BC169" s="7">
        <v>0</v>
      </c>
      <c r="BD169" s="7">
        <v>0</v>
      </c>
      <c r="BE169" s="7">
        <v>-9.4E-2</v>
      </c>
      <c r="BF169" s="7">
        <v>-9.4E-2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6072.9639999999999</v>
      </c>
      <c r="F172" s="7">
        <v>848.26700000000005</v>
      </c>
      <c r="G172" s="7">
        <v>0</v>
      </c>
      <c r="H172" s="7">
        <v>0</v>
      </c>
      <c r="I172" s="7">
        <v>31.689</v>
      </c>
      <c r="J172" s="7">
        <v>0</v>
      </c>
      <c r="K172" s="7">
        <v>0</v>
      </c>
      <c r="L172" s="7">
        <v>14005.56</v>
      </c>
      <c r="M172" s="7">
        <v>1535.8030000000001</v>
      </c>
      <c r="N172" s="7">
        <v>0</v>
      </c>
      <c r="O172" s="7">
        <v>0</v>
      </c>
      <c r="P172" s="7">
        <v>0.158</v>
      </c>
      <c r="Q172" s="7">
        <v>0</v>
      </c>
      <c r="R172" s="7">
        <v>0</v>
      </c>
      <c r="S172" s="7">
        <v>281.15800000000002</v>
      </c>
      <c r="T172" s="7">
        <v>0</v>
      </c>
      <c r="U172" s="7">
        <v>0</v>
      </c>
      <c r="V172" s="7">
        <v>0</v>
      </c>
      <c r="W172" s="7">
        <v>95.65</v>
      </c>
      <c r="X172" s="7">
        <v>0</v>
      </c>
      <c r="Y172" s="7">
        <v>2329.5909999999999</v>
      </c>
      <c r="Z172" s="7">
        <v>0</v>
      </c>
      <c r="AA172" s="7">
        <v>0</v>
      </c>
      <c r="AB172" s="7">
        <v>0</v>
      </c>
      <c r="AC172" s="7">
        <v>167.04900000000001</v>
      </c>
      <c r="AD172" s="7">
        <v>0</v>
      </c>
      <c r="AE172" s="7">
        <v>5030.8010000000004</v>
      </c>
      <c r="AF172" s="7">
        <v>3462.663</v>
      </c>
      <c r="AG172" s="7">
        <v>0</v>
      </c>
      <c r="AH172" s="7">
        <v>21821.155999999999</v>
      </c>
      <c r="AI172" s="7">
        <v>5788.4629999999997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162.29900000000001</v>
      </c>
      <c r="AP172" s="7">
        <v>0</v>
      </c>
      <c r="AQ172" s="7">
        <v>1276.25</v>
      </c>
      <c r="AR172" s="7">
        <v>0</v>
      </c>
      <c r="AS172" s="7">
        <v>2.6150000000000002</v>
      </c>
      <c r="AT172" s="7">
        <v>0</v>
      </c>
      <c r="AU172" s="7">
        <v>17.715</v>
      </c>
      <c r="AV172" s="7">
        <v>0</v>
      </c>
      <c r="AW172" s="7">
        <v>0</v>
      </c>
      <c r="AX172" s="7">
        <v>0</v>
      </c>
      <c r="AY172" s="7">
        <v>48.494</v>
      </c>
      <c r="AZ172" s="7">
        <v>1539.4269999999999</v>
      </c>
      <c r="BA172" s="7">
        <v>0</v>
      </c>
      <c r="BB172" s="7">
        <v>54.850999999999999</v>
      </c>
      <c r="BC172" s="7">
        <v>0</v>
      </c>
      <c r="BD172" s="7">
        <v>1797.9380000000001</v>
      </c>
      <c r="BE172" s="7">
        <v>14.702</v>
      </c>
      <c r="BF172" s="7">
        <v>14.702</v>
      </c>
      <c r="BG172" s="7">
        <v>620.57000000000005</v>
      </c>
      <c r="BH172" s="7">
        <v>0</v>
      </c>
      <c r="BI172" s="7">
        <v>0</v>
      </c>
      <c r="BJ172" s="21"/>
    </row>
    <row r="173" spans="1:62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-6702.8819999999996</v>
      </c>
      <c r="F177" s="7">
        <v>-703.60500000000002</v>
      </c>
      <c r="G177" s="7">
        <v>0</v>
      </c>
      <c r="H177" s="7">
        <v>0</v>
      </c>
      <c r="I177" s="7">
        <v>-26.37</v>
      </c>
      <c r="J177" s="7">
        <v>0</v>
      </c>
      <c r="K177" s="7">
        <v>0</v>
      </c>
      <c r="L177" s="7">
        <v>-15468.264999999999</v>
      </c>
      <c r="M177" s="7">
        <v>-2181.6120000000001</v>
      </c>
      <c r="N177" s="7">
        <v>0</v>
      </c>
      <c r="O177" s="7">
        <v>0</v>
      </c>
      <c r="P177" s="7">
        <v>-0.128</v>
      </c>
      <c r="Q177" s="7">
        <v>0</v>
      </c>
      <c r="R177" s="7">
        <v>0</v>
      </c>
      <c r="S177" s="7">
        <v>-232.82900000000001</v>
      </c>
      <c r="T177" s="7">
        <v>0</v>
      </c>
      <c r="U177" s="7">
        <v>0</v>
      </c>
      <c r="V177" s="7">
        <v>0</v>
      </c>
      <c r="W177" s="7">
        <v>-79.129000000000005</v>
      </c>
      <c r="X177" s="7">
        <v>0</v>
      </c>
      <c r="Y177" s="7">
        <v>-2193.71</v>
      </c>
      <c r="Z177" s="7">
        <v>0</v>
      </c>
      <c r="AA177" s="7">
        <v>0</v>
      </c>
      <c r="AB177" s="7">
        <v>0</v>
      </c>
      <c r="AC177" s="7">
        <v>-138.07300000000001</v>
      </c>
      <c r="AD177" s="7">
        <v>0</v>
      </c>
      <c r="AE177" s="7">
        <v>-4131.5190000000002</v>
      </c>
      <c r="AF177" s="7">
        <v>-2860.2109999999998</v>
      </c>
      <c r="AG177" s="7">
        <v>0</v>
      </c>
      <c r="AH177" s="7">
        <v>-22005.856</v>
      </c>
      <c r="AI177" s="7">
        <v>-4775.8940000000002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-133.535</v>
      </c>
      <c r="AP177" s="7">
        <v>0</v>
      </c>
      <c r="AQ177" s="7">
        <v>-1050.7370000000001</v>
      </c>
      <c r="AR177" s="7">
        <v>0</v>
      </c>
      <c r="AS177" s="7">
        <v>-2.149</v>
      </c>
      <c r="AT177" s="7">
        <v>0</v>
      </c>
      <c r="AU177" s="7">
        <v>-14.544</v>
      </c>
      <c r="AV177" s="7">
        <v>0</v>
      </c>
      <c r="AW177" s="7">
        <v>0</v>
      </c>
      <c r="AX177" s="7">
        <v>0</v>
      </c>
      <c r="AY177" s="7">
        <v>-39.369999999999997</v>
      </c>
      <c r="AZ177" s="7">
        <v>-1249.7940000000001</v>
      </c>
      <c r="BA177" s="7">
        <v>0</v>
      </c>
      <c r="BB177" s="7">
        <v>-45.13</v>
      </c>
      <c r="BC177" s="7">
        <v>0</v>
      </c>
      <c r="BD177" s="7">
        <v>-1459.6669999999999</v>
      </c>
      <c r="BE177" s="7">
        <v>-12.106</v>
      </c>
      <c r="BF177" s="7">
        <v>-12.106</v>
      </c>
      <c r="BG177" s="7">
        <v>-503.81299999999999</v>
      </c>
      <c r="BH177" s="7">
        <v>0</v>
      </c>
      <c r="BI177" s="7">
        <v>0</v>
      </c>
      <c r="BJ177" s="21"/>
    </row>
    <row r="178" spans="1:62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-31.367999999999999</v>
      </c>
      <c r="F181" s="7">
        <v>-2.2599999999999998</v>
      </c>
      <c r="G181" s="7">
        <v>-5.5510000000000002</v>
      </c>
      <c r="H181" s="7">
        <v>0</v>
      </c>
      <c r="I181" s="7">
        <v>-0.78400000000000003</v>
      </c>
      <c r="J181" s="7">
        <v>-3.7090000000000001</v>
      </c>
      <c r="K181" s="7">
        <v>0</v>
      </c>
      <c r="L181" s="7">
        <v>-8.4529999999999994</v>
      </c>
      <c r="M181" s="7">
        <v>-8.9640000000000004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-0.69799999999999995</v>
      </c>
      <c r="T181" s="7">
        <v>0</v>
      </c>
      <c r="U181" s="7">
        <v>0</v>
      </c>
      <c r="V181" s="7">
        <v>-0.45300000000000001</v>
      </c>
      <c r="W181" s="7">
        <v>-0.77700000000000002</v>
      </c>
      <c r="X181" s="7">
        <v>0</v>
      </c>
      <c r="Y181" s="7">
        <v>-5.6230000000000002</v>
      </c>
      <c r="Z181" s="7">
        <v>0</v>
      </c>
      <c r="AA181" s="7">
        <v>-8.4649999999999999</v>
      </c>
      <c r="AB181" s="7">
        <v>0</v>
      </c>
      <c r="AC181" s="7">
        <v>-0.33100000000000002</v>
      </c>
      <c r="AD181" s="7">
        <v>-0.17899999999999999</v>
      </c>
      <c r="AE181" s="7">
        <v>-14.422000000000001</v>
      </c>
      <c r="AF181" s="7">
        <v>0</v>
      </c>
      <c r="AG181" s="7">
        <v>-0.65400000000000003</v>
      </c>
      <c r="AH181" s="7">
        <v>-33.384999999999998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-0.41299999999999998</v>
      </c>
      <c r="AP181" s="7">
        <v>0</v>
      </c>
      <c r="AQ181" s="7">
        <v>0</v>
      </c>
      <c r="AR181" s="7">
        <v>0</v>
      </c>
      <c r="AS181" s="7">
        <v>-0.02</v>
      </c>
      <c r="AT181" s="7">
        <v>0</v>
      </c>
      <c r="AU181" s="7">
        <v>-0.38900000000000001</v>
      </c>
      <c r="AV181" s="7">
        <v>0</v>
      </c>
      <c r="AW181" s="7">
        <v>0</v>
      </c>
      <c r="AX181" s="7">
        <v>0</v>
      </c>
      <c r="AY181" s="7">
        <v>-0.248</v>
      </c>
      <c r="AZ181" s="7">
        <v>0</v>
      </c>
      <c r="BA181" s="7">
        <v>0</v>
      </c>
      <c r="BB181" s="7">
        <v>-0.14599999999999999</v>
      </c>
      <c r="BC181" s="7">
        <v>-0.14799999999999999</v>
      </c>
      <c r="BD181" s="7">
        <v>0</v>
      </c>
      <c r="BE181" s="7">
        <v>-3.6999999999999998E-2</v>
      </c>
      <c r="BF181" s="7">
        <v>-3.6999999999999998E-2</v>
      </c>
      <c r="BG181" s="7">
        <v>0</v>
      </c>
      <c r="BH181" s="7">
        <v>0</v>
      </c>
      <c r="BI181" s="7">
        <v>-4.8000000000000001E-2</v>
      </c>
      <c r="BJ181" s="21"/>
    </row>
    <row r="182" spans="1:62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0.26700000000000002</v>
      </c>
      <c r="F182" s="7">
        <v>0.05</v>
      </c>
      <c r="G182" s="7">
        <v>0</v>
      </c>
      <c r="H182" s="7">
        <v>0</v>
      </c>
      <c r="I182" s="7">
        <v>2E-3</v>
      </c>
      <c r="J182" s="7">
        <v>0</v>
      </c>
      <c r="K182" s="7">
        <v>0</v>
      </c>
      <c r="L182" s="7">
        <v>0.61499999999999999</v>
      </c>
      <c r="M182" s="7">
        <v>3.9E-2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1.6E-2</v>
      </c>
      <c r="T182" s="7">
        <v>0</v>
      </c>
      <c r="U182" s="7">
        <v>0</v>
      </c>
      <c r="V182" s="7">
        <v>0</v>
      </c>
      <c r="W182" s="7">
        <v>6.0000000000000001E-3</v>
      </c>
      <c r="X182" s="7">
        <v>0</v>
      </c>
      <c r="Y182" s="7">
        <v>0.123</v>
      </c>
      <c r="Z182" s="7">
        <v>0</v>
      </c>
      <c r="AA182" s="7">
        <v>0</v>
      </c>
      <c r="AB182" s="7">
        <v>0</v>
      </c>
      <c r="AC182" s="7">
        <v>0.01</v>
      </c>
      <c r="AD182" s="7">
        <v>0</v>
      </c>
      <c r="AE182" s="7">
        <v>0.3</v>
      </c>
      <c r="AF182" s="7">
        <v>0.20399999999999999</v>
      </c>
      <c r="AG182" s="7">
        <v>0</v>
      </c>
      <c r="AH182" s="7">
        <v>1.0509999999999999</v>
      </c>
      <c r="AI182" s="7">
        <v>0.34200000000000003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0.01</v>
      </c>
      <c r="AP182" s="7">
        <v>0</v>
      </c>
      <c r="AQ182" s="7">
        <v>7.5999999999999998E-2</v>
      </c>
      <c r="AR182" s="7">
        <v>0</v>
      </c>
      <c r="AS182" s="7">
        <v>0</v>
      </c>
      <c r="AT182" s="7">
        <v>0</v>
      </c>
      <c r="AU182" s="7">
        <v>1E-3</v>
      </c>
      <c r="AV182" s="7">
        <v>0</v>
      </c>
      <c r="AW182" s="7">
        <v>0</v>
      </c>
      <c r="AX182" s="7">
        <v>0</v>
      </c>
      <c r="AY182" s="7">
        <v>3.0000000000000001E-3</v>
      </c>
      <c r="AZ182" s="7">
        <v>9.1999999999999998E-2</v>
      </c>
      <c r="BA182" s="7">
        <v>0</v>
      </c>
      <c r="BB182" s="7">
        <v>3.0000000000000001E-3</v>
      </c>
      <c r="BC182" s="7">
        <v>0</v>
      </c>
      <c r="BD182" s="7">
        <v>0.108</v>
      </c>
      <c r="BE182" s="7">
        <v>0</v>
      </c>
      <c r="BF182" s="7">
        <v>0</v>
      </c>
      <c r="BG182" s="7">
        <v>3.6999999999999998E-2</v>
      </c>
      <c r="BH182" s="7">
        <v>0</v>
      </c>
      <c r="BI182" s="7">
        <v>0</v>
      </c>
      <c r="BJ182" s="21"/>
    </row>
    <row r="183" spans="1:62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2195.239</v>
      </c>
      <c r="F186" s="7">
        <v>195.90899999999999</v>
      </c>
      <c r="G186" s="7">
        <v>277.029</v>
      </c>
      <c r="H186" s="7">
        <v>0</v>
      </c>
      <c r="I186" s="7">
        <v>48.274000000000001</v>
      </c>
      <c r="J186" s="7">
        <v>168.392</v>
      </c>
      <c r="K186" s="7">
        <v>0</v>
      </c>
      <c r="L186" s="7">
        <v>1587.7439999999999</v>
      </c>
      <c r="M186" s="7">
        <v>749.18</v>
      </c>
      <c r="N186" s="7">
        <v>0</v>
      </c>
      <c r="O186" s="7">
        <v>0</v>
      </c>
      <c r="P186" s="7">
        <v>8.7469999999999999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26.81</v>
      </c>
      <c r="W186" s="7">
        <v>79.563999999999993</v>
      </c>
      <c r="X186" s="7">
        <v>0</v>
      </c>
      <c r="Y186" s="7">
        <v>628.28599999999994</v>
      </c>
      <c r="Z186" s="7">
        <v>0</v>
      </c>
      <c r="AA186" s="7">
        <v>218.566</v>
      </c>
      <c r="AB186" s="7">
        <v>0</v>
      </c>
      <c r="AC186" s="7">
        <v>34.478000000000002</v>
      </c>
      <c r="AD186" s="7">
        <v>0</v>
      </c>
      <c r="AE186" s="7">
        <v>2025.79</v>
      </c>
      <c r="AF186" s="7">
        <v>0</v>
      </c>
      <c r="AG186" s="7">
        <v>0</v>
      </c>
      <c r="AH186" s="7">
        <v>4609.366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28.872</v>
      </c>
      <c r="F194" s="7">
        <v>2.544</v>
      </c>
      <c r="G194" s="7">
        <v>7.3929999999999998</v>
      </c>
      <c r="H194" s="7">
        <v>0</v>
      </c>
      <c r="I194" s="7">
        <v>0.64200000000000002</v>
      </c>
      <c r="J194" s="7">
        <v>5.6059999999999999</v>
      </c>
      <c r="K194" s="7">
        <v>0</v>
      </c>
      <c r="L194" s="7">
        <v>10.891</v>
      </c>
      <c r="M194" s="7">
        <v>17.274999999999999</v>
      </c>
      <c r="N194" s="7">
        <v>0</v>
      </c>
      <c r="O194" s="7">
        <v>0</v>
      </c>
      <c r="P194" s="7">
        <v>1E-3</v>
      </c>
      <c r="Q194" s="7">
        <v>0</v>
      </c>
      <c r="R194" s="7">
        <v>0</v>
      </c>
      <c r="S194" s="7">
        <v>0.94399999999999995</v>
      </c>
      <c r="T194" s="7">
        <v>0</v>
      </c>
      <c r="U194" s="7">
        <v>0</v>
      </c>
      <c r="V194" s="7">
        <v>0.69699999999999995</v>
      </c>
      <c r="W194" s="7">
        <v>1.7450000000000001</v>
      </c>
      <c r="X194" s="7">
        <v>0</v>
      </c>
      <c r="Y194" s="7">
        <v>4.8600000000000003</v>
      </c>
      <c r="Z194" s="7">
        <v>0</v>
      </c>
      <c r="AA194" s="7">
        <v>9.1120000000000001</v>
      </c>
      <c r="AB194" s="7">
        <v>0</v>
      </c>
      <c r="AC194" s="7">
        <v>0.52100000000000002</v>
      </c>
      <c r="AD194" s="7">
        <v>0</v>
      </c>
      <c r="AE194" s="7">
        <v>15.797000000000001</v>
      </c>
      <c r="AF194" s="7">
        <v>0</v>
      </c>
      <c r="AG194" s="7">
        <v>0</v>
      </c>
      <c r="AH194" s="7">
        <v>36.770000000000003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0.57999999999999996</v>
      </c>
      <c r="AP194" s="7">
        <v>0</v>
      </c>
      <c r="AQ194" s="7">
        <v>0</v>
      </c>
      <c r="AR194" s="7">
        <v>0</v>
      </c>
      <c r="AS194" s="7">
        <v>4.0000000000000001E-3</v>
      </c>
      <c r="AT194" s="7">
        <v>0</v>
      </c>
      <c r="AU194" s="7">
        <v>0.20399999999999999</v>
      </c>
      <c r="AV194" s="7">
        <v>0</v>
      </c>
      <c r="AW194" s="7">
        <v>0</v>
      </c>
      <c r="AX194" s="7">
        <v>0</v>
      </c>
      <c r="AY194" s="7">
        <v>0.39900000000000002</v>
      </c>
      <c r="AZ194" s="7">
        <v>0</v>
      </c>
      <c r="BA194" s="7">
        <v>0</v>
      </c>
      <c r="BB194" s="7">
        <v>0.20200000000000001</v>
      </c>
      <c r="BC194" s="7">
        <v>0.30099999999999999</v>
      </c>
      <c r="BD194" s="7">
        <v>0</v>
      </c>
      <c r="BE194" s="7">
        <v>5.7000000000000002E-2</v>
      </c>
      <c r="BF194" s="7">
        <v>5.7000000000000002E-2</v>
      </c>
      <c r="BG194" s="7">
        <v>0</v>
      </c>
      <c r="BH194" s="7">
        <v>0</v>
      </c>
      <c r="BI194" s="7">
        <v>9.9000000000000005E-2</v>
      </c>
      <c r="BJ194" s="21"/>
    </row>
    <row r="195" spans="1:62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54.066000000000003</v>
      </c>
      <c r="R195" s="7">
        <v>159.60900000000001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148.93100000000001</v>
      </c>
      <c r="F196" s="7">
        <v>0</v>
      </c>
      <c r="G196" s="7">
        <v>36.264000000000003</v>
      </c>
      <c r="H196" s="7">
        <v>0</v>
      </c>
      <c r="I196" s="7">
        <v>0</v>
      </c>
      <c r="J196" s="7">
        <v>63.08</v>
      </c>
      <c r="K196" s="7">
        <v>0</v>
      </c>
      <c r="L196" s="7">
        <v>535.67200000000003</v>
      </c>
      <c r="M196" s="7">
        <v>77.673000000000002</v>
      </c>
      <c r="N196" s="7">
        <v>0</v>
      </c>
      <c r="O196" s="7">
        <v>0</v>
      </c>
      <c r="P196" s="7">
        <v>0</v>
      </c>
      <c r="Q196" s="7">
        <v>38.304000000000002</v>
      </c>
      <c r="R196" s="7">
        <v>113.077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459.19799999999998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1233.0060000000001</v>
      </c>
      <c r="F214" s="7">
        <v>108.286</v>
      </c>
      <c r="G214" s="7">
        <v>163.25</v>
      </c>
      <c r="H214" s="7">
        <v>0.81699999999999995</v>
      </c>
      <c r="I214" s="7">
        <v>26.683</v>
      </c>
      <c r="J214" s="7">
        <v>95.936999999999998</v>
      </c>
      <c r="K214" s="7">
        <v>0</v>
      </c>
      <c r="L214" s="7">
        <v>900.02499999999998</v>
      </c>
      <c r="M214" s="7">
        <v>431.53699999999998</v>
      </c>
      <c r="N214" s="7">
        <v>0</v>
      </c>
      <c r="O214" s="7">
        <v>0</v>
      </c>
      <c r="P214" s="7">
        <v>4.8360000000000003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14.82</v>
      </c>
      <c r="W214" s="7">
        <v>43.978000000000002</v>
      </c>
      <c r="X214" s="7">
        <v>0</v>
      </c>
      <c r="Y214" s="7">
        <v>347.28</v>
      </c>
      <c r="Z214" s="7">
        <v>0</v>
      </c>
      <c r="AA214" s="7">
        <v>120.81100000000001</v>
      </c>
      <c r="AB214" s="7">
        <v>0</v>
      </c>
      <c r="AC214" s="7">
        <v>19.059000000000001</v>
      </c>
      <c r="AD214" s="7">
        <v>0</v>
      </c>
      <c r="AE214" s="7">
        <v>1119.74</v>
      </c>
      <c r="AF214" s="7">
        <v>0</v>
      </c>
      <c r="AG214" s="7">
        <v>0</v>
      </c>
      <c r="AH214" s="7">
        <v>2575.9749999999999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-1E-3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65341.872000000003</v>
      </c>
      <c r="F221" s="7">
        <v>12136.672</v>
      </c>
      <c r="G221" s="7">
        <v>0</v>
      </c>
      <c r="H221" s="7">
        <v>0</v>
      </c>
      <c r="I221" s="7">
        <v>445.81</v>
      </c>
      <c r="J221" s="7">
        <v>0</v>
      </c>
      <c r="K221" s="7">
        <v>0</v>
      </c>
      <c r="L221" s="7">
        <v>150625.45300000001</v>
      </c>
      <c r="M221" s="7">
        <v>9615.9789999999994</v>
      </c>
      <c r="N221" s="7">
        <v>0</v>
      </c>
      <c r="O221" s="7">
        <v>0</v>
      </c>
      <c r="P221" s="7">
        <v>2.3180000000000001</v>
      </c>
      <c r="Q221" s="7">
        <v>0</v>
      </c>
      <c r="R221" s="7">
        <v>0</v>
      </c>
      <c r="S221" s="7">
        <v>4034.2040000000002</v>
      </c>
      <c r="T221" s="7">
        <v>0</v>
      </c>
      <c r="U221" s="7">
        <v>0</v>
      </c>
      <c r="V221" s="7">
        <v>0</v>
      </c>
      <c r="W221" s="7">
        <v>1371.83</v>
      </c>
      <c r="X221" s="7">
        <v>0</v>
      </c>
      <c r="Y221" s="7">
        <v>30236.192999999999</v>
      </c>
      <c r="Z221" s="7">
        <v>0</v>
      </c>
      <c r="AA221" s="7">
        <v>0</v>
      </c>
      <c r="AB221" s="7">
        <v>0</v>
      </c>
      <c r="AC221" s="7">
        <v>2405.672</v>
      </c>
      <c r="AD221" s="7">
        <v>0</v>
      </c>
      <c r="AE221" s="7">
        <v>73576.531000000003</v>
      </c>
      <c r="AF221" s="7">
        <v>50072.375999999997</v>
      </c>
      <c r="AG221" s="7">
        <v>0</v>
      </c>
      <c r="AH221" s="7">
        <v>257407.386</v>
      </c>
      <c r="AI221" s="7">
        <v>83719.145000000004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2372.4340000000002</v>
      </c>
      <c r="AP221" s="7">
        <v>0</v>
      </c>
      <c r="AQ221" s="7">
        <v>18591.991000000002</v>
      </c>
      <c r="AR221" s="7">
        <v>0</v>
      </c>
      <c r="AS221" s="7">
        <v>38.231999999999999</v>
      </c>
      <c r="AT221" s="7">
        <v>0</v>
      </c>
      <c r="AU221" s="7">
        <v>259.11599999999999</v>
      </c>
      <c r="AV221" s="7">
        <v>0</v>
      </c>
      <c r="AW221" s="7">
        <v>0</v>
      </c>
      <c r="AX221" s="7">
        <v>0</v>
      </c>
      <c r="AY221" s="7">
        <v>711.56700000000001</v>
      </c>
      <c r="AZ221" s="7">
        <v>22588.412</v>
      </c>
      <c r="BA221" s="7">
        <v>0</v>
      </c>
      <c r="BB221" s="7">
        <v>801.798</v>
      </c>
      <c r="BC221" s="7">
        <v>0</v>
      </c>
      <c r="BD221" s="7">
        <v>26381.599999999999</v>
      </c>
      <c r="BE221" s="7">
        <v>214.86199999999999</v>
      </c>
      <c r="BF221" s="7">
        <v>214.86199999999999</v>
      </c>
      <c r="BG221" s="7">
        <v>9105.7800000000007</v>
      </c>
      <c r="BH221" s="7">
        <v>0</v>
      </c>
      <c r="BI221" s="7">
        <v>0</v>
      </c>
      <c r="BJ221" s="21"/>
    </row>
    <row r="222" spans="1:62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1979.335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90.741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468.74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367.78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6.0000000000000001E-3</v>
      </c>
      <c r="J258" s="7">
        <v>0</v>
      </c>
      <c r="K258" s="7">
        <v>0</v>
      </c>
      <c r="L258" s="7">
        <v>3.5999999999999997E-2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4.1000000000000002E-2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183.874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1451.627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3197.683</v>
      </c>
      <c r="F278" s="7">
        <v>2229.0450000000001</v>
      </c>
      <c r="G278" s="7">
        <v>152.452</v>
      </c>
      <c r="H278" s="7">
        <v>0.10100000000000001</v>
      </c>
      <c r="I278" s="7">
        <v>197.26</v>
      </c>
      <c r="J278" s="7">
        <v>1655.6690000000001</v>
      </c>
      <c r="K278" s="7">
        <v>0</v>
      </c>
      <c r="L278" s="7">
        <v>4777.665</v>
      </c>
      <c r="M278" s="7">
        <v>4967.1809999999996</v>
      </c>
      <c r="N278" s="7">
        <v>0</v>
      </c>
      <c r="O278" s="7">
        <v>0</v>
      </c>
      <c r="P278" s="7">
        <v>7.0000000000000001E-3</v>
      </c>
      <c r="Q278" s="7">
        <v>0</v>
      </c>
      <c r="R278" s="7">
        <v>0</v>
      </c>
      <c r="S278" s="7">
        <v>893.30899999999997</v>
      </c>
      <c r="T278" s="7">
        <v>0</v>
      </c>
      <c r="U278" s="7">
        <v>0</v>
      </c>
      <c r="V278" s="7">
        <v>290.46300000000002</v>
      </c>
      <c r="W278" s="7">
        <v>2.948</v>
      </c>
      <c r="X278" s="7">
        <v>0</v>
      </c>
      <c r="Y278" s="7">
        <v>129.655</v>
      </c>
      <c r="Z278" s="7">
        <v>0</v>
      </c>
      <c r="AA278" s="7">
        <v>5541.2250000000004</v>
      </c>
      <c r="AB278" s="7">
        <v>0</v>
      </c>
      <c r="AC278" s="7">
        <v>371.23599999999999</v>
      </c>
      <c r="AD278" s="7">
        <v>0</v>
      </c>
      <c r="AE278" s="7">
        <v>1142.692</v>
      </c>
      <c r="AF278" s="7">
        <v>40.862000000000002</v>
      </c>
      <c r="AG278" s="7">
        <v>0</v>
      </c>
      <c r="AH278" s="7">
        <v>7754.866</v>
      </c>
      <c r="AI278" s="7">
        <v>0.03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805.04899999999998</v>
      </c>
      <c r="AP278" s="7">
        <v>0</v>
      </c>
      <c r="AQ278" s="7">
        <v>6.0190000000000001</v>
      </c>
      <c r="AR278" s="7">
        <v>0</v>
      </c>
      <c r="AS278" s="7">
        <v>3.1139999999999999</v>
      </c>
      <c r="AT278" s="7">
        <v>0</v>
      </c>
      <c r="AU278" s="7">
        <v>0.42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260.86500000000001</v>
      </c>
      <c r="BC278" s="7">
        <v>0</v>
      </c>
      <c r="BD278" s="7">
        <v>0</v>
      </c>
      <c r="BE278" s="7">
        <v>71.213999999999999</v>
      </c>
      <c r="BF278" s="7">
        <v>71.213999999999999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65.89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151340.18900000001</v>
      </c>
      <c r="F280" s="7">
        <v>0</v>
      </c>
      <c r="G280" s="7">
        <v>12427.315000000001</v>
      </c>
      <c r="H280" s="7">
        <v>73.14</v>
      </c>
      <c r="I280" s="7">
        <v>0</v>
      </c>
      <c r="J280" s="7">
        <v>34517.180999999997</v>
      </c>
      <c r="K280" s="7">
        <v>18534.526999999998</v>
      </c>
      <c r="L280" s="7">
        <v>102382.59699999999</v>
      </c>
      <c r="M280" s="7">
        <v>196181.40400000001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2577.8139999999999</v>
      </c>
      <c r="V280" s="7">
        <v>5289.4350000000004</v>
      </c>
      <c r="W280" s="7">
        <v>11330.45</v>
      </c>
      <c r="X280" s="7">
        <v>0</v>
      </c>
      <c r="Y280" s="7">
        <v>27496.457999999999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72076.338000000003</v>
      </c>
      <c r="AF280" s="7">
        <v>7701.3329999999996</v>
      </c>
      <c r="AG280" s="7">
        <v>11568.279</v>
      </c>
      <c r="AH280" s="7">
        <v>465926.929</v>
      </c>
      <c r="AI280" s="7">
        <v>106564.482</v>
      </c>
      <c r="AJ280" s="7">
        <v>11.111000000000001</v>
      </c>
      <c r="AK280" s="7">
        <v>268.89400000000001</v>
      </c>
      <c r="AL280" s="7">
        <v>113.85299999999999</v>
      </c>
      <c r="AM280" s="7">
        <v>666.37199999999996</v>
      </c>
      <c r="AN280" s="7">
        <v>111.746</v>
      </c>
      <c r="AO280" s="7">
        <v>0</v>
      </c>
      <c r="AP280" s="7">
        <v>0</v>
      </c>
      <c r="AQ280" s="7">
        <v>11194.611000000001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14607.130999999999</v>
      </c>
      <c r="F282" s="7">
        <v>1303.567</v>
      </c>
      <c r="G282" s="7">
        <v>1843.3530000000001</v>
      </c>
      <c r="H282" s="7">
        <v>0</v>
      </c>
      <c r="I282" s="7">
        <v>321.22000000000003</v>
      </c>
      <c r="J282" s="7">
        <v>1120.491</v>
      </c>
      <c r="K282" s="7">
        <v>0</v>
      </c>
      <c r="L282" s="7">
        <v>10564.83</v>
      </c>
      <c r="M282" s="7">
        <v>4985.049</v>
      </c>
      <c r="N282" s="7">
        <v>0</v>
      </c>
      <c r="O282" s="7">
        <v>0</v>
      </c>
      <c r="P282" s="7">
        <v>58.215000000000003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178.40199999999999</v>
      </c>
      <c r="W282" s="7">
        <v>529.40899999999999</v>
      </c>
      <c r="X282" s="7">
        <v>0</v>
      </c>
      <c r="Y282" s="7">
        <v>4180.6090000000004</v>
      </c>
      <c r="Z282" s="7">
        <v>0</v>
      </c>
      <c r="AA282" s="7">
        <v>1454.3430000000001</v>
      </c>
      <c r="AB282" s="7">
        <v>0</v>
      </c>
      <c r="AC282" s="7">
        <v>229.434</v>
      </c>
      <c r="AD282" s="7">
        <v>0</v>
      </c>
      <c r="AE282" s="7">
        <v>13479.599</v>
      </c>
      <c r="AF282" s="7">
        <v>0</v>
      </c>
      <c r="AG282" s="7">
        <v>0</v>
      </c>
      <c r="AH282" s="7">
        <v>30670.707999999999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75942.642000000007</v>
      </c>
      <c r="F286" s="7">
        <v>7153.9409999999998</v>
      </c>
      <c r="G286" s="7">
        <v>11113.178</v>
      </c>
      <c r="H286" s="7">
        <v>0</v>
      </c>
      <c r="I286" s="7">
        <v>1822.0239999999999</v>
      </c>
      <c r="J286" s="7">
        <v>6374.0870000000004</v>
      </c>
      <c r="K286" s="7">
        <v>0</v>
      </c>
      <c r="L286" s="7">
        <v>66054.269</v>
      </c>
      <c r="M286" s="7">
        <v>29772.812999999998</v>
      </c>
      <c r="N286" s="7">
        <v>0</v>
      </c>
      <c r="O286" s="7">
        <v>0</v>
      </c>
      <c r="P286" s="7">
        <v>355.029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834.447</v>
      </c>
      <c r="W286" s="7">
        <v>2476.2330000000002</v>
      </c>
      <c r="X286" s="7">
        <v>0</v>
      </c>
      <c r="Y286" s="7">
        <v>20017.613000000001</v>
      </c>
      <c r="Z286" s="7">
        <v>0</v>
      </c>
      <c r="AA286" s="7">
        <v>6802.4780000000001</v>
      </c>
      <c r="AB286" s="7">
        <v>0</v>
      </c>
      <c r="AC286" s="7">
        <v>1073.145</v>
      </c>
      <c r="AD286" s="7">
        <v>0</v>
      </c>
      <c r="AE286" s="7">
        <v>64896.144999999997</v>
      </c>
      <c r="AF286" s="7">
        <v>0</v>
      </c>
      <c r="AG286" s="7">
        <v>0</v>
      </c>
      <c r="AH286" s="7">
        <v>171382.22500000001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170026.59599999999</v>
      </c>
      <c r="F287" s="7">
        <v>16193.581</v>
      </c>
      <c r="G287" s="7">
        <v>24764.304</v>
      </c>
      <c r="H287" s="7">
        <v>0</v>
      </c>
      <c r="I287" s="7">
        <v>4329.1629999999996</v>
      </c>
      <c r="J287" s="7">
        <v>14512.182000000001</v>
      </c>
      <c r="K287" s="7">
        <v>0</v>
      </c>
      <c r="L287" s="7">
        <v>129121.129</v>
      </c>
      <c r="M287" s="7">
        <v>65925.816000000006</v>
      </c>
      <c r="N287" s="7">
        <v>0</v>
      </c>
      <c r="O287" s="7">
        <v>0</v>
      </c>
      <c r="P287" s="7">
        <v>785.65800000000002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1884.9390000000001</v>
      </c>
      <c r="W287" s="7">
        <v>5678.8689999999997</v>
      </c>
      <c r="X287" s="7">
        <v>0</v>
      </c>
      <c r="Y287" s="7">
        <v>44512.27</v>
      </c>
      <c r="Z287" s="7">
        <v>0</v>
      </c>
      <c r="AA287" s="7">
        <v>15636.74</v>
      </c>
      <c r="AB287" s="7">
        <v>0</v>
      </c>
      <c r="AC287" s="7">
        <v>2424.134</v>
      </c>
      <c r="AD287" s="7">
        <v>0</v>
      </c>
      <c r="AE287" s="7">
        <v>143425.91200000001</v>
      </c>
      <c r="AF287" s="7">
        <v>0</v>
      </c>
      <c r="AG287" s="7">
        <v>0</v>
      </c>
      <c r="AH287" s="7">
        <v>355741.71399999998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3.0000000000000001E-3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1175.885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3473.38</v>
      </c>
      <c r="M288" s="7">
        <v>171.75200000000001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1223.7750000000001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2568.2750000000001</v>
      </c>
      <c r="AF288" s="7">
        <v>0</v>
      </c>
      <c r="AG288" s="7">
        <v>0</v>
      </c>
      <c r="AH288" s="7">
        <v>7214.0529999999999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40190.409</v>
      </c>
      <c r="F289" s="7">
        <v>3469.1370000000002</v>
      </c>
      <c r="G289" s="7">
        <v>4905.6499999999996</v>
      </c>
      <c r="H289" s="7">
        <v>0</v>
      </c>
      <c r="I289" s="7">
        <v>854.851</v>
      </c>
      <c r="J289" s="7">
        <v>2981.924</v>
      </c>
      <c r="K289" s="7">
        <v>0</v>
      </c>
      <c r="L289" s="7">
        <v>29586.233</v>
      </c>
      <c r="M289" s="7">
        <v>14151.879000000001</v>
      </c>
      <c r="N289" s="7">
        <v>0</v>
      </c>
      <c r="O289" s="7">
        <v>0</v>
      </c>
      <c r="P289" s="7">
        <v>154.92400000000001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474.774</v>
      </c>
      <c r="W289" s="7">
        <v>1408.8969999999999</v>
      </c>
      <c r="X289" s="7">
        <v>0</v>
      </c>
      <c r="Y289" s="7">
        <v>11125.709000000001</v>
      </c>
      <c r="Z289" s="7">
        <v>0</v>
      </c>
      <c r="AA289" s="7">
        <v>3870.3910000000001</v>
      </c>
      <c r="AB289" s="7">
        <v>0</v>
      </c>
      <c r="AC289" s="7">
        <v>610.58500000000004</v>
      </c>
      <c r="AD289" s="7">
        <v>0</v>
      </c>
      <c r="AE289" s="7">
        <v>35872.784</v>
      </c>
      <c r="AF289" s="7">
        <v>0</v>
      </c>
      <c r="AG289" s="7">
        <v>0</v>
      </c>
      <c r="AH289" s="7">
        <v>82615.385999999999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51883.735999999997</v>
      </c>
      <c r="F290" s="7">
        <v>810.57600000000002</v>
      </c>
      <c r="G290" s="7">
        <v>1146.222</v>
      </c>
      <c r="H290" s="7">
        <v>8890.8490000000002</v>
      </c>
      <c r="I290" s="7">
        <v>199.739</v>
      </c>
      <c r="J290" s="7">
        <v>696.73699999999997</v>
      </c>
      <c r="K290" s="7">
        <v>0</v>
      </c>
      <c r="L290" s="7">
        <v>61486.461000000003</v>
      </c>
      <c r="M290" s="7">
        <v>11328.037</v>
      </c>
      <c r="N290" s="7">
        <v>0</v>
      </c>
      <c r="O290" s="7">
        <v>0</v>
      </c>
      <c r="P290" s="7">
        <v>36.198999999999998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110.93300000000001</v>
      </c>
      <c r="W290" s="7">
        <v>329.19400000000002</v>
      </c>
      <c r="X290" s="7">
        <v>0</v>
      </c>
      <c r="Y290" s="7">
        <v>20445.758000000002</v>
      </c>
      <c r="Z290" s="7">
        <v>0</v>
      </c>
      <c r="AA290" s="7">
        <v>1138.0519999999999</v>
      </c>
      <c r="AB290" s="7">
        <v>0</v>
      </c>
      <c r="AC290" s="7">
        <v>142.66499999999999</v>
      </c>
      <c r="AD290" s="7">
        <v>0</v>
      </c>
      <c r="AE290" s="7">
        <v>60566.453000000001</v>
      </c>
      <c r="AF290" s="7">
        <v>0</v>
      </c>
      <c r="AG290" s="7">
        <v>0</v>
      </c>
      <c r="AH290" s="7">
        <v>143967.70000000001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255172.848</v>
      </c>
      <c r="F293" s="7">
        <v>16775.331999999999</v>
      </c>
      <c r="G293" s="7">
        <v>19739.928</v>
      </c>
      <c r="H293" s="7">
        <v>0</v>
      </c>
      <c r="I293" s="7">
        <v>3481.105</v>
      </c>
      <c r="J293" s="7">
        <v>12383.634</v>
      </c>
      <c r="K293" s="7">
        <v>0</v>
      </c>
      <c r="L293" s="7">
        <v>155618.92199999999</v>
      </c>
      <c r="M293" s="7">
        <v>55587.614999999998</v>
      </c>
      <c r="N293" s="7">
        <v>0</v>
      </c>
      <c r="O293" s="7">
        <v>0</v>
      </c>
      <c r="P293" s="7">
        <v>409.29199999999997</v>
      </c>
      <c r="Q293" s="7">
        <v>0</v>
      </c>
      <c r="R293" s="7">
        <v>36.924999999999997</v>
      </c>
      <c r="S293" s="7">
        <v>0</v>
      </c>
      <c r="T293" s="7">
        <v>0</v>
      </c>
      <c r="U293" s="7">
        <v>0</v>
      </c>
      <c r="V293" s="7">
        <v>3039.2510000000002</v>
      </c>
      <c r="W293" s="7">
        <v>8553.8819999999996</v>
      </c>
      <c r="X293" s="7">
        <v>0</v>
      </c>
      <c r="Y293" s="7">
        <v>68692.615999999995</v>
      </c>
      <c r="Z293" s="7">
        <v>0</v>
      </c>
      <c r="AA293" s="7">
        <v>28732.923999999999</v>
      </c>
      <c r="AB293" s="7">
        <v>0</v>
      </c>
      <c r="AC293" s="7">
        <v>5060.4889999999996</v>
      </c>
      <c r="AD293" s="7">
        <v>0</v>
      </c>
      <c r="AE293" s="7">
        <v>200300.77100000001</v>
      </c>
      <c r="AF293" s="7">
        <v>0</v>
      </c>
      <c r="AG293" s="7">
        <v>0</v>
      </c>
      <c r="AH293" s="7">
        <v>537046.09100000001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25531.988000000001</v>
      </c>
      <c r="F294" s="7">
        <v>1045.796</v>
      </c>
      <c r="G294" s="7">
        <v>1295.24</v>
      </c>
      <c r="H294" s="7">
        <v>0</v>
      </c>
      <c r="I294" s="7">
        <v>227.60900000000001</v>
      </c>
      <c r="J294" s="7">
        <v>805.053</v>
      </c>
      <c r="K294" s="7">
        <v>0</v>
      </c>
      <c r="L294" s="7">
        <v>28963.458999999999</v>
      </c>
      <c r="M294" s="7">
        <v>7191.8249999999998</v>
      </c>
      <c r="N294" s="7">
        <v>0</v>
      </c>
      <c r="O294" s="7">
        <v>0</v>
      </c>
      <c r="P294" s="7">
        <v>31.032</v>
      </c>
      <c r="Q294" s="7">
        <v>0</v>
      </c>
      <c r="R294" s="7">
        <v>1.7030000000000001</v>
      </c>
      <c r="S294" s="7">
        <v>0</v>
      </c>
      <c r="T294" s="7">
        <v>0</v>
      </c>
      <c r="U294" s="7">
        <v>0</v>
      </c>
      <c r="V294" s="7">
        <v>177.404</v>
      </c>
      <c r="W294" s="7">
        <v>505.00200000000001</v>
      </c>
      <c r="X294" s="7">
        <v>0</v>
      </c>
      <c r="Y294" s="7">
        <v>4127.2349999999997</v>
      </c>
      <c r="Z294" s="7">
        <v>0</v>
      </c>
      <c r="AA294" s="7">
        <v>1628.662</v>
      </c>
      <c r="AB294" s="7">
        <v>0</v>
      </c>
      <c r="AC294" s="7">
        <v>281.26400000000001</v>
      </c>
      <c r="AD294" s="7">
        <v>0</v>
      </c>
      <c r="AE294" s="7">
        <v>14808.777</v>
      </c>
      <c r="AF294" s="7">
        <v>0</v>
      </c>
      <c r="AG294" s="7">
        <v>0</v>
      </c>
      <c r="AH294" s="7">
        <v>44881.161999999997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-69438.070999999996</v>
      </c>
      <c r="F322" s="7">
        <v>-15072.241</v>
      </c>
      <c r="G322" s="7">
        <v>-843.25900000000001</v>
      </c>
      <c r="H322" s="7">
        <v>0</v>
      </c>
      <c r="I322" s="7">
        <v>-459.875</v>
      </c>
      <c r="J322" s="7">
        <v>-664.27</v>
      </c>
      <c r="K322" s="7">
        <v>0</v>
      </c>
      <c r="L322" s="7">
        <v>-171062.91500000001</v>
      </c>
      <c r="M322" s="7">
        <v>-8461.5920000000006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-4794.3720000000003</v>
      </c>
      <c r="T322" s="7">
        <v>0</v>
      </c>
      <c r="U322" s="7">
        <v>0</v>
      </c>
      <c r="V322" s="7">
        <v>-103.30800000000001</v>
      </c>
      <c r="W322" s="7">
        <v>-1589.615</v>
      </c>
      <c r="X322" s="7">
        <v>0</v>
      </c>
      <c r="Y322" s="7">
        <v>-35527.461000000003</v>
      </c>
      <c r="Z322" s="7">
        <v>0</v>
      </c>
      <c r="AA322" s="7">
        <v>-806.84900000000005</v>
      </c>
      <c r="AB322" s="7">
        <v>0</v>
      </c>
      <c r="AC322" s="7">
        <v>-2770.7049999999999</v>
      </c>
      <c r="AD322" s="7">
        <v>0</v>
      </c>
      <c r="AE322" s="7">
        <v>-88799.047000000006</v>
      </c>
      <c r="AF322" s="7">
        <v>-62182.375</v>
      </c>
      <c r="AG322" s="7">
        <v>0</v>
      </c>
      <c r="AH322" s="7">
        <v>-289026.85499999998</v>
      </c>
      <c r="AI322" s="7">
        <v>-93279.625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-3283.2719999999999</v>
      </c>
      <c r="AP322" s="7">
        <v>0</v>
      </c>
      <c r="AQ322" s="7">
        <v>-23183.437999999998</v>
      </c>
      <c r="AR322" s="7">
        <v>0</v>
      </c>
      <c r="AS322" s="7">
        <v>-47.326999999999998</v>
      </c>
      <c r="AT322" s="7">
        <v>0</v>
      </c>
      <c r="AU322" s="7">
        <v>-295.37200000000001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-1110.2739999999999</v>
      </c>
      <c r="BC322" s="7">
        <v>0</v>
      </c>
      <c r="BD322" s="7">
        <v>0</v>
      </c>
      <c r="BE322" s="7">
        <v>-319.166</v>
      </c>
      <c r="BF322" s="7">
        <v>-319.166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-26319.967000000001</v>
      </c>
      <c r="F324" s="7">
        <v>-5743.107</v>
      </c>
      <c r="G324" s="7">
        <v>0</v>
      </c>
      <c r="H324" s="7">
        <v>0</v>
      </c>
      <c r="I324" s="7">
        <v>-117.471</v>
      </c>
      <c r="J324" s="7">
        <v>0</v>
      </c>
      <c r="K324" s="7">
        <v>0</v>
      </c>
      <c r="L324" s="7">
        <v>-67747.149999999994</v>
      </c>
      <c r="M324" s="7">
        <v>-2244.5279999999998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-1837.5619999999999</v>
      </c>
      <c r="T324" s="7">
        <v>0</v>
      </c>
      <c r="U324" s="7">
        <v>0</v>
      </c>
      <c r="V324" s="7">
        <v>0</v>
      </c>
      <c r="W324" s="7">
        <v>-544.71299999999997</v>
      </c>
      <c r="X324" s="7">
        <v>0</v>
      </c>
      <c r="Y324" s="7">
        <v>-13862.697</v>
      </c>
      <c r="Z324" s="7">
        <v>0</v>
      </c>
      <c r="AA324" s="7">
        <v>0</v>
      </c>
      <c r="AB324" s="7">
        <v>0</v>
      </c>
      <c r="AC324" s="7">
        <v>-1065.492</v>
      </c>
      <c r="AD324" s="7">
        <v>0</v>
      </c>
      <c r="AE324" s="7">
        <v>-34625.053</v>
      </c>
      <c r="AF324" s="7">
        <v>-25135.687000000002</v>
      </c>
      <c r="AG324" s="7">
        <v>0</v>
      </c>
      <c r="AH324" s="7">
        <v>-112801.019</v>
      </c>
      <c r="AI324" s="7">
        <v>-37705.981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-1299.8140000000001</v>
      </c>
      <c r="AP324" s="7">
        <v>0</v>
      </c>
      <c r="AQ324" s="7">
        <v>-9371.3310000000001</v>
      </c>
      <c r="AR324" s="7">
        <v>0</v>
      </c>
      <c r="AS324" s="7">
        <v>-19.001000000000001</v>
      </c>
      <c r="AT324" s="7">
        <v>0</v>
      </c>
      <c r="AU324" s="7">
        <v>-119.39700000000001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-439.23099999999999</v>
      </c>
      <c r="BC324" s="7">
        <v>0</v>
      </c>
      <c r="BD324" s="7">
        <v>0</v>
      </c>
      <c r="BE324" s="7">
        <v>-124.949</v>
      </c>
      <c r="BF324" s="7">
        <v>-124.949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64.631</v>
      </c>
      <c r="F325" s="7">
        <v>0</v>
      </c>
      <c r="G325" s="7">
        <v>0</v>
      </c>
      <c r="H325" s="7">
        <v>0</v>
      </c>
      <c r="I325" s="7">
        <v>91.159000000000006</v>
      </c>
      <c r="J325" s="7">
        <v>0</v>
      </c>
      <c r="K325" s="7">
        <v>0</v>
      </c>
      <c r="L325" s="7">
        <v>14686.291999999999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34933.305</v>
      </c>
      <c r="F335" s="7">
        <v>2735.703</v>
      </c>
      <c r="G335" s="7">
        <v>2480.1480000000001</v>
      </c>
      <c r="H335" s="7">
        <v>1633.105</v>
      </c>
      <c r="I335" s="7">
        <v>404.09899999999999</v>
      </c>
      <c r="J335" s="7">
        <v>1616.2919999999999</v>
      </c>
      <c r="K335" s="7">
        <v>0</v>
      </c>
      <c r="L335" s="7">
        <v>21799.103999999999</v>
      </c>
      <c r="M335" s="7">
        <v>6987.9120000000003</v>
      </c>
      <c r="N335" s="7">
        <v>0</v>
      </c>
      <c r="O335" s="7">
        <v>0.219</v>
      </c>
      <c r="P335" s="7">
        <v>21.501999999999999</v>
      </c>
      <c r="Q335" s="7">
        <v>9.0440000000000005</v>
      </c>
      <c r="R335" s="7">
        <v>40.247</v>
      </c>
      <c r="S335" s="7">
        <v>285.29000000000002</v>
      </c>
      <c r="T335" s="7">
        <v>0</v>
      </c>
      <c r="U335" s="7">
        <v>0</v>
      </c>
      <c r="V335" s="7">
        <v>441.89</v>
      </c>
      <c r="W335" s="7">
        <v>1135.961</v>
      </c>
      <c r="X335" s="7">
        <v>45.652999999999999</v>
      </c>
      <c r="Y335" s="7">
        <v>9136.5339999999997</v>
      </c>
      <c r="Z335" s="7">
        <v>0</v>
      </c>
      <c r="AA335" s="7">
        <v>4620.9809999999998</v>
      </c>
      <c r="AB335" s="7">
        <v>14.379</v>
      </c>
      <c r="AC335" s="7">
        <v>760.404</v>
      </c>
      <c r="AD335" s="7">
        <v>0.33200000000000002</v>
      </c>
      <c r="AE335" s="7">
        <v>23602.172999999999</v>
      </c>
      <c r="AF335" s="7">
        <v>1339.1279999999999</v>
      </c>
      <c r="AG335" s="7">
        <v>27.181000000000001</v>
      </c>
      <c r="AH335" s="7">
        <v>71312.173999999999</v>
      </c>
      <c r="AI335" s="7">
        <v>1917.365</v>
      </c>
      <c r="AJ335" s="7">
        <v>3.0000000000000001E-3</v>
      </c>
      <c r="AK335" s="7">
        <v>4.6630000000000003</v>
      </c>
      <c r="AL335" s="7">
        <v>11.893000000000001</v>
      </c>
      <c r="AM335" s="7">
        <v>0.13</v>
      </c>
      <c r="AN335" s="7">
        <v>10.441000000000001</v>
      </c>
      <c r="AO335" s="7">
        <v>127.423</v>
      </c>
      <c r="AP335" s="7">
        <v>16.895</v>
      </c>
      <c r="AQ335" s="7">
        <v>426.72800000000001</v>
      </c>
      <c r="AR335" s="7">
        <v>5.484</v>
      </c>
      <c r="AS335" s="7">
        <v>2.52</v>
      </c>
      <c r="AT335" s="7">
        <v>0</v>
      </c>
      <c r="AU335" s="7">
        <v>59.527000000000001</v>
      </c>
      <c r="AV335" s="7">
        <v>16.661000000000001</v>
      </c>
      <c r="AW335" s="7">
        <v>26.099</v>
      </c>
      <c r="AX335" s="7">
        <v>52.255000000000003</v>
      </c>
      <c r="AY335" s="7">
        <v>72.343999999999994</v>
      </c>
      <c r="AZ335" s="7">
        <v>497.91199999999998</v>
      </c>
      <c r="BA335" s="7">
        <v>38.158000000000001</v>
      </c>
      <c r="BB335" s="7">
        <v>43.11</v>
      </c>
      <c r="BC335" s="7">
        <v>37.58</v>
      </c>
      <c r="BD335" s="7">
        <v>581.52499999999998</v>
      </c>
      <c r="BE335" s="7">
        <v>11.733000000000001</v>
      </c>
      <c r="BF335" s="7">
        <v>11.733000000000001</v>
      </c>
      <c r="BG335" s="7">
        <v>200.71700000000001</v>
      </c>
      <c r="BH335" s="7">
        <v>0.317</v>
      </c>
      <c r="BI335" s="7">
        <v>14.3</v>
      </c>
      <c r="BJ335" s="21"/>
    </row>
    <row r="336" spans="1:62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-8544.1980000000003</v>
      </c>
      <c r="F336" s="7">
        <v>-1814.0889999999999</v>
      </c>
      <c r="G336" s="7">
        <v>-775.36699999999996</v>
      </c>
      <c r="H336" s="7">
        <v>-21666.777999999998</v>
      </c>
      <c r="I336" s="7">
        <v>-302.59899999999999</v>
      </c>
      <c r="J336" s="7">
        <v>-698.54499999999996</v>
      </c>
      <c r="K336" s="7">
        <v>0</v>
      </c>
      <c r="L336" s="7">
        <v>-16010.4</v>
      </c>
      <c r="M336" s="7">
        <v>-2686.62</v>
      </c>
      <c r="N336" s="7">
        <v>-0.33300000000000002</v>
      </c>
      <c r="O336" s="7">
        <v>-8.6999999999999994E-2</v>
      </c>
      <c r="P336" s="7">
        <v>-75.016000000000005</v>
      </c>
      <c r="Q336" s="7">
        <v>0</v>
      </c>
      <c r="R336" s="7">
        <v>-136.89599999999999</v>
      </c>
      <c r="S336" s="7">
        <v>-19.898</v>
      </c>
      <c r="T336" s="7">
        <v>0</v>
      </c>
      <c r="U336" s="7">
        <v>0</v>
      </c>
      <c r="V336" s="7">
        <v>-43.325000000000003</v>
      </c>
      <c r="W336" s="7">
        <v>-127.22499999999999</v>
      </c>
      <c r="X336" s="7">
        <v>-10.044</v>
      </c>
      <c r="Y336" s="7">
        <v>-1246.577</v>
      </c>
      <c r="Z336" s="7">
        <v>-0.76200000000000001</v>
      </c>
      <c r="AA336" s="7">
        <v>-989.63</v>
      </c>
      <c r="AB336" s="7">
        <v>-19.123000000000001</v>
      </c>
      <c r="AC336" s="7">
        <v>-60.719000000000001</v>
      </c>
      <c r="AD336" s="7">
        <v>0</v>
      </c>
      <c r="AE336" s="7">
        <v>-4344.7359999999999</v>
      </c>
      <c r="AF336" s="7">
        <v>-44.037999999999997</v>
      </c>
      <c r="AG336" s="7">
        <v>0</v>
      </c>
      <c r="AH336" s="7">
        <v>-22759.046999999999</v>
      </c>
      <c r="AI336" s="7">
        <v>-431.45100000000002</v>
      </c>
      <c r="AJ336" s="7">
        <v>-2.6440000000000001</v>
      </c>
      <c r="AK336" s="7">
        <v>-20.599</v>
      </c>
      <c r="AL336" s="7">
        <v>-0.39700000000000002</v>
      </c>
      <c r="AM336" s="7">
        <v>0</v>
      </c>
      <c r="AN336" s="7">
        <v>-57.707999999999998</v>
      </c>
      <c r="AO336" s="7">
        <v>-0.65500000000000003</v>
      </c>
      <c r="AP336" s="7">
        <v>0</v>
      </c>
      <c r="AQ336" s="7">
        <v>-4.4870000000000001</v>
      </c>
      <c r="AR336" s="7">
        <v>0</v>
      </c>
      <c r="AS336" s="7">
        <v>-1.476</v>
      </c>
      <c r="AT336" s="7">
        <v>0</v>
      </c>
      <c r="AU336" s="7">
        <v>-5.7000000000000002E-2</v>
      </c>
      <c r="AV336" s="7">
        <v>0</v>
      </c>
      <c r="AW336" s="7">
        <v>0</v>
      </c>
      <c r="AX336" s="7">
        <v>-77.543999999999997</v>
      </c>
      <c r="AY336" s="7">
        <v>0</v>
      </c>
      <c r="AZ336" s="7">
        <v>0</v>
      </c>
      <c r="BA336" s="7">
        <v>0</v>
      </c>
      <c r="BB336" s="7">
        <v>-5.1559999999999997</v>
      </c>
      <c r="BC336" s="7">
        <v>0</v>
      </c>
      <c r="BD336" s="7">
        <v>0</v>
      </c>
      <c r="BE336" s="7">
        <v>-0.122</v>
      </c>
      <c r="BF336" s="7">
        <v>-0.122</v>
      </c>
      <c r="BG336" s="7">
        <v>0</v>
      </c>
      <c r="BH336" s="7">
        <v>-76.072999999999993</v>
      </c>
      <c r="BI336" s="7">
        <v>0</v>
      </c>
      <c r="BJ336" s="21"/>
    </row>
    <row r="337" spans="1:62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-1533.4960000000001</v>
      </c>
      <c r="F337" s="7">
        <v>-95.352000000000004</v>
      </c>
      <c r="G337" s="7">
        <v>-342.654</v>
      </c>
      <c r="H337" s="7">
        <v>-64.296000000000006</v>
      </c>
      <c r="I337" s="7">
        <v>0</v>
      </c>
      <c r="J337" s="7">
        <v>-34.079000000000001</v>
      </c>
      <c r="K337" s="7">
        <v>-26.207999999999998</v>
      </c>
      <c r="L337" s="7">
        <v>-1215.5840000000001</v>
      </c>
      <c r="M337" s="7">
        <v>-70.412999999999997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-117.541</v>
      </c>
      <c r="V337" s="7">
        <v>-25.673999999999999</v>
      </c>
      <c r="W337" s="7">
        <v>-33.415999999999997</v>
      </c>
      <c r="X337" s="7">
        <v>-36.210999999999999</v>
      </c>
      <c r="Y337" s="7">
        <v>-446.78300000000002</v>
      </c>
      <c r="Z337" s="7">
        <v>-22.334</v>
      </c>
      <c r="AA337" s="7">
        <v>-67.44</v>
      </c>
      <c r="AB337" s="7">
        <v>-67.091999999999999</v>
      </c>
      <c r="AC337" s="7">
        <v>-39.466000000000001</v>
      </c>
      <c r="AD337" s="7">
        <v>-5.7039999999999997</v>
      </c>
      <c r="AE337" s="7">
        <v>-450.24299999999999</v>
      </c>
      <c r="AF337" s="7">
        <v>-178.08</v>
      </c>
      <c r="AG337" s="7">
        <v>-23.024999999999999</v>
      </c>
      <c r="AH337" s="7">
        <v>-1954.42</v>
      </c>
      <c r="AI337" s="7">
        <v>-197.917</v>
      </c>
      <c r="AJ337" s="7">
        <v>-24.021000000000001</v>
      </c>
      <c r="AK337" s="7">
        <v>-582.83600000000001</v>
      </c>
      <c r="AL337" s="7">
        <v>-621.822</v>
      </c>
      <c r="AM337" s="7">
        <v>-122.242</v>
      </c>
      <c r="AN337" s="7">
        <v>-953.45100000000002</v>
      </c>
      <c r="AO337" s="7">
        <v>-0.92900000000000005</v>
      </c>
      <c r="AP337" s="7">
        <v>0</v>
      </c>
      <c r="AQ337" s="7">
        <v>-152.96</v>
      </c>
      <c r="AR337" s="7">
        <v>-2.58</v>
      </c>
      <c r="AS337" s="7">
        <v>0</v>
      </c>
      <c r="AT337" s="7">
        <v>0</v>
      </c>
      <c r="AU337" s="7">
        <v>-18.042999999999999</v>
      </c>
      <c r="AV337" s="7">
        <v>-10.282999999999999</v>
      </c>
      <c r="AW337" s="7">
        <v>-54.194000000000003</v>
      </c>
      <c r="AX337" s="7">
        <v>-5.1100000000000003</v>
      </c>
      <c r="AY337" s="7">
        <v>-0.16500000000000001</v>
      </c>
      <c r="AZ337" s="7">
        <v>-5.64</v>
      </c>
      <c r="BA337" s="7">
        <v>-8.8999999999999996E-2</v>
      </c>
      <c r="BB337" s="7">
        <v>-5.3710000000000004</v>
      </c>
      <c r="BC337" s="7">
        <v>0</v>
      </c>
      <c r="BD337" s="7">
        <v>-14.456</v>
      </c>
      <c r="BE337" s="7">
        <v>-10.417</v>
      </c>
      <c r="BF337" s="7">
        <v>-10.417</v>
      </c>
      <c r="BG337" s="7">
        <v>-32.267000000000003</v>
      </c>
      <c r="BH337" s="7">
        <v>-7.7249999999999996</v>
      </c>
      <c r="BI337" s="7">
        <v>-4.1580000000000004</v>
      </c>
      <c r="BJ337" s="21"/>
    </row>
    <row r="338" spans="1:62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470.71800000000002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21"/>
    </row>
    <row r="339" spans="1:62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 s="21"/>
    </row>
    <row r="340" spans="1:62" ht="15.6" x14ac:dyDescent="0.3">
      <c r="A340" s="5" t="s">
        <v>605</v>
      </c>
      <c r="B340" s="5" t="s">
        <v>606</v>
      </c>
      <c r="C340" s="5"/>
      <c r="D340" s="5"/>
      <c r="E340">
        <v>9250865.3640000001</v>
      </c>
      <c r="F340">
        <v>1036290.031</v>
      </c>
      <c r="G340">
        <v>994785.23899999994</v>
      </c>
      <c r="H340">
        <v>1131964.6029999999</v>
      </c>
      <c r="I340">
        <v>135734.01699999999</v>
      </c>
      <c r="J340">
        <v>698430.06499999994</v>
      </c>
      <c r="K340">
        <v>250509.291</v>
      </c>
      <c r="L340">
        <v>9885238.8469999991</v>
      </c>
      <c r="M340">
        <v>2969607.6269999999</v>
      </c>
      <c r="N340">
        <v>15299.954</v>
      </c>
      <c r="O340">
        <v>13098.233</v>
      </c>
      <c r="P340">
        <v>19584.039000000001</v>
      </c>
      <c r="Q340">
        <v>13804.192999999999</v>
      </c>
      <c r="R340">
        <v>18454.483</v>
      </c>
      <c r="S340">
        <v>326166.04700000002</v>
      </c>
      <c r="T340">
        <v>999.68899999999996</v>
      </c>
      <c r="U340">
        <v>191060.51</v>
      </c>
      <c r="V340">
        <v>112031.29</v>
      </c>
      <c r="W340">
        <v>246569.345</v>
      </c>
      <c r="X340">
        <v>228314.59599999999</v>
      </c>
      <c r="Y340">
        <v>2427599.91</v>
      </c>
      <c r="Z340">
        <v>109552.837</v>
      </c>
      <c r="AA340">
        <v>1490681.0919999999</v>
      </c>
      <c r="AB340">
        <v>414915.70699999999</v>
      </c>
      <c r="AC340">
        <v>184628.54399999999</v>
      </c>
      <c r="AD340">
        <v>63917.324000000001</v>
      </c>
      <c r="AE340">
        <v>6563321.2060000002</v>
      </c>
      <c r="AF340">
        <v>2023673.1680000001</v>
      </c>
      <c r="AG340">
        <v>302196.65500000003</v>
      </c>
      <c r="AH340">
        <v>20555058.504000001</v>
      </c>
      <c r="AI340">
        <v>3325761.7740000002</v>
      </c>
      <c r="AJ340">
        <v>582721.58299999998</v>
      </c>
      <c r="AK340">
        <v>11336754.994000001</v>
      </c>
      <c r="AL340">
        <v>6110039.9450000003</v>
      </c>
      <c r="AM340">
        <v>44946.237000000001</v>
      </c>
      <c r="AN340">
        <v>4039524.7609999999</v>
      </c>
      <c r="AO340">
        <v>188329.85800000001</v>
      </c>
      <c r="AP340">
        <v>81934.775999999998</v>
      </c>
      <c r="AQ340">
        <v>748648.29200000002</v>
      </c>
      <c r="AR340">
        <v>25833.041000000001</v>
      </c>
      <c r="AS340">
        <v>3756.9720000000002</v>
      </c>
      <c r="AT340">
        <v>0</v>
      </c>
      <c r="AU340">
        <v>81438.482999999993</v>
      </c>
      <c r="AV340">
        <v>78250.637000000002</v>
      </c>
      <c r="AW340">
        <v>124986.86900000001</v>
      </c>
      <c r="AX340">
        <v>263192.88500000001</v>
      </c>
      <c r="AY340">
        <v>58887.74</v>
      </c>
      <c r="AZ340">
        <v>408855.65399999998</v>
      </c>
      <c r="BA340">
        <v>190927.60500000001</v>
      </c>
      <c r="BB340">
        <v>64029.008000000002</v>
      </c>
      <c r="BC340">
        <v>32480.035</v>
      </c>
      <c r="BD340">
        <v>448916.94400000002</v>
      </c>
      <c r="BE340">
        <v>17638.752</v>
      </c>
      <c r="BF340">
        <v>17638.752</v>
      </c>
      <c r="BG340">
        <v>152060.18599999999</v>
      </c>
      <c r="BH340">
        <v>345296.97899999999</v>
      </c>
      <c r="BI340">
        <v>11673.281999999999</v>
      </c>
      <c r="BJ340" s="21"/>
    </row>
    <row r="341" spans="1:62" x14ac:dyDescent="0.25">
      <c r="BJ341" s="21"/>
    </row>
    <row r="342" spans="1:62" ht="15.6" x14ac:dyDescent="0.3">
      <c r="A342" s="5" t="s">
        <v>607</v>
      </c>
      <c r="E342">
        <f t="shared" ref="E342:AW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>SUM(AM7:AM339)-AM340</f>
        <v>0</v>
      </c>
      <c r="AN342">
        <f>SUM(AN7:AN339)-AN340</f>
        <v>0</v>
      </c>
      <c r="AO342">
        <f>SUM(AO7:AO339)-AO340</f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 t="shared" si="0"/>
        <v>0</v>
      </c>
      <c r="AT342">
        <f t="shared" si="0"/>
        <v>0</v>
      </c>
      <c r="AU342">
        <f t="shared" si="0"/>
        <v>0</v>
      </c>
      <c r="AV342">
        <f t="shared" si="0"/>
        <v>0</v>
      </c>
      <c r="AW342">
        <f t="shared" si="0"/>
        <v>0</v>
      </c>
      <c r="AX342">
        <f>SUM(AX7:AX339)-AX340</f>
        <v>0</v>
      </c>
      <c r="AY342">
        <f t="shared" ref="AY342:BI342" si="1">SUM(AY7:AY339)-AY340</f>
        <v>0</v>
      </c>
      <c r="AZ342">
        <f t="shared" si="1"/>
        <v>0</v>
      </c>
      <c r="BA342">
        <f t="shared" si="1"/>
        <v>0</v>
      </c>
      <c r="BB342">
        <f t="shared" si="1"/>
        <v>0</v>
      </c>
      <c r="BC342">
        <f t="shared" si="1"/>
        <v>0</v>
      </c>
      <c r="BD342">
        <f t="shared" si="1"/>
        <v>0</v>
      </c>
      <c r="BE342">
        <f t="shared" si="1"/>
        <v>0</v>
      </c>
      <c r="BF342">
        <f t="shared" si="1"/>
        <v>0</v>
      </c>
      <c r="BG342">
        <f t="shared" si="1"/>
        <v>0</v>
      </c>
      <c r="BH342">
        <f t="shared" si="1"/>
        <v>0</v>
      </c>
      <c r="BI342">
        <f t="shared" si="1"/>
        <v>0</v>
      </c>
      <c r="BJ342" s="21"/>
    </row>
    <row r="343" spans="1:62" x14ac:dyDescent="0.25">
      <c r="BJ343" s="21"/>
    </row>
    <row r="344" spans="1:62" x14ac:dyDescent="0.25">
      <c r="A344" t="s">
        <v>608</v>
      </c>
      <c r="D344">
        <v>1</v>
      </c>
      <c r="E344" s="16">
        <f t="shared" ref="E344:AW344" si="2">SUMIF($D$6:$D$338,$D$344,E6:E338)</f>
        <v>983778.12399999995</v>
      </c>
      <c r="F344" s="16">
        <f t="shared" si="2"/>
        <v>179733.40899999999</v>
      </c>
      <c r="G344" s="16">
        <f t="shared" si="2"/>
        <v>42546.900999999998</v>
      </c>
      <c r="H344" s="16">
        <f t="shared" si="2"/>
        <v>18062.678</v>
      </c>
      <c r="I344" s="16">
        <f t="shared" si="2"/>
        <v>9890.1400000000012</v>
      </c>
      <c r="J344" s="16">
        <f t="shared" si="2"/>
        <v>30279.296999999999</v>
      </c>
      <c r="K344" s="16">
        <f t="shared" si="2"/>
        <v>5563.4709999999995</v>
      </c>
      <c r="L344" s="16">
        <f t="shared" si="2"/>
        <v>1788173.8269999998</v>
      </c>
      <c r="M344" s="16">
        <f t="shared" si="2"/>
        <v>154213.75200000001</v>
      </c>
      <c r="N344" s="16">
        <f>SUMIF($D$6:$D$338,$D$344,N6:N338)</f>
        <v>108.434</v>
      </c>
      <c r="O344" s="16">
        <f t="shared" si="2"/>
        <v>10417.157000000001</v>
      </c>
      <c r="P344" s="16">
        <f t="shared" si="2"/>
        <v>678.51300000000003</v>
      </c>
      <c r="Q344" s="16">
        <f t="shared" si="2"/>
        <v>6495.5070000000005</v>
      </c>
      <c r="R344" s="16">
        <f t="shared" si="2"/>
        <v>2505.0059999999999</v>
      </c>
      <c r="S344" s="16">
        <f t="shared" si="2"/>
        <v>52830.402999999998</v>
      </c>
      <c r="T344" s="16">
        <f t="shared" si="2"/>
        <v>33.169000000000004</v>
      </c>
      <c r="U344" s="16">
        <f t="shared" si="2"/>
        <v>7421.4239999999991</v>
      </c>
      <c r="V344" s="16">
        <f t="shared" si="2"/>
        <v>7447.8070000000007</v>
      </c>
      <c r="W344" s="16">
        <f t="shared" si="2"/>
        <v>23560.724999999999</v>
      </c>
      <c r="X344" s="16">
        <f t="shared" si="2"/>
        <v>56122.63</v>
      </c>
      <c r="Y344" s="16">
        <f t="shared" si="2"/>
        <v>406638.48499999999</v>
      </c>
      <c r="Z344" s="16">
        <f t="shared" si="2"/>
        <v>64786.514000000003</v>
      </c>
      <c r="AA344" s="16">
        <f t="shared" si="2"/>
        <v>98468.46699999999</v>
      </c>
      <c r="AB344" s="16">
        <f t="shared" si="2"/>
        <v>333474.36199999996</v>
      </c>
      <c r="AC344" s="16">
        <f t="shared" si="2"/>
        <v>31005.253999999997</v>
      </c>
      <c r="AD344" s="16">
        <f t="shared" si="2"/>
        <v>19497.463</v>
      </c>
      <c r="AE344" s="16">
        <f t="shared" si="2"/>
        <v>1140437.027</v>
      </c>
      <c r="AF344" s="16">
        <f t="shared" si="2"/>
        <v>622901.16500000004</v>
      </c>
      <c r="AG344" s="16">
        <f t="shared" si="2"/>
        <v>105822.52300000002</v>
      </c>
      <c r="AH344" s="16">
        <f t="shared" si="2"/>
        <v>3164883.3870000001</v>
      </c>
      <c r="AI344" s="16">
        <f t="shared" si="2"/>
        <v>943218.49000000011</v>
      </c>
      <c r="AJ344" s="16">
        <f t="shared" si="2"/>
        <v>335727.48000000004</v>
      </c>
      <c r="AK344" s="16">
        <f t="shared" si="2"/>
        <v>7844330.5590000004</v>
      </c>
      <c r="AL344" s="16">
        <f t="shared" si="2"/>
        <v>4224874.3319999995</v>
      </c>
      <c r="AM344" s="16">
        <f>SUMIF($D$6:$D$338,$D$344,AM6:AM338)</f>
        <v>1199.8330000000001</v>
      </c>
      <c r="AN344" s="16">
        <f>SUMIF($D$6:$D$338,$D$344,AN6:AN338)</f>
        <v>2793569.9050000003</v>
      </c>
      <c r="AO344" s="16">
        <f>SUMIF($D$6:$D$338,$D$344,AO6:AO338)</f>
        <v>35557.378000000004</v>
      </c>
      <c r="AP344" s="16">
        <f t="shared" si="2"/>
        <v>9256.1959999999999</v>
      </c>
      <c r="AQ344" s="16">
        <f t="shared" si="2"/>
        <v>232592.823</v>
      </c>
      <c r="AR344" s="16">
        <f t="shared" si="2"/>
        <v>2546.8510000000001</v>
      </c>
      <c r="AS344" s="16">
        <f t="shared" si="2"/>
        <v>636.35799999999995</v>
      </c>
      <c r="AT344" s="16">
        <f t="shared" si="2"/>
        <v>0</v>
      </c>
      <c r="AU344" s="16">
        <f t="shared" si="2"/>
        <v>13068.160000000002</v>
      </c>
      <c r="AV344" s="16">
        <f t="shared" si="2"/>
        <v>7703.2209999999995</v>
      </c>
      <c r="AW344" s="16">
        <f t="shared" si="2"/>
        <v>13113.361000000001</v>
      </c>
      <c r="AX344" s="16">
        <f>SUMIF($D$6:$D$338,$D$344,AX6:AX338)</f>
        <v>66924.623000000007</v>
      </c>
      <c r="AY344" s="16">
        <f t="shared" ref="AY344:BI344" si="3">SUMIF($D$6:$D$338,$D$344,AY6:AY338)</f>
        <v>3222.26</v>
      </c>
      <c r="AZ344" s="16">
        <f t="shared" si="3"/>
        <v>20503.315999999999</v>
      </c>
      <c r="BA344" s="16">
        <f t="shared" si="3"/>
        <v>46766.031999999999</v>
      </c>
      <c r="BB344" s="16">
        <f t="shared" si="3"/>
        <v>12089.522999999999</v>
      </c>
      <c r="BC344" s="16">
        <f t="shared" si="3"/>
        <v>2125.1459999999997</v>
      </c>
      <c r="BD344" s="16">
        <f t="shared" si="3"/>
        <v>19583.114999999998</v>
      </c>
      <c r="BE344" s="16">
        <f t="shared" si="3"/>
        <v>3491.6709999999998</v>
      </c>
      <c r="BF344" s="16">
        <f t="shared" si="3"/>
        <v>3491.6709999999998</v>
      </c>
      <c r="BG344" s="16">
        <f t="shared" si="3"/>
        <v>3958.596</v>
      </c>
      <c r="BH344" s="16">
        <f t="shared" si="3"/>
        <v>203721.633</v>
      </c>
      <c r="BI344" s="16">
        <f t="shared" si="3"/>
        <v>931.31</v>
      </c>
      <c r="BJ344" s="21"/>
    </row>
    <row r="345" spans="1:62" x14ac:dyDescent="0.25">
      <c r="A345" t="s">
        <v>609</v>
      </c>
      <c r="D345">
        <v>2</v>
      </c>
      <c r="E345" s="16">
        <f t="shared" ref="E345:AW345" si="4">SUMIF($D$6:$D$338,$D$345,E6:E338)</f>
        <v>2131449.1440000003</v>
      </c>
      <c r="F345" s="16">
        <f t="shared" si="4"/>
        <v>184831.87599999999</v>
      </c>
      <c r="G345" s="16">
        <f t="shared" si="4"/>
        <v>354814.14399999997</v>
      </c>
      <c r="H345" s="16">
        <f t="shared" si="4"/>
        <v>0</v>
      </c>
      <c r="I345" s="16">
        <f t="shared" si="4"/>
        <v>51573.261000000006</v>
      </c>
      <c r="J345" s="16">
        <f t="shared" si="4"/>
        <v>239366.52499999999</v>
      </c>
      <c r="K345" s="16">
        <f t="shared" si="4"/>
        <v>178729.36</v>
      </c>
      <c r="L345" s="16">
        <f t="shared" si="4"/>
        <v>943560.71300000022</v>
      </c>
      <c r="M345" s="16">
        <f t="shared" si="4"/>
        <v>616963.48099999991</v>
      </c>
      <c r="N345" s="16">
        <f>SUMIF($D$6:$D$338,$D$345,N6:N338)</f>
        <v>12318.48</v>
      </c>
      <c r="O345" s="16">
        <f t="shared" si="4"/>
        <v>123.559</v>
      </c>
      <c r="P345" s="16">
        <f t="shared" si="4"/>
        <v>15736.530999999999</v>
      </c>
      <c r="Q345" s="16">
        <f t="shared" si="4"/>
        <v>2115.3290000000002</v>
      </c>
      <c r="R345" s="16">
        <f t="shared" si="4"/>
        <v>3441.4760000000001</v>
      </c>
      <c r="S345" s="16">
        <f t="shared" si="4"/>
        <v>57058.362999999998</v>
      </c>
      <c r="T345" s="16">
        <f t="shared" si="4"/>
        <v>966.52</v>
      </c>
      <c r="U345" s="16">
        <f t="shared" si="4"/>
        <v>143006.22999999998</v>
      </c>
      <c r="V345" s="16">
        <f t="shared" si="4"/>
        <v>29542.174999999999</v>
      </c>
      <c r="W345" s="16">
        <f t="shared" si="4"/>
        <v>54920.429000000004</v>
      </c>
      <c r="X345" s="16">
        <f t="shared" si="4"/>
        <v>1480.076</v>
      </c>
      <c r="Y345" s="16">
        <f t="shared" si="4"/>
        <v>438435.13300000003</v>
      </c>
      <c r="Z345" s="16">
        <f t="shared" si="4"/>
        <v>386.74700000000001</v>
      </c>
      <c r="AA345" s="16">
        <f t="shared" si="4"/>
        <v>528478.16899999999</v>
      </c>
      <c r="AB345" s="16">
        <f t="shared" si="4"/>
        <v>2804.3719999999998</v>
      </c>
      <c r="AC345" s="16">
        <f t="shared" si="4"/>
        <v>28412.143999999997</v>
      </c>
      <c r="AD345" s="16">
        <f t="shared" si="4"/>
        <v>10957.093000000001</v>
      </c>
      <c r="AE345" s="16">
        <f t="shared" si="4"/>
        <v>1120109.831</v>
      </c>
      <c r="AF345" s="16">
        <f t="shared" si="4"/>
        <v>131810.30100000001</v>
      </c>
      <c r="AG345" s="16">
        <f t="shared" si="4"/>
        <v>40614.888999999996</v>
      </c>
      <c r="AH345" s="16">
        <f t="shared" si="4"/>
        <v>2824306.9329999997</v>
      </c>
      <c r="AI345" s="16">
        <f t="shared" si="4"/>
        <v>198115.04699999999</v>
      </c>
      <c r="AJ345" s="16">
        <f t="shared" si="4"/>
        <v>1832.69</v>
      </c>
      <c r="AK345" s="16">
        <f t="shared" si="4"/>
        <v>836641.97100000002</v>
      </c>
      <c r="AL345" s="16">
        <f t="shared" si="4"/>
        <v>451684.80300000001</v>
      </c>
      <c r="AM345" s="16">
        <f>SUMIF($D$6:$D$338,$D$345,AM6:AM338)</f>
        <v>34099.879999999997</v>
      </c>
      <c r="AN345" s="16">
        <f>SUMIF($D$6:$D$338,$D$345,AN6:AN338)</f>
        <v>298664.54499999998</v>
      </c>
      <c r="AO345" s="16">
        <f>SUMIF($D$6:$D$338,$D$345,AO6:AO338)</f>
        <v>33162.638000000006</v>
      </c>
      <c r="AP345" s="16">
        <f t="shared" si="4"/>
        <v>0</v>
      </c>
      <c r="AQ345" s="16">
        <f t="shared" si="4"/>
        <v>49139.360999999997</v>
      </c>
      <c r="AR345" s="16">
        <f t="shared" si="4"/>
        <v>0</v>
      </c>
      <c r="AS345" s="16">
        <f t="shared" si="4"/>
        <v>1302.873</v>
      </c>
      <c r="AT345" s="16">
        <f t="shared" si="4"/>
        <v>0</v>
      </c>
      <c r="AU345" s="16">
        <f t="shared" si="4"/>
        <v>31109.381999999998</v>
      </c>
      <c r="AV345" s="16">
        <f t="shared" si="4"/>
        <v>0</v>
      </c>
      <c r="AW345" s="16">
        <f t="shared" si="4"/>
        <v>0</v>
      </c>
      <c r="AX345" s="16">
        <f>SUMIF($D$6:$D$338,$D$345,AX6:AX338)</f>
        <v>1687.279</v>
      </c>
      <c r="AY345" s="16">
        <f t="shared" ref="AY345:BI345" si="5">SUMIF($D$6:$D$338,$D$345,AY6:AY338)</f>
        <v>15003.547999999999</v>
      </c>
      <c r="AZ345" s="16">
        <f t="shared" si="5"/>
        <v>1015.138</v>
      </c>
      <c r="BA345" s="16">
        <f t="shared" si="5"/>
        <v>1238.8699999999999</v>
      </c>
      <c r="BB345" s="16">
        <f t="shared" si="5"/>
        <v>11628.236000000001</v>
      </c>
      <c r="BC345" s="16">
        <f t="shared" si="5"/>
        <v>8950.021999999999</v>
      </c>
      <c r="BD345" s="16">
        <f t="shared" si="5"/>
        <v>1185.606</v>
      </c>
      <c r="BE345" s="16">
        <f t="shared" si="5"/>
        <v>3073.7109999999998</v>
      </c>
      <c r="BF345" s="16">
        <f t="shared" si="5"/>
        <v>3073.7109999999998</v>
      </c>
      <c r="BG345" s="16">
        <f t="shared" si="5"/>
        <v>409.22</v>
      </c>
      <c r="BH345" s="16">
        <f t="shared" si="5"/>
        <v>26956.902999999998</v>
      </c>
      <c r="BI345" s="16">
        <f t="shared" si="5"/>
        <v>2916.1540000000005</v>
      </c>
      <c r="BJ345" s="21"/>
    </row>
    <row r="346" spans="1:62" x14ac:dyDescent="0.25">
      <c r="A346" t="s">
        <v>610</v>
      </c>
      <c r="D346">
        <v>3</v>
      </c>
      <c r="E346" s="16">
        <f t="shared" ref="E346:AW346" si="6">SUMIF($D$6:$D$338,$D$346,E6:E338)</f>
        <v>1944387.6869999997</v>
      </c>
      <c r="F346" s="16">
        <f t="shared" si="6"/>
        <v>274007.28200000006</v>
      </c>
      <c r="G346" s="16">
        <f t="shared" si="6"/>
        <v>444438.33500000008</v>
      </c>
      <c r="H346" s="16">
        <f t="shared" si="6"/>
        <v>56386.015000000007</v>
      </c>
      <c r="I346" s="16">
        <f t="shared" si="6"/>
        <v>42622.171999999999</v>
      </c>
      <c r="J346" s="16">
        <f t="shared" si="6"/>
        <v>305621.79499999993</v>
      </c>
      <c r="K346" s="16">
        <f t="shared" si="6"/>
        <v>38345.843999999997</v>
      </c>
      <c r="L346" s="16">
        <f t="shared" si="6"/>
        <v>969706.88500000024</v>
      </c>
      <c r="M346" s="16">
        <f t="shared" si="6"/>
        <v>1030410.8350000001</v>
      </c>
      <c r="N346" s="16">
        <f>SUMIF($D$6:$D$338,$D$346,N6:N338)</f>
        <v>2873.373</v>
      </c>
      <c r="O346" s="16">
        <f t="shared" si="6"/>
        <v>0</v>
      </c>
      <c r="P346" s="16">
        <f t="shared" si="6"/>
        <v>50.988</v>
      </c>
      <c r="Q346" s="16">
        <f t="shared" si="6"/>
        <v>3950.1480000000001</v>
      </c>
      <c r="R346" s="16">
        <f t="shared" si="6"/>
        <v>11472.020999999999</v>
      </c>
      <c r="S346" s="16">
        <f t="shared" si="6"/>
        <v>112931.53599999999</v>
      </c>
      <c r="T346" s="16">
        <f t="shared" si="6"/>
        <v>0</v>
      </c>
      <c r="U346" s="16">
        <f t="shared" si="6"/>
        <v>30681.553999999996</v>
      </c>
      <c r="V346" s="16">
        <f t="shared" si="6"/>
        <v>55013.667000000009</v>
      </c>
      <c r="W346" s="16">
        <f t="shared" si="6"/>
        <v>88180.309000000008</v>
      </c>
      <c r="X346" s="16">
        <f t="shared" si="6"/>
        <v>0</v>
      </c>
      <c r="Y346" s="16">
        <f t="shared" si="6"/>
        <v>345230.99300000002</v>
      </c>
      <c r="Z346" s="16">
        <f t="shared" si="6"/>
        <v>7373.1530000000002</v>
      </c>
      <c r="AA346" s="16">
        <f t="shared" si="6"/>
        <v>693961.20000000007</v>
      </c>
      <c r="AB346" s="16">
        <f t="shared" si="6"/>
        <v>0</v>
      </c>
      <c r="AC346" s="16">
        <f t="shared" si="6"/>
        <v>50872.519</v>
      </c>
      <c r="AD346" s="16">
        <f t="shared" si="6"/>
        <v>13560.787</v>
      </c>
      <c r="AE346" s="16">
        <f t="shared" si="6"/>
        <v>745511.30199999991</v>
      </c>
      <c r="AF346" s="16">
        <f t="shared" si="6"/>
        <v>46066.377000000008</v>
      </c>
      <c r="AG346" s="16">
        <f t="shared" si="6"/>
        <v>54197.911999999997</v>
      </c>
      <c r="AH346" s="16">
        <f t="shared" si="6"/>
        <v>2345430.3769999999</v>
      </c>
      <c r="AI346" s="16">
        <f t="shared" si="6"/>
        <v>75984.295000000013</v>
      </c>
      <c r="AJ346" s="16">
        <f t="shared" si="6"/>
        <v>38400</v>
      </c>
      <c r="AK346" s="16">
        <f t="shared" si="6"/>
        <v>0</v>
      </c>
      <c r="AL346" s="16">
        <f t="shared" si="6"/>
        <v>0</v>
      </c>
      <c r="AM346" s="16">
        <f>SUMIF($D$6:$D$338,$D$346,AM6:AM338)</f>
        <v>7316.0259999999998</v>
      </c>
      <c r="AN346" s="16">
        <f>SUMIF($D$6:$D$338,$D$346,AN6:AN338)</f>
        <v>0</v>
      </c>
      <c r="AO346" s="16">
        <f>SUMIF($D$6:$D$338,$D$346,AO6:AO338)</f>
        <v>58104.355999999992</v>
      </c>
      <c r="AP346" s="16">
        <f t="shared" si="6"/>
        <v>0</v>
      </c>
      <c r="AQ346" s="16">
        <f t="shared" si="6"/>
        <v>16960.647999999997</v>
      </c>
      <c r="AR346" s="16">
        <f t="shared" si="6"/>
        <v>0</v>
      </c>
      <c r="AS346" s="16">
        <f t="shared" si="6"/>
        <v>838.40800000000002</v>
      </c>
      <c r="AT346" s="16">
        <f t="shared" si="6"/>
        <v>0</v>
      </c>
      <c r="AU346" s="16">
        <f t="shared" si="6"/>
        <v>25196.446</v>
      </c>
      <c r="AV346" s="16">
        <f t="shared" si="6"/>
        <v>0</v>
      </c>
      <c r="AW346" s="16">
        <f t="shared" si="6"/>
        <v>0</v>
      </c>
      <c r="AX346" s="16">
        <f>SUMIF($D$6:$D$338,$D$346,AX6:AX338)</f>
        <v>0</v>
      </c>
      <c r="AY346" s="16">
        <f t="shared" ref="AY346:BI346" si="7">SUMIF($D$6:$D$338,$D$346,AY6:AY338)</f>
        <v>27947.238999999998</v>
      </c>
      <c r="AZ346" s="16">
        <f t="shared" si="7"/>
        <v>20493.805</v>
      </c>
      <c r="BA346" s="16">
        <f t="shared" si="7"/>
        <v>0</v>
      </c>
      <c r="BB346" s="16">
        <f t="shared" si="7"/>
        <v>19565.281000000003</v>
      </c>
      <c r="BC346" s="16">
        <f t="shared" si="7"/>
        <v>20052.022999999994</v>
      </c>
      <c r="BD346" s="16">
        <f t="shared" si="7"/>
        <v>23935.253000000001</v>
      </c>
      <c r="BE346" s="16">
        <f t="shared" si="7"/>
        <v>5392.554000000001</v>
      </c>
      <c r="BF346" s="16">
        <f t="shared" si="7"/>
        <v>5392.554000000001</v>
      </c>
      <c r="BG346" s="16">
        <f t="shared" si="7"/>
        <v>8261.4079999999994</v>
      </c>
      <c r="BH346" s="16">
        <f t="shared" si="7"/>
        <v>23622.276000000002</v>
      </c>
      <c r="BI346" s="16">
        <f t="shared" si="7"/>
        <v>7341.7819999999992</v>
      </c>
      <c r="BJ346" s="21"/>
    </row>
    <row r="347" spans="1:62" x14ac:dyDescent="0.25">
      <c r="A347" t="s">
        <v>611</v>
      </c>
      <c r="B347">
        <v>7</v>
      </c>
      <c r="D347">
        <v>4</v>
      </c>
      <c r="E347" s="16">
        <f t="shared" ref="E347:AW347" si="8">SUMIF($D$6:$D$338,$D$347,E6:E338)</f>
        <v>1464896.3529999999</v>
      </c>
      <c r="F347" s="16">
        <f t="shared" si="8"/>
        <v>295531.95600000006</v>
      </c>
      <c r="G347" s="16">
        <f t="shared" si="8"/>
        <v>624.68499999999995</v>
      </c>
      <c r="H347" s="16">
        <f t="shared" si="8"/>
        <v>45522.559999999998</v>
      </c>
      <c r="I347" s="16">
        <f t="shared" si="8"/>
        <v>8973.7470000000012</v>
      </c>
      <c r="J347" s="16">
        <f t="shared" si="8"/>
        <v>373.75799999999998</v>
      </c>
      <c r="K347" s="16">
        <f t="shared" si="8"/>
        <v>0</v>
      </c>
      <c r="L347" s="16">
        <f t="shared" si="8"/>
        <v>3500540.9249999993</v>
      </c>
      <c r="M347" s="16">
        <f t="shared" si="8"/>
        <v>188260.40400000004</v>
      </c>
      <c r="N347" s="16">
        <f>SUMIF($D$6:$D$338,$D$347,N6:N338)</f>
        <v>0</v>
      </c>
      <c r="O347" s="16">
        <f t="shared" si="8"/>
        <v>2296.1020000000003</v>
      </c>
      <c r="P347" s="16">
        <f t="shared" si="8"/>
        <v>33.08</v>
      </c>
      <c r="Q347" s="16">
        <f t="shared" si="8"/>
        <v>948.14499999999998</v>
      </c>
      <c r="R347" s="16">
        <f t="shared" si="8"/>
        <v>95.41</v>
      </c>
      <c r="S347" s="16">
        <f t="shared" si="8"/>
        <v>94988.066000000006</v>
      </c>
      <c r="T347" s="16">
        <f t="shared" si="8"/>
        <v>0</v>
      </c>
      <c r="U347" s="16">
        <f t="shared" si="8"/>
        <v>0</v>
      </c>
      <c r="V347" s="16">
        <f t="shared" si="8"/>
        <v>78.525999999999996</v>
      </c>
      <c r="W347" s="16">
        <f t="shared" si="8"/>
        <v>30789.835000000003</v>
      </c>
      <c r="X347" s="16">
        <f t="shared" si="8"/>
        <v>179889.94700000001</v>
      </c>
      <c r="Y347" s="16">
        <f t="shared" si="8"/>
        <v>705364.97899999993</v>
      </c>
      <c r="Z347" s="16">
        <f t="shared" si="8"/>
        <v>37645.164999999994</v>
      </c>
      <c r="AA347" s="16">
        <f t="shared" si="8"/>
        <v>974.30899999999997</v>
      </c>
      <c r="AB347" s="16">
        <f t="shared" si="8"/>
        <v>68134.414000000004</v>
      </c>
      <c r="AC347" s="16">
        <f t="shared" si="8"/>
        <v>55899.384000000005</v>
      </c>
      <c r="AD347" s="16">
        <f t="shared" si="8"/>
        <v>19532.206999999999</v>
      </c>
      <c r="AE347" s="16">
        <f t="shared" si="8"/>
        <v>1762674.2609999995</v>
      </c>
      <c r="AF347" s="16">
        <f t="shared" si="8"/>
        <v>1217810.4359999998</v>
      </c>
      <c r="AG347" s="16">
        <f t="shared" si="8"/>
        <v>87445.23000000001</v>
      </c>
      <c r="AH347" s="16">
        <f t="shared" si="8"/>
        <v>6030612.3720000004</v>
      </c>
      <c r="AI347" s="16">
        <f t="shared" si="8"/>
        <v>1950891.6569999997</v>
      </c>
      <c r="AJ347" s="16">
        <f t="shared" si="8"/>
        <v>211568.277</v>
      </c>
      <c r="AK347" s="16">
        <f t="shared" si="8"/>
        <v>2343810.057</v>
      </c>
      <c r="AL347" s="16">
        <f t="shared" si="8"/>
        <v>1265372.0709999998</v>
      </c>
      <c r="AM347" s="16">
        <f>SUMIF($D$6:$D$338,$D$347,AM6:AM338)</f>
        <v>0</v>
      </c>
      <c r="AN347" s="16">
        <f>SUMIF($D$6:$D$338,$D$347,AN6:AN338)</f>
        <v>836693.57799999998</v>
      </c>
      <c r="AO347" s="16">
        <f>SUMIF($D$6:$D$338,$D$347,AO6:AO338)</f>
        <v>59580.486999999994</v>
      </c>
      <c r="AP347" s="16">
        <f t="shared" si="8"/>
        <v>72661.684999999998</v>
      </c>
      <c r="AQ347" s="16">
        <f t="shared" si="8"/>
        <v>451186.429</v>
      </c>
      <c r="AR347" s="16">
        <f t="shared" si="8"/>
        <v>23283.286</v>
      </c>
      <c r="AS347" s="16">
        <f t="shared" si="8"/>
        <v>922.298</v>
      </c>
      <c r="AT347" s="16">
        <f t="shared" si="8"/>
        <v>0</v>
      </c>
      <c r="AU347" s="16">
        <f t="shared" si="8"/>
        <v>10555.864000000001</v>
      </c>
      <c r="AV347" s="16">
        <f t="shared" si="8"/>
        <v>70541.038</v>
      </c>
      <c r="AW347" s="16">
        <f t="shared" si="8"/>
        <v>111901.603</v>
      </c>
      <c r="AX347" s="16">
        <f>SUMIF($D$6:$D$338,$D$347,AX6:AX338)</f>
        <v>205073.636</v>
      </c>
      <c r="AY347" s="16">
        <f t="shared" ref="AY347:BI347" si="9">SUMIF($D$6:$D$338,$D$347,AY6:AY338)</f>
        <v>10185.079999999998</v>
      </c>
      <c r="AZ347" s="16">
        <f t="shared" si="9"/>
        <v>342758.53900000011</v>
      </c>
      <c r="BA347" s="16">
        <f t="shared" si="9"/>
        <v>150573.49000000002</v>
      </c>
      <c r="BB347" s="16">
        <f t="shared" si="9"/>
        <v>20134.998</v>
      </c>
      <c r="BC347" s="16">
        <f t="shared" si="9"/>
        <v>31.297999999999998</v>
      </c>
      <c r="BD347" s="16">
        <f t="shared" si="9"/>
        <v>375987.93500000006</v>
      </c>
      <c r="BE347" s="16">
        <f t="shared" si="9"/>
        <v>5539.05</v>
      </c>
      <c r="BF347" s="16">
        <f t="shared" si="9"/>
        <v>5539.05</v>
      </c>
      <c r="BG347" s="16">
        <f t="shared" si="9"/>
        <v>129774.664</v>
      </c>
      <c r="BH347" s="16">
        <f t="shared" si="9"/>
        <v>92847.45</v>
      </c>
      <c r="BI347" s="16">
        <f t="shared" si="9"/>
        <v>11.889000000000001</v>
      </c>
      <c r="BJ347" s="21"/>
    </row>
    <row r="348" spans="1:62" x14ac:dyDescent="0.25">
      <c r="A348" t="s">
        <v>612</v>
      </c>
      <c r="D348">
        <v>5</v>
      </c>
      <c r="E348" s="16">
        <f t="shared" ref="E348:AW348" si="10">SUMIF($D$6:$D$338,$D$348,E6:E338)</f>
        <v>690113.38600000006</v>
      </c>
      <c r="F348" s="16">
        <f t="shared" si="10"/>
        <v>25936.581999999999</v>
      </c>
      <c r="G348" s="16">
        <f t="shared" si="10"/>
        <v>76391.931000000011</v>
      </c>
      <c r="H348" s="16">
        <f t="shared" si="10"/>
        <v>995507.35900000005</v>
      </c>
      <c r="I348" s="16">
        <f t="shared" si="10"/>
        <v>10658.365</v>
      </c>
      <c r="J348" s="16">
        <f t="shared" si="10"/>
        <v>72727.019</v>
      </c>
      <c r="K348" s="16">
        <f t="shared" si="10"/>
        <v>18534.526999999998</v>
      </c>
      <c r="L348" s="16">
        <f t="shared" si="10"/>
        <v>348441.21499999997</v>
      </c>
      <c r="M348" s="16">
        <f t="shared" si="10"/>
        <v>374590.07</v>
      </c>
      <c r="N348" s="16">
        <f>SUMIF($D$6:$D$338,$D$348,N6:N338)</f>
        <v>0</v>
      </c>
      <c r="O348" s="16">
        <f t="shared" si="10"/>
        <v>0</v>
      </c>
      <c r="P348" s="16">
        <f t="shared" si="10"/>
        <v>1830.3489999999999</v>
      </c>
      <c r="Q348" s="16">
        <f t="shared" si="10"/>
        <v>0</v>
      </c>
      <c r="R348" s="16">
        <f t="shared" si="10"/>
        <v>38.628</v>
      </c>
      <c r="S348" s="16">
        <f t="shared" si="10"/>
        <v>-6631.9340000000002</v>
      </c>
      <c r="T348" s="16">
        <f t="shared" si="10"/>
        <v>0</v>
      </c>
      <c r="U348" s="16">
        <f t="shared" si="10"/>
        <v>2577.8139999999999</v>
      </c>
      <c r="V348" s="16">
        <f t="shared" si="10"/>
        <v>11886.277000000002</v>
      </c>
      <c r="W348" s="16">
        <f t="shared" si="10"/>
        <v>28677.608</v>
      </c>
      <c r="X348" s="16">
        <f t="shared" si="10"/>
        <v>0</v>
      </c>
      <c r="Y348" s="16">
        <f t="shared" si="10"/>
        <v>152431.88499999995</v>
      </c>
      <c r="Z348" s="16">
        <f t="shared" si="10"/>
        <v>0</v>
      </c>
      <c r="AA348" s="16">
        <f t="shared" si="10"/>
        <v>58456.740999999995</v>
      </c>
      <c r="AB348" s="16">
        <f t="shared" si="10"/>
        <v>0</v>
      </c>
      <c r="AC348" s="16">
        <f t="shared" si="10"/>
        <v>5985.5189999999984</v>
      </c>
      <c r="AD348" s="16">
        <f t="shared" si="10"/>
        <v>0</v>
      </c>
      <c r="AE348" s="16">
        <f t="shared" si="10"/>
        <v>484570.95399999997</v>
      </c>
      <c r="AF348" s="16">
        <f t="shared" si="10"/>
        <v>-79616.729000000007</v>
      </c>
      <c r="AG348" s="16">
        <f t="shared" si="10"/>
        <v>11568.279</v>
      </c>
      <c r="AH348" s="16">
        <f t="shared" si="10"/>
        <v>1437618.0939999998</v>
      </c>
      <c r="AI348" s="16">
        <f t="shared" si="10"/>
        <v>-24421.123999999996</v>
      </c>
      <c r="AJ348" s="16">
        <f t="shared" si="10"/>
        <v>11.111000000000001</v>
      </c>
      <c r="AK348" s="16">
        <f t="shared" si="10"/>
        <v>268.89400000000001</v>
      </c>
      <c r="AL348" s="16">
        <f t="shared" si="10"/>
        <v>113.85299999999999</v>
      </c>
      <c r="AM348" s="16">
        <f>SUMIF($D$6:$D$338,$D$348,AM6:AM338)</f>
        <v>666.37199999999996</v>
      </c>
      <c r="AN348" s="16">
        <f>SUMIF($D$6:$D$338,$D$348,AN6:AN338)</f>
        <v>111.746</v>
      </c>
      <c r="AO348" s="16">
        <f>SUMIF($D$6:$D$338,$D$348,AO6:AO338)</f>
        <v>-4583.0860000000002</v>
      </c>
      <c r="AP348" s="16">
        <f t="shared" si="10"/>
        <v>0</v>
      </c>
      <c r="AQ348" s="16">
        <f t="shared" si="10"/>
        <v>-21360.157999999996</v>
      </c>
      <c r="AR348" s="16">
        <f t="shared" si="10"/>
        <v>0</v>
      </c>
      <c r="AS348" s="16">
        <f t="shared" si="10"/>
        <v>-66.328000000000003</v>
      </c>
      <c r="AT348" s="16">
        <f t="shared" si="10"/>
        <v>0</v>
      </c>
      <c r="AU348" s="16">
        <f t="shared" si="10"/>
        <v>-414.76600000000002</v>
      </c>
      <c r="AV348" s="16">
        <f t="shared" si="10"/>
        <v>0</v>
      </c>
      <c r="AW348" s="16">
        <f t="shared" si="10"/>
        <v>0</v>
      </c>
      <c r="AX348" s="16">
        <f>SUMIF($D$6:$D$338,$D$348,AX6:AX338)</f>
        <v>0</v>
      </c>
      <c r="AY348" s="16">
        <f t="shared" ref="AY348:BI348" si="11">SUMIF($D$6:$D$338,$D$348,AY6:AY338)</f>
        <v>0</v>
      </c>
      <c r="AZ348" s="16">
        <f t="shared" si="11"/>
        <v>0</v>
      </c>
      <c r="BA348" s="16">
        <f t="shared" si="11"/>
        <v>0</v>
      </c>
      <c r="BB348" s="16">
        <f t="shared" si="11"/>
        <v>-1549.5049999999999</v>
      </c>
      <c r="BC348" s="16">
        <f t="shared" si="11"/>
        <v>0</v>
      </c>
      <c r="BD348" s="16">
        <f t="shared" si="11"/>
        <v>0</v>
      </c>
      <c r="BE348" s="16">
        <f t="shared" si="11"/>
        <v>-444.11500000000001</v>
      </c>
      <c r="BF348" s="16">
        <f t="shared" si="11"/>
        <v>-444.11500000000001</v>
      </c>
      <c r="BG348" s="16">
        <f t="shared" si="11"/>
        <v>0</v>
      </c>
      <c r="BH348" s="16">
        <f t="shared" si="11"/>
        <v>0</v>
      </c>
      <c r="BI348" s="16">
        <f t="shared" si="11"/>
        <v>0</v>
      </c>
      <c r="BJ348" s="21"/>
    </row>
    <row r="349" spans="1:62" x14ac:dyDescent="0.25">
      <c r="A349" t="s">
        <v>613</v>
      </c>
      <c r="B349">
        <v>7</v>
      </c>
      <c r="D349">
        <v>6</v>
      </c>
      <c r="E349" s="16">
        <f t="shared" ref="E349:AW349" si="12">SUMIF($D$6:$D$338,$D$349,E6:E338)+SUMIF($D$6:$D$338,$B$349,E6:E338)</f>
        <v>2036240.6700000002</v>
      </c>
      <c r="F349" s="16">
        <f t="shared" si="12"/>
        <v>76248.925999999992</v>
      </c>
      <c r="G349" s="16">
        <f t="shared" si="12"/>
        <v>75969.242999999988</v>
      </c>
      <c r="H349" s="16">
        <f t="shared" si="12"/>
        <v>16485.991000000005</v>
      </c>
      <c r="I349" s="16">
        <f t="shared" si="12"/>
        <v>12016.331999999999</v>
      </c>
      <c r="J349" s="16">
        <f t="shared" si="12"/>
        <v>50061.671000000002</v>
      </c>
      <c r="K349" s="16">
        <f t="shared" si="12"/>
        <v>9336.0889999999981</v>
      </c>
      <c r="L349" s="16">
        <f t="shared" si="12"/>
        <v>2334815.2820000011</v>
      </c>
      <c r="M349" s="16">
        <f t="shared" si="12"/>
        <v>605169.08500000008</v>
      </c>
      <c r="N349" s="16">
        <f>SUMIF($D$6:$D$338,$D$349,N6:N338)+SUMIF($D$6:$D$338,$B$349,N6:N338)</f>
        <v>-0.33300000000000002</v>
      </c>
      <c r="O349" s="16">
        <f t="shared" si="12"/>
        <v>261.41500000000002</v>
      </c>
      <c r="P349" s="16">
        <f t="shared" si="12"/>
        <v>1254.5779999999997</v>
      </c>
      <c r="Q349" s="16">
        <f t="shared" si="12"/>
        <v>295.06399999999985</v>
      </c>
      <c r="R349" s="16">
        <f t="shared" si="12"/>
        <v>901.94200000000001</v>
      </c>
      <c r="S349" s="16">
        <f t="shared" si="12"/>
        <v>14989.612999999998</v>
      </c>
      <c r="T349" s="16">
        <f t="shared" si="12"/>
        <v>0</v>
      </c>
      <c r="U349" s="16">
        <f t="shared" si="12"/>
        <v>7373.4880000000003</v>
      </c>
      <c r="V349" s="16">
        <f t="shared" si="12"/>
        <v>8062.8380000000006</v>
      </c>
      <c r="W349" s="16">
        <f t="shared" si="12"/>
        <v>20440.438999999995</v>
      </c>
      <c r="X349" s="16">
        <f t="shared" si="12"/>
        <v>-9178.0569999999989</v>
      </c>
      <c r="Y349" s="16">
        <f t="shared" si="12"/>
        <v>379498.43500000006</v>
      </c>
      <c r="Z349" s="16">
        <f t="shared" si="12"/>
        <v>-638.74200000000053</v>
      </c>
      <c r="AA349" s="16">
        <f t="shared" si="12"/>
        <v>110342.20600000001</v>
      </c>
      <c r="AB349" s="16">
        <f t="shared" si="12"/>
        <v>10502.559000000001</v>
      </c>
      <c r="AC349" s="16">
        <f t="shared" si="12"/>
        <v>12453.724</v>
      </c>
      <c r="AD349" s="16">
        <f t="shared" si="12"/>
        <v>369.77399999999972</v>
      </c>
      <c r="AE349" s="16">
        <f t="shared" si="12"/>
        <v>1310017.8309999998</v>
      </c>
      <c r="AF349" s="16">
        <f t="shared" si="12"/>
        <v>84701.617999999973</v>
      </c>
      <c r="AG349" s="16">
        <f t="shared" si="12"/>
        <v>2547.8219999999974</v>
      </c>
      <c r="AH349" s="16">
        <f t="shared" si="12"/>
        <v>4752207.3409999991</v>
      </c>
      <c r="AI349" s="16">
        <f t="shared" si="12"/>
        <v>181973.40899999999</v>
      </c>
      <c r="AJ349" s="16">
        <f t="shared" si="12"/>
        <v>-4817.9749999999949</v>
      </c>
      <c r="AK349" s="16">
        <f t="shared" si="12"/>
        <v>311703.51300000004</v>
      </c>
      <c r="AL349" s="16">
        <f t="shared" si="12"/>
        <v>167994.88600000003</v>
      </c>
      <c r="AM349" s="16">
        <f>SUMIF($D$6:$D$338,$D$349,AM6:AM338)+SUMIF($D$6:$D$338,$B$349,AM6:AM338)</f>
        <v>1664.126</v>
      </c>
      <c r="AN349" s="16">
        <f>SUMIF($D$6:$D$338,$D$349,AN6:AN338)+SUMIF($D$6:$D$338,$B$349,AN6:AN338)</f>
        <v>110484.98699999999</v>
      </c>
      <c r="AO349" s="16">
        <f>SUMIF($D$6:$D$338,$D$349,AO6:AO338)+SUMIF($D$6:$D$338,$B$349,AO6:AO338)</f>
        <v>6508.085</v>
      </c>
      <c r="AP349" s="16">
        <f t="shared" si="12"/>
        <v>16.895</v>
      </c>
      <c r="AQ349" s="16">
        <f t="shared" si="12"/>
        <v>20129.189000000002</v>
      </c>
      <c r="AR349" s="16">
        <f t="shared" si="12"/>
        <v>2.9039999999999999</v>
      </c>
      <c r="AS349" s="16">
        <f t="shared" si="12"/>
        <v>123.36299999999999</v>
      </c>
      <c r="AT349" s="16">
        <f t="shared" si="12"/>
        <v>0</v>
      </c>
      <c r="AU349" s="16">
        <f t="shared" si="12"/>
        <v>1923.3970000000004</v>
      </c>
      <c r="AV349" s="16">
        <f t="shared" si="12"/>
        <v>6.3780000000000019</v>
      </c>
      <c r="AW349" s="16">
        <f t="shared" si="12"/>
        <v>-28.095000000000002</v>
      </c>
      <c r="AX349" s="16">
        <f>SUMIF($D$6:$D$338,$D$349,AX6:AX338)+SUMIF($D$6:$D$338,$B$349,AX6:AX338)</f>
        <v>-10492.653</v>
      </c>
      <c r="AY349" s="16">
        <f t="shared" ref="AY349:BI349" si="13">SUMIF($D$6:$D$338,$D$349,AY6:AY338)+SUMIF($D$6:$D$338,$B$349,AY6:AY338)</f>
        <v>2529.6130000000003</v>
      </c>
      <c r="AZ349" s="16">
        <f t="shared" si="13"/>
        <v>24084.856</v>
      </c>
      <c r="BA349" s="16">
        <f t="shared" si="13"/>
        <v>-7650.7869999999994</v>
      </c>
      <c r="BB349" s="16">
        <f t="shared" si="13"/>
        <v>2160.4749999999999</v>
      </c>
      <c r="BC349" s="16">
        <f t="shared" si="13"/>
        <v>1321.5459999999998</v>
      </c>
      <c r="BD349" s="16">
        <f t="shared" si="13"/>
        <v>28225.035000000003</v>
      </c>
      <c r="BE349" s="16">
        <f t="shared" si="13"/>
        <v>585.88100000000009</v>
      </c>
      <c r="BF349" s="16">
        <f t="shared" si="13"/>
        <v>585.88100000000009</v>
      </c>
      <c r="BG349" s="16">
        <f t="shared" si="13"/>
        <v>9656.2980000000007</v>
      </c>
      <c r="BH349" s="16">
        <f t="shared" si="13"/>
        <v>-1851.2830000000106</v>
      </c>
      <c r="BI349" s="16">
        <f t="shared" si="13"/>
        <v>472.14699999999993</v>
      </c>
      <c r="BJ349" s="21"/>
    </row>
    <row r="350" spans="1:62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21"/>
    </row>
    <row r="351" spans="1:62" x14ac:dyDescent="0.25">
      <c r="E351">
        <f t="shared" ref="E351:M351" si="14">SUM(E344:E350)</f>
        <v>9250865.3640000001</v>
      </c>
      <c r="F351">
        <f t="shared" si="14"/>
        <v>1036290.0310000001</v>
      </c>
      <c r="G351">
        <f t="shared" si="14"/>
        <v>994785.23900000018</v>
      </c>
      <c r="H351">
        <f t="shared" si="14"/>
        <v>1131964.6029999999</v>
      </c>
      <c r="I351">
        <f t="shared" si="14"/>
        <v>135734.01700000002</v>
      </c>
      <c r="J351">
        <f t="shared" si="14"/>
        <v>698430.06499999983</v>
      </c>
      <c r="K351">
        <f t="shared" si="14"/>
        <v>250509.291</v>
      </c>
      <c r="L351" s="17">
        <f t="shared" si="14"/>
        <v>9885238.847000001</v>
      </c>
      <c r="M351">
        <f t="shared" si="14"/>
        <v>2969607.6269999999</v>
      </c>
      <c r="N351">
        <f>SUM(N344:N350)</f>
        <v>15299.953999999998</v>
      </c>
      <c r="O351">
        <f t="shared" ref="O351:AL351" si="15">SUM(O344:O350)</f>
        <v>13098.233000000002</v>
      </c>
      <c r="P351">
        <f t="shared" si="15"/>
        <v>19584.039000000001</v>
      </c>
      <c r="Q351">
        <f t="shared" si="15"/>
        <v>13804.193000000001</v>
      </c>
      <c r="R351">
        <f t="shared" si="15"/>
        <v>18454.482999999997</v>
      </c>
      <c r="S351">
        <f t="shared" si="15"/>
        <v>326166.04700000002</v>
      </c>
      <c r="T351">
        <f t="shared" si="15"/>
        <v>999.68899999999996</v>
      </c>
      <c r="U351">
        <f t="shared" si="15"/>
        <v>191060.51</v>
      </c>
      <c r="V351">
        <f t="shared" si="15"/>
        <v>112031.29000000001</v>
      </c>
      <c r="W351">
        <f t="shared" si="15"/>
        <v>246569.345</v>
      </c>
      <c r="X351">
        <f t="shared" si="15"/>
        <v>228314.59600000002</v>
      </c>
      <c r="Y351">
        <f t="shared" si="15"/>
        <v>2427599.91</v>
      </c>
      <c r="Z351">
        <f t="shared" si="15"/>
        <v>109552.837</v>
      </c>
      <c r="AA351">
        <f t="shared" si="15"/>
        <v>1490681.0919999999</v>
      </c>
      <c r="AB351">
        <f t="shared" si="15"/>
        <v>414915.70699999994</v>
      </c>
      <c r="AC351">
        <f t="shared" si="15"/>
        <v>184628.54399999997</v>
      </c>
      <c r="AD351">
        <f t="shared" si="15"/>
        <v>63917.324000000001</v>
      </c>
      <c r="AE351">
        <f t="shared" si="15"/>
        <v>6563321.2060000002</v>
      </c>
      <c r="AF351">
        <f t="shared" si="15"/>
        <v>2023673.1679999996</v>
      </c>
      <c r="AG351">
        <f t="shared" si="15"/>
        <v>302196.65499999997</v>
      </c>
      <c r="AH351">
        <f t="shared" si="15"/>
        <v>20555058.504000001</v>
      </c>
      <c r="AI351">
        <f t="shared" si="15"/>
        <v>3325761.7739999997</v>
      </c>
      <c r="AJ351">
        <f t="shared" si="15"/>
        <v>582721.5830000001</v>
      </c>
      <c r="AK351">
        <f t="shared" si="15"/>
        <v>11336754.994000001</v>
      </c>
      <c r="AL351">
        <f t="shared" si="15"/>
        <v>6110039.9449999994</v>
      </c>
      <c r="AM351">
        <f>SUM(AM344:AM350)</f>
        <v>44946.236999999994</v>
      </c>
      <c r="AN351">
        <f>SUM(AN344:AN350)</f>
        <v>4039524.7609999999</v>
      </c>
      <c r="AO351">
        <f>SUM(AO344:AO350)</f>
        <v>188329.85799999998</v>
      </c>
      <c r="AP351">
        <f>SUM(AP344:AP350)</f>
        <v>81934.775999999998</v>
      </c>
      <c r="AQ351">
        <f t="shared" ref="AQ351:AW351" si="16">SUM(AQ344:AQ350)</f>
        <v>748648.2919999999</v>
      </c>
      <c r="AR351">
        <f t="shared" si="16"/>
        <v>25833.040999999997</v>
      </c>
      <c r="AS351">
        <f t="shared" si="16"/>
        <v>3756.9719999999998</v>
      </c>
      <c r="AT351">
        <f t="shared" si="16"/>
        <v>0</v>
      </c>
      <c r="AU351">
        <f t="shared" si="16"/>
        <v>81438.482999999993</v>
      </c>
      <c r="AV351">
        <f t="shared" si="16"/>
        <v>78250.637000000002</v>
      </c>
      <c r="AW351">
        <f t="shared" si="16"/>
        <v>124986.86900000001</v>
      </c>
      <c r="AX351">
        <f>SUM(AX344:AX350)</f>
        <v>263192.88500000001</v>
      </c>
      <c r="AY351">
        <f t="shared" ref="AY351:BI351" si="17">SUM(AY344:AY350)</f>
        <v>58887.739999999991</v>
      </c>
      <c r="AZ351">
        <f t="shared" si="17"/>
        <v>408855.6540000001</v>
      </c>
      <c r="BA351">
        <f t="shared" si="17"/>
        <v>190927.60500000001</v>
      </c>
      <c r="BB351">
        <f t="shared" si="17"/>
        <v>64029.008000000002</v>
      </c>
      <c r="BC351">
        <f t="shared" si="17"/>
        <v>32480.034999999989</v>
      </c>
      <c r="BD351">
        <f t="shared" si="17"/>
        <v>448916.94400000002</v>
      </c>
      <c r="BE351">
        <f t="shared" si="17"/>
        <v>17638.752</v>
      </c>
      <c r="BF351">
        <f t="shared" si="17"/>
        <v>17638.752</v>
      </c>
      <c r="BG351">
        <f t="shared" si="17"/>
        <v>152060.18600000002</v>
      </c>
      <c r="BH351">
        <f t="shared" si="17"/>
        <v>345296.97899999999</v>
      </c>
      <c r="BI351">
        <f t="shared" si="17"/>
        <v>11673.281999999999</v>
      </c>
      <c r="BJ351" s="21"/>
    </row>
    <row r="352" spans="1:62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21"/>
    </row>
    <row r="353" spans="1:62" x14ac:dyDescent="0.25">
      <c r="A353" s="8"/>
      <c r="B353" s="8"/>
      <c r="C353" s="8"/>
      <c r="D353" s="8"/>
      <c r="E353" s="8">
        <f t="shared" ref="E353:AJ353" si="18">E351-E339</f>
        <v>9250865.3640000001</v>
      </c>
      <c r="F353" s="8">
        <f t="shared" si="18"/>
        <v>1036290.0310000001</v>
      </c>
      <c r="G353" s="8">
        <f t="shared" si="18"/>
        <v>994785.23900000018</v>
      </c>
      <c r="H353" s="8">
        <f t="shared" si="18"/>
        <v>1131964.6029999999</v>
      </c>
      <c r="I353" s="8">
        <f t="shared" si="18"/>
        <v>135734.01700000002</v>
      </c>
      <c r="J353" s="8">
        <f t="shared" si="18"/>
        <v>698430.06499999983</v>
      </c>
      <c r="K353" s="8">
        <f t="shared" si="18"/>
        <v>250509.291</v>
      </c>
      <c r="L353" s="18">
        <f t="shared" si="18"/>
        <v>9885238.847000001</v>
      </c>
      <c r="M353" s="8">
        <f t="shared" si="18"/>
        <v>2969607.6269999999</v>
      </c>
      <c r="N353" s="8">
        <f>N351-N339</f>
        <v>15299.953999999998</v>
      </c>
      <c r="O353" s="8">
        <f t="shared" si="18"/>
        <v>13098.233000000002</v>
      </c>
      <c r="P353" s="8">
        <f t="shared" si="18"/>
        <v>19584.039000000001</v>
      </c>
      <c r="Q353" s="8">
        <f t="shared" si="18"/>
        <v>13804.193000000001</v>
      </c>
      <c r="R353" s="8">
        <f t="shared" si="18"/>
        <v>18454.482999999997</v>
      </c>
      <c r="S353" s="8">
        <f t="shared" si="18"/>
        <v>326166.04700000002</v>
      </c>
      <c r="T353" s="8">
        <f t="shared" si="18"/>
        <v>999.68899999999996</v>
      </c>
      <c r="U353" s="8">
        <f t="shared" si="18"/>
        <v>191060.51</v>
      </c>
      <c r="V353" s="8">
        <f t="shared" si="18"/>
        <v>112031.29000000001</v>
      </c>
      <c r="W353" s="8">
        <f t="shared" si="18"/>
        <v>246569.345</v>
      </c>
      <c r="X353" s="8">
        <f t="shared" si="18"/>
        <v>228314.59600000002</v>
      </c>
      <c r="Y353" s="8">
        <f t="shared" si="18"/>
        <v>2427599.91</v>
      </c>
      <c r="Z353" s="8">
        <f t="shared" si="18"/>
        <v>109552.837</v>
      </c>
      <c r="AA353" s="8">
        <f t="shared" si="18"/>
        <v>1490681.0919999999</v>
      </c>
      <c r="AB353" s="8">
        <f t="shared" si="18"/>
        <v>414915.70699999994</v>
      </c>
      <c r="AC353" s="8">
        <f t="shared" si="18"/>
        <v>184628.54399999997</v>
      </c>
      <c r="AD353" s="8">
        <f t="shared" si="18"/>
        <v>63917.324000000001</v>
      </c>
      <c r="AE353" s="8">
        <f t="shared" si="18"/>
        <v>6563321.2060000002</v>
      </c>
      <c r="AF353" s="8">
        <f t="shared" si="18"/>
        <v>2023673.1679999996</v>
      </c>
      <c r="AG353" s="8">
        <f t="shared" si="18"/>
        <v>302196.65499999997</v>
      </c>
      <c r="AH353" s="8">
        <f t="shared" si="18"/>
        <v>20555058.504000001</v>
      </c>
      <c r="AI353" s="8">
        <f t="shared" si="18"/>
        <v>3325761.7739999997</v>
      </c>
      <c r="AJ353" s="8">
        <f t="shared" si="18"/>
        <v>582721.5830000001</v>
      </c>
      <c r="AK353" s="8">
        <f>AK351-AK339</f>
        <v>11336754.994000001</v>
      </c>
      <c r="AL353" s="8">
        <f>AL351-AL339</f>
        <v>6110039.9449999994</v>
      </c>
      <c r="AM353" s="8">
        <f>AM351-AM339</f>
        <v>44946.236999999994</v>
      </c>
      <c r="AN353" s="8">
        <f>AN351-AN339</f>
        <v>4039524.7609999999</v>
      </c>
      <c r="AO353" s="8">
        <f>AO351-AO339</f>
        <v>188329.85799999998</v>
      </c>
      <c r="AP353" s="8">
        <f t="shared" ref="AP353:AW353" si="19">AP351-AP339</f>
        <v>81934.775999999998</v>
      </c>
      <c r="AQ353" s="8">
        <f t="shared" si="19"/>
        <v>748648.2919999999</v>
      </c>
      <c r="AR353" s="8">
        <f t="shared" si="19"/>
        <v>25833.040999999997</v>
      </c>
      <c r="AS353" s="8">
        <f t="shared" si="19"/>
        <v>3756.9719999999998</v>
      </c>
      <c r="AT353" s="8">
        <f t="shared" si="19"/>
        <v>0</v>
      </c>
      <c r="AU353" s="8">
        <f t="shared" si="19"/>
        <v>81438.482999999993</v>
      </c>
      <c r="AV353" s="8">
        <f t="shared" si="19"/>
        <v>78250.637000000002</v>
      </c>
      <c r="AW353" s="8">
        <f t="shared" si="19"/>
        <v>124986.86900000001</v>
      </c>
      <c r="AX353" s="8">
        <f>AX351-AX339</f>
        <v>263192.88500000001</v>
      </c>
      <c r="AY353" s="8">
        <f t="shared" ref="AY353:BI353" si="20">AY351-AY339</f>
        <v>58887.739999999991</v>
      </c>
      <c r="AZ353" s="8">
        <f t="shared" si="20"/>
        <v>408855.6540000001</v>
      </c>
      <c r="BA353" s="8">
        <f t="shared" si="20"/>
        <v>190927.60500000001</v>
      </c>
      <c r="BB353" s="8">
        <f t="shared" si="20"/>
        <v>64029.008000000002</v>
      </c>
      <c r="BC353" s="8">
        <f t="shared" si="20"/>
        <v>32480.034999999989</v>
      </c>
      <c r="BD353" s="8">
        <f t="shared" si="20"/>
        <v>448916.94400000002</v>
      </c>
      <c r="BE353" s="8">
        <f t="shared" si="20"/>
        <v>17638.752</v>
      </c>
      <c r="BF353" s="8">
        <f t="shared" si="20"/>
        <v>17638.752</v>
      </c>
      <c r="BG353" s="8">
        <f t="shared" si="20"/>
        <v>152060.18600000002</v>
      </c>
      <c r="BH353" s="8">
        <f t="shared" si="20"/>
        <v>345296.97899999999</v>
      </c>
      <c r="BI353" s="8">
        <f t="shared" si="20"/>
        <v>11673.281999999999</v>
      </c>
      <c r="BJ353" s="21"/>
    </row>
    <row r="354" spans="1:62" x14ac:dyDescent="0.25">
      <c r="E354" s="19">
        <f t="shared" ref="E354:M354" si="21">E4</f>
        <v>401</v>
      </c>
      <c r="F354" s="19">
        <f t="shared" si="21"/>
        <v>242</v>
      </c>
      <c r="G354" s="19">
        <f t="shared" si="21"/>
        <v>385</v>
      </c>
      <c r="H354" s="19">
        <f t="shared" si="21"/>
        <v>528</v>
      </c>
      <c r="I354" s="19">
        <f t="shared" si="21"/>
        <v>384</v>
      </c>
      <c r="J354" s="19">
        <f t="shared" si="21"/>
        <v>716</v>
      </c>
      <c r="K354" s="19">
        <f t="shared" si="21"/>
        <v>715</v>
      </c>
      <c r="L354" s="19">
        <f t="shared" si="21"/>
        <v>9916</v>
      </c>
      <c r="M354" s="19">
        <f t="shared" si="21"/>
        <v>1100</v>
      </c>
      <c r="N354" s="19">
        <f>N4</f>
        <v>801</v>
      </c>
      <c r="O354" s="19">
        <f t="shared" ref="O354:T354" si="22">O4</f>
        <v>804</v>
      </c>
      <c r="P354" s="19">
        <f t="shared" si="22"/>
        <v>806</v>
      </c>
      <c r="Q354" s="19">
        <f t="shared" si="22"/>
        <v>8765</v>
      </c>
      <c r="R354" s="19">
        <f t="shared" si="22"/>
        <v>8766</v>
      </c>
      <c r="S354" s="19">
        <f t="shared" si="22"/>
        <v>9418</v>
      </c>
      <c r="T354" s="19">
        <f t="shared" si="22"/>
        <v>9475</v>
      </c>
      <c r="U354" s="19">
        <f>U4</f>
        <v>9906</v>
      </c>
      <c r="V354" s="19">
        <f>V4</f>
        <v>7905</v>
      </c>
      <c r="W354" s="19">
        <f t="shared" ref="W354:AJ354" si="23">W4</f>
        <v>7906</v>
      </c>
      <c r="X354" s="19">
        <f t="shared" si="23"/>
        <v>7907</v>
      </c>
      <c r="Y354" s="19">
        <f t="shared" si="23"/>
        <v>7908</v>
      </c>
      <c r="Z354" s="19">
        <f t="shared" si="23"/>
        <v>7909</v>
      </c>
      <c r="AA354" s="19">
        <f t="shared" si="23"/>
        <v>11310</v>
      </c>
      <c r="AB354" s="19">
        <f t="shared" si="23"/>
        <v>11311</v>
      </c>
      <c r="AC354" s="19">
        <f t="shared" si="23"/>
        <v>11312</v>
      </c>
      <c r="AD354" s="19">
        <f t="shared" si="23"/>
        <v>11335</v>
      </c>
      <c r="AE354" s="19">
        <f t="shared" si="23"/>
        <v>9529</v>
      </c>
      <c r="AF354" s="19">
        <f t="shared" si="23"/>
        <v>961</v>
      </c>
      <c r="AG354" s="19">
        <f t="shared" si="23"/>
        <v>9528</v>
      </c>
      <c r="AH354" s="19">
        <f t="shared" si="23"/>
        <v>964</v>
      </c>
      <c r="AI354" s="19">
        <f t="shared" si="23"/>
        <v>968</v>
      </c>
      <c r="AJ354" s="19">
        <f t="shared" si="23"/>
        <v>8629</v>
      </c>
      <c r="AK354" s="19">
        <f>AK4</f>
        <v>13264</v>
      </c>
      <c r="AL354" s="19">
        <f>AL4</f>
        <v>13263</v>
      </c>
      <c r="AM354" s="19">
        <f>AM4</f>
        <v>13209</v>
      </c>
      <c r="AN354" s="19">
        <f>AN4</f>
        <v>13250</v>
      </c>
      <c r="AO354" s="19">
        <f>AO4</f>
        <v>14281</v>
      </c>
      <c r="AP354" s="19">
        <f t="shared" ref="AP354:AW354" si="24">AP4</f>
        <v>2049</v>
      </c>
      <c r="AQ354" s="19">
        <f t="shared" si="24"/>
        <v>7975</v>
      </c>
      <c r="AR354" s="19">
        <f t="shared" si="24"/>
        <v>8004</v>
      </c>
      <c r="AS354" s="19">
        <f t="shared" si="24"/>
        <v>1008</v>
      </c>
      <c r="AT354" s="19">
        <f t="shared" si="24"/>
        <v>9484</v>
      </c>
      <c r="AU354" s="19">
        <f t="shared" si="24"/>
        <v>682</v>
      </c>
      <c r="AV354" s="19">
        <f t="shared" si="24"/>
        <v>11352</v>
      </c>
      <c r="AW354" s="19">
        <f t="shared" si="24"/>
        <v>2058</v>
      </c>
      <c r="AX354" s="19">
        <f>AX4</f>
        <v>15007</v>
      </c>
      <c r="AY354" s="19">
        <f t="shared" ref="AY354:BI354" si="25">AY4</f>
        <v>15208</v>
      </c>
      <c r="AZ354" s="19">
        <f t="shared" si="25"/>
        <v>15209</v>
      </c>
      <c r="BA354" s="19">
        <f t="shared" si="25"/>
        <v>15210</v>
      </c>
      <c r="BB354" s="19">
        <f t="shared" si="25"/>
        <v>15211</v>
      </c>
      <c r="BC354" s="19">
        <f t="shared" si="25"/>
        <v>15212</v>
      </c>
      <c r="BD354" s="19">
        <f t="shared" si="25"/>
        <v>15232</v>
      </c>
      <c r="BE354" s="19">
        <f t="shared" si="25"/>
        <v>15214</v>
      </c>
      <c r="BF354" s="19">
        <f t="shared" si="25"/>
        <v>15214</v>
      </c>
      <c r="BG354" s="19">
        <f t="shared" si="25"/>
        <v>15233</v>
      </c>
      <c r="BH354" s="19">
        <f t="shared" si="25"/>
        <v>15234</v>
      </c>
      <c r="BI354" s="19">
        <f t="shared" si="25"/>
        <v>15215</v>
      </c>
      <c r="BJ354" s="21"/>
    </row>
    <row r="355" spans="1:62" x14ac:dyDescent="0.25">
      <c r="A355" t="s">
        <v>608</v>
      </c>
      <c r="E355" s="20">
        <f t="shared" ref="E355:AL355" si="26">E344/E351</f>
        <v>0.10634444295648274</v>
      </c>
      <c r="F355" s="20">
        <f t="shared" si="26"/>
        <v>0.17343929172662279</v>
      </c>
      <c r="G355" s="20">
        <f t="shared" si="26"/>
        <v>4.2769935994195013E-2</v>
      </c>
      <c r="H355" s="20">
        <f t="shared" si="26"/>
        <v>1.595692829274804E-2</v>
      </c>
      <c r="I355" s="20">
        <f t="shared" si="26"/>
        <v>7.2864122189797126E-2</v>
      </c>
      <c r="J355" s="20">
        <f t="shared" si="26"/>
        <v>4.3353369961243012E-2</v>
      </c>
      <c r="K355" s="20">
        <f t="shared" si="26"/>
        <v>2.2208641355341986E-2</v>
      </c>
      <c r="L355" s="20">
        <f t="shared" si="26"/>
        <v>0.18089333547491163</v>
      </c>
      <c r="M355" s="20">
        <f t="shared" si="26"/>
        <v>5.1930682894895469E-2</v>
      </c>
      <c r="N355" s="20">
        <f>N344/N351</f>
        <v>7.0872108504378521E-3</v>
      </c>
      <c r="O355" s="20">
        <f t="shared" si="26"/>
        <v>0.79531010022496929</v>
      </c>
      <c r="P355" s="20">
        <f t="shared" si="26"/>
        <v>3.464622389691932E-2</v>
      </c>
      <c r="Q355" s="20">
        <f t="shared" si="26"/>
        <v>0.4705459420916529</v>
      </c>
      <c r="R355" s="20">
        <f t="shared" si="26"/>
        <v>0.1357397007545538</v>
      </c>
      <c r="S355" s="20">
        <f t="shared" si="26"/>
        <v>0.16197395003533274</v>
      </c>
      <c r="T355" s="20">
        <f t="shared" si="26"/>
        <v>3.3179318768136894E-2</v>
      </c>
      <c r="U355" s="20">
        <f t="shared" si="26"/>
        <v>3.8843317229709053E-2</v>
      </c>
      <c r="V355" s="20">
        <f t="shared" si="26"/>
        <v>6.647970401840414E-2</v>
      </c>
      <c r="W355" s="20">
        <f t="shared" si="26"/>
        <v>9.5554153335646805E-2</v>
      </c>
      <c r="X355" s="20">
        <f t="shared" si="26"/>
        <v>0.24581271186008621</v>
      </c>
      <c r="Y355" s="20">
        <f t="shared" si="26"/>
        <v>0.16750638493803535</v>
      </c>
      <c r="Z355" s="20">
        <f t="shared" si="26"/>
        <v>0.59137230740998525</v>
      </c>
      <c r="AA355" s="20">
        <f t="shared" si="26"/>
        <v>6.6056024677879258E-2</v>
      </c>
      <c r="AB355" s="20">
        <f t="shared" si="26"/>
        <v>0.80371592681112947</v>
      </c>
      <c r="AC355" s="20">
        <f t="shared" si="26"/>
        <v>0.16793315555800517</v>
      </c>
      <c r="AD355" s="20">
        <f t="shared" si="26"/>
        <v>0.30504191633554623</v>
      </c>
      <c r="AE355" s="20">
        <f t="shared" si="26"/>
        <v>0.17375913675494734</v>
      </c>
      <c r="AF355" s="20">
        <f t="shared" si="26"/>
        <v>0.30780719675974877</v>
      </c>
      <c r="AG355" s="20">
        <f t="shared" si="26"/>
        <v>0.35017767817449874</v>
      </c>
      <c r="AH355" s="20">
        <f t="shared" si="26"/>
        <v>0.15397102306393903</v>
      </c>
      <c r="AI355" s="20">
        <f t="shared" si="26"/>
        <v>0.28360975743177214</v>
      </c>
      <c r="AJ355" s="20">
        <f t="shared" si="26"/>
        <v>0.57613702631639097</v>
      </c>
      <c r="AK355" s="20">
        <f t="shared" si="26"/>
        <v>0.69193791020019635</v>
      </c>
      <c r="AL355" s="20">
        <f t="shared" si="26"/>
        <v>0.69146427356130813</v>
      </c>
      <c r="AM355" s="20">
        <f>AM344/AM351</f>
        <v>2.6694848781222781E-2</v>
      </c>
      <c r="AN355" s="20">
        <f>AN344/AN351</f>
        <v>0.69155904971069948</v>
      </c>
      <c r="AO355" s="20">
        <f>AO344/AO351</f>
        <v>0.18880372118158772</v>
      </c>
      <c r="AP355" s="20">
        <f>AP344/AP351</f>
        <v>0.11297029725204839</v>
      </c>
      <c r="AQ355" s="20">
        <f t="shared" ref="AQ355:AW355" si="27">AQ344/AQ351</f>
        <v>0.31068370219430091</v>
      </c>
      <c r="AR355" s="20">
        <f t="shared" si="27"/>
        <v>9.8588896289832861E-2</v>
      </c>
      <c r="AS355" s="20">
        <f t="shared" si="27"/>
        <v>0.16938055434003765</v>
      </c>
      <c r="AT355" s="20" t="e">
        <f t="shared" si="27"/>
        <v>#DIV/0!</v>
      </c>
      <c r="AU355" s="20">
        <f t="shared" si="27"/>
        <v>0.16046664326986546</v>
      </c>
      <c r="AV355" s="20">
        <f t="shared" si="27"/>
        <v>9.8442917467879518E-2</v>
      </c>
      <c r="AW355" s="20">
        <f t="shared" si="27"/>
        <v>0.1049179094165484</v>
      </c>
      <c r="AX355" s="20">
        <f>AX344/AX351</f>
        <v>0.25427975760059018</v>
      </c>
      <c r="AY355" s="20">
        <f t="shared" ref="AY355:BI355" si="28">AY344/AY351</f>
        <v>5.4718690172181859E-2</v>
      </c>
      <c r="AZ355" s="20">
        <f t="shared" si="28"/>
        <v>5.0148055430829369E-2</v>
      </c>
      <c r="BA355" s="20">
        <f t="shared" si="28"/>
        <v>0.24494117547852756</v>
      </c>
      <c r="BB355" s="20">
        <f t="shared" si="28"/>
        <v>0.18881321728426589</v>
      </c>
      <c r="BC355" s="20">
        <f t="shared" si="28"/>
        <v>6.5429301415469543E-2</v>
      </c>
      <c r="BD355" s="20">
        <f t="shared" si="28"/>
        <v>4.362302484176226E-2</v>
      </c>
      <c r="BE355" s="20">
        <f t="shared" si="28"/>
        <v>0.19795453782671243</v>
      </c>
      <c r="BF355" s="20">
        <f t="shared" si="28"/>
        <v>0.19795453782671243</v>
      </c>
      <c r="BG355" s="20">
        <f t="shared" si="28"/>
        <v>2.6033086662145734E-2</v>
      </c>
      <c r="BH355" s="20">
        <f t="shared" si="28"/>
        <v>0.58998961876234657</v>
      </c>
      <c r="BI355" s="20">
        <f t="shared" si="28"/>
        <v>7.9781333133218238E-2</v>
      </c>
      <c r="BJ355" s="21"/>
    </row>
    <row r="356" spans="1:62" x14ac:dyDescent="0.25">
      <c r="A356" t="s">
        <v>609</v>
      </c>
      <c r="E356" s="20">
        <f t="shared" ref="E356:AL356" si="29">E345/E351</f>
        <v>0.23040537940316308</v>
      </c>
      <c r="F356" s="20">
        <f t="shared" si="29"/>
        <v>0.17835921457397477</v>
      </c>
      <c r="G356" s="20">
        <f t="shared" si="29"/>
        <v>0.35667411426075646</v>
      </c>
      <c r="H356" s="20">
        <f t="shared" si="29"/>
        <v>0</v>
      </c>
      <c r="I356" s="20">
        <f t="shared" si="29"/>
        <v>0.37995826057369242</v>
      </c>
      <c r="J356" s="20">
        <f t="shared" si="29"/>
        <v>0.34272082058781367</v>
      </c>
      <c r="K356" s="20">
        <f t="shared" si="29"/>
        <v>0.71346399683036099</v>
      </c>
      <c r="L356" s="20">
        <f t="shared" si="29"/>
        <v>9.5451483530552689E-2</v>
      </c>
      <c r="M356" s="20">
        <f t="shared" si="29"/>
        <v>0.20775925930095948</v>
      </c>
      <c r="N356" s="20">
        <f>N345/N351</f>
        <v>0.80513183242250275</v>
      </c>
      <c r="O356" s="20">
        <f t="shared" si="29"/>
        <v>9.4332571423947024E-3</v>
      </c>
      <c r="P356" s="20">
        <f t="shared" si="29"/>
        <v>0.80353858568194225</v>
      </c>
      <c r="Q356" s="20">
        <f t="shared" si="29"/>
        <v>0.15323815017654419</v>
      </c>
      <c r="R356" s="20">
        <f t="shared" si="29"/>
        <v>0.18648455229008587</v>
      </c>
      <c r="S356" s="20">
        <f t="shared" si="29"/>
        <v>0.17493655003275063</v>
      </c>
      <c r="T356" s="20">
        <f t="shared" si="29"/>
        <v>0.96682068123186315</v>
      </c>
      <c r="U356" s="20">
        <f t="shared" si="29"/>
        <v>0.74848659202260048</v>
      </c>
      <c r="V356" s="20">
        <f t="shared" si="29"/>
        <v>0.26369574964280068</v>
      </c>
      <c r="W356" s="20">
        <f t="shared" si="29"/>
        <v>0.22273826861972645</v>
      </c>
      <c r="X356" s="20">
        <f t="shared" si="29"/>
        <v>6.4826166435719241E-3</v>
      </c>
      <c r="Y356" s="20">
        <f t="shared" si="29"/>
        <v>0.18060436202603089</v>
      </c>
      <c r="Z356" s="20">
        <f t="shared" si="29"/>
        <v>3.5302326310362917E-3</v>
      </c>
      <c r="AA356" s="20">
        <f t="shared" si="29"/>
        <v>0.35452128012904321</v>
      </c>
      <c r="AB356" s="20">
        <f t="shared" si="29"/>
        <v>6.7588957291510789E-3</v>
      </c>
      <c r="AC356" s="20">
        <f t="shared" si="29"/>
        <v>0.15388814418641575</v>
      </c>
      <c r="AD356" s="20">
        <f t="shared" si="29"/>
        <v>0.17142602841132712</v>
      </c>
      <c r="AE356" s="20">
        <f t="shared" si="29"/>
        <v>0.17066204682715019</v>
      </c>
      <c r="AF356" s="20">
        <f t="shared" si="29"/>
        <v>6.5134184256773239E-2</v>
      </c>
      <c r="AG356" s="20">
        <f t="shared" si="29"/>
        <v>0.13439887016618368</v>
      </c>
      <c r="AH356" s="20">
        <f t="shared" si="29"/>
        <v>0.13740203816254726</v>
      </c>
      <c r="AI356" s="20">
        <f t="shared" si="29"/>
        <v>5.9569825039428696E-2</v>
      </c>
      <c r="AJ356" s="20">
        <f t="shared" si="29"/>
        <v>3.1450525490489679E-3</v>
      </c>
      <c r="AK356" s="20">
        <f t="shared" si="29"/>
        <v>7.3799069614082197E-2</v>
      </c>
      <c r="AL356" s="20">
        <f t="shared" si="29"/>
        <v>7.3925016377286559E-2</v>
      </c>
      <c r="AM356" s="20">
        <f>AM345/AM351</f>
        <v>0.75868153322824339</v>
      </c>
      <c r="AN356" s="20">
        <f>AN345/AN351</f>
        <v>7.3935564867304945E-2</v>
      </c>
      <c r="AO356" s="20">
        <f>AO345/AO351</f>
        <v>0.17608805290980473</v>
      </c>
      <c r="AP356" s="20">
        <f>AP345/AP351</f>
        <v>0</v>
      </c>
      <c r="AQ356" s="20">
        <f t="shared" ref="AQ356:AW356" si="30">AQ345/AQ351</f>
        <v>6.5637444879123569E-2</v>
      </c>
      <c r="AR356" s="20">
        <f t="shared" si="30"/>
        <v>0</v>
      </c>
      <c r="AS356" s="20">
        <f t="shared" si="30"/>
        <v>0.34678805165436422</v>
      </c>
      <c r="AT356" s="20" t="e">
        <f t="shared" si="30"/>
        <v>#DIV/0!</v>
      </c>
      <c r="AU356" s="20">
        <f t="shared" si="30"/>
        <v>0.38199854484028145</v>
      </c>
      <c r="AV356" s="20">
        <f t="shared" si="30"/>
        <v>0</v>
      </c>
      <c r="AW356" s="20">
        <f t="shared" si="30"/>
        <v>0</v>
      </c>
      <c r="AX356" s="20">
        <f>AX345/AX351</f>
        <v>6.4108077997625202E-3</v>
      </c>
      <c r="AY356" s="20">
        <f t="shared" ref="AY356:BI356" si="31">AY345/AY351</f>
        <v>0.25478220084520142</v>
      </c>
      <c r="AZ356" s="20">
        <f t="shared" si="31"/>
        <v>2.4828762671336318E-3</v>
      </c>
      <c r="BA356" s="20">
        <f t="shared" si="31"/>
        <v>6.4886897837533753E-3</v>
      </c>
      <c r="BB356" s="20">
        <f t="shared" si="31"/>
        <v>0.18160887327818667</v>
      </c>
      <c r="BC356" s="20">
        <f t="shared" si="31"/>
        <v>0.2755545675982185</v>
      </c>
      <c r="BD356" s="20">
        <f t="shared" si="31"/>
        <v>2.6410364229869656E-3</v>
      </c>
      <c r="BE356" s="20">
        <f t="shared" si="31"/>
        <v>0.17425898385554714</v>
      </c>
      <c r="BF356" s="20">
        <f t="shared" si="31"/>
        <v>0.17425898385554714</v>
      </c>
      <c r="BG356" s="20">
        <f t="shared" si="31"/>
        <v>2.6911712445228759E-3</v>
      </c>
      <c r="BH356" s="20">
        <f t="shared" si="31"/>
        <v>7.806874846709852E-2</v>
      </c>
      <c r="BI356" s="20">
        <f t="shared" si="31"/>
        <v>0.24981440523753309</v>
      </c>
      <c r="BJ356" s="21"/>
    </row>
    <row r="357" spans="1:62" x14ac:dyDescent="0.25">
      <c r="A357" t="s">
        <v>610</v>
      </c>
      <c r="E357" s="20">
        <f t="shared" ref="E357:AL357" si="32">E346/E351</f>
        <v>0.21018441091647908</v>
      </c>
      <c r="F357" s="20">
        <f t="shared" si="32"/>
        <v>0.26441177064647459</v>
      </c>
      <c r="G357" s="20">
        <f t="shared" si="32"/>
        <v>0.4467681239890211</v>
      </c>
      <c r="H357" s="20">
        <f t="shared" si="32"/>
        <v>4.9812524923979459E-2</v>
      </c>
      <c r="I357" s="20">
        <f t="shared" si="32"/>
        <v>0.31401245569855929</v>
      </c>
      <c r="J357" s="20">
        <f t="shared" si="32"/>
        <v>0.43758396196761662</v>
      </c>
      <c r="K357" s="20">
        <f t="shared" si="32"/>
        <v>0.15307154416081117</v>
      </c>
      <c r="L357" s="20">
        <f t="shared" si="32"/>
        <v>9.8096454724944715E-2</v>
      </c>
      <c r="M357" s="20">
        <f t="shared" si="32"/>
        <v>0.34698551607673389</v>
      </c>
      <c r="N357" s="20">
        <f>N346/N351</f>
        <v>0.1878027214983784</v>
      </c>
      <c r="O357" s="20">
        <f t="shared" si="32"/>
        <v>0</v>
      </c>
      <c r="P357" s="20">
        <f t="shared" si="32"/>
        <v>2.6035487368055179E-3</v>
      </c>
      <c r="Q357" s="20">
        <f t="shared" si="32"/>
        <v>0.28615566299312101</v>
      </c>
      <c r="R357" s="20">
        <f t="shared" si="32"/>
        <v>0.62163870968371215</v>
      </c>
      <c r="S357" s="20">
        <f t="shared" si="32"/>
        <v>0.34623939873177539</v>
      </c>
      <c r="T357" s="20">
        <f t="shared" si="32"/>
        <v>0</v>
      </c>
      <c r="U357" s="20">
        <f t="shared" si="32"/>
        <v>0.16058553387091867</v>
      </c>
      <c r="V357" s="20">
        <f t="shared" si="32"/>
        <v>0.49105626651268591</v>
      </c>
      <c r="W357" s="20">
        <f t="shared" si="32"/>
        <v>0.35762884068171574</v>
      </c>
      <c r="X357" s="20">
        <f t="shared" si="32"/>
        <v>0</v>
      </c>
      <c r="Y357" s="20">
        <f t="shared" si="32"/>
        <v>0.14221082789544179</v>
      </c>
      <c r="Z357" s="20">
        <f t="shared" si="32"/>
        <v>6.7302255257889854E-2</v>
      </c>
      <c r="AA357" s="20">
        <f t="shared" si="32"/>
        <v>0.465532972628595</v>
      </c>
      <c r="AB357" s="20">
        <f t="shared" si="32"/>
        <v>0</v>
      </c>
      <c r="AC357" s="20">
        <f t="shared" si="32"/>
        <v>0.27553983743705418</v>
      </c>
      <c r="AD357" s="20">
        <f t="shared" si="32"/>
        <v>0.21216136958424606</v>
      </c>
      <c r="AE357" s="20">
        <f t="shared" si="32"/>
        <v>0.11358750830577587</v>
      </c>
      <c r="AF357" s="20">
        <f t="shared" si="32"/>
        <v>2.2763743537464354E-2</v>
      </c>
      <c r="AG357" s="20">
        <f t="shared" si="32"/>
        <v>0.17934649872282671</v>
      </c>
      <c r="AH357" s="20">
        <f t="shared" si="32"/>
        <v>0.11410477749521271</v>
      </c>
      <c r="AI357" s="20">
        <f t="shared" si="32"/>
        <v>2.2847185145378372E-2</v>
      </c>
      <c r="AJ357" s="20">
        <f t="shared" si="32"/>
        <v>6.5897679303908663E-2</v>
      </c>
      <c r="AK357" s="20">
        <f t="shared" si="32"/>
        <v>0</v>
      </c>
      <c r="AL357" s="20">
        <f t="shared" si="32"/>
        <v>0</v>
      </c>
      <c r="AM357" s="20">
        <f>AM346/AM351</f>
        <v>0.16277282567615173</v>
      </c>
      <c r="AN357" s="20">
        <f>AN346/AN351</f>
        <v>0</v>
      </c>
      <c r="AO357" s="20">
        <f>AO346/AO351</f>
        <v>0.30852439765552203</v>
      </c>
      <c r="AP357" s="20">
        <f>AP346/AP351</f>
        <v>0</v>
      </c>
      <c r="AQ357" s="20">
        <f t="shared" ref="AQ357:AW357" si="33">AQ346/AQ351</f>
        <v>2.2655027976741848E-2</v>
      </c>
      <c r="AR357" s="20">
        <f t="shared" si="33"/>
        <v>0</v>
      </c>
      <c r="AS357" s="20">
        <f t="shared" si="33"/>
        <v>0.22316056654135299</v>
      </c>
      <c r="AT357" s="20" t="e">
        <f t="shared" si="33"/>
        <v>#DIV/0!</v>
      </c>
      <c r="AU357" s="20">
        <f t="shared" si="33"/>
        <v>0.30939237903043948</v>
      </c>
      <c r="AV357" s="20">
        <f t="shared" si="33"/>
        <v>0</v>
      </c>
      <c r="AW357" s="20">
        <f t="shared" si="33"/>
        <v>0</v>
      </c>
      <c r="AX357" s="20">
        <f>AX346/AX351</f>
        <v>0</v>
      </c>
      <c r="AY357" s="20">
        <f t="shared" ref="AY357:BI357" si="34">AY346/AY351</f>
        <v>0.47458501548879278</v>
      </c>
      <c r="AZ357" s="20">
        <f t="shared" si="34"/>
        <v>5.0124792942205454E-2</v>
      </c>
      <c r="BA357" s="20">
        <f t="shared" si="34"/>
        <v>0</v>
      </c>
      <c r="BB357" s="20">
        <f t="shared" si="34"/>
        <v>0.30556901646828577</v>
      </c>
      <c r="BC357" s="20">
        <f t="shared" si="34"/>
        <v>0.6173645748842328</v>
      </c>
      <c r="BD357" s="20">
        <f t="shared" si="34"/>
        <v>5.3317775860115449E-2</v>
      </c>
      <c r="BE357" s="20">
        <f t="shared" si="34"/>
        <v>0.30572196944545743</v>
      </c>
      <c r="BF357" s="20">
        <f t="shared" si="34"/>
        <v>0.30572196944545743</v>
      </c>
      <c r="BG357" s="20">
        <f t="shared" si="34"/>
        <v>5.4329855942698888E-2</v>
      </c>
      <c r="BH357" s="20">
        <f t="shared" si="34"/>
        <v>6.8411476023947496E-2</v>
      </c>
      <c r="BI357" s="20">
        <f t="shared" si="34"/>
        <v>0.62893897363226547</v>
      </c>
      <c r="BJ357" s="21"/>
    </row>
    <row r="358" spans="1:62" x14ac:dyDescent="0.25">
      <c r="A358" t="s">
        <v>611</v>
      </c>
      <c r="E358" s="20">
        <f t="shared" ref="E358:AL358" si="35">E347/E351</f>
        <v>0.15835235898045655</v>
      </c>
      <c r="F358" s="20">
        <f t="shared" si="35"/>
        <v>0.28518266813279808</v>
      </c>
      <c r="G358" s="20">
        <f t="shared" si="35"/>
        <v>6.2795965954215351E-4</v>
      </c>
      <c r="H358" s="20">
        <f t="shared" si="35"/>
        <v>4.0215533135359006E-2</v>
      </c>
      <c r="I358" s="20">
        <f t="shared" si="35"/>
        <v>6.6112734289739614E-2</v>
      </c>
      <c r="J358" s="20">
        <f t="shared" si="35"/>
        <v>5.351401933134137E-4</v>
      </c>
      <c r="K358" s="20">
        <f t="shared" si="35"/>
        <v>0</v>
      </c>
      <c r="L358" s="20">
        <f t="shared" si="35"/>
        <v>0.35411799139910038</v>
      </c>
      <c r="M358" s="20">
        <f t="shared" si="35"/>
        <v>6.3395716756757925E-2</v>
      </c>
      <c r="N358" s="20">
        <f>N347/N351</f>
        <v>0</v>
      </c>
      <c r="O358" s="20">
        <f t="shared" si="35"/>
        <v>0.17529860707165615</v>
      </c>
      <c r="P358" s="20">
        <f t="shared" si="35"/>
        <v>1.6891306231569493E-3</v>
      </c>
      <c r="Q358" s="20">
        <f t="shared" si="35"/>
        <v>6.8685290041945943E-2</v>
      </c>
      <c r="R358" s="20">
        <f t="shared" si="35"/>
        <v>5.1700174965616762E-3</v>
      </c>
      <c r="S358" s="20">
        <f t="shared" si="35"/>
        <v>0.2912261005511711</v>
      </c>
      <c r="T358" s="20">
        <f t="shared" si="35"/>
        <v>0</v>
      </c>
      <c r="U358" s="20">
        <f t="shared" si="35"/>
        <v>0</v>
      </c>
      <c r="V358" s="20">
        <f t="shared" si="35"/>
        <v>7.00929177910921E-4</v>
      </c>
      <c r="W358" s="20">
        <f t="shared" si="35"/>
        <v>0.12487292367994896</v>
      </c>
      <c r="X358" s="20">
        <f t="shared" si="35"/>
        <v>0.7879038403659484</v>
      </c>
      <c r="Y358" s="20">
        <f t="shared" si="35"/>
        <v>0.29056063814073874</v>
      </c>
      <c r="Z358" s="20">
        <f t="shared" si="35"/>
        <v>0.3436256516113772</v>
      </c>
      <c r="AA358" s="20">
        <f t="shared" si="35"/>
        <v>6.5359989150516444E-4</v>
      </c>
      <c r="AB358" s="20">
        <f t="shared" si="35"/>
        <v>0.16421266500764217</v>
      </c>
      <c r="AC358" s="20">
        <f t="shared" si="35"/>
        <v>0.30276674878614662</v>
      </c>
      <c r="AD358" s="20">
        <f t="shared" si="35"/>
        <v>0.30558549353536762</v>
      </c>
      <c r="AE358" s="20">
        <f t="shared" si="35"/>
        <v>0.26856437551595269</v>
      </c>
      <c r="AF358" s="20">
        <f t="shared" si="35"/>
        <v>0.60178217276239543</v>
      </c>
      <c r="AG358" s="20">
        <f t="shared" si="35"/>
        <v>0.28936531411970795</v>
      </c>
      <c r="AH358" s="20">
        <f t="shared" si="35"/>
        <v>0.2933882368092724</v>
      </c>
      <c r="AI358" s="20">
        <f t="shared" si="35"/>
        <v>0.58659993997513538</v>
      </c>
      <c r="AJ358" s="20">
        <f t="shared" si="35"/>
        <v>0.36306923095381549</v>
      </c>
      <c r="AK358" s="20">
        <f t="shared" si="35"/>
        <v>0.20674435129280522</v>
      </c>
      <c r="AL358" s="20">
        <f t="shared" si="35"/>
        <v>0.20709718469770166</v>
      </c>
      <c r="AM358" s="20">
        <f>AM347/AM351</f>
        <v>0</v>
      </c>
      <c r="AN358" s="20">
        <f>AN347/AN351</f>
        <v>0.20712673581752553</v>
      </c>
      <c r="AO358" s="20">
        <f>AO347/AO351</f>
        <v>0.3163624060078673</v>
      </c>
      <c r="AP358" s="20">
        <f>AP347/AP351</f>
        <v>0.88682350214761063</v>
      </c>
      <c r="AQ358" s="20">
        <f t="shared" ref="AQ358:AW358" si="36">AQ347/AQ351</f>
        <v>0.60266808035407904</v>
      </c>
      <c r="AR358" s="20">
        <f t="shared" si="36"/>
        <v>0.90129868953484815</v>
      </c>
      <c r="AS358" s="20">
        <f t="shared" si="36"/>
        <v>0.24548971884805104</v>
      </c>
      <c r="AT358" s="20" t="e">
        <f t="shared" si="36"/>
        <v>#DIV/0!</v>
      </c>
      <c r="AU358" s="20">
        <f t="shared" si="36"/>
        <v>0.12961764034823686</v>
      </c>
      <c r="AV358" s="20">
        <f t="shared" si="36"/>
        <v>0.90147557520841648</v>
      </c>
      <c r="AW358" s="20">
        <f t="shared" si="36"/>
        <v>0.89530687419652055</v>
      </c>
      <c r="AX358" s="20">
        <f>AX347/AX351</f>
        <v>0.77917621519289926</v>
      </c>
      <c r="AY358" s="20">
        <f t="shared" ref="AY358:BI358" si="37">AY347/AY351</f>
        <v>0.17295756298339857</v>
      </c>
      <c r="AZ358" s="20">
        <f t="shared" si="37"/>
        <v>0.8383363068277393</v>
      </c>
      <c r="BA358" s="20">
        <f t="shared" si="37"/>
        <v>0.7886417995972872</v>
      </c>
      <c r="BB358" s="20">
        <f t="shared" si="37"/>
        <v>0.31446681166761165</v>
      </c>
      <c r="BC358" s="20">
        <f t="shared" si="37"/>
        <v>9.6360733601426253E-4</v>
      </c>
      <c r="BD358" s="20">
        <f t="shared" si="37"/>
        <v>0.83754453919654237</v>
      </c>
      <c r="BE358" s="20">
        <f t="shared" si="37"/>
        <v>0.31402731893957125</v>
      </c>
      <c r="BF358" s="20">
        <f t="shared" si="37"/>
        <v>0.31402731893957125</v>
      </c>
      <c r="BG358" s="20">
        <f t="shared" si="37"/>
        <v>0.85344275456824703</v>
      </c>
      <c r="BH358" s="20">
        <f t="shared" si="37"/>
        <v>0.26889157926863877</v>
      </c>
      <c r="BI358" s="20">
        <f t="shared" si="37"/>
        <v>1.0184796358042238E-3</v>
      </c>
      <c r="BJ358" s="21"/>
    </row>
    <row r="359" spans="1:62" x14ac:dyDescent="0.25">
      <c r="A359" t="s">
        <v>612</v>
      </c>
      <c r="E359" s="20">
        <f t="shared" ref="E359:AL359" si="38">E348/E351</f>
        <v>7.4599873508655254E-2</v>
      </c>
      <c r="F359" s="20">
        <f t="shared" si="38"/>
        <v>2.5028304069442502E-2</v>
      </c>
      <c r="G359" s="20">
        <f t="shared" si="38"/>
        <v>7.6792384934051078E-2</v>
      </c>
      <c r="H359" s="20">
        <f t="shared" si="38"/>
        <v>0.87945096194849848</v>
      </c>
      <c r="I359" s="20">
        <f t="shared" si="38"/>
        <v>7.8523904586128901E-2</v>
      </c>
      <c r="J359" s="20">
        <f t="shared" si="38"/>
        <v>0.10412927885628752</v>
      </c>
      <c r="K359" s="20">
        <f t="shared" si="38"/>
        <v>7.3987383565745662E-2</v>
      </c>
      <c r="L359" s="20">
        <f t="shared" si="38"/>
        <v>3.5248638944697409E-2</v>
      </c>
      <c r="M359" s="20">
        <f t="shared" si="38"/>
        <v>0.12614126748402241</v>
      </c>
      <c r="N359" s="20">
        <f>N348/N351</f>
        <v>0</v>
      </c>
      <c r="O359" s="20">
        <f t="shared" si="38"/>
        <v>0</v>
      </c>
      <c r="P359" s="20">
        <f t="shared" si="38"/>
        <v>9.3461262000142042E-2</v>
      </c>
      <c r="Q359" s="20">
        <f t="shared" si="38"/>
        <v>0</v>
      </c>
      <c r="R359" s="20">
        <f t="shared" si="38"/>
        <v>2.0931499408571893E-3</v>
      </c>
      <c r="S359" s="20">
        <f t="shared" si="38"/>
        <v>-2.0332999283644015E-2</v>
      </c>
      <c r="T359" s="20">
        <f t="shared" si="38"/>
        <v>0</v>
      </c>
      <c r="U359" s="20">
        <f t="shared" si="38"/>
        <v>1.3492133984149836E-2</v>
      </c>
      <c r="V359" s="20">
        <f t="shared" si="38"/>
        <v>0.10609783213243372</v>
      </c>
      <c r="W359" s="20">
        <f t="shared" si="38"/>
        <v>0.11630646137296589</v>
      </c>
      <c r="X359" s="20">
        <f t="shared" si="38"/>
        <v>0</v>
      </c>
      <c r="Y359" s="20">
        <f t="shared" si="38"/>
        <v>6.2791189096723904E-2</v>
      </c>
      <c r="Z359" s="20">
        <f t="shared" si="38"/>
        <v>0</v>
      </c>
      <c r="AA359" s="20">
        <f t="shared" si="38"/>
        <v>3.9214786659412457E-2</v>
      </c>
      <c r="AB359" s="20">
        <f t="shared" si="38"/>
        <v>0</v>
      </c>
      <c r="AC359" s="20">
        <f t="shared" si="38"/>
        <v>3.2419250405831067E-2</v>
      </c>
      <c r="AD359" s="20">
        <f t="shared" si="38"/>
        <v>0</v>
      </c>
      <c r="AE359" s="20">
        <f t="shared" si="38"/>
        <v>7.3830144646435877E-2</v>
      </c>
      <c r="AF359" s="20">
        <f t="shared" si="38"/>
        <v>-3.934268154510611E-2</v>
      </c>
      <c r="AG359" s="20">
        <f t="shared" si="38"/>
        <v>3.82806321929672E-2</v>
      </c>
      <c r="AH359" s="20">
        <f t="shared" si="38"/>
        <v>6.993986875397315E-2</v>
      </c>
      <c r="AI359" s="20">
        <f t="shared" si="38"/>
        <v>-7.3430166258204154E-3</v>
      </c>
      <c r="AJ359" s="20">
        <f t="shared" si="38"/>
        <v>1.9067424863170032E-5</v>
      </c>
      <c r="AK359" s="20">
        <f t="shared" si="38"/>
        <v>2.3718780210237646E-5</v>
      </c>
      <c r="AL359" s="20">
        <f t="shared" si="38"/>
        <v>1.8633757066215056E-5</v>
      </c>
      <c r="AM359" s="20">
        <f>AM348/AM351</f>
        <v>1.4825979758883931E-2</v>
      </c>
      <c r="AN359" s="20">
        <f>AN348/AN351</f>
        <v>2.7663155101526558E-5</v>
      </c>
      <c r="AO359" s="20">
        <f>AO348/AO351</f>
        <v>-2.4335418975359714E-2</v>
      </c>
      <c r="AP359" s="20">
        <f>AP348/AP351</f>
        <v>0</v>
      </c>
      <c r="AQ359" s="20">
        <f t="shared" ref="AQ359:AW359" si="39">AQ348/AQ351</f>
        <v>-2.8531632581351028E-2</v>
      </c>
      <c r="AR359" s="20">
        <f t="shared" si="39"/>
        <v>0</v>
      </c>
      <c r="AS359" s="20">
        <f t="shared" si="39"/>
        <v>-1.7654643154114538E-2</v>
      </c>
      <c r="AT359" s="20" t="e">
        <f t="shared" si="39"/>
        <v>#DIV/0!</v>
      </c>
      <c r="AU359" s="20">
        <f t="shared" si="39"/>
        <v>-5.0929976188284357E-3</v>
      </c>
      <c r="AV359" s="20">
        <f t="shared" si="39"/>
        <v>0</v>
      </c>
      <c r="AW359" s="20">
        <f t="shared" si="39"/>
        <v>0</v>
      </c>
      <c r="AX359" s="20">
        <f>AX348/AX351</f>
        <v>0</v>
      </c>
      <c r="AY359" s="20">
        <f t="shared" ref="AY359:BI359" si="40">AY348/AY351</f>
        <v>0</v>
      </c>
      <c r="AZ359" s="20">
        <f t="shared" si="40"/>
        <v>0</v>
      </c>
      <c r="BA359" s="20">
        <f t="shared" si="40"/>
        <v>0</v>
      </c>
      <c r="BB359" s="20">
        <f t="shared" si="40"/>
        <v>-2.4200046953718225E-2</v>
      </c>
      <c r="BC359" s="20">
        <f t="shared" si="40"/>
        <v>0</v>
      </c>
      <c r="BD359" s="20">
        <f t="shared" si="40"/>
        <v>0</v>
      </c>
      <c r="BE359" s="20">
        <f t="shared" si="40"/>
        <v>-2.5178368628347401E-2</v>
      </c>
      <c r="BF359" s="20">
        <f t="shared" si="40"/>
        <v>-2.5178368628347401E-2</v>
      </c>
      <c r="BG359" s="20">
        <f t="shared" si="40"/>
        <v>0</v>
      </c>
      <c r="BH359" s="20">
        <f t="shared" si="40"/>
        <v>0</v>
      </c>
      <c r="BI359" s="20">
        <f t="shared" si="40"/>
        <v>0</v>
      </c>
      <c r="BJ359" s="21"/>
    </row>
    <row r="360" spans="1:62" x14ac:dyDescent="0.25">
      <c r="A360" t="s">
        <v>613</v>
      </c>
      <c r="E360" s="20">
        <f t="shared" ref="E360:M360" si="41">E349/E351</f>
        <v>0.22011353423476332</v>
      </c>
      <c r="F360" s="20">
        <f t="shared" si="41"/>
        <v>7.3578750850687269E-2</v>
      </c>
      <c r="G360" s="20">
        <f t="shared" si="41"/>
        <v>7.6367481162434067E-2</v>
      </c>
      <c r="H360" s="20">
        <f t="shared" si="41"/>
        <v>1.4564051699415204E-2</v>
      </c>
      <c r="I360" s="20">
        <f t="shared" si="41"/>
        <v>8.852852266208254E-2</v>
      </c>
      <c r="J360" s="20">
        <f t="shared" si="41"/>
        <v>7.1677428433725876E-2</v>
      </c>
      <c r="K360" s="20">
        <f t="shared" si="41"/>
        <v>3.7268434087740075E-2</v>
      </c>
      <c r="L360" s="20">
        <f t="shared" si="41"/>
        <v>0.23619209592579316</v>
      </c>
      <c r="M360" s="20">
        <f t="shared" si="41"/>
        <v>0.20378755748663091</v>
      </c>
      <c r="N360" s="20">
        <f>N349/N351</f>
        <v>-2.1764771318920308E-5</v>
      </c>
      <c r="O360" s="20">
        <f t="shared" ref="O360:AL360" si="42">O349/O351</f>
        <v>1.9958035560979866E-2</v>
      </c>
      <c r="P360" s="20">
        <f t="shared" si="42"/>
        <v>6.4061249061033818E-2</v>
      </c>
      <c r="Q360" s="20">
        <f t="shared" si="42"/>
        <v>2.1374954696735973E-2</v>
      </c>
      <c r="R360" s="20">
        <f t="shared" si="42"/>
        <v>4.887386983422945E-2</v>
      </c>
      <c r="S360" s="20">
        <f t="shared" si="42"/>
        <v>4.5956999932614068E-2</v>
      </c>
      <c r="T360" s="20">
        <f t="shared" si="42"/>
        <v>0</v>
      </c>
      <c r="U360" s="20">
        <f t="shared" si="42"/>
        <v>3.8592422892621818E-2</v>
      </c>
      <c r="V360" s="20">
        <f t="shared" si="42"/>
        <v>7.1969518515764663E-2</v>
      </c>
      <c r="W360" s="20">
        <f t="shared" si="42"/>
        <v>8.2899352309996177E-2</v>
      </c>
      <c r="X360" s="20">
        <f t="shared" si="42"/>
        <v>-4.0199168869606561E-2</v>
      </c>
      <c r="Y360" s="20">
        <f t="shared" si="42"/>
        <v>0.15632659790302927</v>
      </c>
      <c r="Z360" s="20">
        <f t="shared" si="42"/>
        <v>-5.8304469102885993E-3</v>
      </c>
      <c r="AA360" s="20">
        <f t="shared" si="42"/>
        <v>7.4021336013565003E-2</v>
      </c>
      <c r="AB360" s="20">
        <f t="shared" si="42"/>
        <v>2.5312512452077413E-2</v>
      </c>
      <c r="AC360" s="20">
        <f t="shared" si="42"/>
        <v>6.7452863626547385E-2</v>
      </c>
      <c r="AD360" s="20">
        <f t="shared" si="42"/>
        <v>5.7851921335129695E-3</v>
      </c>
      <c r="AE360" s="20">
        <f t="shared" si="42"/>
        <v>0.19959678794973784</v>
      </c>
      <c r="AF360" s="20">
        <f t="shared" si="42"/>
        <v>4.1855384228724424E-2</v>
      </c>
      <c r="AG360" s="20">
        <f t="shared" si="42"/>
        <v>8.4310066238158649E-3</v>
      </c>
      <c r="AH360" s="20">
        <f t="shared" si="42"/>
        <v>0.23119405571505539</v>
      </c>
      <c r="AI360" s="20">
        <f t="shared" si="42"/>
        <v>5.471630903410582E-2</v>
      </c>
      <c r="AJ360" s="20">
        <f t="shared" si="42"/>
        <v>-8.2680565480273173E-3</v>
      </c>
      <c r="AK360" s="20">
        <f t="shared" si="42"/>
        <v>2.7494950112705946E-2</v>
      </c>
      <c r="AL360" s="20">
        <f t="shared" si="42"/>
        <v>2.7494891606637449E-2</v>
      </c>
      <c r="AM360" s="20">
        <f>AM349/AM351</f>
        <v>3.7024812555498256E-2</v>
      </c>
      <c r="AN360" s="20">
        <f>AN349/AN351</f>
        <v>2.7350986449368616E-2</v>
      </c>
      <c r="AO360" s="20">
        <f>AO349/AO351</f>
        <v>3.4556841220577998E-2</v>
      </c>
      <c r="AP360" s="20">
        <f>AP349/AP351</f>
        <v>2.062006003409346E-4</v>
      </c>
      <c r="AQ360" s="20">
        <f t="shared" ref="AQ360:AW360" si="43">AQ349/AQ351</f>
        <v>2.6887377177105754E-2</v>
      </c>
      <c r="AR360" s="20">
        <f t="shared" si="43"/>
        <v>1.1241417531911942E-4</v>
      </c>
      <c r="AS360" s="20">
        <f t="shared" si="43"/>
        <v>3.283575177030864E-2</v>
      </c>
      <c r="AT360" s="20" t="e">
        <f t="shared" si="43"/>
        <v>#DIV/0!</v>
      </c>
      <c r="AU360" s="20">
        <f t="shared" si="43"/>
        <v>2.3617790130005253E-2</v>
      </c>
      <c r="AV360" s="20">
        <f t="shared" si="43"/>
        <v>8.1507323703959136E-5</v>
      </c>
      <c r="AW360" s="20">
        <f t="shared" si="43"/>
        <v>-2.2478361306898568E-4</v>
      </c>
      <c r="AX360" s="20">
        <f>AX349/AX351</f>
        <v>-3.986678059325198E-2</v>
      </c>
      <c r="AY360" s="20">
        <f t="shared" ref="AY360:BI360" si="44">AY349/AY351</f>
        <v>4.2956530510425445E-2</v>
      </c>
      <c r="AZ360" s="20">
        <f t="shared" si="44"/>
        <v>5.8907968532092243E-2</v>
      </c>
      <c r="BA360" s="20">
        <f t="shared" si="44"/>
        <v>-4.0071664859568104E-2</v>
      </c>
      <c r="BB360" s="20">
        <f t="shared" si="44"/>
        <v>3.3742128255368251E-2</v>
      </c>
      <c r="BC360" s="20">
        <f t="shared" si="44"/>
        <v>4.0687948766065067E-2</v>
      </c>
      <c r="BD360" s="20">
        <f t="shared" si="44"/>
        <v>6.2873623678592991E-2</v>
      </c>
      <c r="BE360" s="20">
        <f t="shared" si="44"/>
        <v>3.3215558561059198E-2</v>
      </c>
      <c r="BF360" s="20">
        <f t="shared" si="44"/>
        <v>3.3215558561059198E-2</v>
      </c>
      <c r="BG360" s="20">
        <f t="shared" si="44"/>
        <v>6.3503131582385408E-2</v>
      </c>
      <c r="BH360" s="20">
        <f t="shared" si="44"/>
        <v>-5.3614225220314209E-3</v>
      </c>
      <c r="BI360" s="20">
        <f t="shared" si="44"/>
        <v>4.0446808361178969E-2</v>
      </c>
      <c r="BJ360" s="21"/>
    </row>
    <row r="361" spans="1:62" x14ac:dyDescent="0.25">
      <c r="A361" s="21" t="s">
        <v>696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</sheetData>
  <mergeCells count="3">
    <mergeCell ref="BJ2:BJ361"/>
    <mergeCell ref="A361:BI361"/>
    <mergeCell ref="A2:BI2"/>
  </mergeCells>
  <conditionalFormatting sqref="A18:A34">
    <cfRule type="cellIs" dxfId="3" priority="17" stopIfTrue="1" operator="lessThan">
      <formula>0</formula>
    </cfRule>
  </conditionalFormatting>
  <conditionalFormatting sqref="B24:B34">
    <cfRule type="cellIs" dxfId="2" priority="26" stopIfTrue="1" operator="lessThan">
      <formula>0</formula>
    </cfRule>
  </conditionalFormatting>
  <conditionalFormatting sqref="C17:D25">
    <cfRule type="cellIs" dxfId="1" priority="18" stopIfTrue="1" operator="lessThan">
      <formula>0</formula>
    </cfRule>
  </conditionalFormatting>
  <conditionalFormatting sqref="E16:BI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C7C3C9CE-8672-4DDD-A62D-041E64C2C333}"/>
</file>

<file path=customXml/itemProps2.xml><?xml version="1.0" encoding="utf-8"?>
<ds:datastoreItem xmlns:ds="http://schemas.openxmlformats.org/officeDocument/2006/customXml" ds:itemID="{E7EF121F-48BC-428E-A703-D45A5FE138B8}"/>
</file>

<file path=customXml/itemProps3.xml><?xml version="1.0" encoding="utf-8"?>
<ds:datastoreItem xmlns:ds="http://schemas.openxmlformats.org/officeDocument/2006/customXml" ds:itemID="{2FF7CE21-F665-44FA-9B1B-A6AA0888E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9/2025</dc:title>
  <dc:creator>פרידמן אמיר</dc:creator>
  <cp:lastModifiedBy>Tami Berman</cp:lastModifiedBy>
  <dcterms:created xsi:type="dcterms:W3CDTF">2025-10-27T12:11:51Z</dcterms:created>
  <dcterms:modified xsi:type="dcterms:W3CDTF">2025-10-27T15:38:01Z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