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0" yWindow="0" windowWidth="28800" windowHeight="11475" firstSheet="3" activeTab="7"/>
  </bookViews>
  <sheets>
    <sheet name="גמל תלוי גיל" sheetId="1" r:id="rId2"/>
    <sheet name="מסלולים מתמחים גמל" sheetId="2" r:id="rId3"/>
    <sheet name="השתלמות כללי" sheetId="4" r:id="rId4"/>
    <sheet name=" השתלמות פאסיבי כללי" sheetId="5" r:id="rId5"/>
    <sheet name="מסלולים מתמחים השתלמות " sheetId="6" r:id="rId6"/>
    <sheet name="מרכזית לפיצויים" sheetId="8" r:id="rId7"/>
    <sheet name="מסלולים מתמחים-מרכזית לפיצויים" sheetId="9" r:id="rId8"/>
    <sheet name="חיסכון לכל ילד - מסלולים מתמחים" sheetId="10" r:id="rId9"/>
    <sheet name=" גמל להשקעה כללי " sheetId="11" r:id="rId10"/>
    <sheet name="גמל להשקעה כללי פאסיבי" sheetId="12" r:id="rId11"/>
    <sheet name="גמל להשקעה - מסלולים מתמחים " sheetId="13" r:id="rId12"/>
    <sheet name="מגן" sheetId="14" r:id="rId13"/>
    <sheet name="קרן גמלאות של עורכי דין" sheetId="15" r:id="rId14"/>
  </sheets>
  <definedNames>
    <definedName name="_xlnm.Print_Area" localSheetId="8">' גמל להשקעה כללי '!$B$2:$H$12</definedName>
    <definedName name="_xlnm.Print_Area" localSheetId="3">' השתלמות פאסיבי כללי'!$B$3:$I$28</definedName>
    <definedName name="_xlnm.Print_Area" localSheetId="10">'גמל להשקעה - מסלולים מתמחים '!$B$3:$E$34</definedName>
    <definedName name="_xlnm.Print_Area" localSheetId="9">'גמל להשקעה כללי פאסיבי'!$B$2:$I$27</definedName>
    <definedName name="_xlnm.Print_Area" localSheetId="0">'גמל תלוי גיל'!$B$1:$H$48</definedName>
    <definedName name="_xlnm.Print_Area" localSheetId="2">'השתלמות כללי'!$B$1:$H$11</definedName>
    <definedName name="_xlnm.Print_Area" localSheetId="7">'חיסכון לכל ילד - מסלולים מתמחים'!$B$3:$E$35</definedName>
    <definedName name="_xlnm.Print_Area" localSheetId="11">מגן!$B$2:$H$12</definedName>
    <definedName name="_xlnm.Print_Area" localSheetId="6">'מסלולים מתמחים-מרכזית לפיצויים'!$B$2:$E$10</definedName>
    <definedName name="_xlnm.Print_Area" localSheetId="1">'מסלולים מתמחים גמל'!$B$2:$E$31</definedName>
    <definedName name="_xlnm.Print_Area" localSheetId="4">'מסלולים מתמחים השתלמות '!$B$2:$E$33</definedName>
    <definedName name="_xlnm.Print_Area" localSheetId="5">'מרכזית לפיצויים'!$B$2:$H$33</definedName>
    <definedName name="_xlnm.Print_Area" localSheetId="12">'קרן גמלאות של עורכי דין'!$B$2:$H$12</definedName>
    <definedName name="Z_1E7BC9D9_4D0B_4817_A4C3_8EF85EF5043F_.wvu.Cols" localSheetId="8" hidden="1">' גמל להשקעה כללי '!$C:$C</definedName>
    <definedName name="Z_1E7BC9D9_4D0B_4817_A4C3_8EF85EF5043F_.wvu.Cols" localSheetId="9" hidden="1">'גמל להשקעה כללי פאסיבי'!$C:$C</definedName>
    <definedName name="Z_1E7BC9D9_4D0B_4817_A4C3_8EF85EF5043F_.wvu.Cols" localSheetId="11" hidden="1">מגן!$C:$C</definedName>
    <definedName name="Z_1E7BC9D9_4D0B_4817_A4C3_8EF85EF5043F_.wvu.Cols" localSheetId="12" hidden="1">'קרן גמלאות של עורכי דין'!$C:$C</definedName>
    <definedName name="Z_1E7BC9D9_4D0B_4817_A4C3_8EF85EF5043F_.wvu.PrintArea" localSheetId="8" hidden="1">' גמל להשקעה כללי '!$B$1:$H$13</definedName>
    <definedName name="Z_1E7BC9D9_4D0B_4817_A4C3_8EF85EF5043F_.wvu.PrintArea" localSheetId="9" hidden="1">'גמל להשקעה כללי פאסיבי'!$B$1:$G$28</definedName>
    <definedName name="Z_1E7BC9D9_4D0B_4817_A4C3_8EF85EF5043F_.wvu.PrintArea" localSheetId="11" hidden="1">מגן!$B$1:$H$14</definedName>
    <definedName name="Z_1E7BC9D9_4D0B_4817_A4C3_8EF85EF5043F_.wvu.PrintArea" localSheetId="12" hidden="1">'קרן גמלאות של עורכי דין'!$B$1:$H$14</definedName>
    <definedName name="Z_1E7BC9D9_4D0B_4817_A4C3_8EF85EF5043F_.wvu.Rows" localSheetId="8" hidden="1">' גמל להשקעה כללי '!#REF!</definedName>
    <definedName name="Z_1E7BC9D9_4D0B_4817_A4C3_8EF85EF5043F_.wvu.Rows" localSheetId="9" hidden="1">'גמל להשקעה כללי פאסיבי'!#REF!</definedName>
    <definedName name="Z_1E7BC9D9_4D0B_4817_A4C3_8EF85EF5043F_.wvu.Rows" localSheetId="11" hidden="1">מגן!#REF!</definedName>
    <definedName name="Z_1E7BC9D9_4D0B_4817_A4C3_8EF85EF5043F_.wvu.Rows" localSheetId="12" hidden="1">'קרן גמלאות של עורכי דין'!#REF!</definedName>
    <definedName name="Z_3A5C5383_6F57_40E5_AD89_51555C7DA784_.wvu.Cols" localSheetId="8" hidden="1">' גמל להשקעה כללי '!$C:$C</definedName>
    <definedName name="Z_3A5C5383_6F57_40E5_AD89_51555C7DA784_.wvu.Cols" localSheetId="9" hidden="1">'גמל להשקעה כללי פאסיבי'!$C:$C</definedName>
    <definedName name="Z_3A5C5383_6F57_40E5_AD89_51555C7DA784_.wvu.Cols" localSheetId="11" hidden="1">מגן!$C:$C</definedName>
    <definedName name="Z_3A5C5383_6F57_40E5_AD89_51555C7DA784_.wvu.Cols" localSheetId="12" hidden="1">'קרן גמלאות של עורכי דין'!$C:$C</definedName>
    <definedName name="Z_3A5C5383_6F57_40E5_AD89_51555C7DA784_.wvu.PrintArea" localSheetId="8" hidden="1">' גמל להשקעה כללי '!$B$1:$H$13</definedName>
    <definedName name="Z_3A5C5383_6F57_40E5_AD89_51555C7DA784_.wvu.PrintArea" localSheetId="9" hidden="1">'גמל להשקעה כללי פאסיבי'!$B$1:$G$28</definedName>
    <definedName name="Z_3A5C5383_6F57_40E5_AD89_51555C7DA784_.wvu.PrintArea" localSheetId="11" hidden="1">מגן!$B$1:$H$14</definedName>
    <definedName name="Z_3A5C5383_6F57_40E5_AD89_51555C7DA784_.wvu.PrintArea" localSheetId="12" hidden="1">'קרן גמלאות של עורכי דין'!$B$1:$H$14</definedName>
    <definedName name="Z_3A5C5383_6F57_40E5_AD89_51555C7DA784_.wvu.Rows" localSheetId="8" hidden="1">' גמל להשקעה כללי '!#REF!</definedName>
    <definedName name="Z_3A5C5383_6F57_40E5_AD89_51555C7DA784_.wvu.Rows" localSheetId="9" hidden="1">'גמל להשקעה כללי פאסיבי'!#REF!</definedName>
    <definedName name="Z_3A5C5383_6F57_40E5_AD89_51555C7DA784_.wvu.Rows" localSheetId="11" hidden="1">מגן!#REF!</definedName>
    <definedName name="Z_3A5C5383_6F57_40E5_AD89_51555C7DA784_.wvu.Rows" localSheetId="12" hidden="1">'קרן גמלאות של עורכי דין'!#REF!</definedName>
  </definedNames>
  <calcPr fullCalcOnLoad="1"/>
</workbook>
</file>

<file path=xl/calcChain.xml><?xml version="1.0" encoding="utf-8"?>
<calcChain xmlns="http://schemas.openxmlformats.org/spreadsheetml/2006/main">
  <c r="G48" i="1" l="1"/>
</calcChain>
</file>

<file path=xl/sharedStrings.xml><?xml version="1.0" encoding="utf-8"?>
<sst xmlns="http://schemas.openxmlformats.org/spreadsheetml/2006/main" count="701" uniqueCount="235">
  <si>
    <t>הלמן אלדובי גמל מסלול לבני 50 ומטה</t>
  </si>
  <si>
    <t>אפיק השקעה</t>
  </si>
  <si>
    <t>שיעור חשיפה עדכני</t>
  </si>
  <si>
    <t>טווח סטייה %-/+</t>
  </si>
  <si>
    <t>גבולות שיעור החשיפה הצפויה</t>
  </si>
  <si>
    <t>מדד הייחוס (**)</t>
  </si>
  <si>
    <t>מניות (כולל תעודות סל, אופציות, קרנות נאמנות)</t>
  </si>
  <si>
    <t>42%- מדד ת"א 125,
58%- MSCI WORLD AC</t>
  </si>
  <si>
    <t>אג"ח ממשלתי (צמוד, שקלי ומט"ח), ממשלות זרות בנטרול חשיפות בנגזרים(*)</t>
  </si>
  <si>
    <t>מדד אג"ח ממשלתי כללי</t>
  </si>
  <si>
    <t>אג"ח קונצרני (קרנות נאמנות, תעודות סל, הלוואות לעמיתים)</t>
  </si>
  <si>
    <t xml:space="preserve">35% - תל בונד כללי , 20% - תל בונד 60 ,
15% - תל בונד 50 ,
15% - IBOXX HY - 15%, IBOXX IG
 </t>
  </si>
  <si>
    <t>נדל"ן</t>
  </si>
  <si>
    <t>קרנות השקעה</t>
  </si>
  <si>
    <t>אחר (Co Invest,תשתיות, גידור)</t>
  </si>
  <si>
    <t>מזומנים (*)</t>
  </si>
  <si>
    <t>סה"כ</t>
  </si>
  <si>
    <t>חשיפה למט"ח</t>
  </si>
  <si>
    <t xml:space="preserve">הלמן-אלדובי גמל מסלול לבני 50 עד 60 </t>
  </si>
  <si>
    <t>אחר (קרנות השקעה,Co Invest ,תשתיות, גידור)</t>
  </si>
  <si>
    <t xml:space="preserve">הלמן אלדובי גמל מסלול לבני 60 ומעלה </t>
  </si>
  <si>
    <t xml:space="preserve">הלמן-אלדובי גמל כללי </t>
  </si>
  <si>
    <t>* מוצג בנטרול תוספת החשיפה הנובעת מהשקעה בנגזרים</t>
  </si>
  <si>
    <t>** 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</si>
  <si>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מדיניות השקעה צפויה לשנת 2021</t>
  </si>
  <si>
    <t>מסלולים מתמחים - גמל</t>
  </si>
  <si>
    <t>שם המסלול</t>
  </si>
  <si>
    <t xml:space="preserve">מדיניות ההשקעה </t>
  </si>
  <si>
    <t>מדד הייחוס (*)</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</si>
  <si>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</si>
  <si>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תל בונד כללי</t>
  </si>
  <si>
    <t>תל בונד 60</t>
  </si>
  <si>
    <t>תל בונד 50</t>
  </si>
  <si>
    <t>IBOXIG</t>
  </si>
  <si>
    <t>IBOXX HY</t>
  </si>
  <si>
    <t>IBOXX IG</t>
  </si>
  <si>
    <t xml:space="preserve"> מזומן / פח"ק</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</si>
  <si>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t>
  </si>
  <si>
    <t xml:space="preserve">או אג"ח של ממשלות אחרות. חשיפה לנכסי אג"ח תהיה בשיעור שלא יפחת מ-75% ולא יעלה על 120% מנכסי המסלול. חשיפה למניות תהיה בשיעור שלא יעלה על 20%. חשיפה לנכסים </t>
  </si>
  <si>
    <t>MSCI WORLD AC</t>
  </si>
  <si>
    <t xml:space="preserve">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t>
  </si>
  <si>
    <t>על פי שיקול דעתה של ועדת ההשקעות ובכפוף לכל דין.</t>
  </si>
  <si>
    <t>תל אביב 125</t>
  </si>
  <si>
    <t>נכסי המסלול יהיו חשופים לנכסים שהונפקו בישראל לרבות מניות, אגח סחיר ולא סחיר,</t>
  </si>
  <si>
    <t>הלוואות ועוד, בשיעור חשיפה שלא יפחת מ-75% ולא יעלה על 120% מנכסי המסלול.</t>
  </si>
  <si>
    <t xml:space="preserve">חשיפה לנכסים כאמור תושג באמצעות השקעה במישרין, בנגזרים, בתעודות סל, </t>
  </si>
  <si>
    <t xml:space="preserve">בקרנות נאמנות או בקרנות השקעה. יתרת הנכסים תושקע בכפוף להוראות הדין, </t>
  </si>
  <si>
    <t>בונד כללי</t>
  </si>
  <si>
    <t>בונד 60</t>
  </si>
  <si>
    <t>ובכפוף לשיקול דעתה של ועדת ההשקעות.</t>
  </si>
  <si>
    <t>בונד 50</t>
  </si>
  <si>
    <t>נכסי המסלול יהיו חשופים למדדי אג"ח של ממשלת ישראל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</si>
  <si>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משקל גליל 2-5</t>
  </si>
  <si>
    <t>משקל גליל 5-10</t>
  </si>
  <si>
    <t>משקל שחר 2-5</t>
  </si>
  <si>
    <t>+משקל שחר 5</t>
  </si>
  <si>
    <t>נכסי המסלול יהיו חשופים למדדי מניות שנסחרות בחו"ל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</si>
  <si>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 xml:space="preserve"> S&amp;P500</t>
  </si>
  <si>
    <t>SXXR</t>
  </si>
  <si>
    <t>TPX</t>
  </si>
  <si>
    <t xml:space="preserve">MSCI EM </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</si>
  <si>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</si>
  <si>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42%- מדד ת"א 125,  
  58%- MSCI WORLD AC</t>
  </si>
  <si>
    <t>הלמן אלדובי גמל  מחקה מדד S&amp;P 500</t>
  </si>
  <si>
    <t>נכסי המסלול יהיו חשופים לנכסים מסוגים שונים בכפוף להוראות הדין ובכפוף לכללי השריעה האסלאמית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השריעה האסלאמית</t>
  </si>
  <si>
    <t>DJSUKUK Index</t>
  </si>
  <si>
    <t>נכסי המסלול, בשיעור שלא יפחת מ-75% ולא יעלה על 100%, יושקעו במדדי אג"ח. חשיפה למדדי מניות לא תעלה על 25% מנכסי המסלול.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</si>
  <si>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IBXXC1D1</t>
  </si>
  <si>
    <t>JGENUUG</t>
  </si>
  <si>
    <t>JCMBCOMP</t>
  </si>
  <si>
    <t>משקל תל בונד  60</t>
  </si>
  <si>
    <t>משקל תל בונד שקלי</t>
  </si>
  <si>
    <t>משקל תל בונד תשואות</t>
  </si>
  <si>
    <t>משקל תל בונד תשואות שיקלי</t>
  </si>
  <si>
    <t>ת"א SME60</t>
  </si>
  <si>
    <t>BlueStar TA-BIG Tech Israel Tech</t>
  </si>
  <si>
    <t>* 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</si>
  <si>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הלמן אלדובי השתלמות כללי</t>
  </si>
  <si>
    <t>הלמן אלדובי- השתלמות פאסיבי כללי</t>
  </si>
  <si>
    <t>מדד ייחוס (**)</t>
  </si>
  <si>
    <t>מניות (תעודות סל, אופציות, קרנות נאמנות)</t>
  </si>
  <si>
    <t xml:space="preserve">אג"ח ממשלתי (צמוד, שקלי ומט"ח), ממשלות </t>
  </si>
  <si>
    <t>זרות בנטרול חשיפות בנגזרים</t>
  </si>
  <si>
    <t>אג"ח קונצרני (קרנות נאמנות, תעודות סל)</t>
  </si>
  <si>
    <t>אחר</t>
  </si>
  <si>
    <t xml:space="preserve"> ריבית פח"ק</t>
  </si>
  <si>
    <t>מסלולים מתמחים - השתלמות</t>
  </si>
  <si>
    <t>מדד ייחוס (*)</t>
  </si>
  <si>
    <t xml:space="preserve">
</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</si>
  <si>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100%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</si>
  <si>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</si>
  <si>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42%- מדד ת"א 125, 
58%- MSCI WORLD AC</t>
  </si>
  <si>
    <t>הלמן אלדובי השתלמות מחקה מדד S&amp;P 500</t>
  </si>
  <si>
    <r>
      <t xml:space="preserve">נכסי המסלול יעקבו אחר מדד </t>
    </r>
    <r>
      <rPr>
        <b/>
        <sz val="11"/>
        <color indexed="56"/>
        <rFont val="Calibri"/>
        <family val="2"/>
      </rPr>
      <t>S&amp;P500</t>
    </r>
    <r>
      <rPr>
        <b/>
        <sz val="11"/>
        <color indexed="56"/>
        <rFont val="Arial"/>
        <family val="2"/>
      </rPr>
      <t xml:space="preserve">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r>
  </si>
  <si>
    <t>הלמן אלדובי מרכזית לפיצויים מסלול כללי</t>
  </si>
  <si>
    <t>הלמן-אלדובי קופה לתשלום דמי מחלה</t>
  </si>
  <si>
    <t>הלמן-אלדובי קופת גמל מרכזית להשתתפות בפנסיה תקציבית</t>
  </si>
  <si>
    <t>מסלולים מתמחים - מרכזיות לפיצויים</t>
  </si>
  <si>
    <t>סנונית קופה מסלולית לפיצויים, מסלול "הלמן-אלדובי מסלול אג"ח"</t>
  </si>
  <si>
    <t>במסלול זה יושקעו לפחות 50% מכספי המסלול באג"חים, ובכפוף להוראות ההסדר התחיקתי ולמגבלות שנקבעו על פיו.</t>
  </si>
  <si>
    <t>מסלולים מתמחים - חיסכון לכל ילד</t>
  </si>
  <si>
    <t>הלמן-אלדובי חיסכון לילד, "הלמן-אלדובי חיסכון לילד- חוסכים המעדיפים סיכון מועט"</t>
  </si>
  <si>
    <t xml:space="preserve">נכסי המסלול יהיו חשופים לנכסים מסוגים שונים בכפוף להוראות הדין ובכפוף לשיקול דעתה של ועדת ההשקעות, בהתחשב, בין היתר, ברמת הסיכון המועטה שנקבעה למסלול. </t>
  </si>
  <si>
    <t>נכסי המסלול יהיו חשופים לנכסים מסוגים שונים בכפוף להוראות הדין ובכפוף לשיקול דעתה של ועדת ההשקעות, בהתחשב, בין היתר, ברמת הסיכון הבינונית שנקבעה למסלול.</t>
  </si>
  <si>
    <t>נכסי המסלול יהיו חשופים לנכסים מסוגים שונים בכפוף להוראות הדין ובכפוף לשיקול דעתה של ועדת ההשקעות, בהתחשב, בין היתר, ברמת הסיכון הגבוהה שנקבעה למסלול.</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</si>
  <si>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</si>
  <si>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BarCap Global Corporate Total Return Bond Index UnHedged</t>
  </si>
  <si>
    <t>הלמן-אלדובי גמל להשקעה כללי</t>
  </si>
  <si>
    <t>מגדל</t>
  </si>
  <si>
    <t>מנורה</t>
  </si>
  <si>
    <t>42%- מדד ת"א 125 ,
  58%- MSCI WORLD AC</t>
  </si>
  <si>
    <t>חשיפה למניות סחיר ולא סחיר</t>
  </si>
  <si>
    <t>סה"כ מניות 
(כולל תעודות סל, אופציות וקרנות נאמנות)</t>
  </si>
  <si>
    <t>אג"ח ממשלתי (צמוד, שקלי ומט"ח), ממשלות זרות בנטרול חשיפות בנגזרים</t>
  </si>
  <si>
    <t>חשיפה לאגח ממשלתי (כולל אגח ממשלות זרות)</t>
  </si>
  <si>
    <t>*מיועדות</t>
  </si>
  <si>
    <t>חשיפה לאגח קונצרני סחיר ולא סחיר (כולל בחו"ל וכולל הלוואות)</t>
  </si>
  <si>
    <t>אג"ח קונצרני</t>
  </si>
  <si>
    <t>פקדונות ארוכים בבנקים</t>
  </si>
  <si>
    <t>אחר (קרנות השקעה, Co Invest, תשתיות, גידור)</t>
  </si>
  <si>
    <t>קרנות השקעה ללא קרנות נדל"ן</t>
  </si>
  <si>
    <t>חשיפה למטח</t>
  </si>
  <si>
    <t>***סה"כ אחר ומזומן</t>
  </si>
  <si>
    <t>סה"כ תיק</t>
  </si>
  <si>
    <t xml:space="preserve">חשיפה למט"ח </t>
  </si>
  <si>
    <t>הלמן-אלדובי להשקעה פאסיבי-כללי</t>
  </si>
  <si>
    <t>מסלולים מתמחים - גמל להשקעה</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</si>
  <si>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15%.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</si>
  <si>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משקל תל בונד תשואות שקלי</t>
  </si>
  <si>
    <t>נכסי המסלול, בשיעור שלא יפחת מ-75% ולא יעלה על 100%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t>
  </si>
  <si>
    <t>הלמן-אלדובי להשקעה, "הלמן-אלדובי להשקעה שריעה"</t>
  </si>
  <si>
    <t>95%- DJSUKUK Index,
5%- MSCI WORLD AC</t>
  </si>
  <si>
    <t>הלמן-אלדובי להשקעה, "הלמן-אלדובי גמל להשקעה מחקה מדד S&amp;P500"</t>
  </si>
  <si>
    <r>
      <t xml:space="preserve">נכסי המסלול יעקבו אחר מדד </t>
    </r>
    <r>
      <rPr>
        <b/>
        <sz val="11"/>
        <color indexed="54"/>
        <rFont val="Calibri"/>
        <family val="2"/>
      </rPr>
      <t>S&amp;P500</t>
    </r>
    <r>
      <rPr>
        <b/>
        <sz val="11"/>
        <color indexed="54"/>
        <rFont val="Arial"/>
        <family val="2"/>
      </rPr>
      <t xml:space="preserve">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 </t>
    </r>
  </si>
  <si>
    <t>מגן קרן פנסיה ותיקה</t>
  </si>
  <si>
    <t>אג''ח מיועדות</t>
  </si>
  <si>
    <r>
      <t xml:space="preserve">נכסי המסלול יעקבו אחר מדד </t>
    </r>
    <r>
      <rPr>
        <b/>
        <sz val="11"/>
        <color indexed="49"/>
        <rFont val="Calibri"/>
        <family val="2"/>
      </rPr>
      <t>S&amp;P500</t>
    </r>
    <r>
      <rPr>
        <b/>
        <sz val="11"/>
        <color indexed="49"/>
        <rFont val="Arial"/>
        <family val="2"/>
      </rPr>
      <t xml:space="preserve">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r>
  </si>
  <si>
    <t>שיעור חשיפה נכון 24.11.2020</t>
  </si>
  <si>
    <t>שיעור חשיפה צפוי לשנת 2021***</t>
  </si>
  <si>
    <t>שיעור חשיפה צפוי לשנת 2021****</t>
  </si>
  <si>
    <t>שיעור חשיפה צפוי לשנת 2021*****</t>
  </si>
  <si>
    <t>שיעור חשיפה צפוי לשנת 2021******</t>
  </si>
  <si>
    <t>שיעור החשיפה הצפויה לאפיק אג''ח קונצרני עודכן  מ - 30% ל - 33%.</t>
  </si>
  <si>
    <t>***החל מתאריך 24/03/2021 עודכן שיעור החשיפה הצפוי לשנת 2020, להלן השינויים שבוצעו:</t>
  </si>
  <si>
    <t>שיעור החשיפה הצפויה לאפיק האג''ח הממשלתי עודכן  מ - 20% ל - 12%.</t>
  </si>
  <si>
    <t>שיעור החשיפה הצפויה לאפיק נדל''ן עודכן  ל-1%</t>
  </si>
  <si>
    <t>שיעור החשיפה הצפויה לאפיק "אחר" עודכן מ6% ל-3%</t>
  </si>
  <si>
    <t>שיעור החשיפה הצפויה למזומנים עודכן  עודכן מ 5% ל-3%</t>
  </si>
  <si>
    <t>****החל מתאריך 24/03/2021 עודכן שיעור החשיפה הצפוי לשנת 2020, להלן השינויים שבוצעו:</t>
  </si>
  <si>
    <t>שיעור החשיפה הצפויה לאפיק אג''ח קונצרני עודכן  מ - 27% ל - 29%.</t>
  </si>
  <si>
    <t>שיעור החשיפה הצפויה לאפיק נדל''ן עודכן  מ-5% ל-1%</t>
  </si>
  <si>
    <t>שיעור החשיפה הצפויה למט''ח עודכנה מ-20% ל21%</t>
  </si>
  <si>
    <t>שיעור החשיפה הצפויה לאפיק המנייתי עודכן מ- 47% ל -48%</t>
  </si>
  <si>
    <t>שיעור החשיפה הצפויה לאפיק האג''ח הממשלתי עודכן  מ - 22% ל - 30%.</t>
  </si>
  <si>
    <t>שיעור החשיפה הצפויה לאפיק אג''ח קונצרני עודכן  מ - 34% ל - 40%.</t>
  </si>
  <si>
    <t>*****החל מתאריך 24/03/2021 עודכן שיעור החשיפה הצפוי לשנת 2020, להלן השינויים שבוצעו:</t>
  </si>
  <si>
    <t>******החל מתאריך 24/03/2021 עודכן שיעור החשיפה הצפוי לשנת 2020, להלן השינויים שבוצעו:</t>
  </si>
  <si>
    <t>שיעור החשיפה הצפויה לאפיק המנייתי עודכן מ- 38% ל -40%</t>
  </si>
  <si>
    <t>החל מתאריך 24/03/2021 השתנו מדדי הייחוס :</t>
  </si>
  <si>
    <r>
      <rPr>
        <b/>
        <u val="single"/>
        <sz val="10"/>
        <color indexed="8"/>
        <rFont val="Arial"/>
        <family val="2"/>
      </rPr>
      <t>אפיק ממשלתי</t>
    </r>
    <r>
      <rPr>
        <b/>
        <sz val="10"/>
        <color indexed="8"/>
        <rFont val="Arial"/>
        <family val="2"/>
      </rPr>
      <t>- מ-40% ממשלתי שקלי 2-5 , 10% ממשלתי שקלי 5+ , 40% ממשלתי צמוד 2-5 , 10% ממשלתי צמוד 5-10 למדד המוצג בטבלה</t>
    </r>
  </si>
  <si>
    <t>הלמן אלדובי גמל אג''ח ללא מניות**</t>
  </si>
  <si>
    <r>
      <t xml:space="preserve">** </t>
    </r>
    <r>
      <rPr>
        <b/>
        <u val="single"/>
        <sz val="10"/>
        <color indexed="8"/>
        <rFont val="Arial"/>
        <family val="2"/>
      </rPr>
      <t>החל מתאריך 24/03/2021- שונו מדדי הייחוס</t>
    </r>
    <r>
      <rPr>
        <b/>
        <sz val="10"/>
        <color indexed="8"/>
        <rFont val="Arial"/>
        <family val="2"/>
      </rPr>
      <t xml:space="preserve"> מ25% ממשלתי 2-5 ,25% ממשלתי לא צמוד 2-5 , 45% תל בונד 60 , 5% IBOXXIG למדד הייחוס המוצגים בטבלה</t>
    </r>
  </si>
  <si>
    <t>הלמן אלדובי גמל אג''ח עד 25% מניות***</t>
  </si>
  <si>
    <r>
      <t xml:space="preserve">*** </t>
    </r>
    <r>
      <rPr>
        <b/>
        <u val="single"/>
        <sz val="10"/>
        <color indexed="8"/>
        <rFont val="Arial"/>
        <family val="2"/>
      </rPr>
      <t>החל מתאריך 24/03/2021- שונו מדדי הייחוס</t>
    </r>
    <r>
      <rPr>
        <b/>
        <sz val="10"/>
        <color indexed="8"/>
        <rFont val="Arial"/>
        <family val="2"/>
      </rPr>
      <t xml:space="preserve"> מ 10% ת''א 125, 50% מדד אג''ח ממשלתי, 25% מדד תל בונד 60 ,15% מדד MSCI WORLD AC למדדי הייחוס המוצגים בטבלה</t>
    </r>
  </si>
  <si>
    <t>הלמןן אלדובי גמל ישראל****</t>
  </si>
  <si>
    <r>
      <t xml:space="preserve">**** </t>
    </r>
    <r>
      <rPr>
        <b/>
        <u val="single"/>
        <sz val="10"/>
        <color indexed="8"/>
        <rFont val="Arial"/>
        <family val="2"/>
      </rPr>
      <t>החל מתאריך 24/03/2021- שונו מדדי הייחוס</t>
    </r>
    <r>
      <rPr>
        <b/>
        <sz val="10"/>
        <color indexed="8"/>
        <rFont val="Arial"/>
        <family val="2"/>
      </rPr>
      <t xml:space="preserve"> מ 23% ת''א 125, 32% מדד אג''ח ממשלתי, 28% מדד תל בונד 60 ,17% מדד MSCI WORLD AC למדדי הייחוס המוצגים בטבלה</t>
    </r>
  </si>
  <si>
    <t>הלמן אלדובי פסיבי  מדדי אג"ח ממשלת ישראל*****</t>
  </si>
  <si>
    <t>הלמן אלדובי פסיבי  מדדי מניות חו"ל******</t>
  </si>
  <si>
    <r>
      <t xml:space="preserve">***** </t>
    </r>
    <r>
      <rPr>
        <b/>
        <u val="single"/>
        <sz val="10"/>
        <color indexed="8"/>
        <rFont val="Arial"/>
        <family val="2"/>
      </rPr>
      <t>החל מתאריך 24/03/2021- שונו מדדי הייחוס</t>
    </r>
    <r>
      <rPr>
        <b/>
        <sz val="10"/>
        <color indexed="8"/>
        <rFont val="Arial"/>
        <family val="2"/>
      </rPr>
      <t xml:space="preserve"> מ50% מדד SP500 , ו 30% euro stoxx600 ו 13% מדד MSCI EM ו7% NIKKEI למדדי הייחוס המוצגים בטבלה</t>
    </r>
  </si>
  <si>
    <r>
      <t xml:space="preserve">**** </t>
    </r>
    <r>
      <rPr>
        <b/>
        <u val="single"/>
        <sz val="10"/>
        <color indexed="8"/>
        <rFont val="Arial"/>
        <family val="2"/>
      </rPr>
      <t>החל מתאריך 24/03/2021- שונו מדדי הייחוס</t>
    </r>
    <r>
      <rPr>
        <b/>
        <sz val="10"/>
        <color indexed="8"/>
        <rFont val="Arial"/>
        <family val="2"/>
      </rPr>
      <t xml:space="preserve"> 45% ממשלתי שקלי 2-5, 45% ממשלתי צמוד 2-5, 5% ממשלתי שקלי 5+ ו 5% ממשלתי צמוד 5-10 למדדי הייחוס המוצגים בטבלה</t>
    </r>
  </si>
  <si>
    <t>הלמן אלדובי גמל מניות*******</t>
  </si>
  <si>
    <r>
      <t xml:space="preserve">****** </t>
    </r>
    <r>
      <rPr>
        <b/>
        <u val="single"/>
        <sz val="10"/>
        <color indexed="8"/>
        <rFont val="Arial"/>
        <family val="2"/>
      </rPr>
      <t>החל מתאריך 24/03/2021- שונו מדדי הייחוס</t>
    </r>
    <r>
      <rPr>
        <b/>
        <sz val="10"/>
        <color indexed="8"/>
        <rFont val="Arial"/>
        <family val="2"/>
      </rPr>
      <t xml:space="preserve"> מ40% מדד ת''א 125 ו60% מדד MSCI WORLD AC למדדי הייחוס המוצגים בטבלה</t>
    </r>
  </si>
  <si>
    <t>הלמן אלדובי פסיבי משולב עד 25% מניות********</t>
  </si>
  <si>
    <r>
      <t xml:space="preserve">******* </t>
    </r>
    <r>
      <rPr>
        <b/>
        <u val="single"/>
        <sz val="10"/>
        <color indexed="8"/>
        <rFont val="Arial"/>
        <family val="2"/>
      </rPr>
      <t>החל מתאריך 24/03/2021- שונו מדדי הייחוס</t>
    </r>
    <r>
      <rPr>
        <b/>
        <sz val="10"/>
        <color indexed="8"/>
        <rFont val="Arial"/>
        <family val="2"/>
      </rPr>
      <t xml:space="preserve"> מ9% מדד SP500 , ו 4% euro stoxx600 ו 3% מדד MSCI EM ו 35% אג''ח ממשלתי כללי, 20% בונד שקלי 50 , 10% ת''א 125 ו20% תל בונד צמודות למדדי הייחוס המוצגים בטבלה</t>
    </r>
  </si>
  <si>
    <t>שיעור החשיפה הצפויה לאפיק האג''ח הממשלתי עודכן  מ - 20% ל - 18%.</t>
  </si>
  <si>
    <t>שיעור החשיפה הצפויה לאפיק אג''ח קונצרני עודכן  מ - 27% ל - 31%.</t>
  </si>
  <si>
    <t>שיעור החשיפה הצפויה לאפיק נדל''ן עודכן  מ-4% ל2%</t>
  </si>
  <si>
    <t>שיעור החשיפה הצפויה לאפיק "אחר" עודכן מ8% ל-7%</t>
  </si>
  <si>
    <t>שיעור החשיפה הצפויה למזומנים עודכן  עודכן מ 5% ל-2%</t>
  </si>
  <si>
    <r>
      <rPr>
        <b/>
        <u val="single"/>
        <sz val="10"/>
        <color indexed="8"/>
        <rFont val="Arial"/>
        <family val="2"/>
      </rPr>
      <t>אפיק קונצרני</t>
    </r>
    <r>
      <rPr>
        <b/>
        <sz val="10"/>
        <color indexed="8"/>
        <rFont val="Arial"/>
        <family val="2"/>
      </rPr>
      <t>- מ-50% תל בונד 60 ו50% תל בונד שקלי 50 למדדים המוצגים בטבלה</t>
    </r>
  </si>
  <si>
    <r>
      <rPr>
        <b/>
        <u val="single"/>
        <sz val="10"/>
        <color indexed="8"/>
        <rFont val="Arial"/>
        <family val="2"/>
      </rPr>
      <t>אפיק ממשלתי</t>
    </r>
    <r>
      <rPr>
        <b/>
        <sz val="10"/>
        <color indexed="8"/>
        <rFont val="Arial"/>
        <family val="2"/>
      </rPr>
      <t>- מ-40% ממשלתי שקלי 2-5 , 10% ממשלתי שקלי 5+ , 40% ממשלתי צמוד 2-5 , 10% ממשלתי צמוד 5-10 למדדהמוצג בטבלה</t>
    </r>
  </si>
  <si>
    <r>
      <rPr>
        <b/>
        <u val="single"/>
        <sz val="10"/>
        <color indexed="8"/>
        <rFont val="Arial"/>
        <family val="2"/>
      </rPr>
      <t>אפיק מנייתי</t>
    </r>
    <r>
      <rPr>
        <b/>
        <sz val="10"/>
        <color indexed="8"/>
        <rFont val="Arial"/>
        <family val="2"/>
      </rPr>
      <t>- מ 40% ת''א 125 ו60%  MSCI W למדדים המוצגים בטבלה</t>
    </r>
  </si>
  <si>
    <t>שיעור החשיפה הצפויה לאפיק המנייתי עודכן  מ - 33% ל - 47%.</t>
  </si>
  <si>
    <t>שיעור החשיפה הצפויה לאפיק האג''ח הממשלתי עודכן  מ - 32% ל - 18%.</t>
  </si>
  <si>
    <t>שיעור החשיפה הצפויה למזומנים עודכן  עודכן מ 3% ל-2%</t>
  </si>
  <si>
    <r>
      <rPr>
        <b/>
        <u val="single"/>
        <sz val="10"/>
        <color indexed="8"/>
        <rFont val="Arial"/>
        <family val="2"/>
      </rPr>
      <t>אפיק מנייתי</t>
    </r>
    <r>
      <rPr>
        <b/>
        <sz val="10"/>
        <color indexed="8"/>
        <rFont val="Arial"/>
        <family val="2"/>
      </rPr>
      <t>- מ 30% SP500, ו18% STOXX600 , ו13% MSCI EM, ו40% תל אביב 125  למדדים המוצגים בטבלה</t>
    </r>
  </si>
  <si>
    <r>
      <rPr>
        <b/>
        <u val="single"/>
        <sz val="10"/>
        <color indexed="8"/>
        <rFont val="Arial"/>
        <family val="2"/>
      </rPr>
      <t>אפיק ממשלתי</t>
    </r>
    <r>
      <rPr>
        <b/>
        <sz val="10"/>
        <color indexed="8"/>
        <rFont val="Arial"/>
        <family val="2"/>
      </rPr>
      <t>- מ-100% מדד אג''ח ממשלתי כללי למדדים המוצג בטבלה</t>
    </r>
  </si>
  <si>
    <r>
      <rPr>
        <b/>
        <u val="single"/>
        <sz val="10"/>
        <color indexed="8"/>
        <rFont val="Arial"/>
        <family val="2"/>
      </rPr>
      <t>אפיק קונצרני</t>
    </r>
    <r>
      <rPr>
        <b/>
        <sz val="10"/>
        <color indexed="8"/>
        <rFont val="Arial"/>
        <family val="2"/>
      </rPr>
      <t>- מ-50% תל בונד צמודות ו50% תל בונד שקלי 50 למדדים המוצגים בטבלה</t>
    </r>
  </si>
  <si>
    <t>הלמן אלדובי השתלמות אג''ח ללא מניות**</t>
  </si>
  <si>
    <t>הלמן אלדובי השתלמות אג''ח עד 10% במניות***</t>
  </si>
  <si>
    <r>
      <t xml:space="preserve">*** </t>
    </r>
    <r>
      <rPr>
        <b/>
        <u val="single"/>
        <sz val="10"/>
        <color indexed="8"/>
        <rFont val="Arial"/>
        <family val="2"/>
      </rPr>
      <t>החל מתאריך 24/03/2021- שונו מדדי הייחוס</t>
    </r>
    <r>
      <rPr>
        <b/>
        <sz val="10"/>
        <color indexed="8"/>
        <rFont val="Arial"/>
        <family val="2"/>
      </rPr>
      <t xml:space="preserve"> מ25% ממשלתי 2-5 ,25% ממשלתי לא צמוד 2-5 , 35% תל בונד 60 , 5% IBOXXIG ו 4% מדד ת''א 125 ו6% מדד MSCI WORLD AC למדדי הייחוס המוצגים בטבלה</t>
    </r>
  </si>
  <si>
    <t>הלמן אלדובי השתלמות אג''ח עד 25% במניות****</t>
  </si>
  <si>
    <r>
      <t xml:space="preserve">**** </t>
    </r>
    <r>
      <rPr>
        <b/>
        <u val="single"/>
        <sz val="10"/>
        <color indexed="8"/>
        <rFont val="Arial"/>
        <family val="2"/>
      </rPr>
      <t>החל מתאריך 24/03/2021- שונו מדדי הייחוס</t>
    </r>
    <r>
      <rPr>
        <b/>
        <sz val="10"/>
        <color indexed="8"/>
        <rFont val="Arial"/>
        <family val="2"/>
      </rPr>
      <t xml:space="preserve"> מ 10% ת''א 125, 45% מדד אג''ח ממשלתי, 30% מדד תל בונד 60 ,15% מדד MSCI WORLD AC למדדי הייחוס המוצגים בטבלה</t>
    </r>
  </si>
  <si>
    <r>
      <t xml:space="preserve">***** </t>
    </r>
    <r>
      <rPr>
        <b/>
        <u val="single"/>
        <sz val="10"/>
        <color indexed="8"/>
        <rFont val="Arial"/>
        <family val="2"/>
      </rPr>
      <t>החל מתאריך 24/03/2021- שונו מדדי הייחוס</t>
    </r>
    <r>
      <rPr>
        <b/>
        <sz val="10"/>
        <color indexed="8"/>
        <rFont val="Arial"/>
        <family val="2"/>
      </rPr>
      <t xml:space="preserve"> מ40% מדד ת''א 125 ו60% מדד MSCI WORLD AC למדדי הייחוס המוצגים בטבלה</t>
    </r>
  </si>
  <si>
    <t>הלמן אלדובי השתלמות מניות*****</t>
  </si>
  <si>
    <t>הלמן אלדובי השתלמות פאסיבי משולב עד 25% מניות******</t>
  </si>
  <si>
    <r>
      <t xml:space="preserve">****** </t>
    </r>
    <r>
      <rPr>
        <b/>
        <u val="single"/>
        <sz val="10"/>
        <color indexed="8"/>
        <rFont val="Arial"/>
        <family val="2"/>
      </rPr>
      <t>החל מתאריך 24/03/2021- שונו מדדי הייחוס</t>
    </r>
    <r>
      <rPr>
        <b/>
        <sz val="10"/>
        <color indexed="8"/>
        <rFont val="Arial"/>
        <family val="2"/>
      </rPr>
      <t xml:space="preserve"> מ9% מדד SP500 , ו 4% euro stoxx600 ו 3% מדד MSCI EM ו 35% אג''ח ממשלתי כללי, 20% בונד שקלי 50 , 10% ת''א 125 ו20% תל בונד צמודות למדדי הייחוס המוצגים בטבלה</t>
    </r>
  </si>
  <si>
    <t>הלמן אלדובי השתלמות פאסיבי מדדי מניות חו"ל*******</t>
  </si>
  <si>
    <r>
      <t xml:space="preserve">******* </t>
    </r>
    <r>
      <rPr>
        <b/>
        <u val="single"/>
        <sz val="10"/>
        <color indexed="8"/>
        <rFont val="Arial"/>
        <family val="2"/>
      </rPr>
      <t>החל מתאריך 24/03/2021- שונו מדדי הייחוס</t>
    </r>
    <r>
      <rPr>
        <b/>
        <sz val="10"/>
        <color indexed="8"/>
        <rFont val="Arial"/>
        <family val="2"/>
      </rPr>
      <t xml:space="preserve"> מ50% מדד SP500 , ו 30% euro stoxx600 ו 13% מדד MSCI EM ו7% NIKKEI למדדי הייחוס המוצגים בטבלה</t>
    </r>
  </si>
  <si>
    <t>הלמן אלדובי השתלמות פאסיבי אג"ח ממשלת ישראל*******</t>
  </si>
  <si>
    <r>
      <t xml:space="preserve">******** </t>
    </r>
    <r>
      <rPr>
        <b/>
        <u val="single"/>
        <sz val="10"/>
        <color indexed="8"/>
        <rFont val="Arial"/>
        <family val="2"/>
      </rPr>
      <t>החל מתאריך 24/03/2021- שונו מדדי הייחוס</t>
    </r>
    <r>
      <rPr>
        <b/>
        <sz val="10"/>
        <color indexed="8"/>
        <rFont val="Arial"/>
        <family val="2"/>
      </rPr>
      <t xml:space="preserve"> 45% ממשלתי שקלי 2-5, 45% ממשלתי צמוד 2-5, 5% ממשלתי שקלי 5+ ו 5% ממשלתי צמוד 5-10 למדדי הייחוס המוצגים בטבלה</t>
    </r>
  </si>
  <si>
    <t>שיעור חשיפה צפוי לשנת 2021</t>
  </si>
  <si>
    <t>שיעור החשיפה הצפויה לאפיק האג''ח הממשלתי עודכן  מ - 24% ל - 22%.</t>
  </si>
  <si>
    <r>
      <t xml:space="preserve">** </t>
    </r>
    <r>
      <rPr>
        <b/>
        <u val="single"/>
        <sz val="10"/>
        <color indexed="8"/>
        <rFont val="Arial"/>
        <family val="2"/>
      </rPr>
      <t>החל מתאריך 24/03/2021- שונו מדדי הייחוס</t>
    </r>
    <r>
      <rPr>
        <b/>
        <sz val="10"/>
        <color indexed="8"/>
        <rFont val="Arial"/>
        <family val="2"/>
      </rPr>
      <t xml:space="preserve"> מ25% ממשלתי 2-5 ,25% ממשלתי לא צמוד 2-5 , 45% תל בונד 60 , 5% IBOXXIG למדדי הייחוס המוצגים בטבלה</t>
    </r>
  </si>
  <si>
    <r>
      <t xml:space="preserve"> </t>
    </r>
    <r>
      <rPr>
        <b/>
        <u val="single"/>
        <sz val="10"/>
        <color indexed="8"/>
        <rFont val="Arial"/>
        <family val="2"/>
      </rPr>
      <t>החל מתאריך 24/03/2021</t>
    </r>
    <r>
      <rPr>
        <b/>
        <sz val="10"/>
        <color indexed="8"/>
        <rFont val="Arial"/>
        <family val="2"/>
      </rPr>
      <t>- שונה מדד הייחוס מ-100% מדד אג''ח כללי למדדי הייחוס המוצגים בטבלה</t>
    </r>
  </si>
  <si>
    <t>** החל מתאריך 24/03/2021- שונו מדדי הייחוס מ73% מדד ממשלתי כללי, 15% תל בונד 60 , 7% MSCI WORLD AC ו5% מדד ת''א 125 למדדי הייחוס המוצגים בטבלה</t>
  </si>
  <si>
    <t>הלמן-אלדובי חיסכון לילד, "הלמן-אלדובי חיסכון לילד- לחוסכים המעדיפים סיכון בינוני"***</t>
  </si>
  <si>
    <t>*** החל מתאריך 24/03/2021- שונו מדדי הייחוס מ34% מדד ממשלתי כללי, 30% תל בונד 60 , 24% MSCI WORLD AC ו12% מדד ת''א 125 למדדי הייחוס המוצגים בטבלה</t>
  </si>
  <si>
    <t>הלמן-אלדובי חיסכון לילד, "הלמן-אלדובי חיסכון לילד- חוסכים המעדיפים סיכון מוגבר"****</t>
  </si>
  <si>
    <t>**** החל מתאריך 24/03/2021- שונו מדדי הייחוס מ  60% MSCI WORLD AC ו40% מדד ת''א 125 למדדי הייחוס המוצגים בטבלה</t>
  </si>
  <si>
    <t>הלמן-אלדובי חיסכון לילד, "הלמן-אלדובי חיסכון לילד- הלכה"*****</t>
  </si>
  <si>
    <t>***** החל מתאריך 24/03/2021- שונו מדדי הייחוס מ24% מדד ממשלתי כללי, 42% תל בונד 60 , 21% MSCI WORLD AC ו13% מדד ת''א 125 למדדי הייחוס המוצגים בטבלה</t>
  </si>
  <si>
    <t>שיעור החשיפה הצפויה לאפיק האג''ח הממשלתי עודכן  מ - 30% ל - 21%.</t>
  </si>
  <si>
    <t>שיעור החשיפה הצפויה לאפיק אג''ח קונצרני עודכן  מ - 27% ל - 35%.</t>
  </si>
  <si>
    <t>שיעור החשיפה הצפויה למזומנים עודכן  עודכן מ 6% ל-4%</t>
  </si>
  <si>
    <t>שיעור החשיפה הצפויה לאפיק המנייתי עודכן  מ - 33% ל - 40%.</t>
  </si>
  <si>
    <t>שיעור החשיפה הצפויה לאפיק האג''ח הממשלתי עודכן  מ - 35% ל - 21%.</t>
  </si>
  <si>
    <t>שיעור החשיפה הצפויה לאפיק אג''ח קונצרני עודכן  מ - 30% ל - 35%.</t>
  </si>
  <si>
    <t>שיעור החשיפה הצפויה למזומנים עודכן  עודכן מ 2% ל-4%</t>
  </si>
  <si>
    <r>
      <t xml:space="preserve">** </t>
    </r>
    <r>
      <rPr>
        <b/>
        <u val="single"/>
        <sz val="10"/>
        <color indexed="8"/>
        <rFont val="Arial"/>
        <family val="2"/>
      </rPr>
      <t>החל מתאריך 24/03/2021- שונו מדדי הייחוס</t>
    </r>
    <r>
      <rPr>
        <b/>
        <sz val="10"/>
        <color indexed="8"/>
        <rFont val="Arial"/>
        <family val="2"/>
      </rPr>
      <t xml:space="preserve"> מsp500- 3% , eurostoxx 600 2% , MSCI EM 1% ,ממשלתי כללי 40% , ת''א 125 4% , תל בונד צמודות 25% ותל בונד שקלי 50 25%  למדדי הייחוס המוצגים בטבלה</t>
    </r>
  </si>
  <si>
    <t>הלמן-אלדובי להשקעה, "הלמן-אלדובי גמל להשקעה פסיבי עד 10% במדדי מניות"**</t>
  </si>
  <si>
    <r>
      <t xml:space="preserve">*** </t>
    </r>
    <r>
      <rPr>
        <b/>
        <u val="single"/>
        <sz val="10"/>
        <color indexed="8"/>
        <rFont val="Arial"/>
        <family val="2"/>
      </rPr>
      <t>החל מתאריך 24/03/2021- שונו מדדי הייחוס</t>
    </r>
    <r>
      <rPr>
        <b/>
        <sz val="10"/>
        <color indexed="8"/>
        <rFont val="Arial"/>
        <family val="2"/>
      </rPr>
      <t xml:space="preserve"> מsp500- 30% , eurostoxx 600 18% , MSCI EM 8%,NIKKEI 4%    למדדי הייחוס המוצגים בטבלה</t>
    </r>
  </si>
  <si>
    <t>הלמן-אלדובי להשקעה, "הלמן-אלדובי גמל להשקעה פסיבי מדדי מניות"***</t>
  </si>
  <si>
    <r>
      <t xml:space="preserve">**** </t>
    </r>
    <r>
      <rPr>
        <b/>
        <u val="single"/>
        <sz val="10"/>
        <color indexed="8"/>
        <rFont val="Arial"/>
        <family val="2"/>
      </rPr>
      <t>החל מתאריך 24/03/2021- שונו מדדי הייחוס</t>
    </r>
    <r>
      <rPr>
        <b/>
        <sz val="10"/>
        <color indexed="8"/>
        <rFont val="Arial"/>
        <family val="2"/>
      </rPr>
      <t xml:space="preserve"> מ40% מדד ת''א 125 ו60% מדד MSCI WORLD AC למדדי הייחוס המוצגים בטבלה</t>
    </r>
  </si>
  <si>
    <t>הלמן-אלדובי להשקעה, "הלמן-אלדובי להשקעה מניות"****</t>
  </si>
  <si>
    <t>שיעור החשיפה הצפויה למט''ח עודכנה מ-10% ל12%</t>
  </si>
  <si>
    <t>שיעור החשיפה הצפויה לאפיק האג''ח הממשלתי עודכן  מ - 29% ל - 31%.</t>
  </si>
  <si>
    <t>קרן גמלאות של עורכי דין</t>
  </si>
  <si>
    <t>הלמן-אלדובי גמל שריעה********</t>
  </si>
  <si>
    <r>
      <t xml:space="preserve">******** </t>
    </r>
    <r>
      <rPr>
        <b/>
        <u val="single"/>
        <sz val="10"/>
        <color indexed="8"/>
        <rFont val="Arial"/>
        <family val="2"/>
      </rPr>
      <t>החל מתאריך 22/08/2021- שונו מדדי הייחוס</t>
    </r>
    <r>
      <rPr>
        <b/>
        <sz val="10"/>
        <color indexed="8"/>
        <rFont val="Arial"/>
        <family val="2"/>
      </rPr>
      <t xml:space="preserve"> מ-95% DJSUKUK Index ו 5% MSCI WORLD AC ל- 16% ת''א 125, 24% SP500 ו 60% DJSUKUK index</t>
    </r>
  </si>
  <si>
    <t>ת''א 125</t>
  </si>
  <si>
    <r>
      <t xml:space="preserve">********* </t>
    </r>
    <r>
      <rPr>
        <b/>
        <u val="single"/>
        <sz val="10"/>
        <color indexed="8"/>
        <rFont val="Arial"/>
        <family val="2"/>
      </rPr>
      <t>החל מתאריך 22/08/2021- שונו מדדי הייחוס</t>
    </r>
    <r>
      <rPr>
        <b/>
        <sz val="10"/>
        <color indexed="8"/>
        <rFont val="Arial"/>
        <family val="2"/>
      </rPr>
      <t xml:space="preserve"> מ-95% DJSUKUK Index ו 5% MSCI WORLD AC ל- 16% ת''א 125, 24% SP500 ו 60% DJSUKUK index</t>
    </r>
  </si>
  <si>
    <t>הלמן אלדובי השלתמות שריעה*********</t>
  </si>
  <si>
    <t>הלמן-אלדובי חיסכון לילד, "הלמן-אלדובי חיסכון לילד- שריעה"******</t>
  </si>
  <si>
    <r>
      <t xml:space="preserve">****** </t>
    </r>
    <r>
      <rPr>
        <b/>
        <sz val="10"/>
        <color indexed="8"/>
        <rFont val="Arial"/>
        <family val="2"/>
      </rPr>
      <t>החל מתאריך 22/08/2021- שונו מדדי הייחוס מ-95% DJSUKUK Index ו 5% MSCI WORLD AC ל- 16% ת''א 125, 24% SP500 ו 60% DJSUKUK index</t>
    </r>
  </si>
</sst>
</file>

<file path=xl/styles.xml><?xml version="1.0" encoding="utf-8"?>
<styleSheet xmlns="http://schemas.openxmlformats.org/spreadsheetml/2006/main">
  <numFmts count="10">
    <numFmt numFmtId="5" formatCode="&quot;₪&quot;\ #,##0;&quot;₪&quot;\ \-#,##0"/>
    <numFmt numFmtId="6" formatCode="&quot;₪&quot;\ #,##0;[Red]&quot;₪&quot;\ \-#,##0"/>
    <numFmt numFmtId="7" formatCode="&quot;₪&quot;\ #,##0.00;&quot;₪&quot;\ \-#,##0.00"/>
    <numFmt numFmtId="8" formatCode="&quot;₪&quot;\ #,##0.00;[Red]&quot;₪&quot;\ \-#,##0.00"/>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
    <numFmt numFmtId="165" formatCode="0.000000000000000%"/>
  </numFmts>
  <fonts count="71">
    <font>
      <sz val="10"/>
      <name val="Arial"/>
      <family val="0"/>
      <charset val="177"/>
    </font>
    <font>
      <sz val="11"/>
      <color indexed="8"/>
      <name val="Arial"/>
      <family val="2"/>
      <charset val="177"/>
    </font>
    <font>
      <b/>
      <sz val="11"/>
      <color indexed="49"/>
      <name val="Arial"/>
      <family val="2"/>
    </font>
    <font>
      <b/>
      <sz val="8"/>
      <color indexed="8"/>
      <name val="Arial"/>
      <family val="2"/>
    </font>
    <font>
      <sz val="8"/>
      <color indexed="8"/>
      <name val="Arial"/>
      <family val="2"/>
    </font>
    <font>
      <b/>
      <sz val="10"/>
      <color indexed="8"/>
      <name val="Arial"/>
      <family val="2"/>
    </font>
    <font>
      <b/>
      <sz val="11"/>
      <color indexed="54"/>
      <name val="Arial"/>
      <family val="2"/>
    </font>
    <font>
      <b/>
      <sz val="11"/>
      <color indexed="54"/>
      <name val="Calibri"/>
      <family val="2"/>
    </font>
    <font>
      <b/>
      <sz val="11"/>
      <color indexed="56"/>
      <name val="Calibri"/>
      <family val="2"/>
    </font>
    <font>
      <b/>
      <sz val="11"/>
      <color indexed="56"/>
      <name val="Arial"/>
      <family val="2"/>
    </font>
    <font>
      <b/>
      <sz val="20"/>
      <name val="Arial"/>
      <family val="2"/>
    </font>
    <font>
      <b/>
      <sz val="14"/>
      <name val="Arial"/>
      <family val="2"/>
    </font>
    <font>
      <b/>
      <u val="single"/>
      <sz val="11"/>
      <color indexed="8"/>
      <name val="Arial"/>
      <family val="2"/>
    </font>
    <font>
      <b/>
      <sz val="11"/>
      <color indexed="49"/>
      <name val="Calibri"/>
      <family val="2"/>
    </font>
    <font>
      <b/>
      <u val="single"/>
      <sz val="10"/>
      <color indexed="8"/>
      <name val="Arial"/>
      <family val="2"/>
    </font>
    <font>
      <sz val="11"/>
      <color indexed="9"/>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sz val="18"/>
      <color indexed="54"/>
      <name val="Times New Roman"/>
      <family val="2"/>
      <charset val="177"/>
    </font>
    <font>
      <b/>
      <sz val="15"/>
      <color indexed="54"/>
      <name val="Arial"/>
      <family val="2"/>
      <charset val="177"/>
    </font>
    <font>
      <b/>
      <sz val="13"/>
      <color indexed="54"/>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sz val="14"/>
      <color indexed="49"/>
      <name val="Arial"/>
      <family val="2"/>
    </font>
    <font>
      <b/>
      <sz val="12"/>
      <color indexed="9"/>
      <name val="Arial"/>
      <family val="2"/>
    </font>
    <font>
      <sz val="11"/>
      <color indexed="54"/>
      <name val="Arial"/>
      <family val="2"/>
    </font>
    <font>
      <i/>
      <u val="single"/>
      <sz val="11"/>
      <color indexed="8"/>
      <name val="Arial"/>
      <family val="2"/>
    </font>
    <font>
      <b/>
      <sz val="14"/>
      <color indexed="9"/>
      <name val="Arial"/>
      <family val="2"/>
    </font>
    <font>
      <sz val="18"/>
      <name val="Arial"/>
      <family val="2"/>
    </font>
    <font>
      <b/>
      <sz val="14"/>
      <color indexed="51"/>
      <name val="Arial"/>
      <family val="2"/>
    </font>
    <font>
      <b/>
      <sz val="11"/>
      <name val="Arial"/>
      <family val="2"/>
    </font>
    <font>
      <sz val="11"/>
      <name val="Arial"/>
      <family val="2"/>
    </font>
    <font>
      <b/>
      <sz val="11"/>
      <color theme="4" tint="-0.24997"/>
      <name val="Arial"/>
      <family val="2"/>
    </font>
    <font>
      <b/>
      <sz val="12"/>
      <color theme="0"/>
      <name val="Arial"/>
      <family val="2"/>
    </font>
    <font>
      <b/>
      <sz val="14"/>
      <color theme="0"/>
      <name val="Arial"/>
      <family val="2"/>
    </font>
    <font>
      <sz val="11"/>
      <color theme="0"/>
      <name val="Arial"/>
      <family val="2"/>
      <scheme val="minor"/>
    </font>
    <font>
      <b/>
      <sz val="11"/>
      <color theme="0"/>
      <name val="Arial"/>
      <family val="2"/>
    </font>
    <font>
      <b/>
      <sz val="14"/>
      <color theme="4" tint="-0.24997"/>
      <name val="Arial"/>
      <family val="2"/>
    </font>
    <font>
      <sz val="11"/>
      <color theme="1"/>
      <name val="Arial"/>
      <family val="2"/>
      <charset val="177"/>
      <scheme val="minor"/>
    </font>
    <font>
      <b/>
      <sz val="10"/>
      <color rgb="FF000000"/>
      <name val="Arial"/>
      <family val="2"/>
    </font>
    <font>
      <sz val="11"/>
      <name val="Arial"/>
      <family val="2"/>
      <scheme val="minor"/>
    </font>
    <font>
      <b/>
      <u val="single"/>
      <sz val="10"/>
      <color rgb="FF000000"/>
      <name val="Arial"/>
      <family val="2"/>
    </font>
    <font>
      <b/>
      <sz val="11"/>
      <color theme="3"/>
      <name val="Arial"/>
      <family val="2"/>
    </font>
    <font>
      <sz val="18"/>
      <name val="Arial"/>
      <family val="2"/>
      <scheme val="minor"/>
    </font>
    <font>
      <b/>
      <sz val="11"/>
      <name val="Arial"/>
      <family val="2"/>
      <scheme val="minor"/>
    </font>
    <font>
      <b/>
      <sz val="14"/>
      <color rgb="FFFFC000"/>
      <name val="Arial"/>
      <family val="2"/>
      <scheme val="minor"/>
    </font>
    <font>
      <i/>
      <u val="single"/>
      <sz val="11"/>
      <color theme="1"/>
      <name val="Arial"/>
      <family val="2"/>
      <scheme val="minor"/>
    </font>
    <font>
      <sz val="11"/>
      <color theme="3"/>
      <name val="Arial"/>
      <family val="2"/>
      <scheme val="minor"/>
    </font>
    <font>
      <b/>
      <sz val="10"/>
      <color theme="1"/>
      <name val="Arial"/>
      <family val="2"/>
      <scheme val="minor"/>
    </font>
    <font>
      <b/>
      <sz val="11"/>
      <color theme="1"/>
      <name val="Arial"/>
      <family val="2"/>
      <scheme val="minor"/>
    </font>
    <font>
      <sz val="11"/>
      <color rgb="FFFA7D00"/>
      <name val="Arial"/>
      <family val="2"/>
      <charset val="177"/>
      <scheme val="minor"/>
    </font>
    <font>
      <b/>
      <sz val="11"/>
      <color theme="0"/>
      <name val="Arial"/>
      <family val="2"/>
      <charset val="177"/>
      <scheme val="minor"/>
    </font>
    <font>
      <sz val="11"/>
      <color rgb="FF9C0006"/>
      <name val="Arial"/>
      <family val="2"/>
      <charset val="177"/>
      <scheme val="minor"/>
    </font>
    <font>
      <sz val="11"/>
      <color rgb="FF3F3F76"/>
      <name val="Arial"/>
      <family val="2"/>
      <charset val="177"/>
      <scheme val="minor"/>
    </font>
    <font>
      <b/>
      <sz val="11"/>
      <color rgb="FF3F3F3F"/>
      <name val="Arial"/>
      <family val="2"/>
      <charset val="177"/>
      <scheme val="minor"/>
    </font>
    <font>
      <sz val="11"/>
      <color rgb="FF9C6500"/>
      <name val="Arial"/>
      <family val="2"/>
      <charset val="177"/>
      <scheme val="minor"/>
    </font>
    <font>
      <b/>
      <sz val="11"/>
      <color theme="3"/>
      <name val="Arial"/>
      <family val="2"/>
      <charset val="177"/>
      <scheme val="minor"/>
    </font>
    <font>
      <b/>
      <sz val="13"/>
      <color theme="3"/>
      <name val="Arial"/>
      <family val="2"/>
      <charset val="177"/>
      <scheme val="minor"/>
    </font>
    <font>
      <b/>
      <sz val="15"/>
      <color theme="3"/>
      <name val="Arial"/>
      <family val="2"/>
      <charset val="177"/>
      <scheme val="minor"/>
    </font>
    <font>
      <sz val="18"/>
      <color theme="3"/>
      <name val="Times New Roman"/>
      <family val="2"/>
      <charset val="177"/>
      <scheme val="major"/>
    </font>
    <font>
      <i/>
      <sz val="11"/>
      <color rgb="FF7F7F7F"/>
      <name val="Arial"/>
      <family val="2"/>
      <charset val="177"/>
      <scheme val="minor"/>
    </font>
    <font>
      <sz val="11"/>
      <color rgb="FFFF0000"/>
      <name val="Arial"/>
      <family val="2"/>
      <charset val="177"/>
      <scheme val="minor"/>
    </font>
    <font>
      <sz val="11"/>
      <color rgb="FF006100"/>
      <name val="Arial"/>
      <family val="2"/>
      <charset val="177"/>
      <scheme val="minor"/>
    </font>
    <font>
      <b/>
      <sz val="11"/>
      <color rgb="FFFA7D00"/>
      <name val="Arial"/>
      <family val="2"/>
      <charset val="177"/>
      <scheme val="minor"/>
    </font>
  </fonts>
  <fills count="39">
    <fill>
      <patternFill patternType="none"/>
    </fill>
    <fill>
      <patternFill patternType="gray125"/>
    </fill>
    <fill>
      <patternFill patternType="solid">
        <fgColor theme="4" tint="0.79998"/>
        <bgColor indexed="64"/>
      </patternFill>
    </fill>
    <fill>
      <patternFill patternType="solid">
        <fgColor theme="5" tint="0.79998"/>
        <bgColor indexed="64"/>
      </patternFill>
    </fill>
    <fill>
      <patternFill patternType="solid">
        <fgColor theme="6" tint="0.79998"/>
        <bgColor indexed="64"/>
      </patternFill>
    </fill>
    <fill>
      <patternFill patternType="solid">
        <fgColor theme="7" tint="0.79998"/>
        <bgColor indexed="64"/>
      </patternFill>
    </fill>
    <fill>
      <patternFill patternType="solid">
        <fgColor theme="8" tint="0.79998"/>
        <bgColor indexed="64"/>
      </patternFill>
    </fill>
    <fill>
      <patternFill patternType="solid">
        <fgColor theme="9" tint="0.79998"/>
        <bgColor indexed="64"/>
      </patternFill>
    </fill>
    <fill>
      <patternFill patternType="solid">
        <fgColor theme="4" tint="0.59999"/>
        <bgColor indexed="64"/>
      </patternFill>
    </fill>
    <fill>
      <patternFill patternType="solid">
        <fgColor theme="5" tint="0.59999"/>
        <bgColor indexed="64"/>
      </patternFill>
    </fill>
    <fill>
      <patternFill patternType="solid">
        <fgColor theme="6" tint="0.59999"/>
        <bgColor indexed="64"/>
      </patternFill>
    </fill>
    <fill>
      <patternFill patternType="solid">
        <fgColor theme="7" tint="0.59999"/>
        <bgColor indexed="64"/>
      </patternFill>
    </fill>
    <fill>
      <patternFill patternType="solid">
        <fgColor theme="8" tint="0.59999"/>
        <bgColor indexed="64"/>
      </patternFill>
    </fill>
    <fill>
      <patternFill patternType="solid">
        <fgColor theme="9" tint="0.59999"/>
        <bgColor indexed="64"/>
      </patternFill>
    </fill>
    <fill>
      <patternFill patternType="solid">
        <fgColor theme="4" tint="0.39998"/>
        <bgColor indexed="64"/>
      </patternFill>
    </fill>
    <fill>
      <patternFill patternType="solid">
        <fgColor theme="5" tint="0.39998"/>
        <bgColor indexed="64"/>
      </patternFill>
    </fill>
    <fill>
      <patternFill patternType="solid">
        <fgColor theme="6" tint="0.39998"/>
        <bgColor indexed="64"/>
      </patternFill>
    </fill>
    <fill>
      <patternFill patternType="solid">
        <fgColor theme="7" tint="0.39998"/>
        <bgColor indexed="64"/>
      </patternFill>
    </fill>
    <fill>
      <patternFill patternType="solid">
        <fgColor theme="8" tint="0.39998"/>
        <bgColor indexed="64"/>
      </patternFill>
    </fill>
    <fill>
      <patternFill patternType="solid">
        <fgColor theme="9" tint="0.39998"/>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FFCC"/>
        <bgColor indexed="64"/>
      </patternFill>
    </fill>
    <fill>
      <patternFill patternType="solid">
        <fgColor rgb="FFF2F2F2"/>
        <bgColor indexed="64"/>
      </patternFill>
    </fill>
    <fill>
      <patternFill patternType="solid">
        <fgColor rgb="FFC6EFCE"/>
        <bgColor indexed="64"/>
      </patternFill>
    </fill>
    <fill>
      <patternFill patternType="solid">
        <fgColor rgb="FFFFEB9C"/>
        <bgColor indexed="64"/>
      </patternFill>
    </fill>
    <fill>
      <patternFill patternType="solid">
        <fgColor rgb="FFFFCC99"/>
        <bgColor indexed="64"/>
      </patternFill>
    </fill>
    <fill>
      <patternFill patternType="solid">
        <fgColor rgb="FFFFC7CE"/>
        <bgColor indexed="64"/>
      </patternFill>
    </fill>
    <fill>
      <patternFill patternType="solid">
        <fgColor rgb="FFA5A5A5"/>
        <bgColor indexed="64"/>
      </patternFill>
    </fill>
    <fill>
      <patternFill patternType="solid">
        <fgColor theme="3" tint="0.39998"/>
        <bgColor indexed="64"/>
      </patternFill>
    </fill>
    <fill>
      <patternFill patternType="solid">
        <fgColor rgb="FFFFFF00"/>
        <bgColor indexed="64"/>
      </patternFill>
    </fill>
    <fill>
      <patternFill patternType="solid">
        <fgColor rgb="FFDCE6F1"/>
        <bgColor indexed="64"/>
      </patternFill>
    </fill>
    <fill>
      <patternFill patternType="solid">
        <fgColor indexed="41"/>
        <bgColor indexed="64"/>
      </patternFill>
    </fill>
    <fill>
      <patternFill patternType="solid">
        <fgColor theme="9" tint="-0.49997"/>
        <bgColor indexed="64"/>
      </patternFill>
    </fill>
    <fill>
      <patternFill patternType="solid">
        <fgColor theme="0"/>
        <bgColor indexed="64"/>
      </patternFill>
    </fill>
  </fills>
  <borders count="55">
    <border>
      <left/>
      <right/>
      <top/>
      <bottom/>
      <diagonal/>
    </border>
    <border>
      <left style="thin">
        <color rgb="FFB2B2B2"/>
      </left>
      <right style="thin">
        <color rgb="FFB2B2B2"/>
      </right>
      <top style="thin">
        <color rgb="FFB2B2B2"/>
      </top>
      <bottom style="thin">
        <color rgb="FFB2B2B2"/>
      </bottom>
    </border>
    <border>
      <left style="thin">
        <color rgb="FF7F7F7F"/>
      </left>
      <right style="thin">
        <color rgb="FF7F7F7F"/>
      </right>
      <top style="thin">
        <color rgb="FF7F7F7F"/>
      </top>
      <bottom style="thin">
        <color rgb="FF7F7F7F"/>
      </bottom>
    </border>
    <border>
      <left>
        <color indexed="0"/>
      </left>
      <right>
        <color indexed="0"/>
      </right>
      <top>
        <color indexed="0"/>
      </top>
      <bottom style="thick">
        <color theme="4"/>
      </bottom>
    </border>
    <border>
      <left>
        <color indexed="0"/>
      </left>
      <right>
        <color indexed="0"/>
      </right>
      <top>
        <color indexed="0"/>
      </top>
      <bottom style="thick">
        <color theme="4" tint="0.49998"/>
      </bottom>
    </border>
    <border>
      <left>
        <color indexed="0"/>
      </left>
      <right>
        <color indexed="0"/>
      </right>
      <top>
        <color indexed="0"/>
      </top>
      <bottom style="medium">
        <color theme="4" tint="0.39998"/>
      </bottom>
    </border>
    <border>
      <left>
        <color indexed="0"/>
      </left>
      <right>
        <color indexed="0"/>
      </right>
      <top style="thin">
        <color theme="4"/>
      </top>
      <bottom style="double">
        <color theme="4"/>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color indexed="0"/>
      </left>
      <right>
        <color indexed="0"/>
      </right>
      <top>
        <color indexed="0"/>
      </top>
      <bottom style="double">
        <color rgb="FFFF8001"/>
      </bottom>
    </border>
    <border>
      <left style="thin">
        <color theme="0"/>
      </left>
      <right style="thin">
        <color theme="0"/>
      </right>
      <top style="thin">
        <color theme="0"/>
      </top>
      <bottom style="thin">
        <color theme="0"/>
      </bottom>
    </border>
    <border>
      <left style="thin">
        <color theme="0"/>
      </left>
      <right style="thin">
        <color theme="0"/>
      </right>
      <top/>
      <bottom style="thin">
        <color theme="0"/>
      </bottom>
    </border>
    <border>
      <left/>
      <right style="thin">
        <color theme="0"/>
      </right>
      <top/>
      <bottom style="thin">
        <color theme="0"/>
      </bottom>
    </border>
    <border>
      <left style="thin">
        <color theme="0"/>
      </left>
      <right style="thin">
        <color theme="0"/>
      </right>
      <top style="thin">
        <color theme="0"/>
      </top>
      <bottom/>
    </border>
    <border>
      <left/>
      <right/>
      <top style="thin">
        <color theme="0"/>
      </top>
      <bottom/>
    </border>
    <border>
      <left style="thin">
        <color theme="0"/>
      </left>
      <right/>
      <top style="thin">
        <color theme="0"/>
      </top>
      <bottom style="thin">
        <color theme="0"/>
      </bottom>
    </border>
    <border>
      <left/>
      <right style="thin">
        <color theme="0"/>
      </right>
      <top style="thin">
        <color theme="0"/>
      </top>
      <bottom style="thin">
        <color theme="0"/>
      </bottom>
    </border>
    <border>
      <left style="thin">
        <color theme="0"/>
      </left>
      <right style="thin">
        <color theme="0"/>
      </right>
      <top/>
      <bottom/>
    </border>
    <border>
      <left/>
      <right style="thin">
        <color theme="0"/>
      </right>
      <top style="thin">
        <color theme="0"/>
      </top>
      <bottom/>
    </border>
    <border>
      <left style="thin">
        <color theme="0"/>
      </left>
      <right style="thin">
        <color theme="0"/>
      </right>
      <top/>
      <bottom style="thick">
        <color theme="0"/>
      </bottom>
    </border>
    <border>
      <left/>
      <right style="thin">
        <color theme="0"/>
      </right>
      <top/>
      <bottom style="thick">
        <color theme="0"/>
      </bottom>
    </border>
    <border>
      <left/>
      <right/>
      <top/>
      <bottom style="thin">
        <color theme="0"/>
      </bottom>
    </border>
    <border>
      <left style="thin">
        <color theme="0"/>
      </left>
      <right style="thin">
        <color theme="0"/>
      </right>
      <top style="thick">
        <color theme="0"/>
      </top>
      <bottom style="thick">
        <color theme="0"/>
      </bottom>
    </border>
    <border>
      <left style="thin">
        <color theme="0"/>
      </left>
      <right/>
      <top style="thick">
        <color theme="0"/>
      </top>
      <bottom style="thick">
        <color theme="0"/>
      </bottom>
    </border>
    <border>
      <left/>
      <right style="thin">
        <color theme="0"/>
      </right>
      <top style="thick">
        <color theme="0"/>
      </top>
      <bottom style="thick">
        <color theme="0"/>
      </bottom>
    </border>
    <border>
      <left style="thin">
        <color theme="0"/>
      </left>
      <right/>
      <top/>
      <bottom/>
    </border>
    <border>
      <left style="thick">
        <color theme="0"/>
      </left>
      <right style="thin">
        <color theme="0"/>
      </right>
      <top/>
      <bottom/>
    </border>
    <border>
      <left/>
      <right style="thick">
        <color theme="0"/>
      </right>
      <top style="thin">
        <color theme="0"/>
      </top>
      <bottom/>
    </border>
    <border>
      <left style="thick">
        <color theme="0"/>
      </left>
      <right style="thin">
        <color theme="0"/>
      </right>
      <top/>
      <bottom style="thick">
        <color theme="0"/>
      </bottom>
    </border>
    <border>
      <left/>
      <right style="thick">
        <color theme="0"/>
      </right>
      <top/>
      <bottom style="thick">
        <color theme="0"/>
      </bottom>
    </border>
    <border>
      <left/>
      <right style="thin">
        <color theme="0"/>
      </right>
      <top style="thick">
        <color theme="0"/>
      </top>
      <bottom/>
    </border>
    <border>
      <left style="thin">
        <color theme="0"/>
      </left>
      <right style="thin">
        <color theme="0"/>
      </right>
      <top style="thick">
        <color theme="0"/>
      </top>
      <bottom/>
    </border>
    <border>
      <left/>
      <right style="thick">
        <color theme="0"/>
      </right>
      <top/>
      <bottom style="thin">
        <color theme="0"/>
      </bottom>
    </border>
    <border>
      <left style="thin">
        <color theme="0"/>
      </left>
      <right style="thin">
        <color theme="0"/>
      </right>
      <top style="thin">
        <color theme="0"/>
      </top>
      <bottom style="thick">
        <color theme="0"/>
      </bottom>
    </border>
    <border>
      <left style="thin">
        <color theme="0"/>
      </left>
      <right/>
      <top style="thin">
        <color theme="0"/>
      </top>
      <bottom style="thick">
        <color theme="0"/>
      </bottom>
    </border>
    <border>
      <left/>
      <right style="thin">
        <color theme="0"/>
      </right>
      <top style="thin">
        <color theme="0"/>
      </top>
      <bottom style="thick">
        <color theme="0"/>
      </bottom>
    </border>
    <border>
      <left/>
      <right style="thin">
        <color theme="0"/>
      </right>
      <top/>
      <bottom/>
    </border>
    <border>
      <left style="thin">
        <color theme="0"/>
      </left>
      <right/>
      <top/>
      <bottom style="thin">
        <color theme="0"/>
      </bottom>
    </border>
    <border>
      <left style="thin">
        <color theme="0"/>
      </left>
      <right style="thin">
        <color theme="0"/>
      </right>
      <top style="thin">
        <color theme="0"/>
      </top>
      <bottom style="medium">
        <color theme="0"/>
      </bottom>
    </border>
    <border>
      <left/>
      <right style="thin">
        <color theme="0"/>
      </right>
      <top style="thin">
        <color theme="0"/>
      </top>
      <bottom style="medium">
        <color theme="0"/>
      </bottom>
    </border>
    <border>
      <left style="double">
        <color indexed="56"/>
      </left>
      <right style="double">
        <color indexed="56"/>
      </right>
      <top style="double">
        <color indexed="56"/>
      </top>
      <bottom style="double">
        <color indexed="56"/>
      </bottom>
    </border>
    <border>
      <left style="thin">
        <color auto="1"/>
      </left>
      <right style="thin">
        <color auto="1"/>
      </right>
      <top style="thin">
        <color auto="1"/>
      </top>
      <bottom style="thin">
        <color auto="1"/>
      </bottom>
    </border>
    <border>
      <left style="thin">
        <color theme="0"/>
      </left>
      <right/>
      <top/>
      <bottom style="thick">
        <color theme="0"/>
      </bottom>
    </border>
    <border>
      <left style="medium">
        <color auto="1"/>
      </left>
      <right/>
      <top style="medium">
        <color auto="1"/>
      </top>
      <bottom/>
    </border>
    <border>
      <left/>
      <right/>
      <top style="medium">
        <color auto="1"/>
      </top>
      <bottom/>
    </border>
    <border>
      <left/>
      <right style="medium">
        <color auto="1"/>
      </right>
      <top style="medium">
        <color auto="1"/>
      </top>
      <bottom/>
    </border>
    <border>
      <left style="medium">
        <color auto="1"/>
      </left>
      <right/>
      <top style="thin">
        <color theme="0"/>
      </top>
      <bottom/>
    </border>
    <border>
      <left/>
      <right style="medium">
        <color auto="1"/>
      </right>
      <top/>
      <bottom/>
    </border>
    <border>
      <left style="medium">
        <color auto="1"/>
      </left>
      <right/>
      <top style="thin">
        <color theme="0"/>
      </top>
      <bottom style="medium">
        <color auto="1"/>
      </bottom>
    </border>
    <border>
      <left/>
      <right/>
      <top/>
      <bottom style="medium">
        <color auto="1"/>
      </bottom>
    </border>
    <border>
      <left/>
      <right style="medium">
        <color auto="1"/>
      </right>
      <top/>
      <bottom style="medium">
        <color auto="1"/>
      </bottom>
    </border>
    <border>
      <left/>
      <right style="medium">
        <color auto="1"/>
      </right>
      <top style="thin">
        <color theme="0"/>
      </top>
      <bottom/>
    </border>
    <border>
      <left style="medium">
        <color auto="1"/>
      </left>
      <right/>
      <top/>
      <bottom/>
    </border>
    <border>
      <left style="medium">
        <color auto="1"/>
      </left>
      <right/>
      <top/>
      <bottom style="medium">
        <color auto="1"/>
      </bottom>
    </border>
    <border>
      <left/>
      <right/>
      <top style="thin">
        <color theme="0"/>
      </top>
      <bottom style="thin">
        <color theme="0"/>
      </bottom>
    </border>
  </borders>
  <cellStyleXfs count="84">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45" fillId="2" borderId="0" applyNumberFormat="0" applyBorder="0" applyAlignment="0" applyProtection="0"/>
    <xf numFmtId="0" fontId="45" fillId="3" borderId="0" applyNumberFormat="0" applyBorder="0" applyAlignment="0" applyProtection="0"/>
    <xf numFmtId="0" fontId="45" fillId="4" borderId="0" applyNumberFormat="0" applyBorder="0" applyAlignment="0" applyProtection="0"/>
    <xf numFmtId="0" fontId="45" fillId="5" borderId="0" applyNumberFormat="0" applyBorder="0" applyAlignment="0" applyProtection="0"/>
    <xf numFmtId="0" fontId="45" fillId="6" borderId="0" applyNumberFormat="0" applyBorder="0" applyAlignment="0" applyProtection="0"/>
    <xf numFmtId="0" fontId="45" fillId="7" borderId="0" applyNumberFormat="0" applyBorder="0" applyAlignment="0" applyProtection="0"/>
    <xf numFmtId="0" fontId="45" fillId="8"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1" borderId="0" applyNumberFormat="0" applyBorder="0" applyAlignment="0" applyProtection="0"/>
    <xf numFmtId="0" fontId="45" fillId="12" borderId="0" applyNumberFormat="0" applyBorder="0" applyAlignment="0" applyProtection="0"/>
    <xf numFmtId="0" fontId="45" fillId="13" borderId="0" applyNumberFormat="0" applyBorder="0" applyAlignment="0" applyProtection="0"/>
    <xf numFmtId="0" fontId="42" fillId="14"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43" fontId="0" fillId="0" borderId="0" applyFont="0" applyFill="0" applyBorder="0" applyAlignment="0" applyProtection="0"/>
    <xf numFmtId="44" fontId="0" fillId="0" borderId="0" applyFont="0" applyFill="0" applyBorder="0" applyAlignment="0" applyProtection="0"/>
    <xf numFmtId="0" fontId="0" fillId="0" borderId="0">
      <alignment/>
      <protection/>
    </xf>
    <xf numFmtId="0" fontId="45" fillId="0" borderId="0">
      <alignment/>
      <protection/>
    </xf>
    <xf numFmtId="0" fontId="45" fillId="0" borderId="0">
      <alignment/>
      <protection/>
    </xf>
    <xf numFmtId="0" fontId="0" fillId="0" borderId="0">
      <alignment/>
      <protection/>
    </xf>
    <xf numFmtId="0" fontId="45" fillId="0" borderId="0">
      <alignment/>
      <protection/>
    </xf>
    <xf numFmtId="0" fontId="45" fillId="0" borderId="0">
      <alignment/>
      <protection/>
    </xf>
    <xf numFmtId="0" fontId="45" fillId="0" borderId="0">
      <alignment/>
      <protection/>
    </xf>
    <xf numFmtId="0" fontId="45" fillId="0" borderId="0">
      <alignment/>
      <protection/>
    </xf>
    <xf numFmtId="0" fontId="45" fillId="0" borderId="0">
      <alignment/>
      <protection/>
    </xf>
    <xf numFmtId="0" fontId="45" fillId="0" borderId="0">
      <alignment/>
      <protection/>
    </xf>
    <xf numFmtId="0" fontId="45" fillId="0" borderId="0">
      <alignment/>
      <protection/>
    </xf>
    <xf numFmtId="0" fontId="45" fillId="0" borderId="0">
      <alignment/>
      <protection/>
    </xf>
    <xf numFmtId="0" fontId="45" fillId="0" borderId="0">
      <alignment/>
      <protection/>
    </xf>
    <xf numFmtId="0" fontId="1" fillId="0" borderId="0">
      <alignment/>
      <protection/>
    </xf>
    <xf numFmtId="0" fontId="1" fillId="0" borderId="0">
      <alignment/>
      <protection/>
    </xf>
    <xf numFmtId="9" fontId="0" fillId="0" borderId="0" applyFont="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0" fillId="0" borderId="0" applyFont="0" applyFill="0" applyBorder="0" applyAlignment="0" applyProtection="0"/>
    <xf numFmtId="0" fontId="42" fillId="20" borderId="0" applyNumberFormat="0" applyBorder="0" applyAlignment="0" applyProtection="0"/>
    <xf numFmtId="0" fontId="42" fillId="21" borderId="0" applyNumberFormat="0" applyBorder="0" applyAlignment="0" applyProtection="0"/>
    <xf numFmtId="0" fontId="42" fillId="22" borderId="0" applyNumberFormat="0" applyBorder="0" applyAlignment="0" applyProtection="0"/>
    <xf numFmtId="0" fontId="42" fillId="23" borderId="0" applyNumberFormat="0" applyBorder="0" applyAlignment="0" applyProtection="0"/>
    <xf numFmtId="0" fontId="42" fillId="24" borderId="0" applyNumberFormat="0" applyBorder="0" applyAlignment="0" applyProtection="0"/>
    <xf numFmtId="0" fontId="42" fillId="25" borderId="0" applyNumberFormat="0" applyBorder="0" applyAlignment="0" applyProtection="0"/>
    <xf numFmtId="0" fontId="0" fillId="26" borderId="1" applyNumberFormat="0" applyFont="0" applyAlignment="0" applyProtection="0"/>
    <xf numFmtId="0" fontId="70" fillId="27" borderId="2" applyNumberFormat="0" applyAlignment="0" applyProtection="0"/>
    <xf numFmtId="0" fontId="69" fillId="28" borderId="0" applyNumberFormat="0" applyBorder="0" applyAlignment="0" applyProtection="0"/>
    <xf numFmtId="0" fontId="68" fillId="0" borderId="0" applyNumberFormat="0" applyFill="0" applyBorder="0" applyAlignment="0" applyProtection="0"/>
    <xf numFmtId="0" fontId="67" fillId="0" borderId="0" applyNumberFormat="0" applyFill="0" applyBorder="0" applyAlignment="0" applyProtection="0"/>
    <xf numFmtId="0" fontId="66" fillId="0" borderId="0" applyNumberFormat="0" applyFill="0" applyBorder="0" applyAlignment="0" applyProtection="0"/>
    <xf numFmtId="0" fontId="65" fillId="0" borderId="3" applyNumberFormat="0" applyFill="0" applyAlignment="0" applyProtection="0"/>
    <xf numFmtId="0" fontId="64" fillId="0" borderId="4" applyNumberFormat="0" applyFill="0" applyAlignment="0" applyProtection="0"/>
    <xf numFmtId="0" fontId="63" fillId="0" borderId="5" applyNumberFormat="0" applyFill="0" applyAlignment="0" applyProtection="0"/>
    <xf numFmtId="0" fontId="63" fillId="0" borderId="0" applyNumberFormat="0" applyFill="0" applyBorder="0" applyAlignment="0" applyProtection="0"/>
    <xf numFmtId="42" fontId="0" fillId="0" borderId="0" applyFont="0" applyFill="0" applyBorder="0" applyAlignment="0" applyProtection="0"/>
    <xf numFmtId="0" fontId="62" fillId="29" borderId="0" applyNumberFormat="0" applyBorder="0" applyAlignment="0" applyProtection="0"/>
    <xf numFmtId="0" fontId="56" fillId="0" borderId="6" applyNumberFormat="0" applyFill="0" applyAlignment="0" applyProtection="0"/>
    <xf numFmtId="0" fontId="61" fillId="27" borderId="7" applyNumberFormat="0" applyAlignment="0" applyProtection="0"/>
    <xf numFmtId="41" fontId="0" fillId="0" borderId="0" applyFont="0" applyFill="0" applyBorder="0" applyAlignment="0" applyProtection="0"/>
    <xf numFmtId="0" fontId="60" fillId="30" borderId="2" applyNumberFormat="0" applyAlignment="0" applyProtection="0"/>
    <xf numFmtId="0" fontId="59" fillId="31" borderId="0" applyNumberFormat="0" applyBorder="0" applyAlignment="0" applyProtection="0"/>
    <xf numFmtId="0" fontId="58" fillId="32" borderId="8" applyNumberFormat="0" applyAlignment="0" applyProtection="0"/>
    <xf numFmtId="0" fontId="57" fillId="0" borderId="9" applyNumberFormat="0" applyFill="0" applyAlignment="0" applyProtection="0"/>
  </cellStyleXfs>
  <cellXfs count="338">
    <xf numFmtId="0" fontId="0" fillId="0" borderId="0" xfId="0" applyAlignment="1">
      <alignment/>
    </xf>
    <xf numFmtId="0" fontId="45" fillId="0" borderId="0" xfId="40" applyFont="1">
      <alignment/>
      <protection/>
    </xf>
    <xf numFmtId="0" fontId="43" fillId="33" borderId="10" xfId="40" applyFont="1" applyFill="1" applyBorder="1" applyAlignment="1">
      <alignment horizontal="center" vertical="center" wrapText="1" readingOrder="2"/>
      <protection/>
    </xf>
    <xf numFmtId="0" fontId="43" fillId="33" borderId="10" xfId="0" applyFont="1" applyFill="1" applyBorder="1" applyAlignment="1">
      <alignment horizontal="center" vertical="center" wrapText="1" readingOrder="2"/>
    </xf>
    <xf numFmtId="0" fontId="39" fillId="2" borderId="11" xfId="40" applyFont="1" applyFill="1" applyBorder="1" applyAlignment="1">
      <alignment horizontal="right" vertical="center" wrapText="1" readingOrder="2"/>
      <protection/>
    </xf>
    <xf numFmtId="9" fontId="39" fillId="2" borderId="11" xfId="0" applyNumberFormat="1" applyFont="1" applyFill="1" applyBorder="1" applyAlignment="1">
      <alignment horizontal="center" vertical="center" wrapText="1" readingOrder="1"/>
    </xf>
    <xf numFmtId="164" fontId="39" fillId="2" borderId="11" xfId="0" applyNumberFormat="1" applyFont="1" applyFill="1" applyBorder="1" applyAlignment="1">
      <alignment horizontal="center" vertical="center" wrapText="1" readingOrder="1"/>
    </xf>
    <xf numFmtId="9" fontId="39" fillId="2" borderId="11" xfId="51" applyFont="1" applyFill="1" applyBorder="1" applyAlignment="1">
      <alignment horizontal="center" vertical="center" wrapText="1" readingOrder="1"/>
    </xf>
    <xf numFmtId="0" fontId="39" fillId="2" borderId="12" xfId="40" applyFont="1" applyFill="1" applyBorder="1" applyAlignment="1">
      <alignment horizontal="center" vertical="center" wrapText="1" readingOrder="2"/>
      <protection/>
    </xf>
    <xf numFmtId="0" fontId="39" fillId="2" borderId="11" xfId="0" applyFont="1" applyFill="1" applyBorder="1" applyAlignment="1">
      <alignment horizontal="right" vertical="center" wrapText="1" readingOrder="2"/>
    </xf>
    <xf numFmtId="164" fontId="39" fillId="2" borderId="11" xfId="51" applyNumberFormat="1" applyFont="1" applyFill="1" applyBorder="1" applyAlignment="1">
      <alignment horizontal="center" vertical="center" wrapText="1" readingOrder="1"/>
    </xf>
    <xf numFmtId="9" fontId="39" fillId="2" borderId="13" xfId="51" applyFont="1" applyFill="1" applyBorder="1" applyAlignment="1">
      <alignment horizontal="center" vertical="center" wrapText="1" readingOrder="1"/>
    </xf>
    <xf numFmtId="0" fontId="3" fillId="0" borderId="0" xfId="36" applyFont="1" applyBorder="1" applyAlignment="1">
      <alignment horizontal="right" wrapText="1" readingOrder="2"/>
      <protection/>
    </xf>
    <xf numFmtId="0" fontId="4" fillId="0" borderId="0" xfId="40" applyFont="1" applyBorder="1" applyAlignment="1">
      <alignment wrapText="1"/>
      <protection/>
    </xf>
    <xf numFmtId="0" fontId="46" fillId="0" borderId="0" xfId="40" applyFont="1" applyAlignment="1">
      <alignment horizontal="right" wrapText="1" readingOrder="2"/>
      <protection/>
    </xf>
    <xf numFmtId="0" fontId="39" fillId="2" borderId="12" xfId="0" applyFont="1" applyFill="1" applyBorder="1" applyAlignment="1">
      <alignment horizontal="center" vertical="top" wrapText="1" readingOrder="2"/>
    </xf>
    <xf numFmtId="0" fontId="46" fillId="0" borderId="14" xfId="0" applyFont="1" applyBorder="1" applyAlignment="1">
      <alignment horizontal="right" readingOrder="2"/>
    </xf>
    <xf numFmtId="0" fontId="45" fillId="0" borderId="0" xfId="41" applyFont="1">
      <alignment/>
      <protection/>
    </xf>
    <xf numFmtId="0" fontId="44" fillId="0" borderId="0" xfId="41" applyFont="1" applyBorder="1" applyAlignment="1">
      <alignment horizontal="center" vertical="center" wrapText="1" readingOrder="2"/>
      <protection/>
    </xf>
    <xf numFmtId="0" fontId="44" fillId="0" borderId="0" xfId="41" applyFont="1" applyBorder="1" applyAlignment="1">
      <alignment vertical="center" wrapText="1" readingOrder="2"/>
      <protection/>
    </xf>
    <xf numFmtId="0" fontId="40" fillId="33" borderId="10" xfId="41" applyFont="1" applyFill="1" applyBorder="1" applyAlignment="1">
      <alignment horizontal="center" vertical="center" wrapText="1" readingOrder="2"/>
      <protection/>
    </xf>
    <xf numFmtId="0" fontId="40" fillId="33" borderId="15" xfId="41" applyFont="1" applyFill="1" applyBorder="1" applyAlignment="1">
      <alignment vertical="center" wrapText="1" readingOrder="2"/>
      <protection/>
    </xf>
    <xf numFmtId="0" fontId="40" fillId="33" borderId="16" xfId="42" applyFont="1" applyFill="1" applyBorder="1" applyAlignment="1">
      <alignment horizontal="right" vertical="center" wrapText="1" indent="1" readingOrder="2"/>
      <protection/>
    </xf>
    <xf numFmtId="0" fontId="39" fillId="2" borderId="13" xfId="41" applyFont="1" applyFill="1" applyBorder="1" applyAlignment="1">
      <alignment vertical="center" wrapText="1" readingOrder="2"/>
      <protection/>
    </xf>
    <xf numFmtId="9" fontId="39" fillId="2" borderId="12" xfId="53" applyNumberFormat="1" applyFont="1" applyFill="1" applyBorder="1" applyAlignment="1">
      <alignment horizontal="center" vertical="center" wrapText="1" readingOrder="1"/>
    </xf>
    <xf numFmtId="164" fontId="39" fillId="2" borderId="12" xfId="53" applyNumberFormat="1" applyFont="1" applyFill="1" applyBorder="1" applyAlignment="1">
      <alignment horizontal="center" vertical="center" wrapText="1" readingOrder="1"/>
    </xf>
    <xf numFmtId="0" fontId="39" fillId="2" borderId="17" xfId="41" applyFont="1" applyFill="1" applyBorder="1" applyAlignment="1">
      <alignment vertical="center" wrapText="1" readingOrder="2"/>
      <protection/>
    </xf>
    <xf numFmtId="9" fontId="45" fillId="0" borderId="0" xfId="50" applyFont="1" applyAlignment="1">
      <alignment/>
    </xf>
    <xf numFmtId="9" fontId="39" fillId="2" borderId="13" xfId="53" applyNumberFormat="1" applyFont="1" applyFill="1" applyBorder="1" applyAlignment="1">
      <alignment horizontal="center" vertical="center" wrapText="1" readingOrder="1"/>
    </xf>
    <xf numFmtId="164" fontId="39" fillId="2" borderId="18" xfId="53" applyNumberFormat="1" applyFont="1" applyFill="1" applyBorder="1" applyAlignment="1">
      <alignment horizontal="center" vertical="center" wrapText="1" readingOrder="1"/>
    </xf>
    <xf numFmtId="0" fontId="39" fillId="2" borderId="19" xfId="41" applyFont="1" applyFill="1" applyBorder="1" applyAlignment="1">
      <alignment vertical="center" wrapText="1" readingOrder="2"/>
      <protection/>
    </xf>
    <xf numFmtId="164" fontId="39" fillId="2" borderId="20" xfId="53" applyNumberFormat="1" applyFont="1" applyFill="1" applyBorder="1" applyAlignment="1">
      <alignment horizontal="center" vertical="center" readingOrder="1"/>
    </xf>
    <xf numFmtId="0" fontId="39" fillId="2" borderId="20" xfId="41" applyFont="1" applyFill="1" applyBorder="1" applyAlignment="1">
      <alignment horizontal="center" vertical="center" readingOrder="2"/>
      <protection/>
    </xf>
    <xf numFmtId="9" fontId="39" fillId="2" borderId="12" xfId="53" applyNumberFormat="1" applyFont="1" applyFill="1" applyBorder="1" applyAlignment="1">
      <alignment horizontal="center" vertical="center" readingOrder="1"/>
    </xf>
    <xf numFmtId="164" fontId="39" fillId="2" borderId="12" xfId="53" applyNumberFormat="1" applyFont="1" applyFill="1" applyBorder="1" applyAlignment="1">
      <alignment horizontal="center" vertical="center" readingOrder="1"/>
    </xf>
    <xf numFmtId="164" fontId="39" fillId="2" borderId="21" xfId="53" applyNumberFormat="1" applyFont="1" applyFill="1" applyBorder="1" applyAlignment="1">
      <alignment horizontal="center" vertical="center" wrapText="1" readingOrder="1"/>
    </xf>
    <xf numFmtId="0" fontId="39" fillId="2" borderId="12" xfId="41" applyFont="1" applyFill="1" applyBorder="1" applyAlignment="1">
      <alignment horizontal="center" vertical="center" readingOrder="2"/>
      <protection/>
    </xf>
    <xf numFmtId="9" fontId="39" fillId="2" borderId="13" xfId="58" applyNumberFormat="1" applyFont="1" applyFill="1" applyBorder="1" applyAlignment="1">
      <alignment horizontal="center" vertical="center" wrapText="1" readingOrder="2"/>
    </xf>
    <xf numFmtId="0" fontId="39" fillId="2" borderId="18" xfId="41" applyFont="1" applyFill="1" applyBorder="1" applyAlignment="1">
      <alignment horizontal="center" vertical="center" readingOrder="2"/>
      <protection/>
    </xf>
    <xf numFmtId="9" fontId="39" fillId="2" borderId="20" xfId="58" applyNumberFormat="1" applyFont="1" applyFill="1" applyBorder="1" applyAlignment="1">
      <alignment horizontal="center" vertical="center" wrapText="1" readingOrder="2"/>
    </xf>
    <xf numFmtId="0" fontId="46" fillId="0" borderId="0" xfId="46" applyFont="1" applyBorder="1" applyAlignment="1">
      <alignment vertical="top" wrapText="1" readingOrder="2"/>
      <protection/>
    </xf>
    <xf numFmtId="0" fontId="39" fillId="2" borderId="22" xfId="41" applyFont="1" applyFill="1" applyBorder="1" applyAlignment="1">
      <alignment horizontal="right" vertical="center" wrapText="1" readingOrder="2"/>
      <protection/>
    </xf>
    <xf numFmtId="0" fontId="39" fillId="2" borderId="23" xfId="41" applyFont="1" applyFill="1" applyBorder="1" applyAlignment="1">
      <alignment vertical="center" wrapText="1" readingOrder="2"/>
      <protection/>
    </xf>
    <xf numFmtId="0" fontId="39" fillId="2" borderId="24" xfId="41" applyFont="1" applyFill="1" applyBorder="1" applyAlignment="1">
      <alignment vertical="center" wrapText="1" readingOrder="2"/>
      <protection/>
    </xf>
    <xf numFmtId="0" fontId="56" fillId="0" borderId="25" xfId="41" applyFont="1" applyFill="1" applyBorder="1" applyAlignment="1">
      <alignment horizontal="center" vertical="center"/>
      <protection/>
    </xf>
    <xf numFmtId="0" fontId="49" fillId="2" borderId="17" xfId="41" applyFont="1" applyFill="1" applyBorder="1" applyAlignment="1">
      <alignment horizontal="right" vertical="center" wrapText="1" readingOrder="2"/>
      <protection/>
    </xf>
    <xf numFmtId="9" fontId="45" fillId="0" borderId="0" xfId="42" applyNumberFormat="1" applyFont="1">
      <alignment/>
      <protection/>
    </xf>
    <xf numFmtId="0" fontId="0" fillId="0" borderId="0" xfId="42" applyFont="1">
      <alignment/>
      <protection/>
    </xf>
    <xf numFmtId="0" fontId="45" fillId="0" borderId="0" xfId="42" applyFont="1">
      <alignment/>
      <protection/>
    </xf>
    <xf numFmtId="0" fontId="45" fillId="0" borderId="0" xfId="41" applyFont="1" applyBorder="1" applyAlignment="1">
      <alignment horizontal="center" vertical="center" wrapText="1"/>
      <protection/>
    </xf>
    <xf numFmtId="0" fontId="55" fillId="0" borderId="0" xfId="41" applyFont="1" applyAlignment="1">
      <alignment horizontal="right" readingOrder="2"/>
      <protection/>
    </xf>
    <xf numFmtId="0" fontId="43" fillId="33" borderId="10" xfId="41" applyFont="1" applyFill="1" applyBorder="1" applyAlignment="1">
      <alignment horizontal="center" vertical="center" wrapText="1" readingOrder="2"/>
      <protection/>
    </xf>
    <xf numFmtId="0" fontId="43" fillId="33" borderId="10" xfId="0" applyFont="1" applyFill="1" applyBorder="1" applyAlignment="1">
      <alignment horizontal="center" vertical="center" readingOrder="2"/>
    </xf>
    <xf numFmtId="0" fontId="39" fillId="2" borderId="11" xfId="41" applyFont="1" applyFill="1" applyBorder="1" applyAlignment="1">
      <alignment horizontal="right" vertical="center" wrapText="1" readingOrder="2"/>
      <protection/>
    </xf>
    <xf numFmtId="0" fontId="39" fillId="2" borderId="12" xfId="41" applyFont="1" applyFill="1" applyBorder="1" applyAlignment="1">
      <alignment horizontal="center" vertical="center" wrapText="1" readingOrder="2"/>
      <protection/>
    </xf>
    <xf numFmtId="0" fontId="46" fillId="0" borderId="0" xfId="41" applyFont="1" applyAlignment="1">
      <alignment horizontal="right" wrapText="1" readingOrder="2"/>
      <protection/>
    </xf>
    <xf numFmtId="0" fontId="43" fillId="33" borderId="10" xfId="46" applyFont="1" applyFill="1" applyBorder="1" applyAlignment="1">
      <alignment horizontal="center" vertical="center" wrapText="1" readingOrder="2"/>
      <protection/>
    </xf>
    <xf numFmtId="0" fontId="39" fillId="2" borderId="17" xfId="46" applyFont="1" applyFill="1" applyBorder="1" applyAlignment="1">
      <alignment vertical="center" wrapText="1" readingOrder="2"/>
      <protection/>
    </xf>
    <xf numFmtId="9" fontId="49" fillId="2" borderId="17" xfId="46" applyNumberFormat="1" applyFont="1" applyFill="1" applyBorder="1" applyAlignment="1">
      <alignment vertical="center" wrapText="1" readingOrder="1"/>
      <protection/>
    </xf>
    <xf numFmtId="9" fontId="49" fillId="2" borderId="17" xfId="55" applyFont="1" applyFill="1" applyBorder="1" applyAlignment="1">
      <alignment vertical="center" wrapText="1" readingOrder="1"/>
    </xf>
    <xf numFmtId="9" fontId="39" fillId="2" borderId="17" xfId="46" applyNumberFormat="1" applyFont="1" applyFill="1" applyBorder="1" applyAlignment="1">
      <alignment horizontal="center" vertical="center" wrapText="1" readingOrder="1"/>
      <protection/>
    </xf>
    <xf numFmtId="9" fontId="49" fillId="2" borderId="17" xfId="46" applyNumberFormat="1" applyFont="1" applyFill="1" applyBorder="1" applyAlignment="1">
      <alignment horizontal="center" vertical="center" wrapText="1" readingOrder="1"/>
      <protection/>
    </xf>
    <xf numFmtId="9" fontId="49" fillId="2" borderId="17" xfId="55" applyFont="1" applyFill="1" applyBorder="1" applyAlignment="1">
      <alignment horizontal="center" vertical="center" wrapText="1" readingOrder="1"/>
    </xf>
    <xf numFmtId="0" fontId="39" fillId="2" borderId="11" xfId="46" applyFont="1" applyFill="1" applyBorder="1" applyAlignment="1">
      <alignment vertical="center" wrapText="1" readingOrder="2"/>
      <protection/>
    </xf>
    <xf numFmtId="0" fontId="39" fillId="2" borderId="11" xfId="46" applyFont="1" applyFill="1" applyBorder="1" applyAlignment="1">
      <alignment horizontal="right" vertical="center" wrapText="1" readingOrder="2"/>
      <protection/>
    </xf>
    <xf numFmtId="0" fontId="39" fillId="2" borderId="13" xfId="46" applyFont="1" applyFill="1" applyBorder="1" applyAlignment="1">
      <alignment vertical="center" wrapText="1" readingOrder="2"/>
      <protection/>
    </xf>
    <xf numFmtId="0" fontId="45" fillId="0" borderId="0" xfId="46" applyFont="1" applyFill="1">
      <alignment/>
      <protection/>
    </xf>
    <xf numFmtId="0" fontId="54" fillId="0" borderId="0" xfId="46" applyFont="1" applyFill="1">
      <alignment/>
      <protection/>
    </xf>
    <xf numFmtId="0" fontId="54" fillId="0" borderId="0" xfId="46" applyFont="1">
      <alignment/>
      <protection/>
    </xf>
    <xf numFmtId="0" fontId="54" fillId="0" borderId="0" xfId="46" applyFont="1" applyAlignment="1">
      <alignment/>
      <protection/>
    </xf>
    <xf numFmtId="0" fontId="46" fillId="0" borderId="14" xfId="46" applyFont="1" applyBorder="1" applyAlignment="1">
      <alignment horizontal="right" readingOrder="2"/>
      <protection/>
    </xf>
    <xf numFmtId="0" fontId="45" fillId="0" borderId="0" xfId="46" applyFont="1">
      <alignment/>
      <protection/>
    </xf>
    <xf numFmtId="0" fontId="45" fillId="0" borderId="0" xfId="46" applyFont="1" applyAlignment="1">
      <alignment/>
      <protection/>
    </xf>
    <xf numFmtId="0" fontId="40" fillId="33" borderId="16" xfId="41" applyFont="1" applyFill="1" applyBorder="1" applyAlignment="1">
      <alignment vertical="center" wrapText="1" readingOrder="2"/>
      <protection/>
    </xf>
    <xf numFmtId="0" fontId="39" fillId="2" borderId="26" xfId="41" applyFont="1" applyFill="1" applyBorder="1" applyAlignment="1">
      <alignment vertical="center" wrapText="1" readingOrder="2"/>
      <protection/>
    </xf>
    <xf numFmtId="0" fontId="39" fillId="2" borderId="17" xfId="42" applyFont="1" applyFill="1" applyBorder="1" applyAlignment="1">
      <alignment vertical="center" wrapText="1" readingOrder="2"/>
      <protection/>
    </xf>
    <xf numFmtId="9" fontId="39" fillId="2" borderId="18" xfId="53" applyNumberFormat="1" applyFont="1" applyFill="1" applyBorder="1" applyAlignment="1">
      <alignment horizontal="center" vertical="center" wrapText="1" readingOrder="1"/>
    </xf>
    <xf numFmtId="164" fontId="39" fillId="2" borderId="27" xfId="53" applyNumberFormat="1" applyFont="1" applyFill="1" applyBorder="1" applyAlignment="1">
      <alignment horizontal="center" vertical="center" wrapText="1" readingOrder="1"/>
    </xf>
    <xf numFmtId="0" fontId="39" fillId="2" borderId="28" xfId="41" applyFont="1" applyFill="1" applyBorder="1" applyAlignment="1">
      <alignment vertical="center" wrapText="1" readingOrder="2"/>
      <protection/>
    </xf>
    <xf numFmtId="0" fontId="39" fillId="2" borderId="19" xfId="42" applyFont="1" applyFill="1" applyBorder="1" applyAlignment="1">
      <alignment vertical="center" wrapText="1" readingOrder="2"/>
      <protection/>
    </xf>
    <xf numFmtId="164" fontId="39" fillId="2" borderId="20" xfId="53" applyNumberFormat="1" applyFont="1" applyFill="1" applyBorder="1" applyAlignment="1">
      <alignment horizontal="center" vertical="center" wrapText="1" readingOrder="1"/>
    </xf>
    <xf numFmtId="0" fontId="39" fillId="2" borderId="29" xfId="42" applyFont="1" applyFill="1" applyBorder="1" applyAlignment="1">
      <alignment horizontal="center" vertical="center" wrapText="1" readingOrder="2"/>
      <protection/>
    </xf>
    <xf numFmtId="0" fontId="39" fillId="2" borderId="30" xfId="41" applyFont="1" applyFill="1" applyBorder="1" applyAlignment="1">
      <alignment vertical="center" wrapText="1" readingOrder="2"/>
      <protection/>
    </xf>
    <xf numFmtId="0" fontId="39" fillId="2" borderId="31" xfId="41" applyFont="1" applyFill="1" applyBorder="1" applyAlignment="1">
      <alignment vertical="center" wrapText="1" readingOrder="2"/>
      <protection/>
    </xf>
    <xf numFmtId="164" fontId="39" fillId="2" borderId="31" xfId="53" applyNumberFormat="1" applyFont="1" applyFill="1" applyBorder="1" applyAlignment="1">
      <alignment horizontal="center" vertical="center" readingOrder="1"/>
    </xf>
    <xf numFmtId="0" fontId="39" fillId="2" borderId="30" xfId="41" applyFont="1" applyFill="1" applyBorder="1" applyAlignment="1">
      <alignment horizontal="center" vertical="center" readingOrder="2"/>
      <protection/>
    </xf>
    <xf numFmtId="9" fontId="45" fillId="0" borderId="0" xfId="41" applyNumberFormat="1" applyFont="1">
      <alignment/>
      <protection/>
    </xf>
    <xf numFmtId="0" fontId="45" fillId="0" borderId="0" xfId="41" applyFont="1" applyAlignment="1">
      <alignment vertical="center"/>
      <protection/>
    </xf>
    <xf numFmtId="164" fontId="39" fillId="2" borderId="32" xfId="53" applyNumberFormat="1" applyFont="1" applyFill="1" applyBorder="1" applyAlignment="1">
      <alignment horizontal="center" vertical="center" readingOrder="1"/>
    </xf>
    <xf numFmtId="0" fontId="45" fillId="34" borderId="0" xfId="41" applyFont="1" applyFill="1">
      <alignment/>
      <protection/>
    </xf>
    <xf numFmtId="0" fontId="39" fillId="2" borderId="32" xfId="41" applyFont="1" applyFill="1" applyBorder="1" applyAlignment="1">
      <alignment horizontal="center" vertical="center" readingOrder="2"/>
      <protection/>
    </xf>
    <xf numFmtId="0" fontId="39" fillId="2" borderId="27" xfId="41" applyFont="1" applyFill="1" applyBorder="1" applyAlignment="1">
      <alignment horizontal="center" vertical="center" readingOrder="2"/>
      <protection/>
    </xf>
    <xf numFmtId="0" fontId="39" fillId="2" borderId="20" xfId="41" applyFont="1" applyFill="1" applyBorder="1" applyAlignment="1">
      <alignment vertical="center" wrapText="1" readingOrder="2"/>
      <protection/>
    </xf>
    <xf numFmtId="0" fontId="39" fillId="2" borderId="33" xfId="41" applyFont="1" applyFill="1" applyBorder="1" applyAlignment="1">
      <alignment horizontal="right" vertical="center" wrapText="1" readingOrder="2"/>
      <protection/>
    </xf>
    <xf numFmtId="0" fontId="49" fillId="2" borderId="34" xfId="41" applyFont="1" applyFill="1" applyBorder="1" applyAlignment="1">
      <alignment vertical="center" wrapText="1" readingOrder="2"/>
      <protection/>
    </xf>
    <xf numFmtId="0" fontId="39" fillId="2" borderId="35" xfId="41" applyFont="1" applyFill="1" applyBorder="1" applyAlignment="1">
      <alignment horizontal="right" vertical="center" wrapText="1" readingOrder="2"/>
      <protection/>
    </xf>
    <xf numFmtId="0" fontId="39" fillId="2" borderId="29" xfId="41" applyFont="1" applyFill="1" applyBorder="1" applyAlignment="1">
      <alignment horizontal="center" vertical="center" readingOrder="2"/>
      <protection/>
    </xf>
    <xf numFmtId="0" fontId="53" fillId="0" borderId="0" xfId="41" applyFont="1">
      <alignment/>
      <protection/>
    </xf>
    <xf numFmtId="164" fontId="39" fillId="2" borderId="36" xfId="58" applyNumberFormat="1" applyFont="1" applyFill="1" applyBorder="1" applyAlignment="1">
      <alignment horizontal="center" vertical="center" wrapText="1" readingOrder="2"/>
    </xf>
    <xf numFmtId="0" fontId="39" fillId="2" borderId="17" xfId="41" applyFont="1" applyFill="1" applyBorder="1" applyAlignment="1">
      <alignment horizontal="right" vertical="center" wrapText="1" readingOrder="2"/>
      <protection/>
    </xf>
    <xf numFmtId="0" fontId="39" fillId="2" borderId="36" xfId="41" applyFont="1" applyFill="1" applyBorder="1" applyAlignment="1">
      <alignment horizontal="center" vertical="center" wrapText="1" readingOrder="2"/>
      <protection/>
    </xf>
    <xf numFmtId="9" fontId="45" fillId="0" borderId="0" xfId="46" applyNumberFormat="1" applyFont="1">
      <alignment/>
      <protection/>
    </xf>
    <xf numFmtId="0" fontId="39" fillId="2" borderId="32" xfId="42" applyFont="1" applyFill="1" applyBorder="1" applyAlignment="1">
      <alignment horizontal="center" vertical="center" wrapText="1" readingOrder="2"/>
      <protection/>
    </xf>
    <xf numFmtId="9" fontId="45" fillId="0" borderId="0" xfId="46" applyNumberFormat="1" applyFont="1" applyAlignment="1">
      <alignment vertical="center"/>
      <protection/>
    </xf>
    <xf numFmtId="164" fontId="45" fillId="0" borderId="0" xfId="46" applyNumberFormat="1" applyFont="1">
      <alignment/>
      <protection/>
    </xf>
    <xf numFmtId="9" fontId="39" fillId="2" borderId="16" xfId="53" applyNumberFormat="1" applyFont="1" applyFill="1" applyBorder="1" applyAlignment="1">
      <alignment horizontal="center" vertical="center" readingOrder="1"/>
    </xf>
    <xf numFmtId="0" fontId="39" fillId="2" borderId="16" xfId="41" applyFont="1" applyFill="1" applyBorder="1" applyAlignment="1">
      <alignment horizontal="center" vertical="center" readingOrder="2"/>
      <protection/>
    </xf>
    <xf numFmtId="0" fontId="45" fillId="0" borderId="0" xfId="41" applyFont="1" applyAlignment="1">
      <alignment/>
      <protection/>
    </xf>
    <xf numFmtId="0" fontId="45" fillId="0" borderId="0" xfId="45" applyFont="1">
      <alignment/>
      <protection/>
    </xf>
    <xf numFmtId="0" fontId="43" fillId="33" borderId="10" xfId="45" applyFont="1" applyFill="1" applyBorder="1" applyAlignment="1">
      <alignment horizontal="center" vertical="center" wrapText="1" readingOrder="2"/>
      <protection/>
    </xf>
    <xf numFmtId="0" fontId="39" fillId="2" borderId="11" xfId="45" applyFont="1" applyFill="1" applyBorder="1" applyAlignment="1">
      <alignment horizontal="right" vertical="center" wrapText="1" readingOrder="2"/>
      <protection/>
    </xf>
    <xf numFmtId="9" fontId="39" fillId="2" borderId="11" xfId="52" applyFont="1" applyFill="1" applyBorder="1" applyAlignment="1">
      <alignment horizontal="center" vertical="center" wrapText="1" readingOrder="1"/>
    </xf>
    <xf numFmtId="0" fontId="39" fillId="2" borderId="12" xfId="45" applyFont="1" applyFill="1" applyBorder="1" applyAlignment="1">
      <alignment horizontal="center" vertical="center" wrapText="1" readingOrder="2"/>
      <protection/>
    </xf>
    <xf numFmtId="9" fontId="39" fillId="2" borderId="13" xfId="52" applyFont="1" applyFill="1" applyBorder="1" applyAlignment="1">
      <alignment horizontal="center" vertical="center" wrapText="1" readingOrder="1"/>
    </xf>
    <xf numFmtId="0" fontId="46" fillId="0" borderId="0" xfId="45" applyFont="1" applyAlignment="1">
      <alignment horizontal="right" wrapText="1" readingOrder="2"/>
      <protection/>
    </xf>
    <xf numFmtId="165" fontId="46" fillId="0" borderId="0" xfId="45" applyNumberFormat="1" applyFont="1" applyAlignment="1">
      <alignment horizontal="right" wrapText="1" readingOrder="2"/>
      <protection/>
    </xf>
    <xf numFmtId="0" fontId="41" fillId="33" borderId="37" xfId="41" applyFont="1" applyFill="1" applyBorder="1" applyAlignment="1">
      <alignment vertical="center" wrapText="1" readingOrder="2"/>
      <protection/>
    </xf>
    <xf numFmtId="0" fontId="41" fillId="33" borderId="21" xfId="41" applyFont="1" applyFill="1" applyBorder="1" applyAlignment="1">
      <alignment horizontal="center" vertical="center" wrapText="1" readingOrder="2"/>
      <protection/>
    </xf>
    <xf numFmtId="0" fontId="41" fillId="33" borderId="21" xfId="41" applyFont="1" applyFill="1" applyBorder="1" applyAlignment="1">
      <alignment vertical="center" wrapText="1" readingOrder="2"/>
      <protection/>
    </xf>
    <xf numFmtId="0" fontId="45" fillId="0" borderId="0" xfId="42" applyFont="1" applyAlignment="1">
      <alignment wrapText="1"/>
      <protection/>
    </xf>
    <xf numFmtId="0" fontId="39" fillId="2" borderId="17" xfId="42" applyFont="1" applyFill="1" applyBorder="1" applyAlignment="1">
      <alignment wrapText="1" readingOrder="2"/>
      <protection/>
    </xf>
    <xf numFmtId="9" fontId="0" fillId="0" borderId="0" xfId="50" applyNumberFormat="1" applyAlignment="1">
      <alignment/>
    </xf>
    <xf numFmtId="9" fontId="45" fillId="0" borderId="0" xfId="50" applyNumberFormat="1" applyFont="1" applyAlignment="1">
      <alignment/>
    </xf>
    <xf numFmtId="164" fontId="0" fillId="0" borderId="0" xfId="50" applyNumberFormat="1" applyAlignment="1">
      <alignment/>
    </xf>
    <xf numFmtId="0" fontId="45" fillId="0" borderId="0" xfId="44" applyFont="1">
      <alignment/>
      <protection/>
    </xf>
    <xf numFmtId="0" fontId="50" fillId="0" borderId="0" xfId="44" applyFont="1" applyBorder="1" applyAlignment="1">
      <alignment horizontal="right" wrapText="1"/>
      <protection/>
    </xf>
    <xf numFmtId="0" fontId="45" fillId="0" borderId="0" xfId="44" applyFont="1" applyAlignment="1">
      <alignment horizontal="center" vertical="center"/>
      <protection/>
    </xf>
    <xf numFmtId="0" fontId="45" fillId="0" borderId="0" xfId="44" applyFont="1" applyAlignment="1">
      <alignment/>
      <protection/>
    </xf>
    <xf numFmtId="0" fontId="40" fillId="33" borderId="10" xfId="44" applyFont="1" applyFill="1" applyBorder="1" applyAlignment="1">
      <alignment horizontal="center" vertical="center" wrapText="1" readingOrder="2"/>
      <protection/>
    </xf>
    <xf numFmtId="9" fontId="39" fillId="2" borderId="12" xfId="54" applyNumberFormat="1" applyFont="1" applyFill="1" applyBorder="1" applyAlignment="1">
      <alignment horizontal="center" vertical="center" wrapText="1" readingOrder="1"/>
    </xf>
    <xf numFmtId="164" fontId="39" fillId="2" borderId="32" xfId="54" applyNumberFormat="1" applyFont="1" applyFill="1" applyBorder="1" applyAlignment="1">
      <alignment horizontal="center" vertical="center" wrapText="1" readingOrder="1"/>
    </xf>
    <xf numFmtId="164" fontId="39" fillId="2" borderId="12" xfId="54" applyNumberFormat="1" applyFont="1" applyFill="1" applyBorder="1" applyAlignment="1">
      <alignment horizontal="center" vertical="center" wrapText="1" readingOrder="1"/>
    </xf>
    <xf numFmtId="9" fontId="39" fillId="2" borderId="20" xfId="54" applyNumberFormat="1" applyFont="1" applyFill="1" applyBorder="1" applyAlignment="1">
      <alignment horizontal="center" vertical="center" readingOrder="1"/>
    </xf>
    <xf numFmtId="0" fontId="39" fillId="2" borderId="29" xfId="43" applyFont="1" applyFill="1" applyBorder="1" applyAlignment="1">
      <alignment horizontal="center" vertical="center" readingOrder="2"/>
      <protection/>
    </xf>
    <xf numFmtId="9" fontId="39" fillId="2" borderId="11" xfId="54" applyNumberFormat="1" applyFont="1" applyFill="1" applyBorder="1" applyAlignment="1">
      <alignment horizontal="center" vertical="center" readingOrder="1"/>
    </xf>
    <xf numFmtId="0" fontId="39" fillId="2" borderId="12" xfId="43" applyFont="1" applyFill="1" applyBorder="1" applyAlignment="1">
      <alignment horizontal="center" vertical="center" readingOrder="2"/>
      <protection/>
    </xf>
    <xf numFmtId="9" fontId="39" fillId="35" borderId="10" xfId="54" applyNumberFormat="1" applyFont="1" applyFill="1" applyBorder="1" applyAlignment="1">
      <alignment horizontal="center" vertical="center" readingOrder="1"/>
    </xf>
    <xf numFmtId="0" fontId="39" fillId="35" borderId="16" xfId="43" applyFont="1" applyFill="1" applyBorder="1" applyAlignment="1">
      <alignment horizontal="center" vertical="center" readingOrder="2"/>
      <protection/>
    </xf>
    <xf numFmtId="9" fontId="39" fillId="35" borderId="12" xfId="54" applyNumberFormat="1" applyFont="1" applyFill="1" applyBorder="1" applyAlignment="1">
      <alignment horizontal="center" vertical="center" readingOrder="1"/>
    </xf>
    <xf numFmtId="0" fontId="39" fillId="35" borderId="12" xfId="43" applyFont="1" applyFill="1" applyBorder="1" applyAlignment="1">
      <alignment horizontal="center" vertical="center" readingOrder="2"/>
      <protection/>
    </xf>
    <xf numFmtId="9" fontId="39" fillId="2" borderId="38" xfId="58" applyNumberFormat="1" applyFont="1" applyFill="1" applyBorder="1" applyAlignment="1">
      <alignment horizontal="center" vertical="center" wrapText="1" readingOrder="2"/>
    </xf>
    <xf numFmtId="0" fontId="39" fillId="2" borderId="39" xfId="44" applyFont="1" applyFill="1" applyBorder="1" applyAlignment="1">
      <alignment horizontal="center" vertical="center" readingOrder="2"/>
      <protection/>
    </xf>
    <xf numFmtId="9" fontId="39" fillId="2" borderId="12" xfId="54" applyNumberFormat="1" applyFont="1" applyFill="1" applyBorder="1" applyAlignment="1">
      <alignment horizontal="center" vertical="center" readingOrder="1"/>
    </xf>
    <xf numFmtId="0" fontId="45" fillId="0" borderId="0" xfId="47" applyFont="1">
      <alignment/>
      <protection/>
    </xf>
    <xf numFmtId="0" fontId="43" fillId="33" borderId="10" xfId="47" applyFont="1" applyFill="1" applyBorder="1" applyAlignment="1">
      <alignment horizontal="center" vertical="center" wrapText="1" readingOrder="2"/>
      <protection/>
    </xf>
    <xf numFmtId="0" fontId="43" fillId="33" borderId="10" xfId="35" applyFont="1" applyFill="1" applyBorder="1" applyAlignment="1">
      <alignment horizontal="center" vertical="center" readingOrder="2"/>
      <protection/>
    </xf>
    <xf numFmtId="0" fontId="11" fillId="36" borderId="40" xfId="48" applyFont="1" applyFill="1" applyBorder="1" applyAlignment="1">
      <alignment horizontal="center" vertical="center"/>
      <protection/>
    </xf>
    <xf numFmtId="0" fontId="52" fillId="37" borderId="41" xfId="37" applyFont="1" applyFill="1" applyBorder="1" applyAlignment="1" applyProtection="1">
      <alignment horizontal="center" vertical="center"/>
      <protection/>
    </xf>
    <xf numFmtId="0" fontId="39" fillId="2" borderId="11" xfId="47" applyFont="1" applyFill="1" applyBorder="1" applyAlignment="1">
      <alignment horizontal="right" vertical="center" wrapText="1" readingOrder="2"/>
      <protection/>
    </xf>
    <xf numFmtId="9" fontId="39" fillId="2" borderId="11" xfId="47" applyNumberFormat="1" applyFont="1" applyFill="1" applyBorder="1" applyAlignment="1">
      <alignment horizontal="center" vertical="center" wrapText="1" readingOrder="1"/>
      <protection/>
    </xf>
    <xf numFmtId="164" fontId="39" fillId="2" borderId="11" xfId="47" applyNumberFormat="1" applyFont="1" applyFill="1" applyBorder="1" applyAlignment="1">
      <alignment horizontal="center" vertical="center" wrapText="1" readingOrder="1"/>
      <protection/>
    </xf>
    <xf numFmtId="9" fontId="39" fillId="2" borderId="11" xfId="57" applyFont="1" applyFill="1" applyBorder="1" applyAlignment="1">
      <alignment horizontal="center" vertical="center" wrapText="1" readingOrder="1"/>
    </xf>
    <xf numFmtId="0" fontId="12" fillId="0" borderId="41" xfId="49" applyFont="1" applyFill="1" applyBorder="1" applyAlignment="1">
      <alignment horizontal="right"/>
      <protection/>
    </xf>
    <xf numFmtId="0" fontId="51" fillId="38" borderId="41" xfId="37" applyFont="1" applyFill="1" applyBorder="1" applyAlignment="1">
      <alignment horizontal="center" vertical="center" wrapText="1"/>
      <protection/>
    </xf>
    <xf numFmtId="0" fontId="39" fillId="2" borderId="12" xfId="47" applyFont="1" applyFill="1" applyBorder="1" applyAlignment="1">
      <alignment horizontal="center" vertical="center" wrapText="1" readingOrder="2"/>
      <protection/>
    </xf>
    <xf numFmtId="0" fontId="12" fillId="0" borderId="41" xfId="49" applyFont="1" applyFill="1" applyBorder="1" applyAlignment="1">
      <alignment horizontal="right" wrapText="1"/>
      <protection/>
    </xf>
    <xf numFmtId="0" fontId="51" fillId="38" borderId="41" xfId="37" applyFont="1" applyFill="1" applyBorder="1" applyAlignment="1" applyProtection="1">
      <alignment horizontal="center" vertical="center" readingOrder="2"/>
      <protection/>
    </xf>
    <xf numFmtId="0" fontId="51" fillId="38" borderId="41" xfId="37" applyFont="1" applyFill="1" applyBorder="1" applyAlignment="1" applyProtection="1">
      <alignment horizontal="center" vertical="center"/>
      <protection/>
    </xf>
    <xf numFmtId="0" fontId="5" fillId="0" borderId="41" xfId="49" applyFont="1" applyFill="1" applyBorder="1" applyAlignment="1">
      <alignment horizontal="right" wrapText="1"/>
      <protection/>
    </xf>
    <xf numFmtId="0" fontId="45" fillId="0" borderId="41" xfId="47" applyFont="1" applyFill="1" applyBorder="1">
      <alignment/>
      <protection/>
    </xf>
    <xf numFmtId="0" fontId="45" fillId="0" borderId="0" xfId="47" applyFont="1" applyFill="1">
      <alignment/>
      <protection/>
    </xf>
    <xf numFmtId="0" fontId="46" fillId="0" borderId="14" xfId="35" applyFont="1" applyBorder="1" applyAlignment="1">
      <alignment horizontal="right" readingOrder="2"/>
      <protection/>
    </xf>
    <xf numFmtId="0" fontId="46" fillId="0" borderId="14" xfId="47" applyFont="1" applyBorder="1" applyAlignment="1">
      <alignment horizontal="right" readingOrder="2"/>
      <protection/>
    </xf>
    <xf numFmtId="9" fontId="49" fillId="2" borderId="11" xfId="56" applyFont="1" applyFill="1" applyBorder="1" applyAlignment="1">
      <alignment horizontal="center" vertical="center" wrapText="1" readingOrder="1"/>
    </xf>
    <xf numFmtId="0" fontId="49" fillId="2" borderId="12" xfId="43" applyFont="1" applyFill="1" applyBorder="1" applyAlignment="1">
      <alignment horizontal="center" vertical="center" readingOrder="2"/>
      <protection/>
    </xf>
    <xf numFmtId="0" fontId="49" fillId="2" borderId="16" xfId="43" applyFont="1" applyFill="1" applyBorder="1" applyAlignment="1">
      <alignment horizontal="center" vertical="center" readingOrder="2"/>
      <protection/>
    </xf>
    <xf numFmtId="0" fontId="49" fillId="2" borderId="16" xfId="43" applyFont="1" applyFill="1" applyBorder="1" applyAlignment="1">
      <alignment horizontal="center" vertical="center"/>
      <protection/>
    </xf>
    <xf numFmtId="0" fontId="39" fillId="2" borderId="13" xfId="47" applyFont="1" applyFill="1" applyBorder="1" applyAlignment="1">
      <alignment vertical="center" wrapText="1" readingOrder="2"/>
      <protection/>
    </xf>
    <xf numFmtId="164" fontId="39" fillId="2" borderId="13" xfId="47" applyNumberFormat="1" applyFont="1" applyFill="1" applyBorder="1" applyAlignment="1">
      <alignment vertical="center" wrapText="1" readingOrder="1"/>
      <protection/>
    </xf>
    <xf numFmtId="9" fontId="39" fillId="2" borderId="13" xfId="57" applyFont="1" applyFill="1" applyBorder="1" applyAlignment="1">
      <alignment vertical="center" wrapText="1" readingOrder="1"/>
    </xf>
    <xf numFmtId="0" fontId="39" fillId="2" borderId="17" xfId="47" applyFont="1" applyFill="1" applyBorder="1" applyAlignment="1">
      <alignment vertical="center" wrapText="1" readingOrder="2"/>
      <protection/>
    </xf>
    <xf numFmtId="164" fontId="39" fillId="2" borderId="17" xfId="47" applyNumberFormat="1" applyFont="1" applyFill="1" applyBorder="1" applyAlignment="1">
      <alignment vertical="center" wrapText="1" readingOrder="1"/>
      <protection/>
    </xf>
    <xf numFmtId="9" fontId="39" fillId="2" borderId="17" xfId="57" applyFont="1" applyFill="1" applyBorder="1" applyAlignment="1">
      <alignment vertical="center" wrapText="1" readingOrder="1"/>
    </xf>
    <xf numFmtId="0" fontId="49" fillId="2" borderId="12" xfId="43" applyFont="1" applyFill="1" applyBorder="1" applyAlignment="1">
      <alignment horizontal="center" vertical="center" wrapText="1" readingOrder="1"/>
      <protection/>
    </xf>
    <xf numFmtId="0" fontId="49" fillId="2" borderId="12" xfId="43" applyFont="1" applyFill="1" applyBorder="1" applyAlignment="1">
      <alignment horizontal="center" vertical="center" wrapText="1" readingOrder="2"/>
      <protection/>
    </xf>
    <xf numFmtId="164" fontId="39" fillId="2" borderId="17" xfId="47" applyNumberFormat="1" applyFont="1" applyFill="1" applyBorder="1" applyAlignment="1">
      <alignment horizontal="center" vertical="center" wrapText="1" readingOrder="1"/>
      <protection/>
    </xf>
    <xf numFmtId="9" fontId="39" fillId="2" borderId="17" xfId="57" applyFont="1" applyFill="1" applyBorder="1" applyAlignment="1">
      <alignment horizontal="center" vertical="center" wrapText="1" readingOrder="1"/>
    </xf>
    <xf numFmtId="9" fontId="39" fillId="2" borderId="17" xfId="56" applyFont="1" applyFill="1" applyBorder="1" applyAlignment="1">
      <alignment horizontal="center" vertical="center" wrapText="1" readingOrder="1"/>
    </xf>
    <xf numFmtId="9" fontId="39" fillId="2" borderId="11" xfId="56" applyFont="1" applyFill="1" applyBorder="1" applyAlignment="1">
      <alignment horizontal="center" vertical="center" wrapText="1" readingOrder="1"/>
    </xf>
    <xf numFmtId="0" fontId="39" fillId="2" borderId="11" xfId="47" applyFont="1" applyFill="1" applyBorder="1" applyAlignment="1">
      <alignment vertical="center" wrapText="1" readingOrder="2"/>
      <protection/>
    </xf>
    <xf numFmtId="164" fontId="39" fillId="2" borderId="11" xfId="47" applyNumberFormat="1" applyFont="1" applyFill="1" applyBorder="1" applyAlignment="1">
      <alignment vertical="center" wrapText="1" readingOrder="1"/>
      <protection/>
    </xf>
    <xf numFmtId="9" fontId="39" fillId="2" borderId="11" xfId="57" applyFont="1" applyFill="1" applyBorder="1" applyAlignment="1">
      <alignment vertical="center" wrapText="1" readingOrder="1"/>
    </xf>
    <xf numFmtId="0" fontId="39" fillId="2" borderId="14" xfId="47" applyFont="1" applyFill="1" applyBorder="1" applyAlignment="1">
      <alignment horizontal="right" vertical="center" wrapText="1" readingOrder="2"/>
      <protection/>
    </xf>
    <xf numFmtId="164" fontId="39" fillId="2" borderId="14" xfId="47" applyNumberFormat="1" applyFont="1" applyFill="1" applyBorder="1" applyAlignment="1">
      <alignment horizontal="center" vertical="center" wrapText="1" readingOrder="1"/>
      <protection/>
    </xf>
    <xf numFmtId="9" fontId="39" fillId="2" borderId="14" xfId="57" applyFont="1" applyFill="1" applyBorder="1" applyAlignment="1">
      <alignment horizontal="center" vertical="center" wrapText="1" readingOrder="1"/>
    </xf>
    <xf numFmtId="9" fontId="39" fillId="2" borderId="18" xfId="57" applyFont="1" applyFill="1" applyBorder="1" applyAlignment="1">
      <alignment horizontal="center" vertical="center" wrapText="1" readingOrder="1"/>
    </xf>
    <xf numFmtId="0" fontId="46" fillId="0" borderId="14" xfId="39" applyFont="1" applyBorder="1" applyAlignment="1">
      <alignment horizontal="right" readingOrder="2"/>
      <protection/>
    </xf>
    <xf numFmtId="0" fontId="44" fillId="0" borderId="21" xfId="47" applyFont="1" applyBorder="1" applyAlignment="1">
      <alignment vertical="center" wrapText="1" readingOrder="2"/>
      <protection/>
    </xf>
    <xf numFmtId="0" fontId="45" fillId="0" borderId="0" xfId="43" applyFont="1">
      <alignment/>
      <protection/>
    </xf>
    <xf numFmtId="0" fontId="50" fillId="0" borderId="0" xfId="43" applyFont="1" applyBorder="1" applyAlignment="1">
      <alignment horizontal="right" wrapText="1"/>
      <protection/>
    </xf>
    <xf numFmtId="0" fontId="45" fillId="0" borderId="0" xfId="43" applyFont="1" applyAlignment="1">
      <alignment horizontal="center" vertical="center"/>
      <protection/>
    </xf>
    <xf numFmtId="0" fontId="45" fillId="0" borderId="0" xfId="43" applyFont="1" applyAlignment="1">
      <alignment/>
      <protection/>
    </xf>
    <xf numFmtId="0" fontId="40" fillId="33" borderId="10" xfId="43" applyFont="1" applyFill="1" applyBorder="1" applyAlignment="1">
      <alignment horizontal="center" vertical="center" wrapText="1" readingOrder="2"/>
      <protection/>
    </xf>
    <xf numFmtId="164" fontId="39" fillId="2" borderId="12" xfId="54" applyNumberFormat="1" applyFont="1" applyFill="1" applyBorder="1" applyAlignment="1">
      <alignment horizontal="center" vertical="center" readingOrder="1"/>
    </xf>
    <xf numFmtId="9" fontId="45" fillId="0" borderId="0" xfId="43" applyNumberFormat="1" applyFont="1">
      <alignment/>
      <protection/>
    </xf>
    <xf numFmtId="0" fontId="0" fillId="0" borderId="0" xfId="43" applyFont="1">
      <alignment/>
      <protection/>
    </xf>
    <xf numFmtId="9" fontId="0" fillId="0" borderId="0" xfId="58" applyNumberFormat="1" applyAlignment="1">
      <alignment/>
    </xf>
    <xf numFmtId="164" fontId="0" fillId="0" borderId="0" xfId="58" applyNumberFormat="1" applyAlignment="1">
      <alignment/>
    </xf>
    <xf numFmtId="9" fontId="49" fillId="2" borderId="12" xfId="54" applyNumberFormat="1" applyFont="1" applyFill="1" applyBorder="1" applyAlignment="1">
      <alignment horizontal="center" vertical="center" readingOrder="1"/>
    </xf>
    <xf numFmtId="9" fontId="49" fillId="2" borderId="12" xfId="58" applyNumberFormat="1" applyFont="1" applyFill="1" applyBorder="1" applyAlignment="1">
      <alignment horizontal="center" vertical="center" readingOrder="2"/>
    </xf>
    <xf numFmtId="9" fontId="49" fillId="2" borderId="13" xfId="58" applyNumberFormat="1" applyFont="1" applyFill="1" applyBorder="1" applyAlignment="1">
      <alignment horizontal="center" vertical="center" wrapText="1" readingOrder="2"/>
    </xf>
    <xf numFmtId="0" fontId="39" fillId="2" borderId="18" xfId="43" applyFont="1" applyFill="1" applyBorder="1" applyAlignment="1">
      <alignment horizontal="center" vertical="center" readingOrder="2"/>
      <protection/>
    </xf>
    <xf numFmtId="0" fontId="39" fillId="2" borderId="17" xfId="43" applyFont="1" applyFill="1" applyBorder="1" applyAlignment="1">
      <alignment vertical="center" wrapText="1" readingOrder="2"/>
      <protection/>
    </xf>
    <xf numFmtId="164" fontId="39" fillId="2" borderId="30" xfId="54" applyNumberFormat="1" applyFont="1" applyFill="1" applyBorder="1" applyAlignment="1">
      <alignment horizontal="center" vertical="center" readingOrder="1"/>
    </xf>
    <xf numFmtId="0" fontId="39" fillId="2" borderId="30" xfId="43" applyFont="1" applyFill="1" applyBorder="1" applyAlignment="1">
      <alignment horizontal="center" vertical="center" readingOrder="2"/>
      <protection/>
    </xf>
    <xf numFmtId="0" fontId="39" fillId="2" borderId="19" xfId="43" applyFont="1" applyFill="1" applyBorder="1" applyAlignment="1">
      <alignment vertical="center" wrapText="1" readingOrder="2"/>
      <protection/>
    </xf>
    <xf numFmtId="0" fontId="39" fillId="2" borderId="39" xfId="43" applyFont="1" applyFill="1" applyBorder="1" applyAlignment="1">
      <alignment horizontal="center" vertical="center" readingOrder="2"/>
      <protection/>
    </xf>
    <xf numFmtId="0" fontId="39" fillId="2" borderId="36" xfId="43" applyFont="1" applyFill="1" applyBorder="1" applyAlignment="1">
      <alignment horizontal="right" vertical="center" wrapText="1" readingOrder="2"/>
      <protection/>
    </xf>
    <xf numFmtId="0" fontId="39" fillId="2" borderId="42" xfId="43" applyFont="1" applyFill="1" applyBorder="1" applyAlignment="1">
      <alignment vertical="center" wrapText="1" readingOrder="2"/>
      <protection/>
    </xf>
    <xf numFmtId="0" fontId="39" fillId="2" borderId="22" xfId="43" applyFont="1" applyFill="1" applyBorder="1" applyAlignment="1">
      <alignment horizontal="right" vertical="center" wrapText="1" readingOrder="2"/>
      <protection/>
    </xf>
    <xf numFmtId="0" fontId="39" fillId="2" borderId="29" xfId="43" applyFont="1" applyFill="1" applyBorder="1" applyAlignment="1">
      <alignment horizontal="center" vertical="center" wrapText="1" readingOrder="2"/>
      <protection/>
    </xf>
    <xf numFmtId="0" fontId="39" fillId="2" borderId="31" xfId="43" applyFont="1" applyFill="1" applyBorder="1" applyAlignment="1">
      <alignment horizontal="right" vertical="center" wrapText="1" indent="1" readingOrder="2"/>
      <protection/>
    </xf>
    <xf numFmtId="0" fontId="49" fillId="2" borderId="22" xfId="43" applyFont="1" applyFill="1" applyBorder="1" applyAlignment="1">
      <alignment horizontal="right" vertical="center" wrapText="1" readingOrder="2"/>
      <protection/>
    </xf>
    <xf numFmtId="9" fontId="39" fillId="2" borderId="42" xfId="43" applyNumberFormat="1" applyFont="1" applyFill="1" applyBorder="1" applyAlignment="1">
      <alignment horizontal="center" vertical="center" wrapText="1" readingOrder="2"/>
      <protection/>
    </xf>
    <xf numFmtId="0" fontId="46" fillId="0" borderId="0" xfId="47" applyFont="1" applyBorder="1" applyAlignment="1">
      <alignment vertical="top" wrapText="1" readingOrder="2"/>
      <protection/>
    </xf>
    <xf numFmtId="0" fontId="46" fillId="0" borderId="0" xfId="47" applyFont="1" applyBorder="1" applyAlignment="1">
      <alignment horizontal="right" vertical="top" wrapText="1" readingOrder="2"/>
      <protection/>
    </xf>
    <xf numFmtId="0" fontId="46" fillId="0" borderId="0" xfId="47" applyFont="1" applyBorder="1" applyAlignment="1">
      <alignment horizontal="center" vertical="center" wrapText="1" readingOrder="2"/>
      <protection/>
    </xf>
    <xf numFmtId="0" fontId="46" fillId="0" borderId="0" xfId="47" applyFont="1" applyBorder="1" applyAlignment="1">
      <alignment horizontal="center" vertical="top" wrapText="1" readingOrder="2"/>
      <protection/>
    </xf>
    <xf numFmtId="0" fontId="48" fillId="0" borderId="43" xfId="0" applyFont="1" applyBorder="1" applyAlignment="1">
      <alignment horizontal="right" readingOrder="2"/>
    </xf>
    <xf numFmtId="0" fontId="0" fillId="0" borderId="44" xfId="0" applyBorder="1" applyAlignment="1">
      <alignment/>
    </xf>
    <xf numFmtId="0" fontId="0" fillId="0" borderId="45" xfId="0" applyBorder="1" applyAlignment="1">
      <alignment/>
    </xf>
    <xf numFmtId="0" fontId="46" fillId="0" borderId="46" xfId="0" applyFont="1" applyBorder="1" applyAlignment="1">
      <alignment horizontal="right" readingOrder="2"/>
    </xf>
    <xf numFmtId="0" fontId="0" fillId="0" borderId="0" xfId="0" applyBorder="1" applyAlignment="1">
      <alignment/>
    </xf>
    <xf numFmtId="0" fontId="0" fillId="0" borderId="47" xfId="0" applyBorder="1" applyAlignment="1">
      <alignment/>
    </xf>
    <xf numFmtId="0" fontId="46" fillId="0" borderId="48" xfId="0" applyFont="1" applyBorder="1" applyAlignment="1">
      <alignment horizontal="right" readingOrder="2"/>
    </xf>
    <xf numFmtId="0" fontId="0" fillId="0" borderId="49" xfId="0" applyBorder="1" applyAlignment="1">
      <alignment/>
    </xf>
    <xf numFmtId="0" fontId="0" fillId="0" borderId="50" xfId="0" applyBorder="1" applyAlignment="1">
      <alignment/>
    </xf>
    <xf numFmtId="0" fontId="46" fillId="0" borderId="0" xfId="0" applyFont="1" applyBorder="1" applyAlignment="1">
      <alignment horizontal="right" readingOrder="2"/>
    </xf>
    <xf numFmtId="0" fontId="46" fillId="0" borderId="43" xfId="0" applyFont="1" applyBorder="1" applyAlignment="1">
      <alignment horizontal="right" readingOrder="2"/>
    </xf>
    <xf numFmtId="0" fontId="45" fillId="0" borderId="44" xfId="40" applyFont="1" applyBorder="1">
      <alignment/>
      <protection/>
    </xf>
    <xf numFmtId="0" fontId="45" fillId="0" borderId="45" xfId="40" applyFont="1" applyBorder="1">
      <alignment/>
      <protection/>
    </xf>
    <xf numFmtId="0" fontId="45" fillId="0" borderId="0" xfId="40" applyFont="1" applyBorder="1">
      <alignment/>
      <protection/>
    </xf>
    <xf numFmtId="0" fontId="45" fillId="0" borderId="47" xfId="40" applyFont="1" applyBorder="1">
      <alignment/>
      <protection/>
    </xf>
    <xf numFmtId="0" fontId="46" fillId="0" borderId="51" xfId="0" applyFont="1" applyBorder="1" applyAlignment="1">
      <alignment horizontal="right" readingOrder="2"/>
    </xf>
    <xf numFmtId="0" fontId="45" fillId="0" borderId="49" xfId="40" applyFont="1" applyBorder="1">
      <alignment/>
      <protection/>
    </xf>
    <xf numFmtId="0" fontId="45" fillId="0" borderId="50" xfId="40" applyFont="1" applyBorder="1">
      <alignment/>
      <protection/>
    </xf>
    <xf numFmtId="9" fontId="39" fillId="2" borderId="11" xfId="51" applyNumberFormat="1" applyFont="1" applyFill="1" applyBorder="1" applyAlignment="1">
      <alignment horizontal="center" vertical="center" wrapText="1" readingOrder="1"/>
    </xf>
    <xf numFmtId="0" fontId="45" fillId="0" borderId="44" xfId="41" applyFont="1" applyBorder="1">
      <alignment/>
      <protection/>
    </xf>
    <xf numFmtId="0" fontId="45" fillId="0" borderId="45" xfId="41" applyFont="1" applyBorder="1">
      <alignment/>
      <protection/>
    </xf>
    <xf numFmtId="0" fontId="45" fillId="0" borderId="0" xfId="41" applyFont="1" applyBorder="1">
      <alignment/>
      <protection/>
    </xf>
    <xf numFmtId="0" fontId="45" fillId="0" borderId="47" xfId="41" applyFont="1" applyBorder="1">
      <alignment/>
      <protection/>
    </xf>
    <xf numFmtId="0" fontId="45" fillId="0" borderId="49" xfId="41" applyFont="1" applyBorder="1">
      <alignment/>
      <protection/>
    </xf>
    <xf numFmtId="0" fontId="45" fillId="0" borderId="50" xfId="41" applyFont="1" applyBorder="1">
      <alignment/>
      <protection/>
    </xf>
    <xf numFmtId="0" fontId="46" fillId="0" borderId="0" xfId="46" applyFont="1" applyBorder="1" applyAlignment="1">
      <alignment horizontal="right" readingOrder="2"/>
      <protection/>
    </xf>
    <xf numFmtId="0" fontId="46" fillId="0" borderId="52" xfId="0" applyFont="1" applyBorder="1" applyAlignment="1">
      <alignment horizontal="right" readingOrder="2"/>
    </xf>
    <xf numFmtId="0" fontId="46" fillId="0" borderId="53" xfId="0" applyFont="1" applyBorder="1" applyAlignment="1">
      <alignment horizontal="right" readingOrder="2"/>
    </xf>
    <xf numFmtId="9" fontId="39" fillId="2" borderId="17" xfId="57" applyFont="1" applyFill="1" applyBorder="1" applyAlignment="1">
      <alignment horizontal="center" vertical="center" wrapText="1" readingOrder="1"/>
    </xf>
    <xf numFmtId="9" fontId="39" fillId="2" borderId="11" xfId="57" applyFont="1" applyFill="1" applyBorder="1" applyAlignment="1">
      <alignment horizontal="center" vertical="center" wrapText="1" readingOrder="1"/>
    </xf>
    <xf numFmtId="9" fontId="39" fillId="2" borderId="11" xfId="47" applyNumberFormat="1" applyFont="1" applyFill="1" applyBorder="1" applyAlignment="1">
      <alignment horizontal="center" vertical="center" wrapText="1" readingOrder="1"/>
      <protection/>
    </xf>
    <xf numFmtId="0" fontId="45" fillId="0" borderId="0" xfId="45" applyFont="1" applyBorder="1">
      <alignment/>
      <protection/>
    </xf>
    <xf numFmtId="0" fontId="45" fillId="0" borderId="45" xfId="45" applyFont="1" applyBorder="1">
      <alignment/>
      <protection/>
    </xf>
    <xf numFmtId="0" fontId="45" fillId="0" borderId="47" xfId="45" applyFont="1" applyBorder="1">
      <alignment/>
      <protection/>
    </xf>
    <xf numFmtId="0" fontId="45" fillId="0" borderId="53" xfId="45" applyFont="1" applyBorder="1">
      <alignment/>
      <protection/>
    </xf>
    <xf numFmtId="0" fontId="45" fillId="0" borderId="49" xfId="45" applyFont="1" applyBorder="1">
      <alignment/>
      <protection/>
    </xf>
    <xf numFmtId="0" fontId="45" fillId="0" borderId="50" xfId="45" applyFont="1" applyBorder="1">
      <alignment/>
      <protection/>
    </xf>
    <xf numFmtId="0" fontId="45" fillId="0" borderId="45" xfId="47" applyFont="1" applyFill="1" applyBorder="1">
      <alignment/>
      <protection/>
    </xf>
    <xf numFmtId="0" fontId="45" fillId="0" borderId="47" xfId="47" applyFont="1" applyFill="1" applyBorder="1">
      <alignment/>
      <protection/>
    </xf>
    <xf numFmtId="0" fontId="45" fillId="0" borderId="50" xfId="47" applyFont="1" applyFill="1" applyBorder="1">
      <alignment/>
      <protection/>
    </xf>
    <xf numFmtId="0" fontId="45" fillId="0" borderId="0" xfId="47" applyFont="1" applyFill="1" applyBorder="1">
      <alignment/>
      <protection/>
    </xf>
    <xf numFmtId="0" fontId="45" fillId="0" borderId="44" xfId="45" applyFont="1" applyBorder="1">
      <alignment/>
      <protection/>
    </xf>
    <xf numFmtId="9" fontId="39" fillId="2" borderId="11" xfId="55" applyFont="1" applyFill="1" applyBorder="1" applyAlignment="1">
      <alignment horizontal="center" vertical="center" wrapText="1" readingOrder="1"/>
    </xf>
    <xf numFmtId="0" fontId="39" fillId="2" borderId="12" xfId="42" applyFont="1" applyFill="1" applyBorder="1" applyAlignment="1">
      <alignment horizontal="center" vertical="center" readingOrder="2"/>
      <protection/>
    </xf>
    <xf numFmtId="0" fontId="39" fillId="2" borderId="16" xfId="42" applyFont="1" applyFill="1" applyBorder="1" applyAlignment="1">
      <alignment horizontal="center" vertical="center" readingOrder="2"/>
      <protection/>
    </xf>
    <xf numFmtId="0" fontId="39" fillId="2" borderId="16" xfId="42" applyFont="1" applyFill="1" applyBorder="1" applyAlignment="1">
      <alignment horizontal="center" vertical="center"/>
      <protection/>
    </xf>
    <xf numFmtId="0" fontId="39" fillId="2" borderId="12" xfId="42" applyFont="1" applyFill="1" applyBorder="1" applyAlignment="1">
      <alignment horizontal="center" vertical="center" wrapText="1" readingOrder="1"/>
      <protection/>
    </xf>
    <xf numFmtId="0" fontId="39" fillId="2" borderId="12" xfId="42" applyFont="1" applyFill="1" applyBorder="1" applyAlignment="1">
      <alignment horizontal="center" vertical="center" wrapText="1" readingOrder="2"/>
      <protection/>
    </xf>
    <xf numFmtId="0" fontId="39" fillId="2" borderId="16" xfId="42" applyFont="1" applyFill="1" applyBorder="1" applyAlignment="1">
      <alignment horizontal="center" vertical="center" wrapText="1" readingOrder="2"/>
      <protection/>
    </xf>
    <xf numFmtId="0" fontId="39" fillId="2" borderId="11" xfId="46" applyFont="1" applyFill="1" applyBorder="1" applyAlignment="1">
      <alignment horizontal="center" vertical="center" readingOrder="2"/>
      <protection/>
    </xf>
    <xf numFmtId="0" fontId="39" fillId="2" borderId="12" xfId="46" applyFont="1" applyFill="1" applyBorder="1" applyAlignment="1">
      <alignment horizontal="center" vertical="center" wrapText="1" readingOrder="2"/>
      <protection/>
    </xf>
    <xf numFmtId="0" fontId="39" fillId="2" borderId="12" xfId="46" applyFont="1" applyFill="1" applyBorder="1" applyAlignment="1">
      <alignment horizontal="center" vertical="center" readingOrder="2"/>
      <protection/>
    </xf>
    <xf numFmtId="9" fontId="39" fillId="2" borderId="12" xfId="53" applyFont="1" applyFill="1" applyBorder="1" applyAlignment="1">
      <alignment horizontal="center" vertical="center" wrapText="1" readingOrder="1"/>
    </xf>
    <xf numFmtId="0" fontId="45" fillId="0" borderId="44" xfId="47" applyFont="1" applyFill="1" applyBorder="1">
      <alignment/>
      <protection/>
    </xf>
    <xf numFmtId="0" fontId="45" fillId="0" borderId="49" xfId="47" applyFont="1" applyFill="1" applyBorder="1">
      <alignment/>
      <protection/>
    </xf>
    <xf numFmtId="0" fontId="43" fillId="33" borderId="15" xfId="40" applyFont="1" applyFill="1" applyBorder="1" applyAlignment="1">
      <alignment horizontal="center" vertical="center" wrapText="1" readingOrder="2"/>
      <protection/>
    </xf>
    <xf numFmtId="0" fontId="43" fillId="33" borderId="16" xfId="40" applyFont="1" applyFill="1" applyBorder="1" applyAlignment="1">
      <alignment horizontal="center" vertical="center" wrapText="1" readingOrder="2"/>
      <protection/>
    </xf>
    <xf numFmtId="0" fontId="41" fillId="33" borderId="21" xfId="40" applyFont="1" applyFill="1" applyBorder="1" applyAlignment="1">
      <alignment horizontal="center" vertical="center" wrapText="1" readingOrder="2"/>
      <protection/>
    </xf>
    <xf numFmtId="0" fontId="11" fillId="0" borderId="0" xfId="40" applyFont="1" applyBorder="1" applyAlignment="1">
      <alignment horizontal="center" vertical="center" wrapText="1" readingOrder="2"/>
      <protection/>
    </xf>
    <xf numFmtId="0" fontId="47" fillId="0" borderId="0" xfId="40" applyFont="1" applyAlignment="1">
      <alignment horizontal="center" vertical="center" wrapText="1" readingOrder="2"/>
      <protection/>
    </xf>
    <xf numFmtId="0" fontId="39" fillId="2" borderId="31" xfId="41" applyFont="1" applyFill="1" applyBorder="1" applyAlignment="1">
      <alignment horizontal="center" vertical="center" wrapText="1" readingOrder="2"/>
      <protection/>
    </xf>
    <xf numFmtId="0" fontId="39" fillId="2" borderId="17" xfId="41" applyFont="1" applyFill="1" applyBorder="1" applyAlignment="1">
      <alignment horizontal="center" vertical="center" wrapText="1" readingOrder="2"/>
      <protection/>
    </xf>
    <xf numFmtId="0" fontId="41" fillId="33" borderId="37" xfId="41" applyFont="1" applyFill="1" applyBorder="1" applyAlignment="1">
      <alignment horizontal="center" vertical="center" wrapText="1" readingOrder="2"/>
      <protection/>
    </xf>
    <xf numFmtId="0" fontId="41" fillId="33" borderId="21" xfId="41" applyFont="1" applyFill="1" applyBorder="1" applyAlignment="1">
      <alignment horizontal="center" vertical="center" wrapText="1" readingOrder="2"/>
      <protection/>
    </xf>
    <xf numFmtId="0" fontId="39" fillId="2" borderId="13" xfId="41" applyFont="1" applyFill="1" applyBorder="1" applyAlignment="1">
      <alignment horizontal="center" vertical="center" wrapText="1" readingOrder="2"/>
      <protection/>
    </xf>
    <xf numFmtId="0" fontId="39" fillId="2" borderId="19" xfId="41" applyFont="1" applyFill="1" applyBorder="1" applyAlignment="1">
      <alignment horizontal="center" vertical="center" wrapText="1" readingOrder="2"/>
      <protection/>
    </xf>
    <xf numFmtId="0" fontId="44" fillId="0" borderId="0" xfId="41" applyFont="1" applyBorder="1" applyAlignment="1">
      <alignment horizontal="center" vertical="center" wrapText="1" readingOrder="2"/>
      <protection/>
    </xf>
    <xf numFmtId="0" fontId="45" fillId="0" borderId="0" xfId="41" applyFont="1" applyAlignment="1">
      <alignment horizontal="center" vertical="center" wrapText="1" readingOrder="2"/>
      <protection/>
    </xf>
    <xf numFmtId="0" fontId="43" fillId="33" borderId="15" xfId="41" applyFont="1" applyFill="1" applyBorder="1" applyAlignment="1">
      <alignment horizontal="center" vertical="center" wrapText="1" readingOrder="2"/>
      <protection/>
    </xf>
    <xf numFmtId="0" fontId="43" fillId="33" borderId="16" xfId="41" applyFont="1" applyFill="1" applyBorder="1" applyAlignment="1">
      <alignment horizontal="center" vertical="center" wrapText="1" readingOrder="2"/>
      <protection/>
    </xf>
    <xf numFmtId="0" fontId="44" fillId="0" borderId="0" xfId="46" applyFont="1" applyBorder="1" applyAlignment="1">
      <alignment horizontal="center" vertical="center" readingOrder="2"/>
      <protection/>
    </xf>
    <xf numFmtId="0" fontId="41" fillId="33" borderId="37" xfId="46" applyFont="1" applyFill="1" applyBorder="1" applyAlignment="1">
      <alignment horizontal="center" vertical="center" readingOrder="2"/>
      <protection/>
    </xf>
    <xf numFmtId="0" fontId="41" fillId="33" borderId="21" xfId="46" applyFont="1" applyFill="1" applyBorder="1" applyAlignment="1">
      <alignment horizontal="center" vertical="center" readingOrder="2"/>
      <protection/>
    </xf>
    <xf numFmtId="0" fontId="43" fillId="33" borderId="15" xfId="46" applyFont="1" applyFill="1" applyBorder="1" applyAlignment="1">
      <alignment horizontal="center" vertical="center" wrapText="1" readingOrder="2"/>
      <protection/>
    </xf>
    <xf numFmtId="0" fontId="43" fillId="33" borderId="16" xfId="46" applyFont="1" applyFill="1" applyBorder="1" applyAlignment="1">
      <alignment horizontal="center" vertical="center" wrapText="1" readingOrder="2"/>
      <protection/>
    </xf>
    <xf numFmtId="0" fontId="43" fillId="33" borderId="54" xfId="46" applyFont="1" applyFill="1" applyBorder="1" applyAlignment="1">
      <alignment horizontal="center" vertical="center" wrapText="1" readingOrder="2"/>
      <protection/>
    </xf>
    <xf numFmtId="0" fontId="43" fillId="33" borderId="15" xfId="45" applyFont="1" applyFill="1" applyBorder="1" applyAlignment="1">
      <alignment horizontal="center" vertical="center" wrapText="1" readingOrder="2"/>
      <protection/>
    </xf>
    <xf numFmtId="0" fontId="43" fillId="33" borderId="16" xfId="45" applyFont="1" applyFill="1" applyBorder="1" applyAlignment="1">
      <alignment horizontal="center" vertical="center" wrapText="1" readingOrder="2"/>
      <protection/>
    </xf>
    <xf numFmtId="0" fontId="44" fillId="0" borderId="0" xfId="45" applyFont="1" applyBorder="1" applyAlignment="1">
      <alignment horizontal="center" vertical="center" wrapText="1" readingOrder="2"/>
      <protection/>
    </xf>
    <xf numFmtId="0" fontId="45" fillId="0" borderId="0" xfId="45" applyFont="1" applyAlignment="1">
      <alignment horizontal="center" vertical="center" wrapText="1" readingOrder="2"/>
      <protection/>
    </xf>
    <xf numFmtId="0" fontId="41" fillId="33" borderId="21" xfId="45" applyFont="1" applyFill="1" applyBorder="1" applyAlignment="1">
      <alignment horizontal="center" vertical="center" wrapText="1" readingOrder="2"/>
      <protection/>
    </xf>
    <xf numFmtId="0" fontId="40" fillId="33" borderId="15" xfId="41" applyFont="1" applyFill="1" applyBorder="1" applyAlignment="1">
      <alignment horizontal="center" vertical="center" wrapText="1" readingOrder="2"/>
      <protection/>
    </xf>
    <xf numFmtId="0" fontId="40" fillId="33" borderId="16" xfId="41" applyFont="1" applyFill="1" applyBorder="1" applyAlignment="1">
      <alignment horizontal="center" vertical="center" wrapText="1" readingOrder="2"/>
      <protection/>
    </xf>
    <xf numFmtId="0" fontId="46" fillId="0" borderId="0" xfId="47" applyFont="1" applyBorder="1" applyAlignment="1">
      <alignment horizontal="right" vertical="top" wrapText="1" readingOrder="2"/>
      <protection/>
    </xf>
    <xf numFmtId="0" fontId="39" fillId="2" borderId="31" xfId="44" applyFont="1" applyFill="1" applyBorder="1" applyAlignment="1">
      <alignment horizontal="right" vertical="center" wrapText="1" readingOrder="2"/>
      <protection/>
    </xf>
    <xf numFmtId="0" fontId="0" fillId="0" borderId="17" xfId="35" applyBorder="1" applyAlignment="1">
      <alignment horizontal="right" vertical="center" wrapText="1" readingOrder="2"/>
      <protection/>
    </xf>
    <xf numFmtId="0" fontId="0" fillId="0" borderId="19" xfId="35" applyBorder="1" applyAlignment="1">
      <alignment horizontal="right" vertical="center" wrapText="1" readingOrder="2"/>
      <protection/>
    </xf>
    <xf numFmtId="0" fontId="10" fillId="0" borderId="0" xfId="35" applyFont="1" applyAlignment="1">
      <alignment horizontal="center" vertical="center" wrapText="1"/>
      <protection/>
    </xf>
    <xf numFmtId="0" fontId="44" fillId="0" borderId="0" xfId="45" applyFont="1" applyBorder="1" applyAlignment="1">
      <alignment horizontal="right" vertical="center" wrapText="1" readingOrder="2"/>
      <protection/>
    </xf>
    <xf numFmtId="0" fontId="45" fillId="0" borderId="0" xfId="45" applyFont="1" applyAlignment="1">
      <alignment horizontal="right" vertical="center" wrapText="1" readingOrder="2"/>
      <protection/>
    </xf>
    <xf numFmtId="0" fontId="41" fillId="33" borderId="37" xfId="44" applyFont="1" applyFill="1" applyBorder="1" applyAlignment="1">
      <alignment horizontal="center" vertical="center" wrapText="1" readingOrder="2"/>
      <protection/>
    </xf>
    <xf numFmtId="0" fontId="41" fillId="33" borderId="21" xfId="44" applyFont="1" applyFill="1" applyBorder="1" applyAlignment="1">
      <alignment horizontal="center" vertical="center" wrapText="1" readingOrder="2"/>
      <protection/>
    </xf>
    <xf numFmtId="0" fontId="40" fillId="33" borderId="15" xfId="44" applyFont="1" applyFill="1" applyBorder="1" applyAlignment="1">
      <alignment horizontal="center" vertical="center" wrapText="1" readingOrder="2"/>
      <protection/>
    </xf>
    <xf numFmtId="0" fontId="0" fillId="0" borderId="16" xfId="35" applyBorder="1" applyAlignment="1">
      <alignment horizontal="center" vertical="center" wrapText="1" readingOrder="2"/>
      <protection/>
    </xf>
    <xf numFmtId="0" fontId="39" fillId="2" borderId="13" xfId="44" applyFont="1" applyFill="1" applyBorder="1" applyAlignment="1">
      <alignment horizontal="right" vertical="center" wrapText="1" readingOrder="2"/>
      <protection/>
    </xf>
    <xf numFmtId="0" fontId="39" fillId="2" borderId="17" xfId="44" applyFont="1" applyFill="1" applyBorder="1" applyAlignment="1">
      <alignment horizontal="right" vertical="center" wrapText="1" readingOrder="2"/>
      <protection/>
    </xf>
    <xf numFmtId="0" fontId="39" fillId="2" borderId="19" xfId="44" applyFont="1" applyFill="1" applyBorder="1" applyAlignment="1">
      <alignment horizontal="right" vertical="center" wrapText="1" readingOrder="2"/>
      <protection/>
    </xf>
    <xf numFmtId="0" fontId="44" fillId="0" borderId="21" xfId="47" applyFont="1" applyBorder="1" applyAlignment="1">
      <alignment horizontal="center" vertical="center" wrapText="1" readingOrder="2"/>
      <protection/>
    </xf>
    <xf numFmtId="0" fontId="41" fillId="33" borderId="37" xfId="47" applyFont="1" applyFill="1" applyBorder="1" applyAlignment="1">
      <alignment horizontal="center" vertical="center" wrapText="1" readingOrder="2"/>
      <protection/>
    </xf>
    <xf numFmtId="0" fontId="41" fillId="33" borderId="21" xfId="47" applyFont="1" applyFill="1" applyBorder="1" applyAlignment="1">
      <alignment horizontal="center" vertical="center" wrapText="1" readingOrder="2"/>
      <protection/>
    </xf>
    <xf numFmtId="0" fontId="43" fillId="33" borderId="15" xfId="47" applyFont="1" applyFill="1" applyBorder="1" applyAlignment="1">
      <alignment horizontal="center" vertical="center" wrapText="1" readingOrder="2"/>
      <protection/>
    </xf>
    <xf numFmtId="0" fontId="42" fillId="0" borderId="16" xfId="47" applyFont="1" applyBorder="1" applyAlignment="1">
      <alignment horizontal="center" vertical="center" wrapText="1" readingOrder="2"/>
      <protection/>
    </xf>
    <xf numFmtId="9" fontId="39" fillId="2" borderId="13" xfId="57" applyFont="1" applyFill="1" applyBorder="1" applyAlignment="1">
      <alignment horizontal="center" vertical="center" wrapText="1" readingOrder="1"/>
    </xf>
    <xf numFmtId="9" fontId="39" fillId="2" borderId="17" xfId="57" applyFont="1" applyFill="1" applyBorder="1" applyAlignment="1">
      <alignment horizontal="center" vertical="center" wrapText="1" readingOrder="1"/>
    </xf>
    <xf numFmtId="9" fontId="39" fillId="2" borderId="11" xfId="57" applyFont="1" applyFill="1" applyBorder="1" applyAlignment="1">
      <alignment horizontal="center" vertical="center" wrapText="1" readingOrder="1"/>
    </xf>
    <xf numFmtId="0" fontId="39" fillId="2" borderId="13" xfId="47" applyFont="1" applyFill="1" applyBorder="1" applyAlignment="1">
      <alignment horizontal="right" vertical="center" wrapText="1" readingOrder="2"/>
      <protection/>
    </xf>
    <xf numFmtId="0" fontId="39" fillId="2" borderId="17" xfId="47" applyFont="1" applyFill="1" applyBorder="1" applyAlignment="1">
      <alignment horizontal="right" vertical="center" wrapText="1" readingOrder="2"/>
      <protection/>
    </xf>
    <xf numFmtId="0" fontId="39" fillId="2" borderId="11" xfId="47" applyFont="1" applyFill="1" applyBorder="1" applyAlignment="1">
      <alignment horizontal="right" vertical="center" wrapText="1" readingOrder="2"/>
      <protection/>
    </xf>
    <xf numFmtId="164" fontId="39" fillId="2" borderId="13" xfId="47" applyNumberFormat="1" applyFont="1" applyFill="1" applyBorder="1" applyAlignment="1">
      <alignment horizontal="center" vertical="center" wrapText="1" readingOrder="1"/>
      <protection/>
    </xf>
    <xf numFmtId="164" fontId="39" fillId="2" borderId="17" xfId="47" applyNumberFormat="1" applyFont="1" applyFill="1" applyBorder="1" applyAlignment="1">
      <alignment horizontal="center" vertical="center" wrapText="1" readingOrder="1"/>
      <protection/>
    </xf>
    <xf numFmtId="164" fontId="39" fillId="2" borderId="11" xfId="47" applyNumberFormat="1" applyFont="1" applyFill="1" applyBorder="1" applyAlignment="1">
      <alignment horizontal="center" vertical="center" wrapText="1" readingOrder="1"/>
      <protection/>
    </xf>
    <xf numFmtId="0" fontId="39" fillId="2" borderId="36" xfId="43" applyFont="1" applyFill="1" applyBorder="1" applyAlignment="1">
      <alignment horizontal="right" vertical="center" wrapText="1" readingOrder="2"/>
      <protection/>
    </xf>
    <xf numFmtId="0" fontId="39" fillId="2" borderId="20" xfId="43" applyFont="1" applyFill="1" applyBorder="1" applyAlignment="1">
      <alignment horizontal="right" vertical="center" wrapText="1" readingOrder="2"/>
      <protection/>
    </xf>
    <xf numFmtId="0" fontId="41" fillId="33" borderId="37" xfId="43" applyFont="1" applyFill="1" applyBorder="1" applyAlignment="1">
      <alignment horizontal="center" vertical="center" wrapText="1" readingOrder="2"/>
      <protection/>
    </xf>
    <xf numFmtId="0" fontId="41" fillId="33" borderId="21" xfId="43" applyFont="1" applyFill="1" applyBorder="1" applyAlignment="1">
      <alignment horizontal="center" vertical="center" wrapText="1" readingOrder="2"/>
      <protection/>
    </xf>
    <xf numFmtId="0" fontId="40" fillId="33" borderId="15" xfId="43" applyFont="1" applyFill="1" applyBorder="1" applyAlignment="1">
      <alignment horizontal="center" vertical="center" wrapText="1" readingOrder="2"/>
      <protection/>
    </xf>
    <xf numFmtId="0" fontId="39" fillId="2" borderId="17" xfId="43" applyFont="1" applyFill="1" applyBorder="1" applyAlignment="1">
      <alignment horizontal="right" vertical="center" wrapText="1" readingOrder="2"/>
      <protection/>
    </xf>
    <xf numFmtId="0" fontId="39" fillId="2" borderId="19" xfId="43" applyFont="1" applyFill="1" applyBorder="1" applyAlignment="1">
      <alignment horizontal="right" vertical="center" wrapText="1" readingOrder="2"/>
      <protection/>
    </xf>
    <xf numFmtId="9" fontId="39" fillId="2" borderId="17" xfId="54" applyNumberFormat="1" applyFont="1" applyFill="1" applyBorder="1" applyAlignment="1">
      <alignment horizontal="center" vertical="center" readingOrder="1"/>
    </xf>
    <xf numFmtId="0" fontId="39" fillId="2" borderId="36" xfId="43" applyFont="1" applyFill="1" applyBorder="1" applyAlignment="1">
      <alignment horizontal="center" vertical="center" readingOrder="2"/>
      <protection/>
    </xf>
  </cellXfs>
  <cellStyles count="70">
    <cellStyle name="Normal" xfId="0" builtinId="0"/>
    <cellStyle name="20% - הדגשה1" xfId="15"/>
    <cellStyle name="20% - הדגשה2" xfId="16"/>
    <cellStyle name="20% - הדגשה3" xfId="17"/>
    <cellStyle name="20% - הדגשה4" xfId="18"/>
    <cellStyle name="20% - הדגשה5" xfId="19"/>
    <cellStyle name="20% - הדגשה6" xfId="20"/>
    <cellStyle name="40% - הדגשה1" xfId="21"/>
    <cellStyle name="40% - הדגשה2" xfId="22"/>
    <cellStyle name="40% - הדגשה3" xfId="23"/>
    <cellStyle name="40% - הדגשה4" xfId="24"/>
    <cellStyle name="40% - הדגשה5" xfId="25"/>
    <cellStyle name="40% - הדגשה6" xfId="26"/>
    <cellStyle name="60% - הדגשה1" xfId="27"/>
    <cellStyle name="60% - הדגשה2" xfId="28"/>
    <cellStyle name="60% - הדגשה3" xfId="29"/>
    <cellStyle name="60% - הדגשה4" xfId="30"/>
    <cellStyle name="60% - הדגשה5" xfId="31"/>
    <cellStyle name="60% - הדגשה6" xfId="32"/>
    <cellStyle name="Comma" xfId="33" builtinId="3"/>
    <cellStyle name="Currency" xfId="34" builtinId="4"/>
    <cellStyle name="Normal 2" xfId="35"/>
    <cellStyle name="Normal 2 2 2" xfId="36"/>
    <cellStyle name="Normal 212" xfId="37"/>
    <cellStyle name="Normal 3 2" xfId="38"/>
    <cellStyle name="Normal 4 3" xfId="39"/>
    <cellStyle name="Normal 5" xfId="40"/>
    <cellStyle name="Normal 5 2 2" xfId="41"/>
    <cellStyle name="Normal 5 2 2 2" xfId="42"/>
    <cellStyle name="Normal 5 2 2 2 2" xfId="43"/>
    <cellStyle name="Normal 5 2 2 3" xfId="44"/>
    <cellStyle name="Normal 5 3" xfId="45"/>
    <cellStyle name="Normal 6 2" xfId="46"/>
    <cellStyle name="Normal 6 2 3" xfId="47"/>
    <cellStyle name="Normal_גיליון3" xfId="48"/>
    <cellStyle name="Normal_מגדגל גמל" xfId="49"/>
    <cellStyle name="Percent" xfId="50" builtinId="5"/>
    <cellStyle name="Percent 2" xfId="51"/>
    <cellStyle name="Percent 2 2" xfId="52"/>
    <cellStyle name="Percent 2 3 2" xfId="53"/>
    <cellStyle name="Percent 2 3 2 2" xfId="54"/>
    <cellStyle name="Percent 3 2" xfId="55"/>
    <cellStyle name="Percent 3 2 3" xfId="56"/>
    <cellStyle name="Percent 3 3" xfId="57"/>
    <cellStyle name="Percent 5" xfId="58"/>
    <cellStyle name="הדגשה1" xfId="59"/>
    <cellStyle name="הדגשה2" xfId="60"/>
    <cellStyle name="הדגשה3" xfId="61"/>
    <cellStyle name="הדגשה4" xfId="62"/>
    <cellStyle name="הדגשה5" xfId="63"/>
    <cellStyle name="הדגשה6" xfId="64"/>
    <cellStyle name="הערה" xfId="65"/>
    <cellStyle name="חישוב" xfId="66"/>
    <cellStyle name="טוב" xfId="67"/>
    <cellStyle name="טקסט אזהרה" xfId="68"/>
    <cellStyle name="טקסט הסברי" xfId="69"/>
    <cellStyle name="כותרת" xfId="70"/>
    <cellStyle name="כותרת 1" xfId="71"/>
    <cellStyle name="כותרת 2" xfId="72"/>
    <cellStyle name="כותרת 3" xfId="73"/>
    <cellStyle name="כותרת 4" xfId="74"/>
    <cellStyle name="Currency [0]" xfId="75" builtinId="7"/>
    <cellStyle name="ניטראלי" xfId="76"/>
    <cellStyle name="סה&quot;כ" xfId="77"/>
    <cellStyle name="פלט" xfId="78"/>
    <cellStyle name="Comma [0]" xfId="79" builtinId="6"/>
    <cellStyle name="קלט" xfId="80"/>
    <cellStyle name="רע" xfId="81"/>
    <cellStyle name="תא מסומן" xfId="82"/>
    <cellStyle name="תא מקושר" xfId="8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worksheet" Target="worksheets/sheet6.xml"/><Relationship Id="rId17" Type="http://schemas.openxmlformats.org/officeDocument/2006/relationships/calcChain" Target="calcChain.xml"/><Relationship Id="rId12" Type="http://schemas.openxmlformats.org/officeDocument/2006/relationships/worksheet" Target="worksheets/sheet11.xml"/><Relationship Id="rId2" Type="http://schemas.openxmlformats.org/officeDocument/2006/relationships/worksheet" Target="worksheets/sheet1.xml"/><Relationship Id="rId16" Type="http://schemas.openxmlformats.org/officeDocument/2006/relationships/sharedStrings" Target="sharedStrings.xml"/><Relationship Id="rId20" Type="http://schemas.openxmlformats.org/officeDocument/2006/relationships/customXml" Target="../customXml/item3.xml"/><Relationship Id="rId11" Type="http://schemas.openxmlformats.org/officeDocument/2006/relationships/worksheet" Target="worksheets/sheet10.xml"/><Relationship Id="rId1" Type="http://schemas.openxmlformats.org/officeDocument/2006/relationships/theme" Target="theme/theme1.xml"/><Relationship Id="rId6" Type="http://schemas.openxmlformats.org/officeDocument/2006/relationships/worksheet" Target="worksheets/sheet5.xml"/><Relationship Id="rId5" Type="http://schemas.openxmlformats.org/officeDocument/2006/relationships/worksheet" Target="worksheets/sheet4.xml"/><Relationship Id="rId15" Type="http://schemas.openxmlformats.org/officeDocument/2006/relationships/styles" Target="styles.xml"/><Relationship Id="rId10" Type="http://schemas.openxmlformats.org/officeDocument/2006/relationships/worksheet" Target="worksheets/sheet9.xml"/><Relationship Id="rId19" Type="http://schemas.openxmlformats.org/officeDocument/2006/relationships/customXml" Target="../customXml/item2.xml"/><Relationship Id="rId9" Type="http://schemas.openxmlformats.org/officeDocument/2006/relationships/worksheet" Target="worksheets/sheet8.xml"/><Relationship Id="rId14" Type="http://schemas.openxmlformats.org/officeDocument/2006/relationships/worksheet" Target="worksheets/sheet13.xml"/><Relationship Id="rId4" Type="http://schemas.openxmlformats.org/officeDocument/2006/relationships/worksheet" Target="worksheets/sheet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_rels/sheet6.xml.rels><?xml version="1.0" encoding="UTF-8" standalone="yes"?><Relationships xmlns="http://schemas.openxmlformats.org/package/2006/relationships"></Relationships>
</file>

<file path=xl/worksheets/_rels/sheet7.xml.rels><?xml version="1.0" encoding="UTF-8" standalone="yes"?><Relationships xmlns="http://schemas.openxmlformats.org/package/2006/relationships"></Relationships>
</file>

<file path=xl/worksheets/_rels/sheet8.xml.rels><?xml version="1.0" encoding="UTF-8" standalone="yes"?><Relationships xmlns="http://schemas.openxmlformats.org/package/2006/relationships"></Relationships>
</file>

<file path=xl/worksheets/_rels/sheet9.xml.rels><?xml version="1.0" encoding="UTF-8" standalone="yes"?><Relationships xmlns="http://schemas.openxmlformats.org/package/2006/relationships"></Relationships>
</file>

<file path=xl/worksheets/_rels/sheet10.xml.rels><?xml version="1.0" encoding="UTF-8" standalone="yes"?><Relationships xmlns="http://schemas.openxmlformats.org/package/2006/relationships"></Relationships>
</file>

<file path=xl/worksheets/_rels/sheet11.xml.rels><?xml version="1.0" encoding="UTF-8" standalone="yes"?><Relationships xmlns="http://schemas.openxmlformats.org/package/2006/relationships"></Relationships>
</file>

<file path=xl/worksheets/_rels/sheet12.xml.rels><?xml version="1.0" encoding="UTF-8" standalone="yes"?><Relationships xmlns="http://schemas.openxmlformats.org/package/2006/relationships"></Relationships>
</file>

<file path=xl/worksheets/_rels/sheet13.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H81"/>
  <sheetViews>
    <sheetView showGridLines="0" rightToLeft="1" zoomScaleSheetLayoutView="100" workbookViewId="0" topLeftCell="A1">
      <selection pane="topLeft" activeCell="B71" sqref="B71"/>
    </sheetView>
  </sheetViews>
  <sheetFormatPr defaultRowHeight="14.25"/>
  <cols>
    <col min="1" max="1" width="9.14285714285714" style="1"/>
    <col min="2" max="2" width="45.5714285714286" style="1"/>
    <col min="3" max="4" width="12.2857142857143" style="1"/>
    <col min="5" max="5" width="10.2857142857143" style="1"/>
    <col min="6" max="7" width="9.28571428571429" style="1"/>
    <col min="8" max="8" width="34.2857142857143" style="1"/>
    <col min="9" max="16384" width="9.14285714285714" style="1"/>
  </cols>
  <sheetData>
    <row r="1" spans="2:8" ht="27.6" customHeight="1">
      <c r="B1" s="276" t="s">
        <v>24</v>
      </c>
      <c r="C1" s="276"/>
      <c r="D1" s="277"/>
      <c r="E1" s="277"/>
      <c r="F1" s="277"/>
      <c r="G1" s="277"/>
      <c r="H1" s="277"/>
    </row>
    <row r="2" spans="2:8" ht="30" customHeight="1">
      <c r="B2" s="275" t="s">
        <v>0</v>
      </c>
      <c r="C2" s="275"/>
      <c r="D2" s="275"/>
      <c r="E2" s="275"/>
      <c r="F2" s="275"/>
      <c r="G2" s="275"/>
      <c r="H2" s="275"/>
    </row>
    <row r="3" spans="2:8" ht="60" customHeight="1">
      <c r="B3" s="2" t="s">
        <v>1</v>
      </c>
      <c r="C3" s="2" t="s">
        <v>137</v>
      </c>
      <c r="D3" s="2" t="s">
        <v>138</v>
      </c>
      <c r="E3" s="2" t="s">
        <v>3</v>
      </c>
      <c r="F3" s="273" t="s">
        <v>4</v>
      </c>
      <c r="G3" s="274"/>
      <c r="H3" s="2" t="s">
        <v>5</v>
      </c>
    </row>
    <row r="4" spans="2:8" ht="33.75" customHeight="1">
      <c r="B4" s="4" t="s">
        <v>6</v>
      </c>
      <c r="C4" s="6">
        <v>0.48599999999999999</v>
      </c>
      <c r="D4" s="5">
        <v>0.48</v>
      </c>
      <c r="E4" s="7">
        <v>0.06</v>
      </c>
      <c r="F4" s="7">
        <f t="shared" si="0" ref="F4:F12">IF(D4-E4&gt;0,D4-E4,0)</f>
        <v>0.41999999999999998</v>
      </c>
      <c r="G4" s="7">
        <f t="shared" si="1" ref="G4:G12">D4+E4</f>
        <v>0.54000000000000004</v>
      </c>
      <c r="H4" s="8" t="s">
        <v>7</v>
      </c>
    </row>
    <row r="5" spans="2:8" ht="27.6" customHeight="1">
      <c r="B5" s="9" t="s">
        <v>8</v>
      </c>
      <c r="C5" s="6">
        <v>0.17599999999999999</v>
      </c>
      <c r="D5" s="5">
        <v>0.12</v>
      </c>
      <c r="E5" s="7">
        <v>0.05</v>
      </c>
      <c r="F5" s="7">
        <f>IF(D5-E5&gt;0,D5-E5,0)</f>
        <v>0.069999999999999993</v>
      </c>
      <c r="G5" s="7">
        <f>D5+E5</f>
        <v>0.16999999999999998</v>
      </c>
      <c r="H5" s="8" t="s">
        <v>9</v>
      </c>
    </row>
    <row r="6" spans="2:8" ht="75" customHeight="1">
      <c r="B6" s="4" t="s">
        <v>10</v>
      </c>
      <c r="C6" s="6">
        <v>0.31559999999999999</v>
      </c>
      <c r="D6" s="5">
        <v>0.28999999999999998</v>
      </c>
      <c r="E6" s="7">
        <v>0.06</v>
      </c>
      <c r="F6" s="7">
        <f>IF(D6-E6&gt;0,D6-E6,0)</f>
        <v>0.22999999999999998</v>
      </c>
      <c r="G6" s="7">
        <f>D6+E6</f>
        <v>0.34999999999999998</v>
      </c>
      <c r="H6" s="8" t="s">
        <v>11</v>
      </c>
    </row>
    <row r="7" spans="2:8" ht="18.6" customHeight="1">
      <c r="B7" s="4" t="s">
        <v>12</v>
      </c>
      <c r="C7" s="6">
        <v>0.037999999999999999</v>
      </c>
      <c r="D7" s="5">
        <v>0.01</v>
      </c>
      <c r="E7" s="7">
        <v>0.05</v>
      </c>
      <c r="F7" s="7">
        <f>IF(D7-E7&gt;0,D7-E7,0)</f>
        <v>0</v>
      </c>
      <c r="G7" s="7">
        <f>D7+E7</f>
        <v>0.060000000000000005</v>
      </c>
      <c r="H7" s="8"/>
    </row>
    <row r="8" spans="2:8" ht="18.6" customHeight="1">
      <c r="B8" s="9" t="s">
        <v>13</v>
      </c>
      <c r="C8" s="6">
        <v>0.065</v>
      </c>
      <c r="D8" s="5">
        <v>0.04</v>
      </c>
      <c r="E8" s="7">
        <v>0.05</v>
      </c>
      <c r="F8" s="7">
        <f>IF(D8-E8&gt;0,D8-E8,0)</f>
        <v>0</v>
      </c>
      <c r="G8" s="7">
        <f>D8+E8</f>
        <v>0.089999999999999997</v>
      </c>
      <c r="H8" s="8"/>
    </row>
    <row r="9" spans="2:8" ht="18.6" customHeight="1">
      <c r="B9" s="4" t="s">
        <v>14</v>
      </c>
      <c r="C9" s="10">
        <v>0.036999999999999998</v>
      </c>
      <c r="D9" s="236">
        <v>0.03</v>
      </c>
      <c r="E9" s="7">
        <v>0.05</v>
      </c>
      <c r="F9" s="7">
        <f>IF(D9-E9&gt;0,D9-E9,0)</f>
        <v>0</v>
      </c>
      <c r="G9" s="7">
        <f>D9+E9</f>
        <v>0.080000000000000002</v>
      </c>
      <c r="H9" s="8"/>
    </row>
    <row r="10" spans="2:8" ht="18.6" customHeight="1">
      <c r="B10" s="4" t="s">
        <v>15</v>
      </c>
      <c r="C10" s="6">
        <v>0.0378</v>
      </c>
      <c r="D10" s="5">
        <v>0.03</v>
      </c>
      <c r="E10" s="7"/>
      <c r="F10" s="7"/>
      <c r="G10" s="7"/>
      <c r="H10" s="8"/>
    </row>
    <row r="11" spans="2:8" ht="18.6" customHeight="1">
      <c r="B11" s="4" t="s">
        <v>16</v>
      </c>
      <c r="C11" s="6">
        <f>SUM(C4:C10)</f>
        <v>1.1553999999999998</v>
      </c>
      <c r="D11" s="5">
        <f>SUM(D4:D10)</f>
        <v>1</v>
      </c>
      <c r="E11" s="7"/>
      <c r="F11" s="7"/>
      <c r="G11" s="7"/>
      <c r="H11" s="8"/>
    </row>
    <row r="12" spans="2:8" ht="18.6" customHeight="1">
      <c r="B12" s="4" t="s">
        <v>17</v>
      </c>
      <c r="C12" s="6">
        <v>0.249</v>
      </c>
      <c r="D12" s="5">
        <v>0.21</v>
      </c>
      <c r="E12" s="11">
        <v>0.06</v>
      </c>
      <c r="F12" s="7">
        <f>IF(D12-E12&gt;0,D12-E12,0)</f>
        <v>0.14999999999999999</v>
      </c>
      <c r="G12" s="7">
        <f>D12+E12</f>
        <v>0.27000000000000002</v>
      </c>
      <c r="H12" s="8"/>
    </row>
    <row r="13" spans="2:7" ht="14.25">
      <c r="B13" s="12"/>
      <c r="C13" s="12"/>
      <c r="D13" s="13"/>
      <c r="E13" s="13"/>
      <c r="F13" s="13"/>
      <c r="G13" s="13"/>
    </row>
    <row r="14" spans="2:3" ht="15.75" customHeight="1">
      <c r="B14" s="14"/>
      <c r="C14" s="14"/>
    </row>
    <row r="15" spans="2:8" ht="30" customHeight="1">
      <c r="B15" s="275" t="s">
        <v>18</v>
      </c>
      <c r="C15" s="275"/>
      <c r="D15" s="275"/>
      <c r="E15" s="275"/>
      <c r="F15" s="275"/>
      <c r="G15" s="275"/>
      <c r="H15" s="275"/>
    </row>
    <row r="16" spans="2:8" ht="57.75" customHeight="1">
      <c r="B16" s="2" t="s">
        <v>1</v>
      </c>
      <c r="C16" s="3" t="str">
        <f>C3</f>
        <v>שיעור חשיפה נכון 24.11.2020</v>
      </c>
      <c r="D16" s="2" t="s">
        <v>139</v>
      </c>
      <c r="E16" s="2" t="s">
        <v>3</v>
      </c>
      <c r="F16" s="273" t="s">
        <v>4</v>
      </c>
      <c r="G16" s="274"/>
      <c r="H16" s="2" t="s">
        <v>5</v>
      </c>
    </row>
    <row r="17" spans="2:8" ht="30">
      <c r="B17" s="4" t="s">
        <v>6</v>
      </c>
      <c r="C17" s="6">
        <v>0.42699999999999999</v>
      </c>
      <c r="D17" s="5">
        <v>0.40</v>
      </c>
      <c r="E17" s="7">
        <v>0.06</v>
      </c>
      <c r="F17" s="7">
        <f t="shared" si="2" ref="F17:F24">IF(D17-E17&gt;0,D17-E17,0)</f>
        <v>0.34000000000000002</v>
      </c>
      <c r="G17" s="7">
        <f t="shared" si="3" ref="G17:G24">D17+E17</f>
        <v>0.46000000000000002</v>
      </c>
      <c r="H17" s="8" t="s">
        <v>7</v>
      </c>
    </row>
    <row r="18" spans="2:8" ht="30">
      <c r="B18" s="9" t="s">
        <v>8</v>
      </c>
      <c r="C18" s="6">
        <v>0.245</v>
      </c>
      <c r="D18" s="5">
        <v>0.20</v>
      </c>
      <c r="E18" s="7">
        <v>0.05</v>
      </c>
      <c r="F18" s="7">
        <f>IF(D18-E18&gt;0,D18-E18,0)</f>
        <v>0.15000000000000002</v>
      </c>
      <c r="G18" s="7">
        <f>D18+E18</f>
        <v>0.25</v>
      </c>
      <c r="H18" s="8" t="s">
        <v>9</v>
      </c>
    </row>
    <row r="19" spans="2:8" ht="78" customHeight="1">
      <c r="B19" s="4" t="s">
        <v>10</v>
      </c>
      <c r="C19" s="6">
        <v>0.316</v>
      </c>
      <c r="D19" s="5">
        <v>0.28999999999999998</v>
      </c>
      <c r="E19" s="7">
        <v>0.06</v>
      </c>
      <c r="F19" s="7">
        <f>IF(D19-E19&gt;0,D19-E19,0)</f>
        <v>0.22999999999999998</v>
      </c>
      <c r="G19" s="7">
        <f>D19+E19</f>
        <v>0.34999999999999998</v>
      </c>
      <c r="H19" s="15" t="s">
        <v>11</v>
      </c>
    </row>
    <row r="20" spans="2:8" ht="18.6" customHeight="1">
      <c r="B20" s="4" t="s">
        <v>12</v>
      </c>
      <c r="C20" s="6">
        <v>0.005</v>
      </c>
      <c r="D20" s="5">
        <v>0.01</v>
      </c>
      <c r="E20" s="7">
        <v>0.05</v>
      </c>
      <c r="F20" s="7">
        <f>IF(D20-E20&gt;0,D20-E20,0)</f>
        <v>0</v>
      </c>
      <c r="G20" s="7">
        <f>D20+E20</f>
        <v>0.060000000000000005</v>
      </c>
      <c r="H20" s="8"/>
    </row>
    <row r="21" spans="2:8" ht="20.25" customHeight="1">
      <c r="B21" s="4" t="s">
        <v>19</v>
      </c>
      <c r="C21" s="6">
        <v>0.075</v>
      </c>
      <c r="D21" s="5">
        <v>0.05</v>
      </c>
      <c r="E21" s="7">
        <v>0.05</v>
      </c>
      <c r="F21" s="7">
        <f>IF(D21-E21&gt;0,D21-E21,0)</f>
        <v>0</v>
      </c>
      <c r="G21" s="7">
        <f>D21+E21</f>
        <v>0.10000000000000001</v>
      </c>
      <c r="H21" s="8"/>
    </row>
    <row r="22" spans="2:8" ht="18.6" customHeight="1">
      <c r="B22" s="4" t="s">
        <v>15</v>
      </c>
      <c r="C22" s="10">
        <v>0.023</v>
      </c>
      <c r="D22" s="236">
        <v>0.05</v>
      </c>
      <c r="E22" s="7"/>
      <c r="F22" s="7"/>
      <c r="G22" s="7"/>
      <c r="H22" s="8"/>
    </row>
    <row r="23" spans="2:8" ht="18.6" customHeight="1">
      <c r="B23" s="4" t="s">
        <v>16</v>
      </c>
      <c r="C23" s="6">
        <f>SUM(C16:C22)</f>
        <v>1.091</v>
      </c>
      <c r="D23" s="5">
        <f>SUM(D16:D22)</f>
        <v>1.0000000000000002</v>
      </c>
      <c r="E23" s="7"/>
      <c r="F23" s="7"/>
      <c r="G23" s="7"/>
      <c r="H23" s="8"/>
    </row>
    <row r="24" spans="2:8" ht="18.6" customHeight="1">
      <c r="B24" s="4" t="s">
        <v>17</v>
      </c>
      <c r="C24" s="6">
        <v>0.23100000000000001</v>
      </c>
      <c r="D24" s="5">
        <v>0.21</v>
      </c>
      <c r="E24" s="11">
        <v>0.06</v>
      </c>
      <c r="F24" s="7">
        <f>IF(D24-E24&gt;0,D24-E24,0)</f>
        <v>0.14999999999999999</v>
      </c>
      <c r="G24" s="7">
        <f>D24+E24</f>
        <v>0.27000000000000002</v>
      </c>
      <c r="H24" s="8"/>
    </row>
    <row r="27" spans="2:8" ht="30" customHeight="1">
      <c r="B27" s="275" t="s">
        <v>20</v>
      </c>
      <c r="C27" s="275"/>
      <c r="D27" s="275"/>
      <c r="E27" s="275"/>
      <c r="F27" s="275"/>
      <c r="G27" s="275"/>
      <c r="H27" s="275"/>
    </row>
    <row r="28" spans="2:8" ht="63.75" customHeight="1">
      <c r="B28" s="2" t="s">
        <v>1</v>
      </c>
      <c r="C28" s="3" t="str">
        <f>C16</f>
        <v>שיעור חשיפה נכון 24.11.2020</v>
      </c>
      <c r="D28" s="2" t="s">
        <v>140</v>
      </c>
      <c r="E28" s="2" t="s">
        <v>3</v>
      </c>
      <c r="F28" s="273" t="s">
        <v>4</v>
      </c>
      <c r="G28" s="274"/>
      <c r="H28" s="2" t="s">
        <v>5</v>
      </c>
    </row>
    <row r="29" spans="2:8" ht="30">
      <c r="B29" s="4" t="s">
        <v>6</v>
      </c>
      <c r="C29" s="6">
        <v>0.253</v>
      </c>
      <c r="D29" s="5">
        <v>0.22</v>
      </c>
      <c r="E29" s="7">
        <v>0.06</v>
      </c>
      <c r="F29" s="7">
        <f t="shared" si="4" ref="F29:F36">IF(D29-E29&gt;0,D29-E29,0)</f>
        <v>0.16</v>
      </c>
      <c r="G29" s="7">
        <f t="shared" si="5" ref="G29:G36">D29+E29</f>
        <v>0.28000000000000003</v>
      </c>
      <c r="H29" s="8" t="s">
        <v>7</v>
      </c>
    </row>
    <row r="30" spans="2:8" ht="30">
      <c r="B30" s="9" t="s">
        <v>8</v>
      </c>
      <c r="C30" s="6">
        <v>0.38100000000000001</v>
      </c>
      <c r="D30" s="5">
        <v>0.30</v>
      </c>
      <c r="E30" s="7">
        <v>0.05</v>
      </c>
      <c r="F30" s="7">
        <f>IF(D30-E30&gt;0,D30-E30,0)</f>
        <v>0.25</v>
      </c>
      <c r="G30" s="7">
        <f>D30+E30</f>
        <v>0.34999999999999998</v>
      </c>
      <c r="H30" s="8" t="s">
        <v>9</v>
      </c>
    </row>
    <row r="31" spans="2:8" ht="75.75" customHeight="1">
      <c r="B31" s="4" t="s">
        <v>10</v>
      </c>
      <c r="C31" s="6">
        <v>0.325</v>
      </c>
      <c r="D31" s="5">
        <v>0.40</v>
      </c>
      <c r="E31" s="7">
        <v>0.06</v>
      </c>
      <c r="F31" s="7">
        <f>IF(D31-E31&gt;0,D31-E31,0)</f>
        <v>0.34000000000000002</v>
      </c>
      <c r="G31" s="7">
        <f>D31+E31</f>
        <v>0.46000000000000002</v>
      </c>
      <c r="H31" s="15" t="s">
        <v>11</v>
      </c>
    </row>
    <row r="32" spans="2:8" ht="18.6" customHeight="1">
      <c r="B32" s="4" t="s">
        <v>12</v>
      </c>
      <c r="C32" s="6">
        <v>0.0080000000000000002</v>
      </c>
      <c r="D32" s="5">
        <v>0.01</v>
      </c>
      <c r="E32" s="7">
        <v>0.05</v>
      </c>
      <c r="F32" s="7">
        <f>IF(D32-E32&gt;0,D32-E32,0)</f>
        <v>0</v>
      </c>
      <c r="G32" s="7">
        <f>D32+E32</f>
        <v>0.060000000000000005</v>
      </c>
      <c r="H32" s="8"/>
    </row>
    <row r="33" spans="2:8" ht="24" customHeight="1">
      <c r="B33" s="4" t="s">
        <v>19</v>
      </c>
      <c r="C33" s="6">
        <v>0.042999999999999997</v>
      </c>
      <c r="D33" s="5">
        <v>0.04</v>
      </c>
      <c r="E33" s="7">
        <v>0.05</v>
      </c>
      <c r="F33" s="7">
        <f>IF(D33-E33&gt;0,D33-E33,0)</f>
        <v>0</v>
      </c>
      <c r="G33" s="7">
        <f>D33+E33</f>
        <v>0.089999999999999997</v>
      </c>
      <c r="H33" s="8"/>
    </row>
    <row r="34" spans="2:8" ht="18.6" customHeight="1">
      <c r="B34" s="4" t="s">
        <v>15</v>
      </c>
      <c r="C34" s="10">
        <v>0.031</v>
      </c>
      <c r="D34" s="236">
        <v>0.03</v>
      </c>
      <c r="E34" s="7"/>
      <c r="F34" s="7"/>
      <c r="G34" s="7"/>
      <c r="H34" s="8"/>
    </row>
    <row r="35" spans="2:8" ht="18.6" customHeight="1">
      <c r="B35" s="4" t="s">
        <v>16</v>
      </c>
      <c r="C35" s="6">
        <f>SUM(C29:C34)</f>
        <v>1.0409999999999999</v>
      </c>
      <c r="D35" s="5">
        <f>SUM(D29:D34)</f>
        <v>1</v>
      </c>
      <c r="E35" s="7"/>
      <c r="F35" s="7"/>
      <c r="G35" s="7"/>
      <c r="H35" s="8"/>
    </row>
    <row r="36" spans="2:8" ht="18.6" customHeight="1">
      <c r="B36" s="4" t="s">
        <v>17</v>
      </c>
      <c r="C36" s="6">
        <v>0.17399999999999999</v>
      </c>
      <c r="D36" s="5">
        <v>0.16</v>
      </c>
      <c r="E36" s="11">
        <v>0.06</v>
      </c>
      <c r="F36" s="7">
        <f>IF(D36-E36&gt;0,D36-E36,0)</f>
        <v>0.10000000000000001</v>
      </c>
      <c r="G36" s="7">
        <f>D36+E36</f>
        <v>0.22</v>
      </c>
      <c r="H36" s="8"/>
    </row>
    <row r="38" spans="3:8" ht="14.25">
      <c r="C38" s="16"/>
      <c r="D38" s="16"/>
      <c r="E38" s="16"/>
      <c r="F38" s="16"/>
      <c r="G38" s="16"/>
      <c r="H38" s="16"/>
    </row>
    <row r="39" spans="2:8" ht="18">
      <c r="B39" s="275" t="s">
        <v>21</v>
      </c>
      <c r="C39" s="275"/>
      <c r="D39" s="275"/>
      <c r="E39" s="275"/>
      <c r="F39" s="275"/>
      <c r="G39" s="275"/>
      <c r="H39" s="275"/>
    </row>
    <row r="40" spans="2:8" ht="60">
      <c r="B40" s="2" t="s">
        <v>1</v>
      </c>
      <c r="C40" s="3" t="str">
        <f>C28</f>
        <v>שיעור חשיפה נכון 24.11.2020</v>
      </c>
      <c r="D40" s="2" t="s">
        <v>141</v>
      </c>
      <c r="E40" s="2" t="s">
        <v>3</v>
      </c>
      <c r="F40" s="273" t="s">
        <v>4</v>
      </c>
      <c r="G40" s="274"/>
      <c r="H40" s="2" t="s">
        <v>5</v>
      </c>
    </row>
    <row r="41" spans="2:8" ht="30">
      <c r="B41" s="4" t="s">
        <v>6</v>
      </c>
      <c r="C41" s="6">
        <v>0.433</v>
      </c>
      <c r="D41" s="5">
        <v>0.40</v>
      </c>
      <c r="E41" s="7">
        <v>0.06</v>
      </c>
      <c r="F41" s="7">
        <f>IF(D41-E41&gt;0,D41-E41,0)</f>
        <v>0.34000000000000002</v>
      </c>
      <c r="G41" s="7">
        <f>D41+E41</f>
        <v>0.46000000000000002</v>
      </c>
      <c r="H41" s="8" t="s">
        <v>7</v>
      </c>
    </row>
    <row r="42" spans="2:8" ht="30">
      <c r="B42" s="9" t="s">
        <v>8</v>
      </c>
      <c r="C42" s="6">
        <v>0.24199999999999999</v>
      </c>
      <c r="D42" s="5">
        <v>0.20</v>
      </c>
      <c r="E42" s="7">
        <v>0.05</v>
      </c>
      <c r="F42" s="7">
        <f>IF(D42-E42&gt;0,D42-E42,0)</f>
        <v>0.15000000000000002</v>
      </c>
      <c r="G42" s="7">
        <f>D42+E42</f>
        <v>0.25</v>
      </c>
      <c r="H42" s="8" t="s">
        <v>9</v>
      </c>
    </row>
    <row r="43" spans="2:8" ht="90">
      <c r="B43" s="4" t="s">
        <v>10</v>
      </c>
      <c r="C43" s="6">
        <v>0.29099999999999998</v>
      </c>
      <c r="D43" s="5">
        <v>0.28999999999999998</v>
      </c>
      <c r="E43" s="7">
        <v>0.06</v>
      </c>
      <c r="F43" s="7">
        <f>IF(D43-E43&gt;0,D43-E43,0)</f>
        <v>0.22999999999999998</v>
      </c>
      <c r="G43" s="7">
        <f>D43+E43</f>
        <v>0.34999999999999998</v>
      </c>
      <c r="H43" s="15" t="s">
        <v>11</v>
      </c>
    </row>
    <row r="44" spans="2:8" ht="15">
      <c r="B44" s="4" t="s">
        <v>12</v>
      </c>
      <c r="C44" s="6">
        <v>0.051999999999999998</v>
      </c>
      <c r="D44" s="5">
        <v>0.05</v>
      </c>
      <c r="E44" s="7">
        <v>0.05</v>
      </c>
      <c r="F44" s="7">
        <f>IF(D44-E44&gt;0,D44-E44,0)</f>
        <v>0</v>
      </c>
      <c r="G44" s="7">
        <f>D44+E44</f>
        <v>0.10000000000000001</v>
      </c>
      <c r="H44" s="8"/>
    </row>
    <row r="45" spans="2:8" ht="15">
      <c r="B45" s="4" t="s">
        <v>19</v>
      </c>
      <c r="C45" s="6">
        <v>0.079000000000000001</v>
      </c>
      <c r="D45" s="5">
        <v>0.05</v>
      </c>
      <c r="E45" s="7">
        <v>0.05</v>
      </c>
      <c r="F45" s="7">
        <f>IF(D45-E45&gt;0,D45-E45,0)</f>
        <v>0</v>
      </c>
      <c r="G45" s="7">
        <f>D45+E45</f>
        <v>0.10000000000000001</v>
      </c>
      <c r="H45" s="8"/>
    </row>
    <row r="46" spans="2:8" ht="15">
      <c r="B46" s="4" t="s">
        <v>15</v>
      </c>
      <c r="C46" s="10">
        <v>0.0080000000000000002</v>
      </c>
      <c r="D46" s="236">
        <v>0.01</v>
      </c>
      <c r="E46" s="7"/>
      <c r="F46" s="7"/>
      <c r="G46" s="7"/>
      <c r="H46" s="8"/>
    </row>
    <row r="47" spans="2:8" ht="15">
      <c r="B47" s="4" t="s">
        <v>16</v>
      </c>
      <c r="C47" s="6">
        <f>SUM(C41:C46)</f>
        <v>1.105</v>
      </c>
      <c r="D47" s="5">
        <f>SUM(D41:D46)</f>
        <v>1.0000000000000002</v>
      </c>
      <c r="E47" s="7"/>
      <c r="F47" s="7"/>
      <c r="G47" s="7"/>
      <c r="H47" s="8"/>
    </row>
    <row r="48" spans="2:8" ht="15">
      <c r="B48" s="4" t="s">
        <v>17</v>
      </c>
      <c r="C48" s="6">
        <v>0.20899999999999999</v>
      </c>
      <c r="D48" s="5">
        <v>0.21</v>
      </c>
      <c r="E48" s="11">
        <v>0.06</v>
      </c>
      <c r="F48" s="7">
        <f>IF(D48-E48&gt;0,D48-E48,0)</f>
        <v>0.14999999999999999</v>
      </c>
      <c r="G48" s="7">
        <f>D48+E48</f>
        <v>0.27000000000000002</v>
      </c>
      <c r="H48" s="8"/>
    </row>
    <row r="51" spans="2:2" ht="15" thickBot="1">
      <c r="B51" s="16" t="s">
        <v>22</v>
      </c>
    </row>
    <row r="52" spans="2:8" ht="14.25">
      <c r="B52" s="228" t="s">
        <v>23</v>
      </c>
      <c r="C52" s="229"/>
      <c r="D52" s="229"/>
      <c r="E52" s="229"/>
      <c r="F52" s="229"/>
      <c r="G52" s="229"/>
      <c r="H52" s="230"/>
    </row>
    <row r="53" spans="2:8" ht="14.25">
      <c r="B53" s="221" t="s">
        <v>158</v>
      </c>
      <c r="C53" s="231"/>
      <c r="D53" s="231"/>
      <c r="E53" s="231"/>
      <c r="F53" s="231"/>
      <c r="G53" s="231"/>
      <c r="H53" s="232"/>
    </row>
    <row r="54" spans="2:8" ht="14.25">
      <c r="B54" s="221" t="s">
        <v>181</v>
      </c>
      <c r="C54" s="231"/>
      <c r="D54" s="231"/>
      <c r="E54" s="231"/>
      <c r="F54" s="231"/>
      <c r="G54" s="231"/>
      <c r="H54" s="232"/>
    </row>
    <row r="55" spans="2:8" ht="14.25">
      <c r="B55" s="221" t="s">
        <v>180</v>
      </c>
      <c r="C55" s="231"/>
      <c r="D55" s="16"/>
      <c r="E55" s="231"/>
      <c r="F55" s="16"/>
      <c r="G55" s="231"/>
      <c r="H55" s="233"/>
    </row>
    <row r="56" spans="2:8" ht="15" thickBot="1">
      <c r="B56" s="224" t="s">
        <v>179</v>
      </c>
      <c r="C56" s="234"/>
      <c r="D56" s="234"/>
      <c r="E56" s="234"/>
      <c r="F56" s="234"/>
      <c r="G56" s="234"/>
      <c r="H56" s="235"/>
    </row>
    <row r="57" ht="15" thickBot="1"/>
    <row r="58" spans="2:6" ht="14.25">
      <c r="B58" s="218" t="s">
        <v>143</v>
      </c>
      <c r="C58" s="219"/>
      <c r="D58" s="219"/>
      <c r="E58" s="219"/>
      <c r="F58" s="220"/>
    </row>
    <row r="59" spans="2:6" ht="14.25">
      <c r="B59" s="221" t="s">
        <v>152</v>
      </c>
      <c r="C59" s="222"/>
      <c r="D59" s="222"/>
      <c r="E59" s="222"/>
      <c r="F59" s="223"/>
    </row>
    <row r="60" spans="2:6" ht="14.25">
      <c r="B60" s="221" t="s">
        <v>144</v>
      </c>
      <c r="C60" s="222"/>
      <c r="D60" s="222"/>
      <c r="E60" s="222"/>
      <c r="F60" s="223"/>
    </row>
    <row r="61" spans="2:6" ht="14.25">
      <c r="B61" s="221" t="s">
        <v>142</v>
      </c>
      <c r="C61" s="222"/>
      <c r="D61" s="222"/>
      <c r="E61" s="222"/>
      <c r="F61" s="223"/>
    </row>
    <row r="62" spans="2:6" ht="14.25">
      <c r="B62" s="221" t="s">
        <v>145</v>
      </c>
      <c r="C62" s="222"/>
      <c r="D62" s="222"/>
      <c r="E62" s="222"/>
      <c r="F62" s="223"/>
    </row>
    <row r="63" spans="2:6" ht="14.25">
      <c r="B63" s="221" t="s">
        <v>146</v>
      </c>
      <c r="C63" s="222"/>
      <c r="D63" s="222"/>
      <c r="E63" s="222"/>
      <c r="F63" s="223"/>
    </row>
    <row r="64" spans="2:6" ht="14.25">
      <c r="B64" s="221" t="s">
        <v>147</v>
      </c>
      <c r="C64" s="222"/>
      <c r="D64" s="222"/>
      <c r="E64" s="222"/>
      <c r="F64" s="223"/>
    </row>
    <row r="65" spans="2:6" ht="15" thickBot="1">
      <c r="B65" s="224" t="s">
        <v>151</v>
      </c>
      <c r="C65" s="225"/>
      <c r="D65" s="225"/>
      <c r="E65" s="225"/>
      <c r="F65" s="226"/>
    </row>
    <row r="66" spans="2:6" ht="15" thickBot="1">
      <c r="B66" s="227"/>
      <c r="C66" s="222"/>
      <c r="D66" s="222"/>
      <c r="E66" s="222"/>
      <c r="F66" s="222"/>
    </row>
    <row r="67" spans="2:6" ht="14.25">
      <c r="B67" s="218" t="s">
        <v>148</v>
      </c>
      <c r="C67" s="219"/>
      <c r="D67" s="219"/>
      <c r="E67" s="219"/>
      <c r="F67" s="220"/>
    </row>
    <row r="68" spans="2:6" ht="14.25">
      <c r="B68" s="221" t="s">
        <v>149</v>
      </c>
      <c r="C68" s="222"/>
      <c r="D68" s="222"/>
      <c r="E68" s="222"/>
      <c r="F68" s="223"/>
    </row>
    <row r="69" spans="2:6" ht="14.25">
      <c r="B69" s="221" t="s">
        <v>150</v>
      </c>
      <c r="C69" s="222"/>
      <c r="D69" s="222"/>
      <c r="E69" s="222"/>
      <c r="F69" s="223"/>
    </row>
    <row r="70" spans="2:6" ht="15" thickBot="1">
      <c r="B70" s="224" t="s">
        <v>151</v>
      </c>
      <c r="C70" s="225"/>
      <c r="D70" s="225"/>
      <c r="E70" s="225"/>
      <c r="F70" s="226"/>
    </row>
    <row r="71" ht="15" thickBot="1"/>
    <row r="72" spans="2:6" ht="14.25">
      <c r="B72" s="218" t="s">
        <v>155</v>
      </c>
      <c r="C72" s="219"/>
      <c r="D72" s="219"/>
      <c r="E72" s="219"/>
      <c r="F72" s="220"/>
    </row>
    <row r="73" spans="2:6" ht="14.25">
      <c r="B73" s="221" t="s">
        <v>153</v>
      </c>
      <c r="C73" s="222"/>
      <c r="D73" s="222"/>
      <c r="E73" s="222"/>
      <c r="F73" s="223"/>
    </row>
    <row r="74" spans="2:6" ht="14.25">
      <c r="B74" s="221" t="s">
        <v>154</v>
      </c>
      <c r="C74" s="222"/>
      <c r="D74" s="222"/>
      <c r="E74" s="222"/>
      <c r="F74" s="223"/>
    </row>
    <row r="75" spans="2:6" ht="14.25">
      <c r="B75" s="221" t="s">
        <v>145</v>
      </c>
      <c r="C75" s="222"/>
      <c r="D75" s="222"/>
      <c r="E75" s="222"/>
      <c r="F75" s="223"/>
    </row>
    <row r="76" spans="2:6" ht="15" thickBot="1">
      <c r="B76" s="224" t="s">
        <v>151</v>
      </c>
      <c r="C76" s="225"/>
      <c r="D76" s="225"/>
      <c r="E76" s="225"/>
      <c r="F76" s="226"/>
    </row>
    <row r="77" ht="15" thickBot="1"/>
    <row r="78" spans="2:6" ht="14.25">
      <c r="B78" s="218" t="s">
        <v>156</v>
      </c>
      <c r="C78" s="219"/>
      <c r="D78" s="219"/>
      <c r="E78" s="219"/>
      <c r="F78" s="220"/>
    </row>
    <row r="79" spans="2:6" ht="14.25">
      <c r="B79" s="221" t="s">
        <v>157</v>
      </c>
      <c r="C79" s="222"/>
      <c r="D79" s="222"/>
      <c r="E79" s="222"/>
      <c r="F79" s="223"/>
    </row>
    <row r="80" spans="2:6" ht="14.25">
      <c r="B80" s="221" t="s">
        <v>149</v>
      </c>
      <c r="C80" s="222"/>
      <c r="D80" s="222"/>
      <c r="E80" s="222"/>
      <c r="F80" s="223"/>
    </row>
    <row r="81" spans="2:6" ht="15" thickBot="1">
      <c r="B81" s="224" t="s">
        <v>151</v>
      </c>
      <c r="C81" s="225"/>
      <c r="D81" s="225"/>
      <c r="E81" s="225"/>
      <c r="F81" s="226"/>
    </row>
  </sheetData>
  <sheetProtection/>
  <mergeCells count="9">
    <mergeCell ref="F28:G28"/>
    <mergeCell ref="B39:H39"/>
    <mergeCell ref="F40:G40"/>
    <mergeCell ref="B1:H1"/>
    <mergeCell ref="B2:H2"/>
    <mergeCell ref="F3:G3"/>
    <mergeCell ref="B15:H15"/>
    <mergeCell ref="F16:G16"/>
    <mergeCell ref="B27:H27"/>
  </mergeCells>
  <pageMargins left="0.25" right="0.25" top="0.75" bottom="0.75" header="0.3" footer="0.3"/>
  <pageSetup orientation="portrait" paperSize="9" scale="5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I72"/>
  <sheetViews>
    <sheetView showGridLines="0" rightToLeft="1" zoomScale="90" zoomScaleNormal="90" workbookViewId="0" topLeftCell="A25">
      <selection pane="topLeft" activeCell="D38" sqref="D38:E40"/>
    </sheetView>
  </sheetViews>
  <sheetFormatPr defaultColWidth="8.85881696428571" defaultRowHeight="14.25"/>
  <cols>
    <col min="1" max="1" width="8.85714285714286" style="17"/>
    <col min="2" max="2" width="48.2857142857143" style="17"/>
    <col min="3" max="3" width="78.2857142857143" style="17"/>
    <col min="4" max="4" width="32.2857142857143" style="17"/>
    <col min="5" max="5" width="34.2857142857143" style="17"/>
    <col min="6" max="6" width="13.8571428571429" style="17" hidden="1"/>
    <col min="7" max="7" width="8.85714285714286" style="17"/>
    <col min="8" max="8" width="10.1428571428571" style="17"/>
    <col min="9" max="16384" width="8.85714285714286" style="17"/>
  </cols>
  <sheetData>
    <row r="1" spans="3:5" ht="32.45" customHeight="1">
      <c r="C1" s="18" t="s">
        <v>24</v>
      </c>
      <c r="D1" s="19"/>
      <c r="E1" s="19"/>
    </row>
    <row r="2" spans="2:5" ht="18">
      <c r="B2" s="280" t="s">
        <v>25</v>
      </c>
      <c r="C2" s="281"/>
      <c r="D2" s="281"/>
      <c r="E2" s="281"/>
    </row>
    <row r="3" spans="2:5" ht="15.75">
      <c r="B3" s="20" t="s">
        <v>26</v>
      </c>
      <c r="C3" s="20" t="s">
        <v>27</v>
      </c>
      <c r="D3" s="21"/>
      <c r="E3" s="22" t="s">
        <v>28</v>
      </c>
    </row>
    <row r="4" spans="2:5" ht="56.25" customHeight="1">
      <c r="B4" s="23"/>
      <c r="C4" s="282" t="s">
        <v>29</v>
      </c>
      <c r="D4" s="24">
        <v>0.38</v>
      </c>
      <c r="E4" s="25" t="s">
        <v>9</v>
      </c>
    </row>
    <row r="5" spans="2:5" ht="31.5" customHeight="1">
      <c r="B5" s="26" t="s">
        <v>160</v>
      </c>
      <c r="C5" s="279"/>
      <c r="D5" s="24">
        <v>0.21</v>
      </c>
      <c r="E5" s="25" t="s">
        <v>30</v>
      </c>
    </row>
    <row r="6" spans="2:5" ht="15">
      <c r="B6" s="26"/>
      <c r="C6" s="279"/>
      <c r="D6" s="24">
        <v>0.12</v>
      </c>
      <c r="E6" s="25" t="s">
        <v>31</v>
      </c>
    </row>
    <row r="7" spans="2:5" ht="15">
      <c r="B7" s="26"/>
      <c r="C7" s="279"/>
      <c r="D7" s="24">
        <v>0.08</v>
      </c>
      <c r="E7" s="25" t="s">
        <v>32</v>
      </c>
    </row>
    <row r="8" spans="2:5" ht="15">
      <c r="B8" s="26"/>
      <c r="C8" s="279"/>
      <c r="D8" s="24">
        <v>0.08</v>
      </c>
      <c r="E8" s="25" t="s">
        <v>34</v>
      </c>
    </row>
    <row r="9" spans="2:7" ht="15">
      <c r="B9" s="26"/>
      <c r="C9" s="279"/>
      <c r="D9" s="24">
        <v>0.08</v>
      </c>
      <c r="E9" s="25" t="s">
        <v>35</v>
      </c>
      <c r="G9" s="27"/>
    </row>
    <row r="10" spans="2:5" ht="15">
      <c r="B10" s="26"/>
      <c r="C10" s="279"/>
      <c r="D10" s="28">
        <v>0.05</v>
      </c>
      <c r="E10" s="29" t="s">
        <v>36</v>
      </c>
    </row>
    <row r="11" spans="2:5" ht="6" customHeight="1" thickBot="1">
      <c r="B11" s="30"/>
      <c r="C11" s="283"/>
      <c r="D11" s="31"/>
      <c r="E11" s="32"/>
    </row>
    <row r="12" spans="2:5" ht="45.75" thickTop="1">
      <c r="B12" s="26"/>
      <c r="C12" s="26" t="s">
        <v>37</v>
      </c>
      <c r="D12" s="33">
        <v>0.23</v>
      </c>
      <c r="E12" s="34" t="s">
        <v>9</v>
      </c>
    </row>
    <row r="13" spans="2:5" ht="45">
      <c r="B13" s="26" t="s">
        <v>162</v>
      </c>
      <c r="C13" s="26" t="s">
        <v>38</v>
      </c>
      <c r="D13" s="33">
        <v>0.20</v>
      </c>
      <c r="E13" s="35" t="s">
        <v>30</v>
      </c>
    </row>
    <row r="14" spans="2:5" ht="45">
      <c r="B14" s="26"/>
      <c r="C14" s="26" t="s">
        <v>40</v>
      </c>
      <c r="D14" s="33">
        <v>0.11</v>
      </c>
      <c r="E14" s="35" t="s">
        <v>31</v>
      </c>
    </row>
    <row r="15" spans="2:5" ht="16.9" customHeight="1">
      <c r="B15" s="26"/>
      <c r="C15" s="26" t="s">
        <v>41</v>
      </c>
      <c r="D15" s="33">
        <v>0.08</v>
      </c>
      <c r="E15" s="25" t="s">
        <v>32</v>
      </c>
    </row>
    <row r="16" spans="2:5" ht="16.9" customHeight="1">
      <c r="B16" s="26"/>
      <c r="C16" s="26"/>
      <c r="D16" s="33">
        <v>0.08</v>
      </c>
      <c r="E16" s="25" t="s">
        <v>34</v>
      </c>
    </row>
    <row r="17" spans="2:5" ht="16.9" customHeight="1">
      <c r="B17" s="26"/>
      <c r="C17" s="26"/>
      <c r="D17" s="33">
        <v>0.08</v>
      </c>
      <c r="E17" s="25" t="s">
        <v>35</v>
      </c>
    </row>
    <row r="18" spans="2:5" ht="16.9" customHeight="1">
      <c r="B18" s="26"/>
      <c r="C18" s="26"/>
      <c r="D18" s="33">
        <v>0.08</v>
      </c>
      <c r="E18" s="36" t="s">
        <v>42</v>
      </c>
    </row>
    <row r="19" spans="2:5" ht="16.9" customHeight="1">
      <c r="B19" s="26"/>
      <c r="C19" s="26"/>
      <c r="D19" s="33">
        <v>0.12</v>
      </c>
      <c r="E19" s="36" t="s">
        <v>39</v>
      </c>
    </row>
    <row r="20" spans="2:5" ht="15">
      <c r="B20" s="26"/>
      <c r="C20" s="26"/>
      <c r="D20" s="37">
        <v>0.02</v>
      </c>
      <c r="E20" s="38" t="s">
        <v>36</v>
      </c>
    </row>
    <row r="21" spans="2:5" ht="9" customHeight="1" thickBot="1">
      <c r="B21" s="30"/>
      <c r="C21" s="30"/>
      <c r="D21" s="39"/>
      <c r="E21" s="32"/>
    </row>
    <row r="22" spans="2:5" ht="16.5" customHeight="1" thickTop="1">
      <c r="B22" s="278" t="s">
        <v>164</v>
      </c>
      <c r="C22" s="26" t="s">
        <v>43</v>
      </c>
      <c r="D22" s="33">
        <v>0.23</v>
      </c>
      <c r="E22" s="36" t="s">
        <v>42</v>
      </c>
    </row>
    <row r="23" spans="2:5" ht="21.75" customHeight="1">
      <c r="B23" s="279"/>
      <c r="C23" s="26" t="s">
        <v>44</v>
      </c>
      <c r="D23" s="33">
        <v>0.17</v>
      </c>
      <c r="E23" s="36" t="s">
        <v>39</v>
      </c>
    </row>
    <row r="24" spans="2:5" ht="18.75" customHeight="1">
      <c r="B24" s="279"/>
      <c r="C24" s="26" t="s">
        <v>45</v>
      </c>
      <c r="D24" s="33">
        <v>0.32</v>
      </c>
      <c r="E24" s="34" t="s">
        <v>9</v>
      </c>
    </row>
    <row r="25" spans="2:5" ht="18.75" customHeight="1">
      <c r="B25" s="279"/>
      <c r="C25" s="26" t="s">
        <v>46</v>
      </c>
      <c r="D25" s="33">
        <v>0.14000000000000001</v>
      </c>
      <c r="E25" s="34" t="s">
        <v>47</v>
      </c>
    </row>
    <row r="26" spans="2:5" ht="15" customHeight="1">
      <c r="B26" s="279"/>
      <c r="C26" s="26" t="s">
        <v>49</v>
      </c>
      <c r="D26" s="33">
        <v>0.08</v>
      </c>
      <c r="E26" s="25" t="s">
        <v>48</v>
      </c>
    </row>
    <row r="27" spans="2:5" ht="15" customHeight="1" thickBot="1">
      <c r="B27" s="283"/>
      <c r="C27" s="30"/>
      <c r="D27" s="39">
        <v>0.06</v>
      </c>
      <c r="E27" s="32" t="s">
        <v>50</v>
      </c>
    </row>
    <row r="28" spans="2:5" ht="16.5" customHeight="1" thickTop="1">
      <c r="B28" s="278" t="s">
        <v>166</v>
      </c>
      <c r="C28" s="278" t="s">
        <v>51</v>
      </c>
      <c r="D28" s="33">
        <v>0.20</v>
      </c>
      <c r="E28" s="36" t="s">
        <v>52</v>
      </c>
    </row>
    <row r="29" spans="2:5" ht="21.75" customHeight="1">
      <c r="B29" s="279"/>
      <c r="C29" s="279"/>
      <c r="D29" s="33">
        <v>0.25</v>
      </c>
      <c r="E29" s="36" t="s">
        <v>53</v>
      </c>
    </row>
    <row r="30" spans="2:5" ht="18.75" customHeight="1">
      <c r="B30" s="279"/>
      <c r="C30" s="279"/>
      <c r="D30" s="33">
        <v>0.35</v>
      </c>
      <c r="E30" s="34" t="s">
        <v>54</v>
      </c>
    </row>
    <row r="31" spans="2:5" ht="18.75" customHeight="1" thickBot="1">
      <c r="B31" s="279"/>
      <c r="C31" s="279"/>
      <c r="D31" s="39">
        <v>0.20</v>
      </c>
      <c r="E31" s="32" t="s">
        <v>55</v>
      </c>
    </row>
    <row r="32" spans="2:5" ht="16.5" customHeight="1" thickTop="1">
      <c r="B32" s="278" t="s">
        <v>167</v>
      </c>
      <c r="C32" s="278" t="s">
        <v>56</v>
      </c>
      <c r="D32" s="33">
        <v>0.56000000000000005</v>
      </c>
      <c r="E32" s="36" t="s">
        <v>57</v>
      </c>
    </row>
    <row r="33" spans="2:5" ht="21.75" customHeight="1">
      <c r="B33" s="279"/>
      <c r="C33" s="279"/>
      <c r="D33" s="33">
        <v>0.20</v>
      </c>
      <c r="E33" s="36" t="s">
        <v>58</v>
      </c>
    </row>
    <row r="34" spans="2:5" ht="18.75" customHeight="1">
      <c r="B34" s="279"/>
      <c r="C34" s="279"/>
      <c r="D34" s="33">
        <v>0.10</v>
      </c>
      <c r="E34" s="34" t="s">
        <v>59</v>
      </c>
    </row>
    <row r="35" spans="2:5" ht="18.75" customHeight="1" thickBot="1">
      <c r="B35" s="279"/>
      <c r="C35" s="279"/>
      <c r="D35" s="33">
        <v>0.14000000000000001</v>
      </c>
      <c r="E35" s="34" t="s">
        <v>60</v>
      </c>
    </row>
    <row r="36" spans="2:5" ht="64.15" customHeight="1" thickTop="1" thickBot="1">
      <c r="B36" s="41" t="s">
        <v>170</v>
      </c>
      <c r="C36" s="41" t="s">
        <v>61</v>
      </c>
      <c r="D36" s="42" t="s">
        <v>62</v>
      </c>
      <c r="E36" s="43"/>
    </row>
    <row r="37" spans="2:6" ht="46.5" thickTop="1" thickBot="1">
      <c r="B37" s="41" t="s">
        <v>63</v>
      </c>
      <c r="C37" s="41" t="s">
        <v>136</v>
      </c>
      <c r="D37" s="39">
        <v>1</v>
      </c>
      <c r="E37" s="32" t="s">
        <v>57</v>
      </c>
      <c r="F37" s="44"/>
    </row>
    <row r="38" spans="2:6" ht="15.75" thickTop="1">
      <c r="B38" s="45"/>
      <c r="C38" s="45"/>
      <c r="D38" s="33">
        <v>0.24</v>
      </c>
      <c r="E38" s="36" t="s">
        <v>57</v>
      </c>
      <c r="F38" s="44"/>
    </row>
    <row r="39" spans="2:6" ht="15">
      <c r="B39" s="45"/>
      <c r="C39" s="45"/>
      <c r="D39" s="33">
        <v>0.16</v>
      </c>
      <c r="E39" s="36" t="s">
        <v>230</v>
      </c>
      <c r="F39" s="44"/>
    </row>
    <row r="40" spans="2:6" ht="28.5" customHeight="1" thickBot="1">
      <c r="B40" s="30" t="s">
        <v>228</v>
      </c>
      <c r="C40" s="30" t="s">
        <v>64</v>
      </c>
      <c r="D40" s="33">
        <v>0.60</v>
      </c>
      <c r="E40" s="36" t="s">
        <v>65</v>
      </c>
      <c r="F40" s="44"/>
    </row>
    <row r="41" spans="2:9" ht="28.5" customHeight="1" thickTop="1">
      <c r="B41" s="26"/>
      <c r="C41" s="26"/>
      <c r="D41" s="33">
        <v>0.05</v>
      </c>
      <c r="E41" s="34" t="s">
        <v>52</v>
      </c>
      <c r="F41" s="44"/>
      <c r="G41" s="46"/>
      <c r="H41" s="46"/>
      <c r="I41" s="46"/>
    </row>
    <row r="42" spans="2:9" ht="15">
      <c r="B42" s="26"/>
      <c r="C42" s="26"/>
      <c r="D42" s="33">
        <v>0.10</v>
      </c>
      <c r="E42" s="35" t="s">
        <v>53</v>
      </c>
      <c r="F42" s="44"/>
      <c r="I42" s="47"/>
    </row>
    <row r="43" spans="2:9" ht="15">
      <c r="B43" s="26"/>
      <c r="C43" s="26"/>
      <c r="D43" s="33">
        <v>0.06</v>
      </c>
      <c r="E43" s="35" t="s">
        <v>54</v>
      </c>
      <c r="F43" s="44"/>
      <c r="I43" s="48"/>
    </row>
    <row r="44" spans="2:9" ht="72" customHeight="1">
      <c r="B44" s="26" t="s">
        <v>172</v>
      </c>
      <c r="C44" s="26" t="s">
        <v>66</v>
      </c>
      <c r="D44" s="33">
        <v>0.02</v>
      </c>
      <c r="E44" s="25" t="s">
        <v>55</v>
      </c>
      <c r="F44" s="44"/>
      <c r="I44" s="48"/>
    </row>
    <row r="45" spans="2:5" ht="16.9" customHeight="1">
      <c r="B45" s="26"/>
      <c r="C45" s="26"/>
      <c r="D45" s="33">
        <v>0.067199999999999996</v>
      </c>
      <c r="E45" s="25" t="s">
        <v>34</v>
      </c>
    </row>
    <row r="46" spans="2:6" ht="16.9" customHeight="1">
      <c r="B46" s="26"/>
      <c r="C46" s="26"/>
      <c r="D46" s="33">
        <v>0.038399999999999997</v>
      </c>
      <c r="E46" s="25" t="s">
        <v>67</v>
      </c>
      <c r="F46" s="49"/>
    </row>
    <row r="47" spans="2:6" ht="16.9" customHeight="1">
      <c r="B47" s="26"/>
      <c r="C47" s="26"/>
      <c r="D47" s="33">
        <v>0.024</v>
      </c>
      <c r="E47" s="25" t="s">
        <v>68</v>
      </c>
      <c r="F47" s="49"/>
    </row>
    <row r="48" spans="2:6" ht="16.9" customHeight="1">
      <c r="B48" s="26"/>
      <c r="C48" s="26"/>
      <c r="D48" s="33">
        <v>0.0095999999999999992</v>
      </c>
      <c r="E48" s="25" t="s">
        <v>69</v>
      </c>
      <c r="F48" s="49"/>
    </row>
    <row r="49" spans="2:6" ht="16.9" customHeight="1">
      <c r="B49" s="26"/>
      <c r="C49" s="26"/>
      <c r="D49" s="33">
        <v>0.020800000000000003</v>
      </c>
      <c r="E49" s="25" t="s">
        <v>33</v>
      </c>
      <c r="F49" s="49"/>
    </row>
    <row r="50" spans="2:6" ht="16.9" customHeight="1">
      <c r="B50" s="26"/>
      <c r="C50" s="26"/>
      <c r="D50" s="33">
        <v>0.17550000000000002</v>
      </c>
      <c r="E50" s="25" t="s">
        <v>70</v>
      </c>
      <c r="F50" s="49"/>
    </row>
    <row r="51" spans="2:6" ht="16.9" customHeight="1">
      <c r="B51" s="26"/>
      <c r="C51" s="26"/>
      <c r="D51" s="33">
        <v>0.13649999999999998</v>
      </c>
      <c r="E51" s="25" t="s">
        <v>71</v>
      </c>
      <c r="F51" s="49"/>
    </row>
    <row r="52" spans="2:6" ht="16.9" customHeight="1">
      <c r="B52" s="26"/>
      <c r="C52" s="26"/>
      <c r="D52" s="33">
        <v>0.058499999999999996</v>
      </c>
      <c r="E52" s="25" t="s">
        <v>72</v>
      </c>
      <c r="F52" s="49"/>
    </row>
    <row r="53" spans="2:6" ht="16.9" customHeight="1">
      <c r="B53" s="26"/>
      <c r="C53" s="26"/>
      <c r="D53" s="33">
        <v>0.019500000000000003</v>
      </c>
      <c r="E53" s="25" t="s">
        <v>73</v>
      </c>
      <c r="F53" s="49"/>
    </row>
    <row r="54" spans="2:6" ht="16.9" customHeight="1">
      <c r="B54" s="26"/>
      <c r="C54" s="26"/>
      <c r="D54" s="33">
        <v>0.06720000000000001</v>
      </c>
      <c r="E54" s="25" t="s">
        <v>57</v>
      </c>
      <c r="F54" s="49"/>
    </row>
    <row r="55" spans="2:6" ht="16.9" customHeight="1">
      <c r="B55" s="26"/>
      <c r="C55" s="26"/>
      <c r="D55" s="33">
        <v>0.024</v>
      </c>
      <c r="E55" s="25" t="s">
        <v>58</v>
      </c>
      <c r="F55" s="49"/>
    </row>
    <row r="56" spans="2:6" ht="16.9" customHeight="1">
      <c r="B56" s="26"/>
      <c r="C56" s="26"/>
      <c r="D56" s="33">
        <v>0.016800000000000002</v>
      </c>
      <c r="E56" s="25" t="s">
        <v>60</v>
      </c>
      <c r="F56" s="49"/>
    </row>
    <row r="57" spans="2:5" ht="15.75" customHeight="1">
      <c r="B57" s="26"/>
      <c r="C57" s="26"/>
      <c r="D57" s="33">
        <v>0.012</v>
      </c>
      <c r="E57" s="25" t="s">
        <v>59</v>
      </c>
    </row>
    <row r="58" spans="2:5" ht="15.75" customHeight="1">
      <c r="B58" s="26"/>
      <c r="C58" s="26"/>
      <c r="D58" s="33">
        <v>0.070000000000000007</v>
      </c>
      <c r="E58" s="25" t="s">
        <v>42</v>
      </c>
    </row>
    <row r="59" spans="2:5" ht="16.5" customHeight="1">
      <c r="B59" s="26"/>
      <c r="C59" s="26"/>
      <c r="D59" s="33">
        <v>0.005</v>
      </c>
      <c r="E59" s="36" t="s">
        <v>74</v>
      </c>
    </row>
    <row r="60" spans="2:5" ht="16.9" customHeight="1">
      <c r="B60" s="26"/>
      <c r="C60" s="26"/>
      <c r="D60" s="33">
        <v>0.005</v>
      </c>
      <c r="E60" s="36" t="s">
        <v>75</v>
      </c>
    </row>
    <row r="61" spans="2:5" ht="15">
      <c r="B61" s="26"/>
      <c r="C61" s="26"/>
      <c r="D61" s="37">
        <v>0.02</v>
      </c>
      <c r="E61" s="38" t="s">
        <v>36</v>
      </c>
    </row>
    <row r="62" spans="2:5" ht="9" customHeight="1" thickBot="1">
      <c r="B62" s="30"/>
      <c r="C62" s="30"/>
      <c r="D62" s="39"/>
      <c r="E62" s="32"/>
    </row>
    <row r="63" ht="15" thickTop="1"/>
    <row r="64" spans="2:2" ht="14.25">
      <c r="B64" s="50" t="s">
        <v>76</v>
      </c>
    </row>
    <row r="65" spans="2:2" ht="14.25">
      <c r="B65" s="227" t="s">
        <v>161</v>
      </c>
    </row>
    <row r="66" spans="2:2" ht="14.25">
      <c r="B66" s="227" t="s">
        <v>163</v>
      </c>
    </row>
    <row r="67" spans="2:2" ht="14.25">
      <c r="B67" s="227" t="s">
        <v>165</v>
      </c>
    </row>
    <row r="68" spans="2:2" ht="14.25">
      <c r="B68" s="227" t="s">
        <v>169</v>
      </c>
    </row>
    <row r="69" spans="2:2" ht="14.25">
      <c r="B69" s="227" t="s">
        <v>168</v>
      </c>
    </row>
    <row r="70" spans="2:2" ht="14.25">
      <c r="B70" s="227" t="s">
        <v>171</v>
      </c>
    </row>
    <row r="71" spans="2:2" ht="14.25">
      <c r="B71" s="227" t="s">
        <v>173</v>
      </c>
    </row>
    <row r="72" spans="2:2" ht="14.25">
      <c r="B72" s="227" t="s">
        <v>229</v>
      </c>
    </row>
  </sheetData>
  <sheetProtection/>
  <mergeCells count="7">
    <mergeCell ref="B32:B35"/>
    <mergeCell ref="C32:C35"/>
    <mergeCell ref="B2:E2"/>
    <mergeCell ref="C4:C11"/>
    <mergeCell ref="B22:B27"/>
    <mergeCell ref="B28:B31"/>
    <mergeCell ref="C28:C31"/>
  </mergeCells>
  <pageMargins left="0.708661417322835" right="0.708661417322835" top="0.748031496062992" bottom="0.748031496062992" header="0.31496062992126" footer="0.31496062992126"/>
  <pageSetup orientation="landscape" paperSize="9" scale="53"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H26"/>
  <sheetViews>
    <sheetView showGridLines="0" rightToLeft="1" zoomScaleSheetLayoutView="100" workbookViewId="0" topLeftCell="A4">
      <selection pane="topLeft" activeCell="C3" sqref="C3"/>
    </sheetView>
  </sheetViews>
  <sheetFormatPr defaultRowHeight="14.25"/>
  <cols>
    <col min="1" max="1" width="9.14285714285714" style="17"/>
    <col min="2" max="2" width="44.2857142857143" style="17"/>
    <col min="3" max="4" width="12.2857142857143" style="17"/>
    <col min="5" max="5" width="10.2857142857143" style="17"/>
    <col min="6" max="7" width="9.28571428571429" style="17"/>
    <col min="8" max="8" width="35.4285714285714" style="17"/>
    <col min="9" max="16384" width="9.14285714285714" style="17"/>
  </cols>
  <sheetData>
    <row r="1" spans="2:8" ht="27.6" customHeight="1">
      <c r="B1" s="284" t="str">
        <f>'גמל תלוי גיל'!B1:H1</f>
        <v>מדיניות השקעה צפויה לשנת 2021</v>
      </c>
      <c r="C1" s="284"/>
      <c r="D1" s="285"/>
      <c r="E1" s="285"/>
      <c r="F1" s="285"/>
      <c r="G1" s="285"/>
      <c r="H1" s="285"/>
    </row>
    <row r="2" spans="2:8" ht="30" customHeight="1">
      <c r="B2" s="281" t="s">
        <v>77</v>
      </c>
      <c r="C2" s="281"/>
      <c r="D2" s="281"/>
      <c r="E2" s="281"/>
      <c r="F2" s="281"/>
      <c r="G2" s="281"/>
      <c r="H2" s="281"/>
    </row>
    <row r="3" spans="2:8" ht="60" customHeight="1">
      <c r="B3" s="51" t="s">
        <v>1</v>
      </c>
      <c r="C3" s="51" t="str">
        <f>'גמל תלוי גיל'!C3</f>
        <v>שיעור חשיפה נכון 24.11.2020</v>
      </c>
      <c r="D3" s="51" t="str">
        <f>'גמל תלוי גיל'!D3</f>
        <v>שיעור חשיפה צפוי לשנת 2021***</v>
      </c>
      <c r="E3" s="51" t="s">
        <v>3</v>
      </c>
      <c r="F3" s="286" t="s">
        <v>4</v>
      </c>
      <c r="G3" s="287"/>
      <c r="H3" s="52" t="s">
        <v>5</v>
      </c>
    </row>
    <row r="4" spans="2:8" ht="27.6" customHeight="1">
      <c r="B4" s="53" t="s">
        <v>6</v>
      </c>
      <c r="C4" s="7">
        <v>0.40799999999999997</v>
      </c>
      <c r="D4" s="7">
        <v>0.40</v>
      </c>
      <c r="E4" s="7">
        <v>0.06</v>
      </c>
      <c r="F4" s="7">
        <f t="shared" si="0" ref="F4:F11">IF(D4-E4&gt;0,D4-E4,0)</f>
        <v>0.34000000000000002</v>
      </c>
      <c r="G4" s="7">
        <f t="shared" si="1" ref="G4:G11">D4+E4</f>
        <v>0.46000000000000002</v>
      </c>
      <c r="H4" s="54" t="s">
        <v>7</v>
      </c>
    </row>
    <row r="5" spans="2:8" ht="44.25" customHeight="1">
      <c r="B5" s="9" t="s">
        <v>8</v>
      </c>
      <c r="C5" s="7">
        <v>0.16600000000000001</v>
      </c>
      <c r="D5" s="7">
        <v>0.18</v>
      </c>
      <c r="E5" s="7">
        <v>0.05</v>
      </c>
      <c r="F5" s="7">
        <f>IF(D5-E5&gt;0,D5-E5,0)</f>
        <v>0.13</v>
      </c>
      <c r="G5" s="7">
        <f>D5+E5</f>
        <v>0.22999999999999998</v>
      </c>
      <c r="H5" s="54" t="s">
        <v>9</v>
      </c>
    </row>
    <row r="6" spans="2:8" ht="73.5" customHeight="1">
      <c r="B6" s="53" t="s">
        <v>10</v>
      </c>
      <c r="C6" s="7">
        <v>0.32300000000000001</v>
      </c>
      <c r="D6" s="7">
        <v>0.31</v>
      </c>
      <c r="E6" s="7">
        <v>0.06</v>
      </c>
      <c r="F6" s="7">
        <f>IF(D6-E6&gt;0,D6-E6,0)</f>
        <v>0.25</v>
      </c>
      <c r="G6" s="7">
        <f>D6+E6</f>
        <v>0.37</v>
      </c>
      <c r="H6" s="15" t="s">
        <v>11</v>
      </c>
    </row>
    <row r="7" spans="2:8" ht="18.6" customHeight="1">
      <c r="B7" s="53" t="s">
        <v>12</v>
      </c>
      <c r="C7" s="7">
        <v>0.045999999999999999</v>
      </c>
      <c r="D7" s="7">
        <v>0.02</v>
      </c>
      <c r="E7" s="7">
        <v>0.05</v>
      </c>
      <c r="F7" s="7">
        <f>IF(D7-E7&gt;0,D7-E7,0)</f>
        <v>0</v>
      </c>
      <c r="G7" s="7">
        <f>D7+E7</f>
        <v>0.070000000000000007</v>
      </c>
      <c r="H7" s="54"/>
    </row>
    <row r="8" spans="2:8" ht="20.25" customHeight="1">
      <c r="B8" s="53" t="s">
        <v>19</v>
      </c>
      <c r="C8" s="7">
        <v>0.078</v>
      </c>
      <c r="D8" s="7">
        <v>0.070000000000000007</v>
      </c>
      <c r="E8" s="7">
        <v>0.05</v>
      </c>
      <c r="F8" s="7">
        <f>IF(D8-E8&gt;0,D8-E8,0)</f>
        <v>0.020000000000000004</v>
      </c>
      <c r="G8" s="7">
        <f>D8+E8</f>
        <v>0.12000000000000001</v>
      </c>
      <c r="H8" s="54"/>
    </row>
    <row r="9" spans="2:8" ht="18.6" customHeight="1">
      <c r="B9" s="53" t="s">
        <v>15</v>
      </c>
      <c r="C9" s="7">
        <v>0.03</v>
      </c>
      <c r="D9" s="7">
        <v>0.02</v>
      </c>
      <c r="E9" s="7"/>
      <c r="F9" s="7"/>
      <c r="G9" s="7"/>
      <c r="H9" s="54"/>
    </row>
    <row r="10" spans="2:8" ht="18.6" customHeight="1">
      <c r="B10" s="53" t="s">
        <v>16</v>
      </c>
      <c r="C10" s="7">
        <f>SUM(C4:C9)</f>
        <v>1.0510000000000002</v>
      </c>
      <c r="D10" s="7">
        <f>SUM(D4:D9)</f>
        <v>1.0000000000000002</v>
      </c>
      <c r="E10" s="7"/>
      <c r="F10" s="7"/>
      <c r="G10" s="7"/>
      <c r="H10" s="54"/>
    </row>
    <row r="11" spans="2:8" ht="18.6" customHeight="1">
      <c r="B11" s="53" t="s">
        <v>17</v>
      </c>
      <c r="C11" s="7">
        <v>0.23300000000000001</v>
      </c>
      <c r="D11" s="7">
        <v>0.21</v>
      </c>
      <c r="E11" s="11">
        <v>0.06</v>
      </c>
      <c r="F11" s="7">
        <f>IF(D11-E11&gt;0,D11-E11,0)</f>
        <v>0.14999999999999999</v>
      </c>
      <c r="G11" s="7">
        <f>D11+E11</f>
        <v>0.27000000000000002</v>
      </c>
      <c r="H11" s="54"/>
    </row>
    <row r="12" spans="2:3" ht="15.75" customHeight="1">
      <c r="B12" s="55"/>
      <c r="C12" s="55"/>
    </row>
    <row r="13" spans="2:8" ht="15" thickBot="1">
      <c r="B13" s="16" t="s">
        <v>22</v>
      </c>
      <c r="C13" s="16"/>
      <c r="D13" s="16"/>
      <c r="E13" s="16"/>
      <c r="F13" s="16"/>
      <c r="G13" s="16"/>
      <c r="H13" s="16"/>
    </row>
    <row r="14" spans="2:8" s="1" customFormat="1" ht="14.25">
      <c r="B14" s="228" t="s">
        <v>23</v>
      </c>
      <c r="C14" s="229"/>
      <c r="D14" s="229"/>
      <c r="E14" s="229"/>
      <c r="F14" s="229"/>
      <c r="G14" s="229"/>
      <c r="H14" s="230"/>
    </row>
    <row r="15" spans="2:8" s="1" customFormat="1" ht="14.25">
      <c r="B15" s="221" t="s">
        <v>158</v>
      </c>
      <c r="C15" s="231"/>
      <c r="D15" s="231"/>
      <c r="E15" s="231"/>
      <c r="F15" s="231"/>
      <c r="G15" s="231"/>
      <c r="H15" s="232"/>
    </row>
    <row r="16" spans="2:8" s="1" customFormat="1" ht="14.25">
      <c r="B16" s="221" t="s">
        <v>181</v>
      </c>
      <c r="C16" s="231"/>
      <c r="D16" s="231"/>
      <c r="E16" s="231"/>
      <c r="F16" s="231"/>
      <c r="G16" s="231"/>
      <c r="H16" s="232"/>
    </row>
    <row r="17" spans="2:8" s="1" customFormat="1" ht="14.25">
      <c r="B17" s="221" t="s">
        <v>159</v>
      </c>
      <c r="C17" s="231"/>
      <c r="D17" s="16"/>
      <c r="E17" s="231"/>
      <c r="F17" s="16"/>
      <c r="G17" s="231"/>
      <c r="H17" s="233"/>
    </row>
    <row r="18" spans="2:8" s="1" customFormat="1" ht="15" thickBot="1">
      <c r="B18" s="224" t="s">
        <v>179</v>
      </c>
      <c r="C18" s="234"/>
      <c r="D18" s="234"/>
      <c r="E18" s="234"/>
      <c r="F18" s="234"/>
      <c r="G18" s="234"/>
      <c r="H18" s="235"/>
    </row>
    <row r="19" spans="2:2" ht="15" thickBot="1">
      <c r="B19" s="16"/>
    </row>
    <row r="20" spans="2:5" ht="14.25">
      <c r="B20" s="218" t="s">
        <v>143</v>
      </c>
      <c r="C20" s="237"/>
      <c r="D20" s="237"/>
      <c r="E20" s="238"/>
    </row>
    <row r="21" spans="2:5" ht="14.25">
      <c r="B21" s="221" t="s">
        <v>174</v>
      </c>
      <c r="C21" s="239"/>
      <c r="D21" s="239"/>
      <c r="E21" s="240"/>
    </row>
    <row r="22" spans="2:5" ht="14.25">
      <c r="B22" s="221" t="s">
        <v>175</v>
      </c>
      <c r="C22" s="239"/>
      <c r="D22" s="239"/>
      <c r="E22" s="240"/>
    </row>
    <row r="23" spans="2:5" ht="14.25">
      <c r="B23" s="221" t="s">
        <v>176</v>
      </c>
      <c r="C23" s="239"/>
      <c r="D23" s="239"/>
      <c r="E23" s="240"/>
    </row>
    <row r="24" spans="2:5" ht="14.25">
      <c r="B24" s="221" t="s">
        <v>177</v>
      </c>
      <c r="C24" s="239"/>
      <c r="D24" s="239"/>
      <c r="E24" s="240"/>
    </row>
    <row r="25" spans="2:5" ht="14.25">
      <c r="B25" s="221" t="s">
        <v>178</v>
      </c>
      <c r="C25" s="239"/>
      <c r="D25" s="239"/>
      <c r="E25" s="240"/>
    </row>
    <row r="26" spans="2:5" ht="15" thickBot="1">
      <c r="B26" s="224" t="s">
        <v>151</v>
      </c>
      <c r="C26" s="241"/>
      <c r="D26" s="241"/>
      <c r="E26" s="242"/>
    </row>
  </sheetData>
  <sheetProtection/>
  <mergeCells count="3">
    <mergeCell ref="B1:H1"/>
    <mergeCell ref="B2:H2"/>
    <mergeCell ref="F3:G3"/>
  </mergeCells>
  <pageMargins left="0.25" right="0.25" top="0.75" bottom="0.75" header="0.3" footer="0.3"/>
  <pageSetup fitToHeight="0" orientation="landscape" paperSize="9" scale="76"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2:I43"/>
  <sheetViews>
    <sheetView showGridLines="0" rightToLeft="1" zoomScale="80" zoomScaleNormal="80" zoomScaleSheetLayoutView="100" workbookViewId="0" topLeftCell="A7">
      <selection pane="topLeft" activeCell="E50" sqref="E50"/>
    </sheetView>
  </sheetViews>
  <sheetFormatPr defaultRowHeight="14.25"/>
  <cols>
    <col min="1" max="1" width="9.14285714285714" style="17"/>
    <col min="2" max="2" width="45" style="17"/>
    <col min="3" max="3" width="12.8571428571429" style="17"/>
    <col min="4" max="4" width="12.2857142857143" style="17"/>
    <col min="5" max="5" width="11.5714285714286" style="17"/>
    <col min="6" max="7" width="9.28571428571429" style="17"/>
    <col min="8" max="8" width="12.4285714285714" style="17"/>
    <col min="9" max="9" width="34" style="17" bestFit="1"/>
    <col min="10" max="11" width="9.14285714285714" style="17"/>
    <col min="12" max="12" width="48.2857142857143" style="17"/>
    <col min="13" max="16384" width="9.14285714285714" style="17"/>
  </cols>
  <sheetData>
    <row r="2" spans="2:9" ht="18">
      <c r="B2" s="288" t="str">
        <f>'גמל תלוי גיל'!B1:H1</f>
        <v>מדיניות השקעה צפויה לשנת 2021</v>
      </c>
      <c r="C2" s="288"/>
      <c r="D2" s="288"/>
      <c r="E2" s="288"/>
      <c r="F2" s="288"/>
      <c r="G2" s="288"/>
      <c r="H2" s="288"/>
      <c r="I2" s="288"/>
    </row>
    <row r="3" spans="2:9" ht="41.45" customHeight="1">
      <c r="B3" s="289" t="s">
        <v>78</v>
      </c>
      <c r="C3" s="290"/>
      <c r="D3" s="290"/>
      <c r="E3" s="290"/>
      <c r="F3" s="290"/>
      <c r="G3" s="290"/>
      <c r="H3" s="290"/>
      <c r="I3" s="290"/>
    </row>
    <row r="4" spans="2:9" ht="60">
      <c r="B4" s="56" t="s">
        <v>1</v>
      </c>
      <c r="C4" s="3" t="str">
        <f>'גמל תלוי גיל'!C3</f>
        <v>שיעור חשיפה נכון 24.11.2020</v>
      </c>
      <c r="D4" s="3" t="str">
        <f>'גמל תלוי גיל'!D3</f>
        <v>שיעור חשיפה צפוי לשנת 2021***</v>
      </c>
      <c r="E4" s="3" t="str">
        <f>'גמל תלוי גיל'!E3</f>
        <v>טווח סטייה %-/+</v>
      </c>
      <c r="F4" s="291" t="s">
        <v>4</v>
      </c>
      <c r="G4" s="292"/>
      <c r="H4" s="291" t="s">
        <v>79</v>
      </c>
      <c r="I4" s="293"/>
    </row>
    <row r="5" spans="2:9" ht="29.25" customHeight="1">
      <c r="B5" s="57"/>
      <c r="C5" s="58"/>
      <c r="D5" s="58"/>
      <c r="E5" s="59"/>
      <c r="F5" s="59"/>
      <c r="G5" s="59"/>
      <c r="H5" s="260">
        <v>0.32</v>
      </c>
      <c r="I5" s="261" t="s">
        <v>57</v>
      </c>
    </row>
    <row r="6" spans="2:9" ht="29.25" customHeight="1">
      <c r="B6" s="57"/>
      <c r="C6" s="61"/>
      <c r="D6" s="61"/>
      <c r="E6" s="62"/>
      <c r="F6" s="62"/>
      <c r="G6" s="62"/>
      <c r="H6" s="260">
        <v>0.12</v>
      </c>
      <c r="I6" s="261" t="s">
        <v>58</v>
      </c>
    </row>
    <row r="7" spans="2:9" ht="22.5" customHeight="1">
      <c r="B7" s="57" t="s">
        <v>80</v>
      </c>
      <c r="C7" s="60">
        <v>0.36199999999999999</v>
      </c>
      <c r="D7" s="60">
        <v>0.47</v>
      </c>
      <c r="E7" s="60">
        <v>0.06</v>
      </c>
      <c r="F7" s="60">
        <f>D7-E7</f>
        <v>0.40999999999999998</v>
      </c>
      <c r="G7" s="60">
        <f>D7+E7</f>
        <v>0.53000000000000003</v>
      </c>
      <c r="H7" s="260">
        <v>0.08</v>
      </c>
      <c r="I7" s="261" t="s">
        <v>60</v>
      </c>
    </row>
    <row r="8" spans="2:9" ht="15">
      <c r="B8" s="57"/>
      <c r="C8" s="60"/>
      <c r="D8" s="60"/>
      <c r="E8" s="60"/>
      <c r="F8" s="60"/>
      <c r="G8" s="60"/>
      <c r="H8" s="260">
        <v>0.06</v>
      </c>
      <c r="I8" s="261" t="s">
        <v>59</v>
      </c>
    </row>
    <row r="9" spans="2:9" ht="15">
      <c r="B9" s="57"/>
      <c r="C9" s="60"/>
      <c r="D9" s="60"/>
      <c r="E9" s="60"/>
      <c r="F9" s="60"/>
      <c r="G9" s="60"/>
      <c r="H9" s="260">
        <v>0.38</v>
      </c>
      <c r="I9" s="262" t="s">
        <v>42</v>
      </c>
    </row>
    <row r="10" spans="2:9" ht="15">
      <c r="B10" s="57"/>
      <c r="C10" s="60"/>
      <c r="D10" s="60"/>
      <c r="E10" s="60"/>
      <c r="F10" s="60"/>
      <c r="G10" s="60"/>
      <c r="H10" s="260">
        <v>0.02</v>
      </c>
      <c r="I10" s="262" t="s">
        <v>74</v>
      </c>
    </row>
    <row r="11" spans="2:9" ht="15">
      <c r="B11" s="63"/>
      <c r="C11" s="60"/>
      <c r="D11" s="60"/>
      <c r="E11" s="60"/>
      <c r="F11" s="60"/>
      <c r="G11" s="60"/>
      <c r="H11" s="260">
        <v>0.02</v>
      </c>
      <c r="I11" s="263" t="s">
        <v>75</v>
      </c>
    </row>
    <row r="12" spans="2:9" ht="15">
      <c r="B12" s="57"/>
      <c r="C12" s="60"/>
      <c r="D12" s="60"/>
      <c r="E12" s="60"/>
      <c r="F12" s="60"/>
      <c r="G12" s="60"/>
      <c r="H12" s="260">
        <v>0.20</v>
      </c>
      <c r="I12" s="263" t="s">
        <v>52</v>
      </c>
    </row>
    <row r="13" spans="2:9" ht="15">
      <c r="B13" s="57" t="s">
        <v>81</v>
      </c>
      <c r="C13" s="60">
        <v>0.28299999999999997</v>
      </c>
      <c r="D13" s="60">
        <v>0.18</v>
      </c>
      <c r="E13" s="60">
        <v>0.05</v>
      </c>
      <c r="F13" s="60">
        <f>D13-E13</f>
        <v>0.13</v>
      </c>
      <c r="G13" s="60">
        <f>D13+E13</f>
        <v>0.22999999999999998</v>
      </c>
      <c r="H13" s="260">
        <v>0.25</v>
      </c>
      <c r="I13" s="261" t="s">
        <v>53</v>
      </c>
    </row>
    <row r="14" spans="2:9" ht="15">
      <c r="B14" s="57" t="s">
        <v>82</v>
      </c>
      <c r="C14" s="60"/>
      <c r="D14" s="60"/>
      <c r="E14" s="60"/>
      <c r="F14" s="60"/>
      <c r="G14" s="60"/>
      <c r="H14" s="260">
        <v>0.35</v>
      </c>
      <c r="I14" s="261" t="s">
        <v>54</v>
      </c>
    </row>
    <row r="15" spans="2:9" ht="15">
      <c r="B15" s="63"/>
      <c r="C15" s="60"/>
      <c r="D15" s="60"/>
      <c r="E15" s="60"/>
      <c r="F15" s="60"/>
      <c r="G15" s="60"/>
      <c r="H15" s="260">
        <v>0.20</v>
      </c>
      <c r="I15" s="263" t="s">
        <v>55</v>
      </c>
    </row>
    <row r="16" spans="2:9" ht="15">
      <c r="B16" s="57"/>
      <c r="C16" s="60"/>
      <c r="D16" s="60"/>
      <c r="E16" s="60"/>
      <c r="F16" s="60"/>
      <c r="G16" s="60"/>
      <c r="H16" s="260">
        <v>0.126</v>
      </c>
      <c r="I16" s="261" t="s">
        <v>34</v>
      </c>
    </row>
    <row r="17" spans="2:9" ht="15">
      <c r="B17" s="57"/>
      <c r="C17" s="60"/>
      <c r="D17" s="60"/>
      <c r="E17" s="60"/>
      <c r="F17" s="60"/>
      <c r="G17" s="60"/>
      <c r="H17" s="260">
        <v>0.071999999999999995</v>
      </c>
      <c r="I17" s="264" t="s">
        <v>67</v>
      </c>
    </row>
    <row r="18" spans="2:9" ht="15">
      <c r="B18" s="57"/>
      <c r="C18" s="60"/>
      <c r="D18" s="60"/>
      <c r="E18" s="60"/>
      <c r="F18" s="60"/>
      <c r="G18" s="60"/>
      <c r="H18" s="260">
        <v>0.045</v>
      </c>
      <c r="I18" s="265" t="s">
        <v>68</v>
      </c>
    </row>
    <row r="19" spans="2:9" ht="15">
      <c r="B19" s="57" t="s">
        <v>83</v>
      </c>
      <c r="C19" s="60">
        <v>0.29899999999999999</v>
      </c>
      <c r="D19" s="60">
        <v>0.33</v>
      </c>
      <c r="E19" s="60">
        <v>0.06</v>
      </c>
      <c r="F19" s="60">
        <f>D19-E19</f>
        <v>0.27000000000000002</v>
      </c>
      <c r="G19" s="60">
        <f>D19+E19</f>
        <v>0.39000000000000001</v>
      </c>
      <c r="H19" s="260">
        <v>0.017999999999999999</v>
      </c>
      <c r="I19" s="265" t="s">
        <v>69</v>
      </c>
    </row>
    <row r="20" spans="2:9" ht="15">
      <c r="B20" s="57"/>
      <c r="C20" s="60"/>
      <c r="D20" s="60"/>
      <c r="E20" s="60"/>
      <c r="F20" s="60"/>
      <c r="G20" s="60"/>
      <c r="H20" s="260">
        <v>0.039</v>
      </c>
      <c r="I20" s="265" t="s">
        <v>33</v>
      </c>
    </row>
    <row r="21" spans="2:9" ht="15">
      <c r="B21" s="57"/>
      <c r="C21" s="60"/>
      <c r="D21" s="60"/>
      <c r="E21" s="60"/>
      <c r="F21" s="60"/>
      <c r="G21" s="60"/>
      <c r="H21" s="260">
        <v>0.32</v>
      </c>
      <c r="I21" s="265" t="s">
        <v>70</v>
      </c>
    </row>
    <row r="22" spans="2:9" ht="15">
      <c r="B22" s="57"/>
      <c r="C22" s="60"/>
      <c r="D22" s="60"/>
      <c r="E22" s="60"/>
      <c r="F22" s="60"/>
      <c r="G22" s="60"/>
      <c r="H22" s="260">
        <v>0.25</v>
      </c>
      <c r="I22" s="265" t="s">
        <v>71</v>
      </c>
    </row>
    <row r="23" spans="2:9" ht="15">
      <c r="B23" s="57"/>
      <c r="C23" s="60"/>
      <c r="D23" s="60"/>
      <c r="E23" s="60"/>
      <c r="F23" s="60"/>
      <c r="G23" s="60"/>
      <c r="H23" s="260">
        <v>0.10</v>
      </c>
      <c r="I23" s="265" t="s">
        <v>72</v>
      </c>
    </row>
    <row r="24" spans="2:9" ht="15">
      <c r="B24" s="63"/>
      <c r="C24" s="60"/>
      <c r="D24" s="60"/>
      <c r="E24" s="60"/>
      <c r="F24" s="60"/>
      <c r="G24" s="60"/>
      <c r="H24" s="260">
        <v>0.03</v>
      </c>
      <c r="I24" s="266" t="s">
        <v>73</v>
      </c>
    </row>
    <row r="25" spans="2:9" ht="15">
      <c r="B25" s="64" t="s">
        <v>84</v>
      </c>
      <c r="C25" s="60">
        <v>0</v>
      </c>
      <c r="D25" s="60">
        <v>0</v>
      </c>
      <c r="E25" s="60">
        <v>0.05</v>
      </c>
      <c r="F25" s="60">
        <f>IF((D25-E25)&lt;0,0,D25-E25)</f>
        <v>0</v>
      </c>
      <c r="G25" s="60">
        <f>D25+E25</f>
        <v>0.050000000000000003</v>
      </c>
      <c r="H25" s="33"/>
      <c r="I25" s="265"/>
    </row>
    <row r="26" spans="2:9" ht="15">
      <c r="B26" s="64" t="s">
        <v>15</v>
      </c>
      <c r="C26" s="60">
        <v>0.057000000000000002</v>
      </c>
      <c r="D26" s="60">
        <v>0.02</v>
      </c>
      <c r="E26" s="60"/>
      <c r="F26" s="60"/>
      <c r="G26" s="60"/>
      <c r="H26" s="260">
        <v>1</v>
      </c>
      <c r="I26" s="267" t="s">
        <v>85</v>
      </c>
    </row>
    <row r="27" spans="2:9" ht="15">
      <c r="B27" s="64" t="s">
        <v>16</v>
      </c>
      <c r="C27" s="60">
        <f>SUM(C5:C26)</f>
        <v>1.0009999999999999</v>
      </c>
      <c r="D27" s="60">
        <f>SUM(D5:D26)</f>
        <v>1</v>
      </c>
      <c r="E27" s="60"/>
      <c r="F27" s="60"/>
      <c r="G27" s="60"/>
      <c r="H27" s="268"/>
      <c r="I27" s="269"/>
    </row>
    <row r="28" spans="2:9" ht="15">
      <c r="B28" s="65" t="s">
        <v>17</v>
      </c>
      <c r="C28" s="60">
        <v>0.19700000000000001</v>
      </c>
      <c r="D28" s="60">
        <v>0.21</v>
      </c>
      <c r="E28" s="60">
        <v>0.06</v>
      </c>
      <c r="F28" s="60">
        <f>D28-E28</f>
        <v>0.14999999999999999</v>
      </c>
      <c r="G28" s="60">
        <f>D28+E28</f>
        <v>0.27000000000000002</v>
      </c>
      <c r="H28" s="270"/>
      <c r="I28" s="270"/>
    </row>
    <row r="29" spans="2:9" ht="14.25">
      <c r="B29" s="66"/>
      <c r="C29" s="67"/>
      <c r="D29" s="67"/>
      <c r="E29" s="67"/>
      <c r="F29" s="68"/>
      <c r="G29" s="69"/>
      <c r="H29" s="68"/>
      <c r="I29" s="68"/>
    </row>
    <row r="30" spans="2:9" ht="15" thickBot="1">
      <c r="B30" s="70" t="s">
        <v>22</v>
      </c>
      <c r="C30" s="66"/>
      <c r="D30" s="66"/>
      <c r="E30" s="66"/>
      <c r="F30" s="71"/>
      <c r="G30" s="72"/>
      <c r="H30" s="71"/>
      <c r="I30" s="71"/>
    </row>
    <row r="31" spans="2:9" s="1" customFormat="1" ht="14.25">
      <c r="B31" s="228" t="s">
        <v>23</v>
      </c>
      <c r="C31" s="229"/>
      <c r="D31" s="229"/>
      <c r="E31" s="229"/>
      <c r="F31" s="229"/>
      <c r="G31" s="229"/>
      <c r="H31" s="229"/>
      <c r="I31" s="230"/>
    </row>
    <row r="32" spans="2:9" s="1" customFormat="1" ht="14.25">
      <c r="B32" s="244" t="s">
        <v>158</v>
      </c>
      <c r="C32" s="231"/>
      <c r="D32" s="231"/>
      <c r="E32" s="231"/>
      <c r="F32" s="231"/>
      <c r="G32" s="231"/>
      <c r="H32" s="231"/>
      <c r="I32" s="232"/>
    </row>
    <row r="33" spans="2:9" s="1" customFormat="1" ht="14.25">
      <c r="B33" s="244" t="s">
        <v>185</v>
      </c>
      <c r="C33" s="231"/>
      <c r="D33" s="231"/>
      <c r="E33" s="231"/>
      <c r="F33" s="231"/>
      <c r="G33" s="231"/>
      <c r="H33" s="231"/>
      <c r="I33" s="232"/>
    </row>
    <row r="34" spans="2:9" s="1" customFormat="1" ht="14.25">
      <c r="B34" s="244" t="s">
        <v>186</v>
      </c>
      <c r="C34" s="227"/>
      <c r="D34" s="231"/>
      <c r="E34" s="227"/>
      <c r="F34" s="231"/>
      <c r="G34" s="227"/>
      <c r="H34" s="231"/>
      <c r="I34" s="232"/>
    </row>
    <row r="35" spans="2:9" s="1" customFormat="1" ht="15" thickBot="1">
      <c r="B35" s="245" t="s">
        <v>187</v>
      </c>
      <c r="C35" s="234"/>
      <c r="D35" s="234"/>
      <c r="E35" s="234"/>
      <c r="F35" s="234"/>
      <c r="G35" s="234"/>
      <c r="H35" s="234"/>
      <c r="I35" s="235"/>
    </row>
    <row r="36" spans="2:2" ht="14.25">
      <c r="B36" s="243"/>
    </row>
    <row r="37" ht="15" thickBot="1"/>
    <row r="38" spans="2:5" ht="14.25">
      <c r="B38" s="218" t="s">
        <v>143</v>
      </c>
      <c r="C38" s="237"/>
      <c r="D38" s="237"/>
      <c r="E38" s="238"/>
    </row>
    <row r="39" spans="2:5" ht="14.25">
      <c r="B39" s="244" t="s">
        <v>182</v>
      </c>
      <c r="C39" s="239"/>
      <c r="D39" s="239"/>
      <c r="E39" s="240"/>
    </row>
    <row r="40" spans="2:5" ht="14.25">
      <c r="B40" s="244" t="s">
        <v>183</v>
      </c>
      <c r="C40" s="239"/>
      <c r="D40" s="239"/>
      <c r="E40" s="240"/>
    </row>
    <row r="41" spans="2:5" ht="14.25">
      <c r="B41" s="244" t="s">
        <v>142</v>
      </c>
      <c r="C41" s="239"/>
      <c r="D41" s="239"/>
      <c r="E41" s="240"/>
    </row>
    <row r="42" spans="2:5" ht="14.25">
      <c r="B42" s="244" t="s">
        <v>184</v>
      </c>
      <c r="C42" s="239"/>
      <c r="D42" s="239"/>
      <c r="E42" s="240"/>
    </row>
    <row r="43" spans="2:5" ht="15" thickBot="1">
      <c r="B43" s="245" t="s">
        <v>151</v>
      </c>
      <c r="C43" s="241"/>
      <c r="D43" s="241"/>
      <c r="E43" s="242"/>
    </row>
  </sheetData>
  <sheetProtection/>
  <mergeCells count="4">
    <mergeCell ref="B2:I2"/>
    <mergeCell ref="B3:I3"/>
    <mergeCell ref="F4:G4"/>
    <mergeCell ref="H4:I4"/>
  </mergeCells>
  <pageMargins left="0.25" right="0.25" top="0.75" bottom="0.75" header="0.3" footer="0.3"/>
  <pageSetup fitToHeight="0" orientation="landscape" paperSize="9" scale="6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K75"/>
  <sheetViews>
    <sheetView showGridLines="0" rightToLeft="1" zoomScale="80" zoomScaleNormal="80" workbookViewId="0" topLeftCell="A55">
      <selection pane="topLeft" activeCell="D60" sqref="D60:E62"/>
    </sheetView>
  </sheetViews>
  <sheetFormatPr defaultColWidth="8.85881696428571" defaultRowHeight="14.25"/>
  <cols>
    <col min="1" max="1" width="8.85714285714286" style="17"/>
    <col min="2" max="2" width="45.5714285714286" style="17"/>
    <col min="3" max="3" width="78.2857142857143" style="17"/>
    <col min="4" max="4" width="17.8571428571429" style="17"/>
    <col min="5" max="5" width="45" style="107"/>
    <col min="6" max="6" width="22.5714285714286" style="17"/>
    <col min="7" max="7" width="46.4285714285714" style="17"/>
    <col min="8" max="8" width="24.4285714285714" style="17"/>
    <col min="9" max="16384" width="8.85714285714286" style="17"/>
  </cols>
  <sheetData>
    <row r="1" spans="3:5" ht="33.6" customHeight="1">
      <c r="C1" s="18" t="s">
        <v>24</v>
      </c>
      <c r="D1" s="19"/>
      <c r="E1" s="19"/>
    </row>
    <row r="2" spans="2:5" ht="18">
      <c r="B2" s="280" t="s">
        <v>86</v>
      </c>
      <c r="C2" s="281"/>
      <c r="D2" s="281"/>
      <c r="E2" s="281"/>
    </row>
    <row r="3" spans="2:5" ht="15.6" customHeight="1">
      <c r="B3" s="20" t="s">
        <v>26</v>
      </c>
      <c r="C3" s="20" t="s">
        <v>27</v>
      </c>
      <c r="D3" s="21"/>
      <c r="E3" s="73" t="s">
        <v>87</v>
      </c>
    </row>
    <row r="4" spans="2:5" ht="29.25" customHeight="1">
      <c r="B4" s="74"/>
      <c r="C4" s="75"/>
      <c r="D4" s="24">
        <v>0.38</v>
      </c>
      <c r="E4" s="35" t="s">
        <v>9</v>
      </c>
    </row>
    <row r="5" spans="2:5" ht="109.5" customHeight="1">
      <c r="B5" s="74" t="s">
        <v>188</v>
      </c>
      <c r="C5" s="75" t="s">
        <v>29</v>
      </c>
      <c r="D5" s="24">
        <v>0.21</v>
      </c>
      <c r="E5" s="25" t="s">
        <v>30</v>
      </c>
    </row>
    <row r="6" spans="2:5" ht="27" customHeight="1">
      <c r="B6" s="74"/>
      <c r="C6" s="75"/>
      <c r="D6" s="24">
        <v>0.12</v>
      </c>
      <c r="E6" s="25" t="s">
        <v>31</v>
      </c>
    </row>
    <row r="7" spans="2:5" ht="33" customHeight="1">
      <c r="B7" s="74"/>
      <c r="C7" s="75"/>
      <c r="D7" s="24">
        <v>0.08</v>
      </c>
      <c r="E7" s="25" t="s">
        <v>32</v>
      </c>
    </row>
    <row r="8" spans="2:5" ht="13.5" customHeight="1">
      <c r="B8" s="74"/>
      <c r="C8" s="75"/>
      <c r="D8" s="24">
        <v>0.08</v>
      </c>
      <c r="E8" s="25" t="s">
        <v>34</v>
      </c>
    </row>
    <row r="9" spans="2:5" ht="15">
      <c r="B9" s="74"/>
      <c r="C9" s="75"/>
      <c r="D9" s="24">
        <v>0.08</v>
      </c>
      <c r="E9" s="25" t="s">
        <v>35</v>
      </c>
    </row>
    <row r="10" spans="2:5" ht="12.75" customHeight="1">
      <c r="B10" s="74"/>
      <c r="C10" s="75"/>
      <c r="D10" s="76">
        <v>0.05</v>
      </c>
      <c r="E10" s="77" t="s">
        <v>36</v>
      </c>
    </row>
    <row r="11" spans="2:5" ht="3.75" customHeight="1" thickBot="1">
      <c r="B11" s="78"/>
      <c r="C11" s="79"/>
      <c r="D11" s="80"/>
      <c r="E11" s="81"/>
    </row>
    <row r="12" spans="2:5" ht="10.9" customHeight="1" thickTop="1">
      <c r="B12" s="82"/>
      <c r="C12" s="83" t="s">
        <v>88</v>
      </c>
      <c r="D12" s="84"/>
      <c r="E12" s="85"/>
    </row>
    <row r="13" spans="2:5" ht="15" customHeight="1">
      <c r="B13" s="26"/>
      <c r="C13" s="75"/>
      <c r="D13" s="24">
        <v>0.5</v>
      </c>
      <c r="E13" s="34" t="s">
        <v>9</v>
      </c>
    </row>
    <row r="14" spans="2:5" s="87" customFormat="1" ht="17.45" customHeight="1">
      <c r="B14" s="26"/>
      <c r="C14" s="75"/>
      <c r="D14" s="24">
        <v>0.14000000000000001</v>
      </c>
      <c r="E14" s="25" t="s">
        <v>30</v>
      </c>
    </row>
    <row r="15" spans="2:5" ht="15">
      <c r="B15" s="26"/>
      <c r="C15" s="75"/>
      <c r="D15" s="24">
        <v>0.08</v>
      </c>
      <c r="E15" s="25" t="s">
        <v>31</v>
      </c>
    </row>
    <row r="16" spans="2:5" ht="117" customHeight="1">
      <c r="B16" s="26" t="s">
        <v>189</v>
      </c>
      <c r="C16" s="75" t="s">
        <v>89</v>
      </c>
      <c r="D16" s="24">
        <v>0.06</v>
      </c>
      <c r="E16" s="25" t="s">
        <v>32</v>
      </c>
    </row>
    <row r="17" spans="2:5" ht="17.45" customHeight="1">
      <c r="B17" s="26"/>
      <c r="C17" s="75"/>
      <c r="D17" s="24">
        <v>0.06</v>
      </c>
      <c r="E17" s="25" t="s">
        <v>34</v>
      </c>
    </row>
    <row r="18" spans="2:5" ht="17.45" customHeight="1">
      <c r="B18" s="26"/>
      <c r="C18" s="75"/>
      <c r="D18" s="24">
        <v>0.06</v>
      </c>
      <c r="E18" s="25" t="s">
        <v>35</v>
      </c>
    </row>
    <row r="19" spans="2:5" ht="17.45" customHeight="1">
      <c r="B19" s="26"/>
      <c r="C19" s="75"/>
      <c r="D19" s="24">
        <v>0.04</v>
      </c>
      <c r="E19" s="36" t="s">
        <v>42</v>
      </c>
    </row>
    <row r="20" spans="2:5" ht="17.45" customHeight="1" thickBot="1">
      <c r="B20" s="26"/>
      <c r="C20" s="75"/>
      <c r="D20" s="24">
        <v>0.06</v>
      </c>
      <c r="E20" s="36" t="s">
        <v>39</v>
      </c>
    </row>
    <row r="21" spans="2:5" ht="9.6" customHeight="1" thickTop="1">
      <c r="B21" s="82"/>
      <c r="C21" s="83"/>
      <c r="D21" s="84"/>
      <c r="E21" s="85"/>
    </row>
    <row r="22" spans="2:5" ht="17.45" customHeight="1">
      <c r="B22" s="26"/>
      <c r="C22" s="75"/>
      <c r="D22" s="33">
        <v>0.23</v>
      </c>
      <c r="E22" s="88" t="s">
        <v>9</v>
      </c>
    </row>
    <row r="23" spans="2:5" ht="123.75" customHeight="1">
      <c r="B23" s="26" t="s">
        <v>191</v>
      </c>
      <c r="C23" s="75" t="s">
        <v>90</v>
      </c>
      <c r="D23" s="33">
        <v>0.20</v>
      </c>
      <c r="E23" s="25" t="s">
        <v>30</v>
      </c>
    </row>
    <row r="24" spans="2:5" ht="15">
      <c r="B24" s="26"/>
      <c r="C24" s="75"/>
      <c r="D24" s="33">
        <v>0.11</v>
      </c>
      <c r="E24" s="25" t="s">
        <v>31</v>
      </c>
    </row>
    <row r="25" spans="2:5" ht="15">
      <c r="B25" s="26"/>
      <c r="C25" s="75"/>
      <c r="D25" s="33">
        <v>0.08</v>
      </c>
      <c r="E25" s="25" t="s">
        <v>32</v>
      </c>
    </row>
    <row r="26" spans="2:6" ht="15">
      <c r="B26" s="26"/>
      <c r="C26" s="75"/>
      <c r="D26" s="33">
        <v>0.08</v>
      </c>
      <c r="E26" s="25" t="s">
        <v>34</v>
      </c>
      <c r="F26" s="89"/>
    </row>
    <row r="27" spans="2:5" ht="15">
      <c r="B27" s="26"/>
      <c r="C27" s="75"/>
      <c r="D27" s="33">
        <v>0.08</v>
      </c>
      <c r="E27" s="25" t="s">
        <v>35</v>
      </c>
    </row>
    <row r="28" spans="2:5" ht="15.6" customHeight="1">
      <c r="B28" s="26"/>
      <c r="C28" s="75"/>
      <c r="D28" s="24">
        <v>0.08</v>
      </c>
      <c r="E28" s="90" t="s">
        <v>42</v>
      </c>
    </row>
    <row r="29" spans="2:5" ht="15">
      <c r="B29" s="26"/>
      <c r="C29" s="75"/>
      <c r="D29" s="24">
        <v>0.12</v>
      </c>
      <c r="E29" s="90" t="s">
        <v>39</v>
      </c>
    </row>
    <row r="30" spans="2:5" ht="15">
      <c r="B30" s="26"/>
      <c r="C30" s="75"/>
      <c r="D30" s="37">
        <v>0.02</v>
      </c>
      <c r="E30" s="91" t="s">
        <v>36</v>
      </c>
    </row>
    <row r="31" spans="2:5" ht="9" customHeight="1" thickBot="1">
      <c r="B31" s="92"/>
      <c r="C31" s="30"/>
      <c r="D31" s="39"/>
      <c r="E31" s="32"/>
    </row>
    <row r="32" spans="2:5" ht="66" customHeight="1" thickTop="1" thickBot="1">
      <c r="B32" s="41" t="s">
        <v>194</v>
      </c>
      <c r="C32" s="93" t="s">
        <v>61</v>
      </c>
      <c r="D32" s="94"/>
      <c r="E32" s="95" t="s">
        <v>91</v>
      </c>
    </row>
    <row r="33" spans="2:7" s="97" customFormat="1" ht="58.5" customHeight="1" thickTop="1" thickBot="1">
      <c r="B33" s="41" t="s">
        <v>92</v>
      </c>
      <c r="C33" s="41" t="s">
        <v>93</v>
      </c>
      <c r="D33" s="39">
        <v>1</v>
      </c>
      <c r="E33" s="96" t="s">
        <v>57</v>
      </c>
      <c r="G33" s="17"/>
    </row>
    <row r="34" spans="2:5" ht="15.6" customHeight="1" thickTop="1">
      <c r="B34" s="98"/>
      <c r="C34" s="99"/>
      <c r="D34" s="98"/>
      <c r="E34" s="100"/>
    </row>
    <row r="35" spans="2:11" ht="17.45" customHeight="1">
      <c r="B35" s="74"/>
      <c r="C35" s="26"/>
      <c r="D35" s="24">
        <v>0.05</v>
      </c>
      <c r="E35" s="90" t="s">
        <v>52</v>
      </c>
      <c r="G35" s="101"/>
      <c r="H35" s="86"/>
      <c r="K35" s="86"/>
    </row>
    <row r="36" spans="2:8" ht="17.45" customHeight="1">
      <c r="B36" s="74"/>
      <c r="C36" s="26"/>
      <c r="D36" s="24">
        <v>0.10</v>
      </c>
      <c r="E36" s="90" t="s">
        <v>53</v>
      </c>
      <c r="G36" s="101"/>
      <c r="H36" s="86"/>
    </row>
    <row r="37" spans="2:8" ht="76.5" customHeight="1">
      <c r="B37" s="74" t="s">
        <v>195</v>
      </c>
      <c r="C37" s="26" t="s">
        <v>66</v>
      </c>
      <c r="D37" s="24">
        <v>0.06</v>
      </c>
      <c r="E37" s="90" t="s">
        <v>54</v>
      </c>
      <c r="G37" s="101"/>
      <c r="H37" s="86"/>
    </row>
    <row r="38" spans="2:8" ht="15.6" customHeight="1">
      <c r="B38" s="74"/>
      <c r="C38" s="26"/>
      <c r="D38" s="24">
        <v>0.02</v>
      </c>
      <c r="E38" s="90" t="s">
        <v>55</v>
      </c>
      <c r="G38" s="101"/>
      <c r="H38" s="86"/>
    </row>
    <row r="39" spans="2:8" ht="40.9" customHeight="1">
      <c r="B39" s="74"/>
      <c r="C39" s="26"/>
      <c r="D39" s="24">
        <v>0.067199999999999996</v>
      </c>
      <c r="E39" s="102" t="s">
        <v>34</v>
      </c>
      <c r="G39" s="101"/>
      <c r="H39" s="86"/>
    </row>
    <row r="40" spans="2:7" ht="15">
      <c r="B40" s="74"/>
      <c r="C40" s="26"/>
      <c r="D40" s="24">
        <v>0.038399999999999997</v>
      </c>
      <c r="E40" s="102" t="s">
        <v>67</v>
      </c>
      <c r="G40" s="101"/>
    </row>
    <row r="41" spans="2:7" ht="15">
      <c r="B41" s="74"/>
      <c r="C41" s="26"/>
      <c r="D41" s="24">
        <v>0.024</v>
      </c>
      <c r="E41" s="102" t="s">
        <v>68</v>
      </c>
      <c r="G41" s="101"/>
    </row>
    <row r="42" spans="2:7" ht="17.45" customHeight="1">
      <c r="B42" s="74"/>
      <c r="C42" s="26"/>
      <c r="D42" s="24">
        <v>0.0095999999999999992</v>
      </c>
      <c r="E42" s="102" t="s">
        <v>69</v>
      </c>
      <c r="G42" s="27"/>
    </row>
    <row r="43" spans="2:7" ht="17.45" customHeight="1">
      <c r="B43" s="74"/>
      <c r="C43" s="26"/>
      <c r="D43" s="24">
        <v>0.020800000000000003</v>
      </c>
      <c r="E43" s="88" t="s">
        <v>33</v>
      </c>
      <c r="G43" s="27"/>
    </row>
    <row r="44" spans="2:7" ht="17.45" customHeight="1">
      <c r="B44" s="74"/>
      <c r="C44" s="26"/>
      <c r="D44" s="24">
        <v>0.17550000000000002</v>
      </c>
      <c r="E44" s="90" t="s">
        <v>70</v>
      </c>
      <c r="G44" s="27"/>
    </row>
    <row r="45" spans="2:7" ht="17.45" customHeight="1">
      <c r="B45" s="74"/>
      <c r="C45" s="26"/>
      <c r="D45" s="24">
        <v>0.13649999999999998</v>
      </c>
      <c r="E45" s="90" t="s">
        <v>71</v>
      </c>
      <c r="G45" s="27"/>
    </row>
    <row r="46" spans="2:7" ht="17.45" customHeight="1">
      <c r="B46" s="74"/>
      <c r="C46" s="99"/>
      <c r="D46" s="24">
        <v>0.058499999999999996</v>
      </c>
      <c r="E46" s="90" t="s">
        <v>72</v>
      </c>
      <c r="G46" s="103"/>
    </row>
    <row r="47" spans="2:7" ht="17.45" customHeight="1">
      <c r="B47" s="74"/>
      <c r="C47" s="26"/>
      <c r="D47" s="24">
        <v>0.019500000000000003</v>
      </c>
      <c r="E47" s="90" t="s">
        <v>73</v>
      </c>
      <c r="G47" s="104"/>
    </row>
    <row r="48" spans="2:7" ht="17.45" customHeight="1">
      <c r="B48" s="74"/>
      <c r="C48" s="26"/>
      <c r="D48" s="24">
        <v>0.06720000000000001</v>
      </c>
      <c r="E48" s="90" t="s">
        <v>57</v>
      </c>
      <c r="G48" s="101"/>
    </row>
    <row r="49" spans="2:7" ht="17.45" customHeight="1">
      <c r="B49" s="74"/>
      <c r="C49" s="26"/>
      <c r="D49" s="24">
        <v>0.024</v>
      </c>
      <c r="E49" s="90" t="s">
        <v>58</v>
      </c>
      <c r="G49" s="101"/>
    </row>
    <row r="50" spans="2:7" ht="17.45" customHeight="1">
      <c r="B50" s="74"/>
      <c r="C50" s="26"/>
      <c r="D50" s="24">
        <v>0.016800000000000002</v>
      </c>
      <c r="E50" s="90" t="s">
        <v>60</v>
      </c>
      <c r="G50" s="101"/>
    </row>
    <row r="51" spans="2:7" ht="17.45" customHeight="1">
      <c r="B51" s="74"/>
      <c r="C51" s="26"/>
      <c r="D51" s="24">
        <v>0.012</v>
      </c>
      <c r="E51" s="90" t="s">
        <v>59</v>
      </c>
      <c r="G51" s="101"/>
    </row>
    <row r="52" spans="2:5" ht="17.45" customHeight="1">
      <c r="B52" s="74"/>
      <c r="C52" s="26"/>
      <c r="D52" s="24">
        <v>0.070000000000000007</v>
      </c>
      <c r="E52" s="90" t="s">
        <v>42</v>
      </c>
    </row>
    <row r="53" spans="2:5" ht="17.45" customHeight="1">
      <c r="B53" s="74"/>
      <c r="C53" s="26"/>
      <c r="D53" s="24">
        <v>0.005</v>
      </c>
      <c r="E53" s="90" t="s">
        <v>74</v>
      </c>
    </row>
    <row r="54" spans="2:5" ht="17.45" customHeight="1">
      <c r="B54" s="74"/>
      <c r="C54" s="26"/>
      <c r="D54" s="24">
        <v>0.005</v>
      </c>
      <c r="E54" s="90" t="s">
        <v>75</v>
      </c>
    </row>
    <row r="55" spans="2:5" ht="27.75" customHeight="1" thickBot="1">
      <c r="B55" s="78"/>
      <c r="C55" s="30"/>
      <c r="D55" s="39">
        <v>0.02</v>
      </c>
      <c r="E55" s="32" t="s">
        <v>36</v>
      </c>
    </row>
    <row r="56" spans="2:5" ht="16.5" customHeight="1" thickTop="1">
      <c r="B56" s="278" t="s">
        <v>197</v>
      </c>
      <c r="C56" s="278" t="s">
        <v>56</v>
      </c>
      <c r="D56" s="105">
        <v>0.56000000000000005</v>
      </c>
      <c r="E56" s="106" t="s">
        <v>57</v>
      </c>
    </row>
    <row r="57" spans="2:5" ht="21.75" customHeight="1">
      <c r="B57" s="279"/>
      <c r="C57" s="279"/>
      <c r="D57" s="33">
        <v>0.20</v>
      </c>
      <c r="E57" s="36" t="s">
        <v>58</v>
      </c>
    </row>
    <row r="58" spans="2:5" ht="18.75" customHeight="1">
      <c r="B58" s="279"/>
      <c r="C58" s="279"/>
      <c r="D58" s="33">
        <v>0.10</v>
      </c>
      <c r="E58" s="34" t="s">
        <v>59</v>
      </c>
    </row>
    <row r="59" spans="2:5" ht="18.75" customHeight="1" thickBot="1">
      <c r="B59" s="283"/>
      <c r="C59" s="283"/>
      <c r="D59" s="39">
        <v>0.14000000000000001</v>
      </c>
      <c r="E59" s="32" t="s">
        <v>60</v>
      </c>
    </row>
    <row r="60" spans="2:5" ht="99" customHeight="1" thickTop="1">
      <c r="B60" s="74"/>
      <c r="C60" s="278" t="s">
        <v>64</v>
      </c>
      <c r="D60" s="33">
        <v>0.24</v>
      </c>
      <c r="E60" s="36" t="s">
        <v>57</v>
      </c>
    </row>
    <row r="61" spans="2:5" ht="99" customHeight="1">
      <c r="B61" s="74" t="s">
        <v>232</v>
      </c>
      <c r="C61" s="279"/>
      <c r="D61" s="33">
        <v>0.16</v>
      </c>
      <c r="E61" s="36" t="s">
        <v>230</v>
      </c>
    </row>
    <row r="62" spans="2:5" ht="99" customHeight="1" thickBot="1">
      <c r="B62" s="39"/>
      <c r="C62" s="279"/>
      <c r="D62" s="39">
        <v>0.60</v>
      </c>
      <c r="E62" s="32" t="s">
        <v>65</v>
      </c>
    </row>
    <row r="63" spans="2:5" ht="16.5" customHeight="1" thickTop="1">
      <c r="B63" s="278" t="s">
        <v>199</v>
      </c>
      <c r="C63" s="278" t="s">
        <v>51</v>
      </c>
      <c r="D63" s="33">
        <v>0.20</v>
      </c>
      <c r="E63" s="36" t="s">
        <v>52</v>
      </c>
    </row>
    <row r="64" spans="2:5" ht="21.75" customHeight="1">
      <c r="B64" s="279"/>
      <c r="C64" s="279"/>
      <c r="D64" s="33">
        <v>0.25</v>
      </c>
      <c r="E64" s="36" t="s">
        <v>53</v>
      </c>
    </row>
    <row r="65" spans="2:5" ht="18.75" customHeight="1">
      <c r="B65" s="279"/>
      <c r="C65" s="279"/>
      <c r="D65" s="33">
        <v>0.35</v>
      </c>
      <c r="E65" s="34" t="s">
        <v>54</v>
      </c>
    </row>
    <row r="66" spans="2:5" ht="18.75" customHeight="1" thickBot="1">
      <c r="B66" s="283"/>
      <c r="C66" s="283"/>
      <c r="D66" s="39">
        <v>0.20</v>
      </c>
      <c r="E66" s="32" t="s">
        <v>55</v>
      </c>
    </row>
    <row r="67" spans="2:5" ht="15" thickTop="1">
      <c r="B67" s="50" t="s">
        <v>76</v>
      </c>
      <c r="C67" s="40"/>
      <c r="D67" s="40"/>
      <c r="E67" s="40"/>
    </row>
    <row r="68" spans="2:2" ht="14.25">
      <c r="B68" s="227" t="s">
        <v>203</v>
      </c>
    </row>
    <row r="69" spans="2:2" ht="14.25">
      <c r="B69" s="227" t="s">
        <v>190</v>
      </c>
    </row>
    <row r="70" spans="2:2" ht="14.25">
      <c r="B70" s="227" t="s">
        <v>192</v>
      </c>
    </row>
    <row r="71" spans="2:2" ht="14.25">
      <c r="B71" s="227" t="s">
        <v>193</v>
      </c>
    </row>
    <row r="72" spans="2:2" ht="14.25">
      <c r="B72" s="227" t="s">
        <v>196</v>
      </c>
    </row>
    <row r="73" spans="2:2" ht="14.25">
      <c r="B73" s="227" t="s">
        <v>198</v>
      </c>
    </row>
    <row r="74" spans="2:2" ht="14.25">
      <c r="B74" s="227" t="s">
        <v>200</v>
      </c>
    </row>
    <row r="75" spans="2:2" ht="14.25">
      <c r="B75" s="227" t="s">
        <v>231</v>
      </c>
    </row>
  </sheetData>
  <sheetProtection/>
  <mergeCells count="6">
    <mergeCell ref="B63:B66"/>
    <mergeCell ref="C63:C66"/>
    <mergeCell ref="B2:E2"/>
    <mergeCell ref="B56:B59"/>
    <mergeCell ref="C56:C59"/>
    <mergeCell ref="C60:C62"/>
  </mergeCells>
  <pageMargins left="0.708661417322835" right="0.708661417322835" top="0.748031496062992" bottom="0.748031496062992" header="0.31496062992126" footer="0.31496062992126"/>
  <pageSetup orientation="landscape" paperSize="9" scale="55"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H51"/>
  <sheetViews>
    <sheetView showGridLines="0" rightToLeft="1" zoomScaleSheetLayoutView="100" workbookViewId="0" topLeftCell="A1">
      <selection pane="topLeft" activeCell="B58" sqref="B58"/>
    </sheetView>
  </sheetViews>
  <sheetFormatPr defaultRowHeight="14.25"/>
  <cols>
    <col min="1" max="1" width="9.14285714285714" style="108"/>
    <col min="2" max="2" width="45.8571428571429" style="108"/>
    <col min="3" max="4" width="12.2857142857143" style="108"/>
    <col min="5" max="5" width="10.2857142857143" style="108"/>
    <col min="6" max="7" width="9.28571428571429" style="108"/>
    <col min="8" max="8" width="32.7142857142857" style="108"/>
    <col min="9" max="16384" width="9.14285714285714" style="108"/>
  </cols>
  <sheetData>
    <row r="1" spans="2:8" ht="27.6" customHeight="1">
      <c r="B1" s="296" t="str">
        <f>'גמל תלוי גיל'!B1:H1</f>
        <v>מדיניות השקעה צפויה לשנת 2021</v>
      </c>
      <c r="C1" s="296"/>
      <c r="D1" s="297"/>
      <c r="E1" s="297"/>
      <c r="F1" s="297"/>
      <c r="G1" s="297"/>
      <c r="H1" s="297"/>
    </row>
    <row r="2" spans="2:8" ht="30" customHeight="1">
      <c r="B2" s="298" t="s">
        <v>94</v>
      </c>
      <c r="C2" s="298"/>
      <c r="D2" s="298"/>
      <c r="E2" s="298"/>
      <c r="F2" s="298"/>
      <c r="G2" s="298"/>
      <c r="H2" s="298"/>
    </row>
    <row r="3" spans="2:8" ht="64.5" customHeight="1">
      <c r="B3" s="109" t="s">
        <v>1</v>
      </c>
      <c r="C3" s="3" t="str">
        <f>'גמל תלוי גיל'!C40</f>
        <v>שיעור חשיפה נכון 24.11.2020</v>
      </c>
      <c r="D3" s="3" t="s">
        <v>138</v>
      </c>
      <c r="E3" s="109" t="s">
        <v>3</v>
      </c>
      <c r="F3" s="294" t="s">
        <v>4</v>
      </c>
      <c r="G3" s="295"/>
      <c r="H3" s="51" t="s">
        <v>5</v>
      </c>
    </row>
    <row r="4" spans="2:8" ht="36.75" customHeight="1">
      <c r="B4" s="110" t="s">
        <v>6</v>
      </c>
      <c r="C4" s="6">
        <v>0.41699999999999998</v>
      </c>
      <c r="D4" s="5">
        <v>0.36</v>
      </c>
      <c r="E4" s="111">
        <v>0.06</v>
      </c>
      <c r="F4" s="111">
        <f t="shared" si="0" ref="F4:F11">IF(D4-E4&gt;0,D4-E4,0)</f>
        <v>0.29999999999999999</v>
      </c>
      <c r="G4" s="111">
        <f t="shared" si="1" ref="G4:G11">D4+E4</f>
        <v>0.41999999999999998</v>
      </c>
      <c r="H4" s="112" t="s">
        <v>7</v>
      </c>
    </row>
    <row r="5" spans="2:8" ht="27.6" customHeight="1">
      <c r="B5" s="9" t="s">
        <v>8</v>
      </c>
      <c r="C5" s="6">
        <v>0.245</v>
      </c>
      <c r="D5" s="5">
        <v>0.22</v>
      </c>
      <c r="E5" s="111">
        <v>0.05</v>
      </c>
      <c r="F5" s="111">
        <f>IF(D5-E5&gt;0,D5-E5,0)</f>
        <v>0.16999999999999998</v>
      </c>
      <c r="G5" s="111">
        <f>D5+E5</f>
        <v>0.27000000000000002</v>
      </c>
      <c r="H5" s="112" t="s">
        <v>9</v>
      </c>
    </row>
    <row r="6" spans="2:8" ht="78" customHeight="1">
      <c r="B6" s="110" t="s">
        <v>83</v>
      </c>
      <c r="C6" s="6">
        <v>0.28299999999999997</v>
      </c>
      <c r="D6" s="5">
        <v>0.31</v>
      </c>
      <c r="E6" s="111">
        <v>0.06</v>
      </c>
      <c r="F6" s="111">
        <f>IF(D6-E6&gt;0,D6-E6,0)</f>
        <v>0.25</v>
      </c>
      <c r="G6" s="111">
        <f>D6+E6</f>
        <v>0.37</v>
      </c>
      <c r="H6" s="15" t="s">
        <v>11</v>
      </c>
    </row>
    <row r="7" spans="2:8" ht="18.6" customHeight="1">
      <c r="B7" s="110" t="s">
        <v>12</v>
      </c>
      <c r="C7" s="6">
        <v>0.017999999999999999</v>
      </c>
      <c r="D7" s="5">
        <v>0.02</v>
      </c>
      <c r="E7" s="111">
        <v>0.05</v>
      </c>
      <c r="F7" s="111">
        <f>IF(D7-E7&gt;0,D7-E7,0)</f>
        <v>0</v>
      </c>
      <c r="G7" s="111">
        <f>D7+E7</f>
        <v>0.070000000000000007</v>
      </c>
      <c r="H7" s="112"/>
    </row>
    <row r="8" spans="2:8" ht="23.25" customHeight="1">
      <c r="B8" s="110" t="s">
        <v>19</v>
      </c>
      <c r="C8" s="6">
        <v>0.055</v>
      </c>
      <c r="D8" s="5">
        <v>0.06</v>
      </c>
      <c r="E8" s="111">
        <v>0.05</v>
      </c>
      <c r="F8" s="111">
        <f>IF(D8-E8&gt;0,D8-E8,0)</f>
        <v>0.009999999999999995</v>
      </c>
      <c r="G8" s="111">
        <f>D8+E8</f>
        <v>0.11</v>
      </c>
      <c r="H8" s="112"/>
    </row>
    <row r="9" spans="2:8" ht="18.6" customHeight="1">
      <c r="B9" s="110" t="s">
        <v>15</v>
      </c>
      <c r="C9" s="6">
        <v>0.063</v>
      </c>
      <c r="D9" s="5">
        <v>0.03</v>
      </c>
      <c r="E9" s="111"/>
      <c r="F9" s="111"/>
      <c r="G9" s="111"/>
      <c r="H9" s="112"/>
    </row>
    <row r="10" spans="2:8" ht="18.6" customHeight="1">
      <c r="B10" s="110" t="s">
        <v>16</v>
      </c>
      <c r="C10" s="6">
        <f>SUM(C4:C9)</f>
        <v>1.0809999999999997</v>
      </c>
      <c r="D10" s="5">
        <f>SUM(D4:D9)</f>
        <v>1</v>
      </c>
      <c r="E10" s="111"/>
      <c r="F10" s="111"/>
      <c r="G10" s="111"/>
      <c r="H10" s="112"/>
    </row>
    <row r="11" spans="2:8" ht="18.6" customHeight="1">
      <c r="B11" s="110" t="s">
        <v>17</v>
      </c>
      <c r="C11" s="6">
        <v>0.23599999999999999</v>
      </c>
      <c r="D11" s="5">
        <v>0.21</v>
      </c>
      <c r="E11" s="113">
        <v>0.06</v>
      </c>
      <c r="F11" s="111">
        <f>IF(D11-E11&gt;0,D11-E11,0)</f>
        <v>0.14999999999999999</v>
      </c>
      <c r="G11" s="111">
        <f>D11+E11</f>
        <v>0.27000000000000002</v>
      </c>
      <c r="H11" s="112"/>
    </row>
    <row r="12" spans="2:3" ht="15.75" customHeight="1">
      <c r="B12" s="114"/>
      <c r="C12" s="115"/>
    </row>
    <row r="13" spans="2:8" ht="30" customHeight="1">
      <c r="B13" s="298" t="s">
        <v>95</v>
      </c>
      <c r="C13" s="298"/>
      <c r="D13" s="298"/>
      <c r="E13" s="298"/>
      <c r="F13" s="298"/>
      <c r="G13" s="298"/>
      <c r="H13" s="298"/>
    </row>
    <row r="14" spans="2:8" ht="64.5" customHeight="1">
      <c r="B14" s="109" t="s">
        <v>1</v>
      </c>
      <c r="C14" s="3" t="str">
        <f>C3</f>
        <v>שיעור חשיפה נכון 24.11.2020</v>
      </c>
      <c r="D14" s="3" t="s">
        <v>139</v>
      </c>
      <c r="E14" s="109" t="s">
        <v>3</v>
      </c>
      <c r="F14" s="294" t="s">
        <v>4</v>
      </c>
      <c r="G14" s="295"/>
      <c r="H14" s="51" t="s">
        <v>5</v>
      </c>
    </row>
    <row r="15" spans="2:8" ht="36.75" customHeight="1">
      <c r="B15" s="110" t="s">
        <v>6</v>
      </c>
      <c r="C15" s="6">
        <v>0.30</v>
      </c>
      <c r="D15" s="5">
        <v>0.27</v>
      </c>
      <c r="E15" s="111">
        <v>0.06</v>
      </c>
      <c r="F15" s="111">
        <f>IF(D15-E15&gt;0,D15-E15,0)</f>
        <v>0.21000000000000002</v>
      </c>
      <c r="G15" s="111">
        <f>D15+E15</f>
        <v>0.33000000000000002</v>
      </c>
      <c r="H15" s="112" t="s">
        <v>7</v>
      </c>
    </row>
    <row r="16" spans="2:8" ht="27.6" customHeight="1">
      <c r="B16" s="9" t="s">
        <v>8</v>
      </c>
      <c r="C16" s="6">
        <v>0.34399999999999997</v>
      </c>
      <c r="D16" s="5">
        <v>0.35</v>
      </c>
      <c r="E16" s="111">
        <v>0.05</v>
      </c>
      <c r="F16" s="111">
        <f>IF(D16-E16&gt;0,D16-E16,0)</f>
        <v>0.29999999999999999</v>
      </c>
      <c r="G16" s="111">
        <f>D16+E16</f>
        <v>0.39999999999999997</v>
      </c>
      <c r="H16" s="112" t="s">
        <v>9</v>
      </c>
    </row>
    <row r="17" spans="2:8" ht="78" customHeight="1">
      <c r="B17" s="110" t="s">
        <v>83</v>
      </c>
      <c r="C17" s="6">
        <v>0.192</v>
      </c>
      <c r="D17" s="5">
        <v>0.19</v>
      </c>
      <c r="E17" s="111">
        <v>0.06</v>
      </c>
      <c r="F17" s="111">
        <f>IF(D17-E17&gt;0,D17-E17,0)</f>
        <v>0.13</v>
      </c>
      <c r="G17" s="111">
        <f>D17+E17</f>
        <v>0.25</v>
      </c>
      <c r="H17" s="15" t="s">
        <v>11</v>
      </c>
    </row>
    <row r="18" spans="2:8" ht="18.6" customHeight="1">
      <c r="B18" s="110" t="s">
        <v>12</v>
      </c>
      <c r="C18" s="6">
        <v>0</v>
      </c>
      <c r="D18" s="5">
        <v>0</v>
      </c>
      <c r="E18" s="111">
        <v>0.05</v>
      </c>
      <c r="F18" s="111">
        <f>IF(D18-E18&gt;0,D18-E18,0)</f>
        <v>0</v>
      </c>
      <c r="G18" s="111">
        <f>D18+E18</f>
        <v>0.050000000000000003</v>
      </c>
      <c r="H18" s="112"/>
    </row>
    <row r="19" spans="2:8" ht="23.25" customHeight="1">
      <c r="B19" s="110" t="s">
        <v>19</v>
      </c>
      <c r="C19" s="6">
        <v>0.097000000000000003</v>
      </c>
      <c r="D19" s="5">
        <v>0.12</v>
      </c>
      <c r="E19" s="111">
        <v>0.05</v>
      </c>
      <c r="F19" s="111">
        <f>IF(D19-E19&gt;0,D19-E19,0)</f>
        <v>0.069999999999999993</v>
      </c>
      <c r="G19" s="111">
        <f>D19+E19</f>
        <v>0.16999999999999998</v>
      </c>
      <c r="H19" s="112"/>
    </row>
    <row r="20" spans="2:8" ht="18.6" customHeight="1">
      <c r="B20" s="110" t="s">
        <v>15</v>
      </c>
      <c r="C20" s="6">
        <v>0.068000000000000005</v>
      </c>
      <c r="D20" s="5">
        <v>0.070000000000000007</v>
      </c>
      <c r="E20" s="111"/>
      <c r="F20" s="111"/>
      <c r="G20" s="111"/>
      <c r="H20" s="112"/>
    </row>
    <row r="21" spans="2:8" ht="18.6" customHeight="1">
      <c r="B21" s="110" t="s">
        <v>16</v>
      </c>
      <c r="C21" s="6">
        <f>SUM(C15:C20)</f>
        <v>1.0009999999999999</v>
      </c>
      <c r="D21" s="5">
        <f>SUM(D15:D20)</f>
        <v>1</v>
      </c>
      <c r="E21" s="111"/>
      <c r="F21" s="111"/>
      <c r="G21" s="111"/>
      <c r="H21" s="112"/>
    </row>
    <row r="22" spans="2:8" ht="18.6" customHeight="1">
      <c r="B22" s="110" t="s">
        <v>17</v>
      </c>
      <c r="C22" s="6">
        <v>0.219</v>
      </c>
      <c r="D22" s="5">
        <v>0.21</v>
      </c>
      <c r="E22" s="113">
        <v>0.06</v>
      </c>
      <c r="F22" s="111">
        <f>IF(D22-E22&gt;0,D22-E22,0)</f>
        <v>0.14999999999999999</v>
      </c>
      <c r="G22" s="111">
        <f>D22+E22</f>
        <v>0.27000000000000002</v>
      </c>
      <c r="H22" s="112"/>
    </row>
    <row r="23" spans="3:8" ht="14.25">
      <c r="C23" s="16"/>
      <c r="D23" s="16"/>
      <c r="E23" s="16"/>
      <c r="F23" s="16"/>
      <c r="G23" s="16"/>
      <c r="H23" s="16"/>
    </row>
    <row r="24" spans="2:8" ht="30" customHeight="1">
      <c r="B24" s="298" t="s">
        <v>96</v>
      </c>
      <c r="C24" s="298"/>
      <c r="D24" s="298"/>
      <c r="E24" s="298"/>
      <c r="F24" s="298"/>
      <c r="G24" s="298"/>
      <c r="H24" s="298"/>
    </row>
    <row r="25" spans="2:8" ht="64.5" customHeight="1">
      <c r="B25" s="109" t="s">
        <v>1</v>
      </c>
      <c r="C25" s="3" t="str">
        <f>C14</f>
        <v>שיעור חשיפה נכון 24.11.2020</v>
      </c>
      <c r="D25" s="3" t="s">
        <v>201</v>
      </c>
      <c r="E25" s="109" t="s">
        <v>3</v>
      </c>
      <c r="F25" s="294" t="s">
        <v>4</v>
      </c>
      <c r="G25" s="295"/>
      <c r="H25" s="51" t="s">
        <v>5</v>
      </c>
    </row>
    <row r="26" spans="2:8" ht="36.75" customHeight="1">
      <c r="B26" s="110" t="s">
        <v>6</v>
      </c>
      <c r="C26" s="6">
        <v>0</v>
      </c>
      <c r="D26" s="5">
        <v>0</v>
      </c>
      <c r="E26" s="111">
        <v>0.06</v>
      </c>
      <c r="F26" s="111">
        <f>IF(D26-E26&gt;0,D26-E26,0)</f>
        <v>0</v>
      </c>
      <c r="G26" s="111">
        <f>D26+E26</f>
        <v>0.059999999999999998</v>
      </c>
      <c r="H26" s="112" t="s">
        <v>7</v>
      </c>
    </row>
    <row r="27" spans="2:8" ht="27.6" customHeight="1">
      <c r="B27" s="9" t="s">
        <v>8</v>
      </c>
      <c r="C27" s="6">
        <v>0.42399999999999999</v>
      </c>
      <c r="D27" s="5">
        <v>0.42</v>
      </c>
      <c r="E27" s="111">
        <v>0.05</v>
      </c>
      <c r="F27" s="111">
        <f>IF(D27-E27&gt;0,D27-E27,0)</f>
        <v>0.37</v>
      </c>
      <c r="G27" s="111">
        <f>D27+E27</f>
        <v>0.46999999999999997</v>
      </c>
      <c r="H27" s="112" t="s">
        <v>9</v>
      </c>
    </row>
    <row r="28" spans="2:8" ht="78" customHeight="1">
      <c r="B28" s="110" t="s">
        <v>83</v>
      </c>
      <c r="C28" s="6">
        <v>0.5</v>
      </c>
      <c r="D28" s="5">
        <v>0.52</v>
      </c>
      <c r="E28" s="111">
        <v>0.06</v>
      </c>
      <c r="F28" s="111">
        <f>IF(D28-E28&gt;0,D28-E28,0)</f>
        <v>0.46000000000000002</v>
      </c>
      <c r="G28" s="111">
        <f>D28+E28</f>
        <v>0.58000000000000007</v>
      </c>
      <c r="H28" s="15" t="s">
        <v>11</v>
      </c>
    </row>
    <row r="29" spans="2:8" ht="18.6" customHeight="1">
      <c r="B29" s="110" t="s">
        <v>12</v>
      </c>
      <c r="C29" s="6">
        <v>0</v>
      </c>
      <c r="D29" s="5">
        <v>0</v>
      </c>
      <c r="E29" s="111">
        <v>0.05</v>
      </c>
      <c r="F29" s="111">
        <f>IF(D29-E29&gt;0,D29-E29,0)</f>
        <v>0</v>
      </c>
      <c r="G29" s="111">
        <f>D29+E29</f>
        <v>0.050000000000000003</v>
      </c>
      <c r="H29" s="112"/>
    </row>
    <row r="30" spans="2:8" ht="23.25" customHeight="1">
      <c r="B30" s="110" t="s">
        <v>19</v>
      </c>
      <c r="C30" s="6">
        <v>0</v>
      </c>
      <c r="D30" s="5">
        <v>0.01</v>
      </c>
      <c r="E30" s="111">
        <v>0.05</v>
      </c>
      <c r="F30" s="111">
        <f>IF(D30-E30&gt;0,D30-E30,0)</f>
        <v>0</v>
      </c>
      <c r="G30" s="111">
        <f>D30+E30</f>
        <v>0.060000000000000005</v>
      </c>
      <c r="H30" s="112"/>
    </row>
    <row r="31" spans="2:8" ht="18.6" customHeight="1">
      <c r="B31" s="110" t="s">
        <v>15</v>
      </c>
      <c r="C31" s="6">
        <v>0.075999999999999998</v>
      </c>
      <c r="D31" s="5">
        <v>0.05</v>
      </c>
      <c r="E31" s="111"/>
      <c r="F31" s="111"/>
      <c r="G31" s="111"/>
      <c r="H31" s="112"/>
    </row>
    <row r="32" spans="2:8" ht="18.6" customHeight="1">
      <c r="B32" s="110" t="s">
        <v>16</v>
      </c>
      <c r="C32" s="6">
        <f>SUM(C26:C31)</f>
        <v>0.99999999999999989</v>
      </c>
      <c r="D32" s="5">
        <f>SUM(D26:D31)</f>
        <v>1</v>
      </c>
      <c r="E32" s="111"/>
      <c r="F32" s="111"/>
      <c r="G32" s="111"/>
      <c r="H32" s="112"/>
    </row>
    <row r="33" spans="2:8" ht="18.6" customHeight="1">
      <c r="B33" s="110" t="s">
        <v>17</v>
      </c>
      <c r="C33" s="6">
        <v>0.005</v>
      </c>
      <c r="D33" s="5">
        <v>0.01</v>
      </c>
      <c r="E33" s="113">
        <v>0.06</v>
      </c>
      <c r="F33" s="111">
        <f>IF(D33-E33&gt;0,D33-E33,0)</f>
        <v>0</v>
      </c>
      <c r="G33" s="111">
        <f>D33+E33</f>
        <v>0.069999999999999993</v>
      </c>
      <c r="H33" s="112"/>
    </row>
    <row r="36" spans="2:2" ht="15" thickBot="1">
      <c r="B36" s="16" t="s">
        <v>22</v>
      </c>
    </row>
    <row r="37" spans="2:8" ht="14.25">
      <c r="B37" s="228" t="s">
        <v>23</v>
      </c>
      <c r="C37" s="229"/>
      <c r="D37" s="229"/>
      <c r="E37" s="229"/>
      <c r="F37" s="229"/>
      <c r="G37" s="229"/>
      <c r="H37" s="250"/>
    </row>
    <row r="38" spans="2:8" ht="14.25">
      <c r="B38" s="244" t="s">
        <v>158</v>
      </c>
      <c r="C38" s="231"/>
      <c r="D38" s="231"/>
      <c r="E38" s="231"/>
      <c r="F38" s="231"/>
      <c r="G38" s="231"/>
      <c r="H38" s="251"/>
    </row>
    <row r="39" spans="2:8" ht="14.25">
      <c r="B39" s="244" t="s">
        <v>181</v>
      </c>
      <c r="C39" s="231"/>
      <c r="D39" s="231"/>
      <c r="E39" s="231"/>
      <c r="F39" s="231"/>
      <c r="G39" s="231"/>
      <c r="H39" s="251"/>
    </row>
    <row r="40" spans="2:8" ht="14.25">
      <c r="B40" s="244" t="s">
        <v>159</v>
      </c>
      <c r="C40" s="227"/>
      <c r="D40" s="231"/>
      <c r="E40" s="227"/>
      <c r="F40" s="231"/>
      <c r="G40" s="227"/>
      <c r="H40" s="251"/>
    </row>
    <row r="41" spans="2:8" ht="14.25">
      <c r="B41" s="244" t="s">
        <v>179</v>
      </c>
      <c r="C41" s="231"/>
      <c r="D41" s="231"/>
      <c r="E41" s="231"/>
      <c r="F41" s="231"/>
      <c r="G41" s="231"/>
      <c r="H41" s="251"/>
    </row>
    <row r="42" spans="2:8" ht="15" thickBot="1">
      <c r="B42" s="252"/>
      <c r="C42" s="253"/>
      <c r="D42" s="253"/>
      <c r="E42" s="253"/>
      <c r="F42" s="253"/>
      <c r="G42" s="253"/>
      <c r="H42" s="254"/>
    </row>
    <row r="43" ht="15" thickBot="1"/>
    <row r="44" spans="2:5" ht="14.25">
      <c r="B44" s="218" t="s">
        <v>143</v>
      </c>
      <c r="C44" s="219"/>
      <c r="D44" s="219"/>
      <c r="E44" s="220"/>
    </row>
    <row r="45" spans="2:5" ht="14.25">
      <c r="B45" s="221" t="s">
        <v>202</v>
      </c>
      <c r="C45" s="222"/>
      <c r="D45" s="222"/>
      <c r="E45" s="223"/>
    </row>
    <row r="46" spans="2:5" ht="14.25">
      <c r="B46" s="221" t="s">
        <v>175</v>
      </c>
      <c r="C46" s="222"/>
      <c r="D46" s="222"/>
      <c r="E46" s="223"/>
    </row>
    <row r="47" spans="2:5" ht="14.25">
      <c r="B47" s="221" t="s">
        <v>147</v>
      </c>
      <c r="C47" s="222"/>
      <c r="D47" s="222"/>
      <c r="E47" s="223"/>
    </row>
    <row r="48" spans="2:5" ht="15" thickBot="1">
      <c r="B48" s="224" t="s">
        <v>151</v>
      </c>
      <c r="C48" s="225"/>
      <c r="D48" s="225"/>
      <c r="E48" s="226"/>
    </row>
    <row r="49" ht="15" thickBot="1"/>
    <row r="50" spans="2:5" ht="14.25">
      <c r="B50" s="218" t="s">
        <v>148</v>
      </c>
      <c r="C50" s="219"/>
      <c r="D50" s="219"/>
      <c r="E50" s="220"/>
    </row>
    <row r="51" spans="2:5" ht="15" thickBot="1">
      <c r="B51" s="224" t="s">
        <v>151</v>
      </c>
      <c r="C51" s="225"/>
      <c r="D51" s="225"/>
      <c r="E51" s="226"/>
    </row>
  </sheetData>
  <sheetProtection/>
  <mergeCells count="7">
    <mergeCell ref="F25:G25"/>
    <mergeCell ref="B1:H1"/>
    <mergeCell ref="B2:H2"/>
    <mergeCell ref="F3:G3"/>
    <mergeCell ref="B13:H13"/>
    <mergeCell ref="F14:G14"/>
    <mergeCell ref="B24:H24"/>
  </mergeCells>
  <pageMargins left="0.25" right="0.25" top="0.75" bottom="0.75" header="0.3" footer="0.3"/>
  <pageSetup orientation="portrait" paperSize="9" scale="57"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I13"/>
  <sheetViews>
    <sheetView showGridLines="0" rightToLeft="1" zoomScale="80" zoomScaleNormal="80" zoomScaleSheetLayoutView="100" workbookViewId="0" topLeftCell="A1">
      <selection pane="topLeft" activeCell="C23" sqref="C23"/>
    </sheetView>
  </sheetViews>
  <sheetFormatPr defaultColWidth="8.85881696428571" defaultRowHeight="14.25"/>
  <cols>
    <col min="1" max="1" width="8.85714285714286" style="17"/>
    <col min="2" max="2" width="56" style="17"/>
    <col min="3" max="3" width="78.2857142857143" style="17"/>
    <col min="4" max="4" width="17.8571428571429" style="17"/>
    <col min="5" max="5" width="46.7142857142857" style="17"/>
    <col min="6" max="6" width="14.8571428571429" style="17"/>
    <col min="7" max="9" width="8.85714285714286" style="17"/>
    <col min="10" max="10" width="11.8571428571429" style="17"/>
    <col min="11" max="16384" width="8.85714285714286" style="17"/>
  </cols>
  <sheetData>
    <row r="1" spans="2:7" ht="30.6" customHeight="1">
      <c r="B1" s="296" t="str">
        <f>'גמל תלוי גיל'!B1:H1</f>
        <v>מדיניות השקעה צפויה לשנת 2021</v>
      </c>
      <c r="C1" s="296"/>
      <c r="D1" s="296"/>
      <c r="E1" s="297"/>
      <c r="F1" s="297"/>
      <c r="G1" s="297"/>
    </row>
    <row r="2" spans="2:5" ht="18">
      <c r="B2" s="116"/>
      <c r="C2" s="117" t="s">
        <v>97</v>
      </c>
      <c r="D2" s="118"/>
      <c r="E2" s="118"/>
    </row>
    <row r="3" spans="2:5" ht="15.75">
      <c r="B3" s="20" t="s">
        <v>26</v>
      </c>
      <c r="C3" s="20" t="s">
        <v>27</v>
      </c>
      <c r="D3" s="299" t="s">
        <v>5</v>
      </c>
      <c r="E3" s="300"/>
    </row>
    <row r="4" spans="2:9" s="119" customFormat="1" ht="15.6" customHeight="1">
      <c r="B4" s="26"/>
      <c r="C4" s="75"/>
      <c r="D4" s="33">
        <v>0.38</v>
      </c>
      <c r="E4" s="34" t="s">
        <v>9</v>
      </c>
      <c r="F4" s="48"/>
      <c r="G4" s="46"/>
      <c r="H4" s="46"/>
      <c r="I4" s="46"/>
    </row>
    <row r="5" spans="2:9" s="119" customFormat="1" ht="30" customHeight="1">
      <c r="B5" s="26" t="s">
        <v>98</v>
      </c>
      <c r="C5" s="120" t="s">
        <v>99</v>
      </c>
      <c r="D5" s="33">
        <v>0.21</v>
      </c>
      <c r="E5" s="25" t="s">
        <v>30</v>
      </c>
      <c r="F5" s="48"/>
      <c r="G5" s="47"/>
      <c r="H5" s="47"/>
      <c r="I5" s="47"/>
    </row>
    <row r="6" spans="2:9" s="119" customFormat="1" ht="15.6" customHeight="1">
      <c r="B6" s="26"/>
      <c r="C6" s="75"/>
      <c r="D6" s="33">
        <v>0.12</v>
      </c>
      <c r="E6" s="25" t="s">
        <v>31</v>
      </c>
      <c r="F6" s="121"/>
      <c r="G6" s="122"/>
      <c r="H6" s="122"/>
      <c r="I6" s="122"/>
    </row>
    <row r="7" spans="2:9" s="119" customFormat="1" ht="15.6" customHeight="1">
      <c r="B7" s="26"/>
      <c r="C7" s="75"/>
      <c r="D7" s="33">
        <v>0.08</v>
      </c>
      <c r="E7" s="25" t="s">
        <v>32</v>
      </c>
      <c r="F7" s="121"/>
      <c r="G7" s="123"/>
      <c r="H7" s="48"/>
      <c r="I7" s="48"/>
    </row>
    <row r="8" spans="2:5" s="119" customFormat="1" ht="15.6" customHeight="1">
      <c r="B8" s="26"/>
      <c r="C8" s="75"/>
      <c r="D8" s="33">
        <v>0.08</v>
      </c>
      <c r="E8" s="25" t="s">
        <v>34</v>
      </c>
    </row>
    <row r="9" spans="2:5" s="119" customFormat="1" ht="15.6" customHeight="1">
      <c r="B9" s="26"/>
      <c r="C9" s="75"/>
      <c r="D9" s="33">
        <v>0.08</v>
      </c>
      <c r="E9" s="25" t="s">
        <v>35</v>
      </c>
    </row>
    <row r="10" spans="2:6" s="119" customFormat="1" ht="15.6" customHeight="1">
      <c r="B10" s="26"/>
      <c r="C10" s="75"/>
      <c r="D10" s="33">
        <v>0.05</v>
      </c>
      <c r="E10" s="36" t="s">
        <v>36</v>
      </c>
      <c r="F10" s="17"/>
    </row>
    <row r="11" spans="6:6" ht="14.25">
      <c r="F11" s="40"/>
    </row>
    <row r="12" spans="2:6" ht="13.9" customHeight="1">
      <c r="B12" s="50" t="s">
        <v>23</v>
      </c>
      <c r="C12" s="40"/>
      <c r="D12" s="40"/>
      <c r="E12" s="40"/>
      <c r="F12" s="40"/>
    </row>
    <row r="13" spans="2:5" ht="14.25">
      <c r="B13" s="227" t="s">
        <v>204</v>
      </c>
      <c r="C13" s="40"/>
      <c r="D13" s="40"/>
      <c r="E13" s="40"/>
    </row>
  </sheetData>
  <sheetProtection/>
  <mergeCells count="2">
    <mergeCell ref="B1:G1"/>
    <mergeCell ref="D3:E3"/>
  </mergeCells>
  <pageMargins left="0.708661417322835" right="0.708661417322835" top="0.748031496062992" bottom="0.748031496062992" header="0.31496062992126" footer="0.31496062992126"/>
  <pageSetup orientation="landscape" paperSize="9" scale="55"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G41"/>
  <sheetViews>
    <sheetView showGridLines="0" rightToLeft="1" tabSelected="1" zoomScale="80" zoomScaleNormal="80" zoomScaleSheetLayoutView="100" workbookViewId="0" topLeftCell="A7">
      <selection pane="topLeft" activeCell="G25" sqref="G25"/>
    </sheetView>
  </sheetViews>
  <sheetFormatPr defaultColWidth="8.85881696428571" defaultRowHeight="14.25"/>
  <cols>
    <col min="1" max="1" width="8.85714285714286" style="124"/>
    <col min="2" max="2" width="45.5714285714286" style="124"/>
    <col min="3" max="3" width="78.2857142857143" style="124"/>
    <col min="4" max="4" width="24" style="126"/>
    <col min="5" max="5" width="65.5714285714286" style="127"/>
    <col min="6" max="6" width="26.1428571428571" style="124"/>
    <col min="7" max="8" width="8.85714285714286" style="124"/>
    <col min="9" max="9" width="14.5714285714286" style="124"/>
    <col min="10" max="16384" width="8.85714285714286" style="124"/>
  </cols>
  <sheetData>
    <row r="1" spans="2:7" ht="27.6" customHeight="1">
      <c r="B1" s="306" t="str">
        <f>'גמל תלוי גיל'!B1:H1</f>
        <v>מדיניות השקעה צפויה לשנת 2021</v>
      </c>
      <c r="C1" s="306"/>
      <c r="D1" s="306"/>
      <c r="E1" s="307"/>
      <c r="F1" s="307"/>
      <c r="G1" s="307"/>
    </row>
    <row r="2" spans="2:2" ht="13.9" customHeight="1">
      <c r="B2" s="125"/>
    </row>
    <row r="3" spans="2:5" ht="18">
      <c r="B3" s="308" t="s">
        <v>100</v>
      </c>
      <c r="C3" s="309"/>
      <c r="D3" s="309"/>
      <c r="E3" s="309"/>
    </row>
    <row r="4" spans="2:5" ht="15.75" customHeight="1">
      <c r="B4" s="128" t="s">
        <v>26</v>
      </c>
      <c r="C4" s="128" t="s">
        <v>27</v>
      </c>
      <c r="D4" s="310" t="s">
        <v>28</v>
      </c>
      <c r="E4" s="311"/>
    </row>
    <row r="5" spans="2:5" ht="15">
      <c r="B5" s="312" t="s">
        <v>101</v>
      </c>
      <c r="C5" s="312" t="s">
        <v>102</v>
      </c>
      <c r="D5" s="129">
        <v>0.38</v>
      </c>
      <c r="E5" s="130" t="s">
        <v>9</v>
      </c>
    </row>
    <row r="6" spans="2:5" ht="17.45" customHeight="1">
      <c r="B6" s="313"/>
      <c r="C6" s="313"/>
      <c r="D6" s="129">
        <v>0.21</v>
      </c>
      <c r="E6" s="131" t="s">
        <v>30</v>
      </c>
    </row>
    <row r="7" spans="2:5" ht="18.6" customHeight="1">
      <c r="B7" s="313"/>
      <c r="C7" s="313"/>
      <c r="D7" s="129">
        <v>0.12</v>
      </c>
      <c r="E7" s="131" t="s">
        <v>31</v>
      </c>
    </row>
    <row r="8" spans="2:5" ht="15">
      <c r="B8" s="313"/>
      <c r="C8" s="313"/>
      <c r="D8" s="129">
        <v>0.08</v>
      </c>
      <c r="E8" s="131" t="s">
        <v>32</v>
      </c>
    </row>
    <row r="9" spans="2:5" ht="17.45" customHeight="1">
      <c r="B9" s="313"/>
      <c r="C9" s="313"/>
      <c r="D9" s="129">
        <v>0.08</v>
      </c>
      <c r="E9" s="131" t="s">
        <v>34</v>
      </c>
    </row>
    <row r="10" spans="2:5" ht="17.45" customHeight="1">
      <c r="B10" s="313"/>
      <c r="C10" s="313"/>
      <c r="D10" s="129">
        <v>0.08</v>
      </c>
      <c r="E10" s="131" t="s">
        <v>35</v>
      </c>
    </row>
    <row r="11" spans="2:5" ht="15.75" thickBot="1">
      <c r="B11" s="314"/>
      <c r="C11" s="314"/>
      <c r="D11" s="132">
        <v>0.05</v>
      </c>
      <c r="E11" s="133" t="s">
        <v>36</v>
      </c>
    </row>
    <row r="12" spans="2:6" ht="18.6" customHeight="1" thickTop="1">
      <c r="B12" s="302" t="s">
        <v>206</v>
      </c>
      <c r="C12" s="302" t="s">
        <v>103</v>
      </c>
      <c r="D12" s="134">
        <v>0.24</v>
      </c>
      <c r="E12" s="135" t="s">
        <v>39</v>
      </c>
      <c r="F12" s="305"/>
    </row>
    <row r="13" spans="2:6" ht="18.6" customHeight="1">
      <c r="B13" s="303"/>
      <c r="C13" s="303"/>
      <c r="D13" s="136">
        <v>0.17</v>
      </c>
      <c r="E13" s="137" t="s">
        <v>42</v>
      </c>
      <c r="F13" s="305"/>
    </row>
    <row r="14" spans="2:6" ht="18.6" customHeight="1">
      <c r="B14" s="303"/>
      <c r="C14" s="303"/>
      <c r="D14" s="138">
        <v>0.21</v>
      </c>
      <c r="E14" s="139" t="s">
        <v>9</v>
      </c>
      <c r="F14" s="305"/>
    </row>
    <row r="15" spans="2:6" ht="18.6" customHeight="1">
      <c r="B15" s="303"/>
      <c r="C15" s="303"/>
      <c r="D15" s="138">
        <v>0.06</v>
      </c>
      <c r="E15" s="138" t="s">
        <v>34</v>
      </c>
      <c r="F15" s="305"/>
    </row>
    <row r="16" spans="2:6" ht="18.6" customHeight="1">
      <c r="B16" s="303"/>
      <c r="C16" s="303"/>
      <c r="D16" s="138">
        <v>0.06</v>
      </c>
      <c r="E16" s="138" t="s">
        <v>35</v>
      </c>
      <c r="F16" s="305"/>
    </row>
    <row r="17" spans="2:6" ht="18.6" customHeight="1">
      <c r="B17" s="303"/>
      <c r="C17" s="303"/>
      <c r="D17" s="138">
        <v>0.13</v>
      </c>
      <c r="E17" s="139" t="s">
        <v>47</v>
      </c>
      <c r="F17" s="305"/>
    </row>
    <row r="18" spans="2:6" ht="18.6" customHeight="1">
      <c r="B18" s="303"/>
      <c r="C18" s="303"/>
      <c r="D18" s="138">
        <v>0.070000000000000007</v>
      </c>
      <c r="E18" s="139" t="s">
        <v>48</v>
      </c>
      <c r="F18" s="305"/>
    </row>
    <row r="19" spans="2:6" ht="18.6" customHeight="1" thickBot="1">
      <c r="B19" s="304"/>
      <c r="C19" s="304"/>
      <c r="D19" s="140">
        <v>0.06</v>
      </c>
      <c r="E19" s="141" t="s">
        <v>50</v>
      </c>
      <c r="F19" s="305"/>
    </row>
    <row r="20" spans="2:6" ht="18.6" customHeight="1" thickTop="1">
      <c r="B20" s="302" t="s">
        <v>208</v>
      </c>
      <c r="C20" s="302" t="s">
        <v>104</v>
      </c>
      <c r="D20" s="134">
        <v>0.31</v>
      </c>
      <c r="E20" s="135" t="s">
        <v>57</v>
      </c>
      <c r="F20" s="305"/>
    </row>
    <row r="21" spans="2:6" ht="18.6" customHeight="1">
      <c r="B21" s="303"/>
      <c r="C21" s="303"/>
      <c r="D21" s="142">
        <v>0.11</v>
      </c>
      <c r="E21" s="135" t="s">
        <v>58</v>
      </c>
      <c r="F21" s="305"/>
    </row>
    <row r="22" spans="2:6" ht="18.6" customHeight="1">
      <c r="B22" s="303"/>
      <c r="C22" s="303"/>
      <c r="D22" s="142">
        <v>0.08</v>
      </c>
      <c r="E22" s="135" t="s">
        <v>60</v>
      </c>
      <c r="F22" s="305"/>
    </row>
    <row r="23" spans="2:6" ht="18.6" customHeight="1">
      <c r="B23" s="303"/>
      <c r="C23" s="303"/>
      <c r="D23" s="142">
        <v>0.06</v>
      </c>
      <c r="E23" s="135" t="s">
        <v>59</v>
      </c>
      <c r="F23" s="305"/>
    </row>
    <row r="24" spans="2:6" ht="18.6" customHeight="1">
      <c r="B24" s="303"/>
      <c r="C24" s="303"/>
      <c r="D24" s="136">
        <v>0.36</v>
      </c>
      <c r="E24" s="137" t="s">
        <v>42</v>
      </c>
      <c r="F24" s="305"/>
    </row>
    <row r="25" spans="2:6" ht="18.6" customHeight="1">
      <c r="B25" s="303"/>
      <c r="C25" s="303"/>
      <c r="D25" s="138">
        <v>0.02</v>
      </c>
      <c r="E25" s="139" t="s">
        <v>74</v>
      </c>
      <c r="F25" s="305"/>
    </row>
    <row r="26" spans="2:6" ht="18.6" customHeight="1">
      <c r="B26" s="303"/>
      <c r="C26" s="303"/>
      <c r="D26" s="138">
        <v>0.02</v>
      </c>
      <c r="E26" s="139" t="s">
        <v>75</v>
      </c>
      <c r="F26" s="305"/>
    </row>
    <row r="27" spans="2:6" ht="18.6" customHeight="1" thickBot="1">
      <c r="B27" s="304"/>
      <c r="C27" s="304"/>
      <c r="D27" s="140">
        <v>0.04</v>
      </c>
      <c r="E27" s="141" t="s">
        <v>36</v>
      </c>
      <c r="F27" s="305"/>
    </row>
    <row r="28" spans="2:6" ht="18.6" customHeight="1" thickTop="1">
      <c r="B28" s="302" t="s">
        <v>233</v>
      </c>
      <c r="C28" s="302" t="s">
        <v>64</v>
      </c>
      <c r="D28" s="134">
        <v>0.24</v>
      </c>
      <c r="E28" s="135" t="s">
        <v>57</v>
      </c>
      <c r="F28" s="305"/>
    </row>
    <row r="29" spans="2:6" ht="18.6" customHeight="1">
      <c r="B29" s="313"/>
      <c r="C29" s="313"/>
      <c r="D29" s="336">
        <v>0.16</v>
      </c>
      <c r="E29" s="337" t="s">
        <v>230</v>
      </c>
      <c r="F29" s="305"/>
    </row>
    <row r="30" spans="2:6" ht="60" customHeight="1" thickBot="1">
      <c r="B30" s="304"/>
      <c r="C30" s="304"/>
      <c r="D30" s="140">
        <v>0.60</v>
      </c>
      <c r="E30" s="141" t="s">
        <v>65</v>
      </c>
      <c r="F30" s="305"/>
    </row>
    <row r="31" spans="2:6" ht="18.6" customHeight="1" thickTop="1">
      <c r="B31" s="302" t="s">
        <v>210</v>
      </c>
      <c r="C31" s="302" t="s">
        <v>105</v>
      </c>
      <c r="D31" s="134">
        <v>0.24</v>
      </c>
      <c r="E31" s="135" t="s">
        <v>39</v>
      </c>
      <c r="F31" s="305"/>
    </row>
    <row r="32" spans="2:6" ht="18.6" customHeight="1">
      <c r="B32" s="303"/>
      <c r="C32" s="303"/>
      <c r="D32" s="136">
        <v>0.17</v>
      </c>
      <c r="E32" s="137" t="s">
        <v>42</v>
      </c>
      <c r="F32" s="305"/>
    </row>
    <row r="33" spans="2:6" ht="18.6" customHeight="1">
      <c r="B33" s="303"/>
      <c r="C33" s="303"/>
      <c r="D33" s="138">
        <v>0.21</v>
      </c>
      <c r="E33" s="139" t="s">
        <v>9</v>
      </c>
      <c r="F33" s="305"/>
    </row>
    <row r="34" spans="2:6" ht="18.6" customHeight="1">
      <c r="B34" s="303"/>
      <c r="C34" s="303"/>
      <c r="D34" s="138">
        <v>0.25</v>
      </c>
      <c r="E34" s="139" t="s">
        <v>48</v>
      </c>
      <c r="F34" s="305"/>
    </row>
    <row r="35" spans="2:6" ht="18.6" customHeight="1" thickBot="1">
      <c r="B35" s="304"/>
      <c r="C35" s="304"/>
      <c r="D35" s="140">
        <v>0.13</v>
      </c>
      <c r="E35" s="141" t="s">
        <v>106</v>
      </c>
      <c r="F35" s="305"/>
    </row>
    <row r="36" spans="2:5" ht="15" thickTop="1">
      <c r="B36" s="301" t="s">
        <v>76</v>
      </c>
      <c r="C36" s="301"/>
      <c r="D36" s="301"/>
      <c r="E36" s="301"/>
    </row>
    <row r="37" spans="2:5" ht="14.25">
      <c r="B37" s="301" t="s">
        <v>205</v>
      </c>
      <c r="C37" s="301"/>
      <c r="D37" s="301"/>
      <c r="E37" s="301"/>
    </row>
    <row r="38" spans="2:5" ht="14.25">
      <c r="B38" s="301" t="s">
        <v>207</v>
      </c>
      <c r="C38" s="301"/>
      <c r="D38" s="301"/>
      <c r="E38" s="301"/>
    </row>
    <row r="39" spans="2:5" ht="14.25">
      <c r="B39" s="301" t="s">
        <v>209</v>
      </c>
      <c r="C39" s="301"/>
      <c r="D39" s="301"/>
      <c r="E39" s="301"/>
    </row>
    <row r="40" spans="2:5" ht="14.25">
      <c r="B40" s="301" t="s">
        <v>211</v>
      </c>
      <c r="C40" s="301"/>
      <c r="D40" s="301"/>
      <c r="E40" s="301"/>
    </row>
    <row r="41" spans="2:5" ht="14.25">
      <c r="B41" s="301" t="s">
        <v>234</v>
      </c>
      <c r="C41" s="301"/>
      <c r="D41" s="301"/>
      <c r="E41" s="301"/>
    </row>
  </sheetData>
  <sheetProtection/>
  <mergeCells count="23">
    <mergeCell ref="B41:E41"/>
    <mergeCell ref="B1:G1"/>
    <mergeCell ref="B3:E3"/>
    <mergeCell ref="D4:E4"/>
    <mergeCell ref="B5:B11"/>
    <mergeCell ref="C5:C11"/>
    <mergeCell ref="B12:B19"/>
    <mergeCell ref="C12:C19"/>
    <mergeCell ref="F12:F19"/>
    <mergeCell ref="B20:B27"/>
    <mergeCell ref="C20:C27"/>
    <mergeCell ref="F20:F27"/>
    <mergeCell ref="B28:B30"/>
    <mergeCell ref="C28:C30"/>
    <mergeCell ref="F28:F30"/>
    <mergeCell ref="B40:E40"/>
    <mergeCell ref="B36:E36"/>
    <mergeCell ref="B31:B35"/>
    <mergeCell ref="C31:C35"/>
    <mergeCell ref="F31:F35"/>
    <mergeCell ref="B37:E37"/>
    <mergeCell ref="B38:E38"/>
    <mergeCell ref="B39:E39"/>
  </mergeCells>
  <pageMargins left="0.708661417322835" right="0.708661417322835" top="0.748031496062992" bottom="0.748031496062992" header="0.31496062992126" footer="0.31496062992126"/>
  <pageSetup orientation="landscape" paperSize="9" scale="45"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J75"/>
  <sheetViews>
    <sheetView showGridLines="0" rightToLeft="1" zoomScaleSheetLayoutView="100" workbookViewId="0" topLeftCell="A1">
      <selection pane="topLeft" activeCell="B22" sqref="B22"/>
    </sheetView>
  </sheetViews>
  <sheetFormatPr defaultColWidth="8.85881696428571" defaultRowHeight="14.25"/>
  <cols>
    <col min="1" max="1" width="8.85714285714286" style="143"/>
    <col min="2" max="2" width="48.7142857142857" style="143"/>
    <col min="3" max="4" width="13.4285714285714" style="143"/>
    <col min="5" max="7" width="10.2857142857143" style="143"/>
    <col min="8" max="8" width="36.4285714285714" style="143"/>
    <col min="9" max="9" width="39.5714285714286" style="143" hidden="1"/>
    <col min="10" max="10" width="42.2857142857143" style="143" hidden="1"/>
    <col min="11" max="11" width="18.4285714285714" style="143"/>
    <col min="12" max="16384" width="8.85714285714286" style="143"/>
  </cols>
  <sheetData>
    <row r="1" spans="2:8" ht="27.6" customHeight="1">
      <c r="B1" s="315" t="s">
        <v>24</v>
      </c>
      <c r="C1" s="315"/>
      <c r="D1" s="315"/>
      <c r="E1" s="315"/>
      <c r="F1" s="315"/>
      <c r="G1" s="315"/>
      <c r="H1" s="315"/>
    </row>
    <row r="2" spans="2:8" ht="30" customHeight="1" thickBot="1">
      <c r="B2" s="316" t="s">
        <v>107</v>
      </c>
      <c r="C2" s="317"/>
      <c r="D2" s="317"/>
      <c r="E2" s="317"/>
      <c r="F2" s="317"/>
      <c r="G2" s="317"/>
      <c r="H2" s="317"/>
    </row>
    <row r="3" spans="2:10" ht="49.9" customHeight="1" thickTop="1" thickBot="1">
      <c r="B3" s="144" t="s">
        <v>1</v>
      </c>
      <c r="C3" s="51" t="s">
        <v>2</v>
      </c>
      <c r="D3" s="3" t="s">
        <v>138</v>
      </c>
      <c r="E3" s="144" t="s">
        <v>3</v>
      </c>
      <c r="F3" s="318" t="s">
        <v>4</v>
      </c>
      <c r="G3" s="319"/>
      <c r="H3" s="145" t="s">
        <v>5</v>
      </c>
      <c r="I3" s="146" t="s">
        <v>108</v>
      </c>
      <c r="J3" s="147" t="s">
        <v>109</v>
      </c>
    </row>
    <row r="4" spans="2:10" ht="27.6" customHeight="1" thickTop="1">
      <c r="B4" s="148" t="s">
        <v>80</v>
      </c>
      <c r="C4" s="150">
        <v>0.42399999999999999</v>
      </c>
      <c r="D4" s="248">
        <v>0.40</v>
      </c>
      <c r="E4" s="248">
        <v>0.06</v>
      </c>
      <c r="F4" s="248">
        <f>IF(D4-E4&gt;0,D4-E4,0)</f>
        <v>0.34000000000000002</v>
      </c>
      <c r="G4" s="248">
        <f>D4+E4</f>
        <v>0.46000000000000002</v>
      </c>
      <c r="H4" s="248" t="s">
        <v>110</v>
      </c>
      <c r="I4" s="152" t="s">
        <v>111</v>
      </c>
      <c r="J4" s="153" t="s">
        <v>112</v>
      </c>
    </row>
    <row r="5" spans="2:10" ht="27.6" customHeight="1">
      <c r="B5" s="148" t="s">
        <v>113</v>
      </c>
      <c r="C5" s="150">
        <v>0.30299999999999999</v>
      </c>
      <c r="D5" s="248">
        <v>0.21</v>
      </c>
      <c r="E5" s="248">
        <v>0.05</v>
      </c>
      <c r="F5" s="248">
        <f t="shared" si="0" ref="F5:F11">IF(D5-E5&gt;0,D5-E5,0)</f>
        <v>0.15999999999999998</v>
      </c>
      <c r="G5" s="248">
        <f t="shared" si="1" ref="G5:G11">D5+E5</f>
        <v>0.26000000000000001</v>
      </c>
      <c r="H5" s="248" t="s">
        <v>9</v>
      </c>
      <c r="I5" s="155" t="s">
        <v>114</v>
      </c>
      <c r="J5" s="156" t="s">
        <v>115</v>
      </c>
    </row>
    <row r="6" spans="2:10" ht="65.25" customHeight="1">
      <c r="B6" s="148" t="s">
        <v>83</v>
      </c>
      <c r="C6" s="150">
        <v>0.26900000000000002</v>
      </c>
      <c r="D6" s="248">
        <v>0.35</v>
      </c>
      <c r="E6" s="248">
        <v>0.06</v>
      </c>
      <c r="F6" s="248">
        <f>IF(D6-E6&gt;0,D6-E6,0)</f>
        <v>0.28999999999999998</v>
      </c>
      <c r="G6" s="248">
        <f>D6+E6</f>
        <v>0.40999999999999998</v>
      </c>
      <c r="H6" s="248" t="s">
        <v>11</v>
      </c>
      <c r="I6" s="155" t="s">
        <v>116</v>
      </c>
      <c r="J6" s="157" t="s">
        <v>117</v>
      </c>
    </row>
    <row r="7" spans="2:10" ht="18.6" customHeight="1">
      <c r="B7" s="148" t="s">
        <v>12</v>
      </c>
      <c r="C7" s="150">
        <v>0</v>
      </c>
      <c r="D7" s="248">
        <v>0</v>
      </c>
      <c r="E7" s="248">
        <v>0.05</v>
      </c>
      <c r="F7" s="248">
        <f>IF(D7-E7&gt;0,D7-E7,0)</f>
        <v>0</v>
      </c>
      <c r="G7" s="248">
        <f>D7+E7</f>
        <v>0.050000000000000003</v>
      </c>
      <c r="H7" s="248"/>
      <c r="I7" s="152" t="s">
        <v>84</v>
      </c>
      <c r="J7" s="157" t="s">
        <v>118</v>
      </c>
    </row>
    <row r="8" spans="2:10" ht="27.75" customHeight="1">
      <c r="B8" s="148" t="s">
        <v>119</v>
      </c>
      <c r="C8" s="150">
        <v>0.0070000000000000001</v>
      </c>
      <c r="D8" s="248">
        <v>0</v>
      </c>
      <c r="E8" s="248">
        <v>0.05</v>
      </c>
      <c r="F8" s="248">
        <f>IF(D8-E8&gt;0,D8-E8,0)</f>
        <v>0</v>
      </c>
      <c r="G8" s="248">
        <f>D8+E8</f>
        <v>0.050000000000000003</v>
      </c>
      <c r="H8" s="248"/>
      <c r="I8" s="152" t="s">
        <v>16</v>
      </c>
      <c r="J8" s="157" t="s">
        <v>120</v>
      </c>
    </row>
    <row r="9" spans="2:10" ht="18.6" customHeight="1">
      <c r="B9" s="148" t="s">
        <v>15</v>
      </c>
      <c r="C9" s="150">
        <v>0.034000000000000002</v>
      </c>
      <c r="D9" s="248">
        <v>0.04</v>
      </c>
      <c r="E9" s="248"/>
      <c r="F9" s="248"/>
      <c r="G9" s="248"/>
      <c r="H9" s="248"/>
      <c r="I9" s="158" t="s">
        <v>121</v>
      </c>
      <c r="J9" s="156" t="s">
        <v>122</v>
      </c>
    </row>
    <row r="10" spans="2:10" ht="18.6" customHeight="1">
      <c r="B10" s="148" t="s">
        <v>16</v>
      </c>
      <c r="C10" s="150">
        <f>SUM(C4:C9)</f>
        <v>1.0369999999999999</v>
      </c>
      <c r="D10" s="248">
        <f>SUM(D4:D9)</f>
        <v>1</v>
      </c>
      <c r="E10" s="248"/>
      <c r="F10" s="248"/>
      <c r="G10" s="248"/>
      <c r="H10" s="248"/>
      <c r="I10" s="159"/>
      <c r="J10" s="157" t="s">
        <v>123</v>
      </c>
    </row>
    <row r="11" spans="2:10" ht="18.6" customHeight="1">
      <c r="B11" s="148" t="s">
        <v>17</v>
      </c>
      <c r="C11" s="150">
        <v>0.217</v>
      </c>
      <c r="D11" s="248">
        <v>0.21</v>
      </c>
      <c r="E11" s="248">
        <v>0.06</v>
      </c>
      <c r="F11" s="248">
        <f>IF(D11-E11&gt;0,D11-E11,0)</f>
        <v>0.14999999999999999</v>
      </c>
      <c r="G11" s="248">
        <f>D11+E11</f>
        <v>0.27000000000000002</v>
      </c>
      <c r="H11" s="248"/>
      <c r="I11" s="159"/>
      <c r="J11" s="157" t="s">
        <v>124</v>
      </c>
    </row>
    <row r="12" spans="2:8" ht="14.25">
      <c r="B12" s="160"/>
      <c r="C12" s="160"/>
      <c r="D12" s="160"/>
      <c r="E12" s="160"/>
      <c r="F12" s="160"/>
      <c r="G12" s="160"/>
      <c r="H12" s="160"/>
    </row>
    <row r="13" spans="2:9" ht="14.25" customHeight="1" thickBot="1">
      <c r="B13" s="161" t="s">
        <v>22</v>
      </c>
      <c r="C13" s="162"/>
      <c r="D13" s="162"/>
      <c r="E13" s="162"/>
      <c r="F13" s="162"/>
      <c r="G13" s="162"/>
      <c r="H13" s="162"/>
      <c r="I13" s="160"/>
    </row>
    <row r="14" spans="2:8" ht="14.25">
      <c r="B14" s="228" t="s">
        <v>23</v>
      </c>
      <c r="C14" s="229"/>
      <c r="D14" s="229"/>
      <c r="E14" s="229"/>
      <c r="F14" s="229"/>
      <c r="G14" s="259"/>
      <c r="H14" s="255"/>
    </row>
    <row r="15" spans="2:8" ht="14.25">
      <c r="B15" s="244" t="s">
        <v>158</v>
      </c>
      <c r="C15" s="231"/>
      <c r="D15" s="231"/>
      <c r="E15" s="231"/>
      <c r="F15" s="231"/>
      <c r="G15" s="249"/>
      <c r="H15" s="256"/>
    </row>
    <row r="16" spans="2:8" ht="14.25">
      <c r="B16" s="244" t="s">
        <v>181</v>
      </c>
      <c r="C16" s="231"/>
      <c r="D16" s="231"/>
      <c r="E16" s="231"/>
      <c r="F16" s="231"/>
      <c r="G16" s="249"/>
      <c r="H16" s="256"/>
    </row>
    <row r="17" spans="2:8" ht="14.25">
      <c r="B17" s="244" t="s">
        <v>159</v>
      </c>
      <c r="C17" s="231"/>
      <c r="D17" s="227"/>
      <c r="E17" s="231"/>
      <c r="F17" s="227"/>
      <c r="G17" s="249"/>
      <c r="H17" s="256"/>
    </row>
    <row r="18" spans="2:8" ht="14.25">
      <c r="B18" s="244" t="s">
        <v>179</v>
      </c>
      <c r="C18" s="231"/>
      <c r="D18" s="231"/>
      <c r="E18" s="231"/>
      <c r="F18" s="231"/>
      <c r="G18" s="249"/>
      <c r="H18" s="256"/>
    </row>
    <row r="19" spans="2:8" ht="15" thickBot="1">
      <c r="B19" s="252"/>
      <c r="C19" s="253"/>
      <c r="D19" s="253"/>
      <c r="E19" s="253"/>
      <c r="F19" s="253"/>
      <c r="G19" s="253"/>
      <c r="H19" s="257"/>
    </row>
    <row r="20" spans="2:8" ht="15" thickBot="1">
      <c r="B20" s="160"/>
      <c r="C20" s="160"/>
      <c r="D20" s="160"/>
      <c r="E20" s="160"/>
      <c r="F20" s="160"/>
      <c r="G20" s="160"/>
      <c r="H20" s="160"/>
    </row>
    <row r="21" spans="2:8" ht="14.25">
      <c r="B21" s="218" t="s">
        <v>143</v>
      </c>
      <c r="C21" s="219"/>
      <c r="D21" s="219"/>
      <c r="E21" s="220"/>
      <c r="F21" s="160"/>
      <c r="G21" s="160"/>
      <c r="H21" s="160"/>
    </row>
    <row r="22" spans="2:8" ht="14.25">
      <c r="B22" s="221" t="s">
        <v>212</v>
      </c>
      <c r="C22" s="222"/>
      <c r="D22" s="222"/>
      <c r="E22" s="223"/>
      <c r="F22" s="160"/>
      <c r="G22" s="160"/>
      <c r="H22" s="160"/>
    </row>
    <row r="23" spans="2:8" ht="14.25">
      <c r="B23" s="221" t="s">
        <v>213</v>
      </c>
      <c r="C23" s="222"/>
      <c r="D23" s="222"/>
      <c r="E23" s="223"/>
      <c r="F23" s="160"/>
      <c r="G23" s="160"/>
      <c r="H23" s="160"/>
    </row>
    <row r="24" spans="2:8" ht="14.25">
      <c r="B24" s="221" t="s">
        <v>214</v>
      </c>
      <c r="C24" s="222"/>
      <c r="D24" s="222"/>
      <c r="E24" s="223"/>
      <c r="F24" s="160"/>
      <c r="G24" s="160"/>
      <c r="H24" s="160"/>
    </row>
    <row r="25" spans="2:8" ht="15" thickBot="1">
      <c r="B25" s="224" t="s">
        <v>151</v>
      </c>
      <c r="C25" s="225"/>
      <c r="D25" s="225"/>
      <c r="E25" s="226"/>
      <c r="F25" s="160"/>
      <c r="G25" s="160"/>
      <c r="H25" s="160"/>
    </row>
    <row r="26" spans="2:8" ht="14.25">
      <c r="B26" s="160"/>
      <c r="C26" s="160"/>
      <c r="D26" s="160"/>
      <c r="E26" s="160"/>
      <c r="F26" s="160"/>
      <c r="G26" s="160"/>
      <c r="H26" s="160"/>
    </row>
    <row r="27" spans="2:8" ht="14.25">
      <c r="B27" s="160"/>
      <c r="C27" s="160"/>
      <c r="D27" s="160"/>
      <c r="E27" s="160"/>
      <c r="F27" s="160"/>
      <c r="G27" s="160"/>
      <c r="H27" s="160"/>
    </row>
    <row r="28" spans="2:8" ht="14.25">
      <c r="B28" s="160"/>
      <c r="C28" s="160"/>
      <c r="D28" s="160"/>
      <c r="E28" s="160"/>
      <c r="F28" s="160"/>
      <c r="G28" s="160"/>
      <c r="H28" s="160"/>
    </row>
    <row r="29" spans="2:8" ht="14.25">
      <c r="B29" s="160"/>
      <c r="C29" s="160"/>
      <c r="D29" s="160"/>
      <c r="E29" s="160"/>
      <c r="F29" s="160"/>
      <c r="G29" s="160"/>
      <c r="H29" s="160"/>
    </row>
    <row r="30" spans="2:8" ht="14.25">
      <c r="B30" s="160"/>
      <c r="C30" s="160"/>
      <c r="D30" s="160"/>
      <c r="E30" s="160"/>
      <c r="F30" s="160"/>
      <c r="G30" s="160"/>
      <c r="H30" s="160"/>
    </row>
    <row r="31" spans="2:8" ht="14.25">
      <c r="B31" s="160"/>
      <c r="C31" s="160"/>
      <c r="D31" s="160"/>
      <c r="E31" s="160"/>
      <c r="F31" s="160"/>
      <c r="G31" s="160"/>
      <c r="H31" s="160"/>
    </row>
    <row r="32" spans="2:8" ht="14.25">
      <c r="B32" s="160"/>
      <c r="C32" s="160"/>
      <c r="D32" s="160"/>
      <c r="E32" s="160"/>
      <c r="F32" s="160"/>
      <c r="G32" s="160"/>
      <c r="H32" s="160"/>
    </row>
    <row r="33" spans="2:8" ht="14.25">
      <c r="B33" s="160"/>
      <c r="C33" s="160"/>
      <c r="D33" s="160"/>
      <c r="E33" s="160"/>
      <c r="F33" s="160"/>
      <c r="G33" s="160"/>
      <c r="H33" s="160"/>
    </row>
    <row r="34" spans="2:8" ht="14.25">
      <c r="B34" s="160"/>
      <c r="C34" s="160"/>
      <c r="D34" s="160"/>
      <c r="E34" s="160"/>
      <c r="F34" s="160"/>
      <c r="G34" s="160"/>
      <c r="H34" s="160"/>
    </row>
    <row r="35" spans="2:8" ht="14.25">
      <c r="B35" s="160"/>
      <c r="C35" s="160"/>
      <c r="D35" s="160"/>
      <c r="E35" s="160"/>
      <c r="F35" s="160"/>
      <c r="G35" s="160"/>
      <c r="H35" s="160"/>
    </row>
    <row r="36" spans="2:8" ht="14.25">
      <c r="B36" s="160"/>
      <c r="C36" s="160"/>
      <c r="D36" s="160"/>
      <c r="E36" s="160"/>
      <c r="F36" s="160"/>
      <c r="G36" s="160"/>
      <c r="H36" s="160"/>
    </row>
    <row r="37" spans="2:8" ht="14.25">
      <c r="B37" s="160"/>
      <c r="C37" s="160"/>
      <c r="D37" s="160"/>
      <c r="E37" s="160"/>
      <c r="F37" s="160"/>
      <c r="G37" s="160"/>
      <c r="H37" s="160"/>
    </row>
    <row r="38" spans="2:8" ht="14.25">
      <c r="B38" s="160"/>
      <c r="C38" s="160"/>
      <c r="D38" s="160"/>
      <c r="E38" s="160"/>
      <c r="F38" s="160"/>
      <c r="G38" s="160"/>
      <c r="H38" s="160"/>
    </row>
    <row r="39" spans="2:8" ht="14.25">
      <c r="B39" s="160"/>
      <c r="C39" s="160"/>
      <c r="D39" s="160"/>
      <c r="E39" s="160"/>
      <c r="F39" s="160"/>
      <c r="G39" s="160"/>
      <c r="H39" s="160"/>
    </row>
    <row r="40" spans="2:8" ht="14.25">
      <c r="B40" s="160"/>
      <c r="C40" s="160"/>
      <c r="D40" s="160"/>
      <c r="E40" s="160"/>
      <c r="F40" s="160"/>
      <c r="G40" s="160"/>
      <c r="H40" s="160"/>
    </row>
    <row r="41" spans="2:8" ht="14.25">
      <c r="B41" s="160"/>
      <c r="C41" s="160"/>
      <c r="D41" s="160"/>
      <c r="E41" s="160"/>
      <c r="F41" s="160"/>
      <c r="G41" s="160"/>
      <c r="H41" s="160"/>
    </row>
    <row r="42" spans="2:8" ht="14.25">
      <c r="B42" s="160"/>
      <c r="C42" s="160"/>
      <c r="D42" s="160"/>
      <c r="E42" s="160"/>
      <c r="F42" s="160"/>
      <c r="G42" s="160"/>
      <c r="H42" s="160"/>
    </row>
    <row r="43" spans="2:8" ht="14.25">
      <c r="B43" s="160"/>
      <c r="C43" s="160"/>
      <c r="D43" s="160"/>
      <c r="E43" s="160"/>
      <c r="F43" s="160"/>
      <c r="G43" s="160"/>
      <c r="H43" s="160"/>
    </row>
    <row r="44" spans="2:8" ht="14.25">
      <c r="B44" s="160"/>
      <c r="C44" s="160"/>
      <c r="D44" s="160"/>
      <c r="E44" s="160"/>
      <c r="F44" s="160"/>
      <c r="G44" s="160"/>
      <c r="H44" s="160"/>
    </row>
    <row r="45" spans="2:8" ht="14.25">
      <c r="B45" s="160"/>
      <c r="C45" s="160"/>
      <c r="D45" s="160"/>
      <c r="E45" s="160"/>
      <c r="F45" s="160"/>
      <c r="G45" s="160"/>
      <c r="H45" s="160"/>
    </row>
    <row r="46" spans="2:8" ht="14.25">
      <c r="B46" s="160"/>
      <c r="C46" s="160"/>
      <c r="D46" s="160"/>
      <c r="E46" s="160"/>
      <c r="F46" s="160"/>
      <c r="G46" s="160"/>
      <c r="H46" s="160"/>
    </row>
    <row r="47" spans="2:8" ht="14.25">
      <c r="B47" s="160"/>
      <c r="C47" s="160"/>
      <c r="D47" s="160"/>
      <c r="E47" s="160"/>
      <c r="F47" s="160"/>
      <c r="G47" s="160"/>
      <c r="H47" s="160"/>
    </row>
    <row r="48" spans="2:8" ht="14.25">
      <c r="B48" s="160"/>
      <c r="C48" s="160"/>
      <c r="D48" s="160"/>
      <c r="E48" s="160"/>
      <c r="F48" s="160"/>
      <c r="G48" s="160"/>
      <c r="H48" s="160"/>
    </row>
    <row r="49" spans="2:8" ht="14.25">
      <c r="B49" s="160"/>
      <c r="C49" s="160"/>
      <c r="D49" s="160"/>
      <c r="E49" s="160"/>
      <c r="F49" s="160"/>
      <c r="G49" s="160"/>
      <c r="H49" s="160"/>
    </row>
    <row r="50" spans="2:8" ht="14.25">
      <c r="B50" s="160"/>
      <c r="C50" s="160"/>
      <c r="D50" s="160"/>
      <c r="E50" s="160"/>
      <c r="F50" s="160"/>
      <c r="G50" s="160"/>
      <c r="H50" s="160"/>
    </row>
    <row r="51" spans="2:8" ht="14.25">
      <c r="B51" s="160"/>
      <c r="C51" s="160"/>
      <c r="D51" s="160"/>
      <c r="E51" s="160"/>
      <c r="F51" s="160"/>
      <c r="G51" s="160"/>
      <c r="H51" s="160"/>
    </row>
    <row r="52" spans="2:8" ht="14.25">
      <c r="B52" s="160"/>
      <c r="C52" s="160"/>
      <c r="D52" s="160"/>
      <c r="E52" s="160"/>
      <c r="F52" s="160"/>
      <c r="G52" s="160"/>
      <c r="H52" s="160"/>
    </row>
    <row r="53" spans="2:8" ht="14.25">
      <c r="B53" s="160"/>
      <c r="C53" s="160"/>
      <c r="D53" s="160"/>
      <c r="E53" s="160"/>
      <c r="F53" s="160"/>
      <c r="G53" s="160"/>
      <c r="H53" s="160"/>
    </row>
    <row r="54" spans="2:8" ht="14.25">
      <c r="B54" s="160"/>
      <c r="C54" s="160"/>
      <c r="D54" s="160"/>
      <c r="E54" s="160"/>
      <c r="F54" s="160"/>
      <c r="G54" s="160"/>
      <c r="H54" s="160"/>
    </row>
    <row r="55" spans="2:8" ht="14.25">
      <c r="B55" s="160"/>
      <c r="C55" s="160"/>
      <c r="D55" s="160"/>
      <c r="E55" s="160"/>
      <c r="F55" s="160"/>
      <c r="G55" s="160"/>
      <c r="H55" s="160"/>
    </row>
    <row r="56" spans="2:8" ht="14.25">
      <c r="B56" s="160"/>
      <c r="C56" s="160"/>
      <c r="D56" s="160"/>
      <c r="E56" s="160"/>
      <c r="F56" s="160"/>
      <c r="G56" s="160"/>
      <c r="H56" s="160"/>
    </row>
    <row r="57" spans="2:8" ht="14.25">
      <c r="B57" s="160"/>
      <c r="C57" s="160"/>
      <c r="D57" s="160"/>
      <c r="E57" s="160"/>
      <c r="F57" s="160"/>
      <c r="G57" s="160"/>
      <c r="H57" s="160"/>
    </row>
    <row r="58" spans="2:8" ht="14.25">
      <c r="B58" s="160"/>
      <c r="C58" s="160"/>
      <c r="D58" s="160"/>
      <c r="E58" s="160"/>
      <c r="F58" s="160"/>
      <c r="G58" s="160"/>
      <c r="H58" s="160"/>
    </row>
    <row r="59" spans="2:8" ht="14.25">
      <c r="B59" s="160"/>
      <c r="C59" s="160"/>
      <c r="D59" s="160"/>
      <c r="E59" s="160"/>
      <c r="F59" s="160"/>
      <c r="G59" s="160"/>
      <c r="H59" s="160"/>
    </row>
    <row r="60" spans="2:8" ht="14.25">
      <c r="B60" s="160"/>
      <c r="C60" s="160"/>
      <c r="D60" s="160"/>
      <c r="E60" s="160"/>
      <c r="F60" s="160"/>
      <c r="G60" s="160"/>
      <c r="H60" s="160"/>
    </row>
    <row r="61" spans="2:8" ht="14.25">
      <c r="B61" s="160"/>
      <c r="C61" s="160"/>
      <c r="D61" s="160"/>
      <c r="E61" s="160"/>
      <c r="F61" s="160"/>
      <c r="G61" s="160"/>
      <c r="H61" s="160"/>
    </row>
    <row r="62" spans="2:8" ht="14.25">
      <c r="B62" s="160"/>
      <c r="C62" s="160"/>
      <c r="D62" s="160"/>
      <c r="E62" s="160"/>
      <c r="F62" s="160"/>
      <c r="G62" s="160"/>
      <c r="H62" s="160"/>
    </row>
    <row r="63" spans="2:8" ht="14.25">
      <c r="B63" s="160"/>
      <c r="C63" s="160"/>
      <c r="D63" s="160"/>
      <c r="E63" s="160"/>
      <c r="F63" s="160"/>
      <c r="G63" s="160"/>
      <c r="H63" s="160"/>
    </row>
    <row r="64" spans="2:8" ht="14.25">
      <c r="B64" s="160"/>
      <c r="C64" s="160"/>
      <c r="D64" s="160"/>
      <c r="E64" s="160"/>
      <c r="F64" s="160"/>
      <c r="G64" s="160"/>
      <c r="H64" s="160"/>
    </row>
    <row r="65" spans="2:8" ht="14.25">
      <c r="B65" s="160"/>
      <c r="C65" s="160"/>
      <c r="D65" s="160"/>
      <c r="E65" s="160"/>
      <c r="F65" s="160"/>
      <c r="G65" s="160"/>
      <c r="H65" s="160"/>
    </row>
    <row r="66" spans="2:8" ht="14.25">
      <c r="B66" s="160"/>
      <c r="C66" s="160"/>
      <c r="D66" s="160"/>
      <c r="E66" s="160"/>
      <c r="F66" s="160"/>
      <c r="G66" s="160"/>
      <c r="H66" s="160"/>
    </row>
    <row r="67" spans="2:8" ht="14.25">
      <c r="B67" s="160"/>
      <c r="C67" s="160"/>
      <c r="D67" s="160"/>
      <c r="E67" s="160"/>
      <c r="F67" s="160"/>
      <c r="G67" s="160"/>
      <c r="H67" s="160"/>
    </row>
    <row r="68" spans="2:8" ht="14.25">
      <c r="B68" s="160"/>
      <c r="C68" s="160"/>
      <c r="D68" s="160"/>
      <c r="E68" s="160"/>
      <c r="F68" s="160"/>
      <c r="G68" s="160"/>
      <c r="H68" s="160"/>
    </row>
    <row r="69" spans="2:8" ht="14.25">
      <c r="B69" s="160"/>
      <c r="C69" s="160"/>
      <c r="D69" s="160"/>
      <c r="E69" s="160"/>
      <c r="F69" s="160"/>
      <c r="G69" s="160"/>
      <c r="H69" s="160"/>
    </row>
    <row r="70" spans="2:8" ht="14.25">
      <c r="B70" s="160"/>
      <c r="C70" s="160"/>
      <c r="D70" s="160"/>
      <c r="E70" s="160"/>
      <c r="F70" s="160"/>
      <c r="G70" s="160"/>
      <c r="H70" s="160"/>
    </row>
    <row r="71" spans="2:8" ht="14.25">
      <c r="B71" s="160"/>
      <c r="C71" s="160"/>
      <c r="D71" s="160"/>
      <c r="E71" s="160"/>
      <c r="F71" s="160"/>
      <c r="G71" s="160"/>
      <c r="H71" s="160"/>
    </row>
    <row r="72" spans="2:8" ht="14.25">
      <c r="B72" s="160"/>
      <c r="C72" s="160"/>
      <c r="D72" s="160"/>
      <c r="E72" s="160"/>
      <c r="F72" s="160"/>
      <c r="G72" s="160"/>
      <c r="H72" s="160"/>
    </row>
    <row r="73" spans="2:8" ht="14.25">
      <c r="B73" s="160"/>
      <c r="C73" s="160"/>
      <c r="D73" s="160"/>
      <c r="E73" s="160"/>
      <c r="F73" s="160"/>
      <c r="G73" s="160"/>
      <c r="H73" s="160"/>
    </row>
    <row r="74" spans="2:8" ht="14.25">
      <c r="B74" s="160"/>
      <c r="C74" s="160"/>
      <c r="D74" s="160"/>
      <c r="E74" s="160"/>
      <c r="F74" s="160"/>
      <c r="G74" s="160"/>
      <c r="H74" s="160"/>
    </row>
    <row r="75" spans="2:8" ht="14.25">
      <c r="B75" s="160"/>
      <c r="C75" s="160"/>
      <c r="D75" s="160"/>
      <c r="E75" s="160"/>
      <c r="F75" s="160"/>
      <c r="G75" s="160"/>
      <c r="H75" s="160"/>
    </row>
  </sheetData>
  <sheetProtection/>
  <mergeCells count="3">
    <mergeCell ref="B1:H1"/>
    <mergeCell ref="B2:H2"/>
    <mergeCell ref="F3:G3"/>
  </mergeCells>
  <printOptions horizontalCentered="1"/>
  <pageMargins left="0.25" right="0.25" top="0.75" bottom="0.75" header="0.3" footer="0.3"/>
  <pageSetup fitToHeight="0" orientation="landscape" paperSize="9" scale="76"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I94"/>
  <sheetViews>
    <sheetView showGridLines="0" rightToLeft="1" zoomScale="90" zoomScaleNormal="90" zoomScaleSheetLayoutView="90" workbookViewId="0" topLeftCell="A3">
      <selection pane="topLeft" activeCell="G16" sqref="G16"/>
    </sheetView>
  </sheetViews>
  <sheetFormatPr defaultColWidth="8.85881696428571" defaultRowHeight="14.25"/>
  <cols>
    <col min="1" max="1" width="8.85714285714286" style="143"/>
    <col min="2" max="2" width="40" style="143"/>
    <col min="3" max="4" width="13.4285714285714" style="143"/>
    <col min="5" max="7" width="10.2857142857143" style="143"/>
    <col min="8" max="8" width="15" style="143"/>
    <col min="9" max="9" width="36.1428571428571" style="143" bestFit="1"/>
    <col min="10" max="16384" width="8.85714285714286" style="143"/>
  </cols>
  <sheetData>
    <row r="1" spans="2:7" ht="27.6" customHeight="1">
      <c r="B1" s="315" t="str">
        <f>' גמל להשקעה כללי '!B1:H1</f>
        <v>מדיניות השקעה צפויה לשנת 2021</v>
      </c>
      <c r="C1" s="315"/>
      <c r="D1" s="315"/>
      <c r="E1" s="315"/>
      <c r="F1" s="315"/>
      <c r="G1" s="315"/>
    </row>
    <row r="2" spans="2:9" ht="30" customHeight="1">
      <c r="B2" s="317" t="s">
        <v>125</v>
      </c>
      <c r="C2" s="317"/>
      <c r="D2" s="317"/>
      <c r="E2" s="317"/>
      <c r="F2" s="317"/>
      <c r="G2" s="317"/>
      <c r="H2" s="317"/>
      <c r="I2" s="317"/>
    </row>
    <row r="3" spans="2:9" ht="49.9" customHeight="1">
      <c r="B3" s="144" t="s">
        <v>1</v>
      </c>
      <c r="C3" s="51" t="s">
        <v>2</v>
      </c>
      <c r="D3" s="3" t="s">
        <v>138</v>
      </c>
      <c r="E3" s="144" t="s">
        <v>3</v>
      </c>
      <c r="F3" s="318" t="s">
        <v>4</v>
      </c>
      <c r="G3" s="319"/>
      <c r="H3" s="318" t="s">
        <v>5</v>
      </c>
      <c r="I3" s="311"/>
    </row>
    <row r="4" spans="2:9" ht="15">
      <c r="B4" s="323" t="s">
        <v>80</v>
      </c>
      <c r="C4" s="326">
        <v>0.36399999999999999</v>
      </c>
      <c r="D4" s="320">
        <v>0.40</v>
      </c>
      <c r="E4" s="320">
        <v>0.06</v>
      </c>
      <c r="F4" s="320">
        <f>IF(D4-E4&gt;0,D4-E4,0)</f>
        <v>0.34000000000000002</v>
      </c>
      <c r="G4" s="320">
        <f>D4+E4</f>
        <v>0.46000000000000002</v>
      </c>
      <c r="H4" s="163">
        <v>0.32</v>
      </c>
      <c r="I4" s="164" t="s">
        <v>57</v>
      </c>
    </row>
    <row r="5" spans="2:9" ht="15">
      <c r="B5" s="324"/>
      <c r="C5" s="327"/>
      <c r="D5" s="321"/>
      <c r="E5" s="321"/>
      <c r="F5" s="321"/>
      <c r="G5" s="321"/>
      <c r="H5" s="163">
        <v>0.12</v>
      </c>
      <c r="I5" s="164" t="s">
        <v>58</v>
      </c>
    </row>
    <row r="6" spans="2:9" ht="15">
      <c r="B6" s="324"/>
      <c r="C6" s="327"/>
      <c r="D6" s="321"/>
      <c r="E6" s="321"/>
      <c r="F6" s="321"/>
      <c r="G6" s="321"/>
      <c r="H6" s="163">
        <v>0.08</v>
      </c>
      <c r="I6" s="164" t="s">
        <v>60</v>
      </c>
    </row>
    <row r="7" spans="2:9" ht="15">
      <c r="B7" s="324"/>
      <c r="C7" s="327"/>
      <c r="D7" s="321"/>
      <c r="E7" s="321"/>
      <c r="F7" s="321"/>
      <c r="G7" s="321"/>
      <c r="H7" s="163">
        <v>0.06</v>
      </c>
      <c r="I7" s="164" t="s">
        <v>59</v>
      </c>
    </row>
    <row r="8" spans="2:9" ht="15">
      <c r="B8" s="324"/>
      <c r="C8" s="327"/>
      <c r="D8" s="321"/>
      <c r="E8" s="321"/>
      <c r="F8" s="321"/>
      <c r="G8" s="321"/>
      <c r="H8" s="163">
        <v>0.38</v>
      </c>
      <c r="I8" s="165" t="s">
        <v>42</v>
      </c>
    </row>
    <row r="9" spans="2:9" ht="15">
      <c r="B9" s="324"/>
      <c r="C9" s="327"/>
      <c r="D9" s="321"/>
      <c r="E9" s="321"/>
      <c r="F9" s="321"/>
      <c r="G9" s="321"/>
      <c r="H9" s="163">
        <v>0.02</v>
      </c>
      <c r="I9" s="165" t="s">
        <v>74</v>
      </c>
    </row>
    <row r="10" spans="2:9" ht="15">
      <c r="B10" s="325"/>
      <c r="C10" s="328"/>
      <c r="D10" s="322"/>
      <c r="E10" s="322"/>
      <c r="F10" s="322"/>
      <c r="G10" s="322"/>
      <c r="H10" s="163">
        <v>0.02</v>
      </c>
      <c r="I10" s="166" t="s">
        <v>75</v>
      </c>
    </row>
    <row r="11" spans="2:9" ht="15">
      <c r="B11" s="323" t="s">
        <v>113</v>
      </c>
      <c r="C11" s="326">
        <v>0.28399999999999997</v>
      </c>
      <c r="D11" s="320">
        <v>0.21</v>
      </c>
      <c r="E11" s="320">
        <v>0.05</v>
      </c>
      <c r="F11" s="320">
        <f>IF(D11-E11&gt;0,D11-E11,0)</f>
        <v>0.15999999999999998</v>
      </c>
      <c r="G11" s="320">
        <f>D11+E11</f>
        <v>0.26000000000000001</v>
      </c>
      <c r="H11" s="163">
        <v>0.20</v>
      </c>
      <c r="I11" s="166" t="s">
        <v>52</v>
      </c>
    </row>
    <row r="12" spans="2:9" ht="15">
      <c r="B12" s="324"/>
      <c r="C12" s="327"/>
      <c r="D12" s="321"/>
      <c r="E12" s="321"/>
      <c r="F12" s="321"/>
      <c r="G12" s="321"/>
      <c r="H12" s="163">
        <v>0.25</v>
      </c>
      <c r="I12" s="164" t="s">
        <v>53</v>
      </c>
    </row>
    <row r="13" spans="2:9" ht="15">
      <c r="B13" s="324"/>
      <c r="C13" s="327"/>
      <c r="D13" s="321"/>
      <c r="E13" s="321"/>
      <c r="F13" s="321"/>
      <c r="G13" s="321"/>
      <c r="H13" s="163">
        <v>0.35</v>
      </c>
      <c r="I13" s="164" t="s">
        <v>54</v>
      </c>
    </row>
    <row r="14" spans="2:9" ht="15">
      <c r="B14" s="325"/>
      <c r="C14" s="328"/>
      <c r="D14" s="322"/>
      <c r="E14" s="322"/>
      <c r="F14" s="322"/>
      <c r="G14" s="322"/>
      <c r="H14" s="163">
        <v>0.20</v>
      </c>
      <c r="I14" s="166" t="s">
        <v>55</v>
      </c>
    </row>
    <row r="15" spans="2:9" ht="15">
      <c r="B15" s="167"/>
      <c r="C15" s="168"/>
      <c r="D15" s="169"/>
      <c r="E15" s="169"/>
      <c r="F15" s="169"/>
      <c r="G15" s="169"/>
      <c r="H15" s="163">
        <v>0.126</v>
      </c>
      <c r="I15" s="164" t="s">
        <v>34</v>
      </c>
    </row>
    <row r="16" spans="2:9" ht="15">
      <c r="B16" s="170"/>
      <c r="C16" s="171"/>
      <c r="D16" s="172"/>
      <c r="E16" s="172"/>
      <c r="F16" s="172"/>
      <c r="G16" s="172"/>
      <c r="H16" s="163">
        <v>0.071999999999999995</v>
      </c>
      <c r="I16" s="173" t="s">
        <v>67</v>
      </c>
    </row>
    <row r="17" spans="2:9" ht="15">
      <c r="B17" s="170"/>
      <c r="C17" s="171"/>
      <c r="D17" s="172"/>
      <c r="E17" s="172"/>
      <c r="F17" s="172"/>
      <c r="G17" s="172"/>
      <c r="H17" s="163">
        <v>0.045</v>
      </c>
      <c r="I17" s="174" t="s">
        <v>68</v>
      </c>
    </row>
    <row r="18" spans="2:9" ht="15">
      <c r="B18" s="170" t="s">
        <v>83</v>
      </c>
      <c r="C18" s="175">
        <v>0.30</v>
      </c>
      <c r="D18" s="246">
        <v>0.35</v>
      </c>
      <c r="E18" s="176">
        <v>0.06</v>
      </c>
      <c r="F18" s="177">
        <f>IF((D18-E18)&lt;0,0,D18-E18)</f>
        <v>0.28999999999999998</v>
      </c>
      <c r="G18" s="177">
        <f>D18+E18</f>
        <v>0.40999999999999998</v>
      </c>
      <c r="H18" s="163">
        <v>0.017999999999999999</v>
      </c>
      <c r="I18" s="174" t="s">
        <v>69</v>
      </c>
    </row>
    <row r="19" spans="2:9" ht="15">
      <c r="B19" s="170"/>
      <c r="C19" s="175"/>
      <c r="D19" s="246"/>
      <c r="E19" s="176"/>
      <c r="F19" s="177"/>
      <c r="G19" s="177"/>
      <c r="H19" s="163">
        <v>0.039</v>
      </c>
      <c r="I19" s="174" t="s">
        <v>33</v>
      </c>
    </row>
    <row r="20" spans="2:9" ht="15">
      <c r="B20" s="170"/>
      <c r="C20" s="171"/>
      <c r="D20" s="172"/>
      <c r="E20" s="172"/>
      <c r="F20" s="172"/>
      <c r="G20" s="172"/>
      <c r="H20" s="163">
        <v>0.32</v>
      </c>
      <c r="I20" s="174" t="s">
        <v>70</v>
      </c>
    </row>
    <row r="21" spans="2:9" ht="15">
      <c r="B21" s="170"/>
      <c r="C21" s="171"/>
      <c r="D21" s="172"/>
      <c r="E21" s="172"/>
      <c r="F21" s="172"/>
      <c r="G21" s="172"/>
      <c r="H21" s="163">
        <v>0.25</v>
      </c>
      <c r="I21" s="174" t="s">
        <v>71</v>
      </c>
    </row>
    <row r="22" spans="2:9" ht="15">
      <c r="B22" s="170"/>
      <c r="C22" s="171"/>
      <c r="D22" s="172"/>
      <c r="E22" s="172"/>
      <c r="F22" s="172"/>
      <c r="G22" s="172"/>
      <c r="H22" s="163">
        <v>0.10</v>
      </c>
      <c r="I22" s="174" t="s">
        <v>72</v>
      </c>
    </row>
    <row r="23" spans="2:9" ht="15">
      <c r="B23" s="179"/>
      <c r="C23" s="180"/>
      <c r="D23" s="181"/>
      <c r="E23" s="181"/>
      <c r="F23" s="181"/>
      <c r="G23" s="181"/>
      <c r="H23" s="163">
        <v>0.03</v>
      </c>
      <c r="I23" s="174" t="s">
        <v>73</v>
      </c>
    </row>
    <row r="24" spans="2:9" ht="15">
      <c r="B24" s="148" t="s">
        <v>84</v>
      </c>
      <c r="C24" s="149">
        <v>0</v>
      </c>
      <c r="D24" s="178">
        <v>0</v>
      </c>
      <c r="E24" s="178">
        <v>0.05</v>
      </c>
      <c r="F24" s="178">
        <f>IF((D24-E24)&lt;0,0,D24-E24)</f>
        <v>0</v>
      </c>
      <c r="G24" s="178">
        <f>D24+E24</f>
        <v>0.050000000000000003</v>
      </c>
      <c r="H24" s="163"/>
      <c r="I24" s="174"/>
    </row>
    <row r="25" spans="2:9" ht="15">
      <c r="B25" s="148" t="s">
        <v>15</v>
      </c>
      <c r="C25" s="150">
        <v>0.052999999999999998</v>
      </c>
      <c r="D25" s="247">
        <v>0.04</v>
      </c>
      <c r="E25" s="151"/>
      <c r="F25" s="151"/>
      <c r="G25" s="151"/>
      <c r="H25" s="163">
        <v>1</v>
      </c>
      <c r="I25" s="174" t="s">
        <v>85</v>
      </c>
    </row>
    <row r="26" spans="2:9" ht="15">
      <c r="B26" s="148" t="s">
        <v>16</v>
      </c>
      <c r="C26" s="150">
        <f>SUM(C4:C25)</f>
        <v>1.0009999999999999</v>
      </c>
      <c r="D26" s="247">
        <f>SUM(D4:D25)</f>
        <v>1</v>
      </c>
      <c r="E26" s="151"/>
      <c r="F26" s="151"/>
      <c r="G26" s="151"/>
      <c r="H26" s="154"/>
      <c r="I26" s="154"/>
    </row>
    <row r="27" spans="2:9" ht="15">
      <c r="B27" s="182" t="s">
        <v>17</v>
      </c>
      <c r="C27" s="183">
        <v>0.20399999999999999</v>
      </c>
      <c r="D27" s="184">
        <v>0.21</v>
      </c>
      <c r="E27" s="184">
        <v>0.06</v>
      </c>
      <c r="F27" s="184">
        <f>IF(D27-E27&gt;0,D27-E27,0)</f>
        <v>0.14999999999999999</v>
      </c>
      <c r="G27" s="185">
        <f>D27+E27</f>
        <v>0.27000000000000002</v>
      </c>
      <c r="H27" s="151"/>
      <c r="I27" s="148"/>
    </row>
    <row r="28" spans="2:7" ht="14.25" customHeight="1" thickBot="1">
      <c r="B28" s="186" t="s">
        <v>22</v>
      </c>
      <c r="C28" s="162"/>
      <c r="D28" s="162"/>
      <c r="E28" s="162"/>
      <c r="F28" s="162"/>
      <c r="G28" s="162"/>
    </row>
    <row r="29" spans="2:9" ht="14.25">
      <c r="B29" s="228" t="s">
        <v>23</v>
      </c>
      <c r="C29" s="229"/>
      <c r="D29" s="229"/>
      <c r="E29" s="229"/>
      <c r="F29" s="229"/>
      <c r="G29" s="229"/>
      <c r="H29" s="229"/>
      <c r="I29" s="230"/>
    </row>
    <row r="30" spans="2:9" ht="14.25">
      <c r="B30" s="244" t="s">
        <v>158</v>
      </c>
      <c r="C30" s="231"/>
      <c r="D30" s="231"/>
      <c r="E30" s="231"/>
      <c r="F30" s="231"/>
      <c r="G30" s="231"/>
      <c r="H30" s="231"/>
      <c r="I30" s="232"/>
    </row>
    <row r="31" spans="2:9" ht="14.25">
      <c r="B31" s="244" t="s">
        <v>185</v>
      </c>
      <c r="C31" s="231"/>
      <c r="D31" s="231"/>
      <c r="E31" s="231"/>
      <c r="F31" s="231"/>
      <c r="G31" s="231"/>
      <c r="H31" s="231"/>
      <c r="I31" s="232"/>
    </row>
    <row r="32" spans="2:9" ht="14.25">
      <c r="B32" s="244" t="s">
        <v>186</v>
      </c>
      <c r="C32" s="227"/>
      <c r="D32" s="231"/>
      <c r="E32" s="227"/>
      <c r="F32" s="231"/>
      <c r="G32" s="227"/>
      <c r="H32" s="231"/>
      <c r="I32" s="232"/>
    </row>
    <row r="33" spans="2:9" ht="15" thickBot="1">
      <c r="B33" s="245" t="s">
        <v>187</v>
      </c>
      <c r="C33" s="234"/>
      <c r="D33" s="234"/>
      <c r="E33" s="234"/>
      <c r="F33" s="234"/>
      <c r="G33" s="234"/>
      <c r="H33" s="234"/>
      <c r="I33" s="235"/>
    </row>
    <row r="34" spans="2:7" ht="15" thickBot="1">
      <c r="B34" s="160"/>
      <c r="C34" s="160"/>
      <c r="D34" s="160"/>
      <c r="E34" s="160"/>
      <c r="F34" s="160"/>
      <c r="G34" s="160"/>
    </row>
    <row r="35" spans="2:7" ht="14.25">
      <c r="B35" s="218" t="s">
        <v>143</v>
      </c>
      <c r="C35" s="219"/>
      <c r="D35" s="219"/>
      <c r="E35" s="220"/>
      <c r="F35" s="160"/>
      <c r="G35" s="160"/>
    </row>
    <row r="36" spans="2:7" ht="14.25">
      <c r="B36" s="221" t="s">
        <v>215</v>
      </c>
      <c r="C36" s="222"/>
      <c r="D36" s="222"/>
      <c r="E36" s="223"/>
      <c r="F36" s="160"/>
      <c r="G36" s="160"/>
    </row>
    <row r="37" spans="2:7" ht="14.25">
      <c r="B37" s="221" t="s">
        <v>216</v>
      </c>
      <c r="C37" s="222"/>
      <c r="D37" s="222"/>
      <c r="E37" s="223"/>
      <c r="F37" s="160"/>
      <c r="G37" s="160"/>
    </row>
    <row r="38" spans="2:7" ht="14.25">
      <c r="B38" s="221" t="s">
        <v>217</v>
      </c>
      <c r="C38" s="222"/>
      <c r="D38" s="222"/>
      <c r="E38" s="223"/>
      <c r="F38" s="160"/>
      <c r="G38" s="160"/>
    </row>
    <row r="39" spans="2:7" ht="14.25">
      <c r="B39" s="221" t="s">
        <v>218</v>
      </c>
      <c r="C39" s="222"/>
      <c r="D39" s="222"/>
      <c r="E39" s="223"/>
      <c r="F39" s="160"/>
      <c r="G39" s="160"/>
    </row>
    <row r="40" spans="2:7" ht="15" thickBot="1">
      <c r="B40" s="224" t="s">
        <v>151</v>
      </c>
      <c r="C40" s="225"/>
      <c r="D40" s="225"/>
      <c r="E40" s="226"/>
      <c r="F40" s="160"/>
      <c r="G40" s="160"/>
    </row>
    <row r="41" spans="2:7" ht="14.25">
      <c r="B41" s="160"/>
      <c r="C41" s="160"/>
      <c r="D41" s="160"/>
      <c r="E41" s="160"/>
      <c r="F41" s="160"/>
      <c r="G41" s="160"/>
    </row>
    <row r="42" spans="2:7" ht="14.25">
      <c r="B42" s="160"/>
      <c r="C42" s="160"/>
      <c r="D42" s="160"/>
      <c r="E42" s="160"/>
      <c r="F42" s="160"/>
      <c r="G42" s="160"/>
    </row>
    <row r="43" spans="2:7" ht="14.25">
      <c r="B43" s="160"/>
      <c r="C43" s="160"/>
      <c r="D43" s="160"/>
      <c r="E43" s="160"/>
      <c r="F43" s="160"/>
      <c r="G43" s="160"/>
    </row>
    <row r="44" spans="2:7" ht="14.25">
      <c r="B44" s="160"/>
      <c r="C44" s="160"/>
      <c r="D44" s="160"/>
      <c r="E44" s="160"/>
      <c r="F44" s="160"/>
      <c r="G44" s="160"/>
    </row>
    <row r="45" spans="2:7" ht="14.25">
      <c r="B45" s="160"/>
      <c r="C45" s="160"/>
      <c r="D45" s="160"/>
      <c r="E45" s="160"/>
      <c r="F45" s="160"/>
      <c r="G45" s="160"/>
    </row>
    <row r="46" spans="2:7" ht="14.25">
      <c r="B46" s="160"/>
      <c r="C46" s="160"/>
      <c r="D46" s="160"/>
      <c r="E46" s="160"/>
      <c r="F46" s="160"/>
      <c r="G46" s="160"/>
    </row>
    <row r="47" spans="2:7" ht="14.25">
      <c r="B47" s="160"/>
      <c r="C47" s="160"/>
      <c r="D47" s="160"/>
      <c r="E47" s="160"/>
      <c r="F47" s="160"/>
      <c r="G47" s="160"/>
    </row>
    <row r="48" spans="2:7" ht="14.25">
      <c r="B48" s="160"/>
      <c r="C48" s="160"/>
      <c r="D48" s="160"/>
      <c r="E48" s="160"/>
      <c r="F48" s="160"/>
      <c r="G48" s="160"/>
    </row>
    <row r="49" spans="2:7" ht="14.25">
      <c r="B49" s="160"/>
      <c r="C49" s="160"/>
      <c r="D49" s="160"/>
      <c r="E49" s="160"/>
      <c r="F49" s="160"/>
      <c r="G49" s="160"/>
    </row>
    <row r="50" spans="2:7" ht="14.25">
      <c r="B50" s="160"/>
      <c r="C50" s="160"/>
      <c r="D50" s="160"/>
      <c r="E50" s="160"/>
      <c r="F50" s="160"/>
      <c r="G50" s="160"/>
    </row>
    <row r="51" spans="2:7" ht="14.25">
      <c r="B51" s="160"/>
      <c r="C51" s="160"/>
      <c r="D51" s="160"/>
      <c r="E51" s="160"/>
      <c r="F51" s="160"/>
      <c r="G51" s="160"/>
    </row>
    <row r="52" spans="2:7" ht="14.25">
      <c r="B52" s="160"/>
      <c r="C52" s="160"/>
      <c r="D52" s="160"/>
      <c r="E52" s="160"/>
      <c r="F52" s="160"/>
      <c r="G52" s="160"/>
    </row>
    <row r="53" spans="2:7" ht="14.25">
      <c r="B53" s="160"/>
      <c r="C53" s="160"/>
      <c r="D53" s="160"/>
      <c r="E53" s="160"/>
      <c r="F53" s="160"/>
      <c r="G53" s="160"/>
    </row>
    <row r="54" spans="2:7" ht="14.25">
      <c r="B54" s="160"/>
      <c r="C54" s="160"/>
      <c r="D54" s="160"/>
      <c r="E54" s="160"/>
      <c r="F54" s="160"/>
      <c r="G54" s="160"/>
    </row>
    <row r="55" spans="2:7" ht="14.25">
      <c r="B55" s="160"/>
      <c r="C55" s="160"/>
      <c r="D55" s="160"/>
      <c r="E55" s="160"/>
      <c r="F55" s="160"/>
      <c r="G55" s="160"/>
    </row>
    <row r="56" spans="2:7" ht="14.25">
      <c r="B56" s="160"/>
      <c r="C56" s="160"/>
      <c r="D56" s="160"/>
      <c r="E56" s="160"/>
      <c r="F56" s="160"/>
      <c r="G56" s="160"/>
    </row>
    <row r="57" spans="2:7" ht="14.25">
      <c r="B57" s="160"/>
      <c r="C57" s="160"/>
      <c r="D57" s="160"/>
      <c r="E57" s="160"/>
      <c r="F57" s="160"/>
      <c r="G57" s="160"/>
    </row>
    <row r="58" spans="2:7" ht="14.25">
      <c r="B58" s="160"/>
      <c r="C58" s="160"/>
      <c r="D58" s="160"/>
      <c r="E58" s="160"/>
      <c r="F58" s="160"/>
      <c r="G58" s="160"/>
    </row>
    <row r="59" spans="2:7" ht="14.25">
      <c r="B59" s="160"/>
      <c r="C59" s="160"/>
      <c r="D59" s="160"/>
      <c r="E59" s="160"/>
      <c r="F59" s="160"/>
      <c r="G59" s="160"/>
    </row>
    <row r="60" spans="2:7" ht="14.25">
      <c r="B60" s="160"/>
      <c r="C60" s="160"/>
      <c r="D60" s="160"/>
      <c r="E60" s="160"/>
      <c r="F60" s="160"/>
      <c r="G60" s="160"/>
    </row>
    <row r="61" spans="2:7" ht="14.25">
      <c r="B61" s="160"/>
      <c r="C61" s="160"/>
      <c r="D61" s="160"/>
      <c r="E61" s="160"/>
      <c r="F61" s="160"/>
      <c r="G61" s="160"/>
    </row>
    <row r="62" spans="2:7" ht="14.25">
      <c r="B62" s="160"/>
      <c r="C62" s="160"/>
      <c r="D62" s="160"/>
      <c r="E62" s="160"/>
      <c r="F62" s="160"/>
      <c r="G62" s="160"/>
    </row>
    <row r="63" spans="2:7" ht="14.25">
      <c r="B63" s="160"/>
      <c r="C63" s="160"/>
      <c r="D63" s="160"/>
      <c r="E63" s="160"/>
      <c r="F63" s="160"/>
      <c r="G63" s="160"/>
    </row>
    <row r="64" spans="2:7" ht="14.25">
      <c r="B64" s="160"/>
      <c r="C64" s="160"/>
      <c r="D64" s="160"/>
      <c r="E64" s="160"/>
      <c r="F64" s="160"/>
      <c r="G64" s="160"/>
    </row>
    <row r="65" spans="2:7" ht="14.25">
      <c r="B65" s="160"/>
      <c r="C65" s="160"/>
      <c r="D65" s="160"/>
      <c r="E65" s="160"/>
      <c r="F65" s="160"/>
      <c r="G65" s="160"/>
    </row>
    <row r="66" spans="2:7" ht="14.25">
      <c r="B66" s="160"/>
      <c r="C66" s="160"/>
      <c r="D66" s="160"/>
      <c r="E66" s="160"/>
      <c r="F66" s="160"/>
      <c r="G66" s="160"/>
    </row>
    <row r="67" spans="2:7" ht="14.25">
      <c r="B67" s="160"/>
      <c r="C67" s="160"/>
      <c r="D67" s="160"/>
      <c r="E67" s="160"/>
      <c r="F67" s="160"/>
      <c r="G67" s="160"/>
    </row>
    <row r="68" spans="2:7" ht="14.25">
      <c r="B68" s="160"/>
      <c r="C68" s="160"/>
      <c r="D68" s="160"/>
      <c r="E68" s="160"/>
      <c r="F68" s="160"/>
      <c r="G68" s="160"/>
    </row>
    <row r="69" spans="2:7" ht="14.25">
      <c r="B69" s="160"/>
      <c r="C69" s="160"/>
      <c r="D69" s="160"/>
      <c r="E69" s="160"/>
      <c r="F69" s="160"/>
      <c r="G69" s="160"/>
    </row>
    <row r="70" spans="2:7" ht="14.25">
      <c r="B70" s="160"/>
      <c r="C70" s="160"/>
      <c r="D70" s="160"/>
      <c r="E70" s="160"/>
      <c r="F70" s="160"/>
      <c r="G70" s="160"/>
    </row>
    <row r="71" spans="2:7" ht="14.25">
      <c r="B71" s="160"/>
      <c r="C71" s="160"/>
      <c r="D71" s="160"/>
      <c r="E71" s="160"/>
      <c r="F71" s="160"/>
      <c r="G71" s="160"/>
    </row>
    <row r="72" spans="2:7" ht="14.25">
      <c r="B72" s="160"/>
      <c r="C72" s="160"/>
      <c r="D72" s="160"/>
      <c r="E72" s="160"/>
      <c r="F72" s="160"/>
      <c r="G72" s="160"/>
    </row>
    <row r="73" spans="2:7" ht="14.25">
      <c r="B73" s="160"/>
      <c r="C73" s="160"/>
      <c r="D73" s="160"/>
      <c r="E73" s="160"/>
      <c r="F73" s="160"/>
      <c r="G73" s="160"/>
    </row>
    <row r="74" spans="2:7" ht="14.25">
      <c r="B74" s="160"/>
      <c r="C74" s="160"/>
      <c r="D74" s="160"/>
      <c r="E74" s="160"/>
      <c r="F74" s="160"/>
      <c r="G74" s="160"/>
    </row>
    <row r="75" spans="2:7" ht="14.25">
      <c r="B75" s="160"/>
      <c r="C75" s="160"/>
      <c r="D75" s="160"/>
      <c r="E75" s="160"/>
      <c r="F75" s="160"/>
      <c r="G75" s="160"/>
    </row>
    <row r="76" spans="2:7" ht="14.25">
      <c r="B76" s="160"/>
      <c r="C76" s="160"/>
      <c r="D76" s="160"/>
      <c r="E76" s="160"/>
      <c r="F76" s="160"/>
      <c r="G76" s="160"/>
    </row>
    <row r="77" spans="2:7" ht="14.25">
      <c r="B77" s="160"/>
      <c r="C77" s="160"/>
      <c r="D77" s="160"/>
      <c r="E77" s="160"/>
      <c r="F77" s="160"/>
      <c r="G77" s="160"/>
    </row>
    <row r="78" spans="2:7" ht="14.25">
      <c r="B78" s="160"/>
      <c r="C78" s="160"/>
      <c r="D78" s="160"/>
      <c r="E78" s="160"/>
      <c r="F78" s="160"/>
      <c r="G78" s="160"/>
    </row>
    <row r="79" spans="2:7" ht="14.25">
      <c r="B79" s="160"/>
      <c r="C79" s="160"/>
      <c r="D79" s="160"/>
      <c r="E79" s="160"/>
      <c r="F79" s="160"/>
      <c r="G79" s="160"/>
    </row>
    <row r="80" spans="2:7" ht="14.25">
      <c r="B80" s="160"/>
      <c r="C80" s="160"/>
      <c r="D80" s="160"/>
      <c r="E80" s="160"/>
      <c r="F80" s="160"/>
      <c r="G80" s="160"/>
    </row>
    <row r="81" spans="2:7" ht="14.25">
      <c r="B81" s="160"/>
      <c r="C81" s="160"/>
      <c r="D81" s="160"/>
      <c r="E81" s="160"/>
      <c r="F81" s="160"/>
      <c r="G81" s="160"/>
    </row>
    <row r="82" spans="2:7" ht="14.25">
      <c r="B82" s="160"/>
      <c r="C82" s="160"/>
      <c r="D82" s="160"/>
      <c r="E82" s="160"/>
      <c r="F82" s="160"/>
      <c r="G82" s="160"/>
    </row>
    <row r="83" spans="2:7" ht="14.25">
      <c r="B83" s="160"/>
      <c r="C83" s="160"/>
      <c r="D83" s="160"/>
      <c r="E83" s="160"/>
      <c r="F83" s="160"/>
      <c r="G83" s="160"/>
    </row>
    <row r="84" spans="2:7" ht="14.25">
      <c r="B84" s="160"/>
      <c r="C84" s="160"/>
      <c r="D84" s="160"/>
      <c r="E84" s="160"/>
      <c r="F84" s="160"/>
      <c r="G84" s="160"/>
    </row>
    <row r="85" spans="2:7" ht="14.25">
      <c r="B85" s="160"/>
      <c r="C85" s="160"/>
      <c r="D85" s="160"/>
      <c r="E85" s="160"/>
      <c r="F85" s="160"/>
      <c r="G85" s="160"/>
    </row>
    <row r="86" spans="2:7" ht="14.25">
      <c r="B86" s="160"/>
      <c r="C86" s="160"/>
      <c r="D86" s="160"/>
      <c r="E86" s="160"/>
      <c r="F86" s="160"/>
      <c r="G86" s="160"/>
    </row>
    <row r="87" spans="2:7" ht="14.25">
      <c r="B87" s="160"/>
      <c r="C87" s="160"/>
      <c r="D87" s="160"/>
      <c r="E87" s="160"/>
      <c r="F87" s="160"/>
      <c r="G87" s="160"/>
    </row>
    <row r="88" spans="2:7" ht="14.25">
      <c r="B88" s="160"/>
      <c r="C88" s="160"/>
      <c r="D88" s="160"/>
      <c r="E88" s="160"/>
      <c r="F88" s="160"/>
      <c r="G88" s="160"/>
    </row>
    <row r="89" spans="2:7" ht="14.25">
      <c r="B89" s="160"/>
      <c r="C89" s="160"/>
      <c r="D89" s="160"/>
      <c r="E89" s="160"/>
      <c r="F89" s="160"/>
      <c r="G89" s="160"/>
    </row>
    <row r="90" spans="2:7" ht="14.25">
      <c r="B90" s="160"/>
      <c r="C90" s="160"/>
      <c r="D90" s="160"/>
      <c r="E90" s="160"/>
      <c r="F90" s="160"/>
      <c r="G90" s="160"/>
    </row>
    <row r="91" spans="2:7" ht="14.25">
      <c r="B91" s="160"/>
      <c r="C91" s="160"/>
      <c r="D91" s="160"/>
      <c r="E91" s="160"/>
      <c r="F91" s="160"/>
      <c r="G91" s="160"/>
    </row>
    <row r="92" spans="2:7" ht="14.25">
      <c r="B92" s="160"/>
      <c r="C92" s="160"/>
      <c r="D92" s="160"/>
      <c r="E92" s="160"/>
      <c r="F92" s="160"/>
      <c r="G92" s="160"/>
    </row>
    <row r="93" spans="2:7" ht="14.25">
      <c r="B93" s="160"/>
      <c r="C93" s="160"/>
      <c r="D93" s="160"/>
      <c r="E93" s="160"/>
      <c r="F93" s="160"/>
      <c r="G93" s="160"/>
    </row>
    <row r="94" spans="2:7" ht="14.25">
      <c r="B94" s="160"/>
      <c r="C94" s="160"/>
      <c r="D94" s="160"/>
      <c r="E94" s="160"/>
      <c r="F94" s="160"/>
      <c r="G94" s="160"/>
    </row>
  </sheetData>
  <sheetProtection/>
  <mergeCells count="16">
    <mergeCell ref="B1:G1"/>
    <mergeCell ref="B2:I2"/>
    <mergeCell ref="F3:G3"/>
    <mergeCell ref="H3:I3"/>
    <mergeCell ref="G4:G10"/>
    <mergeCell ref="B11:B14"/>
    <mergeCell ref="C11:C14"/>
    <mergeCell ref="D11:D14"/>
    <mergeCell ref="E11:E14"/>
    <mergeCell ref="F11:F14"/>
    <mergeCell ref="G11:G14"/>
    <mergeCell ref="B4:B10"/>
    <mergeCell ref="C4:C10"/>
    <mergeCell ref="D4:D10"/>
    <mergeCell ref="E4:E10"/>
    <mergeCell ref="F4:F10"/>
  </mergeCells>
  <printOptions horizontalCentered="1"/>
  <pageMargins left="0.25" right="0.25" top="0.75" bottom="0.75" header="0.3" footer="0.3"/>
  <pageSetup fitToHeight="0" orientation="landscape" paperSize="9" scale="71"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J38"/>
  <sheetViews>
    <sheetView showGridLines="0" rightToLeft="1" zoomScale="80" zoomScaleNormal="80" zoomScaleSheetLayoutView="100" workbookViewId="0" topLeftCell="A19">
      <selection pane="topLeft" activeCell="C28" sqref="C28"/>
    </sheetView>
  </sheetViews>
  <sheetFormatPr defaultColWidth="8.85881696428571" defaultRowHeight="14.25"/>
  <cols>
    <col min="1" max="1" width="8.85714285714286" style="188"/>
    <col min="2" max="2" width="45.5714285714286" style="188"/>
    <col min="3" max="3" width="78.2857142857143" style="188"/>
    <col min="4" max="4" width="24" style="190"/>
    <col min="5" max="5" width="34.2857142857143" style="191"/>
    <col min="6" max="6" width="13.8571428571429" style="188"/>
    <col min="7" max="7" width="8.85714285714286" style="188"/>
    <col min="8" max="8" width="10" style="188" bestFit="1"/>
    <col min="9" max="9" width="13.5714285714286" style="188"/>
    <col min="10" max="16384" width="8.85714285714286" style="188"/>
  </cols>
  <sheetData>
    <row r="1" spans="2:6" ht="27.6" customHeight="1">
      <c r="B1" s="315" t="str">
        <f>' גמל להשקעה כללי '!B1:H1</f>
        <v>מדיניות השקעה צפויה לשנת 2021</v>
      </c>
      <c r="C1" s="315"/>
      <c r="D1" s="315"/>
      <c r="E1" s="315"/>
      <c r="F1" s="187"/>
    </row>
    <row r="2" spans="2:2" ht="13.9" customHeight="1">
      <c r="B2" s="189"/>
    </row>
    <row r="3" spans="2:5" ht="18">
      <c r="B3" s="331" t="s">
        <v>126</v>
      </c>
      <c r="C3" s="332"/>
      <c r="D3" s="332"/>
      <c r="E3" s="332"/>
    </row>
    <row r="4" spans="2:5" ht="15.75" customHeight="1">
      <c r="B4" s="192" t="s">
        <v>26</v>
      </c>
      <c r="C4" s="192" t="s">
        <v>27</v>
      </c>
      <c r="D4" s="333" t="s">
        <v>87</v>
      </c>
      <c r="E4" s="311"/>
    </row>
    <row r="5" spans="2:10" ht="17.45" customHeight="1">
      <c r="B5" s="329" t="s">
        <v>220</v>
      </c>
      <c r="C5" s="334" t="s">
        <v>127</v>
      </c>
      <c r="D5" s="142">
        <v>0.080000000000000016</v>
      </c>
      <c r="E5" s="193" t="s">
        <v>52</v>
      </c>
      <c r="H5" s="194"/>
      <c r="I5" s="194"/>
      <c r="J5" s="194"/>
    </row>
    <row r="6" spans="2:10" ht="17.45" customHeight="1">
      <c r="B6" s="329"/>
      <c r="C6" s="334"/>
      <c r="D6" s="142">
        <v>0.10</v>
      </c>
      <c r="E6" s="131" t="s">
        <v>53</v>
      </c>
      <c r="F6" s="194"/>
      <c r="H6" s="195"/>
      <c r="I6" s="195"/>
      <c r="J6" s="195"/>
    </row>
    <row r="7" spans="2:7" ht="15">
      <c r="B7" s="329"/>
      <c r="C7" s="334"/>
      <c r="D7" s="142">
        <v>0.13999999999999999</v>
      </c>
      <c r="E7" s="131" t="s">
        <v>54</v>
      </c>
      <c r="F7" s="195"/>
      <c r="G7" s="196"/>
    </row>
    <row r="8" spans="2:8" ht="17.45" customHeight="1">
      <c r="B8" s="329"/>
      <c r="C8" s="334"/>
      <c r="D8" s="142">
        <v>0.080000000000000016</v>
      </c>
      <c r="E8" s="131" t="s">
        <v>55</v>
      </c>
      <c r="F8" s="195"/>
      <c r="G8" s="196"/>
      <c r="H8" s="197"/>
    </row>
    <row r="9" spans="2:8" ht="17.45" customHeight="1">
      <c r="B9" s="329"/>
      <c r="C9" s="334"/>
      <c r="D9" s="142">
        <v>0.1575</v>
      </c>
      <c r="E9" s="131" t="s">
        <v>70</v>
      </c>
      <c r="F9" s="195"/>
      <c r="G9" s="196"/>
      <c r="H9" s="197"/>
    </row>
    <row r="10" spans="2:8" ht="17.45" customHeight="1">
      <c r="B10" s="329"/>
      <c r="C10" s="334"/>
      <c r="D10" s="142">
        <v>0.12249999999999998</v>
      </c>
      <c r="E10" s="131" t="s">
        <v>71</v>
      </c>
      <c r="F10" s="195"/>
      <c r="G10" s="196"/>
      <c r="H10" s="197"/>
    </row>
    <row r="11" spans="2:5" ht="29.25" customHeight="1">
      <c r="B11" s="329"/>
      <c r="C11" s="334"/>
      <c r="D11" s="142">
        <v>0.0525</v>
      </c>
      <c r="E11" s="131" t="s">
        <v>72</v>
      </c>
    </row>
    <row r="12" spans="2:5" ht="24" customHeight="1">
      <c r="B12" s="329"/>
      <c r="C12" s="334"/>
      <c r="D12" s="142">
        <v>0.017499999999999998</v>
      </c>
      <c r="E12" s="131" t="s">
        <v>128</v>
      </c>
    </row>
    <row r="13" spans="2:5" ht="17.45" customHeight="1">
      <c r="B13" s="329"/>
      <c r="C13" s="334"/>
      <c r="D13" s="142">
        <v>0.063</v>
      </c>
      <c r="E13" s="131" t="s">
        <v>34</v>
      </c>
    </row>
    <row r="14" spans="2:5" ht="17.45" customHeight="1">
      <c r="B14" s="329"/>
      <c r="C14" s="334"/>
      <c r="D14" s="142">
        <v>0.035999999999999997</v>
      </c>
      <c r="E14" s="131" t="s">
        <v>67</v>
      </c>
    </row>
    <row r="15" spans="2:5" ht="17.45" customHeight="1">
      <c r="B15" s="329"/>
      <c r="C15" s="334"/>
      <c r="D15" s="142">
        <v>0.0225</v>
      </c>
      <c r="E15" s="131" t="s">
        <v>68</v>
      </c>
    </row>
    <row r="16" spans="2:5" ht="17.45" customHeight="1">
      <c r="B16" s="329"/>
      <c r="C16" s="334"/>
      <c r="D16" s="142">
        <v>0.0089999999999999993</v>
      </c>
      <c r="E16" s="131" t="s">
        <v>69</v>
      </c>
    </row>
    <row r="17" spans="2:5" ht="17.45" customHeight="1">
      <c r="B17" s="329"/>
      <c r="C17" s="334"/>
      <c r="D17" s="142">
        <v>0.0195</v>
      </c>
      <c r="E17" s="131" t="s">
        <v>33</v>
      </c>
    </row>
    <row r="18" spans="2:5" ht="17.45" customHeight="1">
      <c r="B18" s="329"/>
      <c r="C18" s="334"/>
      <c r="D18" s="198">
        <v>0.04</v>
      </c>
      <c r="E18" s="135" t="s">
        <v>42</v>
      </c>
    </row>
    <row r="19" spans="2:5" ht="17.45" customHeight="1">
      <c r="B19" s="329"/>
      <c r="C19" s="334"/>
      <c r="D19" s="198">
        <v>0.033600000000000005</v>
      </c>
      <c r="E19" s="135" t="s">
        <v>57</v>
      </c>
    </row>
    <row r="20" spans="2:5" ht="17.45" customHeight="1">
      <c r="B20" s="329"/>
      <c r="C20" s="334"/>
      <c r="D20" s="198">
        <v>0.012</v>
      </c>
      <c r="E20" s="135" t="s">
        <v>58</v>
      </c>
    </row>
    <row r="21" spans="2:5" ht="15">
      <c r="B21" s="329"/>
      <c r="C21" s="334"/>
      <c r="D21" s="199">
        <v>0.0060000000000000001</v>
      </c>
      <c r="E21" s="135" t="s">
        <v>59</v>
      </c>
    </row>
    <row r="22" spans="2:5" ht="20.25" customHeight="1" thickBot="1">
      <c r="B22" s="330"/>
      <c r="C22" s="335"/>
      <c r="D22" s="200">
        <v>0.0084000000000000012</v>
      </c>
      <c r="E22" s="201" t="s">
        <v>60</v>
      </c>
    </row>
    <row r="23" spans="2:5" ht="29.25" customHeight="1" thickTop="1">
      <c r="B23" s="329" t="s">
        <v>222</v>
      </c>
      <c r="C23" s="202"/>
      <c r="D23" s="203"/>
      <c r="E23" s="204"/>
    </row>
    <row r="24" spans="2:5" ht="32.25" customHeight="1">
      <c r="B24" s="329"/>
      <c r="C24" s="202"/>
      <c r="D24" s="134">
        <v>0.31</v>
      </c>
      <c r="E24" s="135" t="s">
        <v>57</v>
      </c>
    </row>
    <row r="25" spans="2:5" ht="56.25" customHeight="1">
      <c r="B25" s="329"/>
      <c r="C25" s="202"/>
      <c r="D25" s="142">
        <v>0.11</v>
      </c>
      <c r="E25" s="135" t="s">
        <v>58</v>
      </c>
    </row>
    <row r="26" spans="2:5" ht="54.75" customHeight="1">
      <c r="B26" s="329"/>
      <c r="C26" s="202" t="s">
        <v>129</v>
      </c>
      <c r="D26" s="142">
        <v>0.08</v>
      </c>
      <c r="E26" s="135" t="s">
        <v>60</v>
      </c>
    </row>
    <row r="27" spans="2:5" ht="18.6" customHeight="1">
      <c r="B27" s="329"/>
      <c r="C27" s="202"/>
      <c r="D27" s="142">
        <v>0.06</v>
      </c>
      <c r="E27" s="135" t="s">
        <v>59</v>
      </c>
    </row>
    <row r="28" spans="2:5" ht="30" customHeight="1">
      <c r="B28" s="329"/>
      <c r="C28" s="202"/>
      <c r="D28" s="136">
        <v>0.36</v>
      </c>
      <c r="E28" s="137" t="s">
        <v>42</v>
      </c>
    </row>
    <row r="29" spans="2:5" ht="29.25" customHeight="1">
      <c r="B29" s="329"/>
      <c r="C29" s="202"/>
      <c r="D29" s="138">
        <v>0.02</v>
      </c>
      <c r="E29" s="139" t="s">
        <v>74</v>
      </c>
    </row>
    <row r="30" spans="2:5" ht="18.6" customHeight="1">
      <c r="B30" s="329"/>
      <c r="C30" s="202"/>
      <c r="D30" s="138">
        <v>0.02</v>
      </c>
      <c r="E30" s="139" t="s">
        <v>75</v>
      </c>
    </row>
    <row r="31" spans="2:5" ht="19.5" customHeight="1" thickBot="1">
      <c r="B31" s="330"/>
      <c r="C31" s="205"/>
      <c r="D31" s="140">
        <v>0.04</v>
      </c>
      <c r="E31" s="206" t="s">
        <v>36</v>
      </c>
    </row>
    <row r="32" spans="2:5" ht="70.5" customHeight="1" thickTop="1" thickBot="1">
      <c r="B32" s="207" t="s">
        <v>224</v>
      </c>
      <c r="C32" s="202" t="s">
        <v>61</v>
      </c>
      <c r="D32" s="208"/>
      <c r="E32" s="95" t="s">
        <v>91</v>
      </c>
    </row>
    <row r="33" spans="2:5" ht="76.5" thickTop="1" thickBot="1">
      <c r="B33" s="209" t="s">
        <v>130</v>
      </c>
      <c r="C33" s="209" t="s">
        <v>64</v>
      </c>
      <c r="D33" s="208"/>
      <c r="E33" s="210" t="s">
        <v>131</v>
      </c>
    </row>
    <row r="34" spans="2:6" ht="76.5" customHeight="1" thickTop="1" thickBot="1">
      <c r="B34" s="211" t="s">
        <v>132</v>
      </c>
      <c r="C34" s="212" t="s">
        <v>133</v>
      </c>
      <c r="D34" s="213">
        <v>1</v>
      </c>
      <c r="E34" s="135" t="s">
        <v>57</v>
      </c>
      <c r="F34" s="214"/>
    </row>
    <row r="35" spans="2:5" ht="15" thickTop="1">
      <c r="B35" s="161" t="s">
        <v>76</v>
      </c>
      <c r="C35" s="215"/>
      <c r="D35" s="216"/>
      <c r="E35" s="217"/>
    </row>
    <row r="36" spans="2:5" ht="14.25">
      <c r="B36" s="227" t="s">
        <v>219</v>
      </c>
      <c r="C36" s="215"/>
      <c r="D36" s="216"/>
      <c r="E36" s="217"/>
    </row>
    <row r="37" spans="2:2" ht="14.25">
      <c r="B37" s="227" t="s">
        <v>221</v>
      </c>
    </row>
    <row r="38" spans="2:2" ht="14.25">
      <c r="B38" s="227" t="s">
        <v>223</v>
      </c>
    </row>
  </sheetData>
  <sheetProtection/>
  <mergeCells count="6">
    <mergeCell ref="B23:B31"/>
    <mergeCell ref="B1:E1"/>
    <mergeCell ref="B3:E3"/>
    <mergeCell ref="D4:E4"/>
    <mergeCell ref="B5:B22"/>
    <mergeCell ref="C5:C22"/>
  </mergeCells>
  <pageMargins left="0.708661417322835" right="0.708661417322835" top="0.748031496062992" bottom="0.748031496062992" header="0.31496062992126" footer="0.31496062992126"/>
  <pageSetup orientation="landscape" paperSize="9" scale="57"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H79"/>
  <sheetViews>
    <sheetView showGridLines="0" rightToLeft="1" zoomScaleSheetLayoutView="100" workbookViewId="0" topLeftCell="A1">
      <selection pane="topLeft" activeCell="C3" sqref="C3:D3"/>
    </sheetView>
  </sheetViews>
  <sheetFormatPr defaultColWidth="8.85881696428571" defaultRowHeight="14.25"/>
  <cols>
    <col min="1" max="1" width="8.85714285714286" style="143"/>
    <col min="2" max="2" width="48.7142857142857" style="143"/>
    <col min="3" max="4" width="13.4285714285714" style="143"/>
    <col min="5" max="7" width="10.2857142857143" style="143"/>
    <col min="8" max="8" width="36.4285714285714" style="143"/>
    <col min="9" max="16384" width="8.85714285714286" style="143"/>
  </cols>
  <sheetData>
    <row r="1" spans="2:8" ht="27.6" customHeight="1">
      <c r="B1" s="315" t="s">
        <v>24</v>
      </c>
      <c r="C1" s="315"/>
      <c r="D1" s="315"/>
      <c r="E1" s="315"/>
      <c r="F1" s="315"/>
      <c r="G1" s="315"/>
      <c r="H1" s="315"/>
    </row>
    <row r="2" spans="2:8" ht="30" customHeight="1">
      <c r="B2" s="316" t="s">
        <v>134</v>
      </c>
      <c r="C2" s="317"/>
      <c r="D2" s="317"/>
      <c r="E2" s="317"/>
      <c r="F2" s="317"/>
      <c r="G2" s="317"/>
      <c r="H2" s="317"/>
    </row>
    <row r="3" spans="2:8" ht="49.9" customHeight="1">
      <c r="B3" s="144" t="s">
        <v>1</v>
      </c>
      <c r="C3" s="51" t="s">
        <v>2</v>
      </c>
      <c r="D3" s="3" t="s">
        <v>138</v>
      </c>
      <c r="E3" s="144" t="s">
        <v>3</v>
      </c>
      <c r="F3" s="318" t="s">
        <v>4</v>
      </c>
      <c r="G3" s="319"/>
      <c r="H3" s="145" t="s">
        <v>5</v>
      </c>
    </row>
    <row r="4" spans="2:8" ht="27.6" customHeight="1">
      <c r="B4" s="148" t="s">
        <v>80</v>
      </c>
      <c r="C4" s="150">
        <v>0.14000000000000001</v>
      </c>
      <c r="D4" s="248">
        <v>0.10</v>
      </c>
      <c r="E4" s="151">
        <v>0.06</v>
      </c>
      <c r="F4" s="151">
        <f>IF(D4-E4&gt;0,D4-E4,0)</f>
        <v>0.040000000000000008</v>
      </c>
      <c r="G4" s="151">
        <f>D4+E4</f>
        <v>0.16</v>
      </c>
      <c r="H4" s="154" t="s">
        <v>110</v>
      </c>
    </row>
    <row r="5" spans="2:8" ht="27.6" customHeight="1">
      <c r="B5" s="148" t="s">
        <v>113</v>
      </c>
      <c r="C5" s="150">
        <v>0.25900000000000001</v>
      </c>
      <c r="D5" s="248">
        <v>0.27</v>
      </c>
      <c r="E5" s="151">
        <v>0.05</v>
      </c>
      <c r="F5" s="151">
        <f t="shared" si="0" ref="F5:F12">IF(D5-E5&gt;0,D5-E5,0)</f>
        <v>0.22000000000000003</v>
      </c>
      <c r="G5" s="151">
        <f t="shared" si="1" ref="G5:G12">D5+E5</f>
        <v>0.32000000000000001</v>
      </c>
      <c r="H5" s="154" t="s">
        <v>9</v>
      </c>
    </row>
    <row r="6" spans="2:8" ht="27.6" customHeight="1">
      <c r="B6" s="148" t="s">
        <v>135</v>
      </c>
      <c r="C6" s="150">
        <v>0.39700000000000002</v>
      </c>
      <c r="D6" s="248">
        <v>0.38</v>
      </c>
      <c r="E6" s="151">
        <v>0.05</v>
      </c>
      <c r="F6" s="151">
        <f>IF(D6-E6&gt;0,D6-E6,0)</f>
        <v>0.33000000000000002</v>
      </c>
      <c r="G6" s="151">
        <f>D6+E6</f>
        <v>0.42999999999999999</v>
      </c>
      <c r="H6" s="154"/>
    </row>
    <row r="7" spans="2:8" ht="65.25" customHeight="1">
      <c r="B7" s="148" t="s">
        <v>83</v>
      </c>
      <c r="C7" s="150">
        <v>0.10199999999999999</v>
      </c>
      <c r="D7" s="248">
        <v>0.13</v>
      </c>
      <c r="E7" s="151">
        <v>0.06</v>
      </c>
      <c r="F7" s="151">
        <f>IF(D7-E7&gt;0,D7-E7,0)</f>
        <v>0.070000000000000007</v>
      </c>
      <c r="G7" s="151">
        <f>D7+E7</f>
        <v>0.19</v>
      </c>
      <c r="H7" s="154" t="s">
        <v>11</v>
      </c>
    </row>
    <row r="8" spans="2:8" ht="18.6" customHeight="1">
      <c r="B8" s="148" t="s">
        <v>12</v>
      </c>
      <c r="C8" s="150">
        <v>0.033000000000000002</v>
      </c>
      <c r="D8" s="248">
        <v>0</v>
      </c>
      <c r="E8" s="151">
        <v>0.05</v>
      </c>
      <c r="F8" s="151">
        <f>IF(D8-E8&gt;0,D8-E8,0)</f>
        <v>0</v>
      </c>
      <c r="G8" s="151">
        <f>D8+E8</f>
        <v>0.050000000000000003</v>
      </c>
      <c r="H8" s="154"/>
    </row>
    <row r="9" spans="2:8" ht="27.75" customHeight="1">
      <c r="B9" s="148" t="s">
        <v>119</v>
      </c>
      <c r="C9" s="150">
        <v>0.045</v>
      </c>
      <c r="D9" s="248">
        <v>0.070000000000000007</v>
      </c>
      <c r="E9" s="151">
        <v>0.05</v>
      </c>
      <c r="F9" s="151">
        <f>IF(D9-E9&gt;0,D9-E9,0)</f>
        <v>0.020000000000000004</v>
      </c>
      <c r="G9" s="151">
        <f>D9+E9</f>
        <v>0.12000000000000001</v>
      </c>
      <c r="H9" s="154"/>
    </row>
    <row r="10" spans="2:8" ht="18.6" customHeight="1">
      <c r="B10" s="148" t="s">
        <v>15</v>
      </c>
      <c r="C10" s="150">
        <v>0.014</v>
      </c>
      <c r="D10" s="248">
        <v>0.05</v>
      </c>
      <c r="E10" s="151"/>
      <c r="F10" s="151"/>
      <c r="G10" s="151"/>
      <c r="H10" s="154"/>
    </row>
    <row r="11" spans="2:8" ht="18.6" customHeight="1">
      <c r="B11" s="148" t="s">
        <v>16</v>
      </c>
      <c r="C11" s="150">
        <f>SUM(C4:C10)</f>
        <v>0.9900000000000001</v>
      </c>
      <c r="D11" s="248">
        <f>SUM(D4:D10)</f>
        <v>1</v>
      </c>
      <c r="E11" s="151"/>
      <c r="F11" s="151"/>
      <c r="G11" s="151"/>
      <c r="H11" s="154"/>
    </row>
    <row r="12" spans="2:8" ht="18.6" customHeight="1">
      <c r="B12" s="148" t="s">
        <v>17</v>
      </c>
      <c r="C12" s="150">
        <v>0.13400000000000001</v>
      </c>
      <c r="D12" s="248">
        <v>0.12</v>
      </c>
      <c r="E12" s="151">
        <v>0.06</v>
      </c>
      <c r="F12" s="151">
        <f>IF(D12-E12&gt;0,D12-E12,0)</f>
        <v>0.059999999999999998</v>
      </c>
      <c r="G12" s="151">
        <f>D12+E12</f>
        <v>0.17999999999999999</v>
      </c>
      <c r="H12" s="154"/>
    </row>
    <row r="13" spans="2:8" ht="14.25">
      <c r="B13" s="160"/>
      <c r="C13" s="160"/>
      <c r="D13" s="160"/>
      <c r="E13" s="160"/>
      <c r="F13" s="160"/>
      <c r="G13" s="160"/>
      <c r="H13" s="160"/>
    </row>
    <row r="14" spans="2:8" ht="14.25" customHeight="1" thickBot="1">
      <c r="B14" s="161" t="s">
        <v>22</v>
      </c>
      <c r="C14" s="162"/>
      <c r="D14" s="162"/>
      <c r="E14" s="162"/>
      <c r="F14" s="162"/>
      <c r="G14" s="162"/>
      <c r="H14" s="162"/>
    </row>
    <row r="15" spans="2:8" ht="14.25">
      <c r="B15" s="228" t="s">
        <v>23</v>
      </c>
      <c r="C15" s="229"/>
      <c r="D15" s="229"/>
      <c r="E15" s="229"/>
      <c r="F15" s="229"/>
      <c r="G15" s="259"/>
      <c r="H15" s="255"/>
    </row>
    <row r="16" spans="2:8" ht="14.25">
      <c r="B16" s="244" t="s">
        <v>158</v>
      </c>
      <c r="C16" s="231"/>
      <c r="D16" s="231"/>
      <c r="E16" s="231"/>
      <c r="F16" s="231"/>
      <c r="G16" s="249"/>
      <c r="H16" s="256"/>
    </row>
    <row r="17" spans="2:8" ht="14.25">
      <c r="B17" s="244" t="s">
        <v>181</v>
      </c>
      <c r="C17" s="231"/>
      <c r="D17" s="231"/>
      <c r="E17" s="231"/>
      <c r="F17" s="231"/>
      <c r="G17" s="249"/>
      <c r="H17" s="256"/>
    </row>
    <row r="18" spans="2:8" ht="14.25">
      <c r="B18" s="244" t="s">
        <v>159</v>
      </c>
      <c r="C18" s="231"/>
      <c r="D18" s="227"/>
      <c r="E18" s="231"/>
      <c r="F18" s="227"/>
      <c r="G18" s="249"/>
      <c r="H18" s="256"/>
    </row>
    <row r="19" spans="2:8" ht="14.25">
      <c r="B19" s="244" t="s">
        <v>179</v>
      </c>
      <c r="C19" s="231"/>
      <c r="D19" s="231"/>
      <c r="E19" s="231"/>
      <c r="F19" s="231"/>
      <c r="G19" s="249"/>
      <c r="H19" s="256"/>
    </row>
    <row r="20" spans="2:8" ht="15" thickBot="1">
      <c r="B20" s="252"/>
      <c r="C20" s="253"/>
      <c r="D20" s="253"/>
      <c r="E20" s="253"/>
      <c r="F20" s="253"/>
      <c r="G20" s="253"/>
      <c r="H20" s="257"/>
    </row>
    <row r="21" spans="2:8" ht="15" thickBot="1">
      <c r="B21" s="160"/>
      <c r="C21" s="160"/>
      <c r="D21" s="160"/>
      <c r="E21" s="160"/>
      <c r="F21" s="160"/>
      <c r="G21" s="160"/>
      <c r="H21" s="160"/>
    </row>
    <row r="22" spans="2:8" ht="14.25">
      <c r="B22" s="218" t="s">
        <v>148</v>
      </c>
      <c r="C22" s="219"/>
      <c r="D22" s="220"/>
      <c r="E22" s="160"/>
      <c r="F22" s="160"/>
      <c r="G22" s="160"/>
      <c r="H22" s="160"/>
    </row>
    <row r="23" spans="2:8" ht="15" thickBot="1">
      <c r="B23" s="224" t="s">
        <v>225</v>
      </c>
      <c r="C23" s="225"/>
      <c r="D23" s="226"/>
      <c r="E23" s="160"/>
      <c r="F23" s="160"/>
      <c r="G23" s="160"/>
      <c r="H23" s="160"/>
    </row>
    <row r="24" spans="2:8" ht="14.25">
      <c r="B24" s="160"/>
      <c r="C24" s="160"/>
      <c r="D24" s="160"/>
      <c r="E24" s="160"/>
      <c r="F24" s="160"/>
      <c r="G24" s="160"/>
      <c r="H24" s="160"/>
    </row>
    <row r="25" spans="2:8" ht="14.25">
      <c r="B25" s="160"/>
      <c r="C25" s="160"/>
      <c r="D25" s="160"/>
      <c r="E25" s="160"/>
      <c r="F25" s="160"/>
      <c r="G25" s="160"/>
      <c r="H25" s="160"/>
    </row>
    <row r="26" spans="2:8" ht="14.25">
      <c r="B26" s="160"/>
      <c r="C26" s="160"/>
      <c r="D26" s="160"/>
      <c r="E26" s="160"/>
      <c r="F26" s="160"/>
      <c r="G26" s="160"/>
      <c r="H26" s="160"/>
    </row>
    <row r="27" spans="2:8" ht="14.25">
      <c r="B27" s="160"/>
      <c r="C27" s="160"/>
      <c r="D27" s="160"/>
      <c r="E27" s="160"/>
      <c r="F27" s="160"/>
      <c r="G27" s="160"/>
      <c r="H27" s="160"/>
    </row>
    <row r="28" spans="2:8" ht="14.25">
      <c r="B28" s="160"/>
      <c r="C28" s="160"/>
      <c r="D28" s="160"/>
      <c r="E28" s="160"/>
      <c r="F28" s="160"/>
      <c r="G28" s="160"/>
      <c r="H28" s="160"/>
    </row>
    <row r="29" spans="2:8" ht="14.25">
      <c r="B29" s="160"/>
      <c r="C29" s="160"/>
      <c r="D29" s="160"/>
      <c r="E29" s="160"/>
      <c r="F29" s="160"/>
      <c r="G29" s="160"/>
      <c r="H29" s="160"/>
    </row>
    <row r="30" spans="2:8" ht="14.25">
      <c r="B30" s="160"/>
      <c r="C30" s="160"/>
      <c r="D30" s="160"/>
      <c r="E30" s="160"/>
      <c r="F30" s="160"/>
      <c r="G30" s="160"/>
      <c r="H30" s="160"/>
    </row>
    <row r="31" spans="2:8" ht="14.25">
      <c r="B31" s="160"/>
      <c r="C31" s="160"/>
      <c r="D31" s="160"/>
      <c r="E31" s="160"/>
      <c r="F31" s="160"/>
      <c r="G31" s="160"/>
      <c r="H31" s="160"/>
    </row>
    <row r="32" spans="2:8" ht="14.25">
      <c r="B32" s="160"/>
      <c r="C32" s="160"/>
      <c r="D32" s="160"/>
      <c r="E32" s="160"/>
      <c r="F32" s="160"/>
      <c r="G32" s="160"/>
      <c r="H32" s="160"/>
    </row>
    <row r="33" spans="2:8" ht="14.25">
      <c r="B33" s="160"/>
      <c r="C33" s="160"/>
      <c r="D33" s="160"/>
      <c r="E33" s="160"/>
      <c r="F33" s="160"/>
      <c r="G33" s="160"/>
      <c r="H33" s="160"/>
    </row>
    <row r="34" spans="2:8" ht="14.25">
      <c r="B34" s="160"/>
      <c r="C34" s="160"/>
      <c r="D34" s="160"/>
      <c r="E34" s="160"/>
      <c r="F34" s="160"/>
      <c r="G34" s="160"/>
      <c r="H34" s="160"/>
    </row>
    <row r="35" spans="2:8" ht="14.25">
      <c r="B35" s="160"/>
      <c r="C35" s="160"/>
      <c r="D35" s="160"/>
      <c r="E35" s="160"/>
      <c r="F35" s="160"/>
      <c r="G35" s="160"/>
      <c r="H35" s="160"/>
    </row>
    <row r="36" spans="2:8" ht="14.25">
      <c r="B36" s="160"/>
      <c r="C36" s="160"/>
      <c r="D36" s="160"/>
      <c r="E36" s="160"/>
      <c r="F36" s="160"/>
      <c r="G36" s="160"/>
      <c r="H36" s="160"/>
    </row>
    <row r="37" spans="2:8" ht="14.25">
      <c r="B37" s="160"/>
      <c r="C37" s="160"/>
      <c r="D37" s="160"/>
      <c r="E37" s="160"/>
      <c r="F37" s="160"/>
      <c r="G37" s="160"/>
      <c r="H37" s="160"/>
    </row>
    <row r="38" spans="2:8" ht="14.25">
      <c r="B38" s="160"/>
      <c r="C38" s="160"/>
      <c r="D38" s="160"/>
      <c r="E38" s="160"/>
      <c r="F38" s="160"/>
      <c r="G38" s="160"/>
      <c r="H38" s="160"/>
    </row>
    <row r="39" spans="2:8" ht="14.25">
      <c r="B39" s="160"/>
      <c r="C39" s="160"/>
      <c r="D39" s="160"/>
      <c r="E39" s="160"/>
      <c r="F39" s="160"/>
      <c r="G39" s="160"/>
      <c r="H39" s="160"/>
    </row>
    <row r="40" spans="2:8" ht="14.25">
      <c r="B40" s="160"/>
      <c r="C40" s="160"/>
      <c r="D40" s="160"/>
      <c r="E40" s="160"/>
      <c r="F40" s="160"/>
      <c r="G40" s="160"/>
      <c r="H40" s="160"/>
    </row>
    <row r="41" spans="2:8" ht="14.25">
      <c r="B41" s="160"/>
      <c r="C41" s="160"/>
      <c r="D41" s="160"/>
      <c r="E41" s="160"/>
      <c r="F41" s="160"/>
      <c r="G41" s="160"/>
      <c r="H41" s="160"/>
    </row>
    <row r="42" spans="2:8" ht="14.25">
      <c r="B42" s="160"/>
      <c r="C42" s="160"/>
      <c r="D42" s="160"/>
      <c r="E42" s="160"/>
      <c r="F42" s="160"/>
      <c r="G42" s="160"/>
      <c r="H42" s="160"/>
    </row>
    <row r="43" spans="2:8" ht="14.25">
      <c r="B43" s="160"/>
      <c r="C43" s="160"/>
      <c r="D43" s="160"/>
      <c r="E43" s="160"/>
      <c r="F43" s="160"/>
      <c r="G43" s="160"/>
      <c r="H43" s="160"/>
    </row>
    <row r="44" spans="2:8" ht="14.25">
      <c r="B44" s="160"/>
      <c r="C44" s="160"/>
      <c r="D44" s="160"/>
      <c r="E44" s="160"/>
      <c r="F44" s="160"/>
      <c r="G44" s="160"/>
      <c r="H44" s="160"/>
    </row>
    <row r="45" spans="2:8" ht="14.25">
      <c r="B45" s="160"/>
      <c r="C45" s="160"/>
      <c r="D45" s="160"/>
      <c r="E45" s="160"/>
      <c r="F45" s="160"/>
      <c r="G45" s="160"/>
      <c r="H45" s="160"/>
    </row>
    <row r="46" spans="2:8" ht="14.25">
      <c r="B46" s="160"/>
      <c r="C46" s="160"/>
      <c r="D46" s="160"/>
      <c r="E46" s="160"/>
      <c r="F46" s="160"/>
      <c r="G46" s="160"/>
      <c r="H46" s="160"/>
    </row>
    <row r="47" spans="2:8" ht="14.25">
      <c r="B47" s="160"/>
      <c r="C47" s="160"/>
      <c r="D47" s="160"/>
      <c r="E47" s="160"/>
      <c r="F47" s="160"/>
      <c r="G47" s="160"/>
      <c r="H47" s="160"/>
    </row>
    <row r="48" spans="2:8" ht="14.25">
      <c r="B48" s="160"/>
      <c r="C48" s="160"/>
      <c r="D48" s="160"/>
      <c r="E48" s="160"/>
      <c r="F48" s="160"/>
      <c r="G48" s="160"/>
      <c r="H48" s="160"/>
    </row>
    <row r="49" spans="2:8" ht="14.25">
      <c r="B49" s="160"/>
      <c r="C49" s="160"/>
      <c r="D49" s="160"/>
      <c r="E49" s="160"/>
      <c r="F49" s="160"/>
      <c r="G49" s="160"/>
      <c r="H49" s="160"/>
    </row>
    <row r="50" spans="2:8" ht="14.25">
      <c r="B50" s="160"/>
      <c r="C50" s="160"/>
      <c r="D50" s="160"/>
      <c r="E50" s="160"/>
      <c r="F50" s="160"/>
      <c r="G50" s="160"/>
      <c r="H50" s="160"/>
    </row>
    <row r="51" spans="2:8" ht="14.25">
      <c r="B51" s="160"/>
      <c r="C51" s="160"/>
      <c r="D51" s="160"/>
      <c r="E51" s="160"/>
      <c r="F51" s="160"/>
      <c r="G51" s="160"/>
      <c r="H51" s="160"/>
    </row>
    <row r="52" spans="2:8" ht="14.25">
      <c r="B52" s="160"/>
      <c r="C52" s="160"/>
      <c r="D52" s="160"/>
      <c r="E52" s="160"/>
      <c r="F52" s="160"/>
      <c r="G52" s="160"/>
      <c r="H52" s="160"/>
    </row>
    <row r="53" spans="2:8" ht="14.25">
      <c r="B53" s="160"/>
      <c r="C53" s="160"/>
      <c r="D53" s="160"/>
      <c r="E53" s="160"/>
      <c r="F53" s="160"/>
      <c r="G53" s="160"/>
      <c r="H53" s="160"/>
    </row>
    <row r="54" spans="2:8" ht="14.25">
      <c r="B54" s="160"/>
      <c r="C54" s="160"/>
      <c r="D54" s="160"/>
      <c r="E54" s="160"/>
      <c r="F54" s="160"/>
      <c r="G54" s="160"/>
      <c r="H54" s="160"/>
    </row>
    <row r="55" spans="2:8" ht="14.25">
      <c r="B55" s="160"/>
      <c r="C55" s="160"/>
      <c r="D55" s="160"/>
      <c r="E55" s="160"/>
      <c r="F55" s="160"/>
      <c r="G55" s="160"/>
      <c r="H55" s="160"/>
    </row>
    <row r="56" spans="2:8" ht="14.25">
      <c r="B56" s="160"/>
      <c r="C56" s="160"/>
      <c r="D56" s="160"/>
      <c r="E56" s="160"/>
      <c r="F56" s="160"/>
      <c r="G56" s="160"/>
      <c r="H56" s="160"/>
    </row>
    <row r="57" spans="2:8" ht="14.25">
      <c r="B57" s="160"/>
      <c r="C57" s="160"/>
      <c r="D57" s="160"/>
      <c r="E57" s="160"/>
      <c r="F57" s="160"/>
      <c r="G57" s="160"/>
      <c r="H57" s="160"/>
    </row>
    <row r="58" spans="2:8" ht="14.25">
      <c r="B58" s="160"/>
      <c r="C58" s="160"/>
      <c r="D58" s="160"/>
      <c r="E58" s="160"/>
      <c r="F58" s="160"/>
      <c r="G58" s="160"/>
      <c r="H58" s="160"/>
    </row>
    <row r="59" spans="2:8" ht="14.25">
      <c r="B59" s="160"/>
      <c r="C59" s="160"/>
      <c r="D59" s="160"/>
      <c r="E59" s="160"/>
      <c r="F59" s="160"/>
      <c r="G59" s="160"/>
      <c r="H59" s="160"/>
    </row>
    <row r="60" spans="2:8" ht="14.25">
      <c r="B60" s="160"/>
      <c r="C60" s="160"/>
      <c r="D60" s="160"/>
      <c r="E60" s="160"/>
      <c r="F60" s="160"/>
      <c r="G60" s="160"/>
      <c r="H60" s="160"/>
    </row>
    <row r="61" spans="2:8" ht="14.25">
      <c r="B61" s="160"/>
      <c r="C61" s="160"/>
      <c r="D61" s="160"/>
      <c r="E61" s="160"/>
      <c r="F61" s="160"/>
      <c r="G61" s="160"/>
      <c r="H61" s="160"/>
    </row>
    <row r="62" spans="2:8" ht="14.25">
      <c r="B62" s="160"/>
      <c r="C62" s="160"/>
      <c r="D62" s="160"/>
      <c r="E62" s="160"/>
      <c r="F62" s="160"/>
      <c r="G62" s="160"/>
      <c r="H62" s="160"/>
    </row>
    <row r="63" spans="2:8" ht="14.25">
      <c r="B63" s="160"/>
      <c r="C63" s="160"/>
      <c r="D63" s="160"/>
      <c r="E63" s="160"/>
      <c r="F63" s="160"/>
      <c r="G63" s="160"/>
      <c r="H63" s="160"/>
    </row>
    <row r="64" spans="2:8" ht="14.25">
      <c r="B64" s="160"/>
      <c r="C64" s="160"/>
      <c r="D64" s="160"/>
      <c r="E64" s="160"/>
      <c r="F64" s="160"/>
      <c r="G64" s="160"/>
      <c r="H64" s="160"/>
    </row>
    <row r="65" spans="2:8" ht="14.25">
      <c r="B65" s="160"/>
      <c r="C65" s="160"/>
      <c r="D65" s="160"/>
      <c r="E65" s="160"/>
      <c r="F65" s="160"/>
      <c r="G65" s="160"/>
      <c r="H65" s="160"/>
    </row>
    <row r="66" spans="2:8" ht="14.25">
      <c r="B66" s="160"/>
      <c r="C66" s="160"/>
      <c r="D66" s="160"/>
      <c r="E66" s="160"/>
      <c r="F66" s="160"/>
      <c r="G66" s="160"/>
      <c r="H66" s="160"/>
    </row>
    <row r="67" spans="2:8" ht="14.25">
      <c r="B67" s="160"/>
      <c r="C67" s="160"/>
      <c r="D67" s="160"/>
      <c r="E67" s="160"/>
      <c r="F67" s="160"/>
      <c r="G67" s="160"/>
      <c r="H67" s="160"/>
    </row>
    <row r="68" spans="2:8" ht="14.25">
      <c r="B68" s="160"/>
      <c r="C68" s="160"/>
      <c r="D68" s="160"/>
      <c r="E68" s="160"/>
      <c r="F68" s="160"/>
      <c r="G68" s="160"/>
      <c r="H68" s="160"/>
    </row>
    <row r="69" spans="2:8" ht="14.25">
      <c r="B69" s="160"/>
      <c r="C69" s="160"/>
      <c r="D69" s="160"/>
      <c r="E69" s="160"/>
      <c r="F69" s="160"/>
      <c r="G69" s="160"/>
      <c r="H69" s="160"/>
    </row>
    <row r="70" spans="2:8" ht="14.25">
      <c r="B70" s="160"/>
      <c r="C70" s="160"/>
      <c r="D70" s="160"/>
      <c r="E70" s="160"/>
      <c r="F70" s="160"/>
      <c r="G70" s="160"/>
      <c r="H70" s="160"/>
    </row>
    <row r="71" spans="2:8" ht="14.25">
      <c r="B71" s="160"/>
      <c r="C71" s="160"/>
      <c r="D71" s="160"/>
      <c r="E71" s="160"/>
      <c r="F71" s="160"/>
      <c r="G71" s="160"/>
      <c r="H71" s="160"/>
    </row>
    <row r="72" spans="2:8" ht="14.25">
      <c r="B72" s="160"/>
      <c r="C72" s="160"/>
      <c r="D72" s="160"/>
      <c r="E72" s="160"/>
      <c r="F72" s="160"/>
      <c r="G72" s="160"/>
      <c r="H72" s="160"/>
    </row>
    <row r="73" spans="2:8" ht="14.25">
      <c r="B73" s="160"/>
      <c r="C73" s="160"/>
      <c r="D73" s="160"/>
      <c r="E73" s="160"/>
      <c r="F73" s="160"/>
      <c r="G73" s="160"/>
      <c r="H73" s="160"/>
    </row>
    <row r="74" spans="2:8" ht="14.25">
      <c r="B74" s="160"/>
      <c r="C74" s="160"/>
      <c r="D74" s="160"/>
      <c r="E74" s="160"/>
      <c r="F74" s="160"/>
      <c r="G74" s="160"/>
      <c r="H74" s="160"/>
    </row>
    <row r="75" spans="2:8" ht="14.25">
      <c r="B75" s="160"/>
      <c r="C75" s="160"/>
      <c r="D75" s="160"/>
      <c r="E75" s="160"/>
      <c r="F75" s="160"/>
      <c r="G75" s="160"/>
      <c r="H75" s="160"/>
    </row>
    <row r="76" spans="2:8" ht="14.25">
      <c r="B76" s="160"/>
      <c r="C76" s="160"/>
      <c r="D76" s="160"/>
      <c r="E76" s="160"/>
      <c r="F76" s="160"/>
      <c r="G76" s="160"/>
      <c r="H76" s="160"/>
    </row>
    <row r="77" spans="2:8" ht="14.25">
      <c r="B77" s="160"/>
      <c r="C77" s="160"/>
      <c r="D77" s="160"/>
      <c r="E77" s="160"/>
      <c r="F77" s="160"/>
      <c r="G77" s="160"/>
      <c r="H77" s="160"/>
    </row>
    <row r="78" spans="2:8" ht="14.25">
      <c r="B78" s="160"/>
      <c r="C78" s="160"/>
      <c r="D78" s="160"/>
      <c r="E78" s="160"/>
      <c r="F78" s="160"/>
      <c r="G78" s="160"/>
      <c r="H78" s="160"/>
    </row>
    <row r="79" spans="2:8" ht="14.25">
      <c r="B79" s="160"/>
      <c r="C79" s="160"/>
      <c r="D79" s="160"/>
      <c r="E79" s="160"/>
      <c r="F79" s="160"/>
      <c r="G79" s="160"/>
      <c r="H79" s="160"/>
    </row>
  </sheetData>
  <sheetProtection/>
  <mergeCells count="3">
    <mergeCell ref="B1:H1"/>
    <mergeCell ref="B2:H2"/>
    <mergeCell ref="F3:G3"/>
  </mergeCells>
  <printOptions horizontalCentered="1"/>
  <pageMargins left="0.25" right="0.25" top="0.75" bottom="0.75" header="0.3" footer="0.3"/>
  <pageSetup fitToHeight="0" orientation="landscape" paperSize="9" scale="69"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sheetPr>
    <tabColor theme="0" tint="-0.24997"/>
    <pageSetUpPr fitToPage="1"/>
  </sheetPr>
  <dimension ref="B1:J80"/>
  <sheetViews>
    <sheetView showGridLines="0" rightToLeft="1" zoomScaleSheetLayoutView="100" workbookViewId="0" topLeftCell="A1">
      <selection pane="topLeft" activeCell="D4" sqref="D4"/>
    </sheetView>
  </sheetViews>
  <sheetFormatPr defaultColWidth="8.85881696428571" defaultRowHeight="14.25"/>
  <cols>
    <col min="1" max="1" width="8.85714285714286" style="143"/>
    <col min="2" max="2" width="48.7142857142857" style="143"/>
    <col min="3" max="4" width="13.4285714285714" style="143"/>
    <col min="5" max="7" width="10.2857142857143" style="143"/>
    <col min="8" max="8" width="36.4285714285714" style="143"/>
    <col min="9" max="9" width="39.5714285714286" style="143" hidden="1"/>
    <col min="10" max="10" width="42.2857142857143" style="143" hidden="1"/>
    <col min="11" max="16384" width="8.85714285714286" style="143"/>
  </cols>
  <sheetData>
    <row r="1" spans="2:8" ht="27.6" customHeight="1">
      <c r="B1" s="315" t="s">
        <v>24</v>
      </c>
      <c r="C1" s="315"/>
      <c r="D1" s="315"/>
      <c r="E1" s="315"/>
      <c r="F1" s="315"/>
      <c r="G1" s="315"/>
      <c r="H1" s="315"/>
    </row>
    <row r="2" spans="2:8" ht="30" customHeight="1" thickBot="1">
      <c r="B2" s="316" t="s">
        <v>227</v>
      </c>
      <c r="C2" s="317"/>
      <c r="D2" s="317"/>
      <c r="E2" s="317"/>
      <c r="F2" s="317"/>
      <c r="G2" s="317"/>
      <c r="H2" s="317"/>
    </row>
    <row r="3" spans="2:10" ht="49.9" customHeight="1" thickTop="1" thickBot="1">
      <c r="B3" s="144" t="s">
        <v>1</v>
      </c>
      <c r="C3" s="51" t="s">
        <v>2</v>
      </c>
      <c r="D3" s="3" t="s">
        <v>138</v>
      </c>
      <c r="E3" s="144" t="s">
        <v>3</v>
      </c>
      <c r="F3" s="318" t="s">
        <v>4</v>
      </c>
      <c r="G3" s="319"/>
      <c r="H3" s="145" t="s">
        <v>5</v>
      </c>
      <c r="I3" s="146" t="s">
        <v>108</v>
      </c>
      <c r="J3" s="147" t="s">
        <v>109</v>
      </c>
    </row>
    <row r="4" spans="2:10" ht="27.6" customHeight="1" thickTop="1">
      <c r="B4" s="148" t="s">
        <v>80</v>
      </c>
      <c r="C4" s="150">
        <v>0.14599999999999999</v>
      </c>
      <c r="D4" s="248">
        <v>0.10</v>
      </c>
      <c r="E4" s="151">
        <v>0.06</v>
      </c>
      <c r="F4" s="151">
        <f>IF(D4-E4&gt;0,D4-E4,0)</f>
        <v>0.040000000000000008</v>
      </c>
      <c r="G4" s="151">
        <f>D4+E4</f>
        <v>0.16</v>
      </c>
      <c r="H4" s="154" t="s">
        <v>110</v>
      </c>
      <c r="I4" s="152" t="s">
        <v>111</v>
      </c>
      <c r="J4" s="153" t="s">
        <v>112</v>
      </c>
    </row>
    <row r="5" spans="2:10" ht="27.6" customHeight="1">
      <c r="B5" s="148" t="s">
        <v>113</v>
      </c>
      <c r="C5" s="150">
        <v>0.28699999999999998</v>
      </c>
      <c r="D5" s="248">
        <v>0.31</v>
      </c>
      <c r="E5" s="151">
        <v>0.05</v>
      </c>
      <c r="F5" s="151">
        <f t="shared" si="0" ref="F5:F12">IF(D5-E5&gt;0,D5-E5,0)</f>
        <v>0.26000000000000001</v>
      </c>
      <c r="G5" s="151">
        <f t="shared" si="1" ref="G5:G12">D5+E5</f>
        <v>0.35999999999999999</v>
      </c>
      <c r="H5" s="154" t="s">
        <v>9</v>
      </c>
      <c r="I5" s="155" t="s">
        <v>114</v>
      </c>
      <c r="J5" s="156" t="s">
        <v>115</v>
      </c>
    </row>
    <row r="6" spans="2:10" ht="27.6" customHeight="1">
      <c r="B6" s="148" t="s">
        <v>135</v>
      </c>
      <c r="C6" s="150">
        <v>0.39100000000000001</v>
      </c>
      <c r="D6" s="248">
        <v>0.38</v>
      </c>
      <c r="E6" s="151">
        <v>0.05</v>
      </c>
      <c r="F6" s="151">
        <f>IF(D6-E6&gt;0,D6-E6,0)</f>
        <v>0.33000000000000002</v>
      </c>
      <c r="G6" s="151">
        <f>D6+E6</f>
        <v>0.42999999999999999</v>
      </c>
      <c r="H6" s="154"/>
      <c r="I6" s="155"/>
      <c r="J6" s="156"/>
    </row>
    <row r="7" spans="2:10" ht="65.25" customHeight="1">
      <c r="B7" s="148" t="s">
        <v>83</v>
      </c>
      <c r="C7" s="150">
        <v>0.072999999999999995</v>
      </c>
      <c r="D7" s="248">
        <v>0.11</v>
      </c>
      <c r="E7" s="151">
        <v>0.06</v>
      </c>
      <c r="F7" s="151">
        <f>IF(D7-E7&gt;0,D7-E7,0)</f>
        <v>0.050000000000000003</v>
      </c>
      <c r="G7" s="151">
        <f>D7+E7</f>
        <v>0.16999999999999998</v>
      </c>
      <c r="H7" s="154" t="s">
        <v>11</v>
      </c>
      <c r="I7" s="155" t="s">
        <v>116</v>
      </c>
      <c r="J7" s="157" t="s">
        <v>117</v>
      </c>
    </row>
    <row r="8" spans="2:10" ht="18.6" customHeight="1">
      <c r="B8" s="148" t="s">
        <v>12</v>
      </c>
      <c r="C8" s="150">
        <v>0.012999999999999999</v>
      </c>
      <c r="D8" s="248">
        <v>0</v>
      </c>
      <c r="E8" s="151">
        <v>0.05</v>
      </c>
      <c r="F8" s="151">
        <f>IF(D8-E8&gt;0,D8-E8,0)</f>
        <v>0</v>
      </c>
      <c r="G8" s="151">
        <f>D8+E8</f>
        <v>0.050000000000000003</v>
      </c>
      <c r="H8" s="154"/>
      <c r="I8" s="152" t="s">
        <v>84</v>
      </c>
      <c r="J8" s="157" t="s">
        <v>118</v>
      </c>
    </row>
    <row r="9" spans="2:10" ht="27.75" customHeight="1">
      <c r="B9" s="148" t="s">
        <v>119</v>
      </c>
      <c r="C9" s="150">
        <v>0.035000000000000003</v>
      </c>
      <c r="D9" s="248">
        <v>0.05</v>
      </c>
      <c r="E9" s="151">
        <v>0.05</v>
      </c>
      <c r="F9" s="151">
        <f>IF(D9-E9&gt;0,D9-E9,0)</f>
        <v>0</v>
      </c>
      <c r="G9" s="151">
        <f>D9+E9</f>
        <v>0.10000000000000001</v>
      </c>
      <c r="H9" s="154"/>
      <c r="I9" s="152" t="s">
        <v>16</v>
      </c>
      <c r="J9" s="157" t="s">
        <v>120</v>
      </c>
    </row>
    <row r="10" spans="2:10" ht="18.6" customHeight="1">
      <c r="B10" s="148" t="s">
        <v>15</v>
      </c>
      <c r="C10" s="150">
        <v>0.042999999999999997</v>
      </c>
      <c r="D10" s="248">
        <v>0.05</v>
      </c>
      <c r="E10" s="151"/>
      <c r="F10" s="151"/>
      <c r="G10" s="151"/>
      <c r="H10" s="154"/>
      <c r="I10" s="158" t="s">
        <v>121</v>
      </c>
      <c r="J10" s="156" t="s">
        <v>122</v>
      </c>
    </row>
    <row r="11" spans="2:10" ht="18.6" customHeight="1">
      <c r="B11" s="148" t="s">
        <v>16</v>
      </c>
      <c r="C11" s="150">
        <f>SUM(C4:C10)</f>
        <v>0.98799999999999999</v>
      </c>
      <c r="D11" s="248">
        <f>SUM(D4:D10)</f>
        <v>1</v>
      </c>
      <c r="E11" s="151"/>
      <c r="F11" s="151"/>
      <c r="G11" s="151"/>
      <c r="H11" s="154"/>
      <c r="I11" s="159"/>
      <c r="J11" s="157" t="s">
        <v>123</v>
      </c>
    </row>
    <row r="12" spans="2:10" ht="18.6" customHeight="1">
      <c r="B12" s="148" t="s">
        <v>17</v>
      </c>
      <c r="C12" s="150">
        <v>0.121</v>
      </c>
      <c r="D12" s="248">
        <v>0.12</v>
      </c>
      <c r="E12" s="151">
        <v>0.06</v>
      </c>
      <c r="F12" s="151">
        <f>IF(D12-E12&gt;0,D12-E12,0)</f>
        <v>0.059999999999999998</v>
      </c>
      <c r="G12" s="151">
        <f>D12+E12</f>
        <v>0.17999999999999999</v>
      </c>
      <c r="H12" s="154"/>
      <c r="I12" s="159"/>
      <c r="J12" s="157" t="s">
        <v>124</v>
      </c>
    </row>
    <row r="13" spans="2:8" ht="14.25">
      <c r="B13" s="160"/>
      <c r="C13" s="160"/>
      <c r="D13" s="160"/>
      <c r="E13" s="160"/>
      <c r="F13" s="160"/>
      <c r="G13" s="160"/>
      <c r="H13" s="160"/>
    </row>
    <row r="14" spans="2:9" ht="14.25" customHeight="1" thickBot="1">
      <c r="B14" s="161" t="s">
        <v>22</v>
      </c>
      <c r="C14" s="162"/>
      <c r="D14" s="162"/>
      <c r="E14" s="162"/>
      <c r="F14" s="162"/>
      <c r="G14" s="162"/>
      <c r="H14" s="162"/>
      <c r="I14" s="160"/>
    </row>
    <row r="15" spans="2:8" ht="14.25">
      <c r="B15" s="228" t="s">
        <v>23</v>
      </c>
      <c r="C15" s="229"/>
      <c r="D15" s="229"/>
      <c r="E15" s="229"/>
      <c r="F15" s="259"/>
      <c r="G15" s="271"/>
      <c r="H15" s="255"/>
    </row>
    <row r="16" spans="2:8" ht="14.25">
      <c r="B16" s="244" t="s">
        <v>158</v>
      </c>
      <c r="C16" s="231"/>
      <c r="D16" s="231"/>
      <c r="E16" s="231"/>
      <c r="F16" s="249"/>
      <c r="G16" s="258"/>
      <c r="H16" s="256"/>
    </row>
    <row r="17" spans="2:8" ht="14.25">
      <c r="B17" s="244" t="s">
        <v>181</v>
      </c>
      <c r="C17" s="231"/>
      <c r="D17" s="231"/>
      <c r="E17" s="231"/>
      <c r="F17" s="249"/>
      <c r="G17" s="258"/>
      <c r="H17" s="256"/>
    </row>
    <row r="18" spans="2:8" ht="14.25">
      <c r="B18" s="244" t="s">
        <v>159</v>
      </c>
      <c r="C18" s="227"/>
      <c r="D18" s="231"/>
      <c r="E18" s="227"/>
      <c r="F18" s="249"/>
      <c r="G18" s="258"/>
      <c r="H18" s="256"/>
    </row>
    <row r="19" spans="2:8" ht="14.25">
      <c r="B19" s="244" t="s">
        <v>179</v>
      </c>
      <c r="C19" s="231"/>
      <c r="D19" s="231"/>
      <c r="E19" s="231"/>
      <c r="F19" s="249"/>
      <c r="G19" s="258"/>
      <c r="H19" s="256"/>
    </row>
    <row r="20" spans="2:8" ht="15" thickBot="1">
      <c r="B20" s="252"/>
      <c r="C20" s="253"/>
      <c r="D20" s="253"/>
      <c r="E20" s="253"/>
      <c r="F20" s="253"/>
      <c r="G20" s="272"/>
      <c r="H20" s="257"/>
    </row>
    <row r="21" spans="2:8" ht="15" thickBot="1">
      <c r="B21" s="160"/>
      <c r="C21" s="160"/>
      <c r="D21" s="160"/>
      <c r="E21" s="160"/>
      <c r="F21" s="160"/>
      <c r="G21" s="160"/>
      <c r="H21" s="160"/>
    </row>
    <row r="22" spans="2:8" ht="14.25">
      <c r="B22" s="218" t="s">
        <v>143</v>
      </c>
      <c r="C22" s="219"/>
      <c r="D22" s="255"/>
      <c r="E22" s="160"/>
      <c r="F22" s="160"/>
      <c r="G22" s="160"/>
      <c r="H22" s="160"/>
    </row>
    <row r="23" spans="2:8" ht="14.25">
      <c r="B23" s="244" t="s">
        <v>226</v>
      </c>
      <c r="C23" s="222"/>
      <c r="D23" s="256"/>
      <c r="E23" s="160"/>
      <c r="F23" s="160"/>
      <c r="G23" s="160"/>
      <c r="H23" s="160"/>
    </row>
    <row r="24" spans="2:8" ht="15" thickBot="1">
      <c r="B24" s="245" t="s">
        <v>225</v>
      </c>
      <c r="C24" s="225"/>
      <c r="D24" s="257"/>
      <c r="E24" s="160"/>
      <c r="F24" s="160"/>
      <c r="G24" s="160"/>
      <c r="H24" s="160"/>
    </row>
    <row r="25" spans="2:8" ht="14.25">
      <c r="B25" s="160"/>
      <c r="C25" s="160"/>
      <c r="D25" s="160"/>
      <c r="E25" s="160"/>
      <c r="F25" s="160"/>
      <c r="G25" s="160"/>
      <c r="H25" s="160"/>
    </row>
    <row r="26" spans="2:8" ht="14.25">
      <c r="B26" s="160"/>
      <c r="C26" s="160"/>
      <c r="D26" s="160"/>
      <c r="E26" s="160"/>
      <c r="F26" s="160"/>
      <c r="G26" s="160"/>
      <c r="H26" s="160"/>
    </row>
    <row r="27" spans="2:8" ht="14.25">
      <c r="B27" s="160"/>
      <c r="C27" s="160"/>
      <c r="D27" s="160"/>
      <c r="E27" s="160"/>
      <c r="F27" s="160"/>
      <c r="G27" s="160"/>
      <c r="H27" s="160"/>
    </row>
    <row r="28" spans="2:8" ht="14.25">
      <c r="B28" s="160"/>
      <c r="C28" s="160"/>
      <c r="D28" s="160"/>
      <c r="E28" s="160"/>
      <c r="F28" s="160"/>
      <c r="G28" s="160"/>
      <c r="H28" s="160"/>
    </row>
    <row r="29" spans="2:8" ht="14.25">
      <c r="B29" s="160"/>
      <c r="C29" s="160"/>
      <c r="D29" s="160"/>
      <c r="E29" s="160"/>
      <c r="F29" s="160"/>
      <c r="G29" s="160"/>
      <c r="H29" s="160"/>
    </row>
    <row r="30" spans="2:8" ht="14.25">
      <c r="B30" s="160"/>
      <c r="C30" s="160"/>
      <c r="D30" s="160"/>
      <c r="E30" s="160"/>
      <c r="F30" s="160"/>
      <c r="G30" s="160"/>
      <c r="H30" s="160"/>
    </row>
    <row r="31" spans="2:8" ht="14.25">
      <c r="B31" s="160"/>
      <c r="C31" s="160"/>
      <c r="D31" s="160"/>
      <c r="E31" s="160"/>
      <c r="F31" s="160"/>
      <c r="G31" s="160"/>
      <c r="H31" s="160"/>
    </row>
    <row r="32" spans="2:8" ht="14.25">
      <c r="B32" s="160"/>
      <c r="C32" s="160"/>
      <c r="D32" s="160"/>
      <c r="E32" s="160"/>
      <c r="F32" s="160"/>
      <c r="G32" s="160"/>
      <c r="H32" s="160"/>
    </row>
    <row r="33" spans="2:8" ht="14.25">
      <c r="B33" s="160"/>
      <c r="C33" s="160"/>
      <c r="D33" s="160"/>
      <c r="E33" s="160"/>
      <c r="F33" s="160"/>
      <c r="G33" s="160"/>
      <c r="H33" s="160"/>
    </row>
    <row r="34" spans="2:8" ht="14.25">
      <c r="B34" s="160"/>
      <c r="C34" s="160"/>
      <c r="D34" s="160"/>
      <c r="E34" s="160"/>
      <c r="F34" s="160"/>
      <c r="G34" s="160"/>
      <c r="H34" s="160"/>
    </row>
    <row r="35" spans="2:8" ht="14.25">
      <c r="B35" s="160"/>
      <c r="C35" s="160"/>
      <c r="D35" s="160"/>
      <c r="E35" s="160"/>
      <c r="F35" s="160"/>
      <c r="G35" s="160"/>
      <c r="H35" s="160"/>
    </row>
    <row r="36" spans="2:8" ht="14.25">
      <c r="B36" s="160"/>
      <c r="C36" s="160"/>
      <c r="D36" s="160"/>
      <c r="E36" s="160"/>
      <c r="F36" s="160"/>
      <c r="G36" s="160"/>
      <c r="H36" s="160"/>
    </row>
    <row r="37" spans="2:8" ht="14.25">
      <c r="B37" s="160"/>
      <c r="C37" s="160"/>
      <c r="D37" s="160"/>
      <c r="E37" s="160"/>
      <c r="F37" s="160"/>
      <c r="G37" s="160"/>
      <c r="H37" s="160"/>
    </row>
    <row r="38" spans="2:8" ht="14.25">
      <c r="B38" s="160"/>
      <c r="C38" s="160"/>
      <c r="D38" s="160"/>
      <c r="E38" s="160"/>
      <c r="F38" s="160"/>
      <c r="G38" s="160"/>
      <c r="H38" s="160"/>
    </row>
    <row r="39" spans="2:8" ht="14.25">
      <c r="B39" s="160"/>
      <c r="C39" s="160"/>
      <c r="D39" s="160"/>
      <c r="E39" s="160"/>
      <c r="F39" s="160"/>
      <c r="G39" s="160"/>
      <c r="H39" s="160"/>
    </row>
    <row r="40" spans="2:8" ht="14.25">
      <c r="B40" s="160"/>
      <c r="C40" s="160"/>
      <c r="D40" s="160"/>
      <c r="E40" s="160"/>
      <c r="F40" s="160"/>
      <c r="G40" s="160"/>
      <c r="H40" s="160"/>
    </row>
    <row r="41" spans="2:8" ht="14.25">
      <c r="B41" s="160"/>
      <c r="C41" s="160"/>
      <c r="D41" s="160"/>
      <c r="E41" s="160"/>
      <c r="F41" s="160"/>
      <c r="G41" s="160"/>
      <c r="H41" s="160"/>
    </row>
    <row r="42" spans="2:8" ht="14.25">
      <c r="B42" s="160"/>
      <c r="C42" s="160"/>
      <c r="D42" s="160"/>
      <c r="E42" s="160"/>
      <c r="F42" s="160"/>
      <c r="G42" s="160"/>
      <c r="H42" s="160"/>
    </row>
    <row r="43" spans="2:8" ht="14.25">
      <c r="B43" s="160"/>
      <c r="C43" s="160"/>
      <c r="D43" s="160"/>
      <c r="E43" s="160"/>
      <c r="F43" s="160"/>
      <c r="G43" s="160"/>
      <c r="H43" s="160"/>
    </row>
    <row r="44" spans="2:8" ht="14.25">
      <c r="B44" s="160"/>
      <c r="C44" s="160"/>
      <c r="D44" s="160"/>
      <c r="E44" s="160"/>
      <c r="F44" s="160"/>
      <c r="G44" s="160"/>
      <c r="H44" s="160"/>
    </row>
    <row r="45" spans="2:8" ht="14.25">
      <c r="B45" s="160"/>
      <c r="C45" s="160"/>
      <c r="D45" s="160"/>
      <c r="E45" s="160"/>
      <c r="F45" s="160"/>
      <c r="G45" s="160"/>
      <c r="H45" s="160"/>
    </row>
    <row r="46" spans="2:8" ht="14.25">
      <c r="B46" s="160"/>
      <c r="C46" s="160"/>
      <c r="D46" s="160"/>
      <c r="E46" s="160"/>
      <c r="F46" s="160"/>
      <c r="G46" s="160"/>
      <c r="H46" s="160"/>
    </row>
    <row r="47" spans="2:8" ht="14.25">
      <c r="B47" s="160"/>
      <c r="C47" s="160"/>
      <c r="D47" s="160"/>
      <c r="E47" s="160"/>
      <c r="F47" s="160"/>
      <c r="G47" s="160"/>
      <c r="H47" s="160"/>
    </row>
    <row r="48" spans="2:8" ht="14.25">
      <c r="B48" s="160"/>
      <c r="C48" s="160"/>
      <c r="D48" s="160"/>
      <c r="E48" s="160"/>
      <c r="F48" s="160"/>
      <c r="G48" s="160"/>
      <c r="H48" s="160"/>
    </row>
    <row r="49" spans="2:8" ht="14.25">
      <c r="B49" s="160"/>
      <c r="C49" s="160"/>
      <c r="D49" s="160"/>
      <c r="E49" s="160"/>
      <c r="F49" s="160"/>
      <c r="G49" s="160"/>
      <c r="H49" s="160"/>
    </row>
    <row r="50" spans="2:8" ht="14.25">
      <c r="B50" s="160"/>
      <c r="C50" s="160"/>
      <c r="D50" s="160"/>
      <c r="E50" s="160"/>
      <c r="F50" s="160"/>
      <c r="G50" s="160"/>
      <c r="H50" s="160"/>
    </row>
    <row r="51" spans="2:8" ht="14.25">
      <c r="B51" s="160"/>
      <c r="C51" s="160"/>
      <c r="D51" s="160"/>
      <c r="E51" s="160"/>
      <c r="F51" s="160"/>
      <c r="G51" s="160"/>
      <c r="H51" s="160"/>
    </row>
    <row r="52" spans="2:8" ht="14.25">
      <c r="B52" s="160"/>
      <c r="C52" s="160"/>
      <c r="D52" s="160"/>
      <c r="E52" s="160"/>
      <c r="F52" s="160"/>
      <c r="G52" s="160"/>
      <c r="H52" s="160"/>
    </row>
    <row r="53" spans="2:8" ht="14.25">
      <c r="B53" s="160"/>
      <c r="C53" s="160"/>
      <c r="D53" s="160"/>
      <c r="E53" s="160"/>
      <c r="F53" s="160"/>
      <c r="G53" s="160"/>
      <c r="H53" s="160"/>
    </row>
    <row r="54" spans="2:8" ht="14.25">
      <c r="B54" s="160"/>
      <c r="C54" s="160"/>
      <c r="D54" s="160"/>
      <c r="E54" s="160"/>
      <c r="F54" s="160"/>
      <c r="G54" s="160"/>
      <c r="H54" s="160"/>
    </row>
    <row r="55" spans="2:8" ht="14.25">
      <c r="B55" s="160"/>
      <c r="C55" s="160"/>
      <c r="D55" s="160"/>
      <c r="E55" s="160"/>
      <c r="F55" s="160"/>
      <c r="G55" s="160"/>
      <c r="H55" s="160"/>
    </row>
    <row r="56" spans="2:8" ht="14.25">
      <c r="B56" s="160"/>
      <c r="C56" s="160"/>
      <c r="D56" s="160"/>
      <c r="E56" s="160"/>
      <c r="F56" s="160"/>
      <c r="G56" s="160"/>
      <c r="H56" s="160"/>
    </row>
    <row r="57" spans="2:8" ht="14.25">
      <c r="B57" s="160"/>
      <c r="C57" s="160"/>
      <c r="D57" s="160"/>
      <c r="E57" s="160"/>
      <c r="F57" s="160"/>
      <c r="G57" s="160"/>
      <c r="H57" s="160"/>
    </row>
    <row r="58" spans="2:8" ht="14.25">
      <c r="B58" s="160"/>
      <c r="C58" s="160"/>
      <c r="D58" s="160"/>
      <c r="E58" s="160"/>
      <c r="F58" s="160"/>
      <c r="G58" s="160"/>
      <c r="H58" s="160"/>
    </row>
    <row r="59" spans="2:8" ht="14.25">
      <c r="B59" s="160"/>
      <c r="C59" s="160"/>
      <c r="D59" s="160"/>
      <c r="E59" s="160"/>
      <c r="F59" s="160"/>
      <c r="G59" s="160"/>
      <c r="H59" s="160"/>
    </row>
    <row r="60" spans="2:8" ht="14.25">
      <c r="B60" s="160"/>
      <c r="C60" s="160"/>
      <c r="D60" s="160"/>
      <c r="E60" s="160"/>
      <c r="F60" s="160"/>
      <c r="G60" s="160"/>
      <c r="H60" s="160"/>
    </row>
    <row r="61" spans="2:8" ht="14.25">
      <c r="B61" s="160"/>
      <c r="C61" s="160"/>
      <c r="D61" s="160"/>
      <c r="E61" s="160"/>
      <c r="F61" s="160"/>
      <c r="G61" s="160"/>
      <c r="H61" s="160"/>
    </row>
    <row r="62" spans="2:8" ht="14.25">
      <c r="B62" s="160"/>
      <c r="C62" s="160"/>
      <c r="D62" s="160"/>
      <c r="E62" s="160"/>
      <c r="F62" s="160"/>
      <c r="G62" s="160"/>
      <c r="H62" s="160"/>
    </row>
    <row r="63" spans="2:8" ht="14.25">
      <c r="B63" s="160"/>
      <c r="C63" s="160"/>
      <c r="D63" s="160"/>
      <c r="E63" s="160"/>
      <c r="F63" s="160"/>
      <c r="G63" s="160"/>
      <c r="H63" s="160"/>
    </row>
    <row r="64" spans="2:8" ht="14.25">
      <c r="B64" s="160"/>
      <c r="C64" s="160"/>
      <c r="D64" s="160"/>
      <c r="E64" s="160"/>
      <c r="F64" s="160"/>
      <c r="G64" s="160"/>
      <c r="H64" s="160"/>
    </row>
    <row r="65" spans="2:8" ht="14.25">
      <c r="B65" s="160"/>
      <c r="C65" s="160"/>
      <c r="D65" s="160"/>
      <c r="E65" s="160"/>
      <c r="F65" s="160"/>
      <c r="G65" s="160"/>
      <c r="H65" s="160"/>
    </row>
    <row r="66" spans="2:8" ht="14.25">
      <c r="B66" s="160"/>
      <c r="C66" s="160"/>
      <c r="D66" s="160"/>
      <c r="E66" s="160"/>
      <c r="F66" s="160"/>
      <c r="G66" s="160"/>
      <c r="H66" s="160"/>
    </row>
    <row r="67" spans="2:8" ht="14.25">
      <c r="B67" s="160"/>
      <c r="C67" s="160"/>
      <c r="D67" s="160"/>
      <c r="E67" s="160"/>
      <c r="F67" s="160"/>
      <c r="G67" s="160"/>
      <c r="H67" s="160"/>
    </row>
    <row r="68" spans="2:8" ht="14.25">
      <c r="B68" s="160"/>
      <c r="C68" s="160"/>
      <c r="D68" s="160"/>
      <c r="E68" s="160"/>
      <c r="F68" s="160"/>
      <c r="G68" s="160"/>
      <c r="H68" s="160"/>
    </row>
    <row r="69" spans="2:8" ht="14.25">
      <c r="B69" s="160"/>
      <c r="C69" s="160"/>
      <c r="D69" s="160"/>
      <c r="E69" s="160"/>
      <c r="F69" s="160"/>
      <c r="G69" s="160"/>
      <c r="H69" s="160"/>
    </row>
    <row r="70" spans="2:8" ht="14.25">
      <c r="B70" s="160"/>
      <c r="C70" s="160"/>
      <c r="D70" s="160"/>
      <c r="E70" s="160"/>
      <c r="F70" s="160"/>
      <c r="G70" s="160"/>
      <c r="H70" s="160"/>
    </row>
    <row r="71" spans="2:8" ht="14.25">
      <c r="B71" s="160"/>
      <c r="C71" s="160"/>
      <c r="D71" s="160"/>
      <c r="E71" s="160"/>
      <c r="F71" s="160"/>
      <c r="G71" s="160"/>
      <c r="H71" s="160"/>
    </row>
    <row r="72" spans="2:8" ht="14.25">
      <c r="B72" s="160"/>
      <c r="C72" s="160"/>
      <c r="D72" s="160"/>
      <c r="E72" s="160"/>
      <c r="F72" s="160"/>
      <c r="G72" s="160"/>
      <c r="H72" s="160"/>
    </row>
    <row r="73" spans="2:8" ht="14.25">
      <c r="B73" s="160"/>
      <c r="C73" s="160"/>
      <c r="D73" s="160"/>
      <c r="E73" s="160"/>
      <c r="F73" s="160"/>
      <c r="G73" s="160"/>
      <c r="H73" s="160"/>
    </row>
    <row r="74" spans="2:8" ht="14.25">
      <c r="B74" s="160"/>
      <c r="C74" s="160"/>
      <c r="D74" s="160"/>
      <c r="E74" s="160"/>
      <c r="F74" s="160"/>
      <c r="G74" s="160"/>
      <c r="H74" s="160"/>
    </row>
    <row r="75" spans="2:8" ht="14.25">
      <c r="B75" s="160"/>
      <c r="C75" s="160"/>
      <c r="D75" s="160"/>
      <c r="E75" s="160"/>
      <c r="F75" s="160"/>
      <c r="G75" s="160"/>
      <c r="H75" s="160"/>
    </row>
    <row r="76" spans="2:8" ht="14.25">
      <c r="B76" s="160"/>
      <c r="C76" s="160"/>
      <c r="D76" s="160"/>
      <c r="E76" s="160"/>
      <c r="F76" s="160"/>
      <c r="G76" s="160"/>
      <c r="H76" s="160"/>
    </row>
    <row r="77" spans="2:8" ht="14.25">
      <c r="B77" s="160"/>
      <c r="C77" s="160"/>
      <c r="D77" s="160"/>
      <c r="E77" s="160"/>
      <c r="F77" s="160"/>
      <c r="G77" s="160"/>
      <c r="H77" s="160"/>
    </row>
    <row r="78" spans="2:8" ht="14.25">
      <c r="B78" s="160"/>
      <c r="C78" s="160"/>
      <c r="D78" s="160"/>
      <c r="E78" s="160"/>
      <c r="F78" s="160"/>
      <c r="G78" s="160"/>
      <c r="H78" s="160"/>
    </row>
    <row r="79" spans="2:8" ht="14.25">
      <c r="B79" s="160"/>
      <c r="C79" s="160"/>
      <c r="D79" s="160"/>
      <c r="E79" s="160"/>
      <c r="F79" s="160"/>
      <c r="G79" s="160"/>
      <c r="H79" s="160"/>
    </row>
    <row r="80" spans="2:8" ht="14.25">
      <c r="B80" s="160"/>
      <c r="C80" s="160"/>
      <c r="D80" s="160"/>
      <c r="E80" s="160"/>
      <c r="F80" s="160"/>
      <c r="G80" s="160"/>
      <c r="H80" s="160"/>
    </row>
  </sheetData>
  <sheetProtection/>
  <mergeCells count="3">
    <mergeCell ref="B1:H1"/>
    <mergeCell ref="B2:H2"/>
    <mergeCell ref="F3:G3"/>
  </mergeCells>
  <printOptions horizontalCentered="1"/>
  <pageMargins left="0.25" right="0.25" top="0.75" bottom="0.75" header="0.3" footer="0.3"/>
  <pageSetup fitToHeight="0" orientation="landscape" paperSize="9" scale="7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ma:contentTypeID="0x010100A316BE08C83926469E01954DBB50B1CF" ma:contentTypeVersion="57" ma:contentTypeDescription="צור מסמך חדש." ma:contentTypeScope="" ma:versionID="88846259896006661451f43edd8d670e">
  <xsd:schema xmlns:xsd="http://www.w3.org/2001/XMLSchema" xmlns:xs="http://www.w3.org/2001/XMLSchema" xmlns:p="http://schemas.microsoft.com/office/2006/metadata/properties" xmlns:ns2="7c67d0cd-db71-4ceb-ba14-b5862b768686" xmlns:ns3="e7c93c0b-31f4-4d6d-a404-57fd37393f5c" targetNamespace="http://schemas.microsoft.com/office/2006/metadata/properties" ma:root="true" ma:fieldsID="518585d3c03b905f732db284d8a74df5" ns2:_="" ns3:_="">
    <xsd:import namespace="7c67d0cd-db71-4ceb-ba14-b5862b768686"/>
    <xsd:import namespace="e7c93c0b-31f4-4d6d-a404-57fd37393f5c"/>
    <xsd:element name="properties">
      <xsd:complexType>
        <xsd:sequence>
          <xsd:element name="documentManagement">
            <xsd:complexType>
              <xsd:all>
                <xsd:element ref="ns2:KupotIsHidden" minOccurs="0"/>
                <xsd:element ref="ns3:Category"/>
                <xsd:element ref="ns3:kupa_ktp" minOccurs="0"/>
                <xsd:element ref="ns3:kupa_tagmulim" minOccurs="0"/>
                <xsd:element ref="ns3:Kupa_kgl" minOccurs="0"/>
                <xsd:element ref="ns3:Kupa_Hishtalmut" minOccurs="0"/>
                <xsd:element ref="ns3:Kupa_kml" minOccurs="0"/>
                <xsd:element ref="ns3:Kupa_h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67d0cd-db71-4ceb-ba14-b5862b768686" elementFormDefault="qualified">
    <xsd:import namespace="http://schemas.microsoft.com/office/2006/documentManagement/types"/>
    <xsd:import namespace="http://schemas.microsoft.com/office/infopath/2007/PartnerControls"/>
    <xsd:element name="KupotIsHidden" ma:index="2" nillable="true" ma:displayName="האם מוסתר" ma:default="0" ma:internalName="KupotIsHidde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7c93c0b-31f4-4d6d-a404-57fd37393f5c" elementFormDefault="qualified">
    <xsd:import namespace="http://schemas.microsoft.com/office/2006/documentManagement/types"/>
    <xsd:import namespace="http://schemas.microsoft.com/office/infopath/2007/PartnerControls"/>
    <xsd:element name="Category" ma:index="3" ma:displayName="קטגוריה" ma:list="{f5f4faa8-66df-4408-84bb-4d6db3e5f2c7}" ma:internalName="Category" ma:readOnly="false" ma:showField="Title">
      <xsd:simpleType>
        <xsd:restriction base="dms:Lookup"/>
      </xsd:simpleType>
    </xsd:element>
    <xsd:element name="kupa_ktp" ma:index="4" nillable="true" ma:displayName="שיוך לקופות תגמולים ופיצויים" ma:description="שיוך לקופות תגמולים ופיצויים" ma:list="{763891f0-3d44-4a85-960a-71e94bff38e3}" ma:internalName="kupa_ktp"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tagmulim" ma:index="5" nillable="true" ma:displayName="שיוך לקופת תגמולים" ma:list="{505babb9-963f-493a-9c84-f3592782ad29}" ma:internalName="kupa_tagmulim"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gl" ma:index="6" nillable="true" ma:displayName="שיוך לקופת גמל והשקעה" ma:list="{c9e47831-bd9a-4373-857c-573decdec21e}" ma:internalName="Kupa_kg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ishtalmut" ma:index="7" nillable="true" ma:displayName="שיוך לקופת גמל השתלמות" ma:list="{92efcb00-7ec5-4c24-acc8-93a4fd9f89bd}" ma:internalName="Kupa_Hishtalmut"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ml" ma:index="8" nillable="true" ma:displayName="שיוך לקופה מרכזית לפיצויים" ma:list="{8977dd3e-4455-4c9c-8ca5-39e21ff81916}" ma:internalName="Kupa_km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ly" ma:index="9" nillable="true" ma:displayName="שיוך לקופת חיסכון לכל ילד" ma:list="{e96ab951-ee60-47b3-8728-1be65f70838a}" ma:internalName="Kupa_hly" ma:readOnly="false" ma:showField="Titl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סוג תוכן"/>
        <xsd:element ref="dc:title" minOccurs="0" maxOccurs="1" ma:index="1" ma:displayName="תאור מסמך"/>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KupotIsHidden xmlns="7c67d0cd-db71-4ceb-ba14-b5862b768686">false</KupotIsHidden>
    <Category xmlns="e7c93c0b-31f4-4d6d-a404-57fd37393f5c">9</Category>
    <Kupa_kml xmlns="e7c93c0b-31f4-4d6d-a404-57fd37393f5c">
      <Value>12</Value>
    </Kupa_kml>
    <kupa_ktp xmlns="e7c93c0b-31f4-4d6d-a404-57fd37393f5c"/>
    <Kupa_Hishtalmut xmlns="e7c93c0b-31f4-4d6d-a404-57fd37393f5c"/>
    <kupa_tagmulim xmlns="e7c93c0b-31f4-4d6d-a404-57fd37393f5c"/>
    <Kupa_hly xmlns="e7c93c0b-31f4-4d6d-a404-57fd37393f5c"/>
    <Kupa_kgl xmlns="e7c93c0b-31f4-4d6d-a404-57fd37393f5c"/>
  </documentManagement>
</p:properties>
</file>

<file path=customXml/itemProps1.xml><?xml version="1.0" encoding="utf-8"?>
<ds:datastoreItem xmlns:ds="http://schemas.openxmlformats.org/officeDocument/2006/customXml" ds:itemID="{C191A46E-2609-4FE9-887F-B1010CE7EA90}"/>
</file>

<file path=customXml/itemProps2.xml><?xml version="1.0" encoding="utf-8"?>
<ds:datastoreItem xmlns:ds="http://schemas.openxmlformats.org/officeDocument/2006/customXml" ds:itemID="{E7880647-DD76-45B3-80AA-7FD7DE4BFCF4}"/>
</file>

<file path=customXml/itemProps3.xml><?xml version="1.0" encoding="utf-8"?>
<ds:datastoreItem xmlns:ds="http://schemas.openxmlformats.org/officeDocument/2006/customXml" ds:itemID="{34C3BAAC-73A9-40A8-B6AD-70332A8CCE2F}"/>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עדכון אוגוסט 2021</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0x010100A316BE08C83926469E01954DBB50B1CF</vt:lpwstr>
  </property>
</Properties>
</file>