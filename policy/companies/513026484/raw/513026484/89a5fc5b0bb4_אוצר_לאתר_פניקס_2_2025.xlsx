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xr:revisionPtr revIDLastSave="0" documentId="13_ncr:1_{06614DAA-E33F-4D07-9D3D-91D2E17A4A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3" i="1" l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G350" i="1" l="1"/>
  <c r="G354" i="1" s="1"/>
  <c r="O350" i="1"/>
  <c r="O352" i="1" s="1"/>
  <c r="AA350" i="1"/>
  <c r="AA354" i="1" s="1"/>
  <c r="AM350" i="1"/>
  <c r="AM352" i="1" s="1"/>
  <c r="AY350" i="1"/>
  <c r="AY354" i="1" s="1"/>
  <c r="Q350" i="1"/>
  <c r="Q358" i="1" s="1"/>
  <c r="AC350" i="1"/>
  <c r="AC356" i="1" s="1"/>
  <c r="AO350" i="1"/>
  <c r="AO352" i="1" s="1"/>
  <c r="BA350" i="1"/>
  <c r="BA356" i="1" s="1"/>
  <c r="K350" i="1"/>
  <c r="K354" i="1" s="1"/>
  <c r="W350" i="1"/>
  <c r="W352" i="1" s="1"/>
  <c r="AI350" i="1"/>
  <c r="AI354" i="1" s="1"/>
  <c r="AU350" i="1"/>
  <c r="AU352" i="1" s="1"/>
  <c r="N355" i="1"/>
  <c r="E350" i="1"/>
  <c r="E354" i="1" s="1"/>
  <c r="M350" i="1"/>
  <c r="M354" i="1" s="1"/>
  <c r="Y350" i="1"/>
  <c r="Y352" i="1" s="1"/>
  <c r="AK350" i="1"/>
  <c r="AW350" i="1"/>
  <c r="AW356" i="1" s="1"/>
  <c r="BI350" i="1"/>
  <c r="S350" i="1"/>
  <c r="S354" i="1" s="1"/>
  <c r="AE350" i="1"/>
  <c r="AE352" i="1" s="1"/>
  <c r="AQ350" i="1"/>
  <c r="AQ354" i="1" s="1"/>
  <c r="BC350" i="1"/>
  <c r="BC352" i="1" s="1"/>
  <c r="BG350" i="1"/>
  <c r="BG354" i="1" s="1"/>
  <c r="I350" i="1"/>
  <c r="I352" i="1" s="1"/>
  <c r="U350" i="1"/>
  <c r="AG350" i="1"/>
  <c r="AG355" i="1" s="1"/>
  <c r="AS350" i="1"/>
  <c r="AS356" i="1" s="1"/>
  <c r="BE350" i="1"/>
  <c r="BE352" i="1" s="1"/>
  <c r="K358" i="1"/>
  <c r="W358" i="1"/>
  <c r="H350" i="1"/>
  <c r="H352" i="1" s="1"/>
  <c r="L350" i="1"/>
  <c r="L352" i="1" s="1"/>
  <c r="P350" i="1"/>
  <c r="P357" i="1" s="1"/>
  <c r="T350" i="1"/>
  <c r="T352" i="1" s="1"/>
  <c r="X350" i="1"/>
  <c r="X357" i="1" s="1"/>
  <c r="BC358" i="1"/>
  <c r="I354" i="1"/>
  <c r="Y354" i="1"/>
  <c r="G358" i="1"/>
  <c r="O358" i="1"/>
  <c r="AA358" i="1"/>
  <c r="AY358" i="1"/>
  <c r="F350" i="1"/>
  <c r="J350" i="1"/>
  <c r="J358" i="1" s="1"/>
  <c r="N350" i="1"/>
  <c r="N359" i="1" s="1"/>
  <c r="R350" i="1"/>
  <c r="R355" i="1" s="1"/>
  <c r="V350" i="1"/>
  <c r="V356" i="1" s="1"/>
  <c r="Z350" i="1"/>
  <c r="Z359" i="1" s="1"/>
  <c r="AH350" i="1"/>
  <c r="AP350" i="1"/>
  <c r="AP359" i="1" s="1"/>
  <c r="AX350" i="1"/>
  <c r="AX355" i="1" s="1"/>
  <c r="BF350" i="1"/>
  <c r="BF358" i="1" s="1"/>
  <c r="I355" i="1"/>
  <c r="Y355" i="1"/>
  <c r="AW355" i="1"/>
  <c r="O357" i="1"/>
  <c r="W357" i="1"/>
  <c r="AE357" i="1"/>
  <c r="AU357" i="1"/>
  <c r="BC357" i="1"/>
  <c r="AP358" i="1"/>
  <c r="AX358" i="1"/>
  <c r="I359" i="1"/>
  <c r="Y359" i="1"/>
  <c r="AC359" i="1"/>
  <c r="AK359" i="1"/>
  <c r="BA359" i="1"/>
  <c r="BI359" i="1"/>
  <c r="G355" i="1"/>
  <c r="K355" i="1"/>
  <c r="O355" i="1"/>
  <c r="W355" i="1"/>
  <c r="AA355" i="1"/>
  <c r="AE355" i="1"/>
  <c r="AI355" i="1"/>
  <c r="AM355" i="1"/>
  <c r="AU355" i="1"/>
  <c r="AY355" i="1"/>
  <c r="BC355" i="1"/>
  <c r="BG355" i="1"/>
  <c r="N356" i="1"/>
  <c r="E357" i="1"/>
  <c r="I357" i="1"/>
  <c r="Q357" i="1"/>
  <c r="Y357" i="1"/>
  <c r="AC357" i="1"/>
  <c r="AK357" i="1"/>
  <c r="AS357" i="1"/>
  <c r="AW357" i="1"/>
  <c r="BA357" i="1"/>
  <c r="BE357" i="1"/>
  <c r="BI357" i="1"/>
  <c r="H358" i="1"/>
  <c r="P358" i="1"/>
  <c r="X358" i="1"/>
  <c r="G359" i="1"/>
  <c r="K359" i="1"/>
  <c r="O359" i="1"/>
  <c r="W359" i="1"/>
  <c r="AA359" i="1"/>
  <c r="AE359" i="1"/>
  <c r="AI359" i="1"/>
  <c r="AU359" i="1"/>
  <c r="AY359" i="1"/>
  <c r="BC359" i="1"/>
  <c r="BG359" i="1"/>
  <c r="AD350" i="1"/>
  <c r="AD356" i="1" s="1"/>
  <c r="AL350" i="1"/>
  <c r="AL355" i="1" s="1"/>
  <c r="AT350" i="1"/>
  <c r="AT355" i="1" s="1"/>
  <c r="BB350" i="1"/>
  <c r="BB355" i="1" s="1"/>
  <c r="AC354" i="1"/>
  <c r="AK354" i="1"/>
  <c r="AW354" i="1"/>
  <c r="BA354" i="1"/>
  <c r="BI354" i="1"/>
  <c r="H355" i="1"/>
  <c r="T355" i="1"/>
  <c r="X355" i="1"/>
  <c r="G356" i="1"/>
  <c r="K356" i="1"/>
  <c r="O356" i="1"/>
  <c r="W356" i="1"/>
  <c r="AA356" i="1"/>
  <c r="AE356" i="1"/>
  <c r="AI356" i="1"/>
  <c r="AM356" i="1"/>
  <c r="AU356" i="1"/>
  <c r="AY356" i="1"/>
  <c r="BC356" i="1"/>
  <c r="BG356" i="1"/>
  <c r="J357" i="1"/>
  <c r="V357" i="1"/>
  <c r="AD357" i="1"/>
  <c r="AP357" i="1"/>
  <c r="BB357" i="1"/>
  <c r="BF357" i="1"/>
  <c r="E358" i="1"/>
  <c r="I358" i="1"/>
  <c r="M358" i="1"/>
  <c r="Y358" i="1"/>
  <c r="AC358" i="1"/>
  <c r="AK358" i="1"/>
  <c r="AS358" i="1"/>
  <c r="AW358" i="1"/>
  <c r="BA358" i="1"/>
  <c r="BI358" i="1"/>
  <c r="H359" i="1"/>
  <c r="P359" i="1"/>
  <c r="X359" i="1"/>
  <c r="H354" i="1"/>
  <c r="X354" i="1"/>
  <c r="AB350" i="1"/>
  <c r="AB352" i="1" s="1"/>
  <c r="AF350" i="1"/>
  <c r="AF358" i="1" s="1"/>
  <c r="AJ350" i="1"/>
  <c r="AJ352" i="1" s="1"/>
  <c r="AN350" i="1"/>
  <c r="AN358" i="1" s="1"/>
  <c r="AR350" i="1"/>
  <c r="AR352" i="1" s="1"/>
  <c r="AV350" i="1"/>
  <c r="AV358" i="1" s="1"/>
  <c r="AZ350" i="1"/>
  <c r="AZ352" i="1" s="1"/>
  <c r="BD350" i="1"/>
  <c r="BD358" i="1" s="1"/>
  <c r="BH350" i="1"/>
  <c r="BH352" i="1" s="1"/>
  <c r="L355" i="1" l="1"/>
  <c r="AG354" i="1"/>
  <c r="M357" i="1"/>
  <c r="Q355" i="1"/>
  <c r="T359" i="1"/>
  <c r="AO358" i="1"/>
  <c r="AQ359" i="1"/>
  <c r="E355" i="1"/>
  <c r="Q354" i="1"/>
  <c r="AQ355" i="1"/>
  <c r="M359" i="1"/>
  <c r="L359" i="1"/>
  <c r="BE354" i="1"/>
  <c r="T358" i="1"/>
  <c r="AO357" i="1"/>
  <c r="Z356" i="1"/>
  <c r="BE359" i="1"/>
  <c r="T356" i="1"/>
  <c r="AU358" i="1"/>
  <c r="BE355" i="1"/>
  <c r="I356" i="1"/>
  <c r="AQ356" i="1"/>
  <c r="AO359" i="1"/>
  <c r="R358" i="1"/>
  <c r="T354" i="1"/>
  <c r="BE358" i="1"/>
  <c r="Z357" i="1"/>
  <c r="AO354" i="1"/>
  <c r="AO355" i="1"/>
  <c r="T357" i="1"/>
  <c r="Y356" i="1"/>
  <c r="N357" i="1"/>
  <c r="L358" i="1"/>
  <c r="AP356" i="1"/>
  <c r="S359" i="1"/>
  <c r="AG357" i="1"/>
  <c r="AG358" i="1"/>
  <c r="L356" i="1"/>
  <c r="L354" i="1"/>
  <c r="S356" i="1"/>
  <c r="S355" i="1"/>
  <c r="AF359" i="1"/>
  <c r="BF356" i="1"/>
  <c r="Z358" i="1"/>
  <c r="AR356" i="1"/>
  <c r="BF359" i="1"/>
  <c r="AI358" i="1"/>
  <c r="AG356" i="1"/>
  <c r="BF355" i="1"/>
  <c r="AT357" i="1"/>
  <c r="J356" i="1"/>
  <c r="AQ358" i="1"/>
  <c r="J359" i="1"/>
  <c r="BE356" i="1"/>
  <c r="J355" i="1"/>
  <c r="BC354" i="1"/>
  <c r="AE354" i="1"/>
  <c r="L357" i="1"/>
  <c r="AU354" i="1"/>
  <c r="O354" i="1"/>
  <c r="AV359" i="1"/>
  <c r="S358" i="1"/>
  <c r="BG358" i="1"/>
  <c r="E356" i="1"/>
  <c r="AB357" i="1"/>
  <c r="AZ355" i="1"/>
  <c r="AZ354" i="1"/>
  <c r="AH352" i="1"/>
  <c r="AH354" i="1"/>
  <c r="F352" i="1"/>
  <c r="F354" i="1"/>
  <c r="U352" i="1"/>
  <c r="U355" i="1"/>
  <c r="AV352" i="1"/>
  <c r="AV356" i="1"/>
  <c r="AF352" i="1"/>
  <c r="AF356" i="1"/>
  <c r="P354" i="1"/>
  <c r="BH359" i="1"/>
  <c r="AR359" i="1"/>
  <c r="AB359" i="1"/>
  <c r="AL357" i="1"/>
  <c r="AV355" i="1"/>
  <c r="AF355" i="1"/>
  <c r="P355" i="1"/>
  <c r="AS354" i="1"/>
  <c r="AD352" i="1"/>
  <c r="AD358" i="1"/>
  <c r="BH358" i="1"/>
  <c r="AR358" i="1"/>
  <c r="AB358" i="1"/>
  <c r="BB356" i="1"/>
  <c r="AL356" i="1"/>
  <c r="AV354" i="1"/>
  <c r="AF354" i="1"/>
  <c r="AM357" i="1"/>
  <c r="AJ356" i="1"/>
  <c r="H356" i="1"/>
  <c r="AT354" i="1"/>
  <c r="AD354" i="1"/>
  <c r="N352" i="1"/>
  <c r="N358" i="1"/>
  <c r="N354" i="1"/>
  <c r="AX359" i="1"/>
  <c r="F359" i="1"/>
  <c r="U354" i="1"/>
  <c r="AD359" i="1"/>
  <c r="BD357" i="1"/>
  <c r="AT359" i="1"/>
  <c r="U356" i="1"/>
  <c r="AV357" i="1"/>
  <c r="BI352" i="1"/>
  <c r="BI355" i="1"/>
  <c r="AK352" i="1"/>
  <c r="AK355" i="1"/>
  <c r="M352" i="1"/>
  <c r="M355" i="1"/>
  <c r="F355" i="1"/>
  <c r="AI352" i="1"/>
  <c r="AI357" i="1"/>
  <c r="K352" i="1"/>
  <c r="K357" i="1"/>
  <c r="Q352" i="1"/>
  <c r="Q359" i="1"/>
  <c r="AM354" i="1"/>
  <c r="AX352" i="1"/>
  <c r="AX354" i="1"/>
  <c r="R352" i="1"/>
  <c r="R354" i="1"/>
  <c r="P352" i="1"/>
  <c r="P356" i="1"/>
  <c r="AS352" i="1"/>
  <c r="AS355" i="1"/>
  <c r="BD359" i="1"/>
  <c r="AN359" i="1"/>
  <c r="U358" i="1"/>
  <c r="AX357" i="1"/>
  <c r="AH357" i="1"/>
  <c r="R357" i="1"/>
  <c r="F357" i="1"/>
  <c r="BH355" i="1"/>
  <c r="AR355" i="1"/>
  <c r="AB355" i="1"/>
  <c r="BB352" i="1"/>
  <c r="BB358" i="1"/>
  <c r="U357" i="1"/>
  <c r="AX356" i="1"/>
  <c r="AH356" i="1"/>
  <c r="R356" i="1"/>
  <c r="F356" i="1"/>
  <c r="BH354" i="1"/>
  <c r="AR354" i="1"/>
  <c r="AB354" i="1"/>
  <c r="AS359" i="1"/>
  <c r="AH358" i="1"/>
  <c r="F358" i="1"/>
  <c r="BH356" i="1"/>
  <c r="AB356" i="1"/>
  <c r="BF352" i="1"/>
  <c r="BF354" i="1"/>
  <c r="AP352" i="1"/>
  <c r="AP354" i="1"/>
  <c r="Z352" i="1"/>
  <c r="Z354" i="1"/>
  <c r="J352" i="1"/>
  <c r="J354" i="1"/>
  <c r="AL359" i="1"/>
  <c r="R359" i="1"/>
  <c r="AE358" i="1"/>
  <c r="X356" i="1"/>
  <c r="X352" i="1"/>
  <c r="AH359" i="1"/>
  <c r="BH357" i="1"/>
  <c r="AG352" i="1"/>
  <c r="AG359" i="1"/>
  <c r="AH355" i="1"/>
  <c r="BG352" i="1"/>
  <c r="BG357" i="1"/>
  <c r="AQ352" i="1"/>
  <c r="AQ357" i="1"/>
  <c r="S352" i="1"/>
  <c r="S357" i="1"/>
  <c r="AJ357" i="1"/>
  <c r="BI356" i="1"/>
  <c r="AK356" i="1"/>
  <c r="M356" i="1"/>
  <c r="W354" i="1"/>
  <c r="AR357" i="1"/>
  <c r="H357" i="1"/>
  <c r="AO356" i="1"/>
  <c r="Q356" i="1"/>
  <c r="AP355" i="1"/>
  <c r="AJ355" i="1"/>
  <c r="AL352" i="1"/>
  <c r="AL358" i="1"/>
  <c r="AJ354" i="1"/>
  <c r="BD356" i="1"/>
  <c r="BD352" i="1"/>
  <c r="AN356" i="1"/>
  <c r="AN352" i="1"/>
  <c r="AZ359" i="1"/>
  <c r="AJ359" i="1"/>
  <c r="BD355" i="1"/>
  <c r="AN355" i="1"/>
  <c r="AT352" i="1"/>
  <c r="AT358" i="1"/>
  <c r="AM359" i="1"/>
  <c r="AZ358" i="1"/>
  <c r="AJ358" i="1"/>
  <c r="AT356" i="1"/>
  <c r="BD354" i="1"/>
  <c r="AN354" i="1"/>
  <c r="U359" i="1"/>
  <c r="AZ356" i="1"/>
  <c r="BB354" i="1"/>
  <c r="AL354" i="1"/>
  <c r="V352" i="1"/>
  <c r="V358" i="1"/>
  <c r="V354" i="1"/>
  <c r="AM358" i="1"/>
  <c r="AZ357" i="1"/>
  <c r="BB359" i="1"/>
  <c r="V359" i="1"/>
  <c r="AF357" i="1"/>
  <c r="V355" i="1"/>
  <c r="AW352" i="1"/>
  <c r="AW359" i="1"/>
  <c r="E352" i="1"/>
  <c r="E359" i="1"/>
  <c r="Z355" i="1"/>
  <c r="AN357" i="1"/>
  <c r="BA352" i="1"/>
  <c r="BA355" i="1"/>
  <c r="AC352" i="1"/>
  <c r="AC355" i="1"/>
  <c r="AD355" i="1"/>
  <c r="AY352" i="1"/>
  <c r="AY357" i="1"/>
  <c r="AA352" i="1"/>
  <c r="AA357" i="1"/>
  <c r="G352" i="1"/>
  <c r="G357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<sst xmlns="http://schemas.openxmlformats.org/spreadsheetml/2006/main" count="765" uniqueCount="697">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</sst>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101600</xdr:colOff>
      <xdr:row>0</xdr:row>
      <xdr:rowOff>57150</xdr:rowOff>
    </xdr:from>
    <xdr:to>
      <xdr:col>1</xdr:col>
      <xdr:colOff>495300</xdr:colOff>
      <xdr:row>2</xdr:row>
      <xdr:rowOff>76200</xdr:rowOff>
    </xdr:to>
    <xdr:pic>
      <xdr:nvPicPr>
        <xdr:cNvPr id="4" name="Picture 3" descr="קֹבֶץ זֵה הֻנְגַּש עַל יְדֵי חברת אֵיְי טוּ זי - סֶמֶל הַנגישוּת">
          <a:extLst>
            <a:ext uri="{FF2B5EF4-FFF2-40B4-BE49-F238E27FC236}">
              <a16:creationId xmlns:a16="http://schemas.microsoft.com/office/drawing/2014/main" id="{3E9D497B-6A4E-D853-95B8-325F448C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8837900" y="57150"/>
          <a:ext cx="393700" cy="393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35"/>
      <sheetName val="גיליון237"/>
      <sheetName val="גיליון239"/>
      <sheetName val="גיליון241"/>
      <sheetName val="גיליון243"/>
      <sheetName val="גיליון245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60"/>
  <sheetViews>
    <sheetView rightToLeft="1" tabSelected="1" workbookViewId="0">
      <selection activeCellId="2" sqref="A360:BI360 BJ2:BJ359 A1:BI1"/>
    </sheetView>
  </sheetViews>
  <sheetFormatPr defaultRowHeight="14" x14ac:dyDescent="0.3"/>
  <sheetData>
    <row r="1" spans="1:62" x14ac:dyDescent="0.3">
      <c r="A1" s="21" t="s">
        <v>694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2" ht="15.5" x14ac:dyDescent="0.35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102</v>
      </c>
      <c r="L2">
        <v>122</v>
      </c>
      <c r="M2">
        <v>142</v>
      </c>
      <c r="N2">
        <v>164</v>
      </c>
      <c r="O2">
        <v>167</v>
      </c>
      <c r="P2">
        <v>169</v>
      </c>
      <c r="Q2">
        <v>425</v>
      </c>
      <c r="R2">
        <v>426</v>
      </c>
      <c r="S2">
        <v>499</v>
      </c>
      <c r="T2">
        <v>519</v>
      </c>
      <c r="U2">
        <v>526</v>
      </c>
      <c r="V2">
        <v>570</v>
      </c>
      <c r="W2">
        <v>571</v>
      </c>
      <c r="X2">
        <v>572</v>
      </c>
      <c r="Y2">
        <v>573</v>
      </c>
      <c r="Z2">
        <v>574</v>
      </c>
      <c r="AA2">
        <v>628</v>
      </c>
      <c r="AB2">
        <v>629</v>
      </c>
      <c r="AC2">
        <v>631</v>
      </c>
      <c r="AD2">
        <v>632</v>
      </c>
      <c r="AE2">
        <v>658</v>
      </c>
      <c r="AF2">
        <v>660</v>
      </c>
      <c r="AG2">
        <v>662</v>
      </c>
      <c r="AH2">
        <v>664</v>
      </c>
      <c r="AI2">
        <v>666</v>
      </c>
      <c r="AJ2">
        <v>726</v>
      </c>
      <c r="AK2">
        <v>737</v>
      </c>
      <c r="AL2">
        <v>827</v>
      </c>
      <c r="AM2">
        <v>575</v>
      </c>
      <c r="AN2">
        <v>576</v>
      </c>
      <c r="AO2">
        <v>359</v>
      </c>
      <c r="AP2" s="9">
        <v>828</v>
      </c>
      <c r="AQ2" s="9">
        <v>844</v>
      </c>
      <c r="AR2" s="9">
        <v>839</v>
      </c>
      <c r="AS2" s="9">
        <v>857</v>
      </c>
      <c r="AT2" s="9">
        <v>851</v>
      </c>
      <c r="AU2" s="9">
        <v>849</v>
      </c>
      <c r="AV2" s="9">
        <v>846</v>
      </c>
      <c r="AW2" s="9">
        <v>834</v>
      </c>
      <c r="AX2" s="9">
        <v>506</v>
      </c>
      <c r="AY2" s="9">
        <v>521</v>
      </c>
      <c r="AZ2" s="9">
        <v>522</v>
      </c>
      <c r="BA2" s="9">
        <v>528</v>
      </c>
      <c r="BB2" s="9">
        <v>548</v>
      </c>
      <c r="BC2" s="9">
        <v>551</v>
      </c>
      <c r="BD2" s="9">
        <v>555</v>
      </c>
      <c r="BE2" s="9">
        <v>558</v>
      </c>
      <c r="BF2" s="9">
        <v>558</v>
      </c>
      <c r="BG2" s="9">
        <v>578</v>
      </c>
      <c r="BH2" s="9">
        <v>580</v>
      </c>
      <c r="BI2" s="9">
        <v>577</v>
      </c>
      <c r="BJ2" s="21" t="s">
        <v>695</v>
      </c>
    </row>
    <row r="3" spans="1:62" x14ac:dyDescent="0.3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715</v>
      </c>
      <c r="L3" s="10">
        <v>9916</v>
      </c>
      <c r="M3" s="10">
        <v>1100</v>
      </c>
      <c r="N3" s="10">
        <v>801</v>
      </c>
      <c r="O3" s="10">
        <v>804</v>
      </c>
      <c r="P3" s="10">
        <v>806</v>
      </c>
      <c r="Q3" s="10">
        <v>8765</v>
      </c>
      <c r="R3" s="10">
        <v>8766</v>
      </c>
      <c r="S3" s="10">
        <v>9418</v>
      </c>
      <c r="T3" s="10">
        <v>9475</v>
      </c>
      <c r="U3" s="10">
        <v>9906</v>
      </c>
      <c r="V3" s="10">
        <v>7905</v>
      </c>
      <c r="W3" s="10">
        <v>7906</v>
      </c>
      <c r="X3" s="10">
        <v>7907</v>
      </c>
      <c r="Y3" s="10">
        <v>7908</v>
      </c>
      <c r="Z3" s="10">
        <v>7909</v>
      </c>
      <c r="AA3" s="10">
        <v>11310</v>
      </c>
      <c r="AB3" s="10">
        <v>11311</v>
      </c>
      <c r="AC3" s="10">
        <v>11312</v>
      </c>
      <c r="AD3" s="10">
        <v>11335</v>
      </c>
      <c r="AE3" s="10">
        <v>9529</v>
      </c>
      <c r="AF3" s="10">
        <v>961</v>
      </c>
      <c r="AG3" s="10">
        <v>9528</v>
      </c>
      <c r="AH3" s="10">
        <v>964</v>
      </c>
      <c r="AI3" s="10">
        <v>968</v>
      </c>
      <c r="AJ3" s="10">
        <v>8629</v>
      </c>
      <c r="AK3" s="10">
        <v>13264</v>
      </c>
      <c r="AL3" s="10">
        <v>13263</v>
      </c>
      <c r="AM3" s="10">
        <v>13209</v>
      </c>
      <c r="AN3" s="10">
        <v>13250</v>
      </c>
      <c r="AO3" s="10">
        <v>14281</v>
      </c>
      <c r="AP3" s="11">
        <v>2049</v>
      </c>
      <c r="AQ3" s="12">
        <v>7975</v>
      </c>
      <c r="AR3" s="12">
        <v>8004</v>
      </c>
      <c r="AS3" s="11">
        <v>1008</v>
      </c>
      <c r="AT3" s="11">
        <v>9484</v>
      </c>
      <c r="AU3" s="11">
        <v>682</v>
      </c>
      <c r="AV3" s="11">
        <v>11352</v>
      </c>
      <c r="AW3" s="11">
        <v>2058</v>
      </c>
      <c r="AX3" s="11">
        <v>15007</v>
      </c>
      <c r="AY3" s="11">
        <v>15208</v>
      </c>
      <c r="AZ3" s="11">
        <v>15209</v>
      </c>
      <c r="BA3" s="11">
        <v>15210</v>
      </c>
      <c r="BB3" s="11">
        <v>15211</v>
      </c>
      <c r="BC3" s="11">
        <v>15212</v>
      </c>
      <c r="BD3" s="11">
        <v>15232</v>
      </c>
      <c r="BE3" s="11">
        <v>15214</v>
      </c>
      <c r="BF3" s="11">
        <v>15214</v>
      </c>
      <c r="BG3" s="11">
        <v>15233</v>
      </c>
      <c r="BH3" s="11">
        <v>15234</v>
      </c>
      <c r="BI3" s="11">
        <v>15215</v>
      </c>
      <c r="BJ3" s="21"/>
    </row>
    <row r="4" spans="1:62" ht="15.5" x14ac:dyDescent="0.35">
      <c r="A4" s="3">
        <v>45689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s="13" t="s">
        <v>651</v>
      </c>
      <c r="AQ4" s="14" t="s">
        <v>652</v>
      </c>
      <c r="AR4" s="13" t="s">
        <v>653</v>
      </c>
      <c r="AS4" s="13" t="s">
        <v>654</v>
      </c>
      <c r="AT4" s="13" t="s">
        <v>655</v>
      </c>
      <c r="AU4" s="13" t="s">
        <v>656</v>
      </c>
      <c r="AV4" s="13" t="s">
        <v>657</v>
      </c>
      <c r="AW4" s="13" t="s">
        <v>658</v>
      </c>
      <c r="AX4" s="13" t="s">
        <v>659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21"/>
    </row>
    <row r="5" spans="1:62" ht="15.5" x14ac:dyDescent="0.35">
      <c r="A5" s="4"/>
      <c r="B5" s="5"/>
      <c r="C5" s="5"/>
      <c r="D5" s="6" t="s">
        <v>0</v>
      </c>
      <c r="E5" s="15" t="s">
        <v>660</v>
      </c>
      <c r="F5" s="15" t="s">
        <v>661</v>
      </c>
      <c r="G5" s="15" t="s">
        <v>662</v>
      </c>
      <c r="H5" s="15" t="s">
        <v>663</v>
      </c>
      <c r="I5" s="15" t="s">
        <v>664</v>
      </c>
      <c r="J5" s="15" t="s">
        <v>665</v>
      </c>
      <c r="K5" s="15" t="s">
        <v>666</v>
      </c>
      <c r="L5" s="15" t="s">
        <v>667</v>
      </c>
      <c r="M5" s="15" t="s">
        <v>668</v>
      </c>
      <c r="N5" s="15" t="s">
        <v>669</v>
      </c>
      <c r="O5" s="15" t="s">
        <v>670</v>
      </c>
      <c r="P5" s="15" t="s">
        <v>671</v>
      </c>
      <c r="Q5" s="15" t="s">
        <v>672</v>
      </c>
      <c r="R5" s="15" t="s">
        <v>673</v>
      </c>
      <c r="S5" s="15" t="s">
        <v>674</v>
      </c>
      <c r="T5" s="15" t="s">
        <v>675</v>
      </c>
      <c r="U5" s="15" t="s">
        <v>676</v>
      </c>
      <c r="V5" s="15" t="s">
        <v>677</v>
      </c>
      <c r="W5" s="15" t="s">
        <v>678</v>
      </c>
      <c r="X5" s="15" t="s">
        <v>679</v>
      </c>
      <c r="Y5" s="15" t="s">
        <v>680</v>
      </c>
      <c r="Z5" s="15" t="s">
        <v>681</v>
      </c>
      <c r="AA5" s="15" t="s">
        <v>682</v>
      </c>
      <c r="AB5" s="15" t="s">
        <v>683</v>
      </c>
      <c r="AC5" s="15" t="s">
        <v>684</v>
      </c>
      <c r="AD5" s="15" t="s">
        <v>685</v>
      </c>
      <c r="AE5" s="15" t="s">
        <v>686</v>
      </c>
      <c r="AF5" s="15" t="s">
        <v>687</v>
      </c>
      <c r="AG5" s="15" t="s">
        <v>688</v>
      </c>
      <c r="AH5" s="15" t="s">
        <v>689</v>
      </c>
      <c r="AI5" s="15" t="s">
        <v>690</v>
      </c>
      <c r="AJ5" s="15" t="s">
        <v>691</v>
      </c>
      <c r="AK5" s="15" t="s">
        <v>692</v>
      </c>
      <c r="AL5" s="15" t="s">
        <v>693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21"/>
    </row>
    <row r="6" spans="1:62" ht="15.5" x14ac:dyDescent="0.35">
      <c r="A6" s="5" t="s">
        <v>1</v>
      </c>
      <c r="B6" s="5" t="s">
        <v>2</v>
      </c>
      <c r="C6" s="7">
        <v>1</v>
      </c>
      <c r="D6" s="7">
        <v>1</v>
      </c>
      <c r="E6" s="7">
        <v>162172.73199999999</v>
      </c>
      <c r="F6" s="7">
        <v>21925.885999999999</v>
      </c>
      <c r="G6" s="7">
        <v>22705.565999999999</v>
      </c>
      <c r="H6" s="7">
        <v>-225.87200000000001</v>
      </c>
      <c r="I6" s="7">
        <v>2973.0030000000002</v>
      </c>
      <c r="J6" s="7">
        <v>15220.165999999999</v>
      </c>
      <c r="K6" s="7">
        <v>5608.2659999999996</v>
      </c>
      <c r="L6" s="7">
        <v>185166.33300000001</v>
      </c>
      <c r="M6" s="7">
        <v>53812.112000000001</v>
      </c>
      <c r="N6" s="7">
        <v>0.53700000000000003</v>
      </c>
      <c r="O6" s="7">
        <v>3013.904</v>
      </c>
      <c r="P6" s="7">
        <v>84.055000000000007</v>
      </c>
      <c r="Q6" s="7">
        <v>1858.038</v>
      </c>
      <c r="R6" s="7">
        <v>604.70699999999999</v>
      </c>
      <c r="S6" s="7">
        <v>6511.6970000000001</v>
      </c>
      <c r="T6" s="7">
        <v>3.036</v>
      </c>
      <c r="U6" s="7">
        <v>4175.9340000000002</v>
      </c>
      <c r="V6" s="7">
        <v>1879.3389999999999</v>
      </c>
      <c r="W6" s="7">
        <v>5550.0069999999996</v>
      </c>
      <c r="X6" s="7">
        <v>16252.874</v>
      </c>
      <c r="Y6" s="7">
        <v>45002.34</v>
      </c>
      <c r="Z6" s="7">
        <v>13610.127</v>
      </c>
      <c r="AA6" s="7">
        <v>21048.919000000002</v>
      </c>
      <c r="AB6" s="7">
        <v>63469.156000000003</v>
      </c>
      <c r="AC6" s="7">
        <v>4053.6849999999999</v>
      </c>
      <c r="AD6" s="7">
        <v>7196.56</v>
      </c>
      <c r="AE6" s="7">
        <v>125437.649</v>
      </c>
      <c r="AF6" s="7">
        <v>29960.699000000001</v>
      </c>
      <c r="AG6" s="7">
        <v>39983.125999999997</v>
      </c>
      <c r="AH6" s="7">
        <v>376159.79399999999</v>
      </c>
      <c r="AI6" s="7">
        <v>51967.514999999999</v>
      </c>
      <c r="AJ6" s="7">
        <v>66290.179000000004</v>
      </c>
      <c r="AK6" s="7">
        <v>-3879.3319999999999</v>
      </c>
      <c r="AL6" s="7">
        <v>-2207.2930000000001</v>
      </c>
      <c r="AM6" s="7">
        <v>889.23500000000001</v>
      </c>
      <c r="AN6" s="7">
        <v>-1381.0640000000001</v>
      </c>
      <c r="AO6" s="7">
        <v>2232.634</v>
      </c>
      <c r="AP6" s="7">
        <v>1831.4359999999999</v>
      </c>
      <c r="AQ6" s="7">
        <v>16077.828</v>
      </c>
      <c r="AR6" s="7">
        <v>704.80700000000002</v>
      </c>
      <c r="AS6" s="7">
        <v>90.721000000000004</v>
      </c>
      <c r="AT6" s="7">
        <v>0</v>
      </c>
      <c r="AU6" s="7">
        <v>5768.0439999999999</v>
      </c>
      <c r="AV6" s="7">
        <v>2061.41</v>
      </c>
      <c r="AW6" s="7">
        <v>3576.8380000000002</v>
      </c>
      <c r="AX6" s="7">
        <v>12889.517</v>
      </c>
      <c r="AY6" s="7">
        <v>1302.8979999999999</v>
      </c>
      <c r="AZ6" s="7">
        <v>5045.3819999999996</v>
      </c>
      <c r="BA6" s="7">
        <v>12782.777</v>
      </c>
      <c r="BB6" s="7">
        <v>2097.904</v>
      </c>
      <c r="BC6" s="7">
        <v>1345.4590000000001</v>
      </c>
      <c r="BD6" s="7">
        <v>8410.4519999999993</v>
      </c>
      <c r="BE6" s="7">
        <v>19.324000000000002</v>
      </c>
      <c r="BF6" s="7">
        <v>19.324000000000002</v>
      </c>
      <c r="BG6" s="7">
        <v>2261.232</v>
      </c>
      <c r="BH6" s="7">
        <v>62225.506000000001</v>
      </c>
      <c r="BI6" s="7">
        <v>269.495</v>
      </c>
      <c r="BJ6" s="21"/>
    </row>
    <row r="7" spans="1:62" ht="15.5" x14ac:dyDescent="0.35">
      <c r="A7" s="5" t="s">
        <v>3</v>
      </c>
      <c r="B7" s="5" t="s">
        <v>4</v>
      </c>
      <c r="C7" s="7">
        <v>1</v>
      </c>
      <c r="D7" s="7">
        <v>1</v>
      </c>
      <c r="E7" s="7">
        <v>71352.956000000006</v>
      </c>
      <c r="F7" s="7">
        <v>13743.146000000001</v>
      </c>
      <c r="G7" s="7">
        <v>7726.1940000000004</v>
      </c>
      <c r="H7" s="7">
        <v>887.29600000000005</v>
      </c>
      <c r="I7" s="7">
        <v>3476.5569999999998</v>
      </c>
      <c r="J7" s="7">
        <v>4746.7629999999999</v>
      </c>
      <c r="K7" s="7">
        <v>0</v>
      </c>
      <c r="L7" s="7">
        <v>109530.318</v>
      </c>
      <c r="M7" s="7">
        <v>19605.538</v>
      </c>
      <c r="N7" s="7">
        <v>0</v>
      </c>
      <c r="O7" s="7">
        <v>209.614</v>
      </c>
      <c r="P7" s="7">
        <v>364.90899999999999</v>
      </c>
      <c r="Q7" s="7">
        <v>136.625</v>
      </c>
      <c r="R7" s="7">
        <v>238.62700000000001</v>
      </c>
      <c r="S7" s="7">
        <v>2508.8310000000001</v>
      </c>
      <c r="T7" s="7">
        <v>0</v>
      </c>
      <c r="U7" s="7">
        <v>0</v>
      </c>
      <c r="V7" s="7">
        <v>693.94100000000003</v>
      </c>
      <c r="W7" s="7">
        <v>2502.5540000000001</v>
      </c>
      <c r="X7" s="7">
        <v>340.12799999999999</v>
      </c>
      <c r="Y7" s="7">
        <v>19378.288</v>
      </c>
      <c r="Z7" s="7">
        <v>5525.8429999999998</v>
      </c>
      <c r="AA7" s="7">
        <v>6852.8379999999997</v>
      </c>
      <c r="AB7" s="7">
        <v>5514.6869999999999</v>
      </c>
      <c r="AC7" s="7">
        <v>1934.2059999999999</v>
      </c>
      <c r="AD7" s="7">
        <v>646.90499999999997</v>
      </c>
      <c r="AE7" s="7">
        <v>51818.576999999997</v>
      </c>
      <c r="AF7" s="7">
        <v>12715.841</v>
      </c>
      <c r="AG7" s="7">
        <v>3015.7130000000002</v>
      </c>
      <c r="AH7" s="7">
        <v>183560.64</v>
      </c>
      <c r="AI7" s="7">
        <v>23534.698</v>
      </c>
      <c r="AJ7" s="7">
        <v>27086.258000000002</v>
      </c>
      <c r="AK7" s="7">
        <v>502824.79499999998</v>
      </c>
      <c r="AL7" s="7">
        <v>284355.72100000002</v>
      </c>
      <c r="AM7" s="7">
        <v>0</v>
      </c>
      <c r="AN7" s="7">
        <v>177642.20800000001</v>
      </c>
      <c r="AO7" s="7">
        <v>886.52200000000005</v>
      </c>
      <c r="AP7" s="7">
        <v>4377.28</v>
      </c>
      <c r="AQ7" s="7">
        <v>4709.5600000000004</v>
      </c>
      <c r="AR7" s="7">
        <v>1941.3009999999999</v>
      </c>
      <c r="AS7" s="7">
        <v>139.279</v>
      </c>
      <c r="AT7" s="7">
        <v>0</v>
      </c>
      <c r="AU7" s="7">
        <v>2582.5039999999999</v>
      </c>
      <c r="AV7" s="7">
        <v>4753.9219999999996</v>
      </c>
      <c r="AW7" s="7">
        <v>5722.06</v>
      </c>
      <c r="AX7" s="7">
        <v>226.21100000000001</v>
      </c>
      <c r="AY7" s="7">
        <v>246.33</v>
      </c>
      <c r="AZ7" s="7">
        <v>532.52300000000002</v>
      </c>
      <c r="BA7" s="7">
        <v>174.86199999999999</v>
      </c>
      <c r="BB7" s="7">
        <v>221.33699999999999</v>
      </c>
      <c r="BC7" s="7">
        <v>200.56399999999999</v>
      </c>
      <c r="BD7" s="7">
        <v>620.471</v>
      </c>
      <c r="BE7" s="7">
        <v>74.831000000000003</v>
      </c>
      <c r="BF7" s="7">
        <v>74.831000000000003</v>
      </c>
      <c r="BG7" s="7">
        <v>208.85400000000001</v>
      </c>
      <c r="BH7" s="7">
        <v>18394.8</v>
      </c>
      <c r="BI7" s="7">
        <v>29.065000000000001</v>
      </c>
      <c r="BJ7" s="21"/>
    </row>
    <row r="8" spans="1:62" ht="15.5" x14ac:dyDescent="0.35">
      <c r="A8" s="5" t="s">
        <v>5</v>
      </c>
      <c r="B8" s="5" t="s">
        <v>6</v>
      </c>
      <c r="C8" s="7">
        <v>1</v>
      </c>
      <c r="D8" s="7">
        <v>1</v>
      </c>
      <c r="E8" s="7">
        <v>80685.660999999993</v>
      </c>
      <c r="F8" s="7">
        <v>8196.2080000000005</v>
      </c>
      <c r="G8" s="7">
        <v>4371.6369999999997</v>
      </c>
      <c r="H8" s="7">
        <v>250.696</v>
      </c>
      <c r="I8" s="7">
        <v>468.28300000000002</v>
      </c>
      <c r="J8" s="7">
        <v>4869.4620000000004</v>
      </c>
      <c r="K8" s="7">
        <v>3152.511</v>
      </c>
      <c r="L8" s="7">
        <v>70997.849000000002</v>
      </c>
      <c r="M8" s="7">
        <v>12732.718000000001</v>
      </c>
      <c r="N8" s="7">
        <v>463.56700000000001</v>
      </c>
      <c r="O8" s="7">
        <v>1489.877</v>
      </c>
      <c r="P8" s="7">
        <v>184.614</v>
      </c>
      <c r="Q8" s="7">
        <v>890.13199999999995</v>
      </c>
      <c r="R8" s="7">
        <v>477.52199999999999</v>
      </c>
      <c r="S8" s="7">
        <v>2280.7420000000002</v>
      </c>
      <c r="T8" s="7">
        <v>43.710999999999999</v>
      </c>
      <c r="U8" s="7">
        <v>4136.7619999999997</v>
      </c>
      <c r="V8" s="7">
        <v>2735.4090000000001</v>
      </c>
      <c r="W8" s="7">
        <v>1976.0820000000001</v>
      </c>
      <c r="X8" s="7">
        <v>4357.7529999999997</v>
      </c>
      <c r="Y8" s="7">
        <v>19017.394</v>
      </c>
      <c r="Z8" s="7">
        <v>3895.0659999999998</v>
      </c>
      <c r="AA8" s="7">
        <v>17278.496999999999</v>
      </c>
      <c r="AB8" s="7">
        <v>43817.868999999999</v>
      </c>
      <c r="AC8" s="7">
        <v>920.29499999999996</v>
      </c>
      <c r="AD8" s="7">
        <v>4531.9440000000004</v>
      </c>
      <c r="AE8" s="7">
        <v>74689.418000000005</v>
      </c>
      <c r="AF8" s="7">
        <v>23941.977999999999</v>
      </c>
      <c r="AG8" s="7">
        <v>23188.94</v>
      </c>
      <c r="AH8" s="7">
        <v>117156.948</v>
      </c>
      <c r="AI8" s="7">
        <v>43767.478000000003</v>
      </c>
      <c r="AJ8" s="7">
        <v>18771.476999999999</v>
      </c>
      <c r="AK8" s="7">
        <v>118799.09</v>
      </c>
      <c r="AL8" s="7">
        <v>72131.687000000005</v>
      </c>
      <c r="AM8" s="7">
        <v>869.44500000000005</v>
      </c>
      <c r="AN8" s="7">
        <v>51860.057000000001</v>
      </c>
      <c r="AO8" s="7">
        <v>4714.1570000000002</v>
      </c>
      <c r="AP8" s="7">
        <v>0</v>
      </c>
      <c r="AQ8" s="7">
        <v>3014.3919999999998</v>
      </c>
      <c r="AR8" s="7">
        <v>0</v>
      </c>
      <c r="AS8" s="7">
        <v>17.834</v>
      </c>
      <c r="AT8" s="7">
        <v>0</v>
      </c>
      <c r="AU8" s="7">
        <v>262.84899999999999</v>
      </c>
      <c r="AV8" s="7">
        <v>0</v>
      </c>
      <c r="AW8" s="7">
        <v>0</v>
      </c>
      <c r="AX8" s="7">
        <v>8037.1009999999997</v>
      </c>
      <c r="AY8" s="7">
        <v>137.29300000000001</v>
      </c>
      <c r="AZ8" s="7">
        <v>327.92599999999999</v>
      </c>
      <c r="BA8" s="7">
        <v>0</v>
      </c>
      <c r="BB8" s="7">
        <v>154.114</v>
      </c>
      <c r="BC8" s="7">
        <v>80.453999999999994</v>
      </c>
      <c r="BD8" s="7">
        <v>381.173</v>
      </c>
      <c r="BE8" s="7">
        <v>42.014000000000003</v>
      </c>
      <c r="BF8" s="7">
        <v>42.014000000000003</v>
      </c>
      <c r="BG8" s="7">
        <v>128.244</v>
      </c>
      <c r="BH8" s="7">
        <v>16206.781999999999</v>
      </c>
      <c r="BI8" s="7">
        <v>35.917999999999999</v>
      </c>
      <c r="BJ8" s="21"/>
    </row>
    <row r="9" spans="1:62" ht="15.5" x14ac:dyDescent="0.35">
      <c r="A9" s="5" t="s">
        <v>7</v>
      </c>
      <c r="B9" s="5" t="s">
        <v>8</v>
      </c>
      <c r="C9" s="7">
        <v>1</v>
      </c>
      <c r="D9" s="7">
        <v>1</v>
      </c>
      <c r="E9" s="7">
        <v>406303.886</v>
      </c>
      <c r="F9" s="7">
        <v>90034.448999999993</v>
      </c>
      <c r="G9" s="7">
        <v>0</v>
      </c>
      <c r="H9" s="7">
        <v>0</v>
      </c>
      <c r="I9" s="7">
        <v>2169.011</v>
      </c>
      <c r="J9" s="7">
        <v>0</v>
      </c>
      <c r="K9" s="7">
        <v>0</v>
      </c>
      <c r="L9" s="7">
        <v>1051476.25</v>
      </c>
      <c r="M9" s="7">
        <v>44186.432000000001</v>
      </c>
      <c r="N9" s="7">
        <v>0</v>
      </c>
      <c r="O9" s="7">
        <v>3058.3180000000002</v>
      </c>
      <c r="P9" s="7">
        <v>0</v>
      </c>
      <c r="Q9" s="7">
        <v>2886.1410000000001</v>
      </c>
      <c r="R9" s="7">
        <v>578.17499999999995</v>
      </c>
      <c r="S9" s="7">
        <v>27940.983</v>
      </c>
      <c r="T9" s="7">
        <v>0</v>
      </c>
      <c r="U9" s="7">
        <v>0</v>
      </c>
      <c r="V9" s="7">
        <v>0</v>
      </c>
      <c r="W9" s="7">
        <v>7554.15</v>
      </c>
      <c r="X9" s="7">
        <v>15330.42</v>
      </c>
      <c r="Y9" s="7">
        <v>183966.47899999999</v>
      </c>
      <c r="Z9" s="7">
        <v>47542.21</v>
      </c>
      <c r="AA9" s="7">
        <v>0</v>
      </c>
      <c r="AB9" s="7">
        <v>125757.43399999999</v>
      </c>
      <c r="AC9" s="7">
        <v>16179.766</v>
      </c>
      <c r="AD9" s="7">
        <v>5118.58</v>
      </c>
      <c r="AE9" s="7">
        <v>547963.86</v>
      </c>
      <c r="AF9" s="7">
        <v>234308.28899999999</v>
      </c>
      <c r="AG9" s="7">
        <v>20115.894</v>
      </c>
      <c r="AH9" s="7">
        <v>1705145.7439999999</v>
      </c>
      <c r="AI9" s="7">
        <v>402580.304</v>
      </c>
      <c r="AJ9" s="7">
        <v>240249.83499999999</v>
      </c>
      <c r="AK9" s="7">
        <v>7085386.8969999999</v>
      </c>
      <c r="AL9" s="7">
        <v>4031540.3330000001</v>
      </c>
      <c r="AM9" s="7">
        <v>0</v>
      </c>
      <c r="AN9" s="7">
        <v>2522492.2609999999</v>
      </c>
      <c r="AO9" s="7">
        <v>10367.759</v>
      </c>
      <c r="AP9" s="7">
        <v>0</v>
      </c>
      <c r="AQ9" s="7">
        <v>81459.762000000002</v>
      </c>
      <c r="AR9" s="7">
        <v>0</v>
      </c>
      <c r="AS9" s="7">
        <v>295.15499999999997</v>
      </c>
      <c r="AT9" s="7">
        <v>0</v>
      </c>
      <c r="AU9" s="7">
        <v>2496.962</v>
      </c>
      <c r="AV9" s="7">
        <v>0</v>
      </c>
      <c r="AW9" s="7">
        <v>0</v>
      </c>
      <c r="AX9" s="7">
        <v>12157.954</v>
      </c>
      <c r="AY9" s="7">
        <v>0</v>
      </c>
      <c r="AZ9" s="7">
        <v>0</v>
      </c>
      <c r="BA9" s="7">
        <v>9362.2389999999996</v>
      </c>
      <c r="BB9" s="7">
        <v>2995.19</v>
      </c>
      <c r="BC9" s="7">
        <v>0</v>
      </c>
      <c r="BD9" s="7">
        <v>0</v>
      </c>
      <c r="BE9" s="7">
        <v>812.06</v>
      </c>
      <c r="BF9" s="7">
        <v>812.06</v>
      </c>
      <c r="BG9" s="7">
        <v>0</v>
      </c>
      <c r="BH9" s="7">
        <v>145720.61499999999</v>
      </c>
      <c r="BI9" s="7">
        <v>0</v>
      </c>
      <c r="BJ9" s="21"/>
    </row>
    <row r="10" spans="1:62" ht="15.5" x14ac:dyDescent="0.35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21"/>
    </row>
    <row r="11" spans="1:62" ht="15.5" x14ac:dyDescent="0.35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5" x14ac:dyDescent="0.35">
      <c r="A12" s="5" t="s">
        <v>13</v>
      </c>
      <c r="B12" s="5" t="s">
        <v>14</v>
      </c>
      <c r="C12" s="7">
        <v>1</v>
      </c>
      <c r="D12" s="7">
        <v>1</v>
      </c>
      <c r="E12" s="7">
        <v>29148.401999999998</v>
      </c>
      <c r="F12" s="7">
        <v>6822.8270000000002</v>
      </c>
      <c r="G12" s="7">
        <v>1111.653</v>
      </c>
      <c r="H12" s="7">
        <v>0.33500000000000002</v>
      </c>
      <c r="I12" s="7">
        <v>337.75599999999997</v>
      </c>
      <c r="J12" s="7">
        <v>1045.8800000000001</v>
      </c>
      <c r="K12" s="7">
        <v>0</v>
      </c>
      <c r="L12" s="7">
        <v>66314.684999999998</v>
      </c>
      <c r="M12" s="7">
        <v>9517.4560000000001</v>
      </c>
      <c r="N12" s="7">
        <v>0</v>
      </c>
      <c r="O12" s="7">
        <v>16.349</v>
      </c>
      <c r="P12" s="7">
        <v>6.0709999999999997</v>
      </c>
      <c r="Q12" s="7">
        <v>10.64</v>
      </c>
      <c r="R12" s="7">
        <v>4.9809999999999999</v>
      </c>
      <c r="S12" s="7">
        <v>2554.9839999999999</v>
      </c>
      <c r="T12" s="7">
        <v>0</v>
      </c>
      <c r="U12" s="7">
        <v>0</v>
      </c>
      <c r="V12" s="7">
        <v>139.00800000000001</v>
      </c>
      <c r="W12" s="7">
        <v>696.84299999999996</v>
      </c>
      <c r="X12" s="7">
        <v>110.512</v>
      </c>
      <c r="Y12" s="7">
        <v>12388.662</v>
      </c>
      <c r="Z12" s="7">
        <v>316.12700000000001</v>
      </c>
      <c r="AA12" s="7">
        <v>1904.077</v>
      </c>
      <c r="AB12" s="7">
        <v>384.71499999999997</v>
      </c>
      <c r="AC12" s="7">
        <v>1189.269</v>
      </c>
      <c r="AD12" s="7">
        <v>151.27099999999999</v>
      </c>
      <c r="AE12" s="7">
        <v>30872.26</v>
      </c>
      <c r="AF12" s="7">
        <v>14408.041999999999</v>
      </c>
      <c r="AG12" s="7">
        <v>621.04499999999996</v>
      </c>
      <c r="AH12" s="7">
        <v>116273.092</v>
      </c>
      <c r="AI12" s="7">
        <v>25036.022000000001</v>
      </c>
      <c r="AJ12" s="7">
        <v>1586.66</v>
      </c>
      <c r="AK12" s="7">
        <v>121264.921</v>
      </c>
      <c r="AL12" s="7">
        <v>68998.974000000002</v>
      </c>
      <c r="AM12" s="7">
        <v>0</v>
      </c>
      <c r="AN12" s="7">
        <v>43171.93</v>
      </c>
      <c r="AO12" s="7">
        <v>769.20699999999999</v>
      </c>
      <c r="AP12" s="7">
        <v>0</v>
      </c>
      <c r="AQ12" s="7">
        <v>4991.2039999999997</v>
      </c>
      <c r="AR12" s="7">
        <v>0</v>
      </c>
      <c r="AS12" s="7">
        <v>20.584</v>
      </c>
      <c r="AT12" s="7">
        <v>0</v>
      </c>
      <c r="AU12" s="7">
        <v>166.089</v>
      </c>
      <c r="AV12" s="7">
        <v>0</v>
      </c>
      <c r="AW12" s="7">
        <v>0</v>
      </c>
      <c r="AX12" s="7">
        <v>87.623999999999995</v>
      </c>
      <c r="AY12" s="7">
        <v>27.056999999999999</v>
      </c>
      <c r="AZ12" s="7">
        <v>33.529000000000003</v>
      </c>
      <c r="BA12" s="7">
        <v>67.474999999999994</v>
      </c>
      <c r="BB12" s="7">
        <v>222.446</v>
      </c>
      <c r="BC12" s="7">
        <v>17.475000000000001</v>
      </c>
      <c r="BD12" s="7">
        <v>38.972999999999999</v>
      </c>
      <c r="BE12" s="7">
        <v>61.177</v>
      </c>
      <c r="BF12" s="7">
        <v>61.177</v>
      </c>
      <c r="BG12" s="7">
        <v>13.112</v>
      </c>
      <c r="BH12" s="7">
        <v>1021.673</v>
      </c>
      <c r="BI12" s="7">
        <v>7.758</v>
      </c>
      <c r="BJ12" s="21"/>
    </row>
    <row r="13" spans="1:62" ht="15.5" x14ac:dyDescent="0.35">
      <c r="A13" s="5" t="s">
        <v>3</v>
      </c>
      <c r="B13" s="5" t="s">
        <v>15</v>
      </c>
      <c r="C13" s="7">
        <v>1</v>
      </c>
      <c r="D13" s="7">
        <v>1</v>
      </c>
      <c r="E13" s="7">
        <v>32.441000000000003</v>
      </c>
      <c r="F13" s="7">
        <v>4.4880000000000004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144.61600000000001</v>
      </c>
      <c r="M13" s="7">
        <v>10.734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9.9079999999999995</v>
      </c>
      <c r="AF13" s="7">
        <v>1.4750000000000001</v>
      </c>
      <c r="AG13" s="7">
        <v>0</v>
      </c>
      <c r="AH13" s="7">
        <v>92.858999999999995</v>
      </c>
      <c r="AI13" s="7">
        <v>1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5" x14ac:dyDescent="0.35">
      <c r="A14" s="5" t="s">
        <v>16</v>
      </c>
      <c r="B14" s="5" t="s">
        <v>17</v>
      </c>
      <c r="C14" s="7">
        <v>1</v>
      </c>
      <c r="D14" s="7">
        <v>1</v>
      </c>
      <c r="E14" s="7">
        <v>2153.1289999999999</v>
      </c>
      <c r="F14" s="7">
        <v>65.998000000000005</v>
      </c>
      <c r="G14" s="7">
        <v>0</v>
      </c>
      <c r="H14" s="7">
        <v>0</v>
      </c>
      <c r="I14" s="7">
        <v>1.59</v>
      </c>
      <c r="J14" s="7">
        <v>0</v>
      </c>
      <c r="K14" s="7">
        <v>0</v>
      </c>
      <c r="L14" s="7">
        <v>2374.66</v>
      </c>
      <c r="M14" s="7">
        <v>1024.02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20.481000000000002</v>
      </c>
      <c r="T14" s="7">
        <v>0</v>
      </c>
      <c r="U14" s="7">
        <v>0</v>
      </c>
      <c r="V14" s="7">
        <v>0</v>
      </c>
      <c r="W14" s="7">
        <v>5.5369999999999999</v>
      </c>
      <c r="X14" s="7">
        <v>0</v>
      </c>
      <c r="Y14" s="7">
        <v>134.852</v>
      </c>
      <c r="Z14" s="7">
        <v>0</v>
      </c>
      <c r="AA14" s="7">
        <v>0</v>
      </c>
      <c r="AB14" s="7">
        <v>5.7000000000000002E-2</v>
      </c>
      <c r="AC14" s="7">
        <v>11.86</v>
      </c>
      <c r="AD14" s="7">
        <v>0</v>
      </c>
      <c r="AE14" s="7">
        <v>338.22500000000002</v>
      </c>
      <c r="AF14" s="7">
        <v>171.75399999999999</v>
      </c>
      <c r="AG14" s="7">
        <v>0</v>
      </c>
      <c r="AH14" s="7">
        <v>4782.3249999999998</v>
      </c>
      <c r="AI14" s="7">
        <v>295.10199999999998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7.6</v>
      </c>
      <c r="AP14" s="7">
        <v>0</v>
      </c>
      <c r="AQ14" s="7">
        <v>59.712000000000003</v>
      </c>
      <c r="AR14" s="7">
        <v>0</v>
      </c>
      <c r="AS14" s="7">
        <v>0.216</v>
      </c>
      <c r="AT14" s="7">
        <v>0</v>
      </c>
      <c r="AU14" s="7">
        <v>1.4470000000000001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2.1960000000000002</v>
      </c>
      <c r="BC14" s="7">
        <v>0</v>
      </c>
      <c r="BD14" s="7">
        <v>0</v>
      </c>
      <c r="BE14" s="7">
        <v>0.59499999999999997</v>
      </c>
      <c r="BF14" s="7">
        <v>0.59499999999999997</v>
      </c>
      <c r="BG14" s="7">
        <v>0</v>
      </c>
      <c r="BH14" s="7">
        <v>0</v>
      </c>
      <c r="BI14" s="7">
        <v>0</v>
      </c>
      <c r="BJ14" s="21"/>
    </row>
    <row r="15" spans="1:62" ht="15.5" x14ac:dyDescent="0.35">
      <c r="A15" s="5" t="s">
        <v>18</v>
      </c>
      <c r="B15" s="5" t="s">
        <v>19</v>
      </c>
      <c r="C15" s="7">
        <v>2</v>
      </c>
      <c r="D15" s="7">
        <v>2</v>
      </c>
      <c r="E15" s="7">
        <v>1285673.808</v>
      </c>
      <c r="F15" s="7">
        <v>95959.561000000002</v>
      </c>
      <c r="G15" s="7">
        <v>242249.234</v>
      </c>
      <c r="H15" s="7">
        <v>0</v>
      </c>
      <c r="I15" s="7">
        <v>35252.381999999998</v>
      </c>
      <c r="J15" s="7">
        <v>165082.307</v>
      </c>
      <c r="K15" s="7">
        <v>0</v>
      </c>
      <c r="L15" s="7">
        <v>353066.65399999998</v>
      </c>
      <c r="M15" s="7">
        <v>416134.658</v>
      </c>
      <c r="N15" s="7">
        <v>0</v>
      </c>
      <c r="O15" s="7">
        <v>0</v>
      </c>
      <c r="P15" s="7">
        <v>15474.726000000001</v>
      </c>
      <c r="Q15" s="7">
        <v>703.75900000000001</v>
      </c>
      <c r="R15" s="7">
        <v>1550.2909999999999</v>
      </c>
      <c r="S15" s="7">
        <v>29385.502</v>
      </c>
      <c r="T15" s="7">
        <v>0</v>
      </c>
      <c r="U15" s="7">
        <v>0</v>
      </c>
      <c r="V15" s="7">
        <v>17318.738000000001</v>
      </c>
      <c r="W15" s="7">
        <v>32401.348999999998</v>
      </c>
      <c r="X15" s="7">
        <v>0</v>
      </c>
      <c r="Y15" s="7">
        <v>200312.614</v>
      </c>
      <c r="Z15" s="7">
        <v>0</v>
      </c>
      <c r="AA15" s="7">
        <v>223611.36300000001</v>
      </c>
      <c r="AB15" s="7">
        <v>0</v>
      </c>
      <c r="AC15" s="7">
        <v>12665.287</v>
      </c>
      <c r="AD15" s="7">
        <v>7156.8530000000001</v>
      </c>
      <c r="AE15" s="7">
        <v>475590.92</v>
      </c>
      <c r="AF15" s="7">
        <v>0</v>
      </c>
      <c r="AG15" s="7">
        <v>24104.183000000001</v>
      </c>
      <c r="AH15" s="7">
        <v>1338930.2520000001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8372.0869999999995</v>
      </c>
      <c r="AP15" s="7">
        <v>0</v>
      </c>
      <c r="AQ15" s="7">
        <v>0</v>
      </c>
      <c r="AR15" s="7">
        <v>0</v>
      </c>
      <c r="AS15" s="7">
        <v>833.21400000000006</v>
      </c>
      <c r="AT15" s="7">
        <v>0</v>
      </c>
      <c r="AU15" s="7">
        <v>19825.332999999999</v>
      </c>
      <c r="AV15" s="7">
        <v>0</v>
      </c>
      <c r="AW15" s="7">
        <v>0</v>
      </c>
      <c r="AX15" s="7">
        <v>0</v>
      </c>
      <c r="AY15" s="7">
        <v>6337.6409999999996</v>
      </c>
      <c r="AZ15" s="7">
        <v>0</v>
      </c>
      <c r="BA15" s="7">
        <v>0</v>
      </c>
      <c r="BB15" s="7">
        <v>2742.9250000000002</v>
      </c>
      <c r="BC15" s="7">
        <v>3682.4479999999999</v>
      </c>
      <c r="BD15" s="7">
        <v>0</v>
      </c>
      <c r="BE15" s="7">
        <v>943.01300000000003</v>
      </c>
      <c r="BF15" s="7">
        <v>943.01300000000003</v>
      </c>
      <c r="BG15" s="7">
        <v>0</v>
      </c>
      <c r="BH15" s="7">
        <v>0</v>
      </c>
      <c r="BI15" s="7">
        <v>1488.1220000000001</v>
      </c>
      <c r="BJ15" s="21"/>
    </row>
    <row r="16" spans="1:62" ht="15.5" x14ac:dyDescent="0.35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5" x14ac:dyDescent="0.35">
      <c r="A17" s="5" t="s">
        <v>22</v>
      </c>
      <c r="B17" s="5" t="s">
        <v>23</v>
      </c>
      <c r="C17" s="7">
        <v>2</v>
      </c>
      <c r="D17" s="7">
        <v>2</v>
      </c>
      <c r="E17" s="7">
        <v>519794.38</v>
      </c>
      <c r="F17" s="7">
        <v>45941.01</v>
      </c>
      <c r="G17" s="7">
        <v>89791.702999999994</v>
      </c>
      <c r="H17" s="7">
        <v>0</v>
      </c>
      <c r="I17" s="7">
        <v>13316.48</v>
      </c>
      <c r="J17" s="7">
        <v>61189.135999999999</v>
      </c>
      <c r="K17" s="7">
        <v>46563.247000000003</v>
      </c>
      <c r="L17" s="7">
        <v>248068.11600000001</v>
      </c>
      <c r="M17" s="7">
        <v>159334.47200000001</v>
      </c>
      <c r="N17" s="7">
        <v>11463.39</v>
      </c>
      <c r="O17" s="7">
        <v>0</v>
      </c>
      <c r="P17" s="7">
        <v>0</v>
      </c>
      <c r="Q17" s="7">
        <v>1110.241</v>
      </c>
      <c r="R17" s="7">
        <v>2445.7170000000001</v>
      </c>
      <c r="S17" s="7">
        <v>14111.04</v>
      </c>
      <c r="T17" s="7">
        <v>446.77199999999999</v>
      </c>
      <c r="U17" s="7">
        <v>34646.103999999999</v>
      </c>
      <c r="V17" s="7">
        <v>6419.335</v>
      </c>
      <c r="W17" s="7">
        <v>12880.138999999999</v>
      </c>
      <c r="X17" s="7">
        <v>0</v>
      </c>
      <c r="Y17" s="7">
        <v>95442.173999999999</v>
      </c>
      <c r="Z17" s="7">
        <v>0</v>
      </c>
      <c r="AA17" s="7">
        <v>82883.42</v>
      </c>
      <c r="AB17" s="7">
        <v>8.9770000000000003</v>
      </c>
      <c r="AC17" s="7">
        <v>6558.5519999999997</v>
      </c>
      <c r="AD17" s="7">
        <v>2652.7469999999998</v>
      </c>
      <c r="AE17" s="7">
        <v>229440.337</v>
      </c>
      <c r="AF17" s="7">
        <v>26994.47</v>
      </c>
      <c r="AG17" s="7">
        <v>8934.4169999999995</v>
      </c>
      <c r="AH17" s="7">
        <v>692954.64199999999</v>
      </c>
      <c r="AI17" s="7">
        <v>46380.953000000001</v>
      </c>
      <c r="AJ17" s="7">
        <v>0</v>
      </c>
      <c r="AK17" s="7">
        <v>0</v>
      </c>
      <c r="AL17" s="7">
        <v>0</v>
      </c>
      <c r="AM17" s="7">
        <v>7382.5519999999997</v>
      </c>
      <c r="AN17" s="7">
        <v>0</v>
      </c>
      <c r="AO17" s="7">
        <v>4297.6450000000004</v>
      </c>
      <c r="AP17" s="7">
        <v>0</v>
      </c>
      <c r="AQ17" s="7">
        <v>9384.9140000000007</v>
      </c>
      <c r="AR17" s="7">
        <v>0</v>
      </c>
      <c r="AS17" s="7">
        <v>342.84199999999998</v>
      </c>
      <c r="AT17" s="7">
        <v>0</v>
      </c>
      <c r="AU17" s="7">
        <v>9900.34</v>
      </c>
      <c r="AV17" s="7">
        <v>0</v>
      </c>
      <c r="AW17" s="7">
        <v>0</v>
      </c>
      <c r="AX17" s="7">
        <v>0</v>
      </c>
      <c r="AY17" s="7">
        <v>2349.1</v>
      </c>
      <c r="AZ17" s="7">
        <v>0</v>
      </c>
      <c r="BA17" s="7">
        <v>0</v>
      </c>
      <c r="BB17" s="7">
        <v>1361.7619999999999</v>
      </c>
      <c r="BC17" s="7">
        <v>1364.93</v>
      </c>
      <c r="BD17" s="7">
        <v>0</v>
      </c>
      <c r="BE17" s="7">
        <v>443.09199999999998</v>
      </c>
      <c r="BF17" s="7">
        <v>443.09199999999998</v>
      </c>
      <c r="BG17" s="7">
        <v>0</v>
      </c>
      <c r="BH17" s="7">
        <v>0</v>
      </c>
      <c r="BI17" s="7">
        <v>551.58500000000004</v>
      </c>
      <c r="BJ17" s="21"/>
    </row>
    <row r="18" spans="1:62" ht="15.5" x14ac:dyDescent="0.35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7.0060000000000002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5" x14ac:dyDescent="0.35">
      <c r="A19" s="5" t="s">
        <v>26</v>
      </c>
      <c r="B19" s="5" t="s">
        <v>27</v>
      </c>
      <c r="C19" s="7">
        <v>2</v>
      </c>
      <c r="D19" s="7">
        <v>2</v>
      </c>
      <c r="E19" s="7">
        <v>24888.758999999998</v>
      </c>
      <c r="F19" s="7">
        <v>5840.2839999999997</v>
      </c>
      <c r="G19" s="7">
        <v>0</v>
      </c>
      <c r="H19" s="7">
        <v>0</v>
      </c>
      <c r="I19" s="7">
        <v>151.08699999999999</v>
      </c>
      <c r="J19" s="7">
        <v>0</v>
      </c>
      <c r="K19" s="7">
        <v>144202.777</v>
      </c>
      <c r="L19" s="7">
        <v>66379.731</v>
      </c>
      <c r="M19" s="7">
        <v>3170.4290000000001</v>
      </c>
      <c r="N19" s="7">
        <v>0</v>
      </c>
      <c r="O19" s="7">
        <v>0</v>
      </c>
      <c r="P19" s="7">
        <v>0.13300000000000001</v>
      </c>
      <c r="Q19" s="7">
        <v>0</v>
      </c>
      <c r="R19" s="7">
        <v>0</v>
      </c>
      <c r="S19" s="7">
        <v>1820.674</v>
      </c>
      <c r="T19" s="7">
        <v>487.471</v>
      </c>
      <c r="U19" s="7">
        <v>107296.307</v>
      </c>
      <c r="V19" s="7">
        <v>0</v>
      </c>
      <c r="W19" s="7">
        <v>499.83199999999999</v>
      </c>
      <c r="X19" s="7">
        <v>0</v>
      </c>
      <c r="Y19" s="7">
        <v>11933.858</v>
      </c>
      <c r="Z19" s="7">
        <v>0</v>
      </c>
      <c r="AA19" s="7">
        <v>0</v>
      </c>
      <c r="AB19" s="7">
        <v>4.42</v>
      </c>
      <c r="AC19" s="7">
        <v>1057.886</v>
      </c>
      <c r="AD19" s="7">
        <v>0</v>
      </c>
      <c r="AE19" s="7">
        <v>29816.382000000001</v>
      </c>
      <c r="AF19" s="7">
        <v>15315.945</v>
      </c>
      <c r="AG19" s="7">
        <v>0</v>
      </c>
      <c r="AH19" s="7">
        <v>112339.618</v>
      </c>
      <c r="AI19" s="7">
        <v>26482.688999999998</v>
      </c>
      <c r="AJ19" s="7">
        <v>0</v>
      </c>
      <c r="AK19" s="7">
        <v>0</v>
      </c>
      <c r="AL19" s="7">
        <v>0</v>
      </c>
      <c r="AM19" s="7">
        <v>22863.194</v>
      </c>
      <c r="AN19" s="7">
        <v>0</v>
      </c>
      <c r="AO19" s="7">
        <v>664.04499999999996</v>
      </c>
      <c r="AP19" s="7">
        <v>0</v>
      </c>
      <c r="AQ19" s="7">
        <v>5319.7430000000004</v>
      </c>
      <c r="AR19" s="7">
        <v>0</v>
      </c>
      <c r="AS19" s="7">
        <v>19.015000000000001</v>
      </c>
      <c r="AT19" s="7">
        <v>0</v>
      </c>
      <c r="AU19" s="7">
        <v>127.889</v>
      </c>
      <c r="AV19" s="7">
        <v>0</v>
      </c>
      <c r="AW19" s="7">
        <v>0</v>
      </c>
      <c r="AX19" s="7">
        <v>0</v>
      </c>
      <c r="AY19" s="7">
        <v>30.273</v>
      </c>
      <c r="AZ19" s="7">
        <v>433.82100000000003</v>
      </c>
      <c r="BA19" s="7">
        <v>0</v>
      </c>
      <c r="BB19" s="7">
        <v>193.15100000000001</v>
      </c>
      <c r="BC19" s="7">
        <v>0</v>
      </c>
      <c r="BD19" s="7">
        <v>504.262</v>
      </c>
      <c r="BE19" s="7">
        <v>52.021999999999998</v>
      </c>
      <c r="BF19" s="7">
        <v>52.021999999999998</v>
      </c>
      <c r="BG19" s="7">
        <v>169.65700000000001</v>
      </c>
      <c r="BH19" s="7">
        <v>0</v>
      </c>
      <c r="BI19" s="7">
        <v>0</v>
      </c>
      <c r="BJ19" s="21"/>
    </row>
    <row r="20" spans="1:62" ht="15.5" x14ac:dyDescent="0.35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5" x14ac:dyDescent="0.35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955373.69200000004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5" x14ac:dyDescent="0.35">
      <c r="A22" s="5" t="s">
        <v>32</v>
      </c>
      <c r="B22" s="5" t="s">
        <v>33</v>
      </c>
      <c r="C22" s="7">
        <v>2</v>
      </c>
      <c r="D22" s="7">
        <v>2</v>
      </c>
      <c r="E22" s="7">
        <v>6942.8450000000003</v>
      </c>
      <c r="F22" s="7">
        <v>0</v>
      </c>
      <c r="G22" s="7">
        <v>1738.7639999999999</v>
      </c>
      <c r="H22" s="7">
        <v>0</v>
      </c>
      <c r="I22" s="7">
        <v>0</v>
      </c>
      <c r="J22" s="7">
        <v>1334.106</v>
      </c>
      <c r="K22" s="7">
        <v>0</v>
      </c>
      <c r="L22" s="7">
        <v>4242.5829999999996</v>
      </c>
      <c r="M22" s="7">
        <v>2368.7040000000002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790.34699999999998</v>
      </c>
      <c r="AF22" s="7">
        <v>0</v>
      </c>
      <c r="AG22" s="7">
        <v>0</v>
      </c>
      <c r="AH22" s="7">
        <v>3989.672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5" x14ac:dyDescent="0.35">
      <c r="A23" s="5" t="s">
        <v>34</v>
      </c>
      <c r="B23" s="5" t="s">
        <v>35</v>
      </c>
      <c r="C23" s="7">
        <v>2</v>
      </c>
      <c r="D23" s="7">
        <v>2</v>
      </c>
      <c r="E23" s="7">
        <v>28998.347000000002</v>
      </c>
      <c r="F23" s="7">
        <v>6596.6390000000001</v>
      </c>
      <c r="G23" s="7">
        <v>4106.7979999999998</v>
      </c>
      <c r="H23" s="7">
        <v>0</v>
      </c>
      <c r="I23" s="7">
        <v>881.83900000000006</v>
      </c>
      <c r="J23" s="7">
        <v>3235.0940000000001</v>
      </c>
      <c r="K23" s="7">
        <v>0</v>
      </c>
      <c r="L23" s="7">
        <v>43837.794999999998</v>
      </c>
      <c r="M23" s="7">
        <v>16026.966</v>
      </c>
      <c r="N23" s="7">
        <v>0</v>
      </c>
      <c r="O23" s="7">
        <v>140.113</v>
      </c>
      <c r="P23" s="7">
        <v>0</v>
      </c>
      <c r="Q23" s="7">
        <v>60.280999999999999</v>
      </c>
      <c r="R23" s="7">
        <v>0</v>
      </c>
      <c r="S23" s="7">
        <v>1950.6769999999999</v>
      </c>
      <c r="T23" s="7">
        <v>0</v>
      </c>
      <c r="U23" s="7">
        <v>0</v>
      </c>
      <c r="V23" s="7">
        <v>439.673</v>
      </c>
      <c r="W23" s="7">
        <v>1379.1120000000001</v>
      </c>
      <c r="X23" s="7">
        <v>2946.2449999999999</v>
      </c>
      <c r="Y23" s="7">
        <v>10402.351000000001</v>
      </c>
      <c r="Z23" s="7">
        <v>87.661000000000001</v>
      </c>
      <c r="AA23" s="7">
        <v>4487.3230000000003</v>
      </c>
      <c r="AB23" s="7">
        <v>2609.1680000000001</v>
      </c>
      <c r="AC23" s="7">
        <v>1085.385</v>
      </c>
      <c r="AD23" s="7">
        <v>227.60900000000001</v>
      </c>
      <c r="AE23" s="7">
        <v>22343.614000000001</v>
      </c>
      <c r="AF23" s="7">
        <v>6209.777</v>
      </c>
      <c r="AG23" s="7">
        <v>1544.963</v>
      </c>
      <c r="AH23" s="7">
        <v>102508.598</v>
      </c>
      <c r="AI23" s="7">
        <v>10669.421</v>
      </c>
      <c r="AJ23" s="7">
        <v>453.95699999999999</v>
      </c>
      <c r="AK23" s="7">
        <v>897651.85699999996</v>
      </c>
      <c r="AL23" s="7">
        <v>510758.22899999999</v>
      </c>
      <c r="AM23" s="7">
        <v>0</v>
      </c>
      <c r="AN23" s="7">
        <v>319576.03600000002</v>
      </c>
      <c r="AO23" s="7">
        <v>447.24299999999999</v>
      </c>
      <c r="AP23" s="7">
        <v>0</v>
      </c>
      <c r="AQ23" s="7">
        <v>2158.895</v>
      </c>
      <c r="AR23" s="7">
        <v>0</v>
      </c>
      <c r="AS23" s="7">
        <v>9.3879999999999999</v>
      </c>
      <c r="AT23" s="7">
        <v>0</v>
      </c>
      <c r="AU23" s="7">
        <v>1160.8219999999999</v>
      </c>
      <c r="AV23" s="7">
        <v>0</v>
      </c>
      <c r="AW23" s="7">
        <v>0</v>
      </c>
      <c r="AX23" s="7">
        <v>2336.5520000000001</v>
      </c>
      <c r="AY23" s="7">
        <v>0</v>
      </c>
      <c r="AZ23" s="7">
        <v>0</v>
      </c>
      <c r="BA23" s="7">
        <v>1799.2629999999999</v>
      </c>
      <c r="BB23" s="7">
        <v>135.672</v>
      </c>
      <c r="BC23" s="7">
        <v>0</v>
      </c>
      <c r="BD23" s="7">
        <v>0</v>
      </c>
      <c r="BE23" s="7">
        <v>52.558999999999997</v>
      </c>
      <c r="BF23" s="7">
        <v>52.558999999999997</v>
      </c>
      <c r="BG23" s="7">
        <v>0</v>
      </c>
      <c r="BH23" s="7">
        <v>33505.601999999999</v>
      </c>
      <c r="BI23" s="7">
        <v>0</v>
      </c>
      <c r="BJ23" s="21"/>
    </row>
    <row r="24" spans="1:62" ht="15.5" x14ac:dyDescent="0.35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5" x14ac:dyDescent="0.35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5" x14ac:dyDescent="0.35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5" x14ac:dyDescent="0.35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5" x14ac:dyDescent="0.35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5" x14ac:dyDescent="0.35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5" x14ac:dyDescent="0.35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5" x14ac:dyDescent="0.35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5" x14ac:dyDescent="0.35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5" x14ac:dyDescent="0.35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5" x14ac:dyDescent="0.35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5" x14ac:dyDescent="0.35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5" x14ac:dyDescent="0.35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5" x14ac:dyDescent="0.35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5" x14ac:dyDescent="0.35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5" x14ac:dyDescent="0.35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5" x14ac:dyDescent="0.35">
      <c r="A40" s="5" t="s">
        <v>68</v>
      </c>
      <c r="B40" s="5" t="s">
        <v>69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5" x14ac:dyDescent="0.35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5" x14ac:dyDescent="0.35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5" x14ac:dyDescent="0.35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5" x14ac:dyDescent="0.35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5" x14ac:dyDescent="0.35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5" x14ac:dyDescent="0.35">
      <c r="A46" s="5" t="s">
        <v>80</v>
      </c>
      <c r="B46" s="5" t="s">
        <v>81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5" x14ac:dyDescent="0.35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5" x14ac:dyDescent="0.35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5" x14ac:dyDescent="0.35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5" x14ac:dyDescent="0.35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5" x14ac:dyDescent="0.35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5" x14ac:dyDescent="0.35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5" x14ac:dyDescent="0.35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5" x14ac:dyDescent="0.35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5" x14ac:dyDescent="0.35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5" x14ac:dyDescent="0.35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5" x14ac:dyDescent="0.35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5" x14ac:dyDescent="0.35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5" x14ac:dyDescent="0.35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5" x14ac:dyDescent="0.35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5" x14ac:dyDescent="0.35">
      <c r="A61" s="5" t="s">
        <v>110</v>
      </c>
      <c r="B61" s="5" t="s">
        <v>111</v>
      </c>
      <c r="C61" s="7">
        <v>3</v>
      </c>
      <c r="D61" s="7">
        <v>3</v>
      </c>
      <c r="E61" s="7">
        <v>920456.77899999998</v>
      </c>
      <c r="F61" s="7">
        <v>102885.602</v>
      </c>
      <c r="G61" s="7">
        <v>238640.33900000001</v>
      </c>
      <c r="H61" s="7">
        <v>13856.039000000001</v>
      </c>
      <c r="I61" s="7">
        <v>22624.38</v>
      </c>
      <c r="J61" s="7">
        <v>159674.58499999999</v>
      </c>
      <c r="K61" s="7">
        <v>0</v>
      </c>
      <c r="L61" s="7">
        <v>359519.99400000001</v>
      </c>
      <c r="M61" s="7">
        <v>572118.76500000001</v>
      </c>
      <c r="N61" s="7">
        <v>0</v>
      </c>
      <c r="O61" s="7">
        <v>0</v>
      </c>
      <c r="P61" s="7">
        <v>31.8</v>
      </c>
      <c r="Q61" s="7">
        <v>1503.306</v>
      </c>
      <c r="R61" s="7">
        <v>4788.04</v>
      </c>
      <c r="S61" s="7">
        <v>41435.133999999998</v>
      </c>
      <c r="T61" s="7">
        <v>0</v>
      </c>
      <c r="U61" s="7">
        <v>0</v>
      </c>
      <c r="V61" s="7">
        <v>20705.900000000001</v>
      </c>
      <c r="W61" s="7">
        <v>50509.163999999997</v>
      </c>
      <c r="X61" s="7">
        <v>0</v>
      </c>
      <c r="Y61" s="7">
        <v>130742.033</v>
      </c>
      <c r="Z61" s="7">
        <v>0</v>
      </c>
      <c r="AA61" s="7">
        <v>212145.80499999999</v>
      </c>
      <c r="AB61" s="7">
        <v>0</v>
      </c>
      <c r="AC61" s="7">
        <v>18029.452000000001</v>
      </c>
      <c r="AD61" s="7">
        <v>220.571</v>
      </c>
      <c r="AE61" s="7">
        <v>291479.05099999998</v>
      </c>
      <c r="AF61" s="7">
        <v>0</v>
      </c>
      <c r="AG61" s="7">
        <v>448.298</v>
      </c>
      <c r="AH61" s="7">
        <v>1009754.752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11825.173000000001</v>
      </c>
      <c r="AP61" s="7">
        <v>0</v>
      </c>
      <c r="AQ61" s="7">
        <v>0</v>
      </c>
      <c r="AR61" s="7">
        <v>0</v>
      </c>
      <c r="AS61" s="7">
        <v>268.22699999999998</v>
      </c>
      <c r="AT61" s="7">
        <v>0</v>
      </c>
      <c r="AU61" s="7">
        <v>10245.087</v>
      </c>
      <c r="AV61" s="7">
        <v>0</v>
      </c>
      <c r="AW61" s="7">
        <v>0</v>
      </c>
      <c r="AX61" s="7">
        <v>0</v>
      </c>
      <c r="AY61" s="7">
        <v>8484.4</v>
      </c>
      <c r="AZ61" s="7">
        <v>0</v>
      </c>
      <c r="BA61" s="7">
        <v>0</v>
      </c>
      <c r="BB61" s="7">
        <v>3350.1950000000002</v>
      </c>
      <c r="BC61" s="7">
        <v>6160.232</v>
      </c>
      <c r="BD61" s="7">
        <v>0</v>
      </c>
      <c r="BE61" s="7">
        <v>904.81600000000003</v>
      </c>
      <c r="BF61" s="7">
        <v>904.81600000000003</v>
      </c>
      <c r="BG61" s="7">
        <v>0</v>
      </c>
      <c r="BH61" s="7">
        <v>0</v>
      </c>
      <c r="BI61" s="7">
        <v>2828.1280000000002</v>
      </c>
      <c r="BJ61" s="21"/>
    </row>
    <row r="62" spans="1:62" ht="15.5" x14ac:dyDescent="0.35">
      <c r="A62" s="5" t="s">
        <v>112</v>
      </c>
      <c r="B62" s="5" t="s">
        <v>113</v>
      </c>
      <c r="C62" s="7">
        <v>3</v>
      </c>
      <c r="D62" s="7">
        <v>3</v>
      </c>
      <c r="E62" s="7">
        <v>5894.652</v>
      </c>
      <c r="F62" s="7">
        <v>867.28300000000002</v>
      </c>
      <c r="G62" s="7">
        <v>1435.5129999999999</v>
      </c>
      <c r="H62" s="7">
        <v>0</v>
      </c>
      <c r="I62" s="7">
        <v>158.28700000000001</v>
      </c>
      <c r="J62" s="7">
        <v>808.02300000000002</v>
      </c>
      <c r="K62" s="7">
        <v>0</v>
      </c>
      <c r="L62" s="7">
        <v>2513.777</v>
      </c>
      <c r="M62" s="7">
        <v>3619.74</v>
      </c>
      <c r="N62" s="7">
        <v>0</v>
      </c>
      <c r="O62" s="7">
        <v>0</v>
      </c>
      <c r="P62" s="7">
        <v>0.122</v>
      </c>
      <c r="Q62" s="7">
        <v>131.42500000000001</v>
      </c>
      <c r="R62" s="7">
        <v>418.59</v>
      </c>
      <c r="S62" s="7">
        <v>375.55799999999999</v>
      </c>
      <c r="T62" s="7">
        <v>0</v>
      </c>
      <c r="U62" s="7">
        <v>0</v>
      </c>
      <c r="V62" s="7">
        <v>148.62</v>
      </c>
      <c r="W62" s="7">
        <v>272.53199999999998</v>
      </c>
      <c r="X62" s="7">
        <v>0</v>
      </c>
      <c r="Y62" s="7">
        <v>767.13900000000001</v>
      </c>
      <c r="Z62" s="7">
        <v>0</v>
      </c>
      <c r="AA62" s="7">
        <v>1190.4670000000001</v>
      </c>
      <c r="AB62" s="7">
        <v>0</v>
      </c>
      <c r="AC62" s="7">
        <v>137.97800000000001</v>
      </c>
      <c r="AD62" s="7">
        <v>0</v>
      </c>
      <c r="AE62" s="7">
        <v>1085.0160000000001</v>
      </c>
      <c r="AF62" s="7">
        <v>0</v>
      </c>
      <c r="AG62" s="7">
        <v>0</v>
      </c>
      <c r="AH62" s="7">
        <v>5843.6869999999999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79.010999999999996</v>
      </c>
      <c r="AP62" s="7">
        <v>0</v>
      </c>
      <c r="AQ62" s="7">
        <v>0</v>
      </c>
      <c r="AR62" s="7">
        <v>0</v>
      </c>
      <c r="AS62" s="7">
        <v>3.2519999999999998</v>
      </c>
      <c r="AT62" s="7">
        <v>0</v>
      </c>
      <c r="AU62" s="7">
        <v>94.555999999999997</v>
      </c>
      <c r="AV62" s="7">
        <v>0</v>
      </c>
      <c r="AW62" s="7">
        <v>0</v>
      </c>
      <c r="AX62" s="7">
        <v>0</v>
      </c>
      <c r="AY62" s="7">
        <v>59.475999999999999</v>
      </c>
      <c r="AZ62" s="7">
        <v>0</v>
      </c>
      <c r="BA62" s="7">
        <v>0</v>
      </c>
      <c r="BB62" s="7">
        <v>23.73</v>
      </c>
      <c r="BC62" s="7">
        <v>44.018000000000001</v>
      </c>
      <c r="BD62" s="7">
        <v>0</v>
      </c>
      <c r="BE62" s="7">
        <v>6.16</v>
      </c>
      <c r="BF62" s="7">
        <v>6.16</v>
      </c>
      <c r="BG62" s="7">
        <v>0</v>
      </c>
      <c r="BH62" s="7">
        <v>0</v>
      </c>
      <c r="BI62" s="7">
        <v>19.934999999999999</v>
      </c>
      <c r="BJ62" s="21"/>
    </row>
    <row r="63" spans="1:62" ht="15.5" x14ac:dyDescent="0.35">
      <c r="A63" s="5" t="s">
        <v>114</v>
      </c>
      <c r="B63" s="5" t="s">
        <v>115</v>
      </c>
      <c r="C63" s="7">
        <v>3</v>
      </c>
      <c r="D63" s="7">
        <v>3</v>
      </c>
      <c r="E63" s="7">
        <v>137783.23800000001</v>
      </c>
      <c r="F63" s="7">
        <v>19308.863000000001</v>
      </c>
      <c r="G63" s="7">
        <v>33957.324000000001</v>
      </c>
      <c r="H63" s="7">
        <v>208.167</v>
      </c>
      <c r="I63" s="7">
        <v>3637.8139999999999</v>
      </c>
      <c r="J63" s="7">
        <v>19857.428</v>
      </c>
      <c r="K63" s="7">
        <v>19780.954000000002</v>
      </c>
      <c r="L63" s="7">
        <v>57846.517</v>
      </c>
      <c r="M63" s="7">
        <v>84762.743000000002</v>
      </c>
      <c r="N63" s="7">
        <v>974.00699999999995</v>
      </c>
      <c r="O63" s="7">
        <v>0</v>
      </c>
      <c r="P63" s="7">
        <v>3.9980000000000002</v>
      </c>
      <c r="Q63" s="7">
        <v>541.65599999999995</v>
      </c>
      <c r="R63" s="7">
        <v>1725.1769999999999</v>
      </c>
      <c r="S63" s="7">
        <v>8262.723</v>
      </c>
      <c r="T63" s="7">
        <v>0</v>
      </c>
      <c r="U63" s="7">
        <v>14718.325000000001</v>
      </c>
      <c r="V63" s="7">
        <v>3398.1590000000001</v>
      </c>
      <c r="W63" s="7">
        <v>6601.2049999999999</v>
      </c>
      <c r="X63" s="7">
        <v>0</v>
      </c>
      <c r="Y63" s="7">
        <v>18279.947</v>
      </c>
      <c r="Z63" s="7">
        <v>0</v>
      </c>
      <c r="AA63" s="7">
        <v>28576.363000000001</v>
      </c>
      <c r="AB63" s="7">
        <v>0</v>
      </c>
      <c r="AC63" s="7">
        <v>3120.6460000000002</v>
      </c>
      <c r="AD63" s="7">
        <v>0</v>
      </c>
      <c r="AE63" s="7">
        <v>29067.681</v>
      </c>
      <c r="AF63" s="7">
        <v>0</v>
      </c>
      <c r="AG63" s="7">
        <v>0</v>
      </c>
      <c r="AH63" s="7">
        <v>139737.519</v>
      </c>
      <c r="AI63" s="7">
        <v>0</v>
      </c>
      <c r="AJ63" s="7">
        <v>0</v>
      </c>
      <c r="AK63" s="7">
        <v>0</v>
      </c>
      <c r="AL63" s="7">
        <v>0</v>
      </c>
      <c r="AM63" s="7">
        <v>3136.2489999999998</v>
      </c>
      <c r="AN63" s="7">
        <v>0</v>
      </c>
      <c r="AO63" s="7">
        <v>1829.3610000000001</v>
      </c>
      <c r="AP63" s="7">
        <v>0</v>
      </c>
      <c r="AQ63" s="7">
        <v>0</v>
      </c>
      <c r="AR63" s="7">
        <v>0</v>
      </c>
      <c r="AS63" s="7">
        <v>68.891999999999996</v>
      </c>
      <c r="AT63" s="7">
        <v>0</v>
      </c>
      <c r="AU63" s="7">
        <v>2218.2950000000001</v>
      </c>
      <c r="AV63" s="7">
        <v>0</v>
      </c>
      <c r="AW63" s="7">
        <v>0</v>
      </c>
      <c r="AX63" s="7">
        <v>0</v>
      </c>
      <c r="AY63" s="7">
        <v>1364.848</v>
      </c>
      <c r="AZ63" s="7">
        <v>0</v>
      </c>
      <c r="BA63" s="7">
        <v>0</v>
      </c>
      <c r="BB63" s="7">
        <v>543.52599999999995</v>
      </c>
      <c r="BC63" s="7">
        <v>1006.623</v>
      </c>
      <c r="BD63" s="7">
        <v>0</v>
      </c>
      <c r="BE63" s="7">
        <v>142.12100000000001</v>
      </c>
      <c r="BF63" s="7">
        <v>142.12100000000001</v>
      </c>
      <c r="BG63" s="7">
        <v>0</v>
      </c>
      <c r="BH63" s="7">
        <v>0</v>
      </c>
      <c r="BI63" s="7">
        <v>457.00099999999998</v>
      </c>
      <c r="BJ63" s="21"/>
    </row>
    <row r="64" spans="1:62" ht="15.5" x14ac:dyDescent="0.35">
      <c r="A64" s="5" t="s">
        <v>116</v>
      </c>
      <c r="B64" s="5" t="s">
        <v>117</v>
      </c>
      <c r="C64" s="7">
        <v>3</v>
      </c>
      <c r="D64" s="7">
        <v>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21"/>
    </row>
    <row r="65" spans="1:62" ht="15.5" x14ac:dyDescent="0.35">
      <c r="A65" s="5" t="s">
        <v>118</v>
      </c>
      <c r="B65" s="5" t="s">
        <v>119</v>
      </c>
      <c r="C65" s="7">
        <v>3</v>
      </c>
      <c r="D65" s="7">
        <v>3</v>
      </c>
      <c r="E65" s="7">
        <v>171790.03400000001</v>
      </c>
      <c r="F65" s="7">
        <v>25827.131000000001</v>
      </c>
      <c r="G65" s="7">
        <v>41871.061999999998</v>
      </c>
      <c r="H65" s="7">
        <v>15723.474</v>
      </c>
      <c r="I65" s="7">
        <v>4601.1970000000001</v>
      </c>
      <c r="J65" s="7">
        <v>23360.769</v>
      </c>
      <c r="K65" s="7">
        <v>0</v>
      </c>
      <c r="L65" s="7">
        <v>77193.301000000007</v>
      </c>
      <c r="M65" s="7">
        <v>105529.447</v>
      </c>
      <c r="N65" s="7">
        <v>0</v>
      </c>
      <c r="O65" s="7">
        <v>0</v>
      </c>
      <c r="P65" s="7">
        <v>3.323</v>
      </c>
      <c r="Q65" s="7">
        <v>517.45399999999995</v>
      </c>
      <c r="R65" s="7">
        <v>1648.096</v>
      </c>
      <c r="S65" s="7">
        <v>11114.196</v>
      </c>
      <c r="T65" s="7">
        <v>0</v>
      </c>
      <c r="U65" s="7">
        <v>0</v>
      </c>
      <c r="V65" s="7">
        <v>4328.8389999999999</v>
      </c>
      <c r="W65" s="7">
        <v>7735.9620000000004</v>
      </c>
      <c r="X65" s="7">
        <v>0</v>
      </c>
      <c r="Y65" s="7">
        <v>22123.627</v>
      </c>
      <c r="Z65" s="7">
        <v>0</v>
      </c>
      <c r="AA65" s="7">
        <v>34035.180999999997</v>
      </c>
      <c r="AB65" s="7">
        <v>0</v>
      </c>
      <c r="AC65" s="7">
        <v>4038.096</v>
      </c>
      <c r="AD65" s="7">
        <v>0</v>
      </c>
      <c r="AE65" s="7">
        <v>30350.99</v>
      </c>
      <c r="AF65" s="7">
        <v>0</v>
      </c>
      <c r="AG65" s="7">
        <v>0</v>
      </c>
      <c r="AH65" s="7">
        <v>170531.71400000001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2288.1779999999999</v>
      </c>
      <c r="AP65" s="7">
        <v>0</v>
      </c>
      <c r="AQ65" s="7">
        <v>0</v>
      </c>
      <c r="AR65" s="7">
        <v>0</v>
      </c>
      <c r="AS65" s="7">
        <v>97.692999999999998</v>
      </c>
      <c r="AT65" s="7">
        <v>0</v>
      </c>
      <c r="AU65" s="7">
        <v>2884.442</v>
      </c>
      <c r="AV65" s="7">
        <v>0</v>
      </c>
      <c r="AW65" s="7">
        <v>0</v>
      </c>
      <c r="AX65" s="7">
        <v>0</v>
      </c>
      <c r="AY65" s="7">
        <v>1729.1590000000001</v>
      </c>
      <c r="AZ65" s="7">
        <v>0</v>
      </c>
      <c r="BA65" s="7">
        <v>0</v>
      </c>
      <c r="BB65" s="7">
        <v>690.46500000000003</v>
      </c>
      <c r="BC65" s="7">
        <v>1281.645</v>
      </c>
      <c r="BD65" s="7">
        <v>0</v>
      </c>
      <c r="BE65" s="7">
        <v>178.66800000000001</v>
      </c>
      <c r="BF65" s="7">
        <v>178.66800000000001</v>
      </c>
      <c r="BG65" s="7">
        <v>0</v>
      </c>
      <c r="BH65" s="7">
        <v>0</v>
      </c>
      <c r="BI65" s="7">
        <v>579.81600000000003</v>
      </c>
      <c r="BJ65" s="21"/>
    </row>
    <row r="66" spans="1:62" ht="15.5" x14ac:dyDescent="0.35">
      <c r="A66" s="5" t="s">
        <v>120</v>
      </c>
      <c r="B66" s="5" t="s">
        <v>121</v>
      </c>
      <c r="C66" s="7">
        <v>3</v>
      </c>
      <c r="D66" s="7">
        <v>3</v>
      </c>
      <c r="E66" s="7">
        <v>26368.517</v>
      </c>
      <c r="F66" s="7">
        <v>3960.886</v>
      </c>
      <c r="G66" s="7">
        <v>6385.3019999999997</v>
      </c>
      <c r="H66" s="7">
        <v>0</v>
      </c>
      <c r="I66" s="7">
        <v>713.29200000000003</v>
      </c>
      <c r="J66" s="7">
        <v>3530.8560000000002</v>
      </c>
      <c r="K66" s="7">
        <v>0</v>
      </c>
      <c r="L66" s="7">
        <v>11327.308000000001</v>
      </c>
      <c r="M66" s="7">
        <v>16174.95</v>
      </c>
      <c r="N66" s="7">
        <v>0</v>
      </c>
      <c r="O66" s="7">
        <v>0</v>
      </c>
      <c r="P66" s="7">
        <v>0.51500000000000001</v>
      </c>
      <c r="Q66" s="7">
        <v>95.037999999999997</v>
      </c>
      <c r="R66" s="7">
        <v>302.69600000000003</v>
      </c>
      <c r="S66" s="7">
        <v>1722.9580000000001</v>
      </c>
      <c r="T66" s="7">
        <v>0</v>
      </c>
      <c r="U66" s="7">
        <v>0</v>
      </c>
      <c r="V66" s="7">
        <v>671.07</v>
      </c>
      <c r="W66" s="7">
        <v>1199.2529999999999</v>
      </c>
      <c r="X66" s="7">
        <v>0</v>
      </c>
      <c r="Y66" s="7">
        <v>3404.2849999999999</v>
      </c>
      <c r="Z66" s="7">
        <v>0</v>
      </c>
      <c r="AA66" s="7">
        <v>5259.7449999999999</v>
      </c>
      <c r="AB66" s="7">
        <v>0</v>
      </c>
      <c r="AC66" s="7">
        <v>625.99900000000002</v>
      </c>
      <c r="AD66" s="7">
        <v>0</v>
      </c>
      <c r="AE66" s="7">
        <v>4548.7730000000001</v>
      </c>
      <c r="AF66" s="7">
        <v>0</v>
      </c>
      <c r="AG66" s="7">
        <v>0</v>
      </c>
      <c r="AH66" s="7">
        <v>25897.64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354.721</v>
      </c>
      <c r="AP66" s="7">
        <v>0</v>
      </c>
      <c r="AQ66" s="7">
        <v>0</v>
      </c>
      <c r="AR66" s="7">
        <v>0</v>
      </c>
      <c r="AS66" s="7">
        <v>15.145</v>
      </c>
      <c r="AT66" s="7">
        <v>0</v>
      </c>
      <c r="AU66" s="7">
        <v>453.154</v>
      </c>
      <c r="AV66" s="7">
        <v>0</v>
      </c>
      <c r="AW66" s="7">
        <v>0</v>
      </c>
      <c r="AX66" s="7">
        <v>0</v>
      </c>
      <c r="AY66" s="7">
        <v>268.06</v>
      </c>
      <c r="AZ66" s="7">
        <v>0</v>
      </c>
      <c r="BA66" s="7">
        <v>0</v>
      </c>
      <c r="BB66" s="7">
        <v>107.038</v>
      </c>
      <c r="BC66" s="7">
        <v>198.685</v>
      </c>
      <c r="BD66" s="7">
        <v>0</v>
      </c>
      <c r="BE66" s="7">
        <v>27.698</v>
      </c>
      <c r="BF66" s="7">
        <v>27.698</v>
      </c>
      <c r="BG66" s="7">
        <v>0</v>
      </c>
      <c r="BH66" s="7">
        <v>0</v>
      </c>
      <c r="BI66" s="7">
        <v>89.885000000000005</v>
      </c>
      <c r="BJ66" s="21"/>
    </row>
    <row r="67" spans="1:62" ht="15.5" x14ac:dyDescent="0.35">
      <c r="A67" s="5" t="s">
        <v>122</v>
      </c>
      <c r="B67" s="5" t="s">
        <v>123</v>
      </c>
      <c r="C67" s="7">
        <v>3</v>
      </c>
      <c r="D67" s="7">
        <v>3</v>
      </c>
      <c r="E67" s="7">
        <v>166187.93799999999</v>
      </c>
      <c r="F67" s="7">
        <v>24913.385999999999</v>
      </c>
      <c r="G67" s="7">
        <v>40147.612999999998</v>
      </c>
      <c r="H67" s="7">
        <v>0</v>
      </c>
      <c r="I67" s="7">
        <v>4491.8230000000003</v>
      </c>
      <c r="J67" s="7">
        <v>22206.699000000001</v>
      </c>
      <c r="K67" s="7">
        <v>7710.2969999999996</v>
      </c>
      <c r="L67" s="7">
        <v>71645.210000000006</v>
      </c>
      <c r="M67" s="7">
        <v>101721.2</v>
      </c>
      <c r="N67" s="7">
        <v>0</v>
      </c>
      <c r="O67" s="7">
        <v>0</v>
      </c>
      <c r="P67" s="7">
        <v>6.8079999999999998</v>
      </c>
      <c r="Q67" s="7">
        <v>844.37</v>
      </c>
      <c r="R67" s="7">
        <v>2689.3270000000002</v>
      </c>
      <c r="S67" s="7">
        <v>10803.333000000001</v>
      </c>
      <c r="T67" s="7">
        <v>0</v>
      </c>
      <c r="U67" s="7">
        <v>5736.9660000000003</v>
      </c>
      <c r="V67" s="7">
        <v>4217.7089999999998</v>
      </c>
      <c r="W67" s="7">
        <v>7549.94</v>
      </c>
      <c r="X67" s="7">
        <v>0</v>
      </c>
      <c r="Y67" s="7">
        <v>21585.741999999998</v>
      </c>
      <c r="Z67" s="7">
        <v>0</v>
      </c>
      <c r="AA67" s="7">
        <v>33064.574999999997</v>
      </c>
      <c r="AB67" s="7">
        <v>0</v>
      </c>
      <c r="AC67" s="7">
        <v>3938.0010000000002</v>
      </c>
      <c r="AD67" s="7">
        <v>0</v>
      </c>
      <c r="AE67" s="7">
        <v>29289.881000000001</v>
      </c>
      <c r="AF67" s="7">
        <v>0</v>
      </c>
      <c r="AG67" s="7">
        <v>0</v>
      </c>
      <c r="AH67" s="7">
        <v>164209.182</v>
      </c>
      <c r="AI67" s="7">
        <v>0</v>
      </c>
      <c r="AJ67" s="7">
        <v>0</v>
      </c>
      <c r="AK67" s="7">
        <v>0</v>
      </c>
      <c r="AL67" s="7">
        <v>0</v>
      </c>
      <c r="AM67" s="7">
        <v>1222.4590000000001</v>
      </c>
      <c r="AN67" s="7">
        <v>0</v>
      </c>
      <c r="AO67" s="7">
        <v>2224.1779999999999</v>
      </c>
      <c r="AP67" s="7">
        <v>0</v>
      </c>
      <c r="AQ67" s="7">
        <v>0</v>
      </c>
      <c r="AR67" s="7">
        <v>0</v>
      </c>
      <c r="AS67" s="7">
        <v>94.96</v>
      </c>
      <c r="AT67" s="7">
        <v>0</v>
      </c>
      <c r="AU67" s="7">
        <v>2821.549</v>
      </c>
      <c r="AV67" s="7">
        <v>0</v>
      </c>
      <c r="AW67" s="7">
        <v>0</v>
      </c>
      <c r="AX67" s="7">
        <v>0</v>
      </c>
      <c r="AY67" s="7">
        <v>1680.7940000000001</v>
      </c>
      <c r="AZ67" s="7">
        <v>0</v>
      </c>
      <c r="BA67" s="7">
        <v>0</v>
      </c>
      <c r="BB67" s="7">
        <v>671.15300000000002</v>
      </c>
      <c r="BC67" s="7">
        <v>1245.797</v>
      </c>
      <c r="BD67" s="7">
        <v>0</v>
      </c>
      <c r="BE67" s="7">
        <v>173.67099999999999</v>
      </c>
      <c r="BF67" s="7">
        <v>173.67099999999999</v>
      </c>
      <c r="BG67" s="7">
        <v>0</v>
      </c>
      <c r="BH67" s="7">
        <v>0</v>
      </c>
      <c r="BI67" s="7">
        <v>563.59799999999996</v>
      </c>
      <c r="BJ67" s="21"/>
    </row>
    <row r="68" spans="1:62" ht="15.5" x14ac:dyDescent="0.35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21"/>
    </row>
    <row r="69" spans="1:62" ht="15.5" x14ac:dyDescent="0.35">
      <c r="A69" s="5" t="s">
        <v>126</v>
      </c>
      <c r="B69" s="5" t="s">
        <v>127</v>
      </c>
      <c r="C69" s="7">
        <v>3</v>
      </c>
      <c r="D69" s="7">
        <v>3</v>
      </c>
      <c r="E69" s="7">
        <v>38775.275999999998</v>
      </c>
      <c r="F69" s="7">
        <v>5824.5389999999998</v>
      </c>
      <c r="G69" s="7">
        <v>9389.6759999999995</v>
      </c>
      <c r="H69" s="7">
        <v>19605.260999999999</v>
      </c>
      <c r="I69" s="7">
        <v>1048.9059999999999</v>
      </c>
      <c r="J69" s="7">
        <v>5192.174</v>
      </c>
      <c r="K69" s="7">
        <v>0</v>
      </c>
      <c r="L69" s="7">
        <v>16656.967000000001</v>
      </c>
      <c r="M69" s="7">
        <v>23785.492999999999</v>
      </c>
      <c r="N69" s="7">
        <v>0</v>
      </c>
      <c r="O69" s="7">
        <v>0</v>
      </c>
      <c r="P69" s="7">
        <v>0.75800000000000001</v>
      </c>
      <c r="Q69" s="7">
        <v>0</v>
      </c>
      <c r="R69" s="7">
        <v>0</v>
      </c>
      <c r="S69" s="7">
        <v>2533.634</v>
      </c>
      <c r="T69" s="7">
        <v>0</v>
      </c>
      <c r="U69" s="7">
        <v>0</v>
      </c>
      <c r="V69" s="7">
        <v>986.81899999999996</v>
      </c>
      <c r="W69" s="7">
        <v>1763.519</v>
      </c>
      <c r="X69" s="7">
        <v>0</v>
      </c>
      <c r="Y69" s="7">
        <v>5006.049</v>
      </c>
      <c r="Z69" s="7">
        <v>0</v>
      </c>
      <c r="AA69" s="7">
        <v>7734.5290000000005</v>
      </c>
      <c r="AB69" s="7">
        <v>0</v>
      </c>
      <c r="AC69" s="7">
        <v>920.54</v>
      </c>
      <c r="AD69" s="7">
        <v>0</v>
      </c>
      <c r="AE69" s="7">
        <v>6689.0339999999997</v>
      </c>
      <c r="AF69" s="7">
        <v>0</v>
      </c>
      <c r="AG69" s="7">
        <v>0</v>
      </c>
      <c r="AH69" s="7">
        <v>38082.845000000001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521.62199999999996</v>
      </c>
      <c r="AP69" s="7">
        <v>0</v>
      </c>
      <c r="AQ69" s="7">
        <v>0</v>
      </c>
      <c r="AR69" s="7">
        <v>0</v>
      </c>
      <c r="AS69" s="7">
        <v>22.27</v>
      </c>
      <c r="AT69" s="7">
        <v>0</v>
      </c>
      <c r="AU69" s="7">
        <v>640.00800000000004</v>
      </c>
      <c r="AV69" s="7">
        <v>0</v>
      </c>
      <c r="AW69" s="7">
        <v>0</v>
      </c>
      <c r="AX69" s="7">
        <v>0</v>
      </c>
      <c r="AY69" s="7">
        <v>394.18599999999998</v>
      </c>
      <c r="AZ69" s="7">
        <v>0</v>
      </c>
      <c r="BA69" s="7">
        <v>0</v>
      </c>
      <c r="BB69" s="7">
        <v>157.40100000000001</v>
      </c>
      <c r="BC69" s="7">
        <v>292.16899999999998</v>
      </c>
      <c r="BD69" s="7">
        <v>0</v>
      </c>
      <c r="BE69" s="7">
        <v>40.729999999999997</v>
      </c>
      <c r="BF69" s="7">
        <v>40.729999999999997</v>
      </c>
      <c r="BG69" s="7">
        <v>0</v>
      </c>
      <c r="BH69" s="7">
        <v>0</v>
      </c>
      <c r="BI69" s="7">
        <v>132.17699999999999</v>
      </c>
      <c r="BJ69" s="21"/>
    </row>
    <row r="70" spans="1:62" ht="15.5" x14ac:dyDescent="0.35">
      <c r="A70" s="5" t="s">
        <v>128</v>
      </c>
      <c r="B70" s="5" t="s">
        <v>129</v>
      </c>
      <c r="C70" s="7">
        <v>3</v>
      </c>
      <c r="D70" s="7">
        <v>3</v>
      </c>
      <c r="E70" s="7">
        <v>14462.913</v>
      </c>
      <c r="F70" s="7">
        <v>2172.5129999999999</v>
      </c>
      <c r="G70" s="7">
        <v>3502.2849999999999</v>
      </c>
      <c r="H70" s="7">
        <v>2553</v>
      </c>
      <c r="I70" s="7">
        <v>391.23500000000001</v>
      </c>
      <c r="J70" s="7">
        <v>1936.645</v>
      </c>
      <c r="K70" s="7">
        <v>0</v>
      </c>
      <c r="L70" s="7">
        <v>6212.9350000000004</v>
      </c>
      <c r="M70" s="7">
        <v>8871.8269999999993</v>
      </c>
      <c r="N70" s="7">
        <v>0</v>
      </c>
      <c r="O70" s="7">
        <v>0</v>
      </c>
      <c r="P70" s="7">
        <v>0.28299999999999997</v>
      </c>
      <c r="Q70" s="7">
        <v>0</v>
      </c>
      <c r="R70" s="7">
        <v>0</v>
      </c>
      <c r="S70" s="7">
        <v>945.02800000000002</v>
      </c>
      <c r="T70" s="7">
        <v>0</v>
      </c>
      <c r="U70" s="7">
        <v>0</v>
      </c>
      <c r="V70" s="7">
        <v>368.077</v>
      </c>
      <c r="W70" s="7">
        <v>657.78099999999995</v>
      </c>
      <c r="X70" s="7">
        <v>0</v>
      </c>
      <c r="Y70" s="7">
        <v>1867.222</v>
      </c>
      <c r="Z70" s="7">
        <v>0</v>
      </c>
      <c r="AA70" s="7">
        <v>2884.9270000000001</v>
      </c>
      <c r="AB70" s="7">
        <v>0</v>
      </c>
      <c r="AC70" s="7">
        <v>343.35500000000002</v>
      </c>
      <c r="AD70" s="7">
        <v>0</v>
      </c>
      <c r="AE70" s="7">
        <v>2494.9639999999999</v>
      </c>
      <c r="AF70" s="7">
        <v>0</v>
      </c>
      <c r="AG70" s="7">
        <v>0</v>
      </c>
      <c r="AH70" s="7">
        <v>14204.641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194.56100000000001</v>
      </c>
      <c r="AP70" s="7">
        <v>0</v>
      </c>
      <c r="AQ70" s="7">
        <v>0</v>
      </c>
      <c r="AR70" s="7">
        <v>0</v>
      </c>
      <c r="AS70" s="7">
        <v>8.3070000000000004</v>
      </c>
      <c r="AT70" s="7">
        <v>0</v>
      </c>
      <c r="AU70" s="7">
        <v>238.71899999999999</v>
      </c>
      <c r="AV70" s="7">
        <v>0</v>
      </c>
      <c r="AW70" s="7">
        <v>0</v>
      </c>
      <c r="AX70" s="7">
        <v>0</v>
      </c>
      <c r="AY70" s="7">
        <v>147.029</v>
      </c>
      <c r="AZ70" s="7">
        <v>0</v>
      </c>
      <c r="BA70" s="7">
        <v>0</v>
      </c>
      <c r="BB70" s="7">
        <v>58.709000000000003</v>
      </c>
      <c r="BC70" s="7">
        <v>108.977</v>
      </c>
      <c r="BD70" s="7">
        <v>0</v>
      </c>
      <c r="BE70" s="7">
        <v>15.192</v>
      </c>
      <c r="BF70" s="7">
        <v>15.192</v>
      </c>
      <c r="BG70" s="7">
        <v>0</v>
      </c>
      <c r="BH70" s="7">
        <v>0</v>
      </c>
      <c r="BI70" s="7">
        <v>49.301000000000002</v>
      </c>
      <c r="BJ70" s="21"/>
    </row>
    <row r="71" spans="1:62" ht="15.5" x14ac:dyDescent="0.35">
      <c r="A71" s="5" t="s">
        <v>130</v>
      </c>
      <c r="B71" s="5" t="s">
        <v>131</v>
      </c>
      <c r="C71" s="7">
        <v>3</v>
      </c>
      <c r="D71" s="7">
        <v>3</v>
      </c>
      <c r="E71" s="7">
        <v>56142.629000000001</v>
      </c>
      <c r="F71" s="7">
        <v>8398.8179999999993</v>
      </c>
      <c r="G71" s="7">
        <v>13529.328</v>
      </c>
      <c r="H71" s="7">
        <v>12077.450999999999</v>
      </c>
      <c r="I71" s="7">
        <v>1516.155</v>
      </c>
      <c r="J71" s="7">
        <v>7485.683</v>
      </c>
      <c r="K71" s="7">
        <v>0</v>
      </c>
      <c r="L71" s="7">
        <v>24292.878000000001</v>
      </c>
      <c r="M71" s="7">
        <v>34286.406999999999</v>
      </c>
      <c r="N71" s="7">
        <v>0</v>
      </c>
      <c r="O71" s="7">
        <v>0</v>
      </c>
      <c r="P71" s="7">
        <v>3.548</v>
      </c>
      <c r="Q71" s="7">
        <v>2.4359999999999999</v>
      </c>
      <c r="R71" s="7">
        <v>7.76</v>
      </c>
      <c r="S71" s="7">
        <v>3630.152</v>
      </c>
      <c r="T71" s="7">
        <v>0</v>
      </c>
      <c r="U71" s="7">
        <v>0</v>
      </c>
      <c r="V71" s="7">
        <v>1420.7449999999999</v>
      </c>
      <c r="W71" s="7">
        <v>2547.6329999999998</v>
      </c>
      <c r="X71" s="7">
        <v>0</v>
      </c>
      <c r="Y71" s="7">
        <v>7337.85</v>
      </c>
      <c r="Z71" s="7">
        <v>0</v>
      </c>
      <c r="AA71" s="7">
        <v>11140.277</v>
      </c>
      <c r="AB71" s="7">
        <v>0</v>
      </c>
      <c r="AC71" s="7">
        <v>1327.78</v>
      </c>
      <c r="AD71" s="7">
        <v>0</v>
      </c>
      <c r="AE71" s="7">
        <v>10112.57</v>
      </c>
      <c r="AF71" s="7">
        <v>7.66</v>
      </c>
      <c r="AG71" s="7">
        <v>0</v>
      </c>
      <c r="AH71" s="7">
        <v>55795.589</v>
      </c>
      <c r="AI71" s="7">
        <v>26.585999999999999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747.37199999999996</v>
      </c>
      <c r="AP71" s="7">
        <v>0</v>
      </c>
      <c r="AQ71" s="7">
        <v>0</v>
      </c>
      <c r="AR71" s="7">
        <v>0</v>
      </c>
      <c r="AS71" s="7">
        <v>31.908999999999999</v>
      </c>
      <c r="AT71" s="7">
        <v>0</v>
      </c>
      <c r="AU71" s="7">
        <v>916.99300000000005</v>
      </c>
      <c r="AV71" s="7">
        <v>0</v>
      </c>
      <c r="AW71" s="7">
        <v>0</v>
      </c>
      <c r="AX71" s="7">
        <v>0</v>
      </c>
      <c r="AY71" s="7">
        <v>564.78300000000002</v>
      </c>
      <c r="AZ71" s="7">
        <v>0</v>
      </c>
      <c r="BA71" s="7">
        <v>0</v>
      </c>
      <c r="BB71" s="7">
        <v>225.52199999999999</v>
      </c>
      <c r="BC71" s="7">
        <v>418.61500000000001</v>
      </c>
      <c r="BD71" s="7">
        <v>0</v>
      </c>
      <c r="BE71" s="7">
        <v>58.356999999999999</v>
      </c>
      <c r="BF71" s="7">
        <v>58.356999999999999</v>
      </c>
      <c r="BG71" s="7">
        <v>0</v>
      </c>
      <c r="BH71" s="7">
        <v>0</v>
      </c>
      <c r="BI71" s="7">
        <v>189.381</v>
      </c>
      <c r="BJ71" s="21"/>
    </row>
    <row r="72" spans="1:62" ht="15.5" x14ac:dyDescent="0.35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21"/>
    </row>
    <row r="73" spans="1:62" ht="15.5" x14ac:dyDescent="0.35">
      <c r="A73" s="5" t="s">
        <v>134</v>
      </c>
      <c r="B73" s="5" t="s">
        <v>135</v>
      </c>
      <c r="C73" s="7">
        <v>6</v>
      </c>
      <c r="D73" s="7">
        <v>6</v>
      </c>
      <c r="E73" s="7">
        <v>46176.103999999999</v>
      </c>
      <c r="F73" s="7">
        <v>4483.4840000000004</v>
      </c>
      <c r="G73" s="7">
        <v>11867.67</v>
      </c>
      <c r="H73" s="7">
        <v>1819.857</v>
      </c>
      <c r="I73" s="7">
        <v>984.34</v>
      </c>
      <c r="J73" s="7">
        <v>8806.0419999999995</v>
      </c>
      <c r="K73" s="7">
        <v>0</v>
      </c>
      <c r="L73" s="7">
        <v>21490.357</v>
      </c>
      <c r="M73" s="7">
        <v>26230.036</v>
      </c>
      <c r="N73" s="7">
        <v>0</v>
      </c>
      <c r="O73" s="7">
        <v>0</v>
      </c>
      <c r="P73" s="7">
        <v>39.462000000000003</v>
      </c>
      <c r="Q73" s="7">
        <v>0</v>
      </c>
      <c r="R73" s="7">
        <v>129.88999999999999</v>
      </c>
      <c r="S73" s="7">
        <v>1178.8869999999999</v>
      </c>
      <c r="T73" s="7">
        <v>0</v>
      </c>
      <c r="U73" s="7">
        <v>0</v>
      </c>
      <c r="V73" s="7">
        <v>807.69899999999996</v>
      </c>
      <c r="W73" s="7">
        <v>2294.87</v>
      </c>
      <c r="X73" s="7">
        <v>0</v>
      </c>
      <c r="Y73" s="7">
        <v>7481.3339999999998</v>
      </c>
      <c r="Z73" s="7">
        <v>0</v>
      </c>
      <c r="AA73" s="7">
        <v>9052.3230000000003</v>
      </c>
      <c r="AB73" s="7">
        <v>0</v>
      </c>
      <c r="AC73" s="7">
        <v>723.14499999999998</v>
      </c>
      <c r="AD73" s="7">
        <v>0</v>
      </c>
      <c r="AE73" s="7">
        <v>26249.503000000001</v>
      </c>
      <c r="AF73" s="7">
        <v>0</v>
      </c>
      <c r="AG73" s="7">
        <v>0</v>
      </c>
      <c r="AH73" s="7">
        <v>63621.161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417.75599999999997</v>
      </c>
      <c r="AP73" s="7">
        <v>0</v>
      </c>
      <c r="AQ73" s="7">
        <v>0</v>
      </c>
      <c r="AR73" s="7">
        <v>0</v>
      </c>
      <c r="AS73" s="7">
        <v>5.2619999999999996</v>
      </c>
      <c r="AT73" s="7">
        <v>0</v>
      </c>
      <c r="AU73" s="7">
        <v>265.56200000000001</v>
      </c>
      <c r="AV73" s="7">
        <v>0</v>
      </c>
      <c r="AW73" s="7">
        <v>0</v>
      </c>
      <c r="AX73" s="7">
        <v>0</v>
      </c>
      <c r="AY73" s="7">
        <v>291.69</v>
      </c>
      <c r="AZ73" s="7">
        <v>0</v>
      </c>
      <c r="BA73" s="7">
        <v>0</v>
      </c>
      <c r="BB73" s="7">
        <v>114.47199999999999</v>
      </c>
      <c r="BC73" s="7">
        <v>209.37899999999999</v>
      </c>
      <c r="BD73" s="7">
        <v>0</v>
      </c>
      <c r="BE73" s="7">
        <v>31.635000000000002</v>
      </c>
      <c r="BF73" s="7">
        <v>31.635000000000002</v>
      </c>
      <c r="BG73" s="7">
        <v>0</v>
      </c>
      <c r="BH73" s="7">
        <v>0</v>
      </c>
      <c r="BI73" s="7">
        <v>96.914000000000001</v>
      </c>
      <c r="BJ73" s="21"/>
    </row>
    <row r="74" spans="1:62" ht="15.5" x14ac:dyDescent="0.35">
      <c r="A74" s="5" t="s">
        <v>136</v>
      </c>
      <c r="B74" s="5" t="s">
        <v>137</v>
      </c>
      <c r="C74" s="7">
        <v>6</v>
      </c>
      <c r="D74" s="7">
        <v>6</v>
      </c>
      <c r="E74" s="7">
        <v>997.23400000000004</v>
      </c>
      <c r="F74" s="7">
        <v>91.055999999999997</v>
      </c>
      <c r="G74" s="7">
        <v>129.23699999999999</v>
      </c>
      <c r="H74" s="7">
        <v>0</v>
      </c>
      <c r="I74" s="7">
        <v>22.631</v>
      </c>
      <c r="J74" s="7">
        <v>78.986999999999995</v>
      </c>
      <c r="K74" s="7">
        <v>0</v>
      </c>
      <c r="L74" s="7">
        <v>726.697</v>
      </c>
      <c r="M74" s="7">
        <v>352.11900000000003</v>
      </c>
      <c r="N74" s="7">
        <v>0</v>
      </c>
      <c r="O74" s="7">
        <v>0</v>
      </c>
      <c r="P74" s="7">
        <v>4.1909999999999998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11.65</v>
      </c>
      <c r="W74" s="7">
        <v>35.549999999999997</v>
      </c>
      <c r="X74" s="7">
        <v>0</v>
      </c>
      <c r="Y74" s="7">
        <v>281.22899999999998</v>
      </c>
      <c r="Z74" s="7">
        <v>0</v>
      </c>
      <c r="AA74" s="7">
        <v>99.316999999999993</v>
      </c>
      <c r="AB74" s="7">
        <v>0</v>
      </c>
      <c r="AC74" s="7">
        <v>15.051</v>
      </c>
      <c r="AD74" s="7">
        <v>0</v>
      </c>
      <c r="AE74" s="7">
        <v>899.58399999999995</v>
      </c>
      <c r="AF74" s="7">
        <v>0</v>
      </c>
      <c r="AG74" s="7">
        <v>0</v>
      </c>
      <c r="AH74" s="7">
        <v>2094.971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5" x14ac:dyDescent="0.35">
      <c r="A75" s="5" t="s">
        <v>138</v>
      </c>
      <c r="B75" s="5" t="s">
        <v>139</v>
      </c>
      <c r="C75" s="7">
        <v>6</v>
      </c>
      <c r="D75" s="7">
        <v>6</v>
      </c>
      <c r="E75" s="7">
        <v>6472.62</v>
      </c>
      <c r="F75" s="7">
        <v>1456.809</v>
      </c>
      <c r="G75" s="7">
        <v>187.12700000000001</v>
      </c>
      <c r="H75" s="7">
        <v>0</v>
      </c>
      <c r="I75" s="7">
        <v>32.768000000000001</v>
      </c>
      <c r="J75" s="7">
        <v>988.16499999999996</v>
      </c>
      <c r="K75" s="7">
        <v>0</v>
      </c>
      <c r="L75" s="7">
        <v>21171.207999999999</v>
      </c>
      <c r="M75" s="7">
        <v>2021.279</v>
      </c>
      <c r="N75" s="7">
        <v>0</v>
      </c>
      <c r="O75" s="7">
        <v>0</v>
      </c>
      <c r="P75" s="7">
        <v>6.0679999999999996</v>
      </c>
      <c r="Q75" s="7">
        <v>0</v>
      </c>
      <c r="R75" s="7">
        <v>357.935</v>
      </c>
      <c r="S75" s="7">
        <v>0</v>
      </c>
      <c r="T75" s="7">
        <v>0</v>
      </c>
      <c r="U75" s="7">
        <v>0</v>
      </c>
      <c r="V75" s="7">
        <v>16.869</v>
      </c>
      <c r="W75" s="7">
        <v>51.473999999999997</v>
      </c>
      <c r="X75" s="7">
        <v>0</v>
      </c>
      <c r="Y75" s="7">
        <v>407.202</v>
      </c>
      <c r="Z75" s="7">
        <v>0</v>
      </c>
      <c r="AA75" s="7">
        <v>143.80500000000001</v>
      </c>
      <c r="AB75" s="7">
        <v>0</v>
      </c>
      <c r="AC75" s="7">
        <v>21.792999999999999</v>
      </c>
      <c r="AD75" s="7">
        <v>0</v>
      </c>
      <c r="AE75" s="7">
        <v>3560.8620000000001</v>
      </c>
      <c r="AF75" s="7">
        <v>0</v>
      </c>
      <c r="AG75" s="7">
        <v>0</v>
      </c>
      <c r="AH75" s="7">
        <v>16233.26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5" x14ac:dyDescent="0.35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5" x14ac:dyDescent="0.35">
      <c r="A77" s="5" t="s">
        <v>142</v>
      </c>
      <c r="B77" s="5" t="s">
        <v>143</v>
      </c>
      <c r="C77" s="7">
        <v>6</v>
      </c>
      <c r="D77" s="7">
        <v>6</v>
      </c>
      <c r="E77" s="7">
        <v>8775.7070000000003</v>
      </c>
      <c r="F77" s="7">
        <v>1187.0820000000001</v>
      </c>
      <c r="G77" s="7">
        <v>1874.491</v>
      </c>
      <c r="H77" s="7">
        <v>5842.5640000000003</v>
      </c>
      <c r="I77" s="7">
        <v>227.68899999999999</v>
      </c>
      <c r="J77" s="7">
        <v>1053.327</v>
      </c>
      <c r="K77" s="7">
        <v>0</v>
      </c>
      <c r="L77" s="7">
        <v>4435.8270000000002</v>
      </c>
      <c r="M77" s="7">
        <v>4803.6120000000001</v>
      </c>
      <c r="N77" s="7">
        <v>0</v>
      </c>
      <c r="O77" s="7">
        <v>0</v>
      </c>
      <c r="P77" s="7">
        <v>9.484</v>
      </c>
      <c r="Q77" s="7">
        <v>0</v>
      </c>
      <c r="R77" s="7">
        <v>0</v>
      </c>
      <c r="S77" s="7">
        <v>427.94400000000002</v>
      </c>
      <c r="T77" s="7">
        <v>0</v>
      </c>
      <c r="U77" s="7">
        <v>0</v>
      </c>
      <c r="V77" s="7">
        <v>192.68899999999999</v>
      </c>
      <c r="W77" s="7">
        <v>377.233</v>
      </c>
      <c r="X77" s="7">
        <v>0</v>
      </c>
      <c r="Y77" s="7">
        <v>1473.402</v>
      </c>
      <c r="Z77" s="7">
        <v>0</v>
      </c>
      <c r="AA77" s="7">
        <v>1528.1310000000001</v>
      </c>
      <c r="AB77" s="7">
        <v>0</v>
      </c>
      <c r="AC77" s="7">
        <v>189.08600000000001</v>
      </c>
      <c r="AD77" s="7">
        <v>0</v>
      </c>
      <c r="AE77" s="7">
        <v>3138.1669999999999</v>
      </c>
      <c r="AF77" s="7">
        <v>0</v>
      </c>
      <c r="AG77" s="7">
        <v>0</v>
      </c>
      <c r="AH77" s="7">
        <v>11109.489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88.105000000000004</v>
      </c>
      <c r="AP77" s="7">
        <v>0</v>
      </c>
      <c r="AQ77" s="7">
        <v>0</v>
      </c>
      <c r="AR77" s="7">
        <v>0</v>
      </c>
      <c r="AS77" s="7">
        <v>3.762</v>
      </c>
      <c r="AT77" s="7">
        <v>0</v>
      </c>
      <c r="AU77" s="7">
        <v>108.101</v>
      </c>
      <c r="AV77" s="7">
        <v>0</v>
      </c>
      <c r="AW77" s="7">
        <v>0</v>
      </c>
      <c r="AX77" s="7">
        <v>0</v>
      </c>
      <c r="AY77" s="7">
        <v>66.58</v>
      </c>
      <c r="AZ77" s="7">
        <v>0</v>
      </c>
      <c r="BA77" s="7">
        <v>0</v>
      </c>
      <c r="BB77" s="7">
        <v>26.585999999999999</v>
      </c>
      <c r="BC77" s="7">
        <v>49.348999999999997</v>
      </c>
      <c r="BD77" s="7">
        <v>0</v>
      </c>
      <c r="BE77" s="7">
        <v>6.8789999999999996</v>
      </c>
      <c r="BF77" s="7">
        <v>6.8789999999999996</v>
      </c>
      <c r="BG77" s="7">
        <v>0</v>
      </c>
      <c r="BH77" s="7">
        <v>0</v>
      </c>
      <c r="BI77" s="7">
        <v>22.324999999999999</v>
      </c>
      <c r="BJ77" s="21"/>
    </row>
    <row r="78" spans="1:62" ht="15.5" x14ac:dyDescent="0.35">
      <c r="A78" s="5" t="s">
        <v>144</v>
      </c>
      <c r="B78" s="5" t="s">
        <v>145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5" x14ac:dyDescent="0.35">
      <c r="A79" s="5" t="s">
        <v>146</v>
      </c>
      <c r="B79" s="5" t="s">
        <v>147</v>
      </c>
      <c r="C79" s="7">
        <v>6</v>
      </c>
      <c r="D79" s="7">
        <v>6</v>
      </c>
      <c r="E79" s="7">
        <v>8505.3050000000003</v>
      </c>
      <c r="F79" s="7">
        <v>1166.8910000000001</v>
      </c>
      <c r="G79" s="7">
        <v>1785.4069999999999</v>
      </c>
      <c r="H79" s="7">
        <v>0</v>
      </c>
      <c r="I79" s="7">
        <v>157.53700000000001</v>
      </c>
      <c r="J79" s="7">
        <v>1251.788</v>
      </c>
      <c r="K79" s="7">
        <v>0</v>
      </c>
      <c r="L79" s="7">
        <v>10220.39</v>
      </c>
      <c r="M79" s="7">
        <v>3485.89</v>
      </c>
      <c r="N79" s="7">
        <v>0</v>
      </c>
      <c r="O79" s="7">
        <v>0</v>
      </c>
      <c r="P79" s="7">
        <v>18.942</v>
      </c>
      <c r="Q79" s="7">
        <v>0</v>
      </c>
      <c r="R79" s="7">
        <v>115.81</v>
      </c>
      <c r="S79" s="7">
        <v>133.97300000000001</v>
      </c>
      <c r="T79" s="7">
        <v>0</v>
      </c>
      <c r="U79" s="7">
        <v>0</v>
      </c>
      <c r="V79" s="7">
        <v>104.729</v>
      </c>
      <c r="W79" s="7">
        <v>253.595</v>
      </c>
      <c r="X79" s="7">
        <v>0</v>
      </c>
      <c r="Y79" s="7">
        <v>1713.0309999999999</v>
      </c>
      <c r="Z79" s="7">
        <v>0</v>
      </c>
      <c r="AA79" s="7">
        <v>945.57899999999995</v>
      </c>
      <c r="AB79" s="7">
        <v>0</v>
      </c>
      <c r="AC79" s="7">
        <v>116.563</v>
      </c>
      <c r="AD79" s="7">
        <v>0</v>
      </c>
      <c r="AE79" s="7">
        <v>5562.3440000000001</v>
      </c>
      <c r="AF79" s="7">
        <v>0</v>
      </c>
      <c r="AG79" s="7">
        <v>0</v>
      </c>
      <c r="AH79" s="7">
        <v>16248.454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27.582000000000001</v>
      </c>
      <c r="AP79" s="7">
        <v>0</v>
      </c>
      <c r="AQ79" s="7">
        <v>0</v>
      </c>
      <c r="AR79" s="7">
        <v>0</v>
      </c>
      <c r="AS79" s="7">
        <v>1.1779999999999999</v>
      </c>
      <c r="AT79" s="7">
        <v>0</v>
      </c>
      <c r="AU79" s="7">
        <v>33.841999999999999</v>
      </c>
      <c r="AV79" s="7">
        <v>0</v>
      </c>
      <c r="AW79" s="7">
        <v>0</v>
      </c>
      <c r="AX79" s="7">
        <v>0</v>
      </c>
      <c r="AY79" s="7">
        <v>20.844000000000001</v>
      </c>
      <c r="AZ79" s="7">
        <v>0</v>
      </c>
      <c r="BA79" s="7">
        <v>0</v>
      </c>
      <c r="BB79" s="7">
        <v>8.3230000000000004</v>
      </c>
      <c r="BC79" s="7">
        <v>15.449</v>
      </c>
      <c r="BD79" s="7">
        <v>0</v>
      </c>
      <c r="BE79" s="7">
        <v>2.1539999999999999</v>
      </c>
      <c r="BF79" s="7">
        <v>2.1539999999999999</v>
      </c>
      <c r="BG79" s="7">
        <v>0</v>
      </c>
      <c r="BH79" s="7">
        <v>0</v>
      </c>
      <c r="BI79" s="7">
        <v>6.9889999999999999</v>
      </c>
      <c r="BJ79" s="21"/>
    </row>
    <row r="80" spans="1:62" ht="15.5" x14ac:dyDescent="0.35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5" x14ac:dyDescent="0.35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5" x14ac:dyDescent="0.35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5" x14ac:dyDescent="0.35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5" x14ac:dyDescent="0.35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5" x14ac:dyDescent="0.35">
      <c r="A85" s="5" t="s">
        <v>158</v>
      </c>
      <c r="B85" s="5" t="s">
        <v>159</v>
      </c>
      <c r="C85" s="7">
        <v>6</v>
      </c>
      <c r="D85" s="7">
        <v>6</v>
      </c>
      <c r="E85" s="7">
        <v>14861.983</v>
      </c>
      <c r="F85" s="7">
        <v>2232.9499999999998</v>
      </c>
      <c r="G85" s="7">
        <v>3598.9830000000002</v>
      </c>
      <c r="H85" s="7">
        <v>2379.5700000000002</v>
      </c>
      <c r="I85" s="7">
        <v>402.05200000000002</v>
      </c>
      <c r="J85" s="7">
        <v>1990.1030000000001</v>
      </c>
      <c r="K85" s="7">
        <v>0</v>
      </c>
      <c r="L85" s="7">
        <v>6400.723</v>
      </c>
      <c r="M85" s="7">
        <v>9117.9629999999997</v>
      </c>
      <c r="N85" s="7">
        <v>0</v>
      </c>
      <c r="O85" s="7">
        <v>0</v>
      </c>
      <c r="P85" s="7">
        <v>0.313</v>
      </c>
      <c r="Q85" s="7">
        <v>0</v>
      </c>
      <c r="R85" s="7">
        <v>0</v>
      </c>
      <c r="S85" s="7">
        <v>970.83100000000002</v>
      </c>
      <c r="T85" s="7">
        <v>0</v>
      </c>
      <c r="U85" s="7">
        <v>0</v>
      </c>
      <c r="V85" s="7">
        <v>378.13600000000002</v>
      </c>
      <c r="W85" s="7">
        <v>675.78099999999995</v>
      </c>
      <c r="X85" s="7">
        <v>0</v>
      </c>
      <c r="Y85" s="7">
        <v>1918.318</v>
      </c>
      <c r="Z85" s="7">
        <v>0</v>
      </c>
      <c r="AA85" s="7">
        <v>2963.799</v>
      </c>
      <c r="AB85" s="7">
        <v>0</v>
      </c>
      <c r="AC85" s="7">
        <v>352.74299999999999</v>
      </c>
      <c r="AD85" s="7">
        <v>0</v>
      </c>
      <c r="AE85" s="7">
        <v>2563.36</v>
      </c>
      <c r="AF85" s="7">
        <v>0</v>
      </c>
      <c r="AG85" s="7">
        <v>0</v>
      </c>
      <c r="AH85" s="7">
        <v>14619.112999999999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199.87299999999999</v>
      </c>
      <c r="AP85" s="7">
        <v>0</v>
      </c>
      <c r="AQ85" s="7">
        <v>0</v>
      </c>
      <c r="AR85" s="7">
        <v>0</v>
      </c>
      <c r="AS85" s="7">
        <v>8.5340000000000007</v>
      </c>
      <c r="AT85" s="7">
        <v>0</v>
      </c>
      <c r="AU85" s="7">
        <v>245.23599999999999</v>
      </c>
      <c r="AV85" s="7">
        <v>0</v>
      </c>
      <c r="AW85" s="7">
        <v>0</v>
      </c>
      <c r="AX85" s="7">
        <v>0</v>
      </c>
      <c r="AY85" s="7">
        <v>151.04300000000001</v>
      </c>
      <c r="AZ85" s="7">
        <v>0</v>
      </c>
      <c r="BA85" s="7">
        <v>0</v>
      </c>
      <c r="BB85" s="7">
        <v>60.311999999999998</v>
      </c>
      <c r="BC85" s="7">
        <v>111.952</v>
      </c>
      <c r="BD85" s="7">
        <v>0</v>
      </c>
      <c r="BE85" s="7">
        <v>15.606999999999999</v>
      </c>
      <c r="BF85" s="7">
        <v>15.606999999999999</v>
      </c>
      <c r="BG85" s="7">
        <v>0</v>
      </c>
      <c r="BH85" s="7">
        <v>0</v>
      </c>
      <c r="BI85" s="7">
        <v>50.646999999999998</v>
      </c>
      <c r="BJ85" s="21"/>
    </row>
    <row r="86" spans="1:62" ht="15.5" x14ac:dyDescent="0.35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5" x14ac:dyDescent="0.35">
      <c r="A87" s="5" t="s">
        <v>162</v>
      </c>
      <c r="B87" s="5" t="s">
        <v>163</v>
      </c>
      <c r="C87" s="7">
        <v>6</v>
      </c>
      <c r="D87" s="7">
        <v>6</v>
      </c>
      <c r="E87" s="7">
        <v>31559.398000000001</v>
      </c>
      <c r="F87" s="7">
        <v>5116.3339999999998</v>
      </c>
      <c r="G87" s="7">
        <v>7102.0709999999999</v>
      </c>
      <c r="H87" s="7">
        <v>6394.2120000000004</v>
      </c>
      <c r="I87" s="7">
        <v>974.52099999999996</v>
      </c>
      <c r="J87" s="7">
        <v>4166.7290000000003</v>
      </c>
      <c r="K87" s="7">
        <v>0</v>
      </c>
      <c r="L87" s="7">
        <v>23719.792000000001</v>
      </c>
      <c r="M87" s="7">
        <v>18065.994999999999</v>
      </c>
      <c r="N87" s="7">
        <v>0</v>
      </c>
      <c r="O87" s="7">
        <v>0</v>
      </c>
      <c r="P87" s="7">
        <v>68.962999999999994</v>
      </c>
      <c r="Q87" s="7">
        <v>0</v>
      </c>
      <c r="R87" s="7">
        <v>111.181</v>
      </c>
      <c r="S87" s="7">
        <v>1817.749</v>
      </c>
      <c r="T87" s="7">
        <v>0</v>
      </c>
      <c r="U87" s="7">
        <v>0</v>
      </c>
      <c r="V87" s="7">
        <v>707.99</v>
      </c>
      <c r="W87" s="7">
        <v>1265.232</v>
      </c>
      <c r="X87" s="7">
        <v>0</v>
      </c>
      <c r="Y87" s="7">
        <v>3703.1480000000001</v>
      </c>
      <c r="Z87" s="7">
        <v>0</v>
      </c>
      <c r="AA87" s="7">
        <v>5549.1180000000004</v>
      </c>
      <c r="AB87" s="7">
        <v>0</v>
      </c>
      <c r="AC87" s="7">
        <v>660.43899999999996</v>
      </c>
      <c r="AD87" s="7">
        <v>0</v>
      </c>
      <c r="AE87" s="7">
        <v>5933.2139999999999</v>
      </c>
      <c r="AF87" s="7">
        <v>0</v>
      </c>
      <c r="AG87" s="7">
        <v>0</v>
      </c>
      <c r="AH87" s="7">
        <v>39139.447999999997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374.23599999999999</v>
      </c>
      <c r="AP87" s="7">
        <v>0</v>
      </c>
      <c r="AQ87" s="7">
        <v>0</v>
      </c>
      <c r="AR87" s="7">
        <v>0</v>
      </c>
      <c r="AS87" s="7">
        <v>15.978</v>
      </c>
      <c r="AT87" s="7">
        <v>0</v>
      </c>
      <c r="AU87" s="7">
        <v>459.17200000000003</v>
      </c>
      <c r="AV87" s="7">
        <v>0</v>
      </c>
      <c r="AW87" s="7">
        <v>0</v>
      </c>
      <c r="AX87" s="7">
        <v>0</v>
      </c>
      <c r="AY87" s="7">
        <v>282.80700000000002</v>
      </c>
      <c r="AZ87" s="7">
        <v>0</v>
      </c>
      <c r="BA87" s="7">
        <v>0</v>
      </c>
      <c r="BB87" s="7">
        <v>112.92700000000001</v>
      </c>
      <c r="BC87" s="7">
        <v>209.61600000000001</v>
      </c>
      <c r="BD87" s="7">
        <v>0</v>
      </c>
      <c r="BE87" s="7">
        <v>29.222000000000001</v>
      </c>
      <c r="BF87" s="7">
        <v>29.222000000000001</v>
      </c>
      <c r="BG87" s="7">
        <v>0</v>
      </c>
      <c r="BH87" s="7">
        <v>0</v>
      </c>
      <c r="BI87" s="7">
        <v>94.83</v>
      </c>
      <c r="BJ87" s="21"/>
    </row>
    <row r="88" spans="1:62" ht="15.5" x14ac:dyDescent="0.35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5" x14ac:dyDescent="0.35">
      <c r="A89" s="5" t="s">
        <v>166</v>
      </c>
      <c r="B89" s="5" t="s">
        <v>167</v>
      </c>
      <c r="C89" s="7">
        <v>3</v>
      </c>
      <c r="D89" s="7">
        <v>3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5" x14ac:dyDescent="0.35">
      <c r="A90" s="5" t="s">
        <v>168</v>
      </c>
      <c r="B90" s="5" t="s">
        <v>169</v>
      </c>
      <c r="C90" s="7">
        <v>3</v>
      </c>
      <c r="D90" s="7">
        <v>3</v>
      </c>
      <c r="E90" s="7">
        <v>59619.737000000001</v>
      </c>
      <c r="F90" s="7">
        <v>8835.7890000000007</v>
      </c>
      <c r="G90" s="7">
        <v>15443.028</v>
      </c>
      <c r="H90" s="7">
        <v>0</v>
      </c>
      <c r="I90" s="7">
        <v>1545.576</v>
      </c>
      <c r="J90" s="7">
        <v>9331.0120000000006</v>
      </c>
      <c r="K90" s="7">
        <v>0</v>
      </c>
      <c r="L90" s="7">
        <v>25581.635999999999</v>
      </c>
      <c r="M90" s="7">
        <v>37020.718999999997</v>
      </c>
      <c r="N90" s="7">
        <v>0</v>
      </c>
      <c r="O90" s="7">
        <v>0</v>
      </c>
      <c r="P90" s="7">
        <v>1.1160000000000001</v>
      </c>
      <c r="Q90" s="7">
        <v>0</v>
      </c>
      <c r="R90" s="7">
        <v>146.11099999999999</v>
      </c>
      <c r="S90" s="7">
        <v>3733.3409999999999</v>
      </c>
      <c r="T90" s="7">
        <v>0</v>
      </c>
      <c r="U90" s="7">
        <v>0</v>
      </c>
      <c r="V90" s="7">
        <v>1454.0889999999999</v>
      </c>
      <c r="W90" s="7">
        <v>2598.567</v>
      </c>
      <c r="X90" s="7">
        <v>0</v>
      </c>
      <c r="Y90" s="7">
        <v>7376.4750000000004</v>
      </c>
      <c r="Z90" s="7">
        <v>0</v>
      </c>
      <c r="AA90" s="7">
        <v>11396.924000000001</v>
      </c>
      <c r="AB90" s="7">
        <v>0</v>
      </c>
      <c r="AC90" s="7">
        <v>1356.4269999999999</v>
      </c>
      <c r="AD90" s="7">
        <v>0</v>
      </c>
      <c r="AE90" s="7">
        <v>14410.178</v>
      </c>
      <c r="AF90" s="7">
        <v>0</v>
      </c>
      <c r="AG90" s="7">
        <v>0</v>
      </c>
      <c r="AH90" s="7">
        <v>60985.917000000001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768.61599999999999</v>
      </c>
      <c r="AP90" s="7">
        <v>0</v>
      </c>
      <c r="AQ90" s="7">
        <v>0</v>
      </c>
      <c r="AR90" s="7">
        <v>0</v>
      </c>
      <c r="AS90" s="7">
        <v>32.816000000000003</v>
      </c>
      <c r="AT90" s="7">
        <v>0</v>
      </c>
      <c r="AU90" s="7">
        <v>943.05899999999997</v>
      </c>
      <c r="AV90" s="7">
        <v>0</v>
      </c>
      <c r="AW90" s="7">
        <v>0</v>
      </c>
      <c r="AX90" s="7">
        <v>0</v>
      </c>
      <c r="AY90" s="7">
        <v>580.83699999999999</v>
      </c>
      <c r="AZ90" s="7">
        <v>0</v>
      </c>
      <c r="BA90" s="7">
        <v>0</v>
      </c>
      <c r="BB90" s="7">
        <v>231.93199999999999</v>
      </c>
      <c r="BC90" s="7">
        <v>430.51400000000001</v>
      </c>
      <c r="BD90" s="7">
        <v>0</v>
      </c>
      <c r="BE90" s="7">
        <v>60.015999999999998</v>
      </c>
      <c r="BF90" s="7">
        <v>60.015999999999998</v>
      </c>
      <c r="BG90" s="7">
        <v>0</v>
      </c>
      <c r="BH90" s="7">
        <v>0</v>
      </c>
      <c r="BI90" s="7">
        <v>194.76400000000001</v>
      </c>
      <c r="BJ90" s="21"/>
    </row>
    <row r="91" spans="1:62" ht="15.5" x14ac:dyDescent="0.35">
      <c r="A91" s="5" t="s">
        <v>170</v>
      </c>
      <c r="B91" s="5" t="s">
        <v>171</v>
      </c>
      <c r="C91" s="7">
        <v>3</v>
      </c>
      <c r="D91" s="7">
        <v>3</v>
      </c>
      <c r="E91" s="7">
        <v>74547.418999999994</v>
      </c>
      <c r="F91" s="7">
        <v>11197.968999999999</v>
      </c>
      <c r="G91" s="7">
        <v>18052.125</v>
      </c>
      <c r="H91" s="7">
        <v>0</v>
      </c>
      <c r="I91" s="7">
        <v>2016.575</v>
      </c>
      <c r="J91" s="7">
        <v>9982.2160000000003</v>
      </c>
      <c r="K91" s="7">
        <v>0</v>
      </c>
      <c r="L91" s="7">
        <v>32023.857</v>
      </c>
      <c r="M91" s="7">
        <v>45728.807000000001</v>
      </c>
      <c r="N91" s="7">
        <v>0</v>
      </c>
      <c r="O91" s="7">
        <v>0</v>
      </c>
      <c r="P91" s="7">
        <v>1.4570000000000001</v>
      </c>
      <c r="Q91" s="7">
        <v>0</v>
      </c>
      <c r="R91" s="7">
        <v>0</v>
      </c>
      <c r="S91" s="7">
        <v>4871.0389999999998</v>
      </c>
      <c r="T91" s="7">
        <v>0</v>
      </c>
      <c r="U91" s="7">
        <v>0</v>
      </c>
      <c r="V91" s="7">
        <v>1897.2080000000001</v>
      </c>
      <c r="W91" s="7">
        <v>3390.4540000000002</v>
      </c>
      <c r="X91" s="7">
        <v>0</v>
      </c>
      <c r="Y91" s="7">
        <v>9624.3819999999996</v>
      </c>
      <c r="Z91" s="7">
        <v>0</v>
      </c>
      <c r="AA91" s="7">
        <v>14870.021000000001</v>
      </c>
      <c r="AB91" s="7">
        <v>0</v>
      </c>
      <c r="AC91" s="7">
        <v>1769.7840000000001</v>
      </c>
      <c r="AD91" s="7">
        <v>0</v>
      </c>
      <c r="AE91" s="7">
        <v>12860.004999999999</v>
      </c>
      <c r="AF91" s="7">
        <v>0</v>
      </c>
      <c r="AG91" s="7">
        <v>0</v>
      </c>
      <c r="AH91" s="7">
        <v>73216.184999999998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1002.8440000000001</v>
      </c>
      <c r="AP91" s="7">
        <v>0</v>
      </c>
      <c r="AQ91" s="7">
        <v>0</v>
      </c>
      <c r="AR91" s="7">
        <v>0</v>
      </c>
      <c r="AS91" s="7">
        <v>42.816000000000003</v>
      </c>
      <c r="AT91" s="7">
        <v>0</v>
      </c>
      <c r="AU91" s="7">
        <v>1230.4469999999999</v>
      </c>
      <c r="AV91" s="7">
        <v>0</v>
      </c>
      <c r="AW91" s="7">
        <v>0</v>
      </c>
      <c r="AX91" s="7">
        <v>0</v>
      </c>
      <c r="AY91" s="7">
        <v>757.84199999999998</v>
      </c>
      <c r="AZ91" s="7">
        <v>0</v>
      </c>
      <c r="BA91" s="7">
        <v>0</v>
      </c>
      <c r="BB91" s="7">
        <v>302.61099999999999</v>
      </c>
      <c r="BC91" s="7">
        <v>561.70899999999995</v>
      </c>
      <c r="BD91" s="7">
        <v>0</v>
      </c>
      <c r="BE91" s="7">
        <v>78.305000000000007</v>
      </c>
      <c r="BF91" s="7">
        <v>78.305000000000007</v>
      </c>
      <c r="BG91" s="7">
        <v>0</v>
      </c>
      <c r="BH91" s="7">
        <v>0</v>
      </c>
      <c r="BI91" s="7">
        <v>254.11699999999999</v>
      </c>
      <c r="BJ91" s="21"/>
    </row>
    <row r="92" spans="1:62" ht="15.5" x14ac:dyDescent="0.35">
      <c r="A92" s="5" t="s">
        <v>172</v>
      </c>
      <c r="B92" s="5" t="s">
        <v>173</v>
      </c>
      <c r="C92" s="7">
        <v>3</v>
      </c>
      <c r="D92" s="7">
        <v>3</v>
      </c>
      <c r="E92" s="7">
        <v>7221.4589999999998</v>
      </c>
      <c r="F92" s="7">
        <v>2443.672</v>
      </c>
      <c r="G92" s="7">
        <v>5525.5339999999997</v>
      </c>
      <c r="H92" s="7">
        <v>0</v>
      </c>
      <c r="I92" s="7">
        <v>289.976</v>
      </c>
      <c r="J92" s="7">
        <v>1910.8009999999999</v>
      </c>
      <c r="K92" s="7">
        <v>0</v>
      </c>
      <c r="L92" s="7">
        <v>18725.465</v>
      </c>
      <c r="M92" s="7">
        <v>5681.54</v>
      </c>
      <c r="N92" s="7">
        <v>0</v>
      </c>
      <c r="O92" s="7">
        <v>0</v>
      </c>
      <c r="P92" s="7">
        <v>0.24</v>
      </c>
      <c r="Q92" s="7">
        <v>0</v>
      </c>
      <c r="R92" s="7">
        <v>0</v>
      </c>
      <c r="S92" s="7">
        <v>963.53200000000004</v>
      </c>
      <c r="T92" s="7">
        <v>0</v>
      </c>
      <c r="U92" s="7">
        <v>0</v>
      </c>
      <c r="V92" s="7">
        <v>291.94600000000003</v>
      </c>
      <c r="W92" s="7">
        <v>336.02300000000002</v>
      </c>
      <c r="X92" s="7">
        <v>0</v>
      </c>
      <c r="Y92" s="7">
        <v>4312.3090000000002</v>
      </c>
      <c r="Z92" s="7">
        <v>0</v>
      </c>
      <c r="AA92" s="7">
        <v>3202.62</v>
      </c>
      <c r="AB92" s="7">
        <v>0</v>
      </c>
      <c r="AC92" s="7">
        <v>979.65599999999995</v>
      </c>
      <c r="AD92" s="7">
        <v>0</v>
      </c>
      <c r="AE92" s="7">
        <v>12612.763999999999</v>
      </c>
      <c r="AF92" s="7">
        <v>1687.87</v>
      </c>
      <c r="AG92" s="7">
        <v>0</v>
      </c>
      <c r="AH92" s="7">
        <v>25720.47</v>
      </c>
      <c r="AI92" s="7">
        <v>3039.6190000000001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502.96</v>
      </c>
      <c r="AP92" s="7">
        <v>0</v>
      </c>
      <c r="AQ92" s="7">
        <v>582.63</v>
      </c>
      <c r="AR92" s="7">
        <v>0</v>
      </c>
      <c r="AS92" s="7">
        <v>4.2640000000000002</v>
      </c>
      <c r="AT92" s="7">
        <v>0</v>
      </c>
      <c r="AU92" s="7">
        <v>302.50799999999998</v>
      </c>
      <c r="AV92" s="7">
        <v>0</v>
      </c>
      <c r="AW92" s="7">
        <v>0</v>
      </c>
      <c r="AX92" s="7">
        <v>0</v>
      </c>
      <c r="AY92" s="7">
        <v>50.96</v>
      </c>
      <c r="AZ92" s="7">
        <v>361.78899999999999</v>
      </c>
      <c r="BA92" s="7">
        <v>0</v>
      </c>
      <c r="BB92" s="7">
        <v>145.828</v>
      </c>
      <c r="BC92" s="7">
        <v>18.402000000000001</v>
      </c>
      <c r="BD92" s="7">
        <v>420.53399999999999</v>
      </c>
      <c r="BE92" s="7">
        <v>38.613999999999997</v>
      </c>
      <c r="BF92" s="7">
        <v>38.613999999999997</v>
      </c>
      <c r="BG92" s="7">
        <v>141.48699999999999</v>
      </c>
      <c r="BH92" s="7">
        <v>0</v>
      </c>
      <c r="BI92" s="7">
        <v>8.5359999999999996</v>
      </c>
      <c r="BJ92" s="21"/>
    </row>
    <row r="93" spans="1:62" ht="15.5" x14ac:dyDescent="0.35">
      <c r="A93" s="5" t="s">
        <v>174</v>
      </c>
      <c r="B93" s="5" t="s">
        <v>175</v>
      </c>
      <c r="C93" s="7">
        <v>3</v>
      </c>
      <c r="D93" s="7">
        <v>3</v>
      </c>
      <c r="E93" s="7">
        <v>18961.376</v>
      </c>
      <c r="F93" s="7">
        <v>13887.366</v>
      </c>
      <c r="G93" s="7">
        <v>21294.924999999999</v>
      </c>
      <c r="H93" s="7">
        <v>4.1319999999999997</v>
      </c>
      <c r="I93" s="7">
        <v>1440.722</v>
      </c>
      <c r="J93" s="7">
        <v>10298.034</v>
      </c>
      <c r="K93" s="7">
        <v>0</v>
      </c>
      <c r="L93" s="7">
        <v>70185.240999999995</v>
      </c>
      <c r="M93" s="7">
        <v>24116.476999999999</v>
      </c>
      <c r="N93" s="7">
        <v>0</v>
      </c>
      <c r="O93" s="7">
        <v>0</v>
      </c>
      <c r="P93" s="7">
        <v>0.19800000000000001</v>
      </c>
      <c r="Q93" s="7">
        <v>0</v>
      </c>
      <c r="R93" s="7">
        <v>0</v>
      </c>
      <c r="S93" s="7">
        <v>5666.03</v>
      </c>
      <c r="T93" s="7">
        <v>0</v>
      </c>
      <c r="U93" s="7">
        <v>0</v>
      </c>
      <c r="V93" s="7">
        <v>1446.963</v>
      </c>
      <c r="W93" s="7">
        <v>534.18799999999999</v>
      </c>
      <c r="X93" s="7">
        <v>0</v>
      </c>
      <c r="Y93" s="7">
        <v>13862.691999999999</v>
      </c>
      <c r="Z93" s="7">
        <v>0</v>
      </c>
      <c r="AA93" s="7">
        <v>20789.862000000001</v>
      </c>
      <c r="AB93" s="7">
        <v>0</v>
      </c>
      <c r="AC93" s="7">
        <v>4776.0159999999996</v>
      </c>
      <c r="AD93" s="7">
        <v>0</v>
      </c>
      <c r="AE93" s="7">
        <v>41981.103999999999</v>
      </c>
      <c r="AF93" s="7">
        <v>2844.4229999999998</v>
      </c>
      <c r="AG93" s="7">
        <v>0</v>
      </c>
      <c r="AH93" s="7">
        <v>84132.5</v>
      </c>
      <c r="AI93" s="7">
        <v>4925.3280000000004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3039.788</v>
      </c>
      <c r="AP93" s="7">
        <v>0</v>
      </c>
      <c r="AQ93" s="7">
        <v>960.19299999999998</v>
      </c>
      <c r="AR93" s="7">
        <v>0</v>
      </c>
      <c r="AS93" s="7">
        <v>20.234999999999999</v>
      </c>
      <c r="AT93" s="7">
        <v>0</v>
      </c>
      <c r="AU93" s="7">
        <v>22.675999999999998</v>
      </c>
      <c r="AV93" s="7">
        <v>0</v>
      </c>
      <c r="AW93" s="7">
        <v>0</v>
      </c>
      <c r="AX93" s="7">
        <v>0</v>
      </c>
      <c r="AY93" s="7">
        <v>40.908000000000001</v>
      </c>
      <c r="AZ93" s="7">
        <v>586.22400000000005</v>
      </c>
      <c r="BA93" s="7">
        <v>0</v>
      </c>
      <c r="BB93" s="7">
        <v>869.97699999999998</v>
      </c>
      <c r="BC93" s="7">
        <v>0</v>
      </c>
      <c r="BD93" s="7">
        <v>681.41200000000003</v>
      </c>
      <c r="BE93" s="7">
        <v>231.69</v>
      </c>
      <c r="BF93" s="7">
        <v>231.69</v>
      </c>
      <c r="BG93" s="7">
        <v>229.25800000000001</v>
      </c>
      <c r="BH93" s="7">
        <v>0</v>
      </c>
      <c r="BI93" s="7">
        <v>0</v>
      </c>
      <c r="BJ93" s="21"/>
    </row>
    <row r="94" spans="1:62" ht="15.5" x14ac:dyDescent="0.35">
      <c r="A94" s="5" t="s">
        <v>176</v>
      </c>
      <c r="B94" s="5" t="s">
        <v>177</v>
      </c>
      <c r="C94" s="7">
        <v>3</v>
      </c>
      <c r="D94" s="7">
        <v>3</v>
      </c>
      <c r="E94" s="7">
        <v>56698.101000000002</v>
      </c>
      <c r="F94" s="7">
        <v>31087.797999999999</v>
      </c>
      <c r="G94" s="7">
        <v>3507.0189999999998</v>
      </c>
      <c r="H94" s="7">
        <v>3401.779</v>
      </c>
      <c r="I94" s="7">
        <v>2590.576</v>
      </c>
      <c r="J94" s="7">
        <v>20472.171999999999</v>
      </c>
      <c r="K94" s="7">
        <v>0</v>
      </c>
      <c r="L94" s="7">
        <v>102647.054</v>
      </c>
      <c r="M94" s="7">
        <v>29392.471000000001</v>
      </c>
      <c r="N94" s="7">
        <v>0</v>
      </c>
      <c r="O94" s="7">
        <v>0</v>
      </c>
      <c r="P94" s="7">
        <v>0.73399999999999999</v>
      </c>
      <c r="Q94" s="7">
        <v>0</v>
      </c>
      <c r="R94" s="7">
        <v>0</v>
      </c>
      <c r="S94" s="7">
        <v>12187.395</v>
      </c>
      <c r="T94" s="7">
        <v>0</v>
      </c>
      <c r="U94" s="7">
        <v>0</v>
      </c>
      <c r="V94" s="7">
        <v>2017.557</v>
      </c>
      <c r="W94" s="7">
        <v>419.423</v>
      </c>
      <c r="X94" s="7">
        <v>0</v>
      </c>
      <c r="Y94" s="7">
        <v>9473.2119999999995</v>
      </c>
      <c r="Z94" s="7">
        <v>0</v>
      </c>
      <c r="AA94" s="7">
        <v>45531.45</v>
      </c>
      <c r="AB94" s="7">
        <v>0</v>
      </c>
      <c r="AC94" s="7">
        <v>5479.4179999999997</v>
      </c>
      <c r="AD94" s="7">
        <v>0</v>
      </c>
      <c r="AE94" s="7">
        <v>20859.874</v>
      </c>
      <c r="AF94" s="7">
        <v>10440.558999999999</v>
      </c>
      <c r="AG94" s="7">
        <v>0</v>
      </c>
      <c r="AH94" s="7">
        <v>169673.95</v>
      </c>
      <c r="AI94" s="7">
        <v>17912.716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5740.2209999999995</v>
      </c>
      <c r="AP94" s="7">
        <v>0</v>
      </c>
      <c r="AQ94" s="7">
        <v>3506.1869999999999</v>
      </c>
      <c r="AR94" s="7">
        <v>0</v>
      </c>
      <c r="AS94" s="7">
        <v>49.502000000000002</v>
      </c>
      <c r="AT94" s="7">
        <v>0</v>
      </c>
      <c r="AU94" s="7">
        <v>83.463999999999999</v>
      </c>
      <c r="AV94" s="7">
        <v>0</v>
      </c>
      <c r="AW94" s="7">
        <v>0</v>
      </c>
      <c r="AX94" s="7">
        <v>0</v>
      </c>
      <c r="AY94" s="7">
        <v>148.77699999999999</v>
      </c>
      <c r="AZ94" s="7">
        <v>2132.0050000000001</v>
      </c>
      <c r="BA94" s="7">
        <v>0</v>
      </c>
      <c r="BB94" s="7">
        <v>1618.402</v>
      </c>
      <c r="BC94" s="7">
        <v>0</v>
      </c>
      <c r="BD94" s="7">
        <v>2478.1869999999999</v>
      </c>
      <c r="BE94" s="7">
        <v>434.12700000000001</v>
      </c>
      <c r="BF94" s="7">
        <v>434.12700000000001</v>
      </c>
      <c r="BG94" s="7">
        <v>833.77499999999998</v>
      </c>
      <c r="BH94" s="7">
        <v>0</v>
      </c>
      <c r="BI94" s="7">
        <v>0</v>
      </c>
      <c r="BJ94" s="21"/>
    </row>
    <row r="95" spans="1:62" ht="15.5" x14ac:dyDescent="0.35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21"/>
    </row>
    <row r="96" spans="1:62" ht="15.5" x14ac:dyDescent="0.35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5" x14ac:dyDescent="0.35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5" x14ac:dyDescent="0.35">
      <c r="A98" s="5" t="s">
        <v>184</v>
      </c>
      <c r="B98" s="5" t="s">
        <v>185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5" x14ac:dyDescent="0.35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5" x14ac:dyDescent="0.35">
      <c r="A100" s="5" t="s">
        <v>188</v>
      </c>
      <c r="B100" s="5" t="s">
        <v>189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5" x14ac:dyDescent="0.35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5" x14ac:dyDescent="0.35">
      <c r="A102" s="5" t="s">
        <v>192</v>
      </c>
      <c r="B102" s="5" t="s">
        <v>193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1794.462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5" x14ac:dyDescent="0.35">
      <c r="A103" s="5" t="s">
        <v>194</v>
      </c>
      <c r="B103" s="5" t="s">
        <v>195</v>
      </c>
      <c r="C103" s="7">
        <v>4</v>
      </c>
      <c r="D103" s="7">
        <v>4</v>
      </c>
      <c r="E103" s="7">
        <v>333367.53899999999</v>
      </c>
      <c r="F103" s="7">
        <v>71438.100999999995</v>
      </c>
      <c r="G103" s="7">
        <v>0</v>
      </c>
      <c r="H103" s="7">
        <v>2134.8020000000001</v>
      </c>
      <c r="I103" s="7">
        <v>2572.7890000000002</v>
      </c>
      <c r="J103" s="7">
        <v>0</v>
      </c>
      <c r="K103" s="7">
        <v>0</v>
      </c>
      <c r="L103" s="7">
        <v>807781.65399999998</v>
      </c>
      <c r="M103" s="7">
        <v>60901.792000000001</v>
      </c>
      <c r="N103" s="7">
        <v>0</v>
      </c>
      <c r="O103" s="7">
        <v>43.908000000000001</v>
      </c>
      <c r="P103" s="7">
        <v>12.242000000000001</v>
      </c>
      <c r="Q103" s="7">
        <v>61.368000000000002</v>
      </c>
      <c r="R103" s="7">
        <v>0</v>
      </c>
      <c r="S103" s="7">
        <v>21617.56</v>
      </c>
      <c r="T103" s="7">
        <v>0</v>
      </c>
      <c r="U103" s="7">
        <v>0</v>
      </c>
      <c r="V103" s="7">
        <v>0</v>
      </c>
      <c r="W103" s="7">
        <v>6541.1490000000003</v>
      </c>
      <c r="X103" s="7">
        <v>0</v>
      </c>
      <c r="Y103" s="7">
        <v>137409.527</v>
      </c>
      <c r="Z103" s="7">
        <v>0</v>
      </c>
      <c r="AA103" s="7">
        <v>0</v>
      </c>
      <c r="AB103" s="7">
        <v>2795.6019999999999</v>
      </c>
      <c r="AC103" s="7">
        <v>12847.39</v>
      </c>
      <c r="AD103" s="7">
        <v>0</v>
      </c>
      <c r="AE103" s="7">
        <v>336517.886</v>
      </c>
      <c r="AF103" s="7">
        <v>185693.13800000001</v>
      </c>
      <c r="AG103" s="7">
        <v>0</v>
      </c>
      <c r="AH103" s="7">
        <v>1381253.5109999999</v>
      </c>
      <c r="AI103" s="7">
        <v>334407.391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6963.2430000000004</v>
      </c>
      <c r="AP103" s="7">
        <v>0</v>
      </c>
      <c r="AQ103" s="7">
        <v>64098.754999999997</v>
      </c>
      <c r="AR103" s="7">
        <v>0</v>
      </c>
      <c r="AS103" s="7">
        <v>208.41900000000001</v>
      </c>
      <c r="AT103" s="7">
        <v>0</v>
      </c>
      <c r="AU103" s="7">
        <v>1462.5039999999999</v>
      </c>
      <c r="AV103" s="7">
        <v>0</v>
      </c>
      <c r="AW103" s="7">
        <v>0</v>
      </c>
      <c r="AX103" s="7">
        <v>0</v>
      </c>
      <c r="AY103" s="7">
        <v>2777.5390000000002</v>
      </c>
      <c r="AZ103" s="7">
        <v>39802.612999999998</v>
      </c>
      <c r="BA103" s="7">
        <v>0</v>
      </c>
      <c r="BB103" s="7">
        <v>2132.0509999999999</v>
      </c>
      <c r="BC103" s="7">
        <v>0</v>
      </c>
      <c r="BD103" s="7">
        <v>46265.529000000002</v>
      </c>
      <c r="BE103" s="7">
        <v>546.36599999999999</v>
      </c>
      <c r="BF103" s="7">
        <v>546.36599999999999</v>
      </c>
      <c r="BG103" s="7">
        <v>15565.833000000001</v>
      </c>
      <c r="BH103" s="7">
        <v>0</v>
      </c>
      <c r="BI103" s="7">
        <v>0</v>
      </c>
      <c r="BJ103" s="21"/>
    </row>
    <row r="104" spans="1:62" ht="15.5" x14ac:dyDescent="0.35">
      <c r="A104" s="5" t="s">
        <v>196</v>
      </c>
      <c r="B104" s="5" t="s">
        <v>197</v>
      </c>
      <c r="C104" s="7">
        <v>4</v>
      </c>
      <c r="D104" s="7">
        <v>4</v>
      </c>
      <c r="E104" s="7">
        <v>185211.90100000001</v>
      </c>
      <c r="F104" s="7">
        <v>37768.987000000001</v>
      </c>
      <c r="G104" s="7">
        <v>0</v>
      </c>
      <c r="H104" s="7">
        <v>3176.029</v>
      </c>
      <c r="I104" s="7">
        <v>1445.3989999999999</v>
      </c>
      <c r="J104" s="7">
        <v>0</v>
      </c>
      <c r="K104" s="7">
        <v>0</v>
      </c>
      <c r="L104" s="7">
        <v>446903.93699999998</v>
      </c>
      <c r="M104" s="7">
        <v>34214.767999999996</v>
      </c>
      <c r="N104" s="7">
        <v>0</v>
      </c>
      <c r="O104" s="7">
        <v>0</v>
      </c>
      <c r="P104" s="7">
        <v>6.8780000000000001</v>
      </c>
      <c r="Q104" s="7">
        <v>0</v>
      </c>
      <c r="R104" s="7">
        <v>0</v>
      </c>
      <c r="S104" s="7">
        <v>12144.796</v>
      </c>
      <c r="T104" s="7">
        <v>0</v>
      </c>
      <c r="U104" s="7">
        <v>0</v>
      </c>
      <c r="V104" s="7">
        <v>0</v>
      </c>
      <c r="W104" s="7">
        <v>3674.8330000000001</v>
      </c>
      <c r="X104" s="7">
        <v>0</v>
      </c>
      <c r="Y104" s="7">
        <v>77196.990999999995</v>
      </c>
      <c r="Z104" s="7">
        <v>0</v>
      </c>
      <c r="AA104" s="7">
        <v>0</v>
      </c>
      <c r="AB104" s="7">
        <v>6.0000000000000001E-3</v>
      </c>
      <c r="AC104" s="7">
        <v>7217.6940000000004</v>
      </c>
      <c r="AD104" s="7">
        <v>0</v>
      </c>
      <c r="AE104" s="7">
        <v>187685.31200000001</v>
      </c>
      <c r="AF104" s="7">
        <v>104322.836</v>
      </c>
      <c r="AG104" s="7">
        <v>0</v>
      </c>
      <c r="AH104" s="7">
        <v>769357.04399999999</v>
      </c>
      <c r="AI104" s="7">
        <v>187870.848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3911.9659999999999</v>
      </c>
      <c r="AP104" s="7">
        <v>0</v>
      </c>
      <c r="AQ104" s="7">
        <v>36010.828999999998</v>
      </c>
      <c r="AR104" s="7">
        <v>0</v>
      </c>
      <c r="AS104" s="7">
        <v>117.09</v>
      </c>
      <c r="AT104" s="7">
        <v>0</v>
      </c>
      <c r="AU104" s="7">
        <v>821.63800000000003</v>
      </c>
      <c r="AV104" s="7">
        <v>0</v>
      </c>
      <c r="AW104" s="7">
        <v>0</v>
      </c>
      <c r="AX104" s="7">
        <v>0</v>
      </c>
      <c r="AY104" s="7">
        <v>1560.4280000000001</v>
      </c>
      <c r="AZ104" s="7">
        <v>22361.200000000001</v>
      </c>
      <c r="BA104" s="7">
        <v>0</v>
      </c>
      <c r="BB104" s="7">
        <v>1197.7909999999999</v>
      </c>
      <c r="BC104" s="7">
        <v>0</v>
      </c>
      <c r="BD104" s="7">
        <v>25992.080999999998</v>
      </c>
      <c r="BE104" s="7">
        <v>306.95</v>
      </c>
      <c r="BF104" s="7">
        <v>306.95</v>
      </c>
      <c r="BG104" s="7">
        <v>8744.9210000000003</v>
      </c>
      <c r="BH104" s="7">
        <v>0</v>
      </c>
      <c r="BI104" s="7">
        <v>0</v>
      </c>
      <c r="BJ104" s="21"/>
    </row>
    <row r="105" spans="1:62" ht="15.5" x14ac:dyDescent="0.35">
      <c r="A105" s="5" t="s">
        <v>198</v>
      </c>
      <c r="B105" s="5" t="s">
        <v>199</v>
      </c>
      <c r="C105" s="7">
        <v>4</v>
      </c>
      <c r="D105" s="7">
        <v>4</v>
      </c>
      <c r="E105" s="7">
        <v>74917.425000000003</v>
      </c>
      <c r="F105" s="7">
        <v>15432.147000000001</v>
      </c>
      <c r="G105" s="7">
        <v>157.893</v>
      </c>
      <c r="H105" s="7">
        <v>4.0439999999999996</v>
      </c>
      <c r="I105" s="7">
        <v>720.3</v>
      </c>
      <c r="J105" s="7">
        <v>87.308999999999997</v>
      </c>
      <c r="K105" s="7">
        <v>0</v>
      </c>
      <c r="L105" s="7">
        <v>174835.00200000001</v>
      </c>
      <c r="M105" s="7">
        <v>17743.302</v>
      </c>
      <c r="N105" s="7">
        <v>0</v>
      </c>
      <c r="O105" s="7">
        <v>79.712000000000003</v>
      </c>
      <c r="P105" s="7">
        <v>2.488</v>
      </c>
      <c r="Q105" s="7">
        <v>111.40900000000001</v>
      </c>
      <c r="R105" s="7">
        <v>0</v>
      </c>
      <c r="S105" s="7">
        <v>4413.6989999999996</v>
      </c>
      <c r="T105" s="7">
        <v>0</v>
      </c>
      <c r="U105" s="7">
        <v>0</v>
      </c>
      <c r="V105" s="7">
        <v>16.594000000000001</v>
      </c>
      <c r="W105" s="7">
        <v>1352.2819999999999</v>
      </c>
      <c r="X105" s="7">
        <v>0</v>
      </c>
      <c r="Y105" s="7">
        <v>27868.539000000001</v>
      </c>
      <c r="Z105" s="7">
        <v>0</v>
      </c>
      <c r="AA105" s="7">
        <v>130.06100000000001</v>
      </c>
      <c r="AB105" s="7">
        <v>5075.1840000000002</v>
      </c>
      <c r="AC105" s="7">
        <v>2613.2359999999999</v>
      </c>
      <c r="AD105" s="7">
        <v>0</v>
      </c>
      <c r="AE105" s="7">
        <v>72094.236999999994</v>
      </c>
      <c r="AF105" s="7">
        <v>37550.654000000002</v>
      </c>
      <c r="AG105" s="7">
        <v>0</v>
      </c>
      <c r="AH105" s="7">
        <v>292810.26299999998</v>
      </c>
      <c r="AI105" s="7">
        <v>67628.98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1416.7470000000001</v>
      </c>
      <c r="AP105" s="7">
        <v>0</v>
      </c>
      <c r="AQ105" s="7">
        <v>12960.84</v>
      </c>
      <c r="AR105" s="7">
        <v>0</v>
      </c>
      <c r="AS105" s="7">
        <v>42.517000000000003</v>
      </c>
      <c r="AT105" s="7">
        <v>0</v>
      </c>
      <c r="AU105" s="7">
        <v>306.48200000000003</v>
      </c>
      <c r="AV105" s="7">
        <v>0</v>
      </c>
      <c r="AW105" s="7">
        <v>0</v>
      </c>
      <c r="AX105" s="7">
        <v>0</v>
      </c>
      <c r="AY105" s="7">
        <v>568.25</v>
      </c>
      <c r="AZ105" s="7">
        <v>8048.1329999999998</v>
      </c>
      <c r="BA105" s="7">
        <v>0</v>
      </c>
      <c r="BB105" s="7">
        <v>433.75</v>
      </c>
      <c r="BC105" s="7">
        <v>4.9130000000000003</v>
      </c>
      <c r="BD105" s="7">
        <v>9354.9419999999991</v>
      </c>
      <c r="BE105" s="7">
        <v>111.161</v>
      </c>
      <c r="BF105" s="7">
        <v>111.161</v>
      </c>
      <c r="BG105" s="7">
        <v>3147.4290000000001</v>
      </c>
      <c r="BH105" s="7">
        <v>0</v>
      </c>
      <c r="BI105" s="7">
        <v>2.2229999999999999</v>
      </c>
      <c r="BJ105" s="21"/>
    </row>
    <row r="106" spans="1:62" ht="15.5" x14ac:dyDescent="0.35">
      <c r="A106" s="5" t="s">
        <v>200</v>
      </c>
      <c r="B106" s="5" t="s">
        <v>201</v>
      </c>
      <c r="C106" s="7">
        <v>4</v>
      </c>
      <c r="D106" s="7">
        <v>4</v>
      </c>
      <c r="E106" s="7">
        <v>471.44200000000001</v>
      </c>
      <c r="F106" s="7">
        <v>85.587999999999994</v>
      </c>
      <c r="G106" s="7">
        <v>1.94</v>
      </c>
      <c r="H106" s="7">
        <v>0</v>
      </c>
      <c r="I106" s="7">
        <v>3.4460000000000002</v>
      </c>
      <c r="J106" s="7">
        <v>1.073</v>
      </c>
      <c r="K106" s="7">
        <v>0</v>
      </c>
      <c r="L106" s="7">
        <v>1056.809</v>
      </c>
      <c r="M106" s="7">
        <v>81.356999999999999</v>
      </c>
      <c r="N106" s="7">
        <v>0</v>
      </c>
      <c r="O106" s="7">
        <v>1.9379999999999999</v>
      </c>
      <c r="P106" s="7">
        <v>1.6E-2</v>
      </c>
      <c r="Q106" s="7">
        <v>2.7090000000000001</v>
      </c>
      <c r="R106" s="7">
        <v>0</v>
      </c>
      <c r="S106" s="7">
        <v>27.658000000000001</v>
      </c>
      <c r="T106" s="7">
        <v>0</v>
      </c>
      <c r="U106" s="7">
        <v>0</v>
      </c>
      <c r="V106" s="7">
        <v>0.20399999999999999</v>
      </c>
      <c r="W106" s="7">
        <v>8.5749999999999993</v>
      </c>
      <c r="X106" s="7">
        <v>0</v>
      </c>
      <c r="Y106" s="7">
        <v>173.50899999999999</v>
      </c>
      <c r="Z106" s="7">
        <v>0</v>
      </c>
      <c r="AA106" s="7">
        <v>1.5980000000000001</v>
      </c>
      <c r="AB106" s="7">
        <v>123.422</v>
      </c>
      <c r="AC106" s="7">
        <v>16.315999999999999</v>
      </c>
      <c r="AD106" s="7">
        <v>0</v>
      </c>
      <c r="AE106" s="7">
        <v>528.46799999999996</v>
      </c>
      <c r="AF106" s="7">
        <v>233.08</v>
      </c>
      <c r="AG106" s="7">
        <v>0</v>
      </c>
      <c r="AH106" s="7">
        <v>1726.78</v>
      </c>
      <c r="AI106" s="7">
        <v>419.745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8.8480000000000008</v>
      </c>
      <c r="AP106" s="7">
        <v>0</v>
      </c>
      <c r="AQ106" s="7">
        <v>80.456000000000003</v>
      </c>
      <c r="AR106" s="7">
        <v>0</v>
      </c>
      <c r="AS106" s="7">
        <v>0.26600000000000001</v>
      </c>
      <c r="AT106" s="7">
        <v>0</v>
      </c>
      <c r="AU106" s="7">
        <v>1.968</v>
      </c>
      <c r="AV106" s="7">
        <v>0</v>
      </c>
      <c r="AW106" s="7">
        <v>0</v>
      </c>
      <c r="AX106" s="7">
        <v>0</v>
      </c>
      <c r="AY106" s="7">
        <v>3.5680000000000001</v>
      </c>
      <c r="AZ106" s="7">
        <v>49.96</v>
      </c>
      <c r="BA106" s="7">
        <v>0</v>
      </c>
      <c r="BB106" s="7">
        <v>2.7090000000000001</v>
      </c>
      <c r="BC106" s="7">
        <v>0.06</v>
      </c>
      <c r="BD106" s="7">
        <v>58.072000000000003</v>
      </c>
      <c r="BE106" s="7">
        <v>0.69399999999999995</v>
      </c>
      <c r="BF106" s="7">
        <v>0.69399999999999995</v>
      </c>
      <c r="BG106" s="7">
        <v>19.538</v>
      </c>
      <c r="BH106" s="7">
        <v>0</v>
      </c>
      <c r="BI106" s="7">
        <v>2.7E-2</v>
      </c>
      <c r="BJ106" s="21"/>
    </row>
    <row r="107" spans="1:62" ht="15.5" x14ac:dyDescent="0.35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21"/>
    </row>
    <row r="108" spans="1:62" ht="15.5" x14ac:dyDescent="0.35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5" x14ac:dyDescent="0.35">
      <c r="A109" s="5" t="s">
        <v>206</v>
      </c>
      <c r="B109" s="5" t="s">
        <v>207</v>
      </c>
      <c r="C109" s="7">
        <v>6</v>
      </c>
      <c r="D109" s="7">
        <v>6</v>
      </c>
      <c r="E109" s="7">
        <v>92314.437000000005</v>
      </c>
      <c r="F109" s="7">
        <v>571.81299999999999</v>
      </c>
      <c r="G109" s="7">
        <v>0</v>
      </c>
      <c r="H109" s="7">
        <v>10026.154</v>
      </c>
      <c r="I109" s="7">
        <v>4.7E-2</v>
      </c>
      <c r="J109" s="7">
        <v>0</v>
      </c>
      <c r="K109" s="7">
        <v>0</v>
      </c>
      <c r="L109" s="7">
        <v>140344.307</v>
      </c>
      <c r="M109" s="7">
        <v>22519.832999999999</v>
      </c>
      <c r="N109" s="7">
        <v>0</v>
      </c>
      <c r="O109" s="7">
        <v>0</v>
      </c>
      <c r="P109" s="7">
        <v>0</v>
      </c>
      <c r="Q109" s="7">
        <v>0</v>
      </c>
      <c r="R109" s="7">
        <v>3.0000000000000001E-3</v>
      </c>
      <c r="S109" s="7">
        <v>0.39500000000000002</v>
      </c>
      <c r="T109" s="7">
        <v>0</v>
      </c>
      <c r="U109" s="7">
        <v>0</v>
      </c>
      <c r="V109" s="7">
        <v>0</v>
      </c>
      <c r="W109" s="7">
        <v>0.11899999999999999</v>
      </c>
      <c r="X109" s="7">
        <v>0</v>
      </c>
      <c r="Y109" s="7">
        <v>33966.972000000002</v>
      </c>
      <c r="Z109" s="7">
        <v>0</v>
      </c>
      <c r="AA109" s="7">
        <v>0</v>
      </c>
      <c r="AB109" s="7">
        <v>0</v>
      </c>
      <c r="AC109" s="7">
        <v>0.23499999999999999</v>
      </c>
      <c r="AD109" s="7">
        <v>0</v>
      </c>
      <c r="AE109" s="7">
        <v>108312.204</v>
      </c>
      <c r="AF109" s="7">
        <v>4157.9470000000001</v>
      </c>
      <c r="AG109" s="7">
        <v>0</v>
      </c>
      <c r="AH109" s="7">
        <v>332772.533</v>
      </c>
      <c r="AI109" s="7">
        <v>5715.7449999999999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0.127</v>
      </c>
      <c r="AP109" s="7">
        <v>0</v>
      </c>
      <c r="AQ109" s="7">
        <v>1.171</v>
      </c>
      <c r="AR109" s="7">
        <v>0</v>
      </c>
      <c r="AS109" s="7">
        <v>8.9999999999999993E-3</v>
      </c>
      <c r="AT109" s="7">
        <v>0</v>
      </c>
      <c r="AU109" s="7">
        <v>2.7E-2</v>
      </c>
      <c r="AV109" s="7">
        <v>0</v>
      </c>
      <c r="AW109" s="7">
        <v>0</v>
      </c>
      <c r="AX109" s="7">
        <v>0</v>
      </c>
      <c r="AY109" s="7">
        <v>5.0999999999999997E-2</v>
      </c>
      <c r="AZ109" s="7">
        <v>0.72699999999999998</v>
      </c>
      <c r="BA109" s="7">
        <v>0</v>
      </c>
      <c r="BB109" s="7">
        <v>3.9E-2</v>
      </c>
      <c r="BC109" s="7">
        <v>0</v>
      </c>
      <c r="BD109" s="7">
        <v>0.84499999999999997</v>
      </c>
      <c r="BE109" s="7">
        <v>0.01</v>
      </c>
      <c r="BF109" s="7">
        <v>0.01</v>
      </c>
      <c r="BG109" s="7">
        <v>0.28399999999999997</v>
      </c>
      <c r="BH109" s="7">
        <v>0</v>
      </c>
      <c r="BI109" s="7">
        <v>0</v>
      </c>
      <c r="BJ109" s="21"/>
    </row>
    <row r="110" spans="1:62" ht="15.5" x14ac:dyDescent="0.35">
      <c r="A110" s="5" t="s">
        <v>208</v>
      </c>
      <c r="B110" s="5" t="s">
        <v>209</v>
      </c>
      <c r="C110" s="7">
        <v>4</v>
      </c>
      <c r="D110" s="7">
        <v>4</v>
      </c>
      <c r="E110" s="7">
        <v>82040.057000000001</v>
      </c>
      <c r="F110" s="7">
        <v>16789.984</v>
      </c>
      <c r="G110" s="7">
        <v>0</v>
      </c>
      <c r="H110" s="7">
        <v>0</v>
      </c>
      <c r="I110" s="7">
        <v>636.43799999999999</v>
      </c>
      <c r="J110" s="7">
        <v>0</v>
      </c>
      <c r="K110" s="7">
        <v>0</v>
      </c>
      <c r="L110" s="7">
        <v>198851.58300000001</v>
      </c>
      <c r="M110" s="7">
        <v>15042.118</v>
      </c>
      <c r="N110" s="7">
        <v>0</v>
      </c>
      <c r="O110" s="7">
        <v>0</v>
      </c>
      <c r="P110" s="7">
        <v>2.984</v>
      </c>
      <c r="Q110" s="7">
        <v>0</v>
      </c>
      <c r="R110" s="7">
        <v>0</v>
      </c>
      <c r="S110" s="7">
        <v>5388.2830000000004</v>
      </c>
      <c r="T110" s="7">
        <v>0</v>
      </c>
      <c r="U110" s="7">
        <v>0</v>
      </c>
      <c r="V110" s="7">
        <v>0</v>
      </c>
      <c r="W110" s="7">
        <v>1626.643</v>
      </c>
      <c r="X110" s="7">
        <v>0</v>
      </c>
      <c r="Y110" s="7">
        <v>34296.504999999997</v>
      </c>
      <c r="Z110" s="7">
        <v>0</v>
      </c>
      <c r="AA110" s="7">
        <v>0</v>
      </c>
      <c r="AB110" s="7">
        <v>13.561999999999999</v>
      </c>
      <c r="AC110" s="7">
        <v>3200.4940000000001</v>
      </c>
      <c r="AD110" s="7">
        <v>0</v>
      </c>
      <c r="AE110" s="7">
        <v>83486.998999999996</v>
      </c>
      <c r="AF110" s="7">
        <v>46294.142999999996</v>
      </c>
      <c r="AG110" s="7">
        <v>0</v>
      </c>
      <c r="AH110" s="7">
        <v>342356.098</v>
      </c>
      <c r="AI110" s="7">
        <v>83261.656000000003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1741.35</v>
      </c>
      <c r="AP110" s="7">
        <v>0</v>
      </c>
      <c r="AQ110" s="7">
        <v>15984.352999999999</v>
      </c>
      <c r="AR110" s="7">
        <v>0</v>
      </c>
      <c r="AS110" s="7">
        <v>52.055999999999997</v>
      </c>
      <c r="AT110" s="7">
        <v>0</v>
      </c>
      <c r="AU110" s="7">
        <v>557.30700000000002</v>
      </c>
      <c r="AV110" s="7">
        <v>0</v>
      </c>
      <c r="AW110" s="7">
        <v>0</v>
      </c>
      <c r="AX110" s="7">
        <v>0</v>
      </c>
      <c r="AY110" s="7">
        <v>677.28399999999999</v>
      </c>
      <c r="AZ110" s="7">
        <v>9705.5939999999991</v>
      </c>
      <c r="BA110" s="7">
        <v>0</v>
      </c>
      <c r="BB110" s="7">
        <v>532.42600000000004</v>
      </c>
      <c r="BC110" s="7">
        <v>0</v>
      </c>
      <c r="BD110" s="7">
        <v>11281.531999999999</v>
      </c>
      <c r="BE110" s="7">
        <v>136.62700000000001</v>
      </c>
      <c r="BF110" s="7">
        <v>136.62700000000001</v>
      </c>
      <c r="BG110" s="7">
        <v>3795.6219999999998</v>
      </c>
      <c r="BH110" s="7">
        <v>0</v>
      </c>
      <c r="BI110" s="7">
        <v>0</v>
      </c>
      <c r="BJ110" s="21"/>
    </row>
    <row r="111" spans="1:62" ht="15.5" x14ac:dyDescent="0.35">
      <c r="A111" s="5" t="s">
        <v>210</v>
      </c>
      <c r="B111" s="5" t="s">
        <v>211</v>
      </c>
      <c r="C111" s="7">
        <v>4</v>
      </c>
      <c r="D111" s="7">
        <v>4</v>
      </c>
      <c r="E111" s="7">
        <v>214040.66699999999</v>
      </c>
      <c r="F111" s="7">
        <v>53722.207999999999</v>
      </c>
      <c r="G111" s="7">
        <v>176.29599999999999</v>
      </c>
      <c r="H111" s="7">
        <v>1.9E-2</v>
      </c>
      <c r="I111" s="7">
        <v>1471.1880000000001</v>
      </c>
      <c r="J111" s="7">
        <v>148.17500000000001</v>
      </c>
      <c r="K111" s="7">
        <v>0</v>
      </c>
      <c r="L111" s="7">
        <v>571148.34299999999</v>
      </c>
      <c r="M111" s="7">
        <v>30488.024000000001</v>
      </c>
      <c r="N111" s="7">
        <v>0</v>
      </c>
      <c r="O111" s="7">
        <v>0</v>
      </c>
      <c r="P111" s="7">
        <v>2.3090000000000002</v>
      </c>
      <c r="Q111" s="7">
        <v>0</v>
      </c>
      <c r="R111" s="7">
        <v>1.204</v>
      </c>
      <c r="S111" s="7">
        <v>16576.670999999998</v>
      </c>
      <c r="T111" s="7">
        <v>0</v>
      </c>
      <c r="U111" s="7">
        <v>0</v>
      </c>
      <c r="V111" s="7">
        <v>46.301000000000002</v>
      </c>
      <c r="W111" s="7">
        <v>4705.2070000000003</v>
      </c>
      <c r="X111" s="7">
        <v>77972.819000000003</v>
      </c>
      <c r="Y111" s="7">
        <v>103866.13499999999</v>
      </c>
      <c r="Z111" s="7">
        <v>0</v>
      </c>
      <c r="AA111" s="7">
        <v>488.29</v>
      </c>
      <c r="AB111" s="7">
        <v>42.262999999999998</v>
      </c>
      <c r="AC111" s="7">
        <v>9592.2829999999994</v>
      </c>
      <c r="AD111" s="7">
        <v>0</v>
      </c>
      <c r="AE111" s="7">
        <v>260498.43799999999</v>
      </c>
      <c r="AF111" s="7">
        <v>137850.367</v>
      </c>
      <c r="AG111" s="7">
        <v>0</v>
      </c>
      <c r="AH111" s="7">
        <v>1070157.4890000001</v>
      </c>
      <c r="AI111" s="7">
        <v>237058.166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5780.473</v>
      </c>
      <c r="AP111" s="7">
        <v>53633.175000000003</v>
      </c>
      <c r="AQ111" s="7">
        <v>46412.218000000001</v>
      </c>
      <c r="AR111" s="7">
        <v>24438.151000000002</v>
      </c>
      <c r="AS111" s="7">
        <v>164.65199999999999</v>
      </c>
      <c r="AT111" s="7">
        <v>0</v>
      </c>
      <c r="AU111" s="7">
        <v>1102.3689999999999</v>
      </c>
      <c r="AV111" s="7">
        <v>61418.118000000002</v>
      </c>
      <c r="AW111" s="7">
        <v>74195.788</v>
      </c>
      <c r="AX111" s="7">
        <v>61837.175999999999</v>
      </c>
      <c r="AY111" s="7">
        <v>60.256999999999998</v>
      </c>
      <c r="AZ111" s="7">
        <v>863.50099999999998</v>
      </c>
      <c r="BA111" s="7">
        <v>47617.79</v>
      </c>
      <c r="BB111" s="7">
        <v>1672.518</v>
      </c>
      <c r="BC111" s="7">
        <v>0</v>
      </c>
      <c r="BD111" s="7">
        <v>1003.711</v>
      </c>
      <c r="BE111" s="7">
        <v>452.73</v>
      </c>
      <c r="BF111" s="7">
        <v>452.73</v>
      </c>
      <c r="BG111" s="7">
        <v>337.69499999999999</v>
      </c>
      <c r="BH111" s="7">
        <v>0</v>
      </c>
      <c r="BI111" s="7">
        <v>0</v>
      </c>
      <c r="BJ111" s="21"/>
    </row>
    <row r="112" spans="1:62" ht="15.5" x14ac:dyDescent="0.35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21"/>
    </row>
    <row r="113" spans="1:62" ht="15.5" x14ac:dyDescent="0.35">
      <c r="A113" s="5" t="s">
        <v>214</v>
      </c>
      <c r="B113" s="5" t="s">
        <v>215</v>
      </c>
      <c r="C113" s="7">
        <v>6</v>
      </c>
      <c r="D113" s="7">
        <v>6</v>
      </c>
      <c r="E113" s="7">
        <v>2091.1570000000002</v>
      </c>
      <c r="F113" s="7">
        <v>232.09200000000001</v>
      </c>
      <c r="G113" s="7">
        <v>270.91300000000001</v>
      </c>
      <c r="H113" s="7">
        <v>0</v>
      </c>
      <c r="I113" s="7">
        <v>47.44</v>
      </c>
      <c r="J113" s="7">
        <v>165.57599999999999</v>
      </c>
      <c r="K113" s="7">
        <v>0</v>
      </c>
      <c r="L113" s="7">
        <v>1523.1110000000001</v>
      </c>
      <c r="M113" s="7">
        <v>738.12800000000004</v>
      </c>
      <c r="N113" s="7">
        <v>0</v>
      </c>
      <c r="O113" s="7">
        <v>0</v>
      </c>
      <c r="P113" s="7">
        <v>8.7850000000000001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24.420999999999999</v>
      </c>
      <c r="W113" s="7">
        <v>74.521000000000001</v>
      </c>
      <c r="X113" s="7">
        <v>0</v>
      </c>
      <c r="Y113" s="7">
        <v>589.524</v>
      </c>
      <c r="Z113" s="7">
        <v>0</v>
      </c>
      <c r="AA113" s="7">
        <v>208.19300000000001</v>
      </c>
      <c r="AB113" s="7">
        <v>0</v>
      </c>
      <c r="AC113" s="7">
        <v>31.550999999999998</v>
      </c>
      <c r="AD113" s="7">
        <v>0</v>
      </c>
      <c r="AE113" s="7">
        <v>2231.1</v>
      </c>
      <c r="AF113" s="7">
        <v>23.094999999999999</v>
      </c>
      <c r="AG113" s="7">
        <v>0</v>
      </c>
      <c r="AH113" s="7">
        <v>4679.9560000000001</v>
      </c>
      <c r="AI113" s="7">
        <v>12.08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5" x14ac:dyDescent="0.35">
      <c r="A114" s="5" t="s">
        <v>216</v>
      </c>
      <c r="B114" s="5" t="s">
        <v>217</v>
      </c>
      <c r="C114" s="7">
        <v>6</v>
      </c>
      <c r="D114" s="7">
        <v>6</v>
      </c>
      <c r="E114" s="7">
        <v>85263.176999999996</v>
      </c>
      <c r="F114" s="7">
        <v>904.05700000000002</v>
      </c>
      <c r="G114" s="7">
        <v>0</v>
      </c>
      <c r="H114" s="7">
        <v>0</v>
      </c>
      <c r="I114" s="7">
        <v>84.754999999999995</v>
      </c>
      <c r="J114" s="7">
        <v>0</v>
      </c>
      <c r="K114" s="7">
        <v>0</v>
      </c>
      <c r="L114" s="7">
        <v>175209.65</v>
      </c>
      <c r="M114" s="7">
        <v>38560.279000000002</v>
      </c>
      <c r="N114" s="7">
        <v>0</v>
      </c>
      <c r="O114" s="7">
        <v>0</v>
      </c>
      <c r="P114" s="7">
        <v>28.251999999999999</v>
      </c>
      <c r="Q114" s="7">
        <v>0</v>
      </c>
      <c r="R114" s="7">
        <v>28.251999999999999</v>
      </c>
      <c r="S114" s="7">
        <v>0</v>
      </c>
      <c r="T114" s="7">
        <v>0</v>
      </c>
      <c r="U114" s="7">
        <v>0</v>
      </c>
      <c r="V114" s="7">
        <v>0</v>
      </c>
      <c r="W114" s="7">
        <v>282.51799999999997</v>
      </c>
      <c r="X114" s="7">
        <v>0</v>
      </c>
      <c r="Y114" s="7">
        <v>20816.763999999999</v>
      </c>
      <c r="Z114" s="7">
        <v>0</v>
      </c>
      <c r="AA114" s="7">
        <v>2655.6689999999999</v>
      </c>
      <c r="AB114" s="7">
        <v>0</v>
      </c>
      <c r="AC114" s="7">
        <v>226.01400000000001</v>
      </c>
      <c r="AD114" s="7">
        <v>0</v>
      </c>
      <c r="AE114" s="7">
        <v>58239.076999999997</v>
      </c>
      <c r="AF114" s="7">
        <v>7.0000000000000001E-3</v>
      </c>
      <c r="AG114" s="7">
        <v>0</v>
      </c>
      <c r="AH114" s="7">
        <v>273090.64299999998</v>
      </c>
      <c r="AI114" s="7">
        <v>1.0999999999999999E-2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5" x14ac:dyDescent="0.35">
      <c r="A115" s="5" t="s">
        <v>218</v>
      </c>
      <c r="B115" s="5" t="s">
        <v>219</v>
      </c>
      <c r="C115" s="7">
        <v>4</v>
      </c>
      <c r="D115" s="7">
        <v>4</v>
      </c>
      <c r="E115" s="7">
        <v>35791.294000000002</v>
      </c>
      <c r="F115" s="7">
        <v>7298.6719999999996</v>
      </c>
      <c r="G115" s="7">
        <v>0</v>
      </c>
      <c r="H115" s="7">
        <v>19867.776999999998</v>
      </c>
      <c r="I115" s="7">
        <v>279.31599999999997</v>
      </c>
      <c r="J115" s="7">
        <v>0</v>
      </c>
      <c r="K115" s="7">
        <v>0</v>
      </c>
      <c r="L115" s="7">
        <v>86362</v>
      </c>
      <c r="M115" s="7">
        <v>6611.8370000000004</v>
      </c>
      <c r="N115" s="7">
        <v>0</v>
      </c>
      <c r="O115" s="7">
        <v>0</v>
      </c>
      <c r="P115" s="7">
        <v>1.329</v>
      </c>
      <c r="Q115" s="7">
        <v>0</v>
      </c>
      <c r="R115" s="7">
        <v>0</v>
      </c>
      <c r="S115" s="7">
        <v>2346.922</v>
      </c>
      <c r="T115" s="7">
        <v>0</v>
      </c>
      <c r="U115" s="7">
        <v>0</v>
      </c>
      <c r="V115" s="7">
        <v>0</v>
      </c>
      <c r="W115" s="7">
        <v>710.14300000000003</v>
      </c>
      <c r="X115" s="7">
        <v>0</v>
      </c>
      <c r="Y115" s="7">
        <v>14917.941000000001</v>
      </c>
      <c r="Z115" s="7">
        <v>0</v>
      </c>
      <c r="AA115" s="7">
        <v>0</v>
      </c>
      <c r="AB115" s="7">
        <v>0</v>
      </c>
      <c r="AC115" s="7">
        <v>1394.7840000000001</v>
      </c>
      <c r="AD115" s="7">
        <v>9446.25</v>
      </c>
      <c r="AE115" s="7">
        <v>36269.267999999996</v>
      </c>
      <c r="AF115" s="7">
        <v>20159.878000000001</v>
      </c>
      <c r="AG115" s="7">
        <v>43653.322999999997</v>
      </c>
      <c r="AH115" s="7">
        <v>148674.486</v>
      </c>
      <c r="AI115" s="7">
        <v>36305.123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755.96799999999996</v>
      </c>
      <c r="AP115" s="7">
        <v>0</v>
      </c>
      <c r="AQ115" s="7">
        <v>6958.9170000000004</v>
      </c>
      <c r="AR115" s="7">
        <v>0</v>
      </c>
      <c r="AS115" s="7">
        <v>22.626999999999999</v>
      </c>
      <c r="AT115" s="7">
        <v>0</v>
      </c>
      <c r="AU115" s="7">
        <v>2472.0709999999999</v>
      </c>
      <c r="AV115" s="7">
        <v>0</v>
      </c>
      <c r="AW115" s="7">
        <v>0</v>
      </c>
      <c r="AX115" s="7">
        <v>0</v>
      </c>
      <c r="AY115" s="7">
        <v>301.54500000000002</v>
      </c>
      <c r="AZ115" s="7">
        <v>9991.6530000000002</v>
      </c>
      <c r="BA115" s="7">
        <v>0</v>
      </c>
      <c r="BB115" s="7">
        <v>231.46700000000001</v>
      </c>
      <c r="BC115" s="7">
        <v>0</v>
      </c>
      <c r="BD115" s="7">
        <v>5022.8429999999998</v>
      </c>
      <c r="BE115" s="7">
        <v>59.317</v>
      </c>
      <c r="BF115" s="7">
        <v>59.317</v>
      </c>
      <c r="BG115" s="7">
        <v>1689.913</v>
      </c>
      <c r="BH115" s="7">
        <v>0</v>
      </c>
      <c r="BI115" s="7">
        <v>0</v>
      </c>
      <c r="BJ115" s="21"/>
    </row>
    <row r="116" spans="1:62" ht="15.5" x14ac:dyDescent="0.35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388.762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608515.41399999999</v>
      </c>
      <c r="AL116" s="7">
        <v>346241.42200000002</v>
      </c>
      <c r="AM116" s="7">
        <v>0</v>
      </c>
      <c r="AN116" s="7">
        <v>216639.606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1605.5319999999999</v>
      </c>
      <c r="AV116" s="7">
        <v>0</v>
      </c>
      <c r="AW116" s="7">
        <v>0</v>
      </c>
      <c r="AX116" s="7">
        <v>308.31200000000001</v>
      </c>
      <c r="AY116" s="7">
        <v>0</v>
      </c>
      <c r="AZ116" s="7">
        <v>0</v>
      </c>
      <c r="BA116" s="7">
        <v>237.416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5" x14ac:dyDescent="0.35">
      <c r="A117" s="5" t="s">
        <v>222</v>
      </c>
      <c r="B117" s="5" t="s">
        <v>223</v>
      </c>
      <c r="C117" s="7">
        <v>4</v>
      </c>
      <c r="D117" s="7">
        <v>3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9030.6029999999992</v>
      </c>
      <c r="L117" s="7">
        <v>0</v>
      </c>
      <c r="M117" s="7">
        <v>0</v>
      </c>
      <c r="N117" s="7">
        <v>2204.3020000000001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6719.36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11220.85</v>
      </c>
      <c r="AE117" s="7">
        <v>0</v>
      </c>
      <c r="AF117" s="7">
        <v>0</v>
      </c>
      <c r="AG117" s="7">
        <v>46606.813999999998</v>
      </c>
      <c r="AH117" s="7">
        <v>42.761000000000003</v>
      </c>
      <c r="AI117" s="7">
        <v>0</v>
      </c>
      <c r="AJ117" s="7">
        <v>0</v>
      </c>
      <c r="AK117" s="7">
        <v>0</v>
      </c>
      <c r="AL117" s="7">
        <v>0</v>
      </c>
      <c r="AM117" s="7">
        <v>1431.7919999999999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43.844999999999999</v>
      </c>
      <c r="AT117" s="7">
        <v>0</v>
      </c>
      <c r="AU117" s="7">
        <v>2179.6579999999999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5" x14ac:dyDescent="0.35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5" x14ac:dyDescent="0.35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5" x14ac:dyDescent="0.35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5" x14ac:dyDescent="0.35">
      <c r="A121" s="5" t="s">
        <v>230</v>
      </c>
      <c r="B121" s="5" t="s">
        <v>231</v>
      </c>
      <c r="C121" s="7">
        <v>4</v>
      </c>
      <c r="D121" s="7">
        <v>4</v>
      </c>
      <c r="E121" s="7">
        <v>286268.04700000002</v>
      </c>
      <c r="F121" s="7">
        <v>68708.876000000004</v>
      </c>
      <c r="G121" s="7">
        <v>0</v>
      </c>
      <c r="H121" s="7">
        <v>0</v>
      </c>
      <c r="I121" s="7">
        <v>1657.471</v>
      </c>
      <c r="J121" s="7">
        <v>0</v>
      </c>
      <c r="K121" s="7">
        <v>0</v>
      </c>
      <c r="L121" s="7">
        <v>775771.20200000005</v>
      </c>
      <c r="M121" s="7">
        <v>33768.699999999997</v>
      </c>
      <c r="N121" s="7">
        <v>0</v>
      </c>
      <c r="O121" s="7">
        <v>1345.9949999999999</v>
      </c>
      <c r="P121" s="7">
        <v>0</v>
      </c>
      <c r="Q121" s="7">
        <v>540.154</v>
      </c>
      <c r="R121" s="7">
        <v>0</v>
      </c>
      <c r="S121" s="7">
        <v>21321.879000000001</v>
      </c>
      <c r="T121" s="7">
        <v>0</v>
      </c>
      <c r="U121" s="7">
        <v>0</v>
      </c>
      <c r="V121" s="7">
        <v>0</v>
      </c>
      <c r="W121" s="7">
        <v>5765.8469999999998</v>
      </c>
      <c r="X121" s="7">
        <v>88675.941999999995</v>
      </c>
      <c r="Y121" s="7">
        <v>140289.421</v>
      </c>
      <c r="Z121" s="7">
        <v>45826.658000000003</v>
      </c>
      <c r="AA121" s="7">
        <v>0</v>
      </c>
      <c r="AB121" s="7">
        <v>38427.144999999997</v>
      </c>
      <c r="AC121" s="7">
        <v>12345.468000000001</v>
      </c>
      <c r="AD121" s="7">
        <v>6879.4840000000004</v>
      </c>
      <c r="AE121" s="7">
        <v>369735.75199999998</v>
      </c>
      <c r="AF121" s="7">
        <v>178783.587</v>
      </c>
      <c r="AG121" s="7">
        <v>28516.222000000002</v>
      </c>
      <c r="AH121" s="7">
        <v>1301998.689</v>
      </c>
      <c r="AI121" s="7">
        <v>307177.77299999999</v>
      </c>
      <c r="AJ121" s="7">
        <v>250354.095</v>
      </c>
      <c r="AK121" s="7">
        <v>1553830.9280000001</v>
      </c>
      <c r="AL121" s="7">
        <v>884119.97499999998</v>
      </c>
      <c r="AM121" s="7">
        <v>0</v>
      </c>
      <c r="AN121" s="7">
        <v>553184.55000000005</v>
      </c>
      <c r="AO121" s="7">
        <v>7906.26</v>
      </c>
      <c r="AP121" s="7">
        <v>0</v>
      </c>
      <c r="AQ121" s="7">
        <v>62132.625999999997</v>
      </c>
      <c r="AR121" s="7">
        <v>0</v>
      </c>
      <c r="AS121" s="7">
        <v>225.077</v>
      </c>
      <c r="AT121" s="7">
        <v>0</v>
      </c>
      <c r="AU121" s="7">
        <v>1504.873</v>
      </c>
      <c r="AV121" s="7">
        <v>0</v>
      </c>
      <c r="AW121" s="7">
        <v>0</v>
      </c>
      <c r="AX121" s="7">
        <v>70325.406000000003</v>
      </c>
      <c r="AY121" s="7">
        <v>0</v>
      </c>
      <c r="AZ121" s="7">
        <v>0</v>
      </c>
      <c r="BA121" s="7">
        <v>54154.142</v>
      </c>
      <c r="BB121" s="7">
        <v>2284.0749999999998</v>
      </c>
      <c r="BC121" s="7">
        <v>0</v>
      </c>
      <c r="BD121" s="7">
        <v>0</v>
      </c>
      <c r="BE121" s="7">
        <v>619.26300000000003</v>
      </c>
      <c r="BF121" s="7">
        <v>619.26300000000003</v>
      </c>
      <c r="BG121" s="7">
        <v>0</v>
      </c>
      <c r="BH121" s="7">
        <v>105022.644</v>
      </c>
      <c r="BI121" s="7">
        <v>0</v>
      </c>
      <c r="BJ121" s="21"/>
    </row>
    <row r="122" spans="1:62" ht="15.5" x14ac:dyDescent="0.35">
      <c r="A122" s="5" t="s">
        <v>232</v>
      </c>
      <c r="B122" s="5" t="s">
        <v>233</v>
      </c>
      <c r="C122" s="7">
        <v>4</v>
      </c>
      <c r="D122" s="7">
        <v>3</v>
      </c>
      <c r="E122" s="7">
        <v>1125.569</v>
      </c>
      <c r="F122" s="7">
        <v>872.38099999999997</v>
      </c>
      <c r="G122" s="7">
        <v>640.64800000000002</v>
      </c>
      <c r="H122" s="7">
        <v>0.46700000000000003</v>
      </c>
      <c r="I122" s="7">
        <v>84.634</v>
      </c>
      <c r="J122" s="7">
        <v>668.39700000000005</v>
      </c>
      <c r="K122" s="7">
        <v>0</v>
      </c>
      <c r="L122" s="7">
        <v>2721.7089999999998</v>
      </c>
      <c r="M122" s="7">
        <v>964.55</v>
      </c>
      <c r="N122" s="7">
        <v>0</v>
      </c>
      <c r="O122" s="7">
        <v>0</v>
      </c>
      <c r="P122" s="7">
        <v>2E-3</v>
      </c>
      <c r="Q122" s="7">
        <v>307.20100000000002</v>
      </c>
      <c r="R122" s="7">
        <v>399.81799999999998</v>
      </c>
      <c r="S122" s="7">
        <v>354.70100000000002</v>
      </c>
      <c r="T122" s="7">
        <v>0</v>
      </c>
      <c r="U122" s="7">
        <v>0</v>
      </c>
      <c r="V122" s="7">
        <v>77.510999999999996</v>
      </c>
      <c r="W122" s="7">
        <v>13.114000000000001</v>
      </c>
      <c r="X122" s="7">
        <v>0</v>
      </c>
      <c r="Y122" s="7">
        <v>359.28500000000003</v>
      </c>
      <c r="Z122" s="7">
        <v>12661.662</v>
      </c>
      <c r="AA122" s="7">
        <v>1429.6189999999999</v>
      </c>
      <c r="AB122" s="7">
        <v>0</v>
      </c>
      <c r="AC122" s="7">
        <v>215.06800000000001</v>
      </c>
      <c r="AD122" s="7">
        <v>2056.9479999999999</v>
      </c>
      <c r="AE122" s="7">
        <v>1055.021</v>
      </c>
      <c r="AF122" s="7">
        <v>12.384</v>
      </c>
      <c r="AG122" s="7">
        <v>6528.826</v>
      </c>
      <c r="AH122" s="7">
        <v>3562.6350000000002</v>
      </c>
      <c r="AI122" s="7">
        <v>8.9999999999999993E-3</v>
      </c>
      <c r="AJ122" s="7">
        <v>61629.69</v>
      </c>
      <c r="AK122" s="7">
        <v>0</v>
      </c>
      <c r="AL122" s="7">
        <v>0</v>
      </c>
      <c r="AM122" s="7">
        <v>0</v>
      </c>
      <c r="AN122" s="7">
        <v>0</v>
      </c>
      <c r="AO122" s="7">
        <v>181.63</v>
      </c>
      <c r="AP122" s="7">
        <v>0</v>
      </c>
      <c r="AQ122" s="7">
        <v>1.8240000000000001</v>
      </c>
      <c r="AR122" s="7">
        <v>0</v>
      </c>
      <c r="AS122" s="7">
        <v>1.1950000000000001</v>
      </c>
      <c r="AT122" s="7">
        <v>0</v>
      </c>
      <c r="AU122" s="7">
        <v>44.795999999999999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51.317999999999998</v>
      </c>
      <c r="BC122" s="7">
        <v>0</v>
      </c>
      <c r="BD122" s="7">
        <v>0</v>
      </c>
      <c r="BE122" s="7">
        <v>13.757</v>
      </c>
      <c r="BF122" s="7">
        <v>13.757</v>
      </c>
      <c r="BG122" s="7">
        <v>0</v>
      </c>
      <c r="BH122" s="7">
        <v>43453.66</v>
      </c>
      <c r="BI122" s="7">
        <v>0</v>
      </c>
      <c r="BJ122" s="21"/>
    </row>
    <row r="123" spans="1:62" ht="15.5" x14ac:dyDescent="0.35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21"/>
    </row>
    <row r="124" spans="1:62" ht="15.5" x14ac:dyDescent="0.35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5" x14ac:dyDescent="0.35">
      <c r="A125" s="5" t="s">
        <v>237</v>
      </c>
      <c r="B125" s="5" t="s">
        <v>238</v>
      </c>
      <c r="C125" s="7">
        <v>4</v>
      </c>
      <c r="D125" s="7">
        <v>4</v>
      </c>
      <c r="E125" s="7">
        <v>12.904</v>
      </c>
      <c r="F125" s="7">
        <v>1.1519999999999999</v>
      </c>
      <c r="G125" s="7">
        <v>3.4750000000000001</v>
      </c>
      <c r="H125" s="7">
        <v>0</v>
      </c>
      <c r="I125" s="7">
        <v>0.29899999999999999</v>
      </c>
      <c r="J125" s="7">
        <v>2.5379999999999998</v>
      </c>
      <c r="K125" s="7">
        <v>0</v>
      </c>
      <c r="L125" s="7">
        <v>4.7460000000000004</v>
      </c>
      <c r="M125" s="7">
        <v>8.0820000000000007</v>
      </c>
      <c r="N125" s="7">
        <v>0</v>
      </c>
      <c r="O125" s="7">
        <v>0</v>
      </c>
      <c r="P125" s="7">
        <v>0</v>
      </c>
      <c r="Q125" s="7">
        <v>0</v>
      </c>
      <c r="R125" s="7">
        <v>99.614000000000004</v>
      </c>
      <c r="S125" s="7">
        <v>0.42699999999999999</v>
      </c>
      <c r="T125" s="7">
        <v>0</v>
      </c>
      <c r="U125" s="7">
        <v>0</v>
      </c>
      <c r="V125" s="7">
        <v>0.26800000000000002</v>
      </c>
      <c r="W125" s="7">
        <v>0.77900000000000003</v>
      </c>
      <c r="X125" s="7">
        <v>0</v>
      </c>
      <c r="Y125" s="7">
        <v>1.931</v>
      </c>
      <c r="Z125" s="7">
        <v>0</v>
      </c>
      <c r="AA125" s="7">
        <v>3.2090000000000001</v>
      </c>
      <c r="AB125" s="7">
        <v>0</v>
      </c>
      <c r="AC125" s="7">
        <v>0.221</v>
      </c>
      <c r="AD125" s="7">
        <v>0</v>
      </c>
      <c r="AE125" s="7">
        <v>5.1760000000000002</v>
      </c>
      <c r="AF125" s="7">
        <v>0</v>
      </c>
      <c r="AG125" s="7">
        <v>0</v>
      </c>
      <c r="AH125" s="7">
        <v>15.025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0.161</v>
      </c>
      <c r="AP125" s="7">
        <v>0</v>
      </c>
      <c r="AQ125" s="7">
        <v>0</v>
      </c>
      <c r="AR125" s="7">
        <v>0</v>
      </c>
      <c r="AS125" s="7">
        <v>2E-3</v>
      </c>
      <c r="AT125" s="7">
        <v>0</v>
      </c>
      <c r="AU125" s="7">
        <v>9.4E-2</v>
      </c>
      <c r="AV125" s="7">
        <v>0</v>
      </c>
      <c r="AW125" s="7">
        <v>0</v>
      </c>
      <c r="AX125" s="7">
        <v>0</v>
      </c>
      <c r="AY125" s="7">
        <v>0.112</v>
      </c>
      <c r="AZ125" s="7">
        <v>0</v>
      </c>
      <c r="BA125" s="7">
        <v>0</v>
      </c>
      <c r="BB125" s="7">
        <v>4.3999999999999997E-2</v>
      </c>
      <c r="BC125" s="7">
        <v>0.08</v>
      </c>
      <c r="BD125" s="7">
        <v>0</v>
      </c>
      <c r="BE125" s="7">
        <v>1.2E-2</v>
      </c>
      <c r="BF125" s="7">
        <v>1.2E-2</v>
      </c>
      <c r="BG125" s="7">
        <v>0</v>
      </c>
      <c r="BH125" s="7">
        <v>0</v>
      </c>
      <c r="BI125" s="7">
        <v>3.6999999999999998E-2</v>
      </c>
      <c r="BJ125" s="21"/>
    </row>
    <row r="126" spans="1:62" ht="15.5" x14ac:dyDescent="0.35">
      <c r="A126" s="5" t="s">
        <v>239</v>
      </c>
      <c r="B126" s="5" t="s">
        <v>240</v>
      </c>
      <c r="C126" s="7">
        <v>4</v>
      </c>
      <c r="D126" s="7">
        <v>3</v>
      </c>
      <c r="E126" s="7">
        <v>2632.759</v>
      </c>
      <c r="F126" s="7">
        <v>1836.3789999999999</v>
      </c>
      <c r="G126" s="7">
        <v>129.52799999999999</v>
      </c>
      <c r="H126" s="7">
        <v>1.2709999999999999</v>
      </c>
      <c r="I126" s="7">
        <v>162.489</v>
      </c>
      <c r="J126" s="7">
        <v>1364.9849999999999</v>
      </c>
      <c r="K126" s="7">
        <v>0</v>
      </c>
      <c r="L126" s="7">
        <v>3848.0129999999999</v>
      </c>
      <c r="M126" s="7">
        <v>1508.2850000000001</v>
      </c>
      <c r="N126" s="7">
        <v>0</v>
      </c>
      <c r="O126" s="7">
        <v>0</v>
      </c>
      <c r="P126" s="7">
        <v>5.0000000000000001E-3</v>
      </c>
      <c r="Q126" s="7">
        <v>0</v>
      </c>
      <c r="R126" s="7">
        <v>9.6000000000000002E-2</v>
      </c>
      <c r="S126" s="7">
        <v>735.84900000000005</v>
      </c>
      <c r="T126" s="7">
        <v>0</v>
      </c>
      <c r="U126" s="7">
        <v>0</v>
      </c>
      <c r="V126" s="7">
        <v>132.08000000000001</v>
      </c>
      <c r="W126" s="7">
        <v>2.4289999999999998</v>
      </c>
      <c r="X126" s="7">
        <v>0</v>
      </c>
      <c r="Y126" s="7">
        <v>82.808999999999997</v>
      </c>
      <c r="Z126" s="7">
        <v>0</v>
      </c>
      <c r="AA126" s="7">
        <v>3044.634</v>
      </c>
      <c r="AB126" s="7">
        <v>0</v>
      </c>
      <c r="AC126" s="7">
        <v>307.46100000000001</v>
      </c>
      <c r="AD126" s="7">
        <v>0</v>
      </c>
      <c r="AE126" s="7">
        <v>9.9220000000000006</v>
      </c>
      <c r="AF126" s="7">
        <v>33.658999999999999</v>
      </c>
      <c r="AG126" s="7">
        <v>0</v>
      </c>
      <c r="AH126" s="7">
        <v>6337.2740000000003</v>
      </c>
      <c r="AI126" s="7">
        <v>2.5999999999999999E-2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356.28</v>
      </c>
      <c r="AP126" s="7">
        <v>0</v>
      </c>
      <c r="AQ126" s="7">
        <v>4.9589999999999996</v>
      </c>
      <c r="AR126" s="7">
        <v>0</v>
      </c>
      <c r="AS126" s="7">
        <v>2.5659999999999998</v>
      </c>
      <c r="AT126" s="7">
        <v>0</v>
      </c>
      <c r="AU126" s="7">
        <v>0.34799999999999998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99.766000000000005</v>
      </c>
      <c r="BC126" s="7">
        <v>0</v>
      </c>
      <c r="BD126" s="7">
        <v>0</v>
      </c>
      <c r="BE126" s="7">
        <v>26.863</v>
      </c>
      <c r="BF126" s="7">
        <v>26.863</v>
      </c>
      <c r="BG126" s="7">
        <v>0</v>
      </c>
      <c r="BH126" s="7">
        <v>0</v>
      </c>
      <c r="BI126" s="7">
        <v>0</v>
      </c>
      <c r="BJ126" s="21"/>
    </row>
    <row r="127" spans="1:62" ht="15.5" x14ac:dyDescent="0.35">
      <c r="A127" s="5" t="s">
        <v>241</v>
      </c>
      <c r="B127" s="5" t="s">
        <v>242</v>
      </c>
      <c r="C127" s="7">
        <v>2</v>
      </c>
      <c r="D127" s="7">
        <v>2</v>
      </c>
      <c r="E127" s="7">
        <v>52033.432999999997</v>
      </c>
      <c r="F127" s="7">
        <v>11500.913</v>
      </c>
      <c r="G127" s="7">
        <v>11217.671</v>
      </c>
      <c r="H127" s="7">
        <v>0</v>
      </c>
      <c r="I127" s="7">
        <v>2251.7139999999999</v>
      </c>
      <c r="J127" s="7">
        <v>8836.6219999999994</v>
      </c>
      <c r="K127" s="7">
        <v>0</v>
      </c>
      <c r="L127" s="7">
        <v>46099.353999999999</v>
      </c>
      <c r="M127" s="7">
        <v>40578.745999999999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3305.5619999999999</v>
      </c>
      <c r="T127" s="7">
        <v>0</v>
      </c>
      <c r="U127" s="7">
        <v>0</v>
      </c>
      <c r="V127" s="7">
        <v>1200.96</v>
      </c>
      <c r="W127" s="7">
        <v>3220.17</v>
      </c>
      <c r="X127" s="7">
        <v>0</v>
      </c>
      <c r="Y127" s="7">
        <v>15096.287</v>
      </c>
      <c r="Z127" s="7">
        <v>0</v>
      </c>
      <c r="AA127" s="7">
        <v>12257.071</v>
      </c>
      <c r="AB127" s="7">
        <v>0</v>
      </c>
      <c r="AC127" s="7">
        <v>1793.4359999999999</v>
      </c>
      <c r="AD127" s="7">
        <v>0</v>
      </c>
      <c r="AE127" s="7">
        <v>27470.007000000001</v>
      </c>
      <c r="AF127" s="7">
        <v>0</v>
      </c>
      <c r="AG127" s="7">
        <v>0</v>
      </c>
      <c r="AH127" s="7">
        <v>156562.95199999999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471.10399999999998</v>
      </c>
      <c r="AP127" s="7">
        <v>0</v>
      </c>
      <c r="AQ127" s="7">
        <v>0</v>
      </c>
      <c r="AR127" s="7">
        <v>0</v>
      </c>
      <c r="AS127" s="7">
        <v>4.2729999999999997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153.75800000000001</v>
      </c>
      <c r="BC127" s="7">
        <v>0</v>
      </c>
      <c r="BD127" s="7">
        <v>0</v>
      </c>
      <c r="BE127" s="7">
        <v>84.775999999999996</v>
      </c>
      <c r="BF127" s="7">
        <v>84.775999999999996</v>
      </c>
      <c r="BG127" s="7">
        <v>0</v>
      </c>
      <c r="BH127" s="7">
        <v>0</v>
      </c>
      <c r="BI127" s="7">
        <v>0</v>
      </c>
      <c r="BJ127" s="21"/>
    </row>
    <row r="128" spans="1:62" ht="15.5" x14ac:dyDescent="0.35">
      <c r="A128" s="5" t="s">
        <v>243</v>
      </c>
      <c r="B128" s="5" t="s">
        <v>244</v>
      </c>
      <c r="C128" s="7">
        <v>4</v>
      </c>
      <c r="D128" s="7">
        <v>4</v>
      </c>
      <c r="E128" s="7">
        <v>32391.713</v>
      </c>
      <c r="F128" s="7">
        <v>7768.8230000000003</v>
      </c>
      <c r="G128" s="7">
        <v>0</v>
      </c>
      <c r="H128" s="7">
        <v>0</v>
      </c>
      <c r="I128" s="7">
        <v>187.131</v>
      </c>
      <c r="J128" s="7">
        <v>0</v>
      </c>
      <c r="K128" s="7">
        <v>0</v>
      </c>
      <c r="L128" s="7">
        <v>87779.437000000005</v>
      </c>
      <c r="M128" s="7">
        <v>3812.8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2410.9520000000002</v>
      </c>
      <c r="T128" s="7">
        <v>0</v>
      </c>
      <c r="U128" s="7">
        <v>0</v>
      </c>
      <c r="V128" s="7">
        <v>0</v>
      </c>
      <c r="W128" s="7">
        <v>651.80100000000004</v>
      </c>
      <c r="X128" s="7">
        <v>0</v>
      </c>
      <c r="Y128" s="7">
        <v>15874.022000000001</v>
      </c>
      <c r="Z128" s="7">
        <v>0</v>
      </c>
      <c r="AA128" s="7">
        <v>0</v>
      </c>
      <c r="AB128" s="7">
        <v>6.6970000000000001</v>
      </c>
      <c r="AC128" s="7">
        <v>1396.0640000000001</v>
      </c>
      <c r="AD128" s="7">
        <v>0</v>
      </c>
      <c r="AE128" s="7">
        <v>39813.932000000001</v>
      </c>
      <c r="AF128" s="7">
        <v>20217.932000000001</v>
      </c>
      <c r="AG128" s="7">
        <v>0</v>
      </c>
      <c r="AH128" s="7">
        <v>147132.93400000001</v>
      </c>
      <c r="AI128" s="7">
        <v>34737.682000000001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894.65099999999995</v>
      </c>
      <c r="AP128" s="7">
        <v>0</v>
      </c>
      <c r="AQ128" s="7">
        <v>7028.9809999999998</v>
      </c>
      <c r="AR128" s="7">
        <v>0</v>
      </c>
      <c r="AS128" s="7">
        <v>25.510999999999999</v>
      </c>
      <c r="AT128" s="7">
        <v>0</v>
      </c>
      <c r="AU128" s="7">
        <v>170.018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258.41399999999999</v>
      </c>
      <c r="BC128" s="7">
        <v>0</v>
      </c>
      <c r="BD128" s="7">
        <v>0</v>
      </c>
      <c r="BE128" s="7">
        <v>70.094999999999999</v>
      </c>
      <c r="BF128" s="7">
        <v>70.094999999999999</v>
      </c>
      <c r="BG128" s="7">
        <v>0</v>
      </c>
      <c r="BH128" s="7">
        <v>0</v>
      </c>
      <c r="BI128" s="7">
        <v>0</v>
      </c>
      <c r="BJ128" s="21"/>
    </row>
    <row r="129" spans="1:62" ht="15.5" x14ac:dyDescent="0.35">
      <c r="A129" s="5" t="s">
        <v>245</v>
      </c>
      <c r="B129" s="5" t="s">
        <v>246</v>
      </c>
      <c r="C129" s="7">
        <v>4</v>
      </c>
      <c r="D129" s="7">
        <v>6</v>
      </c>
      <c r="E129" s="7">
        <v>1759.674</v>
      </c>
      <c r="F129" s="7">
        <v>603.50300000000004</v>
      </c>
      <c r="G129" s="7">
        <v>19.335000000000001</v>
      </c>
      <c r="H129" s="7">
        <v>0.191</v>
      </c>
      <c r="I129" s="7">
        <v>32.344000000000001</v>
      </c>
      <c r="J129" s="7">
        <v>205.34100000000001</v>
      </c>
      <c r="K129" s="7">
        <v>0</v>
      </c>
      <c r="L129" s="7">
        <v>4274.5680000000002</v>
      </c>
      <c r="M129" s="7">
        <v>387.36599999999999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212.286</v>
      </c>
      <c r="T129" s="7">
        <v>0</v>
      </c>
      <c r="U129" s="7">
        <v>0</v>
      </c>
      <c r="V129" s="7">
        <v>19.885999999999999</v>
      </c>
      <c r="W129" s="7">
        <v>27.806000000000001</v>
      </c>
      <c r="X129" s="7">
        <v>0</v>
      </c>
      <c r="Y129" s="7">
        <v>680.71299999999997</v>
      </c>
      <c r="Z129" s="7">
        <v>0</v>
      </c>
      <c r="AA129" s="7">
        <v>458.40499999999997</v>
      </c>
      <c r="AB129" s="7">
        <v>0.28299999999999997</v>
      </c>
      <c r="AC129" s="7">
        <v>105.065</v>
      </c>
      <c r="AD129" s="7">
        <v>0</v>
      </c>
      <c r="AE129" s="7">
        <v>1676.9649999999999</v>
      </c>
      <c r="AF129" s="7">
        <v>856.19399999999996</v>
      </c>
      <c r="AG129" s="7">
        <v>0</v>
      </c>
      <c r="AH129" s="7">
        <v>7147.4859999999999</v>
      </c>
      <c r="AI129" s="7">
        <v>1462.3789999999999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91.302999999999997</v>
      </c>
      <c r="AP129" s="7">
        <v>0</v>
      </c>
      <c r="AQ129" s="7">
        <v>296.64999999999998</v>
      </c>
      <c r="AR129" s="7">
        <v>0</v>
      </c>
      <c r="AS129" s="7">
        <v>1.458</v>
      </c>
      <c r="AT129" s="7">
        <v>0</v>
      </c>
      <c r="AU129" s="7">
        <v>7.2210000000000001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25.901</v>
      </c>
      <c r="BC129" s="7">
        <v>0</v>
      </c>
      <c r="BD129" s="7">
        <v>0</v>
      </c>
      <c r="BE129" s="7">
        <v>6.9939999999999998</v>
      </c>
      <c r="BF129" s="7">
        <v>6.9939999999999998</v>
      </c>
      <c r="BG129" s="7">
        <v>0</v>
      </c>
      <c r="BH129" s="7">
        <v>0</v>
      </c>
      <c r="BI129" s="7">
        <v>0</v>
      </c>
      <c r="BJ129" s="21"/>
    </row>
    <row r="130" spans="1:62" ht="15.5" x14ac:dyDescent="0.35">
      <c r="A130" s="5" t="s">
        <v>247</v>
      </c>
      <c r="B130" s="5" t="s">
        <v>248</v>
      </c>
      <c r="C130" s="7">
        <v>6</v>
      </c>
      <c r="D130" s="7">
        <v>6</v>
      </c>
      <c r="E130" s="7">
        <v>46269.959000000003</v>
      </c>
      <c r="F130" s="7">
        <v>386.19400000000002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75172.516000000003</v>
      </c>
      <c r="M130" s="7">
        <v>11848.441000000001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5004.4290000000001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24549.012999999999</v>
      </c>
      <c r="AF130" s="7">
        <v>79.497</v>
      </c>
      <c r="AG130" s="7">
        <v>0</v>
      </c>
      <c r="AH130" s="7">
        <v>114753.236</v>
      </c>
      <c r="AI130" s="7">
        <v>50.728999999999999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21"/>
    </row>
    <row r="131" spans="1:62" ht="15.5" x14ac:dyDescent="0.35">
      <c r="A131" s="5" t="s">
        <v>249</v>
      </c>
      <c r="B131" s="5" t="s">
        <v>250</v>
      </c>
      <c r="C131" s="7">
        <v>6</v>
      </c>
      <c r="D131" s="7">
        <v>6</v>
      </c>
      <c r="E131" s="7">
        <v>69938.945999999996</v>
      </c>
      <c r="F131" s="7">
        <v>5340.7619999999997</v>
      </c>
      <c r="G131" s="7">
        <v>7465.9009999999998</v>
      </c>
      <c r="H131" s="7">
        <v>0</v>
      </c>
      <c r="I131" s="7">
        <v>1278.617</v>
      </c>
      <c r="J131" s="7">
        <v>4605.6130000000003</v>
      </c>
      <c r="K131" s="7">
        <v>0</v>
      </c>
      <c r="L131" s="7">
        <v>63979.137999999999</v>
      </c>
      <c r="M131" s="7">
        <v>21057.928</v>
      </c>
      <c r="N131" s="7">
        <v>0</v>
      </c>
      <c r="O131" s="7">
        <v>0</v>
      </c>
      <c r="P131" s="7">
        <v>234.67599999999999</v>
      </c>
      <c r="Q131" s="7">
        <v>0</v>
      </c>
      <c r="R131" s="7">
        <v>2.4750000000000001</v>
      </c>
      <c r="S131" s="7">
        <v>0</v>
      </c>
      <c r="T131" s="7">
        <v>0</v>
      </c>
      <c r="U131" s="7">
        <v>0</v>
      </c>
      <c r="V131" s="7">
        <v>731.74599999999998</v>
      </c>
      <c r="W131" s="7">
        <v>2226.1640000000002</v>
      </c>
      <c r="X131" s="7">
        <v>0</v>
      </c>
      <c r="Y131" s="7">
        <v>17698.576000000001</v>
      </c>
      <c r="Z131" s="7">
        <v>0</v>
      </c>
      <c r="AA131" s="7">
        <v>6369.89</v>
      </c>
      <c r="AB131" s="7">
        <v>0</v>
      </c>
      <c r="AC131" s="7">
        <v>984.97</v>
      </c>
      <c r="AD131" s="7">
        <v>0</v>
      </c>
      <c r="AE131" s="7">
        <v>56822.675000000003</v>
      </c>
      <c r="AF131" s="7">
        <v>0</v>
      </c>
      <c r="AG131" s="7">
        <v>0</v>
      </c>
      <c r="AH131" s="7">
        <v>138265.255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5" x14ac:dyDescent="0.35">
      <c r="A132" s="5" t="s">
        <v>251</v>
      </c>
      <c r="B132" s="5" t="s">
        <v>252</v>
      </c>
      <c r="C132" s="7">
        <v>6</v>
      </c>
      <c r="D132" s="7">
        <v>6</v>
      </c>
      <c r="E132" s="7">
        <v>12371.576999999999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64995.398999999998</v>
      </c>
      <c r="M132" s="7">
        <v>1885.296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218.566</v>
      </c>
      <c r="AB132" s="7">
        <v>0</v>
      </c>
      <c r="AC132" s="7">
        <v>0</v>
      </c>
      <c r="AD132" s="7">
        <v>0</v>
      </c>
      <c r="AE132" s="7">
        <v>14466.187</v>
      </c>
      <c r="AF132" s="7">
        <v>0</v>
      </c>
      <c r="AG132" s="7">
        <v>0</v>
      </c>
      <c r="AH132" s="7">
        <v>88283.710999999996</v>
      </c>
      <c r="AI132" s="7">
        <v>16162.359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5" x14ac:dyDescent="0.35">
      <c r="A133" s="5" t="s">
        <v>253</v>
      </c>
      <c r="B133" s="5" t="s">
        <v>254</v>
      </c>
      <c r="C133" s="7">
        <v>6</v>
      </c>
      <c r="D133" s="7">
        <v>6</v>
      </c>
      <c r="E133" s="7">
        <v>186084.07800000001</v>
      </c>
      <c r="F133" s="7">
        <v>13379.326999999999</v>
      </c>
      <c r="G133" s="7">
        <v>8234.3539999999994</v>
      </c>
      <c r="H133" s="7">
        <v>4630.335</v>
      </c>
      <c r="I133" s="7">
        <v>1225.413</v>
      </c>
      <c r="J133" s="7">
        <v>5695.1670000000004</v>
      </c>
      <c r="K133" s="7">
        <v>0</v>
      </c>
      <c r="L133" s="7">
        <v>285274.79300000001</v>
      </c>
      <c r="M133" s="7">
        <v>57481.898000000001</v>
      </c>
      <c r="N133" s="7">
        <v>0</v>
      </c>
      <c r="O133" s="7">
        <v>0</v>
      </c>
      <c r="P133" s="7">
        <v>197.95599999999999</v>
      </c>
      <c r="Q133" s="7">
        <v>0</v>
      </c>
      <c r="R133" s="7">
        <v>100.41500000000001</v>
      </c>
      <c r="S133" s="7">
        <v>3142.1129999999998</v>
      </c>
      <c r="T133" s="7">
        <v>0</v>
      </c>
      <c r="U133" s="7">
        <v>0</v>
      </c>
      <c r="V133" s="7">
        <v>946.65499999999997</v>
      </c>
      <c r="W133" s="7">
        <v>2855.3229999999999</v>
      </c>
      <c r="X133" s="7">
        <v>0</v>
      </c>
      <c r="Y133" s="7">
        <v>29852.587</v>
      </c>
      <c r="Z133" s="7">
        <v>0</v>
      </c>
      <c r="AA133" s="7">
        <v>8728.9140000000007</v>
      </c>
      <c r="AB133" s="7">
        <v>0</v>
      </c>
      <c r="AC133" s="7">
        <v>1420.934</v>
      </c>
      <c r="AD133" s="7">
        <v>0</v>
      </c>
      <c r="AE133" s="7">
        <v>106536.697</v>
      </c>
      <c r="AF133" s="7">
        <v>462.93599999999998</v>
      </c>
      <c r="AG133" s="7">
        <v>0</v>
      </c>
      <c r="AH133" s="7">
        <v>437147.85399999999</v>
      </c>
      <c r="AI133" s="7">
        <v>1055.0609999999999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83.149000000000001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5" x14ac:dyDescent="0.35">
      <c r="A134" s="5" t="s">
        <v>255</v>
      </c>
      <c r="B134" s="5" t="s">
        <v>256</v>
      </c>
      <c r="C134" s="7">
        <v>6</v>
      </c>
      <c r="D134" s="7">
        <v>6</v>
      </c>
      <c r="E134" s="7">
        <v>6883.69</v>
      </c>
      <c r="F134" s="7">
        <v>31.085999999999999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8002.8590000000004</v>
      </c>
      <c r="M134" s="7">
        <v>671.25699999999995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614.61300000000006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3144.143</v>
      </c>
      <c r="AF134" s="7">
        <v>341.315</v>
      </c>
      <c r="AG134" s="7">
        <v>0</v>
      </c>
      <c r="AH134" s="7">
        <v>13597.880999999999</v>
      </c>
      <c r="AI134" s="7">
        <v>1126.7909999999999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5" x14ac:dyDescent="0.35">
      <c r="A135" s="5" t="s">
        <v>257</v>
      </c>
      <c r="B135" s="5" t="s">
        <v>258</v>
      </c>
      <c r="C135" s="7">
        <v>6</v>
      </c>
      <c r="D135" s="7">
        <v>6</v>
      </c>
      <c r="E135" s="7">
        <v>44963.828999999998</v>
      </c>
      <c r="F135" s="7">
        <v>1734.866</v>
      </c>
      <c r="G135" s="7">
        <v>0</v>
      </c>
      <c r="H135" s="7">
        <v>0</v>
      </c>
      <c r="I135" s="7">
        <v>1.081</v>
      </c>
      <c r="J135" s="7">
        <v>0</v>
      </c>
      <c r="K135" s="7">
        <v>0</v>
      </c>
      <c r="L135" s="7">
        <v>82865.048999999999</v>
      </c>
      <c r="M135" s="7">
        <v>23208.267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2407.7280000000001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32095.684000000001</v>
      </c>
      <c r="AF135" s="7">
        <v>1473.307</v>
      </c>
      <c r="AG135" s="7">
        <v>0</v>
      </c>
      <c r="AH135" s="7">
        <v>147040.41200000001</v>
      </c>
      <c r="AI135" s="7">
        <v>1943.1590000000001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5" x14ac:dyDescent="0.35">
      <c r="A136" s="5" t="s">
        <v>259</v>
      </c>
      <c r="B136" s="5" t="s">
        <v>260</v>
      </c>
      <c r="C136" s="7">
        <v>6</v>
      </c>
      <c r="D136" s="7">
        <v>6</v>
      </c>
      <c r="E136" s="7">
        <v>21468.949000000001</v>
      </c>
      <c r="F136" s="7">
        <v>-3.0000000000000001E-3</v>
      </c>
      <c r="G136" s="7">
        <v>-5.0000000000000001E-3</v>
      </c>
      <c r="H136" s="7">
        <v>0</v>
      </c>
      <c r="I136" s="7">
        <v>0</v>
      </c>
      <c r="J136" s="7">
        <v>-3.0000000000000001E-3</v>
      </c>
      <c r="K136" s="7">
        <v>0</v>
      </c>
      <c r="L136" s="7">
        <v>44796.165000000001</v>
      </c>
      <c r="M136" s="7">
        <v>3600.3040000000001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-1E-3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-3.0000000000000001E-3</v>
      </c>
      <c r="Z136" s="7">
        <v>0</v>
      </c>
      <c r="AA136" s="7">
        <v>-4.0000000000000001E-3</v>
      </c>
      <c r="AB136" s="7">
        <v>0</v>
      </c>
      <c r="AC136" s="7">
        <v>0</v>
      </c>
      <c r="AD136" s="7">
        <v>0</v>
      </c>
      <c r="AE136" s="7">
        <v>8291.6620000000003</v>
      </c>
      <c r="AF136" s="7">
        <v>0</v>
      </c>
      <c r="AG136" s="7">
        <v>0</v>
      </c>
      <c r="AH136" s="7">
        <v>80853.542000000001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5" x14ac:dyDescent="0.35">
      <c r="A137" s="5" t="s">
        <v>261</v>
      </c>
      <c r="B137" s="5" t="s">
        <v>262</v>
      </c>
      <c r="C137" s="7">
        <v>6</v>
      </c>
      <c r="D137" s="7">
        <v>6</v>
      </c>
      <c r="E137" s="7">
        <v>969349.61899999995</v>
      </c>
      <c r="F137" s="7">
        <v>17747.748</v>
      </c>
      <c r="G137" s="7">
        <v>20613.592000000001</v>
      </c>
      <c r="H137" s="7">
        <v>2018.2380000000001</v>
      </c>
      <c r="I137" s="7">
        <v>3978.692</v>
      </c>
      <c r="J137" s="7">
        <v>12371.968999999999</v>
      </c>
      <c r="K137" s="7">
        <v>0</v>
      </c>
      <c r="L137" s="7">
        <v>962334.31299999997</v>
      </c>
      <c r="M137" s="7">
        <v>296228.11700000003</v>
      </c>
      <c r="N137" s="7">
        <v>0</v>
      </c>
      <c r="O137" s="7">
        <v>0</v>
      </c>
      <c r="P137" s="7">
        <v>673.71500000000003</v>
      </c>
      <c r="Q137" s="7">
        <v>0</v>
      </c>
      <c r="R137" s="7">
        <v>1.8440000000000001</v>
      </c>
      <c r="S137" s="7">
        <v>0</v>
      </c>
      <c r="T137" s="7">
        <v>0</v>
      </c>
      <c r="U137" s="7">
        <v>0</v>
      </c>
      <c r="V137" s="7">
        <v>1415.7560000000001</v>
      </c>
      <c r="W137" s="7">
        <v>4408.0789999999997</v>
      </c>
      <c r="X137" s="7">
        <v>0</v>
      </c>
      <c r="Y137" s="7">
        <v>133021.87299999999</v>
      </c>
      <c r="Z137" s="7">
        <v>0</v>
      </c>
      <c r="AA137" s="7">
        <v>14521.397999999999</v>
      </c>
      <c r="AB137" s="7">
        <v>0</v>
      </c>
      <c r="AC137" s="7">
        <v>1858.539</v>
      </c>
      <c r="AD137" s="7">
        <v>0</v>
      </c>
      <c r="AE137" s="7">
        <v>537437.37300000002</v>
      </c>
      <c r="AF137" s="7">
        <v>11494.005999999999</v>
      </c>
      <c r="AG137" s="7">
        <v>0</v>
      </c>
      <c r="AH137" s="7">
        <v>2066522.7150000001</v>
      </c>
      <c r="AI137" s="7">
        <v>31465.659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117.813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5" x14ac:dyDescent="0.35">
      <c r="A138" s="5" t="s">
        <v>263</v>
      </c>
      <c r="B138" s="5" t="s">
        <v>264</v>
      </c>
      <c r="C138" s="7">
        <v>4</v>
      </c>
      <c r="D138" s="7">
        <v>4</v>
      </c>
      <c r="E138" s="7">
        <v>1031.2809999999999</v>
      </c>
      <c r="F138" s="7">
        <v>188.68799999999999</v>
      </c>
      <c r="G138" s="7">
        <v>97.445999999999998</v>
      </c>
      <c r="H138" s="7">
        <v>0</v>
      </c>
      <c r="I138" s="7">
        <v>15.792999999999999</v>
      </c>
      <c r="J138" s="7">
        <v>53.884999999999998</v>
      </c>
      <c r="K138" s="7">
        <v>0</v>
      </c>
      <c r="L138" s="7">
        <v>1690.2860000000001</v>
      </c>
      <c r="M138" s="7">
        <v>363.02</v>
      </c>
      <c r="N138" s="7">
        <v>0</v>
      </c>
      <c r="O138" s="7">
        <v>0</v>
      </c>
      <c r="P138" s="7">
        <v>3.1E-2</v>
      </c>
      <c r="Q138" s="7">
        <v>0</v>
      </c>
      <c r="R138" s="7">
        <v>0</v>
      </c>
      <c r="S138" s="7">
        <v>67.531000000000006</v>
      </c>
      <c r="T138" s="7">
        <v>0</v>
      </c>
      <c r="U138" s="7">
        <v>0</v>
      </c>
      <c r="V138" s="7">
        <v>10.241</v>
      </c>
      <c r="W138" s="7">
        <v>30.779</v>
      </c>
      <c r="X138" s="7">
        <v>0</v>
      </c>
      <c r="Y138" s="7">
        <v>314.06799999999998</v>
      </c>
      <c r="Z138" s="7">
        <v>0</v>
      </c>
      <c r="AA138" s="7">
        <v>80.269000000000005</v>
      </c>
      <c r="AB138" s="7">
        <v>0</v>
      </c>
      <c r="AC138" s="7">
        <v>34.06</v>
      </c>
      <c r="AD138" s="7">
        <v>0</v>
      </c>
      <c r="AE138" s="7">
        <v>706.68700000000001</v>
      </c>
      <c r="AF138" s="7">
        <v>354.69900000000001</v>
      </c>
      <c r="AG138" s="7">
        <v>0</v>
      </c>
      <c r="AH138" s="7">
        <v>3007.5039999999999</v>
      </c>
      <c r="AI138" s="7">
        <v>639.56500000000005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18.696000000000002</v>
      </c>
      <c r="AP138" s="7">
        <v>0</v>
      </c>
      <c r="AQ138" s="7">
        <v>122.271</v>
      </c>
      <c r="AR138" s="7">
        <v>0</v>
      </c>
      <c r="AS138" s="7">
        <v>0.629</v>
      </c>
      <c r="AT138" s="7">
        <v>0</v>
      </c>
      <c r="AU138" s="7">
        <v>9.4320000000000004</v>
      </c>
      <c r="AV138" s="7">
        <v>0</v>
      </c>
      <c r="AW138" s="7">
        <v>0</v>
      </c>
      <c r="AX138" s="7">
        <v>0</v>
      </c>
      <c r="AY138" s="7">
        <v>9.3889999999999993</v>
      </c>
      <c r="AZ138" s="7">
        <v>75.924999999999997</v>
      </c>
      <c r="BA138" s="7">
        <v>0</v>
      </c>
      <c r="BB138" s="7">
        <v>5.7</v>
      </c>
      <c r="BC138" s="7">
        <v>3.032</v>
      </c>
      <c r="BD138" s="7">
        <v>88.254000000000005</v>
      </c>
      <c r="BE138" s="7">
        <v>1.4650000000000001</v>
      </c>
      <c r="BF138" s="7">
        <v>1.4650000000000001</v>
      </c>
      <c r="BG138" s="7">
        <v>29.693000000000001</v>
      </c>
      <c r="BH138" s="7">
        <v>0</v>
      </c>
      <c r="BI138" s="7">
        <v>1.3720000000000001</v>
      </c>
      <c r="BJ138" s="21"/>
    </row>
    <row r="139" spans="1:62" ht="15.5" x14ac:dyDescent="0.35">
      <c r="A139" s="5" t="s">
        <v>265</v>
      </c>
      <c r="B139" s="5" t="s">
        <v>266</v>
      </c>
      <c r="C139" s="7">
        <v>6</v>
      </c>
      <c r="D139" s="7">
        <v>6</v>
      </c>
      <c r="E139" s="7">
        <v>2790.085</v>
      </c>
      <c r="F139" s="7">
        <v>52.832000000000001</v>
      </c>
      <c r="G139" s="7">
        <v>0</v>
      </c>
      <c r="H139" s="7">
        <v>1.0999999999999999E-2</v>
      </c>
      <c r="I139" s="7">
        <v>2.0219999999999998</v>
      </c>
      <c r="J139" s="7">
        <v>0</v>
      </c>
      <c r="K139" s="7">
        <v>0</v>
      </c>
      <c r="L139" s="7">
        <v>4672.8829999999998</v>
      </c>
      <c r="M139" s="7">
        <v>1044.953</v>
      </c>
      <c r="N139" s="7">
        <v>0</v>
      </c>
      <c r="O139" s="7">
        <v>0</v>
      </c>
      <c r="P139" s="7">
        <v>0.01</v>
      </c>
      <c r="Q139" s="7">
        <v>0</v>
      </c>
      <c r="R139" s="7">
        <v>0</v>
      </c>
      <c r="S139" s="7">
        <v>16.988</v>
      </c>
      <c r="T139" s="7">
        <v>0</v>
      </c>
      <c r="U139" s="7">
        <v>0</v>
      </c>
      <c r="V139" s="7">
        <v>0</v>
      </c>
      <c r="W139" s="7">
        <v>5.14</v>
      </c>
      <c r="X139" s="7">
        <v>0</v>
      </c>
      <c r="Y139" s="7">
        <v>579.59500000000003</v>
      </c>
      <c r="Z139" s="7">
        <v>0</v>
      </c>
      <c r="AA139" s="7">
        <v>0</v>
      </c>
      <c r="AB139" s="7">
        <v>0</v>
      </c>
      <c r="AC139" s="7">
        <v>10.096</v>
      </c>
      <c r="AD139" s="7">
        <v>0</v>
      </c>
      <c r="AE139" s="7">
        <v>2402.973</v>
      </c>
      <c r="AF139" s="7">
        <v>145.93600000000001</v>
      </c>
      <c r="AG139" s="7">
        <v>0</v>
      </c>
      <c r="AH139" s="7">
        <v>9949.4369999999999</v>
      </c>
      <c r="AI139" s="7">
        <v>262.80799999999999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5.4720000000000004</v>
      </c>
      <c r="AP139" s="7">
        <v>0</v>
      </c>
      <c r="AQ139" s="7">
        <v>50.372999999999998</v>
      </c>
      <c r="AR139" s="7">
        <v>0</v>
      </c>
      <c r="AS139" s="7">
        <v>0.16400000000000001</v>
      </c>
      <c r="AT139" s="7">
        <v>0</v>
      </c>
      <c r="AU139" s="7">
        <v>1.149</v>
      </c>
      <c r="AV139" s="7">
        <v>0</v>
      </c>
      <c r="AW139" s="7">
        <v>0</v>
      </c>
      <c r="AX139" s="7">
        <v>0</v>
      </c>
      <c r="AY139" s="7">
        <v>2.1829999999999998</v>
      </c>
      <c r="AZ139" s="7">
        <v>31.279</v>
      </c>
      <c r="BA139" s="7">
        <v>0</v>
      </c>
      <c r="BB139" s="7">
        <v>1.6759999999999999</v>
      </c>
      <c r="BC139" s="7">
        <v>0</v>
      </c>
      <c r="BD139" s="7">
        <v>36.357999999999997</v>
      </c>
      <c r="BE139" s="7">
        <v>0.42899999999999999</v>
      </c>
      <c r="BF139" s="7">
        <v>0.42899999999999999</v>
      </c>
      <c r="BG139" s="7">
        <v>12.233000000000001</v>
      </c>
      <c r="BH139" s="7">
        <v>0</v>
      </c>
      <c r="BI139" s="7">
        <v>0</v>
      </c>
      <c r="BJ139" s="21"/>
    </row>
    <row r="140" spans="1:62" ht="15.5" x14ac:dyDescent="0.35">
      <c r="A140" s="5" t="s">
        <v>267</v>
      </c>
      <c r="B140" s="5" t="s">
        <v>268</v>
      </c>
      <c r="C140" s="7">
        <v>4</v>
      </c>
      <c r="D140" s="7">
        <v>4</v>
      </c>
      <c r="E140" s="7">
        <v>15.516</v>
      </c>
      <c r="F140" s="7">
        <v>3.4980000000000002</v>
      </c>
      <c r="G140" s="7">
        <v>0</v>
      </c>
      <c r="H140" s="7">
        <v>0</v>
      </c>
      <c r="I140" s="7">
        <v>0.10199999999999999</v>
      </c>
      <c r="J140" s="7">
        <v>0</v>
      </c>
      <c r="K140" s="7">
        <v>0</v>
      </c>
      <c r="L140" s="7">
        <v>40.198999999999998</v>
      </c>
      <c r="M140" s="7">
        <v>2.2429999999999999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1.1000000000000001</v>
      </c>
      <c r="T140" s="7">
        <v>0</v>
      </c>
      <c r="U140" s="7">
        <v>0</v>
      </c>
      <c r="V140" s="7">
        <v>0</v>
      </c>
      <c r="W140" s="7">
        <v>0.31</v>
      </c>
      <c r="X140" s="7">
        <v>0</v>
      </c>
      <c r="Y140" s="7">
        <v>7.1479999999999997</v>
      </c>
      <c r="Z140" s="7">
        <v>0</v>
      </c>
      <c r="AA140" s="7">
        <v>0</v>
      </c>
      <c r="AB140" s="7">
        <v>2E-3</v>
      </c>
      <c r="AC140" s="7">
        <v>0.64300000000000002</v>
      </c>
      <c r="AD140" s="7">
        <v>0</v>
      </c>
      <c r="AE140" s="7">
        <v>17.728999999999999</v>
      </c>
      <c r="AF140" s="7">
        <v>9.3059999999999992</v>
      </c>
      <c r="AG140" s="7">
        <v>0</v>
      </c>
      <c r="AH140" s="7">
        <v>68.061000000000007</v>
      </c>
      <c r="AI140" s="7">
        <v>16.277999999999999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0.38800000000000001</v>
      </c>
      <c r="AP140" s="7">
        <v>0</v>
      </c>
      <c r="AQ140" s="7">
        <v>3.2269999999999999</v>
      </c>
      <c r="AR140" s="7">
        <v>0</v>
      </c>
      <c r="AS140" s="7">
        <v>1.0999999999999999E-2</v>
      </c>
      <c r="AT140" s="7">
        <v>0</v>
      </c>
      <c r="AU140" s="7">
        <v>7.5999999999999998E-2</v>
      </c>
      <c r="AV140" s="7">
        <v>0</v>
      </c>
      <c r="AW140" s="7">
        <v>0</v>
      </c>
      <c r="AX140" s="7">
        <v>0</v>
      </c>
      <c r="AY140" s="7">
        <v>5.1999999999999998E-2</v>
      </c>
      <c r="AZ140" s="7">
        <v>0.751</v>
      </c>
      <c r="BA140" s="7">
        <v>0</v>
      </c>
      <c r="BB140" s="7">
        <v>0.114</v>
      </c>
      <c r="BC140" s="7">
        <v>0</v>
      </c>
      <c r="BD140" s="7">
        <v>0.873</v>
      </c>
      <c r="BE140" s="7">
        <v>0.03</v>
      </c>
      <c r="BF140" s="7">
        <v>0.03</v>
      </c>
      <c r="BG140" s="7">
        <v>0.29399999999999998</v>
      </c>
      <c r="BH140" s="7">
        <v>0</v>
      </c>
      <c r="BI140" s="7">
        <v>0</v>
      </c>
      <c r="BJ140" s="21"/>
    </row>
    <row r="141" spans="1:62" ht="15.5" x14ac:dyDescent="0.35">
      <c r="A141" s="5" t="s">
        <v>269</v>
      </c>
      <c r="B141" s="5" t="s">
        <v>270</v>
      </c>
      <c r="C141" s="7">
        <v>6</v>
      </c>
      <c r="D141" s="7">
        <v>6</v>
      </c>
      <c r="E141" s="7">
        <v>1690.3979999999999</v>
      </c>
      <c r="F141" s="7">
        <v>12.456</v>
      </c>
      <c r="G141" s="7">
        <v>17.678000000000001</v>
      </c>
      <c r="H141" s="7">
        <v>0</v>
      </c>
      <c r="I141" s="7">
        <v>3.0960000000000001</v>
      </c>
      <c r="J141" s="7">
        <v>10.805</v>
      </c>
      <c r="K141" s="7">
        <v>0</v>
      </c>
      <c r="L141" s="7">
        <v>2550.7629999999999</v>
      </c>
      <c r="M141" s="7">
        <v>560.32500000000005</v>
      </c>
      <c r="N141" s="7">
        <v>0</v>
      </c>
      <c r="O141" s="7">
        <v>0</v>
      </c>
      <c r="P141" s="7">
        <v>0.57299999999999995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1.5940000000000001</v>
      </c>
      <c r="W141" s="7">
        <v>4.8630000000000004</v>
      </c>
      <c r="X141" s="7">
        <v>0</v>
      </c>
      <c r="Y141" s="7">
        <v>506.85399999999998</v>
      </c>
      <c r="Z141" s="7">
        <v>0</v>
      </c>
      <c r="AA141" s="7">
        <v>13.586</v>
      </c>
      <c r="AB141" s="7">
        <v>0</v>
      </c>
      <c r="AC141" s="7">
        <v>2.0590000000000002</v>
      </c>
      <c r="AD141" s="7">
        <v>0</v>
      </c>
      <c r="AE141" s="7">
        <v>1983.46</v>
      </c>
      <c r="AF141" s="7">
        <v>0</v>
      </c>
      <c r="AG141" s="7">
        <v>0</v>
      </c>
      <c r="AH141" s="7">
        <v>5377.5169999999998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21"/>
    </row>
    <row r="142" spans="1:62" ht="15.5" x14ac:dyDescent="0.35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5" x14ac:dyDescent="0.35">
      <c r="A143" s="5" t="s">
        <v>273</v>
      </c>
      <c r="B143" s="5" t="s">
        <v>274</v>
      </c>
      <c r="C143" s="7">
        <v>6</v>
      </c>
      <c r="D143" s="7">
        <v>6</v>
      </c>
      <c r="E143" s="7">
        <v>19236.792000000001</v>
      </c>
      <c r="F143" s="7">
        <v>561.75699999999995</v>
      </c>
      <c r="G143" s="7">
        <v>0</v>
      </c>
      <c r="H143" s="7">
        <v>0</v>
      </c>
      <c r="I143" s="7">
        <v>21.498000000000001</v>
      </c>
      <c r="J143" s="7">
        <v>0</v>
      </c>
      <c r="K143" s="7">
        <v>0</v>
      </c>
      <c r="L143" s="7">
        <v>24875.797999999999</v>
      </c>
      <c r="M143" s="7">
        <v>508.89299999999997</v>
      </c>
      <c r="N143" s="7">
        <v>0</v>
      </c>
      <c r="O143" s="7">
        <v>643.80700000000002</v>
      </c>
      <c r="P143" s="7">
        <v>0.10199999999999999</v>
      </c>
      <c r="Q143" s="7">
        <v>899.81500000000005</v>
      </c>
      <c r="R143" s="7">
        <v>0</v>
      </c>
      <c r="S143" s="7">
        <v>180.636</v>
      </c>
      <c r="T143" s="7">
        <v>0</v>
      </c>
      <c r="U143" s="7">
        <v>0</v>
      </c>
      <c r="V143" s="7">
        <v>0</v>
      </c>
      <c r="W143" s="7">
        <v>54.658000000000001</v>
      </c>
      <c r="X143" s="7">
        <v>0</v>
      </c>
      <c r="Y143" s="7">
        <v>1148.19</v>
      </c>
      <c r="Z143" s="7">
        <v>0</v>
      </c>
      <c r="AA143" s="7">
        <v>0</v>
      </c>
      <c r="AB143" s="7">
        <v>40990.800000000003</v>
      </c>
      <c r="AC143" s="7">
        <v>107.352</v>
      </c>
      <c r="AD143" s="7">
        <v>0</v>
      </c>
      <c r="AE143" s="7">
        <v>38579.341999999997</v>
      </c>
      <c r="AF143" s="7">
        <v>1551.646</v>
      </c>
      <c r="AG143" s="7">
        <v>0</v>
      </c>
      <c r="AH143" s="7">
        <v>11443.032999999999</v>
      </c>
      <c r="AI143" s="7">
        <v>2794.297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58.185000000000002</v>
      </c>
      <c r="AP143" s="7">
        <v>0</v>
      </c>
      <c r="AQ143" s="7">
        <v>535.60699999999997</v>
      </c>
      <c r="AR143" s="7">
        <v>0</v>
      </c>
      <c r="AS143" s="7">
        <v>1.742</v>
      </c>
      <c r="AT143" s="7">
        <v>0</v>
      </c>
      <c r="AU143" s="7">
        <v>12.221</v>
      </c>
      <c r="AV143" s="7">
        <v>0</v>
      </c>
      <c r="AW143" s="7">
        <v>0</v>
      </c>
      <c r="AX143" s="7">
        <v>0</v>
      </c>
      <c r="AY143" s="7">
        <v>23.209</v>
      </c>
      <c r="AZ143" s="7">
        <v>332.589</v>
      </c>
      <c r="BA143" s="7">
        <v>0</v>
      </c>
      <c r="BB143" s="7">
        <v>17.815000000000001</v>
      </c>
      <c r="BC143" s="7">
        <v>0</v>
      </c>
      <c r="BD143" s="7">
        <v>386.59300000000002</v>
      </c>
      <c r="BE143" s="7">
        <v>4.5650000000000004</v>
      </c>
      <c r="BF143" s="7">
        <v>4.5650000000000004</v>
      </c>
      <c r="BG143" s="7">
        <v>130.06800000000001</v>
      </c>
      <c r="BH143" s="7">
        <v>0</v>
      </c>
      <c r="BI143" s="7">
        <v>0</v>
      </c>
      <c r="BJ143" s="21"/>
    </row>
    <row r="144" spans="1:62" ht="15.5" x14ac:dyDescent="0.35">
      <c r="A144" s="5" t="s">
        <v>275</v>
      </c>
      <c r="B144" s="5" t="s">
        <v>276</v>
      </c>
      <c r="C144" s="7">
        <v>6</v>
      </c>
      <c r="D144" s="7">
        <v>6</v>
      </c>
      <c r="E144" s="7">
        <v>51463.101999999999</v>
      </c>
      <c r="F144" s="7">
        <v>2826.9830000000002</v>
      </c>
      <c r="G144" s="7">
        <v>3744.049</v>
      </c>
      <c r="H144" s="7">
        <v>0.219</v>
      </c>
      <c r="I144" s="7">
        <v>343.33699999999999</v>
      </c>
      <c r="J144" s="7">
        <v>2728.0680000000002</v>
      </c>
      <c r="K144" s="7">
        <v>0</v>
      </c>
      <c r="L144" s="7">
        <v>49853.487999999998</v>
      </c>
      <c r="M144" s="7">
        <v>15502.848</v>
      </c>
      <c r="N144" s="7">
        <v>0</v>
      </c>
      <c r="O144" s="7">
        <v>-25.463000000000001</v>
      </c>
      <c r="P144" s="7">
        <v>56.283999999999999</v>
      </c>
      <c r="Q144" s="7">
        <v>-20.021000000000001</v>
      </c>
      <c r="R144" s="7">
        <v>-28.8</v>
      </c>
      <c r="S144" s="7">
        <v>-13.601000000000001</v>
      </c>
      <c r="T144" s="7">
        <v>0</v>
      </c>
      <c r="U144" s="7">
        <v>0</v>
      </c>
      <c r="V144" s="7">
        <v>292.339</v>
      </c>
      <c r="W144" s="7">
        <v>754.93399999999997</v>
      </c>
      <c r="X144" s="7">
        <v>-314.358</v>
      </c>
      <c r="Y144" s="7">
        <v>10104.876</v>
      </c>
      <c r="Z144" s="7">
        <v>-925.80499999999995</v>
      </c>
      <c r="AA144" s="7">
        <v>3221.125</v>
      </c>
      <c r="AB144" s="7">
        <v>-731.98800000000006</v>
      </c>
      <c r="AC144" s="7">
        <v>557.84500000000003</v>
      </c>
      <c r="AD144" s="7">
        <v>-60.960999999999999</v>
      </c>
      <c r="AE144" s="7">
        <v>35633.067999999999</v>
      </c>
      <c r="AF144" s="7">
        <v>1189.538</v>
      </c>
      <c r="AG144" s="7">
        <v>-201.268</v>
      </c>
      <c r="AH144" s="7">
        <v>104313.01300000001</v>
      </c>
      <c r="AI144" s="7">
        <v>669.88599999999997</v>
      </c>
      <c r="AJ144" s="7">
        <v>-4663.8360000000002</v>
      </c>
      <c r="AK144" s="7">
        <v>-85590.566000000006</v>
      </c>
      <c r="AL144" s="7">
        <v>-48700.49</v>
      </c>
      <c r="AM144" s="7">
        <v>0</v>
      </c>
      <c r="AN144" s="7">
        <v>-30471.383000000002</v>
      </c>
      <c r="AO144" s="7">
        <v>153.95400000000001</v>
      </c>
      <c r="AP144" s="7">
        <v>0</v>
      </c>
      <c r="AQ144" s="7">
        <v>167.59299999999999</v>
      </c>
      <c r="AR144" s="7">
        <v>0</v>
      </c>
      <c r="AS144" s="7">
        <v>2.3639999999999999</v>
      </c>
      <c r="AT144" s="7">
        <v>0</v>
      </c>
      <c r="AU144" s="7">
        <v>42.223999999999997</v>
      </c>
      <c r="AV144" s="7">
        <v>0</v>
      </c>
      <c r="AW144" s="7">
        <v>0</v>
      </c>
      <c r="AX144" s="7">
        <v>-249.30500000000001</v>
      </c>
      <c r="AY144" s="7">
        <v>-15.872</v>
      </c>
      <c r="AZ144" s="7">
        <v>-1.036</v>
      </c>
      <c r="BA144" s="7">
        <v>-202.22</v>
      </c>
      <c r="BB144" s="7">
        <v>38.872</v>
      </c>
      <c r="BC144" s="7">
        <v>-1.347</v>
      </c>
      <c r="BD144" s="7">
        <v>-1.5940000000000001</v>
      </c>
      <c r="BE144" s="7">
        <v>10.39</v>
      </c>
      <c r="BF144" s="7">
        <v>10.39</v>
      </c>
      <c r="BG144" s="7">
        <v>0</v>
      </c>
      <c r="BH144" s="7">
        <v>-2829.2429999999999</v>
      </c>
      <c r="BI144" s="7">
        <v>-1.3540000000000001</v>
      </c>
      <c r="BJ144" s="21"/>
    </row>
    <row r="145" spans="1:62" ht="15.5" x14ac:dyDescent="0.35">
      <c r="A145" s="5" t="s">
        <v>277</v>
      </c>
      <c r="B145" s="5" t="s">
        <v>278</v>
      </c>
      <c r="C145" s="7">
        <v>6</v>
      </c>
      <c r="D145" s="7">
        <v>6</v>
      </c>
      <c r="E145" s="7">
        <v>6372.0379999999996</v>
      </c>
      <c r="F145" s="7">
        <v>671.14499999999998</v>
      </c>
      <c r="G145" s="7">
        <v>479.72</v>
      </c>
      <c r="H145" s="7">
        <v>0.106</v>
      </c>
      <c r="I145" s="7">
        <v>90.808000000000007</v>
      </c>
      <c r="J145" s="7">
        <v>363.666</v>
      </c>
      <c r="K145" s="7">
        <v>0</v>
      </c>
      <c r="L145" s="7">
        <v>6577.5330000000004</v>
      </c>
      <c r="M145" s="7">
        <v>1450.857</v>
      </c>
      <c r="N145" s="7">
        <v>0</v>
      </c>
      <c r="O145" s="7">
        <v>0</v>
      </c>
      <c r="P145" s="7">
        <v>12.013999999999999</v>
      </c>
      <c r="Q145" s="7">
        <v>0</v>
      </c>
      <c r="R145" s="7">
        <v>0.38400000000000001</v>
      </c>
      <c r="S145" s="7">
        <v>161.946</v>
      </c>
      <c r="T145" s="7">
        <v>0</v>
      </c>
      <c r="U145" s="7">
        <v>0</v>
      </c>
      <c r="V145" s="7">
        <v>62.162999999999997</v>
      </c>
      <c r="W145" s="7">
        <v>163.364</v>
      </c>
      <c r="X145" s="7">
        <v>0</v>
      </c>
      <c r="Y145" s="7">
        <v>1769.317</v>
      </c>
      <c r="Z145" s="7">
        <v>0</v>
      </c>
      <c r="AA145" s="7">
        <v>680.69100000000003</v>
      </c>
      <c r="AB145" s="7">
        <v>0.27500000000000002</v>
      </c>
      <c r="AC145" s="7">
        <v>136.399</v>
      </c>
      <c r="AD145" s="7">
        <v>0</v>
      </c>
      <c r="AE145" s="7">
        <v>6108.8389999999999</v>
      </c>
      <c r="AF145" s="7">
        <v>644.56500000000005</v>
      </c>
      <c r="AG145" s="7">
        <v>0</v>
      </c>
      <c r="AH145" s="7">
        <v>13901.467000000001</v>
      </c>
      <c r="AI145" s="7">
        <v>1049.367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75.959999999999994</v>
      </c>
      <c r="AP145" s="7">
        <v>0</v>
      </c>
      <c r="AQ145" s="7">
        <v>237.239</v>
      </c>
      <c r="AR145" s="7">
        <v>0</v>
      </c>
      <c r="AS145" s="7">
        <v>2.39</v>
      </c>
      <c r="AT145" s="7">
        <v>0</v>
      </c>
      <c r="AU145" s="7">
        <v>11.545999999999999</v>
      </c>
      <c r="AV145" s="7">
        <v>0</v>
      </c>
      <c r="AW145" s="7">
        <v>0</v>
      </c>
      <c r="AX145" s="7">
        <v>0</v>
      </c>
      <c r="AY145" s="7">
        <v>-2.8290000000000002</v>
      </c>
      <c r="AZ145" s="7">
        <v>-3.8039999999999998</v>
      </c>
      <c r="BA145" s="7">
        <v>0</v>
      </c>
      <c r="BB145" s="7">
        <v>19.98</v>
      </c>
      <c r="BC145" s="7">
        <v>6.4000000000000001E-2</v>
      </c>
      <c r="BD145" s="7">
        <v>-4.5549999999999997</v>
      </c>
      <c r="BE145" s="7">
        <v>5.6349999999999998</v>
      </c>
      <c r="BF145" s="7">
        <v>5.6349999999999998</v>
      </c>
      <c r="BG145" s="7">
        <v>-1.222</v>
      </c>
      <c r="BH145" s="7">
        <v>0</v>
      </c>
      <c r="BI145" s="7">
        <v>0.106</v>
      </c>
      <c r="BJ145" s="21"/>
    </row>
    <row r="146" spans="1:62" ht="15.5" x14ac:dyDescent="0.35">
      <c r="A146" s="5" t="s">
        <v>279</v>
      </c>
      <c r="B146" s="5" t="s">
        <v>280</v>
      </c>
      <c r="C146" s="7">
        <v>6</v>
      </c>
      <c r="D146" s="7">
        <v>6</v>
      </c>
      <c r="E146" s="7">
        <v>-5139.8879999999999</v>
      </c>
      <c r="F146" s="7">
        <v>-390.86799999999999</v>
      </c>
      <c r="G146" s="7">
        <v>-290.31200000000001</v>
      </c>
      <c r="H146" s="7">
        <v>4.2999999999999997E-2</v>
      </c>
      <c r="I146" s="7">
        <v>-88.546000000000006</v>
      </c>
      <c r="J146" s="7">
        <v>-172.40700000000001</v>
      </c>
      <c r="K146" s="7">
        <v>0</v>
      </c>
      <c r="L146" s="7">
        <v>-6048.4849999999997</v>
      </c>
      <c r="M146" s="7">
        <v>-924.45899999999995</v>
      </c>
      <c r="N146" s="7">
        <v>0</v>
      </c>
      <c r="O146" s="7">
        <v>0</v>
      </c>
      <c r="P146" s="7">
        <v>-27.869</v>
      </c>
      <c r="Q146" s="7">
        <v>0</v>
      </c>
      <c r="R146" s="7">
        <v>0</v>
      </c>
      <c r="S146" s="7">
        <v>120.07899999999999</v>
      </c>
      <c r="T146" s="7">
        <v>0</v>
      </c>
      <c r="U146" s="7">
        <v>0</v>
      </c>
      <c r="V146" s="7">
        <v>-12.028</v>
      </c>
      <c r="W146" s="7">
        <v>-145.39699999999999</v>
      </c>
      <c r="X146" s="7">
        <v>0</v>
      </c>
      <c r="Y146" s="7">
        <v>-2008.8489999999999</v>
      </c>
      <c r="Z146" s="7">
        <v>0</v>
      </c>
      <c r="AA146" s="7">
        <v>-95.697000000000003</v>
      </c>
      <c r="AB146" s="7">
        <v>-0.18099999999999999</v>
      </c>
      <c r="AC146" s="7">
        <v>-69.623999999999995</v>
      </c>
      <c r="AD146" s="7">
        <v>-1.37</v>
      </c>
      <c r="AE146" s="7">
        <v>-6716.9059999999999</v>
      </c>
      <c r="AF146" s="7">
        <v>-541.96500000000003</v>
      </c>
      <c r="AG146" s="7">
        <v>-4.6130000000000004</v>
      </c>
      <c r="AH146" s="7">
        <v>-15464.031000000001</v>
      </c>
      <c r="AI146" s="7">
        <v>-933.16099999999994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20.581</v>
      </c>
      <c r="AP146" s="7">
        <v>0</v>
      </c>
      <c r="AQ146" s="7">
        <v>-188.65</v>
      </c>
      <c r="AR146" s="7">
        <v>0</v>
      </c>
      <c r="AS146" s="7">
        <v>0.69699999999999995</v>
      </c>
      <c r="AT146" s="7">
        <v>0</v>
      </c>
      <c r="AU146" s="7">
        <v>34.014000000000003</v>
      </c>
      <c r="AV146" s="7">
        <v>0</v>
      </c>
      <c r="AW146" s="7">
        <v>0</v>
      </c>
      <c r="AX146" s="7">
        <v>0</v>
      </c>
      <c r="AY146" s="7">
        <v>24.506</v>
      </c>
      <c r="AZ146" s="7">
        <v>0</v>
      </c>
      <c r="BA146" s="7">
        <v>0</v>
      </c>
      <c r="BB146" s="7">
        <v>6.2130000000000001</v>
      </c>
      <c r="BC146" s="7">
        <v>18.358000000000001</v>
      </c>
      <c r="BD146" s="7">
        <v>0</v>
      </c>
      <c r="BE146" s="7">
        <v>1.5129999999999999</v>
      </c>
      <c r="BF146" s="7">
        <v>1.5129999999999999</v>
      </c>
      <c r="BG146" s="7">
        <v>0</v>
      </c>
      <c r="BH146" s="7">
        <v>0</v>
      </c>
      <c r="BI146" s="7">
        <v>8.3390000000000004</v>
      </c>
      <c r="BJ146" s="21"/>
    </row>
    <row r="147" spans="1:62" ht="15.5" x14ac:dyDescent="0.35">
      <c r="A147" s="5" t="s">
        <v>281</v>
      </c>
      <c r="B147" s="5" t="s">
        <v>282</v>
      </c>
      <c r="C147" s="7">
        <v>6</v>
      </c>
      <c r="D147" s="7">
        <v>6</v>
      </c>
      <c r="E147" s="7">
        <v>-1404.576</v>
      </c>
      <c r="F147" s="7">
        <v>-1108.075</v>
      </c>
      <c r="G147" s="7">
        <v>-930.44799999999998</v>
      </c>
      <c r="H147" s="7">
        <v>-0.56599999999999995</v>
      </c>
      <c r="I147" s="7">
        <v>-109.001</v>
      </c>
      <c r="J147" s="7">
        <v>-852.84100000000001</v>
      </c>
      <c r="K147" s="7">
        <v>0</v>
      </c>
      <c r="L147" s="7">
        <v>-3637.3989999999999</v>
      </c>
      <c r="M147" s="7">
        <v>-1275.114</v>
      </c>
      <c r="N147" s="7">
        <v>0</v>
      </c>
      <c r="O147" s="7">
        <v>0</v>
      </c>
      <c r="P147" s="7">
        <v>-2E-3</v>
      </c>
      <c r="Q147" s="7">
        <v>-871.7</v>
      </c>
      <c r="R147" s="7">
        <v>-1134.519</v>
      </c>
      <c r="S147" s="7">
        <v>-451.55900000000003</v>
      </c>
      <c r="T147" s="7">
        <v>0</v>
      </c>
      <c r="U147" s="7">
        <v>0</v>
      </c>
      <c r="V147" s="7">
        <v>-101.43300000000001</v>
      </c>
      <c r="W147" s="7">
        <v>-19.073</v>
      </c>
      <c r="X147" s="7">
        <v>0</v>
      </c>
      <c r="Y147" s="7">
        <v>-520.97500000000002</v>
      </c>
      <c r="Z147" s="7">
        <v>-35928.493999999999</v>
      </c>
      <c r="AA147" s="7">
        <v>-1812.444</v>
      </c>
      <c r="AB147" s="7">
        <v>0</v>
      </c>
      <c r="AC147" s="7">
        <v>-287.10599999999999</v>
      </c>
      <c r="AD147" s="7">
        <v>-7315.6279999999997</v>
      </c>
      <c r="AE147" s="7">
        <v>-1552.396</v>
      </c>
      <c r="AF147" s="7">
        <v>-15.000999999999999</v>
      </c>
      <c r="AG147" s="7">
        <v>-23903.815999999999</v>
      </c>
      <c r="AH147" s="7">
        <v>-4636.97</v>
      </c>
      <c r="AI147" s="7">
        <v>-1.0999999999999999E-2</v>
      </c>
      <c r="AJ147" s="7">
        <v>-174879.27600000001</v>
      </c>
      <c r="AK147" s="7">
        <v>0</v>
      </c>
      <c r="AL147" s="7">
        <v>0</v>
      </c>
      <c r="AM147" s="7">
        <v>0</v>
      </c>
      <c r="AN147" s="7">
        <v>0</v>
      </c>
      <c r="AO147" s="7">
        <v>-233.197</v>
      </c>
      <c r="AP147" s="7">
        <v>0</v>
      </c>
      <c r="AQ147" s="7">
        <v>-2.21</v>
      </c>
      <c r="AR147" s="7">
        <v>0</v>
      </c>
      <c r="AS147" s="7">
        <v>-1.512</v>
      </c>
      <c r="AT147" s="7">
        <v>0</v>
      </c>
      <c r="AU147" s="7">
        <v>-0.156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-65.972999999999999</v>
      </c>
      <c r="BC147" s="7">
        <v>0</v>
      </c>
      <c r="BD147" s="7">
        <v>0</v>
      </c>
      <c r="BE147" s="7">
        <v>-17.673999999999999</v>
      </c>
      <c r="BF147" s="7">
        <v>-17.673999999999999</v>
      </c>
      <c r="BG147" s="7">
        <v>0</v>
      </c>
      <c r="BH147" s="7">
        <v>-123303.306</v>
      </c>
      <c r="BI147" s="7">
        <v>0</v>
      </c>
      <c r="BJ147" s="21"/>
    </row>
    <row r="148" spans="1:62" ht="15.5" x14ac:dyDescent="0.35">
      <c r="A148" s="5" t="s">
        <v>283</v>
      </c>
      <c r="B148" s="5" t="s">
        <v>284</v>
      </c>
      <c r="C148" s="7">
        <v>4</v>
      </c>
      <c r="D148" s="7">
        <v>4</v>
      </c>
      <c r="E148" s="7">
        <v>-3700.6559999999999</v>
      </c>
      <c r="F148" s="7">
        <v>-355.72399999999999</v>
      </c>
      <c r="G148" s="7">
        <v>13.433999999999999</v>
      </c>
      <c r="H148" s="7">
        <v>0</v>
      </c>
      <c r="I148" s="7">
        <v>-6.7930000000000001</v>
      </c>
      <c r="J148" s="7">
        <v>9.5500000000000007</v>
      </c>
      <c r="K148" s="7">
        <v>0</v>
      </c>
      <c r="L148" s="7">
        <v>-6274.2330000000002</v>
      </c>
      <c r="M148" s="7">
        <v>-1873.374</v>
      </c>
      <c r="N148" s="7">
        <v>0</v>
      </c>
      <c r="O148" s="7">
        <v>-2.7909999999999999</v>
      </c>
      <c r="P148" s="7">
        <v>0</v>
      </c>
      <c r="Q148" s="7">
        <v>-1.244</v>
      </c>
      <c r="R148" s="7">
        <v>0</v>
      </c>
      <c r="S148" s="7">
        <v>-110.40900000000001</v>
      </c>
      <c r="T148" s="7">
        <v>0</v>
      </c>
      <c r="U148" s="7">
        <v>0</v>
      </c>
      <c r="V148" s="7">
        <v>1.093</v>
      </c>
      <c r="W148" s="7">
        <v>-28.210999999999999</v>
      </c>
      <c r="X148" s="7">
        <v>-2118.0129999999999</v>
      </c>
      <c r="Y148" s="7">
        <v>-720.13</v>
      </c>
      <c r="Z148" s="7">
        <v>24.538</v>
      </c>
      <c r="AA148" s="7">
        <v>13.031000000000001</v>
      </c>
      <c r="AB148" s="7">
        <v>-38.854999999999997</v>
      </c>
      <c r="AC148" s="7">
        <v>-64.021000000000001</v>
      </c>
      <c r="AD148" s="7">
        <v>-6.4160000000000004</v>
      </c>
      <c r="AE148" s="7">
        <v>-1794.38</v>
      </c>
      <c r="AF148" s="7">
        <v>-943.28499999999997</v>
      </c>
      <c r="AG148" s="7">
        <v>-43.88</v>
      </c>
      <c r="AH148" s="7">
        <v>-6843.1570000000002</v>
      </c>
      <c r="AI148" s="7">
        <v>-1620.5409999999999</v>
      </c>
      <c r="AJ148" s="7">
        <v>126.83499999999999</v>
      </c>
      <c r="AK148" s="7">
        <v>-4232.4690000000001</v>
      </c>
      <c r="AL148" s="7">
        <v>-2408.2489999999998</v>
      </c>
      <c r="AM148" s="7">
        <v>0</v>
      </c>
      <c r="AN148" s="7">
        <v>-1506.8150000000001</v>
      </c>
      <c r="AO148" s="7">
        <v>-40.826000000000001</v>
      </c>
      <c r="AP148" s="7">
        <v>0</v>
      </c>
      <c r="AQ148" s="7">
        <v>-325.81599999999997</v>
      </c>
      <c r="AR148" s="7">
        <v>0</v>
      </c>
      <c r="AS148" s="7">
        <v>-1.1439999999999999</v>
      </c>
      <c r="AT148" s="7">
        <v>0</v>
      </c>
      <c r="AU148" s="7">
        <v>-7.2089999999999996</v>
      </c>
      <c r="AV148" s="7">
        <v>0</v>
      </c>
      <c r="AW148" s="7">
        <v>0</v>
      </c>
      <c r="AX148" s="7">
        <v>-1679.7149999999999</v>
      </c>
      <c r="AY148" s="7">
        <v>0.254</v>
      </c>
      <c r="AZ148" s="7">
        <v>0</v>
      </c>
      <c r="BA148" s="7">
        <v>-1293.4680000000001</v>
      </c>
      <c r="BB148" s="7">
        <v>-11.773999999999999</v>
      </c>
      <c r="BC148" s="7">
        <v>0.14799999999999999</v>
      </c>
      <c r="BD148" s="7">
        <v>0</v>
      </c>
      <c r="BE148" s="7">
        <v>-3.169</v>
      </c>
      <c r="BF148" s="7">
        <v>-3.169</v>
      </c>
      <c r="BG148" s="7">
        <v>0</v>
      </c>
      <c r="BH148" s="7">
        <v>48.087000000000003</v>
      </c>
      <c r="BI148" s="7">
        <v>0.06</v>
      </c>
      <c r="BJ148" s="21"/>
    </row>
    <row r="149" spans="1:62" ht="15.5" x14ac:dyDescent="0.35">
      <c r="A149" s="5" t="s">
        <v>285</v>
      </c>
      <c r="B149" s="5" t="s">
        <v>286</v>
      </c>
      <c r="C149" s="7">
        <v>6</v>
      </c>
      <c r="D149" s="7">
        <v>6</v>
      </c>
      <c r="E149" s="7">
        <v>-20348.920999999998</v>
      </c>
      <c r="F149" s="7">
        <v>-1016.619</v>
      </c>
      <c r="G149" s="7">
        <v>0</v>
      </c>
      <c r="H149" s="7">
        <v>0</v>
      </c>
      <c r="I149" s="7">
        <v>-24.491</v>
      </c>
      <c r="J149" s="7">
        <v>0</v>
      </c>
      <c r="K149" s="7">
        <v>0</v>
      </c>
      <c r="L149" s="7">
        <v>-29304.183000000001</v>
      </c>
      <c r="M149" s="7">
        <v>-498.92899999999997</v>
      </c>
      <c r="N149" s="7">
        <v>0</v>
      </c>
      <c r="O149" s="7">
        <v>-727.36400000000003</v>
      </c>
      <c r="P149" s="7">
        <v>0</v>
      </c>
      <c r="Q149" s="7">
        <v>-920.572</v>
      </c>
      <c r="R149" s="7">
        <v>0</v>
      </c>
      <c r="S149" s="7">
        <v>-315.49400000000003</v>
      </c>
      <c r="T149" s="7">
        <v>0</v>
      </c>
      <c r="U149" s="7">
        <v>0</v>
      </c>
      <c r="V149" s="7">
        <v>0</v>
      </c>
      <c r="W149" s="7">
        <v>-85.296999999999997</v>
      </c>
      <c r="X149" s="7">
        <v>0</v>
      </c>
      <c r="Y149" s="7">
        <v>-2077.248</v>
      </c>
      <c r="Z149" s="7">
        <v>-824.21199999999999</v>
      </c>
      <c r="AA149" s="7">
        <v>0</v>
      </c>
      <c r="AB149" s="7">
        <v>-42282.186999999998</v>
      </c>
      <c r="AC149" s="7">
        <v>-182.69300000000001</v>
      </c>
      <c r="AD149" s="7">
        <v>-96.614000000000004</v>
      </c>
      <c r="AE149" s="7">
        <v>-40738.381000000001</v>
      </c>
      <c r="AF149" s="7">
        <v>-2645.68</v>
      </c>
      <c r="AG149" s="7">
        <v>-674.173</v>
      </c>
      <c r="AH149" s="7">
        <v>-19253.563999999998</v>
      </c>
      <c r="AI149" s="7">
        <v>-4545.7150000000001</v>
      </c>
      <c r="AJ149" s="7">
        <v>-4261.3410000000003</v>
      </c>
      <c r="AK149" s="7">
        <v>-235784.133</v>
      </c>
      <c r="AL149" s="7">
        <v>-134159.67999999999</v>
      </c>
      <c r="AM149" s="7">
        <v>0</v>
      </c>
      <c r="AN149" s="7">
        <v>-83942.297000000006</v>
      </c>
      <c r="AO149" s="7">
        <v>-117.06699999999999</v>
      </c>
      <c r="AP149" s="7">
        <v>0</v>
      </c>
      <c r="AQ149" s="7">
        <v>-919.79899999999998</v>
      </c>
      <c r="AR149" s="7">
        <v>0</v>
      </c>
      <c r="AS149" s="7">
        <v>-3.3330000000000002</v>
      </c>
      <c r="AT149" s="7">
        <v>0</v>
      </c>
      <c r="AU149" s="7">
        <v>-22.283000000000001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-33.82</v>
      </c>
      <c r="BC149" s="7">
        <v>0</v>
      </c>
      <c r="BD149" s="7">
        <v>0</v>
      </c>
      <c r="BE149" s="7">
        <v>-9.1690000000000005</v>
      </c>
      <c r="BF149" s="7">
        <v>-9.1690000000000005</v>
      </c>
      <c r="BG149" s="7">
        <v>0</v>
      </c>
      <c r="BH149" s="7">
        <v>-2563.694</v>
      </c>
      <c r="BI149" s="7">
        <v>0</v>
      </c>
      <c r="BJ149" s="21"/>
    </row>
    <row r="150" spans="1:62" ht="15.5" x14ac:dyDescent="0.35">
      <c r="A150" s="5" t="s">
        <v>287</v>
      </c>
      <c r="B150" s="5" t="s">
        <v>288</v>
      </c>
      <c r="C150" s="7">
        <v>6</v>
      </c>
      <c r="D150" s="7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21"/>
    </row>
    <row r="151" spans="1:62" ht="15.5" x14ac:dyDescent="0.35">
      <c r="A151" s="5" t="s">
        <v>289</v>
      </c>
      <c r="B151" s="5" t="s">
        <v>290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5" x14ac:dyDescent="0.35">
      <c r="A152" s="5" t="s">
        <v>291</v>
      </c>
      <c r="B152" s="5" t="s">
        <v>292</v>
      </c>
      <c r="C152" s="7">
        <v>6</v>
      </c>
      <c r="D152" s="7">
        <v>6</v>
      </c>
      <c r="E152" s="7">
        <v>1423.925</v>
      </c>
      <c r="F152" s="7">
        <v>1122.29</v>
      </c>
      <c r="G152" s="7">
        <v>936.52099999999996</v>
      </c>
      <c r="H152" s="7">
        <v>0.57499999999999996</v>
      </c>
      <c r="I152" s="7">
        <v>110.319</v>
      </c>
      <c r="J152" s="7">
        <v>863.82899999999995</v>
      </c>
      <c r="K152" s="7">
        <v>0</v>
      </c>
      <c r="L152" s="7">
        <v>3674.6260000000002</v>
      </c>
      <c r="M152" s="7">
        <v>1289.0609999999999</v>
      </c>
      <c r="N152" s="7">
        <v>0</v>
      </c>
      <c r="O152" s="7">
        <v>0</v>
      </c>
      <c r="P152" s="7">
        <v>2E-3</v>
      </c>
      <c r="Q152" s="7">
        <v>877.226</v>
      </c>
      <c r="R152" s="7">
        <v>1141.711</v>
      </c>
      <c r="S152" s="7">
        <v>457.298</v>
      </c>
      <c r="T152" s="7">
        <v>0</v>
      </c>
      <c r="U152" s="7">
        <v>0</v>
      </c>
      <c r="V152" s="7">
        <v>102.57599999999999</v>
      </c>
      <c r="W152" s="7">
        <v>19.189</v>
      </c>
      <c r="X152" s="7">
        <v>0</v>
      </c>
      <c r="Y152" s="7">
        <v>524.23</v>
      </c>
      <c r="Z152" s="7">
        <v>36156.262000000002</v>
      </c>
      <c r="AA152" s="7">
        <v>1835.876</v>
      </c>
      <c r="AB152" s="7">
        <v>0</v>
      </c>
      <c r="AC152" s="7">
        <v>290.05</v>
      </c>
      <c r="AD152" s="7">
        <v>7279.268</v>
      </c>
      <c r="AE152" s="7">
        <v>1561.1949999999999</v>
      </c>
      <c r="AF152" s="7">
        <v>15.231999999999999</v>
      </c>
      <c r="AG152" s="7">
        <v>23754.489000000001</v>
      </c>
      <c r="AH152" s="7">
        <v>4690.5219999999999</v>
      </c>
      <c r="AI152" s="7">
        <v>1.0999999999999999E-2</v>
      </c>
      <c r="AJ152" s="7">
        <v>175987.91800000001</v>
      </c>
      <c r="AK152" s="7">
        <v>0</v>
      </c>
      <c r="AL152" s="7">
        <v>0</v>
      </c>
      <c r="AM152" s="7">
        <v>0</v>
      </c>
      <c r="AN152" s="7">
        <v>0</v>
      </c>
      <c r="AO152" s="7">
        <v>236.05600000000001</v>
      </c>
      <c r="AP152" s="7">
        <v>0</v>
      </c>
      <c r="AQ152" s="7">
        <v>2.2440000000000002</v>
      </c>
      <c r="AR152" s="7">
        <v>0</v>
      </c>
      <c r="AS152" s="7">
        <v>1.532</v>
      </c>
      <c r="AT152" s="7">
        <v>0</v>
      </c>
      <c r="AU152" s="7">
        <v>0.158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66.778000000000006</v>
      </c>
      <c r="BC152" s="7">
        <v>0</v>
      </c>
      <c r="BD152" s="7">
        <v>0</v>
      </c>
      <c r="BE152" s="7">
        <v>17.89</v>
      </c>
      <c r="BF152" s="7">
        <v>17.89</v>
      </c>
      <c r="BG152" s="7">
        <v>0</v>
      </c>
      <c r="BH152" s="7">
        <v>124084.984</v>
      </c>
      <c r="BI152" s="7">
        <v>0</v>
      </c>
      <c r="BJ152" s="21"/>
    </row>
    <row r="153" spans="1:62" ht="15.5" x14ac:dyDescent="0.35">
      <c r="A153" s="5" t="s">
        <v>293</v>
      </c>
      <c r="B153" s="5" t="s">
        <v>294</v>
      </c>
      <c r="C153" s="7">
        <v>4</v>
      </c>
      <c r="D153" s="7">
        <v>4</v>
      </c>
      <c r="E153" s="7">
        <v>5365.4660000000003</v>
      </c>
      <c r="F153" s="7">
        <v>1094.143</v>
      </c>
      <c r="G153" s="7">
        <v>0</v>
      </c>
      <c r="H153" s="7">
        <v>0</v>
      </c>
      <c r="I153" s="7">
        <v>41.875999999999998</v>
      </c>
      <c r="J153" s="7">
        <v>0</v>
      </c>
      <c r="K153" s="7">
        <v>0</v>
      </c>
      <c r="L153" s="7">
        <v>12946.512000000001</v>
      </c>
      <c r="M153" s="7">
        <v>991.17600000000004</v>
      </c>
      <c r="N153" s="7">
        <v>0</v>
      </c>
      <c r="O153" s="7">
        <v>0</v>
      </c>
      <c r="P153" s="7">
        <v>0.2</v>
      </c>
      <c r="Q153" s="7">
        <v>0</v>
      </c>
      <c r="R153" s="7">
        <v>0</v>
      </c>
      <c r="S153" s="7">
        <v>351.827</v>
      </c>
      <c r="T153" s="7">
        <v>0</v>
      </c>
      <c r="U153" s="7">
        <v>0</v>
      </c>
      <c r="V153" s="7">
        <v>0</v>
      </c>
      <c r="W153" s="7">
        <v>106.458</v>
      </c>
      <c r="X153" s="7">
        <v>0</v>
      </c>
      <c r="Y153" s="7">
        <v>2236.3449999999998</v>
      </c>
      <c r="Z153" s="7">
        <v>0</v>
      </c>
      <c r="AA153" s="7">
        <v>0</v>
      </c>
      <c r="AB153" s="7">
        <v>0</v>
      </c>
      <c r="AC153" s="7">
        <v>209.09200000000001</v>
      </c>
      <c r="AD153" s="7">
        <v>0</v>
      </c>
      <c r="AE153" s="7">
        <v>5437.12</v>
      </c>
      <c r="AF153" s="7">
        <v>3022.1619999999998</v>
      </c>
      <c r="AG153" s="7">
        <v>0</v>
      </c>
      <c r="AH153" s="7">
        <v>22287.763999999999</v>
      </c>
      <c r="AI153" s="7">
        <v>5442.4939999999997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113.32899999999999</v>
      </c>
      <c r="AP153" s="7">
        <v>0</v>
      </c>
      <c r="AQ153" s="7">
        <v>1043.2139999999999</v>
      </c>
      <c r="AR153" s="7">
        <v>0</v>
      </c>
      <c r="AS153" s="7">
        <v>3.3929999999999998</v>
      </c>
      <c r="AT153" s="7">
        <v>0</v>
      </c>
      <c r="AU153" s="7">
        <v>23.786000000000001</v>
      </c>
      <c r="AV153" s="7">
        <v>0</v>
      </c>
      <c r="AW153" s="7">
        <v>0</v>
      </c>
      <c r="AX153" s="7">
        <v>0</v>
      </c>
      <c r="AY153" s="7">
        <v>45.204000000000001</v>
      </c>
      <c r="AZ153" s="7">
        <v>647.79</v>
      </c>
      <c r="BA153" s="7">
        <v>0</v>
      </c>
      <c r="BB153" s="7">
        <v>34.698999999999998</v>
      </c>
      <c r="BC153" s="7">
        <v>0</v>
      </c>
      <c r="BD153" s="7">
        <v>752.97199999999998</v>
      </c>
      <c r="BE153" s="7">
        <v>8.8930000000000007</v>
      </c>
      <c r="BF153" s="7">
        <v>8.8930000000000007</v>
      </c>
      <c r="BG153" s="7">
        <v>253.33699999999999</v>
      </c>
      <c r="BH153" s="7">
        <v>0</v>
      </c>
      <c r="BI153" s="7">
        <v>0</v>
      </c>
      <c r="BJ153" s="21"/>
    </row>
    <row r="154" spans="1:62" ht="15.5" x14ac:dyDescent="0.35">
      <c r="A154" s="5" t="s">
        <v>295</v>
      </c>
      <c r="B154" s="5" t="s">
        <v>296</v>
      </c>
      <c r="C154" s="7">
        <v>4</v>
      </c>
      <c r="D154" s="7">
        <v>4</v>
      </c>
      <c r="E154" s="7">
        <v>131.00200000000001</v>
      </c>
      <c r="F154" s="7">
        <v>31.42</v>
      </c>
      <c r="G154" s="7">
        <v>0</v>
      </c>
      <c r="H154" s="7">
        <v>0</v>
      </c>
      <c r="I154" s="7">
        <v>0.75700000000000001</v>
      </c>
      <c r="J154" s="7">
        <v>0</v>
      </c>
      <c r="K154" s="7">
        <v>0</v>
      </c>
      <c r="L154" s="7">
        <v>355.00799999999998</v>
      </c>
      <c r="M154" s="7">
        <v>15.42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9.7509999999999994</v>
      </c>
      <c r="T154" s="7">
        <v>0</v>
      </c>
      <c r="U154" s="7">
        <v>0</v>
      </c>
      <c r="V154" s="7">
        <v>0</v>
      </c>
      <c r="W154" s="7">
        <v>2.6360000000000001</v>
      </c>
      <c r="X154" s="7">
        <v>0</v>
      </c>
      <c r="Y154" s="7">
        <v>64.2</v>
      </c>
      <c r="Z154" s="7">
        <v>0</v>
      </c>
      <c r="AA154" s="7">
        <v>0</v>
      </c>
      <c r="AB154" s="7">
        <v>2.7E-2</v>
      </c>
      <c r="AC154" s="7">
        <v>5.6459999999999999</v>
      </c>
      <c r="AD154" s="7">
        <v>0</v>
      </c>
      <c r="AE154" s="7">
        <v>161.02000000000001</v>
      </c>
      <c r="AF154" s="7">
        <v>81.768000000000001</v>
      </c>
      <c r="AG154" s="7">
        <v>0</v>
      </c>
      <c r="AH154" s="7">
        <v>595.053</v>
      </c>
      <c r="AI154" s="7">
        <v>140.49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3.6179999999999999</v>
      </c>
      <c r="AP154" s="7">
        <v>0</v>
      </c>
      <c r="AQ154" s="7">
        <v>28.427</v>
      </c>
      <c r="AR154" s="7">
        <v>0</v>
      </c>
      <c r="AS154" s="7">
        <v>0.10299999999999999</v>
      </c>
      <c r="AT154" s="7">
        <v>0</v>
      </c>
      <c r="AU154" s="7">
        <v>0.68899999999999995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1.0449999999999999</v>
      </c>
      <c r="BC154" s="7">
        <v>0</v>
      </c>
      <c r="BD154" s="7">
        <v>0</v>
      </c>
      <c r="BE154" s="7">
        <v>0.28299999999999997</v>
      </c>
      <c r="BF154" s="7">
        <v>0.28299999999999997</v>
      </c>
      <c r="BG154" s="7">
        <v>0</v>
      </c>
      <c r="BH154" s="7">
        <v>0</v>
      </c>
      <c r="BI154" s="7">
        <v>0</v>
      </c>
      <c r="BJ154" s="21"/>
    </row>
    <row r="155" spans="1:62" ht="15.5" x14ac:dyDescent="0.35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5" x14ac:dyDescent="0.35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5" x14ac:dyDescent="0.35">
      <c r="A157" s="5" t="s">
        <v>301</v>
      </c>
      <c r="B157" s="5" t="s">
        <v>302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5" x14ac:dyDescent="0.35">
      <c r="A158" s="5" t="s">
        <v>303</v>
      </c>
      <c r="B158" s="5" t="s">
        <v>304</v>
      </c>
      <c r="C158" s="7">
        <v>4</v>
      </c>
      <c r="D158" s="7">
        <v>4</v>
      </c>
      <c r="E158" s="7">
        <v>-116.587</v>
      </c>
      <c r="F158" s="7">
        <v>-27.798999999999999</v>
      </c>
      <c r="G158" s="7">
        <v>-1.875</v>
      </c>
      <c r="H158" s="7">
        <v>0</v>
      </c>
      <c r="I158" s="7">
        <v>-1</v>
      </c>
      <c r="J158" s="7">
        <v>-1.4770000000000001</v>
      </c>
      <c r="K158" s="7">
        <v>0</v>
      </c>
      <c r="L158" s="7">
        <v>-300.07799999999997</v>
      </c>
      <c r="M158" s="7">
        <v>-19.483000000000001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-8.5830000000000002</v>
      </c>
      <c r="T158" s="7">
        <v>0</v>
      </c>
      <c r="U158" s="7">
        <v>0</v>
      </c>
      <c r="V158" s="7">
        <v>-0.20100000000000001</v>
      </c>
      <c r="W158" s="7">
        <v>-2.7090000000000001</v>
      </c>
      <c r="X158" s="7">
        <v>0</v>
      </c>
      <c r="Y158" s="7">
        <v>-55.396000000000001</v>
      </c>
      <c r="Z158" s="7">
        <v>0</v>
      </c>
      <c r="AA158" s="7">
        <v>-2.0489999999999999</v>
      </c>
      <c r="AB158" s="7">
        <v>-2.1999999999999999E-2</v>
      </c>
      <c r="AC158" s="7">
        <v>-4.95</v>
      </c>
      <c r="AD158" s="7">
        <v>0</v>
      </c>
      <c r="AE158" s="7">
        <v>-137.202</v>
      </c>
      <c r="AF158" s="7">
        <v>-67.340999999999994</v>
      </c>
      <c r="AG158" s="7">
        <v>0</v>
      </c>
      <c r="AH158" s="7">
        <v>-516.23599999999999</v>
      </c>
      <c r="AI158" s="7">
        <v>-115.703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-3.0579999999999998</v>
      </c>
      <c r="AP158" s="7">
        <v>0</v>
      </c>
      <c r="AQ158" s="7">
        <v>-23.411999999999999</v>
      </c>
      <c r="AR158" s="7">
        <v>0</v>
      </c>
      <c r="AS158" s="7">
        <v>-8.5999999999999993E-2</v>
      </c>
      <c r="AT158" s="7">
        <v>0</v>
      </c>
      <c r="AU158" s="7">
        <v>-0.56699999999999995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-0.88700000000000001</v>
      </c>
      <c r="BC158" s="7">
        <v>0</v>
      </c>
      <c r="BD158" s="7">
        <v>0</v>
      </c>
      <c r="BE158" s="7">
        <v>-0.248</v>
      </c>
      <c r="BF158" s="7">
        <v>-0.248</v>
      </c>
      <c r="BG158" s="7">
        <v>0</v>
      </c>
      <c r="BH158" s="7">
        <v>0</v>
      </c>
      <c r="BI158" s="7">
        <v>0</v>
      </c>
      <c r="BJ158" s="21"/>
    </row>
    <row r="159" spans="1:62" ht="15.5" x14ac:dyDescent="0.35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5" x14ac:dyDescent="0.35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5" x14ac:dyDescent="0.35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2269.098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5" x14ac:dyDescent="0.35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5" x14ac:dyDescent="0.35">
      <c r="A163" s="5" t="s">
        <v>312</v>
      </c>
      <c r="B163" s="5" t="s">
        <v>313</v>
      </c>
      <c r="C163" s="7">
        <v>6</v>
      </c>
      <c r="D163" s="7">
        <v>6</v>
      </c>
      <c r="E163" s="7">
        <v>139.86000000000001</v>
      </c>
      <c r="F163" s="7">
        <v>31.375</v>
      </c>
      <c r="G163" s="7">
        <v>24.856000000000002</v>
      </c>
      <c r="H163" s="7">
        <v>0</v>
      </c>
      <c r="I163" s="7">
        <v>5.1310000000000002</v>
      </c>
      <c r="J163" s="7">
        <v>19.579999999999998</v>
      </c>
      <c r="K163" s="7">
        <v>0</v>
      </c>
      <c r="L163" s="7">
        <v>168.71600000000001</v>
      </c>
      <c r="M163" s="7">
        <v>92.805999999999997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9.1530000000000005</v>
      </c>
      <c r="T163" s="7">
        <v>0</v>
      </c>
      <c r="U163" s="7">
        <v>0</v>
      </c>
      <c r="V163" s="7">
        <v>2.661</v>
      </c>
      <c r="W163" s="7">
        <v>7.63</v>
      </c>
      <c r="X163" s="7">
        <v>0</v>
      </c>
      <c r="Y163" s="7">
        <v>45.488999999999997</v>
      </c>
      <c r="Z163" s="7">
        <v>0</v>
      </c>
      <c r="AA163" s="7">
        <v>27.158999999999999</v>
      </c>
      <c r="AB163" s="7">
        <v>5.0000000000000001E-3</v>
      </c>
      <c r="AC163" s="7">
        <v>5.0330000000000004</v>
      </c>
      <c r="AD163" s="7">
        <v>0</v>
      </c>
      <c r="AE163" s="7">
        <v>91.061000000000007</v>
      </c>
      <c r="AF163" s="7">
        <v>15.333</v>
      </c>
      <c r="AG163" s="7">
        <v>0</v>
      </c>
      <c r="AH163" s="7">
        <v>458.49200000000002</v>
      </c>
      <c r="AI163" s="7">
        <v>26.344000000000001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1.722</v>
      </c>
      <c r="AP163" s="7">
        <v>0</v>
      </c>
      <c r="AQ163" s="7">
        <v>5.3310000000000004</v>
      </c>
      <c r="AR163" s="7">
        <v>0</v>
      </c>
      <c r="AS163" s="7">
        <v>2.9000000000000001E-2</v>
      </c>
      <c r="AT163" s="7">
        <v>0</v>
      </c>
      <c r="AU163" s="7">
        <v>0.129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0.53700000000000003</v>
      </c>
      <c r="BC163" s="7">
        <v>0</v>
      </c>
      <c r="BD163" s="7">
        <v>0</v>
      </c>
      <c r="BE163" s="7">
        <v>0.24099999999999999</v>
      </c>
      <c r="BF163" s="7">
        <v>0.24099999999999999</v>
      </c>
      <c r="BG163" s="7">
        <v>0</v>
      </c>
      <c r="BH163" s="7">
        <v>0</v>
      </c>
      <c r="BI163" s="7">
        <v>0</v>
      </c>
      <c r="BJ163" s="21"/>
    </row>
    <row r="164" spans="1:62" ht="15.5" x14ac:dyDescent="0.35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5" x14ac:dyDescent="0.35">
      <c r="A165" s="5" t="s">
        <v>299</v>
      </c>
      <c r="B165" s="5" t="s">
        <v>315</v>
      </c>
      <c r="C165" s="7">
        <v>6</v>
      </c>
      <c r="D165" s="7">
        <v>6</v>
      </c>
      <c r="E165" s="7">
        <v>1330.8019999999999</v>
      </c>
      <c r="F165" s="7">
        <v>121.514</v>
      </c>
      <c r="G165" s="7">
        <v>172.46600000000001</v>
      </c>
      <c r="H165" s="7">
        <v>0</v>
      </c>
      <c r="I165" s="7">
        <v>30.2</v>
      </c>
      <c r="J165" s="7">
        <v>105.408</v>
      </c>
      <c r="K165" s="7">
        <v>0</v>
      </c>
      <c r="L165" s="7">
        <v>969.77200000000005</v>
      </c>
      <c r="M165" s="7">
        <v>469.90100000000001</v>
      </c>
      <c r="N165" s="7">
        <v>0</v>
      </c>
      <c r="O165" s="7">
        <v>0</v>
      </c>
      <c r="P165" s="7">
        <v>5.593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15.547000000000001</v>
      </c>
      <c r="W165" s="7">
        <v>47.441000000000003</v>
      </c>
      <c r="X165" s="7">
        <v>0</v>
      </c>
      <c r="Y165" s="7">
        <v>375.298</v>
      </c>
      <c r="Z165" s="7">
        <v>0</v>
      </c>
      <c r="AA165" s="7">
        <v>132.53800000000001</v>
      </c>
      <c r="AB165" s="7">
        <v>0</v>
      </c>
      <c r="AC165" s="7">
        <v>20.085999999999999</v>
      </c>
      <c r="AD165" s="7">
        <v>0</v>
      </c>
      <c r="AE165" s="7">
        <v>1200.4880000000001</v>
      </c>
      <c r="AF165" s="7">
        <v>0</v>
      </c>
      <c r="AG165" s="7">
        <v>0</v>
      </c>
      <c r="AH165" s="7">
        <v>2795.7240000000002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5" x14ac:dyDescent="0.35">
      <c r="A166" s="5" t="s">
        <v>301</v>
      </c>
      <c r="B166" s="5" t="s">
        <v>316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5" x14ac:dyDescent="0.35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5" x14ac:dyDescent="0.35">
      <c r="A168" s="5" t="s">
        <v>319</v>
      </c>
      <c r="B168" s="5" t="s">
        <v>320</v>
      </c>
      <c r="C168" s="7">
        <v>6</v>
      </c>
      <c r="D168" s="7">
        <v>6</v>
      </c>
      <c r="E168" s="7">
        <v>-92.325999999999993</v>
      </c>
      <c r="F168" s="7">
        <v>-21.084</v>
      </c>
      <c r="G168" s="7">
        <v>-12.146000000000001</v>
      </c>
      <c r="H168" s="7">
        <v>0</v>
      </c>
      <c r="I168" s="7">
        <v>-2.6459999999999999</v>
      </c>
      <c r="J168" s="7">
        <v>-9.5679999999999996</v>
      </c>
      <c r="K168" s="7">
        <v>0</v>
      </c>
      <c r="L168" s="7">
        <v>-147.43899999999999</v>
      </c>
      <c r="M168" s="7">
        <v>-48.170999999999999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-6.258</v>
      </c>
      <c r="T168" s="7">
        <v>0</v>
      </c>
      <c r="U168" s="7">
        <v>0</v>
      </c>
      <c r="V168" s="7">
        <v>-1.3</v>
      </c>
      <c r="W168" s="7">
        <v>-4.2110000000000003</v>
      </c>
      <c r="X168" s="7">
        <v>0</v>
      </c>
      <c r="Y168" s="7">
        <v>-33.981999999999999</v>
      </c>
      <c r="Z168" s="7">
        <v>0</v>
      </c>
      <c r="AA168" s="7">
        <v>-13.271000000000001</v>
      </c>
      <c r="AB168" s="7">
        <v>-7.0000000000000001E-3</v>
      </c>
      <c r="AC168" s="7">
        <v>-3.4929999999999999</v>
      </c>
      <c r="AD168" s="7">
        <v>0</v>
      </c>
      <c r="AE168" s="7">
        <v>-73.977000000000004</v>
      </c>
      <c r="AF168" s="7">
        <v>-22.463000000000001</v>
      </c>
      <c r="AG168" s="7">
        <v>0</v>
      </c>
      <c r="AH168" s="7">
        <v>-332.983</v>
      </c>
      <c r="AI168" s="7">
        <v>-38.594999999999999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-1.504</v>
      </c>
      <c r="AP168" s="7">
        <v>0</v>
      </c>
      <c r="AQ168" s="7">
        <v>-7.8090000000000002</v>
      </c>
      <c r="AR168" s="7">
        <v>0</v>
      </c>
      <c r="AS168" s="7">
        <v>-3.3000000000000002E-2</v>
      </c>
      <c r="AT168" s="7">
        <v>0</v>
      </c>
      <c r="AU168" s="7">
        <v>-0.189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-0.45400000000000001</v>
      </c>
      <c r="BC168" s="7">
        <v>0</v>
      </c>
      <c r="BD168" s="7">
        <v>0</v>
      </c>
      <c r="BE168" s="7">
        <v>-0.17</v>
      </c>
      <c r="BF168" s="7">
        <v>-0.17</v>
      </c>
      <c r="BG168" s="7">
        <v>0</v>
      </c>
      <c r="BH168" s="7">
        <v>0</v>
      </c>
      <c r="BI168" s="7">
        <v>0</v>
      </c>
      <c r="BJ168" s="21"/>
    </row>
    <row r="169" spans="1:62" ht="15.5" x14ac:dyDescent="0.35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5" x14ac:dyDescent="0.35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5" x14ac:dyDescent="0.35">
      <c r="A171" s="5" t="s">
        <v>323</v>
      </c>
      <c r="B171" s="5" t="s">
        <v>324</v>
      </c>
      <c r="C171" s="7">
        <v>4</v>
      </c>
      <c r="D171" s="7">
        <v>4</v>
      </c>
      <c r="E171" s="7">
        <v>4240.5069999999996</v>
      </c>
      <c r="F171" s="7">
        <v>945.875</v>
      </c>
      <c r="G171" s="7">
        <v>0</v>
      </c>
      <c r="H171" s="7">
        <v>0</v>
      </c>
      <c r="I171" s="7">
        <v>28.942</v>
      </c>
      <c r="J171" s="7">
        <v>0</v>
      </c>
      <c r="K171" s="7">
        <v>0</v>
      </c>
      <c r="L171" s="7">
        <v>10874.934999999999</v>
      </c>
      <c r="M171" s="7">
        <v>643.31100000000004</v>
      </c>
      <c r="N171" s="7">
        <v>0</v>
      </c>
      <c r="O171" s="7">
        <v>0</v>
      </c>
      <c r="P171" s="7">
        <v>7.6999999999999999E-2</v>
      </c>
      <c r="Q171" s="7">
        <v>0</v>
      </c>
      <c r="R171" s="7">
        <v>0</v>
      </c>
      <c r="S171" s="7">
        <v>298.22300000000001</v>
      </c>
      <c r="T171" s="7">
        <v>0</v>
      </c>
      <c r="U171" s="7">
        <v>0</v>
      </c>
      <c r="V171" s="7">
        <v>0</v>
      </c>
      <c r="W171" s="7">
        <v>85.100999999999999</v>
      </c>
      <c r="X171" s="7">
        <v>0</v>
      </c>
      <c r="Y171" s="7">
        <v>1925.95</v>
      </c>
      <c r="Z171" s="7">
        <v>0</v>
      </c>
      <c r="AA171" s="7">
        <v>0</v>
      </c>
      <c r="AB171" s="7">
        <v>0.44900000000000001</v>
      </c>
      <c r="AC171" s="7">
        <v>174.672</v>
      </c>
      <c r="AD171" s="7">
        <v>0</v>
      </c>
      <c r="AE171" s="7">
        <v>4763.9719999999998</v>
      </c>
      <c r="AF171" s="7">
        <v>2527.404</v>
      </c>
      <c r="AG171" s="7">
        <v>0</v>
      </c>
      <c r="AH171" s="7">
        <v>18570.062000000002</v>
      </c>
      <c r="AI171" s="7">
        <v>4439.0969999999998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103.622</v>
      </c>
      <c r="AP171" s="7">
        <v>0</v>
      </c>
      <c r="AQ171" s="7">
        <v>874.18700000000001</v>
      </c>
      <c r="AR171" s="7">
        <v>0</v>
      </c>
      <c r="AS171" s="7">
        <v>3.0139999999999998</v>
      </c>
      <c r="AT171" s="7">
        <v>0</v>
      </c>
      <c r="AU171" s="7">
        <v>20.588999999999999</v>
      </c>
      <c r="AV171" s="7">
        <v>0</v>
      </c>
      <c r="AW171" s="7">
        <v>0</v>
      </c>
      <c r="AX171" s="7">
        <v>0</v>
      </c>
      <c r="AY171" s="7">
        <v>17.495999999999999</v>
      </c>
      <c r="AZ171" s="7">
        <v>250.72900000000001</v>
      </c>
      <c r="BA171" s="7">
        <v>0</v>
      </c>
      <c r="BB171" s="7">
        <v>30.695</v>
      </c>
      <c r="BC171" s="7">
        <v>0</v>
      </c>
      <c r="BD171" s="7">
        <v>291.44099999999997</v>
      </c>
      <c r="BE171" s="7">
        <v>8.1229999999999993</v>
      </c>
      <c r="BF171" s="7">
        <v>8.1229999999999993</v>
      </c>
      <c r="BG171" s="7">
        <v>98.054000000000002</v>
      </c>
      <c r="BH171" s="7">
        <v>0</v>
      </c>
      <c r="BI171" s="7">
        <v>0</v>
      </c>
      <c r="BJ171" s="21"/>
    </row>
    <row r="172" spans="1:62" ht="15.5" x14ac:dyDescent="0.35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5" x14ac:dyDescent="0.35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5" x14ac:dyDescent="0.35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5" x14ac:dyDescent="0.35">
      <c r="A175" s="5" t="s">
        <v>331</v>
      </c>
      <c r="B175" s="5" t="s">
        <v>332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5" x14ac:dyDescent="0.35">
      <c r="A176" s="5" t="s">
        <v>333</v>
      </c>
      <c r="B176" s="5" t="s">
        <v>334</v>
      </c>
      <c r="C176" s="7">
        <v>4</v>
      </c>
      <c r="D176" s="7">
        <v>4</v>
      </c>
      <c r="E176" s="7">
        <v>-7470.2160000000003</v>
      </c>
      <c r="F176" s="7">
        <v>-1703.125</v>
      </c>
      <c r="G176" s="7">
        <v>0</v>
      </c>
      <c r="H176" s="7">
        <v>0</v>
      </c>
      <c r="I176" s="7">
        <v>-48.351999999999997</v>
      </c>
      <c r="J176" s="7">
        <v>0</v>
      </c>
      <c r="K176" s="7">
        <v>0</v>
      </c>
      <c r="L176" s="7">
        <v>-19499.348999999998</v>
      </c>
      <c r="M176" s="7">
        <v>-1049.508</v>
      </c>
      <c r="N176" s="7">
        <v>0</v>
      </c>
      <c r="O176" s="7">
        <v>0</v>
      </c>
      <c r="P176" s="7">
        <v>-9.2999999999999999E-2</v>
      </c>
      <c r="Q176" s="7">
        <v>0</v>
      </c>
      <c r="R176" s="7">
        <v>0</v>
      </c>
      <c r="S176" s="7">
        <v>-534.24300000000005</v>
      </c>
      <c r="T176" s="7">
        <v>0</v>
      </c>
      <c r="U176" s="7">
        <v>0</v>
      </c>
      <c r="V176" s="7">
        <v>0</v>
      </c>
      <c r="W176" s="7">
        <v>-149.774</v>
      </c>
      <c r="X176" s="7">
        <v>0</v>
      </c>
      <c r="Y176" s="7">
        <v>-3477.2190000000001</v>
      </c>
      <c r="Z176" s="7">
        <v>0</v>
      </c>
      <c r="AA176" s="7">
        <v>0</v>
      </c>
      <c r="AB176" s="7">
        <v>-1.0269999999999999</v>
      </c>
      <c r="AC176" s="7">
        <v>-311.827</v>
      </c>
      <c r="AD176" s="7">
        <v>0</v>
      </c>
      <c r="AE176" s="7">
        <v>-8640.9509999999991</v>
      </c>
      <c r="AF176" s="7">
        <v>-4513.1099999999997</v>
      </c>
      <c r="AG176" s="7">
        <v>0</v>
      </c>
      <c r="AH176" s="7">
        <v>-33008.817000000003</v>
      </c>
      <c r="AI176" s="7">
        <v>-7870.9719999999998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-190.03100000000001</v>
      </c>
      <c r="AP176" s="7">
        <v>0</v>
      </c>
      <c r="AQ176" s="7">
        <v>-1564.829</v>
      </c>
      <c r="AR176" s="7">
        <v>0</v>
      </c>
      <c r="AS176" s="7">
        <v>-5.4930000000000003</v>
      </c>
      <c r="AT176" s="7">
        <v>0</v>
      </c>
      <c r="AU176" s="7">
        <v>-37.130000000000003</v>
      </c>
      <c r="AV176" s="7">
        <v>0</v>
      </c>
      <c r="AW176" s="7">
        <v>0</v>
      </c>
      <c r="AX176" s="7">
        <v>0</v>
      </c>
      <c r="AY176" s="7">
        <v>-21.12</v>
      </c>
      <c r="AZ176" s="7">
        <v>-302.66899999999998</v>
      </c>
      <c r="BA176" s="7">
        <v>0</v>
      </c>
      <c r="BB176" s="7">
        <v>-55.811999999999998</v>
      </c>
      <c r="BC176" s="7">
        <v>0</v>
      </c>
      <c r="BD176" s="7">
        <v>-351.815</v>
      </c>
      <c r="BE176" s="7">
        <v>-14.896000000000001</v>
      </c>
      <c r="BF176" s="7">
        <v>-14.896000000000001</v>
      </c>
      <c r="BG176" s="7">
        <v>-118.366</v>
      </c>
      <c r="BH176" s="7">
        <v>0</v>
      </c>
      <c r="BI176" s="7">
        <v>0</v>
      </c>
      <c r="BJ176" s="21"/>
    </row>
    <row r="177" spans="1:62" ht="15.5" x14ac:dyDescent="0.35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5" x14ac:dyDescent="0.35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5" x14ac:dyDescent="0.35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5" x14ac:dyDescent="0.35">
      <c r="A180" s="5" t="s">
        <v>341</v>
      </c>
      <c r="B180" s="5" t="s">
        <v>342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5" x14ac:dyDescent="0.35">
      <c r="A181" s="5" t="s">
        <v>323</v>
      </c>
      <c r="B181" s="5" t="s">
        <v>343</v>
      </c>
      <c r="C181" s="7">
        <v>6</v>
      </c>
      <c r="D181" s="7">
        <v>6</v>
      </c>
      <c r="E181" s="7">
        <v>61.555</v>
      </c>
      <c r="F181" s="7">
        <v>12.552</v>
      </c>
      <c r="G181" s="7">
        <v>0</v>
      </c>
      <c r="H181" s="7">
        <v>0</v>
      </c>
      <c r="I181" s="7">
        <v>0.48</v>
      </c>
      <c r="J181" s="7">
        <v>0</v>
      </c>
      <c r="K181" s="7">
        <v>0</v>
      </c>
      <c r="L181" s="7">
        <v>148.52699999999999</v>
      </c>
      <c r="M181" s="7">
        <v>11.371</v>
      </c>
      <c r="N181" s="7">
        <v>0</v>
      </c>
      <c r="O181" s="7">
        <v>0</v>
      </c>
      <c r="P181" s="7">
        <v>2E-3</v>
      </c>
      <c r="Q181" s="7">
        <v>0</v>
      </c>
      <c r="R181" s="7">
        <v>0</v>
      </c>
      <c r="S181" s="7">
        <v>4.0359999999999996</v>
      </c>
      <c r="T181" s="7">
        <v>0</v>
      </c>
      <c r="U181" s="7">
        <v>0</v>
      </c>
      <c r="V181" s="7">
        <v>0</v>
      </c>
      <c r="W181" s="7">
        <v>1.2210000000000001</v>
      </c>
      <c r="X181" s="7">
        <v>0</v>
      </c>
      <c r="Y181" s="7">
        <v>25.655999999999999</v>
      </c>
      <c r="Z181" s="7">
        <v>0</v>
      </c>
      <c r="AA181" s="7">
        <v>0</v>
      </c>
      <c r="AB181" s="7">
        <v>0</v>
      </c>
      <c r="AC181" s="7">
        <v>2.399</v>
      </c>
      <c r="AD181" s="7">
        <v>0</v>
      </c>
      <c r="AE181" s="7">
        <v>62.377000000000002</v>
      </c>
      <c r="AF181" s="7">
        <v>34.670999999999999</v>
      </c>
      <c r="AG181" s="7">
        <v>0</v>
      </c>
      <c r="AH181" s="7">
        <v>255.69399999999999</v>
      </c>
      <c r="AI181" s="7">
        <v>62.438000000000002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1.3</v>
      </c>
      <c r="AP181" s="7">
        <v>0</v>
      </c>
      <c r="AQ181" s="7">
        <v>11.968</v>
      </c>
      <c r="AR181" s="7">
        <v>0</v>
      </c>
      <c r="AS181" s="7">
        <v>3.9E-2</v>
      </c>
      <c r="AT181" s="7">
        <v>0</v>
      </c>
      <c r="AU181" s="7">
        <v>0.27300000000000002</v>
      </c>
      <c r="AV181" s="7">
        <v>0</v>
      </c>
      <c r="AW181" s="7">
        <v>0</v>
      </c>
      <c r="AX181" s="7">
        <v>0</v>
      </c>
      <c r="AY181" s="7">
        <v>0.51900000000000002</v>
      </c>
      <c r="AZ181" s="7">
        <v>7.4320000000000004</v>
      </c>
      <c r="BA181" s="7">
        <v>0</v>
      </c>
      <c r="BB181" s="7">
        <v>0.39800000000000002</v>
      </c>
      <c r="BC181" s="7">
        <v>0</v>
      </c>
      <c r="BD181" s="7">
        <v>8.6379999999999999</v>
      </c>
      <c r="BE181" s="7">
        <v>0.10199999999999999</v>
      </c>
      <c r="BF181" s="7">
        <v>0.10199999999999999</v>
      </c>
      <c r="BG181" s="7">
        <v>2.9060000000000001</v>
      </c>
      <c r="BH181" s="7">
        <v>0</v>
      </c>
      <c r="BI181" s="7">
        <v>0</v>
      </c>
      <c r="BJ181" s="21"/>
    </row>
    <row r="182" spans="1:62" ht="15.5" x14ac:dyDescent="0.35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5" x14ac:dyDescent="0.35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5" x14ac:dyDescent="0.35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5" x14ac:dyDescent="0.35">
      <c r="A185" s="5" t="s">
        <v>331</v>
      </c>
      <c r="B185" s="5" t="s">
        <v>347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5" x14ac:dyDescent="0.35">
      <c r="A186" s="5" t="s">
        <v>333</v>
      </c>
      <c r="B186" s="5" t="s">
        <v>348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5" x14ac:dyDescent="0.35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5" x14ac:dyDescent="0.35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5" x14ac:dyDescent="0.35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5" x14ac:dyDescent="0.35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5" x14ac:dyDescent="0.35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5" x14ac:dyDescent="0.35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5" x14ac:dyDescent="0.35">
      <c r="A193" s="5" t="s">
        <v>357</v>
      </c>
      <c r="B193" s="5" t="s">
        <v>358</v>
      </c>
      <c r="C193" s="7">
        <v>6</v>
      </c>
      <c r="D193" s="7">
        <v>6</v>
      </c>
      <c r="E193" s="7">
        <v>31.776</v>
      </c>
      <c r="F193" s="7">
        <v>2.8359999999999999</v>
      </c>
      <c r="G193" s="7">
        <v>8.5570000000000004</v>
      </c>
      <c r="H193" s="7">
        <v>0</v>
      </c>
      <c r="I193" s="7">
        <v>0.73499999999999999</v>
      </c>
      <c r="J193" s="7">
        <v>6.2489999999999997</v>
      </c>
      <c r="K193" s="7">
        <v>0</v>
      </c>
      <c r="L193" s="7">
        <v>11.685</v>
      </c>
      <c r="M193" s="7">
        <v>19.902000000000001</v>
      </c>
      <c r="N193" s="7">
        <v>0</v>
      </c>
      <c r="O193" s="7">
        <v>0</v>
      </c>
      <c r="P193" s="7">
        <v>1E-3</v>
      </c>
      <c r="Q193" s="7">
        <v>0</v>
      </c>
      <c r="R193" s="7">
        <v>0</v>
      </c>
      <c r="S193" s="7">
        <v>1.052</v>
      </c>
      <c r="T193" s="7">
        <v>0</v>
      </c>
      <c r="U193" s="7">
        <v>0</v>
      </c>
      <c r="V193" s="7">
        <v>0.66</v>
      </c>
      <c r="W193" s="7">
        <v>1.919</v>
      </c>
      <c r="X193" s="7">
        <v>0</v>
      </c>
      <c r="Y193" s="7">
        <v>4.7539999999999996</v>
      </c>
      <c r="Z193" s="7">
        <v>0</v>
      </c>
      <c r="AA193" s="7">
        <v>7.9009999999999998</v>
      </c>
      <c r="AB193" s="7">
        <v>0</v>
      </c>
      <c r="AC193" s="7">
        <v>0.54500000000000004</v>
      </c>
      <c r="AD193" s="7">
        <v>0</v>
      </c>
      <c r="AE193" s="7">
        <v>12.746</v>
      </c>
      <c r="AF193" s="7">
        <v>0</v>
      </c>
      <c r="AG193" s="7">
        <v>0</v>
      </c>
      <c r="AH193" s="7">
        <v>36.997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0.39700000000000002</v>
      </c>
      <c r="AP193" s="7">
        <v>0</v>
      </c>
      <c r="AQ193" s="7">
        <v>0</v>
      </c>
      <c r="AR193" s="7">
        <v>0</v>
      </c>
      <c r="AS193" s="7">
        <v>4.0000000000000001E-3</v>
      </c>
      <c r="AT193" s="7">
        <v>0</v>
      </c>
      <c r="AU193" s="7">
        <v>0.23300000000000001</v>
      </c>
      <c r="AV193" s="7">
        <v>0</v>
      </c>
      <c r="AW193" s="7">
        <v>0</v>
      </c>
      <c r="AX193" s="7">
        <v>0</v>
      </c>
      <c r="AY193" s="7">
        <v>0.27500000000000002</v>
      </c>
      <c r="AZ193" s="7">
        <v>0</v>
      </c>
      <c r="BA193" s="7">
        <v>0</v>
      </c>
      <c r="BB193" s="7">
        <v>0.108</v>
      </c>
      <c r="BC193" s="7">
        <v>0.19700000000000001</v>
      </c>
      <c r="BD193" s="7">
        <v>0</v>
      </c>
      <c r="BE193" s="7">
        <v>0.03</v>
      </c>
      <c r="BF193" s="7">
        <v>0.03</v>
      </c>
      <c r="BG193" s="7">
        <v>0</v>
      </c>
      <c r="BH193" s="7">
        <v>0</v>
      </c>
      <c r="BI193" s="7">
        <v>9.0999999999999998E-2</v>
      </c>
      <c r="BJ193" s="21"/>
    </row>
    <row r="194" spans="1:62" ht="15.5" x14ac:dyDescent="0.35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31.312999999999999</v>
      </c>
      <c r="R194" s="7">
        <v>99.731999999999999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5" x14ac:dyDescent="0.35">
      <c r="A195" s="5" t="s">
        <v>361</v>
      </c>
      <c r="B195" s="5" t="s">
        <v>362</v>
      </c>
      <c r="C195" s="7">
        <v>6</v>
      </c>
      <c r="D195" s="7">
        <v>6</v>
      </c>
      <c r="E195" s="7">
        <v>144.31800000000001</v>
      </c>
      <c r="F195" s="7">
        <v>0</v>
      </c>
      <c r="G195" s="7">
        <v>35.140999999999998</v>
      </c>
      <c r="H195" s="7">
        <v>0</v>
      </c>
      <c r="I195" s="7">
        <v>0</v>
      </c>
      <c r="J195" s="7">
        <v>61.125999999999998</v>
      </c>
      <c r="K195" s="7">
        <v>0</v>
      </c>
      <c r="L195" s="7">
        <v>519.08000000000004</v>
      </c>
      <c r="M195" s="7">
        <v>75.268000000000001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444.97500000000002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5" x14ac:dyDescent="0.35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5" x14ac:dyDescent="0.35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5" x14ac:dyDescent="0.35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5" x14ac:dyDescent="0.35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5" x14ac:dyDescent="0.35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5" x14ac:dyDescent="0.35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5" x14ac:dyDescent="0.35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5" x14ac:dyDescent="0.35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5" x14ac:dyDescent="0.35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5" x14ac:dyDescent="0.35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5" x14ac:dyDescent="0.35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5" x14ac:dyDescent="0.35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5" x14ac:dyDescent="0.35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5" x14ac:dyDescent="0.35">
      <c r="A209" s="5" t="s">
        <v>389</v>
      </c>
      <c r="B209" s="5" t="s">
        <v>390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5" x14ac:dyDescent="0.35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5" x14ac:dyDescent="0.35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5" x14ac:dyDescent="0.35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5" x14ac:dyDescent="0.35">
      <c r="A213" s="5" t="s">
        <v>353</v>
      </c>
      <c r="B213" s="5" t="s">
        <v>397</v>
      </c>
      <c r="C213" s="7">
        <v>6</v>
      </c>
      <c r="D213" s="7">
        <v>6</v>
      </c>
      <c r="E213" s="7">
        <v>1348.4280000000001</v>
      </c>
      <c r="F213" s="7">
        <v>123.124</v>
      </c>
      <c r="G213" s="7">
        <v>174.75</v>
      </c>
      <c r="H213" s="7">
        <v>4.0000000000000001E-3</v>
      </c>
      <c r="I213" s="7">
        <v>30.6</v>
      </c>
      <c r="J213" s="7">
        <v>106.804</v>
      </c>
      <c r="K213" s="7">
        <v>0</v>
      </c>
      <c r="L213" s="7">
        <v>982.61699999999996</v>
      </c>
      <c r="M213" s="7">
        <v>476.12400000000002</v>
      </c>
      <c r="N213" s="7">
        <v>0</v>
      </c>
      <c r="O213" s="7">
        <v>0</v>
      </c>
      <c r="P213" s="7">
        <v>5.6669999999999998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15.753</v>
      </c>
      <c r="W213" s="7">
        <v>48.069000000000003</v>
      </c>
      <c r="X213" s="7">
        <v>0</v>
      </c>
      <c r="Y213" s="7">
        <v>380.26900000000001</v>
      </c>
      <c r="Z213" s="7">
        <v>0</v>
      </c>
      <c r="AA213" s="7">
        <v>134.29400000000001</v>
      </c>
      <c r="AB213" s="7">
        <v>0</v>
      </c>
      <c r="AC213" s="7">
        <v>20.352</v>
      </c>
      <c r="AD213" s="7">
        <v>0</v>
      </c>
      <c r="AE213" s="7">
        <v>1216.3889999999999</v>
      </c>
      <c r="AF213" s="7">
        <v>0</v>
      </c>
      <c r="AG213" s="7">
        <v>0</v>
      </c>
      <c r="AH213" s="7">
        <v>2832.752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5" x14ac:dyDescent="0.35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5" x14ac:dyDescent="0.35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5" x14ac:dyDescent="0.35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5" x14ac:dyDescent="0.35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5" x14ac:dyDescent="0.35">
      <c r="A218" s="5" t="s">
        <v>363</v>
      </c>
      <c r="B218" s="5" t="s">
        <v>402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-1E-3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5" x14ac:dyDescent="0.35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5" x14ac:dyDescent="0.35">
      <c r="A220" s="5" t="s">
        <v>367</v>
      </c>
      <c r="B220" s="5" t="s">
        <v>404</v>
      </c>
      <c r="C220" s="7">
        <v>6</v>
      </c>
      <c r="D220" s="7">
        <v>6</v>
      </c>
      <c r="E220" s="7">
        <v>55757.186999999998</v>
      </c>
      <c r="F220" s="7">
        <v>11370.179</v>
      </c>
      <c r="G220" s="7">
        <v>0</v>
      </c>
      <c r="H220" s="7">
        <v>0</v>
      </c>
      <c r="I220" s="7">
        <v>435.13099999999997</v>
      </c>
      <c r="J220" s="7">
        <v>0</v>
      </c>
      <c r="K220" s="7">
        <v>0</v>
      </c>
      <c r="L220" s="7">
        <v>134538.36499999999</v>
      </c>
      <c r="M220" s="7">
        <v>10300.198</v>
      </c>
      <c r="N220" s="7">
        <v>0</v>
      </c>
      <c r="O220" s="7">
        <v>0</v>
      </c>
      <c r="P220" s="7">
        <v>2.0699999999999998</v>
      </c>
      <c r="Q220" s="7">
        <v>0</v>
      </c>
      <c r="R220" s="7">
        <v>0</v>
      </c>
      <c r="S220" s="7">
        <v>3656.1350000000002</v>
      </c>
      <c r="T220" s="7">
        <v>0</v>
      </c>
      <c r="U220" s="7">
        <v>0</v>
      </c>
      <c r="V220" s="7">
        <v>0</v>
      </c>
      <c r="W220" s="7">
        <v>1106.2909999999999</v>
      </c>
      <c r="X220" s="7">
        <v>0</v>
      </c>
      <c r="Y220" s="7">
        <v>23239.796999999999</v>
      </c>
      <c r="Z220" s="7">
        <v>0</v>
      </c>
      <c r="AA220" s="7">
        <v>0</v>
      </c>
      <c r="AB220" s="7">
        <v>0</v>
      </c>
      <c r="AC220" s="7">
        <v>2172.8530000000001</v>
      </c>
      <c r="AD220" s="7">
        <v>0</v>
      </c>
      <c r="AE220" s="7">
        <v>56501.794999999998</v>
      </c>
      <c r="AF220" s="7">
        <v>31405.907999999999</v>
      </c>
      <c r="AG220" s="7">
        <v>0</v>
      </c>
      <c r="AH220" s="7">
        <v>231611.38500000001</v>
      </c>
      <c r="AI220" s="7">
        <v>56557.650999999998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1177.6790000000001</v>
      </c>
      <c r="AP220" s="7">
        <v>0</v>
      </c>
      <c r="AQ220" s="7">
        <v>10840.894</v>
      </c>
      <c r="AR220" s="7">
        <v>0</v>
      </c>
      <c r="AS220" s="7">
        <v>35.25</v>
      </c>
      <c r="AT220" s="7">
        <v>0</v>
      </c>
      <c r="AU220" s="7">
        <v>247.35</v>
      </c>
      <c r="AV220" s="7">
        <v>0</v>
      </c>
      <c r="AW220" s="7">
        <v>0</v>
      </c>
      <c r="AX220" s="7">
        <v>0</v>
      </c>
      <c r="AY220" s="7">
        <v>469.76</v>
      </c>
      <c r="AZ220" s="7">
        <v>6731.7359999999999</v>
      </c>
      <c r="BA220" s="7">
        <v>0</v>
      </c>
      <c r="BB220" s="7">
        <v>360.59</v>
      </c>
      <c r="BC220" s="7">
        <v>0</v>
      </c>
      <c r="BD220" s="7">
        <v>7824.7960000000003</v>
      </c>
      <c r="BE220" s="7">
        <v>92.406000000000006</v>
      </c>
      <c r="BF220" s="7">
        <v>92.406000000000006</v>
      </c>
      <c r="BG220" s="7">
        <v>2632.6179999999999</v>
      </c>
      <c r="BH220" s="7">
        <v>0</v>
      </c>
      <c r="BI220" s="7">
        <v>0</v>
      </c>
      <c r="BJ220" s="21"/>
    </row>
    <row r="221" spans="1:62" ht="15.5" x14ac:dyDescent="0.35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5" x14ac:dyDescent="0.35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5" x14ac:dyDescent="0.35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5" x14ac:dyDescent="0.35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5" x14ac:dyDescent="0.35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5" x14ac:dyDescent="0.35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5" x14ac:dyDescent="0.35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5" x14ac:dyDescent="0.35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5" x14ac:dyDescent="0.35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5" x14ac:dyDescent="0.35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5" x14ac:dyDescent="0.35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5" x14ac:dyDescent="0.35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5" x14ac:dyDescent="0.35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5" x14ac:dyDescent="0.35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5" x14ac:dyDescent="0.35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5" x14ac:dyDescent="0.35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5" x14ac:dyDescent="0.35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5" x14ac:dyDescent="0.35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5" x14ac:dyDescent="0.35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5" x14ac:dyDescent="0.35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5" x14ac:dyDescent="0.35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5" x14ac:dyDescent="0.35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5" x14ac:dyDescent="0.35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5" x14ac:dyDescent="0.35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5" x14ac:dyDescent="0.35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5" x14ac:dyDescent="0.35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5" x14ac:dyDescent="0.35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5" x14ac:dyDescent="0.35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5" x14ac:dyDescent="0.35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5" x14ac:dyDescent="0.35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5" x14ac:dyDescent="0.35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5" x14ac:dyDescent="0.35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5" x14ac:dyDescent="0.35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5" x14ac:dyDescent="0.35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1897.2260000000001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5" x14ac:dyDescent="0.35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4068.2550000000001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5" x14ac:dyDescent="0.35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503.76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395.25799999999998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5" x14ac:dyDescent="0.35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6.0000000000000001E-3</v>
      </c>
      <c r="J257" s="7">
        <v>0</v>
      </c>
      <c r="K257" s="7">
        <v>0</v>
      </c>
      <c r="L257" s="7">
        <v>3.7999999999999999E-2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4.3999999999999997E-2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5" x14ac:dyDescent="0.35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5" x14ac:dyDescent="0.35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5" x14ac:dyDescent="0.35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5" x14ac:dyDescent="0.35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5" x14ac:dyDescent="0.35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5" x14ac:dyDescent="0.35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5" x14ac:dyDescent="0.35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5" x14ac:dyDescent="0.35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5" x14ac:dyDescent="0.35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5" x14ac:dyDescent="0.35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5" x14ac:dyDescent="0.35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5" x14ac:dyDescent="0.35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5" x14ac:dyDescent="0.35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5" x14ac:dyDescent="0.35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5" x14ac:dyDescent="0.35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5" x14ac:dyDescent="0.35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5" x14ac:dyDescent="0.35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5" x14ac:dyDescent="0.35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5" x14ac:dyDescent="0.35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5" x14ac:dyDescent="0.35">
      <c r="A277" s="5" t="s">
        <v>459</v>
      </c>
      <c r="B277" s="5" t="s">
        <v>483</v>
      </c>
      <c r="C277" s="7">
        <v>6</v>
      </c>
      <c r="D277" s="7">
        <v>6</v>
      </c>
      <c r="E277" s="7">
        <v>3599.7649999999999</v>
      </c>
      <c r="F277" s="7">
        <v>2512.66</v>
      </c>
      <c r="G277" s="7">
        <v>175.739</v>
      </c>
      <c r="H277" s="7">
        <v>1.738</v>
      </c>
      <c r="I277" s="7">
        <v>222.35900000000001</v>
      </c>
      <c r="J277" s="7">
        <v>1866.33</v>
      </c>
      <c r="K277" s="7">
        <v>0</v>
      </c>
      <c r="L277" s="7">
        <v>5264.8810000000003</v>
      </c>
      <c r="M277" s="7">
        <v>2061.902</v>
      </c>
      <c r="N277" s="7">
        <v>0</v>
      </c>
      <c r="O277" s="7">
        <v>0</v>
      </c>
      <c r="P277" s="7">
        <v>7.0000000000000001E-3</v>
      </c>
      <c r="Q277" s="7">
        <v>0</v>
      </c>
      <c r="R277" s="7">
        <v>0</v>
      </c>
      <c r="S277" s="7">
        <v>1006.97</v>
      </c>
      <c r="T277" s="7">
        <v>0</v>
      </c>
      <c r="U277" s="7">
        <v>0</v>
      </c>
      <c r="V277" s="7">
        <v>180.744</v>
      </c>
      <c r="W277" s="7">
        <v>3.323</v>
      </c>
      <c r="X277" s="7">
        <v>0</v>
      </c>
      <c r="Y277" s="7">
        <v>113.188</v>
      </c>
      <c r="Z277" s="7">
        <v>0</v>
      </c>
      <c r="AA277" s="7">
        <v>4166.4210000000003</v>
      </c>
      <c r="AB277" s="7">
        <v>0</v>
      </c>
      <c r="AC277" s="7">
        <v>420.745</v>
      </c>
      <c r="AD277" s="7">
        <v>0</v>
      </c>
      <c r="AE277" s="7">
        <v>8.1170000000000009</v>
      </c>
      <c r="AF277" s="7">
        <v>46.061</v>
      </c>
      <c r="AG277" s="7">
        <v>0</v>
      </c>
      <c r="AH277" s="7">
        <v>8666.6319999999996</v>
      </c>
      <c r="AI277" s="7">
        <v>3.4000000000000002E-2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487.55</v>
      </c>
      <c r="AP277" s="7">
        <v>0</v>
      </c>
      <c r="AQ277" s="7">
        <v>6.7850000000000001</v>
      </c>
      <c r="AR277" s="7">
        <v>0</v>
      </c>
      <c r="AS277" s="7">
        <v>3.5110000000000001</v>
      </c>
      <c r="AT277" s="7">
        <v>0</v>
      </c>
      <c r="AU277" s="7">
        <v>0.47799999999999998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136.52500000000001</v>
      </c>
      <c r="BC277" s="7">
        <v>0</v>
      </c>
      <c r="BD277" s="7">
        <v>0</v>
      </c>
      <c r="BE277" s="7">
        <v>36.762</v>
      </c>
      <c r="BF277" s="7">
        <v>36.762</v>
      </c>
      <c r="BG277" s="7">
        <v>0</v>
      </c>
      <c r="BH277" s="7">
        <v>0</v>
      </c>
      <c r="BI277" s="7">
        <v>0</v>
      </c>
      <c r="BJ277" s="21"/>
    </row>
    <row r="278" spans="1:62" ht="15.5" x14ac:dyDescent="0.35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5" x14ac:dyDescent="0.35">
      <c r="A279" s="5" t="s">
        <v>485</v>
      </c>
      <c r="B279" s="5" t="s">
        <v>486</v>
      </c>
      <c r="C279" s="7">
        <v>5</v>
      </c>
      <c r="D279" s="7">
        <v>5</v>
      </c>
      <c r="E279" s="7">
        <v>143580.75200000001</v>
      </c>
      <c r="F279" s="7">
        <v>0</v>
      </c>
      <c r="G279" s="7">
        <v>13245.516</v>
      </c>
      <c r="H279" s="7">
        <v>221.88800000000001</v>
      </c>
      <c r="I279" s="7">
        <v>0</v>
      </c>
      <c r="J279" s="7">
        <v>30774.827000000001</v>
      </c>
      <c r="K279" s="7">
        <v>14520.261</v>
      </c>
      <c r="L279" s="7">
        <v>133300.59299999999</v>
      </c>
      <c r="M279" s="7">
        <v>162794.43799999999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2901.13</v>
      </c>
      <c r="V279" s="7">
        <v>5982.5169999999998</v>
      </c>
      <c r="W279" s="7">
        <v>7297.6570000000002</v>
      </c>
      <c r="X279" s="7">
        <v>0</v>
      </c>
      <c r="Y279" s="7">
        <v>30016.095000000001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76841.710999999996</v>
      </c>
      <c r="AF279" s="7">
        <v>10285.259</v>
      </c>
      <c r="AG279" s="7">
        <v>8056.06</v>
      </c>
      <c r="AH279" s="7">
        <v>548975.93799999997</v>
      </c>
      <c r="AI279" s="7">
        <v>87346.433000000005</v>
      </c>
      <c r="AJ279" s="7">
        <v>18.614999999999998</v>
      </c>
      <c r="AK279" s="7">
        <v>463.16</v>
      </c>
      <c r="AL279" s="7">
        <v>115.458</v>
      </c>
      <c r="AM279" s="7">
        <v>632.62</v>
      </c>
      <c r="AN279" s="7">
        <v>278.09500000000003</v>
      </c>
      <c r="AO279" s="7">
        <v>0</v>
      </c>
      <c r="AP279" s="7">
        <v>0</v>
      </c>
      <c r="AQ279" s="7">
        <v>7126.9669999999996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5" x14ac:dyDescent="0.35">
      <c r="A280" s="5" t="s">
        <v>487</v>
      </c>
      <c r="B280" s="5" t="s">
        <v>488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5" x14ac:dyDescent="0.35">
      <c r="A281" s="5" t="s">
        <v>489</v>
      </c>
      <c r="B281" s="5" t="s">
        <v>490</v>
      </c>
      <c r="C281" s="7">
        <v>5</v>
      </c>
      <c r="D281" s="7">
        <v>5</v>
      </c>
      <c r="E281" s="7">
        <v>15826.764999999999</v>
      </c>
      <c r="F281" s="7">
        <v>1445.126</v>
      </c>
      <c r="G281" s="7">
        <v>2051.0740000000001</v>
      </c>
      <c r="H281" s="7">
        <v>0</v>
      </c>
      <c r="I281" s="7">
        <v>359.16199999999998</v>
      </c>
      <c r="J281" s="7">
        <v>1253.5809999999999</v>
      </c>
      <c r="K281" s="7">
        <v>0</v>
      </c>
      <c r="L281" s="7">
        <v>11533.169</v>
      </c>
      <c r="M281" s="7">
        <v>5588.3649999999998</v>
      </c>
      <c r="N281" s="7">
        <v>0</v>
      </c>
      <c r="O281" s="7">
        <v>0</v>
      </c>
      <c r="P281" s="7">
        <v>66.510000000000005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184.899</v>
      </c>
      <c r="W281" s="7">
        <v>564.19600000000003</v>
      </c>
      <c r="X281" s="7">
        <v>0</v>
      </c>
      <c r="Y281" s="7">
        <v>4463.2879999999996</v>
      </c>
      <c r="Z281" s="7">
        <v>0</v>
      </c>
      <c r="AA281" s="7">
        <v>1576.231</v>
      </c>
      <c r="AB281" s="7">
        <v>0</v>
      </c>
      <c r="AC281" s="7">
        <v>238.87100000000001</v>
      </c>
      <c r="AD281" s="7">
        <v>0</v>
      </c>
      <c r="AE281" s="7">
        <v>14276.992</v>
      </c>
      <c r="AF281" s="7">
        <v>0</v>
      </c>
      <c r="AG281" s="7">
        <v>0</v>
      </c>
      <c r="AH281" s="7">
        <v>33248.572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5" x14ac:dyDescent="0.35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5" x14ac:dyDescent="0.35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5" x14ac:dyDescent="0.35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5" x14ac:dyDescent="0.35">
      <c r="A285" s="5" t="s">
        <v>497</v>
      </c>
      <c r="B285" s="5" t="s">
        <v>498</v>
      </c>
      <c r="C285" s="7">
        <v>5</v>
      </c>
      <c r="D285" s="7">
        <v>5</v>
      </c>
      <c r="E285" s="7">
        <v>77077.252999999997</v>
      </c>
      <c r="F285" s="7">
        <v>7340.5280000000002</v>
      </c>
      <c r="G285" s="7">
        <v>11471.669</v>
      </c>
      <c r="H285" s="7">
        <v>0</v>
      </c>
      <c r="I285" s="7">
        <v>1884.8589999999999</v>
      </c>
      <c r="J285" s="7">
        <v>6597.5969999999998</v>
      </c>
      <c r="K285" s="7">
        <v>0</v>
      </c>
      <c r="L285" s="7">
        <v>68365.702000000005</v>
      </c>
      <c r="M285" s="7">
        <v>31195.071</v>
      </c>
      <c r="N285" s="7">
        <v>0</v>
      </c>
      <c r="O285" s="7">
        <v>0</v>
      </c>
      <c r="P285" s="7">
        <v>374.07299999999998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795.56500000000005</v>
      </c>
      <c r="W285" s="7">
        <v>2427.5610000000001</v>
      </c>
      <c r="X285" s="7">
        <v>0</v>
      </c>
      <c r="Y285" s="7">
        <v>19963.026999999998</v>
      </c>
      <c r="Z285" s="7">
        <v>0</v>
      </c>
      <c r="AA285" s="7">
        <v>6782.0379999999996</v>
      </c>
      <c r="AB285" s="7">
        <v>0</v>
      </c>
      <c r="AC285" s="7">
        <v>1027.789</v>
      </c>
      <c r="AD285" s="7">
        <v>0</v>
      </c>
      <c r="AE285" s="7">
        <v>64450.709000000003</v>
      </c>
      <c r="AF285" s="7">
        <v>0</v>
      </c>
      <c r="AG285" s="7">
        <v>0</v>
      </c>
      <c r="AH285" s="7">
        <v>175054.12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5" x14ac:dyDescent="0.35">
      <c r="A286" s="5" t="s">
        <v>499</v>
      </c>
      <c r="B286" s="5" t="s">
        <v>500</v>
      </c>
      <c r="C286" s="7">
        <v>5</v>
      </c>
      <c r="D286" s="7">
        <v>5</v>
      </c>
      <c r="E286" s="7">
        <v>196042.19500000001</v>
      </c>
      <c r="F286" s="7">
        <v>18922.919999999998</v>
      </c>
      <c r="G286" s="7">
        <v>28775.350999999999</v>
      </c>
      <c r="H286" s="7">
        <v>14308.745999999999</v>
      </c>
      <c r="I286" s="7">
        <v>5048.4319999999998</v>
      </c>
      <c r="J286" s="7">
        <v>17008.77</v>
      </c>
      <c r="K286" s="7">
        <v>0</v>
      </c>
      <c r="L286" s="7">
        <v>149133.67300000001</v>
      </c>
      <c r="M286" s="7">
        <v>77208.358999999997</v>
      </c>
      <c r="N286" s="7">
        <v>0</v>
      </c>
      <c r="O286" s="7">
        <v>0</v>
      </c>
      <c r="P286" s="7">
        <v>932.17399999999998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2100.511</v>
      </c>
      <c r="W286" s="7">
        <v>6497.7290000000003</v>
      </c>
      <c r="X286" s="7">
        <v>0</v>
      </c>
      <c r="Y286" s="7">
        <v>51057.459000000003</v>
      </c>
      <c r="Z286" s="7">
        <v>0</v>
      </c>
      <c r="AA286" s="7">
        <v>18186.57</v>
      </c>
      <c r="AB286" s="7">
        <v>0</v>
      </c>
      <c r="AC286" s="7">
        <v>2713.6469999999999</v>
      </c>
      <c r="AD286" s="7">
        <v>0</v>
      </c>
      <c r="AE286" s="7">
        <v>163230.60399999999</v>
      </c>
      <c r="AF286" s="7">
        <v>0</v>
      </c>
      <c r="AG286" s="7">
        <v>0</v>
      </c>
      <c r="AH286" s="7">
        <v>410414.413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-2E-3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5" x14ac:dyDescent="0.35">
      <c r="A287" s="5" t="s">
        <v>501</v>
      </c>
      <c r="B287" s="5" t="s">
        <v>502</v>
      </c>
      <c r="C287" s="7">
        <v>5</v>
      </c>
      <c r="D287" s="7">
        <v>5</v>
      </c>
      <c r="E287" s="7">
        <v>2136.4209999999998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6086.4650000000001</v>
      </c>
      <c r="M287" s="7">
        <v>293.53100000000001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2411.3690000000001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4947.8779999999997</v>
      </c>
      <c r="AF287" s="7">
        <v>0</v>
      </c>
      <c r="AG287" s="7">
        <v>0</v>
      </c>
      <c r="AH287" s="7">
        <v>12251.722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5" x14ac:dyDescent="0.35">
      <c r="A288" s="5" t="s">
        <v>503</v>
      </c>
      <c r="B288" s="5" t="s">
        <v>504</v>
      </c>
      <c r="C288" s="7">
        <v>5</v>
      </c>
      <c r="D288" s="7">
        <v>5</v>
      </c>
      <c r="E288" s="7">
        <v>39054.303999999996</v>
      </c>
      <c r="F288" s="7">
        <v>3235.0650000000001</v>
      </c>
      <c r="G288" s="7">
        <v>4591.5439999999999</v>
      </c>
      <c r="H288" s="7">
        <v>105.366</v>
      </c>
      <c r="I288" s="7">
        <v>804.02200000000005</v>
      </c>
      <c r="J288" s="7">
        <v>2806.2730000000001</v>
      </c>
      <c r="K288" s="7">
        <v>0</v>
      </c>
      <c r="L288" s="7">
        <v>33651.766000000003</v>
      </c>
      <c r="M288" s="7">
        <v>13681.539000000001</v>
      </c>
      <c r="N288" s="7">
        <v>0</v>
      </c>
      <c r="O288" s="7">
        <v>0</v>
      </c>
      <c r="P288" s="7">
        <v>148.88999999999999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413.916</v>
      </c>
      <c r="W288" s="7">
        <v>1263.011</v>
      </c>
      <c r="X288" s="7">
        <v>0</v>
      </c>
      <c r="Y288" s="7">
        <v>12891.635</v>
      </c>
      <c r="Z288" s="7">
        <v>0</v>
      </c>
      <c r="AA288" s="7">
        <v>3528.558</v>
      </c>
      <c r="AB288" s="7">
        <v>0</v>
      </c>
      <c r="AC288" s="7">
        <v>534.73800000000006</v>
      </c>
      <c r="AD288" s="7">
        <v>0</v>
      </c>
      <c r="AE288" s="7">
        <v>37750.411</v>
      </c>
      <c r="AF288" s="7">
        <v>0</v>
      </c>
      <c r="AG288" s="7">
        <v>0</v>
      </c>
      <c r="AH288" s="7">
        <v>87587.986000000004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5" x14ac:dyDescent="0.35">
      <c r="A289" s="5" t="s">
        <v>505</v>
      </c>
      <c r="B289" s="5" t="s">
        <v>506</v>
      </c>
      <c r="C289" s="7">
        <v>5</v>
      </c>
      <c r="D289" s="7">
        <v>5</v>
      </c>
      <c r="E289" s="7">
        <v>41145.885999999999</v>
      </c>
      <c r="F289" s="7">
        <v>880.08299999999997</v>
      </c>
      <c r="G289" s="7">
        <v>1249.106</v>
      </c>
      <c r="H289" s="7">
        <v>11163.196</v>
      </c>
      <c r="I289" s="7">
        <v>218.73</v>
      </c>
      <c r="J289" s="7">
        <v>763.43200000000002</v>
      </c>
      <c r="K289" s="7">
        <v>0</v>
      </c>
      <c r="L289" s="7">
        <v>50763.182000000001</v>
      </c>
      <c r="M289" s="7">
        <v>11004.663</v>
      </c>
      <c r="N289" s="7">
        <v>0</v>
      </c>
      <c r="O289" s="7">
        <v>0</v>
      </c>
      <c r="P289" s="7">
        <v>40.505000000000003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112.604</v>
      </c>
      <c r="W289" s="7">
        <v>343.596</v>
      </c>
      <c r="X289" s="7">
        <v>0</v>
      </c>
      <c r="Y289" s="7">
        <v>13917.538</v>
      </c>
      <c r="Z289" s="7">
        <v>0</v>
      </c>
      <c r="AA289" s="7">
        <v>959.92600000000004</v>
      </c>
      <c r="AB289" s="7">
        <v>0</v>
      </c>
      <c r="AC289" s="7">
        <v>145.47300000000001</v>
      </c>
      <c r="AD289" s="7">
        <v>0</v>
      </c>
      <c r="AE289" s="7">
        <v>53605.34</v>
      </c>
      <c r="AF289" s="7">
        <v>0</v>
      </c>
      <c r="AG289" s="7">
        <v>0</v>
      </c>
      <c r="AH289" s="7">
        <v>117032.46400000001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5" x14ac:dyDescent="0.35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5" x14ac:dyDescent="0.35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5" x14ac:dyDescent="0.35">
      <c r="A292" s="5" t="s">
        <v>511</v>
      </c>
      <c r="B292" s="5" t="s">
        <v>512</v>
      </c>
      <c r="C292" s="7">
        <v>5</v>
      </c>
      <c r="D292" s="7">
        <v>5</v>
      </c>
      <c r="E292" s="7">
        <v>211508.25</v>
      </c>
      <c r="F292" s="7">
        <v>15594.454</v>
      </c>
      <c r="G292" s="7">
        <v>20595.192999999999</v>
      </c>
      <c r="H292" s="7">
        <v>0</v>
      </c>
      <c r="I292" s="7">
        <v>3219.6750000000002</v>
      </c>
      <c r="J292" s="7">
        <v>13160.616</v>
      </c>
      <c r="K292" s="7">
        <v>0</v>
      </c>
      <c r="L292" s="7">
        <v>137320.636</v>
      </c>
      <c r="M292" s="7">
        <v>57241.300999999999</v>
      </c>
      <c r="N292" s="7">
        <v>0</v>
      </c>
      <c r="O292" s="7">
        <v>0</v>
      </c>
      <c r="P292" s="7">
        <v>567.952</v>
      </c>
      <c r="Q292" s="7">
        <v>0</v>
      </c>
      <c r="R292" s="7">
        <v>33.320999999999998</v>
      </c>
      <c r="S292" s="7">
        <v>0</v>
      </c>
      <c r="T292" s="7">
        <v>0</v>
      </c>
      <c r="U292" s="7">
        <v>0</v>
      </c>
      <c r="V292" s="7">
        <v>2646.8989999999999</v>
      </c>
      <c r="W292" s="7">
        <v>7987.0150000000003</v>
      </c>
      <c r="X292" s="7">
        <v>0</v>
      </c>
      <c r="Y292" s="7">
        <v>65183.082999999999</v>
      </c>
      <c r="Z292" s="7">
        <v>0</v>
      </c>
      <c r="AA292" s="7">
        <v>24339.73</v>
      </c>
      <c r="AB292" s="7">
        <v>0</v>
      </c>
      <c r="AC292" s="7">
        <v>3952.9380000000001</v>
      </c>
      <c r="AD292" s="7">
        <v>0</v>
      </c>
      <c r="AE292" s="7">
        <v>194540.166</v>
      </c>
      <c r="AF292" s="7">
        <v>0</v>
      </c>
      <c r="AG292" s="7">
        <v>0</v>
      </c>
      <c r="AH292" s="7">
        <v>456597.32299999997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5" x14ac:dyDescent="0.35">
      <c r="A293" s="5" t="s">
        <v>513</v>
      </c>
      <c r="B293" s="5" t="s">
        <v>514</v>
      </c>
      <c r="C293" s="7">
        <v>5</v>
      </c>
      <c r="D293" s="7">
        <v>5</v>
      </c>
      <c r="E293" s="7">
        <v>30896.653999999999</v>
      </c>
      <c r="F293" s="7">
        <v>1614.546</v>
      </c>
      <c r="G293" s="7">
        <v>2161.5390000000002</v>
      </c>
      <c r="H293" s="7">
        <v>0</v>
      </c>
      <c r="I293" s="7">
        <v>345.82</v>
      </c>
      <c r="J293" s="7">
        <v>1369.539</v>
      </c>
      <c r="K293" s="7">
        <v>0</v>
      </c>
      <c r="L293" s="7">
        <v>31958.597000000002</v>
      </c>
      <c r="M293" s="7">
        <v>9259.3230000000003</v>
      </c>
      <c r="N293" s="7">
        <v>0</v>
      </c>
      <c r="O293" s="7">
        <v>0</v>
      </c>
      <c r="P293" s="7">
        <v>61.65</v>
      </c>
      <c r="Q293" s="7">
        <v>0</v>
      </c>
      <c r="R293" s="7">
        <v>2.8159999999999998</v>
      </c>
      <c r="S293" s="7">
        <v>0</v>
      </c>
      <c r="T293" s="7">
        <v>0</v>
      </c>
      <c r="U293" s="7">
        <v>0</v>
      </c>
      <c r="V293" s="7">
        <v>261.65100000000001</v>
      </c>
      <c r="W293" s="7">
        <v>790.81500000000005</v>
      </c>
      <c r="X293" s="7">
        <v>0</v>
      </c>
      <c r="Y293" s="7">
        <v>6355.7560000000003</v>
      </c>
      <c r="Z293" s="7">
        <v>0</v>
      </c>
      <c r="AA293" s="7">
        <v>2380.5729999999999</v>
      </c>
      <c r="AB293" s="7">
        <v>0</v>
      </c>
      <c r="AC293" s="7">
        <v>383.108</v>
      </c>
      <c r="AD293" s="7">
        <v>0</v>
      </c>
      <c r="AE293" s="7">
        <v>21411.811000000002</v>
      </c>
      <c r="AF293" s="7">
        <v>0</v>
      </c>
      <c r="AG293" s="7">
        <v>0</v>
      </c>
      <c r="AH293" s="7">
        <v>56910.6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5" x14ac:dyDescent="0.35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5" x14ac:dyDescent="0.35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5" x14ac:dyDescent="0.35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5" x14ac:dyDescent="0.35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5" x14ac:dyDescent="0.35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5" x14ac:dyDescent="0.35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5" x14ac:dyDescent="0.35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5" x14ac:dyDescent="0.35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5" x14ac:dyDescent="0.35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5" x14ac:dyDescent="0.35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5" x14ac:dyDescent="0.35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5" x14ac:dyDescent="0.35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5" x14ac:dyDescent="0.35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5" x14ac:dyDescent="0.35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5" x14ac:dyDescent="0.35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5" x14ac:dyDescent="0.35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5" x14ac:dyDescent="0.35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5" x14ac:dyDescent="0.35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5" x14ac:dyDescent="0.35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5" x14ac:dyDescent="0.35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5" x14ac:dyDescent="0.35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5" x14ac:dyDescent="0.35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5" x14ac:dyDescent="0.35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5" x14ac:dyDescent="0.35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5" x14ac:dyDescent="0.35">
      <c r="A318" s="5" t="s">
        <v>563</v>
      </c>
      <c r="B318" s="5" t="s">
        <v>564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5" x14ac:dyDescent="0.35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5" x14ac:dyDescent="0.35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5" x14ac:dyDescent="0.35">
      <c r="A321" s="5" t="s">
        <v>569</v>
      </c>
      <c r="B321" s="5" t="s">
        <v>570</v>
      </c>
      <c r="C321" s="7">
        <v>5</v>
      </c>
      <c r="D321" s="7">
        <v>5</v>
      </c>
      <c r="E321" s="7">
        <v>-36697.372000000003</v>
      </c>
      <c r="F321" s="7">
        <v>-8801.5339999999997</v>
      </c>
      <c r="G321" s="7">
        <v>0</v>
      </c>
      <c r="H321" s="7">
        <v>0</v>
      </c>
      <c r="I321" s="7">
        <v>-212.03700000000001</v>
      </c>
      <c r="J321" s="7">
        <v>0</v>
      </c>
      <c r="K321" s="7">
        <v>0</v>
      </c>
      <c r="L321" s="7">
        <v>-99447.5</v>
      </c>
      <c r="M321" s="7">
        <v>-4319.5510000000004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-2731.4380000000001</v>
      </c>
      <c r="T321" s="7">
        <v>0</v>
      </c>
      <c r="U321" s="7">
        <v>0</v>
      </c>
      <c r="V321" s="7">
        <v>0</v>
      </c>
      <c r="W321" s="7">
        <v>-738.47400000000005</v>
      </c>
      <c r="X321" s="7">
        <v>0</v>
      </c>
      <c r="Y321" s="7">
        <v>-17984.085999999999</v>
      </c>
      <c r="Z321" s="7">
        <v>0</v>
      </c>
      <c r="AA321" s="7">
        <v>0</v>
      </c>
      <c r="AB321" s="7">
        <v>-7.617</v>
      </c>
      <c r="AC321" s="7">
        <v>-1581.692</v>
      </c>
      <c r="AD321" s="7">
        <v>0</v>
      </c>
      <c r="AE321" s="7">
        <v>-45106.17</v>
      </c>
      <c r="AF321" s="7">
        <v>-22905.37</v>
      </c>
      <c r="AG321" s="7">
        <v>0</v>
      </c>
      <c r="AH321" s="7">
        <v>-166690.62299999999</v>
      </c>
      <c r="AI321" s="7">
        <v>-39355.205999999998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-1013.525</v>
      </c>
      <c r="AP321" s="7">
        <v>0</v>
      </c>
      <c r="AQ321" s="7">
        <v>-7963.2950000000001</v>
      </c>
      <c r="AR321" s="7">
        <v>0</v>
      </c>
      <c r="AS321" s="7">
        <v>-28.853999999999999</v>
      </c>
      <c r="AT321" s="7">
        <v>0</v>
      </c>
      <c r="AU321" s="7">
        <v>-192.91499999999999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-292.80200000000002</v>
      </c>
      <c r="BC321" s="7">
        <v>0</v>
      </c>
      <c r="BD321" s="7">
        <v>0</v>
      </c>
      <c r="BE321" s="7">
        <v>-79.385000000000005</v>
      </c>
      <c r="BF321" s="7">
        <v>-79.385000000000005</v>
      </c>
      <c r="BG321" s="7">
        <v>0</v>
      </c>
      <c r="BH321" s="7">
        <v>0</v>
      </c>
      <c r="BI321" s="7">
        <v>0</v>
      </c>
      <c r="BJ321" s="21"/>
    </row>
    <row r="322" spans="1:62" ht="15.5" x14ac:dyDescent="0.35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5" x14ac:dyDescent="0.35">
      <c r="A323" s="5" t="s">
        <v>573</v>
      </c>
      <c r="B323" s="5" t="s">
        <v>574</v>
      </c>
      <c r="C323" s="7">
        <v>5</v>
      </c>
      <c r="D323" s="7">
        <v>5</v>
      </c>
      <c r="E323" s="7">
        <v>-10619.674000000001</v>
      </c>
      <c r="F323" s="7">
        <v>-2547.0329999999999</v>
      </c>
      <c r="G323" s="7">
        <v>0</v>
      </c>
      <c r="H323" s="7">
        <v>0</v>
      </c>
      <c r="I323" s="7">
        <v>-61.36</v>
      </c>
      <c r="J323" s="7">
        <v>0</v>
      </c>
      <c r="K323" s="7">
        <v>0</v>
      </c>
      <c r="L323" s="7">
        <v>-28778.629000000001</v>
      </c>
      <c r="M323" s="7">
        <v>-1250.0139999999999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-790.43799999999999</v>
      </c>
      <c r="T323" s="7">
        <v>0</v>
      </c>
      <c r="U323" s="7">
        <v>0</v>
      </c>
      <c r="V323" s="7">
        <v>0</v>
      </c>
      <c r="W323" s="7">
        <v>-213.703</v>
      </c>
      <c r="X323" s="7">
        <v>0</v>
      </c>
      <c r="Y323" s="7">
        <v>-5204.3270000000002</v>
      </c>
      <c r="Z323" s="7">
        <v>0</v>
      </c>
      <c r="AA323" s="7">
        <v>0</v>
      </c>
      <c r="AB323" s="7">
        <v>-2.2040000000000002</v>
      </c>
      <c r="AC323" s="7">
        <v>-457.71800000000002</v>
      </c>
      <c r="AD323" s="7">
        <v>0</v>
      </c>
      <c r="AE323" s="7">
        <v>-13053.056</v>
      </c>
      <c r="AF323" s="7">
        <v>-6628.4740000000002</v>
      </c>
      <c r="AG323" s="7">
        <v>0</v>
      </c>
      <c r="AH323" s="7">
        <v>-48237.79</v>
      </c>
      <c r="AI323" s="7">
        <v>-11388.812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-293.29899999999998</v>
      </c>
      <c r="AP323" s="7">
        <v>0</v>
      </c>
      <c r="AQ323" s="7">
        <v>-2304.4589999999998</v>
      </c>
      <c r="AR323" s="7">
        <v>0</v>
      </c>
      <c r="AS323" s="7">
        <v>-8.35</v>
      </c>
      <c r="AT323" s="7">
        <v>0</v>
      </c>
      <c r="AU323" s="7">
        <v>-55.826999999999998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-84.733000000000004</v>
      </c>
      <c r="BC323" s="7">
        <v>0</v>
      </c>
      <c r="BD323" s="7">
        <v>0</v>
      </c>
      <c r="BE323" s="7">
        <v>-22.972999999999999</v>
      </c>
      <c r="BF323" s="7">
        <v>-22.972999999999999</v>
      </c>
      <c r="BG323" s="7">
        <v>0</v>
      </c>
      <c r="BH323" s="7">
        <v>0</v>
      </c>
      <c r="BI323" s="7">
        <v>0</v>
      </c>
      <c r="BJ323" s="21"/>
    </row>
    <row r="324" spans="1:62" ht="15.5" x14ac:dyDescent="0.35">
      <c r="A324" s="5" t="s">
        <v>575</v>
      </c>
      <c r="B324" s="5" t="s">
        <v>576</v>
      </c>
      <c r="C324" s="7">
        <v>6</v>
      </c>
      <c r="D324" s="7">
        <v>6</v>
      </c>
      <c r="E324" s="7">
        <v>64.561999999999998</v>
      </c>
      <c r="F324" s="7">
        <v>0</v>
      </c>
      <c r="G324" s="7">
        <v>0</v>
      </c>
      <c r="H324" s="7">
        <v>0</v>
      </c>
      <c r="I324" s="7">
        <v>91.06</v>
      </c>
      <c r="J324" s="7">
        <v>0</v>
      </c>
      <c r="K324" s="7">
        <v>0</v>
      </c>
      <c r="L324" s="7">
        <v>10585.868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5" x14ac:dyDescent="0.35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5" x14ac:dyDescent="0.35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5" x14ac:dyDescent="0.35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5" x14ac:dyDescent="0.35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5" x14ac:dyDescent="0.35">
      <c r="A329" s="5" t="s">
        <v>585</v>
      </c>
      <c r="B329" s="5" t="s">
        <v>586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5" x14ac:dyDescent="0.35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5" x14ac:dyDescent="0.35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5" x14ac:dyDescent="0.35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5" x14ac:dyDescent="0.35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5" x14ac:dyDescent="0.35">
      <c r="A334" s="5" t="s">
        <v>595</v>
      </c>
      <c r="B334" s="5" t="s">
        <v>596</v>
      </c>
      <c r="C334" s="7">
        <v>6</v>
      </c>
      <c r="D334" s="7">
        <v>6</v>
      </c>
      <c r="E334" s="7">
        <v>33233.209000000003</v>
      </c>
      <c r="F334" s="7">
        <v>3013.058</v>
      </c>
      <c r="G334" s="7">
        <v>5155.1289999999999</v>
      </c>
      <c r="H334" s="7">
        <v>1781.7560000000001</v>
      </c>
      <c r="I334" s="7">
        <v>518.08900000000006</v>
      </c>
      <c r="J334" s="7">
        <v>3633.5329999999999</v>
      </c>
      <c r="K334" s="7">
        <v>18467.41</v>
      </c>
      <c r="L334" s="7">
        <v>17830.874</v>
      </c>
      <c r="M334" s="7">
        <v>12821.289000000001</v>
      </c>
      <c r="N334" s="7">
        <v>0</v>
      </c>
      <c r="O334" s="7">
        <v>0.14499999999999999</v>
      </c>
      <c r="P334" s="7">
        <v>20.149999999999999</v>
      </c>
      <c r="Q334" s="7">
        <v>41.378999999999998</v>
      </c>
      <c r="R334" s="7">
        <v>143.428</v>
      </c>
      <c r="S334" s="7">
        <v>664.04899999999998</v>
      </c>
      <c r="T334" s="7">
        <v>0</v>
      </c>
      <c r="U334" s="7">
        <v>13740.962</v>
      </c>
      <c r="V334" s="7">
        <v>560.12400000000002</v>
      </c>
      <c r="W334" s="7">
        <v>1565.873</v>
      </c>
      <c r="X334" s="7">
        <v>42.460999999999999</v>
      </c>
      <c r="Y334" s="7">
        <v>8136.1480000000001</v>
      </c>
      <c r="Z334" s="7">
        <v>0</v>
      </c>
      <c r="AA334" s="7">
        <v>5870.326</v>
      </c>
      <c r="AB334" s="7">
        <v>9.2769999999999992</v>
      </c>
      <c r="AC334" s="7">
        <v>693.04700000000003</v>
      </c>
      <c r="AD334" s="7">
        <v>2.0089999999999999</v>
      </c>
      <c r="AE334" s="7">
        <v>21722.231</v>
      </c>
      <c r="AF334" s="7">
        <v>522.60299999999995</v>
      </c>
      <c r="AG334" s="7">
        <v>6.8570000000000002</v>
      </c>
      <c r="AH334" s="7">
        <v>57998.326999999997</v>
      </c>
      <c r="AI334" s="7">
        <v>763.71199999999999</v>
      </c>
      <c r="AJ334" s="7">
        <v>0</v>
      </c>
      <c r="AK334" s="7">
        <v>0</v>
      </c>
      <c r="AL334" s="7">
        <v>0</v>
      </c>
      <c r="AM334" s="7">
        <v>2927.9879999999998</v>
      </c>
      <c r="AN334" s="7">
        <v>9.9849999999999994</v>
      </c>
      <c r="AO334" s="7">
        <v>211.035</v>
      </c>
      <c r="AP334" s="7">
        <v>30.547000000000001</v>
      </c>
      <c r="AQ334" s="7">
        <v>146.97300000000001</v>
      </c>
      <c r="AR334" s="7">
        <v>13.628</v>
      </c>
      <c r="AS334" s="7">
        <v>4.07</v>
      </c>
      <c r="AT334" s="7">
        <v>0</v>
      </c>
      <c r="AU334" s="7">
        <v>153.041</v>
      </c>
      <c r="AV334" s="7">
        <v>35.082999999999998</v>
      </c>
      <c r="AW334" s="7">
        <v>41.456000000000003</v>
      </c>
      <c r="AX334" s="7">
        <v>33.673999999999999</v>
      </c>
      <c r="AY334" s="7">
        <v>145.886</v>
      </c>
      <c r="AZ334" s="7">
        <v>51.189</v>
      </c>
      <c r="BA334" s="7">
        <v>25.931000000000001</v>
      </c>
      <c r="BB334" s="7">
        <v>59.222999999999999</v>
      </c>
      <c r="BC334" s="7">
        <v>98.971999999999994</v>
      </c>
      <c r="BD334" s="7">
        <v>59.5</v>
      </c>
      <c r="BE334" s="7">
        <v>16.173999999999999</v>
      </c>
      <c r="BF334" s="7">
        <v>16.173999999999999</v>
      </c>
      <c r="BG334" s="7">
        <v>20.018999999999998</v>
      </c>
      <c r="BH334" s="7">
        <v>2.5999999999999999E-2</v>
      </c>
      <c r="BI334" s="7">
        <v>45.573999999999998</v>
      </c>
      <c r="BJ334" s="21"/>
    </row>
    <row r="335" spans="1:62" ht="15.5" x14ac:dyDescent="0.35">
      <c r="A335" s="5" t="s">
        <v>597</v>
      </c>
      <c r="B335" s="5" t="s">
        <v>598</v>
      </c>
      <c r="C335" s="7">
        <v>6</v>
      </c>
      <c r="D335" s="7">
        <v>6</v>
      </c>
      <c r="E335" s="7">
        <v>-10835.9</v>
      </c>
      <c r="F335" s="7">
        <v>-2121.873</v>
      </c>
      <c r="G335" s="7">
        <v>-1026.4639999999999</v>
      </c>
      <c r="H335" s="7">
        <v>-9653.5210000000006</v>
      </c>
      <c r="I335" s="7">
        <v>-335.94299999999998</v>
      </c>
      <c r="J335" s="7">
        <v>-921.18700000000001</v>
      </c>
      <c r="K335" s="7">
        <v>-135.00299999999999</v>
      </c>
      <c r="L335" s="7">
        <v>-23039.405999999999</v>
      </c>
      <c r="M335" s="7">
        <v>-3972.5</v>
      </c>
      <c r="N335" s="7">
        <v>-6.1369999999999996</v>
      </c>
      <c r="O335" s="7">
        <v>-8.5549999999999997</v>
      </c>
      <c r="P335" s="7">
        <v>-75.215000000000003</v>
      </c>
      <c r="Q335" s="7">
        <v>-5.8150000000000004</v>
      </c>
      <c r="R335" s="7">
        <v>-144.53700000000001</v>
      </c>
      <c r="S335" s="7">
        <v>-56.470999999999997</v>
      </c>
      <c r="T335" s="7">
        <v>-0.86699999999999999</v>
      </c>
      <c r="U335" s="7">
        <v>-92.509</v>
      </c>
      <c r="V335" s="7">
        <v>-69.924000000000007</v>
      </c>
      <c r="W335" s="7">
        <v>-178.364</v>
      </c>
      <c r="X335" s="7">
        <v>-110.46899999999999</v>
      </c>
      <c r="Y335" s="7">
        <v>-2050.3090000000002</v>
      </c>
      <c r="Z335" s="7">
        <v>-70.790000000000006</v>
      </c>
      <c r="AA335" s="7">
        <v>-188.30500000000001</v>
      </c>
      <c r="AB335" s="7">
        <v>-2.76</v>
      </c>
      <c r="AC335" s="7">
        <v>-36.613999999999997</v>
      </c>
      <c r="AD335" s="7">
        <v>-0.51300000000000001</v>
      </c>
      <c r="AE335" s="7">
        <v>-6307.9110000000001</v>
      </c>
      <c r="AF335" s="7">
        <v>-2390.848</v>
      </c>
      <c r="AG335" s="7">
        <v>-140.465</v>
      </c>
      <c r="AH335" s="7">
        <v>-31246.100999999999</v>
      </c>
      <c r="AI335" s="7">
        <v>-1624.827</v>
      </c>
      <c r="AJ335" s="7">
        <v>-339.137</v>
      </c>
      <c r="AK335" s="7">
        <v>-5007.4709999999995</v>
      </c>
      <c r="AL335" s="7">
        <v>-2769.7829999999999</v>
      </c>
      <c r="AM335" s="7">
        <v>-22.963999999999999</v>
      </c>
      <c r="AN335" s="7">
        <v>-1826.223</v>
      </c>
      <c r="AO335" s="7">
        <v>-46.738999999999997</v>
      </c>
      <c r="AP335" s="7">
        <v>-30.904</v>
      </c>
      <c r="AQ335" s="7">
        <v>-225.108</v>
      </c>
      <c r="AR335" s="7">
        <v>-15.007</v>
      </c>
      <c r="AS335" s="7">
        <v>-3.996</v>
      </c>
      <c r="AT335" s="7">
        <v>0</v>
      </c>
      <c r="AU335" s="7">
        <v>-28.29</v>
      </c>
      <c r="AV335" s="7">
        <v>-0.222</v>
      </c>
      <c r="AW335" s="7">
        <v>-46.741999999999997</v>
      </c>
      <c r="AX335" s="7">
        <v>-77.094999999999999</v>
      </c>
      <c r="AY335" s="7">
        <v>-16.591999999999999</v>
      </c>
      <c r="AZ335" s="7">
        <v>-42.932000000000002</v>
      </c>
      <c r="BA335" s="7">
        <v>-57.808</v>
      </c>
      <c r="BB335" s="7">
        <v>-17.670000000000002</v>
      </c>
      <c r="BC335" s="7">
        <v>-8.0030000000000001</v>
      </c>
      <c r="BD335" s="7">
        <v>-44.063000000000002</v>
      </c>
      <c r="BE335" s="7">
        <v>-7.81</v>
      </c>
      <c r="BF335" s="7">
        <v>-7.81</v>
      </c>
      <c r="BG335" s="7">
        <v>-19.402000000000001</v>
      </c>
      <c r="BH335" s="7">
        <v>-219.81899999999999</v>
      </c>
      <c r="BI335" s="7">
        <v>-4.343</v>
      </c>
      <c r="BJ335" s="21"/>
    </row>
    <row r="336" spans="1:62" ht="15.5" x14ac:dyDescent="0.35">
      <c r="A336" s="5" t="s">
        <v>599</v>
      </c>
      <c r="B336" s="5" t="s">
        <v>600</v>
      </c>
      <c r="C336" s="7">
        <v>6</v>
      </c>
      <c r="D336" s="7">
        <v>6</v>
      </c>
      <c r="E336" s="7">
        <v>-1509.3689999999999</v>
      </c>
      <c r="F336" s="7">
        <v>-11.345000000000001</v>
      </c>
      <c r="G336" s="7">
        <v>-122.52200000000001</v>
      </c>
      <c r="H336" s="7">
        <v>-72.286000000000001</v>
      </c>
      <c r="I336" s="7">
        <v>-205.827</v>
      </c>
      <c r="J336" s="7">
        <v>-19.335000000000001</v>
      </c>
      <c r="K336" s="7">
        <v>-19.425000000000001</v>
      </c>
      <c r="L336" s="7">
        <v>-1535.239</v>
      </c>
      <c r="M336" s="7">
        <v>-140.59100000000001</v>
      </c>
      <c r="N336" s="7">
        <v>0</v>
      </c>
      <c r="O336" s="7">
        <v>0</v>
      </c>
      <c r="P336" s="7">
        <v>0</v>
      </c>
      <c r="Q336" s="7">
        <v>0</v>
      </c>
      <c r="R336" s="7">
        <v>-141.12</v>
      </c>
      <c r="S336" s="7">
        <v>0</v>
      </c>
      <c r="T336" s="7">
        <v>0</v>
      </c>
      <c r="U336" s="7">
        <v>-1.722</v>
      </c>
      <c r="V336" s="7">
        <v>-50.435000000000002</v>
      </c>
      <c r="W336" s="7">
        <v>-22.052</v>
      </c>
      <c r="X336" s="7">
        <v>-70.590999999999994</v>
      </c>
      <c r="Y336" s="7">
        <v>-232.85599999999999</v>
      </c>
      <c r="Z336" s="7">
        <v>-5.3710000000000004</v>
      </c>
      <c r="AA336" s="7">
        <v>-19.547999999999998</v>
      </c>
      <c r="AB336" s="7">
        <v>-48.420999999999999</v>
      </c>
      <c r="AC336" s="7">
        <v>-27.341000000000001</v>
      </c>
      <c r="AD336" s="7">
        <v>-6.44</v>
      </c>
      <c r="AE336" s="7">
        <v>-497.45299999999997</v>
      </c>
      <c r="AF336" s="7">
        <v>-88.888000000000005</v>
      </c>
      <c r="AG336" s="7">
        <v>-4.2210000000000001</v>
      </c>
      <c r="AH336" s="7">
        <v>-1848.13</v>
      </c>
      <c r="AI336" s="7">
        <v>-79.018000000000001</v>
      </c>
      <c r="AJ336" s="7">
        <v>-22.539000000000001</v>
      </c>
      <c r="AK336" s="7">
        <v>-868.63300000000004</v>
      </c>
      <c r="AL336" s="7">
        <v>-1003.141</v>
      </c>
      <c r="AM336" s="7">
        <v>-65.88</v>
      </c>
      <c r="AN336" s="7">
        <v>-1116.0840000000001</v>
      </c>
      <c r="AO336" s="7">
        <v>-0.746</v>
      </c>
      <c r="AP336" s="7">
        <v>0</v>
      </c>
      <c r="AQ336" s="7">
        <v>-119.874</v>
      </c>
      <c r="AR336" s="7">
        <v>-4.41</v>
      </c>
      <c r="AS336" s="7">
        <v>0</v>
      </c>
      <c r="AT336" s="7">
        <v>0</v>
      </c>
      <c r="AU336" s="7">
        <v>0</v>
      </c>
      <c r="AV336" s="7">
        <v>-14.715999999999999</v>
      </c>
      <c r="AW336" s="7">
        <v>-20.318000000000001</v>
      </c>
      <c r="AX336" s="7">
        <v>-8.8089999999999993</v>
      </c>
      <c r="AY336" s="7">
        <v>-5.0000000000000001E-3</v>
      </c>
      <c r="AZ336" s="7">
        <v>-24.881</v>
      </c>
      <c r="BA336" s="7">
        <v>-30.125</v>
      </c>
      <c r="BB336" s="7">
        <v>0</v>
      </c>
      <c r="BC336" s="7">
        <v>-9.0340000000000007</v>
      </c>
      <c r="BD336" s="7">
        <v>-1.9810000000000001</v>
      </c>
      <c r="BE336" s="7">
        <v>-0.91100000000000003</v>
      </c>
      <c r="BF336" s="7">
        <v>-0.91100000000000003</v>
      </c>
      <c r="BG336" s="7">
        <v>-1.361</v>
      </c>
      <c r="BH336" s="7">
        <v>-23.358000000000001</v>
      </c>
      <c r="BI336" s="7">
        <v>-6.4000000000000001E-2</v>
      </c>
      <c r="BJ336" s="21"/>
    </row>
    <row r="337" spans="1:62" ht="15.5" x14ac:dyDescent="0.35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21"/>
    </row>
    <row r="338" spans="1:62" ht="15.5" x14ac:dyDescent="0.35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 s="21"/>
    </row>
    <row r="339" spans="1:62" ht="15.5" x14ac:dyDescent="0.35">
      <c r="A339" s="5" t="s">
        <v>605</v>
      </c>
      <c r="B339" s="5" t="s">
        <v>606</v>
      </c>
      <c r="C339" s="5"/>
      <c r="D339" s="5"/>
      <c r="E339">
        <v>8178274.176</v>
      </c>
      <c r="F339">
        <v>962258.40099999995</v>
      </c>
      <c r="G339">
        <v>994751.86</v>
      </c>
      <c r="H339">
        <v>1103931.8149999999</v>
      </c>
      <c r="I339">
        <v>139794.08799999999</v>
      </c>
      <c r="J339">
        <v>686844.56700000004</v>
      </c>
      <c r="K339">
        <v>268881.89799999999</v>
      </c>
      <c r="L339">
        <v>8971810.4379999992</v>
      </c>
      <c r="M339">
        <v>3026284.4389999998</v>
      </c>
      <c r="N339">
        <v>15099.665999999999</v>
      </c>
      <c r="O339">
        <v>9279.5069999999996</v>
      </c>
      <c r="P339">
        <v>19679.826000000001</v>
      </c>
      <c r="Q339">
        <v>12344.763999999999</v>
      </c>
      <c r="R339">
        <v>18946.77</v>
      </c>
      <c r="S339">
        <v>297847.08</v>
      </c>
      <c r="T339">
        <v>980.12300000000005</v>
      </c>
      <c r="U339">
        <v>193977.61900000001</v>
      </c>
      <c r="V339">
        <v>93320.024000000005</v>
      </c>
      <c r="W339">
        <v>224256</v>
      </c>
      <c r="X339">
        <v>203804.48499999999</v>
      </c>
      <c r="Y339">
        <v>1906201.5630000001</v>
      </c>
      <c r="Z339">
        <v>127891.482</v>
      </c>
      <c r="AA339">
        <v>932492.29700000002</v>
      </c>
      <c r="AB339">
        <v>285936.21299999999</v>
      </c>
      <c r="AC339">
        <v>162977.84099999999</v>
      </c>
      <c r="AD339">
        <v>57299.906999999999</v>
      </c>
      <c r="AE339">
        <v>5198441.0619999999</v>
      </c>
      <c r="AF339">
        <v>1140138.4099999999</v>
      </c>
      <c r="AG339">
        <v>254106.734</v>
      </c>
      <c r="AH339">
        <v>18350584.284000002</v>
      </c>
      <c r="AI339">
        <v>2097119.1470000001</v>
      </c>
      <c r="AJ339">
        <v>658389.39</v>
      </c>
      <c r="AK339">
        <v>10553374.458000001</v>
      </c>
      <c r="AL339">
        <v>6007013.1629999997</v>
      </c>
      <c r="AM339">
        <v>41266.69</v>
      </c>
      <c r="AN339">
        <v>3764610.8620000002</v>
      </c>
      <c r="AO339">
        <v>96194.72</v>
      </c>
      <c r="AP339">
        <v>59841.534</v>
      </c>
      <c r="AQ339">
        <v>391755.63799999998</v>
      </c>
      <c r="AR339">
        <v>27078.47</v>
      </c>
      <c r="AS339">
        <v>3564.1030000000001</v>
      </c>
      <c r="AT339">
        <v>0</v>
      </c>
      <c r="AU339">
        <v>79073.694000000003</v>
      </c>
      <c r="AV339">
        <v>68253.595000000001</v>
      </c>
      <c r="AW339">
        <v>83469.081999999995</v>
      </c>
      <c r="AX339">
        <v>166224.603</v>
      </c>
      <c r="AY339">
        <v>34146.964</v>
      </c>
      <c r="AZ339">
        <v>108030.678</v>
      </c>
      <c r="BA339">
        <v>124638.274</v>
      </c>
      <c r="BB339">
        <v>28738.876</v>
      </c>
      <c r="BC339">
        <v>19161.901000000002</v>
      </c>
      <c r="BD339">
        <v>121560.436</v>
      </c>
      <c r="BE339">
        <v>7460.49</v>
      </c>
      <c r="BF339">
        <v>7460.49</v>
      </c>
      <c r="BG339">
        <v>40325.724999999999</v>
      </c>
      <c r="BH339">
        <v>420744.95899999997</v>
      </c>
      <c r="BI339">
        <v>8072.3549999999996</v>
      </c>
      <c r="BJ339" s="21"/>
    </row>
    <row r="340" spans="1:62" x14ac:dyDescent="0.3">
      <c r="BJ340" s="21"/>
    </row>
    <row r="341" spans="1:62" ht="15.5" x14ac:dyDescent="0.35">
      <c r="A341" s="5" t="s">
        <v>607</v>
      </c>
      <c r="E341">
        <f t="shared" ref="E341:AW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>SUM(AM6:AM338)-AM339</f>
        <v>0</v>
      </c>
      <c r="AN341">
        <f>SUM(AN6:AN338)-AN339</f>
        <v>0</v>
      </c>
      <c r="AO341">
        <f>SUM(AO6:AO338)-AO339</f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>SUM(AX6:AX338)-AX339</f>
        <v>0</v>
      </c>
      <c r="AY341">
        <f t="shared" ref="AY341:BI341" si="1">SUM(AY6:AY338)-AY339</f>
        <v>0</v>
      </c>
      <c r="AZ341">
        <f t="shared" si="1"/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>
        <f t="shared" si="1"/>
        <v>0</v>
      </c>
      <c r="BJ341" s="21"/>
    </row>
    <row r="342" spans="1:62" x14ac:dyDescent="0.3">
      <c r="BJ342" s="21"/>
    </row>
    <row r="343" spans="1:62" x14ac:dyDescent="0.3">
      <c r="A343" t="s">
        <v>608</v>
      </c>
      <c r="D343">
        <v>1</v>
      </c>
      <c r="E343" s="16">
        <f t="shared" ref="E343:AW343" si="2">SUMIF($D$5:$D$337,$D$343,E5:E337)</f>
        <v>751849.20699999994</v>
      </c>
      <c r="F343" s="16">
        <f t="shared" si="2"/>
        <v>140793.00199999998</v>
      </c>
      <c r="G343" s="16">
        <f t="shared" si="2"/>
        <v>35915.049999999996</v>
      </c>
      <c r="H343" s="16">
        <f t="shared" si="2"/>
        <v>912.45500000000004</v>
      </c>
      <c r="I343" s="16">
        <f t="shared" si="2"/>
        <v>9426.1999999999989</v>
      </c>
      <c r="J343" s="16">
        <f t="shared" si="2"/>
        <v>25882.271000000001</v>
      </c>
      <c r="K343" s="16">
        <f t="shared" si="2"/>
        <v>8760.777</v>
      </c>
      <c r="L343" s="16">
        <f t="shared" si="2"/>
        <v>1486004.7109999999</v>
      </c>
      <c r="M343" s="16">
        <f t="shared" si="2"/>
        <v>140889.00999999998</v>
      </c>
      <c r="N343" s="16">
        <f>SUMIF($D$5:$D$337,$D$343,N5:N337)</f>
        <v>464.10399999999998</v>
      </c>
      <c r="O343" s="16">
        <f t="shared" si="2"/>
        <v>7788.0620000000008</v>
      </c>
      <c r="P343" s="16">
        <f t="shared" si="2"/>
        <v>639.649</v>
      </c>
      <c r="Q343" s="16">
        <f t="shared" si="2"/>
        <v>5781.576</v>
      </c>
      <c r="R343" s="16">
        <f t="shared" si="2"/>
        <v>1904.0119999999999</v>
      </c>
      <c r="S343" s="16">
        <f t="shared" si="2"/>
        <v>41817.717999999993</v>
      </c>
      <c r="T343" s="16">
        <f t="shared" si="2"/>
        <v>46.747</v>
      </c>
      <c r="U343" s="16">
        <f t="shared" si="2"/>
        <v>8312.6959999999999</v>
      </c>
      <c r="V343" s="16">
        <f t="shared" si="2"/>
        <v>5447.6970000000001</v>
      </c>
      <c r="W343" s="16">
        <f t="shared" si="2"/>
        <v>18285.172999999999</v>
      </c>
      <c r="X343" s="16">
        <f t="shared" si="2"/>
        <v>36391.687000000005</v>
      </c>
      <c r="Y343" s="16">
        <f t="shared" si="2"/>
        <v>279888.01500000001</v>
      </c>
      <c r="Z343" s="16">
        <f t="shared" si="2"/>
        <v>70889.372999999992</v>
      </c>
      <c r="AA343" s="16">
        <f t="shared" si="2"/>
        <v>47084.330999999998</v>
      </c>
      <c r="AB343" s="16">
        <f t="shared" si="2"/>
        <v>238943.91800000001</v>
      </c>
      <c r="AC343" s="16">
        <f t="shared" si="2"/>
        <v>24289.080999999998</v>
      </c>
      <c r="AD343" s="16">
        <f t="shared" si="2"/>
        <v>17645.260000000002</v>
      </c>
      <c r="AE343" s="16">
        <f t="shared" si="2"/>
        <v>831129.897</v>
      </c>
      <c r="AF343" s="16">
        <f t="shared" si="2"/>
        <v>315508.07799999998</v>
      </c>
      <c r="AG343" s="16">
        <f t="shared" si="2"/>
        <v>86924.717999999993</v>
      </c>
      <c r="AH343" s="16">
        <f t="shared" si="2"/>
        <v>2503171.4020000007</v>
      </c>
      <c r="AI343" s="16">
        <f t="shared" si="2"/>
        <v>547182.11899999995</v>
      </c>
      <c r="AJ343" s="16">
        <f t="shared" si="2"/>
        <v>353984.40899999999</v>
      </c>
      <c r="AK343" s="16">
        <f t="shared" si="2"/>
        <v>7824396.3710000003</v>
      </c>
      <c r="AL343" s="16">
        <f t="shared" si="2"/>
        <v>4454819.4220000003</v>
      </c>
      <c r="AM343" s="16">
        <f>SUMIF($D$5:$D$337,$D$343,AM5:AM337)</f>
        <v>1758.68</v>
      </c>
      <c r="AN343" s="16">
        <f>SUMIF($D$5:$D$337,$D$343,AN5:AN337)</f>
        <v>2793785.392</v>
      </c>
      <c r="AO343" s="16">
        <f>SUMIF($D$5:$D$337,$D$343,AO5:AO337)</f>
        <v>18977.878999999997</v>
      </c>
      <c r="AP343" s="16">
        <f t="shared" si="2"/>
        <v>6208.7159999999994</v>
      </c>
      <c r="AQ343" s="16">
        <f t="shared" si="2"/>
        <v>110312.458</v>
      </c>
      <c r="AR343" s="16">
        <f t="shared" si="2"/>
        <v>2646.1080000000002</v>
      </c>
      <c r="AS343" s="16">
        <f t="shared" si="2"/>
        <v>563.78899999999999</v>
      </c>
      <c r="AT343" s="16">
        <f t="shared" si="2"/>
        <v>0</v>
      </c>
      <c r="AU343" s="16">
        <f t="shared" si="2"/>
        <v>11277.894999999999</v>
      </c>
      <c r="AV343" s="16">
        <f t="shared" si="2"/>
        <v>6815.3319999999994</v>
      </c>
      <c r="AW343" s="16">
        <f t="shared" si="2"/>
        <v>9298.898000000001</v>
      </c>
      <c r="AX343" s="16">
        <f>SUMIF($D$5:$D$337,$D$343,AX5:AX337)</f>
        <v>33398.406999999999</v>
      </c>
      <c r="AY343" s="16">
        <f t="shared" ref="AY343:BI343" si="3">SUMIF($D$5:$D$337,$D$343,AY5:AY337)</f>
        <v>1713.5779999999997</v>
      </c>
      <c r="AZ343" s="16">
        <f t="shared" si="3"/>
        <v>5939.3600000000006</v>
      </c>
      <c r="BA343" s="16">
        <f t="shared" si="3"/>
        <v>22387.352999999996</v>
      </c>
      <c r="BB343" s="16">
        <f t="shared" si="3"/>
        <v>5693.1869999999999</v>
      </c>
      <c r="BC343" s="16">
        <f t="shared" si="3"/>
        <v>1643.952</v>
      </c>
      <c r="BD343" s="16">
        <f t="shared" si="3"/>
        <v>9451.0689999999995</v>
      </c>
      <c r="BE343" s="16">
        <f t="shared" si="3"/>
        <v>1010.001</v>
      </c>
      <c r="BF343" s="16">
        <f t="shared" si="3"/>
        <v>1010.001</v>
      </c>
      <c r="BG343" s="16">
        <f t="shared" si="3"/>
        <v>2611.442</v>
      </c>
      <c r="BH343" s="16">
        <f t="shared" si="3"/>
        <v>243569.37599999999</v>
      </c>
      <c r="BI343" s="16">
        <f t="shared" si="3"/>
        <v>342.23599999999999</v>
      </c>
      <c r="BJ343" s="21"/>
    </row>
    <row r="344" spans="1:62" x14ac:dyDescent="0.3">
      <c r="A344" t="s">
        <v>609</v>
      </c>
      <c r="D344">
        <v>2</v>
      </c>
      <c r="E344" s="16">
        <f t="shared" ref="E344:AW344" si="4">SUMIF($D$5:$D$337,$D$344,E5:E337)</f>
        <v>1918331.5720000002</v>
      </c>
      <c r="F344" s="16">
        <f t="shared" si="4"/>
        <v>165838.40699999998</v>
      </c>
      <c r="G344" s="16">
        <f t="shared" si="4"/>
        <v>349104.17</v>
      </c>
      <c r="H344" s="16">
        <f t="shared" si="4"/>
        <v>0</v>
      </c>
      <c r="I344" s="16">
        <f t="shared" si="4"/>
        <v>51853.501999999993</v>
      </c>
      <c r="J344" s="16">
        <f t="shared" si="4"/>
        <v>239677.26500000001</v>
      </c>
      <c r="K344" s="16">
        <f t="shared" si="4"/>
        <v>190766.024</v>
      </c>
      <c r="L344" s="16">
        <f t="shared" si="4"/>
        <v>761694.23300000012</v>
      </c>
      <c r="M344" s="16">
        <f t="shared" si="4"/>
        <v>637613.97500000009</v>
      </c>
      <c r="N344" s="16">
        <f>SUMIF($D$5:$D$337,$D$344,N5:N337)</f>
        <v>11463.39</v>
      </c>
      <c r="O344" s="16">
        <f t="shared" si="4"/>
        <v>140.113</v>
      </c>
      <c r="P344" s="16">
        <f t="shared" si="4"/>
        <v>15474.859</v>
      </c>
      <c r="Q344" s="16">
        <f t="shared" si="4"/>
        <v>1874.2809999999999</v>
      </c>
      <c r="R344" s="16">
        <f t="shared" si="4"/>
        <v>3996.0079999999998</v>
      </c>
      <c r="S344" s="16">
        <f t="shared" si="4"/>
        <v>50573.455000000002</v>
      </c>
      <c r="T344" s="16">
        <f t="shared" si="4"/>
        <v>934.24299999999994</v>
      </c>
      <c r="U344" s="16">
        <f t="shared" si="4"/>
        <v>141942.41099999999</v>
      </c>
      <c r="V344" s="16">
        <f t="shared" si="4"/>
        <v>25378.705999999998</v>
      </c>
      <c r="W344" s="16">
        <f t="shared" si="4"/>
        <v>50380.601999999999</v>
      </c>
      <c r="X344" s="16">
        <f t="shared" si="4"/>
        <v>2946.2449999999999</v>
      </c>
      <c r="Y344" s="16">
        <f t="shared" si="4"/>
        <v>333187.28400000004</v>
      </c>
      <c r="Z344" s="16">
        <f t="shared" si="4"/>
        <v>87.661000000000001</v>
      </c>
      <c r="AA344" s="16">
        <f t="shared" si="4"/>
        <v>323239.17699999997</v>
      </c>
      <c r="AB344" s="16">
        <f t="shared" si="4"/>
        <v>2622.5650000000001</v>
      </c>
      <c r="AC344" s="16">
        <f t="shared" si="4"/>
        <v>23160.545999999998</v>
      </c>
      <c r="AD344" s="16">
        <f t="shared" si="4"/>
        <v>10037.209000000001</v>
      </c>
      <c r="AE344" s="16">
        <f t="shared" si="4"/>
        <v>785451.60699999984</v>
      </c>
      <c r="AF344" s="16">
        <f t="shared" si="4"/>
        <v>48520.192000000003</v>
      </c>
      <c r="AG344" s="16">
        <f t="shared" si="4"/>
        <v>34583.563000000002</v>
      </c>
      <c r="AH344" s="16">
        <f t="shared" si="4"/>
        <v>2407285.7339999997</v>
      </c>
      <c r="AI344" s="16">
        <f t="shared" si="4"/>
        <v>83533.062999999995</v>
      </c>
      <c r="AJ344" s="16">
        <f t="shared" si="4"/>
        <v>453.95699999999999</v>
      </c>
      <c r="AK344" s="16">
        <f t="shared" si="4"/>
        <v>897651.85699999996</v>
      </c>
      <c r="AL344" s="16">
        <f t="shared" si="4"/>
        <v>510758.22899999999</v>
      </c>
      <c r="AM344" s="16">
        <f>SUMIF($D$5:$D$337,$D$344,AM5:AM337)</f>
        <v>30245.745999999999</v>
      </c>
      <c r="AN344" s="16">
        <f>SUMIF($D$5:$D$337,$D$344,AN5:AN337)</f>
        <v>319576.03600000002</v>
      </c>
      <c r="AO344" s="16">
        <f>SUMIF($D$5:$D$337,$D$344,AO5:AO337)</f>
        <v>14252.124</v>
      </c>
      <c r="AP344" s="16">
        <f t="shared" si="4"/>
        <v>0</v>
      </c>
      <c r="AQ344" s="16">
        <f t="shared" si="4"/>
        <v>16863.552</v>
      </c>
      <c r="AR344" s="16">
        <f t="shared" si="4"/>
        <v>0</v>
      </c>
      <c r="AS344" s="16">
        <f t="shared" si="4"/>
        <v>1208.732</v>
      </c>
      <c r="AT344" s="16">
        <f t="shared" si="4"/>
        <v>0</v>
      </c>
      <c r="AU344" s="16">
        <f t="shared" si="4"/>
        <v>31021.39</v>
      </c>
      <c r="AV344" s="16">
        <f t="shared" si="4"/>
        <v>0</v>
      </c>
      <c r="AW344" s="16">
        <f t="shared" si="4"/>
        <v>0</v>
      </c>
      <c r="AX344" s="16">
        <f>SUMIF($D$5:$D$337,$D$344,AX5:AX337)</f>
        <v>2336.5520000000001</v>
      </c>
      <c r="AY344" s="16">
        <f t="shared" ref="AY344:BI344" si="5">SUMIF($D$5:$D$337,$D$344,AY5:AY337)</f>
        <v>8717.0139999999992</v>
      </c>
      <c r="AZ344" s="16">
        <f t="shared" si="5"/>
        <v>433.82100000000003</v>
      </c>
      <c r="BA344" s="16">
        <f t="shared" si="5"/>
        <v>1799.2629999999999</v>
      </c>
      <c r="BB344" s="16">
        <f t="shared" si="5"/>
        <v>4587.2679999999991</v>
      </c>
      <c r="BC344" s="16">
        <f t="shared" si="5"/>
        <v>5047.3779999999997</v>
      </c>
      <c r="BD344" s="16">
        <f t="shared" si="5"/>
        <v>504.262</v>
      </c>
      <c r="BE344" s="16">
        <f t="shared" si="5"/>
        <v>1575.462</v>
      </c>
      <c r="BF344" s="16">
        <f t="shared" si="5"/>
        <v>1575.462</v>
      </c>
      <c r="BG344" s="16">
        <f t="shared" si="5"/>
        <v>169.65700000000001</v>
      </c>
      <c r="BH344" s="16">
        <f t="shared" si="5"/>
        <v>33505.601999999999</v>
      </c>
      <c r="BI344" s="16">
        <f t="shared" si="5"/>
        <v>2039.7070000000001</v>
      </c>
      <c r="BJ344" s="21"/>
    </row>
    <row r="345" spans="1:62" x14ac:dyDescent="0.3">
      <c r="A345" t="s">
        <v>610</v>
      </c>
      <c r="D345">
        <v>3</v>
      </c>
      <c r="E345" s="16">
        <f t="shared" ref="E345:AW345" si="6">SUMIF($D$5:$D$337,$D$345,E5:E337)</f>
        <v>1758668.3959999999</v>
      </c>
      <c r="F345" s="16">
        <f t="shared" si="6"/>
        <v>264320.375</v>
      </c>
      <c r="G345" s="16">
        <f t="shared" si="6"/>
        <v>453451.24899999989</v>
      </c>
      <c r="H345" s="16">
        <f t="shared" si="6"/>
        <v>67431.040999999997</v>
      </c>
      <c r="I345" s="16">
        <f t="shared" si="6"/>
        <v>47313.63700000001</v>
      </c>
      <c r="J345" s="16">
        <f t="shared" si="6"/>
        <v>298080.47899999988</v>
      </c>
      <c r="K345" s="16">
        <f t="shared" si="6"/>
        <v>36521.853999999999</v>
      </c>
      <c r="L345" s="16">
        <f t="shared" si="6"/>
        <v>882941.86200000008</v>
      </c>
      <c r="M345" s="16">
        <f t="shared" si="6"/>
        <v>1095283.4210000001</v>
      </c>
      <c r="N345" s="16">
        <f>SUMIF($D$5:$D$337,$D$345,N5:N337)</f>
        <v>3178.3090000000002</v>
      </c>
      <c r="O345" s="16">
        <f t="shared" si="6"/>
        <v>0</v>
      </c>
      <c r="P345" s="16">
        <f t="shared" si="6"/>
        <v>54.907000000000018</v>
      </c>
      <c r="Q345" s="16">
        <f t="shared" si="6"/>
        <v>3942.8859999999995</v>
      </c>
      <c r="R345" s="16">
        <f t="shared" si="6"/>
        <v>12125.710999999999</v>
      </c>
      <c r="S345" s="16">
        <f t="shared" si="6"/>
        <v>109334.60300000002</v>
      </c>
      <c r="T345" s="16">
        <f t="shared" si="6"/>
        <v>0</v>
      </c>
      <c r="U345" s="16">
        <f t="shared" si="6"/>
        <v>27174.651000000002</v>
      </c>
      <c r="V345" s="16">
        <f t="shared" si="6"/>
        <v>43563.292000000009</v>
      </c>
      <c r="W345" s="16">
        <f t="shared" si="6"/>
        <v>86131.186999999991</v>
      </c>
      <c r="X345" s="16">
        <f t="shared" si="6"/>
        <v>0</v>
      </c>
      <c r="Y345" s="16">
        <f t="shared" si="6"/>
        <v>256205.05800000008</v>
      </c>
      <c r="Z345" s="16">
        <f t="shared" si="6"/>
        <v>12661.662</v>
      </c>
      <c r="AA345" s="16">
        <f t="shared" si="6"/>
        <v>436296.99900000007</v>
      </c>
      <c r="AB345" s="16">
        <f t="shared" si="6"/>
        <v>0</v>
      </c>
      <c r="AC345" s="16">
        <f t="shared" si="6"/>
        <v>47365.677000000011</v>
      </c>
      <c r="AD345" s="16">
        <f t="shared" si="6"/>
        <v>13498.369000000001</v>
      </c>
      <c r="AE345" s="16">
        <f t="shared" si="6"/>
        <v>508906.82799999998</v>
      </c>
      <c r="AF345" s="16">
        <f t="shared" si="6"/>
        <v>15026.554999999998</v>
      </c>
      <c r="AG345" s="16">
        <f t="shared" si="6"/>
        <v>53583.938000000002</v>
      </c>
      <c r="AH345" s="16">
        <f t="shared" si="6"/>
        <v>2047729.2609999997</v>
      </c>
      <c r="AI345" s="16">
        <f t="shared" si="6"/>
        <v>25904.284</v>
      </c>
      <c r="AJ345" s="16">
        <f t="shared" si="6"/>
        <v>61629.69</v>
      </c>
      <c r="AK345" s="16">
        <f t="shared" si="6"/>
        <v>0</v>
      </c>
      <c r="AL345" s="16">
        <f t="shared" si="6"/>
        <v>0</v>
      </c>
      <c r="AM345" s="16">
        <f>SUMIF($D$5:$D$337,$D$345,AM5:AM337)</f>
        <v>5790.5</v>
      </c>
      <c r="AN345" s="16">
        <f>SUMIF($D$5:$D$337,$D$345,AN5:AN337)</f>
        <v>0</v>
      </c>
      <c r="AO345" s="16">
        <f>SUMIF($D$5:$D$337,$D$345,AO5:AO337)</f>
        <v>31656.516000000007</v>
      </c>
      <c r="AP345" s="16">
        <f t="shared" si="6"/>
        <v>0</v>
      </c>
      <c r="AQ345" s="16">
        <f t="shared" si="6"/>
        <v>5055.7929999999997</v>
      </c>
      <c r="AR345" s="16">
        <f t="shared" si="6"/>
        <v>0</v>
      </c>
      <c r="AS345" s="16">
        <f t="shared" si="6"/>
        <v>807.89400000000012</v>
      </c>
      <c r="AT345" s="16">
        <f t="shared" si="6"/>
        <v>0</v>
      </c>
      <c r="AU345" s="16">
        <f t="shared" si="6"/>
        <v>25319.759000000005</v>
      </c>
      <c r="AV345" s="16">
        <f t="shared" si="6"/>
        <v>0</v>
      </c>
      <c r="AW345" s="16">
        <f t="shared" si="6"/>
        <v>0</v>
      </c>
      <c r="AX345" s="16">
        <f>SUMIF($D$5:$D$337,$D$345,AX5:AX337)</f>
        <v>0</v>
      </c>
      <c r="AY345" s="16">
        <f t="shared" ref="AY345:BI345" si="7">SUMIF($D$5:$D$337,$D$345,AY5:AY337)</f>
        <v>16272.058999999997</v>
      </c>
      <c r="AZ345" s="16">
        <f t="shared" si="7"/>
        <v>3080.018</v>
      </c>
      <c r="BA345" s="16">
        <f t="shared" si="7"/>
        <v>0</v>
      </c>
      <c r="BB345" s="16">
        <f t="shared" si="7"/>
        <v>9147.5729999999985</v>
      </c>
      <c r="BC345" s="16">
        <f t="shared" si="7"/>
        <v>11767.386</v>
      </c>
      <c r="BD345" s="16">
        <f t="shared" si="7"/>
        <v>3580.1329999999998</v>
      </c>
      <c r="BE345" s="16">
        <f t="shared" si="7"/>
        <v>2430.7850000000003</v>
      </c>
      <c r="BF345" s="16">
        <f t="shared" si="7"/>
        <v>2430.7850000000003</v>
      </c>
      <c r="BG345" s="16">
        <f t="shared" si="7"/>
        <v>1204.52</v>
      </c>
      <c r="BH345" s="16">
        <f t="shared" si="7"/>
        <v>43453.66</v>
      </c>
      <c r="BI345" s="16">
        <f t="shared" si="7"/>
        <v>5366.639000000001</v>
      </c>
      <c r="BJ345" s="21"/>
    </row>
    <row r="346" spans="1:62" x14ac:dyDescent="0.3">
      <c r="A346" t="s">
        <v>611</v>
      </c>
      <c r="B346">
        <v>7</v>
      </c>
      <c r="D346">
        <v>4</v>
      </c>
      <c r="E346" s="16">
        <f t="shared" ref="E346:AW346" si="8">SUMIF($D$5:$D$337,$D$346,E5:E337)</f>
        <v>1244009.3020000001</v>
      </c>
      <c r="F346" s="16">
        <f t="shared" si="8"/>
        <v>279191.51400000002</v>
      </c>
      <c r="G346" s="16">
        <f t="shared" si="8"/>
        <v>448.60900000000009</v>
      </c>
      <c r="H346" s="16">
        <f t="shared" si="8"/>
        <v>25182.670999999998</v>
      </c>
      <c r="I346" s="16">
        <f t="shared" si="8"/>
        <v>9005.101999999999</v>
      </c>
      <c r="J346" s="16">
        <f t="shared" si="8"/>
        <v>301.05300000000005</v>
      </c>
      <c r="K346" s="16">
        <f t="shared" si="8"/>
        <v>0</v>
      </c>
      <c r="L346" s="16">
        <f t="shared" si="8"/>
        <v>3150327.9929999998</v>
      </c>
      <c r="M346" s="16">
        <f t="shared" si="8"/>
        <v>201745.58499999993</v>
      </c>
      <c r="N346" s="16">
        <f>SUMIF($D$5:$D$337,$D$346,N5:N337)</f>
        <v>0</v>
      </c>
      <c r="O346" s="16">
        <f t="shared" si="8"/>
        <v>1468.7619999999999</v>
      </c>
      <c r="P346" s="16">
        <f t="shared" si="8"/>
        <v>28.460999999999999</v>
      </c>
      <c r="Q346" s="16">
        <f t="shared" si="8"/>
        <v>714.39599999999996</v>
      </c>
      <c r="R346" s="16">
        <f t="shared" si="8"/>
        <v>100.818</v>
      </c>
      <c r="S346" s="16">
        <f t="shared" si="8"/>
        <v>86324.044000000009</v>
      </c>
      <c r="T346" s="16">
        <f t="shared" si="8"/>
        <v>0</v>
      </c>
      <c r="U346" s="16">
        <f t="shared" si="8"/>
        <v>0</v>
      </c>
      <c r="V346" s="16">
        <f t="shared" si="8"/>
        <v>74.500000000000014</v>
      </c>
      <c r="W346" s="16">
        <f t="shared" si="8"/>
        <v>25081.848999999991</v>
      </c>
      <c r="X346" s="16">
        <f t="shared" si="8"/>
        <v>164919.50999999998</v>
      </c>
      <c r="Y346" s="16">
        <f t="shared" si="8"/>
        <v>552189.48699999985</v>
      </c>
      <c r="Z346" s="16">
        <f t="shared" si="8"/>
        <v>45851.196000000004</v>
      </c>
      <c r="AA346" s="16">
        <f t="shared" si="8"/>
        <v>714.40899999999999</v>
      </c>
      <c r="AB346" s="16">
        <f t="shared" si="8"/>
        <v>46444.454999999994</v>
      </c>
      <c r="AC346" s="16">
        <f t="shared" si="8"/>
        <v>50667.264999999992</v>
      </c>
      <c r="AD346" s="16">
        <f t="shared" si="8"/>
        <v>16319.318000000001</v>
      </c>
      <c r="AE346" s="16">
        <f t="shared" si="8"/>
        <v>1387149.4630000002</v>
      </c>
      <c r="AF346" s="16">
        <f t="shared" si="8"/>
        <v>731577.21799999999</v>
      </c>
      <c r="AG346" s="16">
        <f t="shared" si="8"/>
        <v>72125.664999999994</v>
      </c>
      <c r="AH346" s="16">
        <f t="shared" si="8"/>
        <v>5459642.5530000012</v>
      </c>
      <c r="AI346" s="16">
        <f t="shared" si="8"/>
        <v>1289938.0719999999</v>
      </c>
      <c r="AJ346" s="16">
        <f t="shared" si="8"/>
        <v>250480.93</v>
      </c>
      <c r="AK346" s="16">
        <f t="shared" si="8"/>
        <v>2158113.8730000001</v>
      </c>
      <c r="AL346" s="16">
        <f t="shared" si="8"/>
        <v>1227953.1479999998</v>
      </c>
      <c r="AM346" s="16">
        <f>SUMIF($D$5:$D$337,$D$346,AM5:AM337)</f>
        <v>0</v>
      </c>
      <c r="AN346" s="16">
        <f>SUMIF($D$5:$D$337,$D$346,AN5:AN337)</f>
        <v>768317.34100000013</v>
      </c>
      <c r="AO346" s="16">
        <f>SUMIF($D$5:$D$337,$D$346,AO5:AO337)</f>
        <v>29385.405000000002</v>
      </c>
      <c r="AP346" s="16">
        <f t="shared" si="8"/>
        <v>53633.175000000003</v>
      </c>
      <c r="AQ346" s="16">
        <f t="shared" si="8"/>
        <v>251825.24400000001</v>
      </c>
      <c r="AR346" s="16">
        <f t="shared" si="8"/>
        <v>24438.151000000002</v>
      </c>
      <c r="AS346" s="16">
        <f t="shared" si="8"/>
        <v>858.64399999999978</v>
      </c>
      <c r="AT346" s="16">
        <f t="shared" si="8"/>
        <v>0</v>
      </c>
      <c r="AU346" s="16">
        <f t="shared" si="8"/>
        <v>10014.521999999999</v>
      </c>
      <c r="AV346" s="16">
        <f t="shared" si="8"/>
        <v>61418.118000000002</v>
      </c>
      <c r="AW346" s="16">
        <f t="shared" si="8"/>
        <v>74195.788</v>
      </c>
      <c r="AX346" s="16">
        <f>SUMIF($D$5:$D$337,$D$346,AX5:AX337)</f>
        <v>130791.179</v>
      </c>
      <c r="AY346" s="16">
        <f t="shared" ref="AY346:BI346" si="9">SUMIF($D$5:$D$337,$D$346,AY5:AY337)</f>
        <v>6000.2579999999998</v>
      </c>
      <c r="AZ346" s="16">
        <f t="shared" si="9"/>
        <v>91495.180000000022</v>
      </c>
      <c r="BA346" s="16">
        <f t="shared" si="9"/>
        <v>100715.88</v>
      </c>
      <c r="BB346" s="16">
        <f t="shared" si="9"/>
        <v>8749.0250000000015</v>
      </c>
      <c r="BC346" s="16">
        <f t="shared" si="9"/>
        <v>8.2330000000000005</v>
      </c>
      <c r="BD346" s="16">
        <f t="shared" si="9"/>
        <v>99760.434999999983</v>
      </c>
      <c r="BE346" s="16">
        <f t="shared" si="9"/>
        <v>2303.6960000000004</v>
      </c>
      <c r="BF346" s="16">
        <f t="shared" si="9"/>
        <v>2303.6960000000004</v>
      </c>
      <c r="BG346" s="16">
        <f t="shared" si="9"/>
        <v>33563.962999999996</v>
      </c>
      <c r="BH346" s="16">
        <f t="shared" si="9"/>
        <v>105070.731</v>
      </c>
      <c r="BI346" s="16">
        <f t="shared" si="9"/>
        <v>3.7189999999999999</v>
      </c>
      <c r="BJ346" s="21"/>
    </row>
    <row r="347" spans="1:62" x14ac:dyDescent="0.3">
      <c r="A347" t="s">
        <v>612</v>
      </c>
      <c r="D347">
        <v>5</v>
      </c>
      <c r="E347" s="16">
        <f t="shared" ref="E347:AW347" si="10">SUMIF($D$5:$D$337,$D$347,E5:E337)</f>
        <v>709951.43399999989</v>
      </c>
      <c r="F347" s="16">
        <f t="shared" si="10"/>
        <v>37684.154999999999</v>
      </c>
      <c r="G347" s="16">
        <f t="shared" si="10"/>
        <v>84140.992000000013</v>
      </c>
      <c r="H347" s="16">
        <f t="shared" si="10"/>
        <v>981172.88800000015</v>
      </c>
      <c r="I347" s="16">
        <f t="shared" si="10"/>
        <v>11607.303</v>
      </c>
      <c r="J347" s="16">
        <f t="shared" si="10"/>
        <v>73734.634999999995</v>
      </c>
      <c r="K347" s="16">
        <f t="shared" si="10"/>
        <v>14520.261</v>
      </c>
      <c r="L347" s="16">
        <f t="shared" si="10"/>
        <v>493887.65399999992</v>
      </c>
      <c r="M347" s="16">
        <f t="shared" si="10"/>
        <v>362697.02499999997</v>
      </c>
      <c r="N347" s="16">
        <f>SUMIF($D$5:$D$337,$D$347,N5:N337)</f>
        <v>0</v>
      </c>
      <c r="O347" s="16">
        <f t="shared" si="10"/>
        <v>0</v>
      </c>
      <c r="P347" s="16">
        <f t="shared" si="10"/>
        <v>2191.7540000000004</v>
      </c>
      <c r="Q347" s="16">
        <f t="shared" si="10"/>
        <v>0</v>
      </c>
      <c r="R347" s="16">
        <f t="shared" si="10"/>
        <v>36.137</v>
      </c>
      <c r="S347" s="16">
        <f t="shared" si="10"/>
        <v>-3521.8760000000002</v>
      </c>
      <c r="T347" s="16">
        <f t="shared" si="10"/>
        <v>0</v>
      </c>
      <c r="U347" s="16">
        <f t="shared" si="10"/>
        <v>2901.13</v>
      </c>
      <c r="V347" s="16">
        <f t="shared" si="10"/>
        <v>12498.561999999998</v>
      </c>
      <c r="W347" s="16">
        <f t="shared" si="10"/>
        <v>26219.402999999998</v>
      </c>
      <c r="X347" s="16">
        <f t="shared" si="10"/>
        <v>0</v>
      </c>
      <c r="Y347" s="16">
        <f t="shared" si="10"/>
        <v>183070.837</v>
      </c>
      <c r="Z347" s="16">
        <f t="shared" si="10"/>
        <v>0</v>
      </c>
      <c r="AA347" s="16">
        <f t="shared" si="10"/>
        <v>57753.625999999997</v>
      </c>
      <c r="AB347" s="16">
        <f t="shared" si="10"/>
        <v>-9.8209999999999997</v>
      </c>
      <c r="AC347" s="16">
        <f t="shared" si="10"/>
        <v>6957.1540000000005</v>
      </c>
      <c r="AD347" s="16">
        <f t="shared" si="10"/>
        <v>0</v>
      </c>
      <c r="AE347" s="16">
        <f t="shared" si="10"/>
        <v>572896.39599999995</v>
      </c>
      <c r="AF347" s="16">
        <f t="shared" si="10"/>
        <v>-19248.584999999999</v>
      </c>
      <c r="AG347" s="16">
        <f t="shared" si="10"/>
        <v>8056.06</v>
      </c>
      <c r="AH347" s="16">
        <f t="shared" si="10"/>
        <v>1683144.7250000003</v>
      </c>
      <c r="AI347" s="16">
        <f t="shared" si="10"/>
        <v>36602.415000000008</v>
      </c>
      <c r="AJ347" s="16">
        <f t="shared" si="10"/>
        <v>18.614999999999998</v>
      </c>
      <c r="AK347" s="16">
        <f t="shared" si="10"/>
        <v>463.16</v>
      </c>
      <c r="AL347" s="16">
        <f t="shared" si="10"/>
        <v>115.458</v>
      </c>
      <c r="AM347" s="16">
        <f>SUMIF($D$5:$D$337,$D$347,AM5:AM337)</f>
        <v>632.62</v>
      </c>
      <c r="AN347" s="16">
        <f>SUMIF($D$5:$D$337,$D$347,AN5:AN337)</f>
        <v>278.09500000000003</v>
      </c>
      <c r="AO347" s="16">
        <f>SUMIF($D$5:$D$337,$D$347,AO5:AO337)</f>
        <v>-1306.8240000000001</v>
      </c>
      <c r="AP347" s="16">
        <f t="shared" si="10"/>
        <v>0</v>
      </c>
      <c r="AQ347" s="16">
        <f t="shared" si="10"/>
        <v>-3140.7870000000003</v>
      </c>
      <c r="AR347" s="16">
        <f t="shared" si="10"/>
        <v>0</v>
      </c>
      <c r="AS347" s="16">
        <f t="shared" si="10"/>
        <v>-37.204000000000001</v>
      </c>
      <c r="AT347" s="16">
        <f t="shared" si="10"/>
        <v>0</v>
      </c>
      <c r="AU347" s="16">
        <f t="shared" si="10"/>
        <v>-248.744</v>
      </c>
      <c r="AV347" s="16">
        <f t="shared" si="10"/>
        <v>0</v>
      </c>
      <c r="AW347" s="16">
        <f t="shared" si="10"/>
        <v>0</v>
      </c>
      <c r="AX347" s="16">
        <f>SUMIF($D$5:$D$337,$D$347,AX5:AX337)</f>
        <v>0</v>
      </c>
      <c r="AY347" s="16">
        <f t="shared" ref="AY347:BI347" si="11">SUMIF($D$5:$D$337,$D$347,AY5:AY337)</f>
        <v>0</v>
      </c>
      <c r="AZ347" s="16">
        <f t="shared" si="11"/>
        <v>0</v>
      </c>
      <c r="BA347" s="16">
        <f t="shared" si="11"/>
        <v>0</v>
      </c>
      <c r="BB347" s="16">
        <f t="shared" si="11"/>
        <v>-377.53500000000003</v>
      </c>
      <c r="BC347" s="16">
        <f t="shared" si="11"/>
        <v>0</v>
      </c>
      <c r="BD347" s="16">
        <f t="shared" si="11"/>
        <v>0</v>
      </c>
      <c r="BE347" s="16">
        <f t="shared" si="11"/>
        <v>-102.358</v>
      </c>
      <c r="BF347" s="16">
        <f t="shared" si="11"/>
        <v>-102.358</v>
      </c>
      <c r="BG347" s="16">
        <f t="shared" si="11"/>
        <v>0</v>
      </c>
      <c r="BH347" s="16">
        <f t="shared" si="11"/>
        <v>0</v>
      </c>
      <c r="BI347" s="16">
        <f t="shared" si="11"/>
        <v>0</v>
      </c>
      <c r="BJ347" s="21"/>
    </row>
    <row r="348" spans="1:62" x14ac:dyDescent="0.3">
      <c r="A348" t="s">
        <v>613</v>
      </c>
      <c r="B348">
        <v>7</v>
      </c>
      <c r="D348">
        <v>6</v>
      </c>
      <c r="E348" s="16">
        <f t="shared" ref="E348:AW348" si="12">SUMIF($D$5:$D$337,$D$348,E5:E337)+SUMIF($D$5:$D$337,$B$348,E5:E337)</f>
        <v>1795464.2649999999</v>
      </c>
      <c r="F348" s="16">
        <f t="shared" si="12"/>
        <v>74430.948000000019</v>
      </c>
      <c r="G348" s="16">
        <f t="shared" si="12"/>
        <v>71691.790000000008</v>
      </c>
      <c r="H348" s="16">
        <f t="shared" si="12"/>
        <v>29232.759999999987</v>
      </c>
      <c r="I348" s="16">
        <f t="shared" si="12"/>
        <v>10588.343999999999</v>
      </c>
      <c r="J348" s="16">
        <f t="shared" si="12"/>
        <v>49168.864000000009</v>
      </c>
      <c r="K348" s="16">
        <f t="shared" si="12"/>
        <v>18312.982</v>
      </c>
      <c r="L348" s="16">
        <f t="shared" si="12"/>
        <v>2196953.9849999999</v>
      </c>
      <c r="M348" s="16">
        <f t="shared" si="12"/>
        <v>588055.42299999995</v>
      </c>
      <c r="N348" s="16">
        <f>SUMIF($D$5:$D$337,$D$348,N5:N337)+SUMIF($D$5:$D$337,$B$348,N5:N337)</f>
        <v>-6.1369999999999996</v>
      </c>
      <c r="O348" s="16">
        <f t="shared" si="12"/>
        <v>-117.42999999999998</v>
      </c>
      <c r="P348" s="16">
        <f t="shared" si="12"/>
        <v>1290.1960000000004</v>
      </c>
      <c r="Q348" s="16">
        <f t="shared" si="12"/>
        <v>31.625000000000039</v>
      </c>
      <c r="R348" s="16">
        <f t="shared" si="12"/>
        <v>784.08399999999995</v>
      </c>
      <c r="S348" s="16">
        <f t="shared" si="12"/>
        <v>13319.136</v>
      </c>
      <c r="T348" s="16">
        <f t="shared" si="12"/>
        <v>-0.86699999999999999</v>
      </c>
      <c r="U348" s="16">
        <f t="shared" si="12"/>
        <v>13646.731</v>
      </c>
      <c r="V348" s="16">
        <f t="shared" si="12"/>
        <v>6357.2669999999971</v>
      </c>
      <c r="W348" s="16">
        <f t="shared" si="12"/>
        <v>18157.785999999993</v>
      </c>
      <c r="X348" s="16">
        <f t="shared" si="12"/>
        <v>-452.95699999999999</v>
      </c>
      <c r="Y348" s="16">
        <f t="shared" si="12"/>
        <v>301660.88199999993</v>
      </c>
      <c r="Z348" s="16">
        <f t="shared" si="12"/>
        <v>-1598.4099999999962</v>
      </c>
      <c r="AA348" s="16">
        <f t="shared" si="12"/>
        <v>67403.755000000005</v>
      </c>
      <c r="AB348" s="16">
        <f t="shared" si="12"/>
        <v>-2064.903999999985</v>
      </c>
      <c r="AC348" s="16">
        <f t="shared" si="12"/>
        <v>10538.118000000004</v>
      </c>
      <c r="AD348" s="16">
        <f t="shared" si="12"/>
        <v>-200.2489999999994</v>
      </c>
      <c r="AE348" s="16">
        <f t="shared" si="12"/>
        <v>1112906.8709999998</v>
      </c>
      <c r="AF348" s="16">
        <f t="shared" si="12"/>
        <v>48754.952000000005</v>
      </c>
      <c r="AG348" s="16">
        <f t="shared" si="12"/>
        <v>-1167.2099999999975</v>
      </c>
      <c r="AH348" s="16">
        <f t="shared" si="12"/>
        <v>4249610.6090000002</v>
      </c>
      <c r="AI348" s="16">
        <f t="shared" si="12"/>
        <v>113959.19399999997</v>
      </c>
      <c r="AJ348" s="16">
        <f t="shared" si="12"/>
        <v>-8178.2110000000321</v>
      </c>
      <c r="AK348" s="16">
        <f t="shared" si="12"/>
        <v>-327250.80300000001</v>
      </c>
      <c r="AL348" s="16">
        <f t="shared" si="12"/>
        <v>-186633.09399999998</v>
      </c>
      <c r="AM348" s="16">
        <f>SUMIF($D$5:$D$337,$D$348,AM5:AM337)+SUMIF($D$5:$D$337,$B$348,AM5:AM337)</f>
        <v>2839.1439999999998</v>
      </c>
      <c r="AN348" s="16">
        <f>SUMIF($D$5:$D$337,$D$348,AN5:AN337)+SUMIF($D$5:$D$337,$B$348,AN5:AN337)</f>
        <v>-117346.00200000001</v>
      </c>
      <c r="AO348" s="16">
        <f>SUMIF($D$5:$D$337,$D$348,AO5:AO337)+SUMIF($D$5:$D$337,$B$348,AO5:AO337)</f>
        <v>3229.62</v>
      </c>
      <c r="AP348" s="16">
        <f t="shared" si="12"/>
        <v>-0.35699999999999932</v>
      </c>
      <c r="AQ348" s="16">
        <f t="shared" si="12"/>
        <v>10839.378000000001</v>
      </c>
      <c r="AR348" s="16">
        <f t="shared" si="12"/>
        <v>-5.7889999999999997</v>
      </c>
      <c r="AS348" s="16">
        <f t="shared" si="12"/>
        <v>162.24799999999999</v>
      </c>
      <c r="AT348" s="16">
        <f t="shared" si="12"/>
        <v>0</v>
      </c>
      <c r="AU348" s="16">
        <f t="shared" si="12"/>
        <v>1688.8719999999996</v>
      </c>
      <c r="AV348" s="16">
        <f t="shared" si="12"/>
        <v>20.144999999999996</v>
      </c>
      <c r="AW348" s="16">
        <f t="shared" si="12"/>
        <v>-25.603999999999996</v>
      </c>
      <c r="AX348" s="16">
        <f>SUMIF($D$5:$D$337,$D$348,AX5:AX337)+SUMIF($D$5:$D$337,$B$348,AX5:AX337)</f>
        <v>-301.53500000000003</v>
      </c>
      <c r="AY348" s="16">
        <f t="shared" ref="AY348:BI348" si="13">SUMIF($D$5:$D$337,$D$348,AY5:AY337)+SUMIF($D$5:$D$337,$B$348,AY5:AY337)</f>
        <v>1444.0549999999998</v>
      </c>
      <c r="AZ348" s="16">
        <f t="shared" si="13"/>
        <v>7082.299</v>
      </c>
      <c r="BA348" s="16">
        <f t="shared" si="13"/>
        <v>-264.22199999999998</v>
      </c>
      <c r="BB348" s="16">
        <f t="shared" si="13"/>
        <v>939.35799999999995</v>
      </c>
      <c r="BC348" s="16">
        <f t="shared" si="13"/>
        <v>694.95199999999988</v>
      </c>
      <c r="BD348" s="16">
        <f t="shared" si="13"/>
        <v>8264.5370000000003</v>
      </c>
      <c r="BE348" s="16">
        <f t="shared" si="13"/>
        <v>242.90400000000005</v>
      </c>
      <c r="BF348" s="16">
        <f t="shared" si="13"/>
        <v>242.90400000000005</v>
      </c>
      <c r="BG348" s="16">
        <f t="shared" si="13"/>
        <v>2776.1429999999996</v>
      </c>
      <c r="BH348" s="16">
        <f t="shared" si="13"/>
        <v>-4854.4100000000062</v>
      </c>
      <c r="BI348" s="16">
        <f t="shared" si="13"/>
        <v>320.05399999999997</v>
      </c>
      <c r="BJ348" s="21"/>
    </row>
    <row r="349" spans="1:62" x14ac:dyDescent="0.3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21"/>
    </row>
    <row r="350" spans="1:62" x14ac:dyDescent="0.3">
      <c r="E350">
        <f t="shared" ref="E350:M350" si="14">SUM(E343:E349)</f>
        <v>8178274.176</v>
      </c>
      <c r="F350">
        <f t="shared" si="14"/>
        <v>962258.40099999995</v>
      </c>
      <c r="G350">
        <f t="shared" si="14"/>
        <v>994751.85999999987</v>
      </c>
      <c r="H350">
        <f t="shared" si="14"/>
        <v>1103931.8150000002</v>
      </c>
      <c r="I350">
        <f t="shared" si="14"/>
        <v>139794.08800000002</v>
      </c>
      <c r="J350">
        <f t="shared" si="14"/>
        <v>686844.56699999992</v>
      </c>
      <c r="K350">
        <f t="shared" si="14"/>
        <v>268881.89799999999</v>
      </c>
      <c r="L350" s="17">
        <f t="shared" si="14"/>
        <v>8971810.438000001</v>
      </c>
      <c r="M350">
        <f t="shared" si="14"/>
        <v>3026284.4390000002</v>
      </c>
      <c r="N350">
        <f>SUM(N343:N349)</f>
        <v>15099.665999999999</v>
      </c>
      <c r="O350">
        <f t="shared" ref="O350:AL350" si="15">SUM(O343:O349)</f>
        <v>9279.5070000000014</v>
      </c>
      <c r="P350">
        <f t="shared" si="15"/>
        <v>19679.825999999997</v>
      </c>
      <c r="Q350">
        <f t="shared" si="15"/>
        <v>12344.763999999999</v>
      </c>
      <c r="R350">
        <f t="shared" si="15"/>
        <v>18946.769999999997</v>
      </c>
      <c r="S350">
        <f t="shared" si="15"/>
        <v>297847.08</v>
      </c>
      <c r="T350">
        <f t="shared" si="15"/>
        <v>980.12299999999993</v>
      </c>
      <c r="U350">
        <f t="shared" si="15"/>
        <v>193977.61900000001</v>
      </c>
      <c r="V350">
        <f t="shared" si="15"/>
        <v>93320.024000000005</v>
      </c>
      <c r="W350">
        <f t="shared" si="15"/>
        <v>224255.99999999997</v>
      </c>
      <c r="X350">
        <f t="shared" si="15"/>
        <v>203804.48499999999</v>
      </c>
      <c r="Y350">
        <f t="shared" si="15"/>
        <v>1906201.5630000001</v>
      </c>
      <c r="Z350">
        <f t="shared" si="15"/>
        <v>127891.48199999999</v>
      </c>
      <c r="AA350">
        <f t="shared" si="15"/>
        <v>932492.29700000002</v>
      </c>
      <c r="AB350">
        <f t="shared" si="15"/>
        <v>285936.21300000005</v>
      </c>
      <c r="AC350">
        <f t="shared" si="15"/>
        <v>162977.84100000001</v>
      </c>
      <c r="AD350">
        <f t="shared" si="15"/>
        <v>57299.907000000007</v>
      </c>
      <c r="AE350">
        <f t="shared" si="15"/>
        <v>5198441.061999999</v>
      </c>
      <c r="AF350">
        <f t="shared" si="15"/>
        <v>1140138.4100000001</v>
      </c>
      <c r="AG350">
        <f t="shared" si="15"/>
        <v>254106.73399999997</v>
      </c>
      <c r="AH350">
        <f t="shared" si="15"/>
        <v>18350584.284000002</v>
      </c>
      <c r="AI350">
        <f t="shared" si="15"/>
        <v>2097119.1469999996</v>
      </c>
      <c r="AJ350">
        <f t="shared" si="15"/>
        <v>658389.39</v>
      </c>
      <c r="AK350">
        <f t="shared" si="15"/>
        <v>10553374.458000001</v>
      </c>
      <c r="AL350">
        <f t="shared" si="15"/>
        <v>6007013.1630000006</v>
      </c>
      <c r="AM350">
        <f>SUM(AM343:AM349)</f>
        <v>41266.69</v>
      </c>
      <c r="AN350">
        <f>SUM(AN343:AN349)</f>
        <v>3764610.8620000002</v>
      </c>
      <c r="AO350">
        <f>SUM(AO343:AO349)</f>
        <v>96194.72</v>
      </c>
      <c r="AP350">
        <f>SUM(AP343:AP349)</f>
        <v>59841.534</v>
      </c>
      <c r="AQ350">
        <f t="shared" ref="AQ350:AW350" si="16">SUM(AQ343:AQ349)</f>
        <v>391755.63800000004</v>
      </c>
      <c r="AR350">
        <f t="shared" si="16"/>
        <v>27078.47</v>
      </c>
      <c r="AS350">
        <f t="shared" si="16"/>
        <v>3564.1029999999996</v>
      </c>
      <c r="AT350">
        <f t="shared" si="16"/>
        <v>0</v>
      </c>
      <c r="AU350">
        <f t="shared" si="16"/>
        <v>79073.693999999989</v>
      </c>
      <c r="AV350">
        <f t="shared" si="16"/>
        <v>68253.595000000001</v>
      </c>
      <c r="AW350">
        <f t="shared" si="16"/>
        <v>83469.081999999995</v>
      </c>
      <c r="AX350">
        <f>SUM(AX343:AX349)</f>
        <v>166224.603</v>
      </c>
      <c r="AY350">
        <f t="shared" ref="AY350:BI350" si="17">SUM(AY343:AY349)</f>
        <v>34146.964</v>
      </c>
      <c r="AZ350">
        <f t="shared" si="17"/>
        <v>108030.67800000001</v>
      </c>
      <c r="BA350">
        <f t="shared" si="17"/>
        <v>124638.274</v>
      </c>
      <c r="BB350">
        <f t="shared" si="17"/>
        <v>28738.876</v>
      </c>
      <c r="BC350">
        <f t="shared" si="17"/>
        <v>19161.901000000002</v>
      </c>
      <c r="BD350">
        <f t="shared" si="17"/>
        <v>121560.43599999997</v>
      </c>
      <c r="BE350">
        <f t="shared" si="17"/>
        <v>7460.49</v>
      </c>
      <c r="BF350">
        <f t="shared" si="17"/>
        <v>7460.49</v>
      </c>
      <c r="BG350">
        <f t="shared" si="17"/>
        <v>40325.724999999991</v>
      </c>
      <c r="BH350">
        <f t="shared" si="17"/>
        <v>420744.95900000003</v>
      </c>
      <c r="BI350">
        <f t="shared" si="17"/>
        <v>8072.3550000000014</v>
      </c>
      <c r="BJ350" s="21"/>
    </row>
    <row r="351" spans="1:62" x14ac:dyDescent="0.3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3">
      <c r="A352" s="8"/>
      <c r="B352" s="8"/>
      <c r="C352" s="8"/>
      <c r="D352" s="8"/>
      <c r="E352" s="8">
        <f t="shared" ref="E352:AJ352" si="18">E350-E338</f>
        <v>8178274.176</v>
      </c>
      <c r="F352" s="8">
        <f t="shared" si="18"/>
        <v>962258.40099999995</v>
      </c>
      <c r="G352" s="8">
        <f t="shared" si="18"/>
        <v>994751.85999999987</v>
      </c>
      <c r="H352" s="8">
        <f t="shared" si="18"/>
        <v>1103931.8150000002</v>
      </c>
      <c r="I352" s="8">
        <f t="shared" si="18"/>
        <v>139794.08800000002</v>
      </c>
      <c r="J352" s="8">
        <f t="shared" si="18"/>
        <v>686844.56699999992</v>
      </c>
      <c r="K352" s="8">
        <f t="shared" si="18"/>
        <v>268881.89799999999</v>
      </c>
      <c r="L352" s="18">
        <f t="shared" si="18"/>
        <v>8971810.438000001</v>
      </c>
      <c r="M352" s="8">
        <f t="shared" si="18"/>
        <v>3026284.4390000002</v>
      </c>
      <c r="N352" s="8">
        <f>N350-N338</f>
        <v>15099.665999999999</v>
      </c>
      <c r="O352" s="8">
        <f t="shared" si="18"/>
        <v>9279.5070000000014</v>
      </c>
      <c r="P352" s="8">
        <f t="shared" si="18"/>
        <v>19679.825999999997</v>
      </c>
      <c r="Q352" s="8">
        <f t="shared" si="18"/>
        <v>12344.763999999999</v>
      </c>
      <c r="R352" s="8">
        <f t="shared" si="18"/>
        <v>18946.769999999997</v>
      </c>
      <c r="S352" s="8">
        <f t="shared" si="18"/>
        <v>297847.08</v>
      </c>
      <c r="T352" s="8">
        <f t="shared" si="18"/>
        <v>980.12299999999993</v>
      </c>
      <c r="U352" s="8">
        <f t="shared" si="18"/>
        <v>193977.61900000001</v>
      </c>
      <c r="V352" s="8">
        <f t="shared" si="18"/>
        <v>93320.024000000005</v>
      </c>
      <c r="W352" s="8">
        <f t="shared" si="18"/>
        <v>224255.99999999997</v>
      </c>
      <c r="X352" s="8">
        <f t="shared" si="18"/>
        <v>203804.48499999999</v>
      </c>
      <c r="Y352" s="8">
        <f t="shared" si="18"/>
        <v>1906201.5630000001</v>
      </c>
      <c r="Z352" s="8">
        <f t="shared" si="18"/>
        <v>127891.48199999999</v>
      </c>
      <c r="AA352" s="8">
        <f t="shared" si="18"/>
        <v>932492.29700000002</v>
      </c>
      <c r="AB352" s="8">
        <f t="shared" si="18"/>
        <v>285936.21300000005</v>
      </c>
      <c r="AC352" s="8">
        <f t="shared" si="18"/>
        <v>162977.84100000001</v>
      </c>
      <c r="AD352" s="8">
        <f t="shared" si="18"/>
        <v>57299.907000000007</v>
      </c>
      <c r="AE352" s="8">
        <f t="shared" si="18"/>
        <v>5198441.061999999</v>
      </c>
      <c r="AF352" s="8">
        <f t="shared" si="18"/>
        <v>1140138.4100000001</v>
      </c>
      <c r="AG352" s="8">
        <f t="shared" si="18"/>
        <v>254106.73399999997</v>
      </c>
      <c r="AH352" s="8">
        <f t="shared" si="18"/>
        <v>18350584.284000002</v>
      </c>
      <c r="AI352" s="8">
        <f t="shared" si="18"/>
        <v>2097119.1469999996</v>
      </c>
      <c r="AJ352" s="8">
        <f t="shared" si="18"/>
        <v>658389.39</v>
      </c>
      <c r="AK352" s="8">
        <f>AK350-AK338</f>
        <v>10553374.458000001</v>
      </c>
      <c r="AL352" s="8">
        <f>AL350-AL338</f>
        <v>6007013.1630000006</v>
      </c>
      <c r="AM352" s="8">
        <f>AM350-AM338</f>
        <v>41266.69</v>
      </c>
      <c r="AN352" s="8">
        <f>AN350-AN338</f>
        <v>3764610.8620000002</v>
      </c>
      <c r="AO352" s="8">
        <f>AO350-AO338</f>
        <v>96194.72</v>
      </c>
      <c r="AP352" s="8">
        <f t="shared" ref="AP352:AW352" si="19">AP350-AP338</f>
        <v>59841.534</v>
      </c>
      <c r="AQ352" s="8">
        <f t="shared" si="19"/>
        <v>391755.63800000004</v>
      </c>
      <c r="AR352" s="8">
        <f t="shared" si="19"/>
        <v>27078.47</v>
      </c>
      <c r="AS352" s="8">
        <f t="shared" si="19"/>
        <v>3564.1029999999996</v>
      </c>
      <c r="AT352" s="8">
        <f t="shared" si="19"/>
        <v>0</v>
      </c>
      <c r="AU352" s="8">
        <f t="shared" si="19"/>
        <v>79073.693999999989</v>
      </c>
      <c r="AV352" s="8">
        <f t="shared" si="19"/>
        <v>68253.595000000001</v>
      </c>
      <c r="AW352" s="8">
        <f t="shared" si="19"/>
        <v>83469.081999999995</v>
      </c>
      <c r="AX352" s="8">
        <f>AX350-AX338</f>
        <v>166224.603</v>
      </c>
      <c r="AY352" s="8">
        <f t="shared" ref="AY352:BI352" si="20">AY350-AY338</f>
        <v>34146.964</v>
      </c>
      <c r="AZ352" s="8">
        <f t="shared" si="20"/>
        <v>108030.67800000001</v>
      </c>
      <c r="BA352" s="8">
        <f t="shared" si="20"/>
        <v>124638.274</v>
      </c>
      <c r="BB352" s="8">
        <f t="shared" si="20"/>
        <v>28738.876</v>
      </c>
      <c r="BC352" s="8">
        <f t="shared" si="20"/>
        <v>19161.901000000002</v>
      </c>
      <c r="BD352" s="8">
        <f t="shared" si="20"/>
        <v>121560.43599999997</v>
      </c>
      <c r="BE352" s="8">
        <f t="shared" si="20"/>
        <v>7460.49</v>
      </c>
      <c r="BF352" s="8">
        <f t="shared" si="20"/>
        <v>7460.49</v>
      </c>
      <c r="BG352" s="8">
        <f t="shared" si="20"/>
        <v>40325.724999999991</v>
      </c>
      <c r="BH352" s="8">
        <f t="shared" si="20"/>
        <v>420744.95900000003</v>
      </c>
      <c r="BI352" s="8">
        <f t="shared" si="20"/>
        <v>8072.3550000000014</v>
      </c>
      <c r="BJ352" s="21"/>
    </row>
    <row r="353" spans="1:62" x14ac:dyDescent="0.3">
      <c r="E353" s="19">
        <f t="shared" ref="E353:M353" si="21">E3</f>
        <v>401</v>
      </c>
      <c r="F353" s="19">
        <f t="shared" si="21"/>
        <v>242</v>
      </c>
      <c r="G353" s="19">
        <f t="shared" si="21"/>
        <v>385</v>
      </c>
      <c r="H353" s="19">
        <f t="shared" si="21"/>
        <v>528</v>
      </c>
      <c r="I353" s="19">
        <f t="shared" si="21"/>
        <v>384</v>
      </c>
      <c r="J353" s="19">
        <f t="shared" si="21"/>
        <v>716</v>
      </c>
      <c r="K353" s="19">
        <f t="shared" si="21"/>
        <v>715</v>
      </c>
      <c r="L353" s="19">
        <f t="shared" si="21"/>
        <v>9916</v>
      </c>
      <c r="M353" s="19">
        <f t="shared" si="21"/>
        <v>1100</v>
      </c>
      <c r="N353" s="19">
        <f>N3</f>
        <v>801</v>
      </c>
      <c r="O353" s="19">
        <f t="shared" ref="O353:T353" si="22">O3</f>
        <v>804</v>
      </c>
      <c r="P353" s="19">
        <f t="shared" si="22"/>
        <v>806</v>
      </c>
      <c r="Q353" s="19">
        <f t="shared" si="22"/>
        <v>8765</v>
      </c>
      <c r="R353" s="19">
        <f t="shared" si="22"/>
        <v>8766</v>
      </c>
      <c r="S353" s="19">
        <f t="shared" si="22"/>
        <v>9418</v>
      </c>
      <c r="T353" s="19">
        <f t="shared" si="22"/>
        <v>9475</v>
      </c>
      <c r="U353" s="19">
        <f>U3</f>
        <v>9906</v>
      </c>
      <c r="V353" s="19">
        <f>V3</f>
        <v>7905</v>
      </c>
      <c r="W353" s="19">
        <f t="shared" ref="W353:AJ353" si="23">W3</f>
        <v>7906</v>
      </c>
      <c r="X353" s="19">
        <f t="shared" si="23"/>
        <v>7907</v>
      </c>
      <c r="Y353" s="19">
        <f t="shared" si="23"/>
        <v>7908</v>
      </c>
      <c r="Z353" s="19">
        <f t="shared" si="23"/>
        <v>7909</v>
      </c>
      <c r="AA353" s="19">
        <f t="shared" si="23"/>
        <v>11310</v>
      </c>
      <c r="AB353" s="19">
        <f t="shared" si="23"/>
        <v>11311</v>
      </c>
      <c r="AC353" s="19">
        <f t="shared" si="23"/>
        <v>11312</v>
      </c>
      <c r="AD353" s="19">
        <f t="shared" si="23"/>
        <v>11335</v>
      </c>
      <c r="AE353" s="19">
        <f t="shared" si="23"/>
        <v>9529</v>
      </c>
      <c r="AF353" s="19">
        <f t="shared" si="23"/>
        <v>961</v>
      </c>
      <c r="AG353" s="19">
        <f t="shared" si="23"/>
        <v>9528</v>
      </c>
      <c r="AH353" s="19">
        <f t="shared" si="23"/>
        <v>964</v>
      </c>
      <c r="AI353" s="19">
        <f t="shared" si="23"/>
        <v>968</v>
      </c>
      <c r="AJ353" s="19">
        <f t="shared" si="23"/>
        <v>8629</v>
      </c>
      <c r="AK353" s="19">
        <f>AK3</f>
        <v>13264</v>
      </c>
      <c r="AL353" s="19">
        <f>AL3</f>
        <v>13263</v>
      </c>
      <c r="AM353" s="19">
        <f>AM3</f>
        <v>13209</v>
      </c>
      <c r="AN353" s="19">
        <f>AN3</f>
        <v>13250</v>
      </c>
      <c r="AO353" s="19">
        <f>AO3</f>
        <v>14281</v>
      </c>
      <c r="AP353" s="19">
        <f t="shared" ref="AP353:AW353" si="24">AP3</f>
        <v>2049</v>
      </c>
      <c r="AQ353" s="19">
        <f t="shared" si="24"/>
        <v>7975</v>
      </c>
      <c r="AR353" s="19">
        <f t="shared" si="24"/>
        <v>8004</v>
      </c>
      <c r="AS353" s="19">
        <f t="shared" si="24"/>
        <v>1008</v>
      </c>
      <c r="AT353" s="19">
        <f t="shared" si="24"/>
        <v>9484</v>
      </c>
      <c r="AU353" s="19">
        <f t="shared" si="24"/>
        <v>682</v>
      </c>
      <c r="AV353" s="19">
        <f t="shared" si="24"/>
        <v>11352</v>
      </c>
      <c r="AW353" s="19">
        <f t="shared" si="24"/>
        <v>2058</v>
      </c>
      <c r="AX353" s="19">
        <f>AX3</f>
        <v>15007</v>
      </c>
      <c r="AY353" s="19">
        <f t="shared" ref="AY353:BI353" si="25">AY3</f>
        <v>15208</v>
      </c>
      <c r="AZ353" s="19">
        <f t="shared" si="25"/>
        <v>15209</v>
      </c>
      <c r="BA353" s="19">
        <f t="shared" si="25"/>
        <v>15210</v>
      </c>
      <c r="BB353" s="19">
        <f t="shared" si="25"/>
        <v>15211</v>
      </c>
      <c r="BC353" s="19">
        <f t="shared" si="25"/>
        <v>15212</v>
      </c>
      <c r="BD353" s="19">
        <f t="shared" si="25"/>
        <v>15232</v>
      </c>
      <c r="BE353" s="19">
        <f t="shared" si="25"/>
        <v>15214</v>
      </c>
      <c r="BF353" s="19">
        <f t="shared" si="25"/>
        <v>15214</v>
      </c>
      <c r="BG353" s="19">
        <f t="shared" si="25"/>
        <v>15233</v>
      </c>
      <c r="BH353" s="19">
        <f t="shared" si="25"/>
        <v>15234</v>
      </c>
      <c r="BI353" s="19">
        <f t="shared" si="25"/>
        <v>15215</v>
      </c>
      <c r="BJ353" s="21"/>
    </row>
    <row r="354" spans="1:62" x14ac:dyDescent="0.3">
      <c r="A354" t="s">
        <v>608</v>
      </c>
      <c r="E354" s="20">
        <f t="shared" ref="E354:AL354" si="26">E343/E350</f>
        <v>9.1932501994904992E-2</v>
      </c>
      <c r="F354" s="20">
        <f t="shared" si="26"/>
        <v>0.14631517049233844</v>
      </c>
      <c r="G354" s="20">
        <f t="shared" si="26"/>
        <v>3.6104531636663641E-2</v>
      </c>
      <c r="H354" s="20">
        <f t="shared" si="26"/>
        <v>8.2655014340718121E-4</v>
      </c>
      <c r="I354" s="20">
        <f t="shared" si="26"/>
        <v>6.7429174830340444E-2</v>
      </c>
      <c r="J354" s="20">
        <f t="shared" si="26"/>
        <v>3.7682864862786346E-2</v>
      </c>
      <c r="K354" s="20">
        <f t="shared" si="26"/>
        <v>3.2582249177666847E-2</v>
      </c>
      <c r="L354" s="20">
        <f t="shared" si="26"/>
        <v>0.16563041777009063</v>
      </c>
      <c r="M354" s="20">
        <f t="shared" si="26"/>
        <v>4.655511166906541E-2</v>
      </c>
      <c r="N354" s="20">
        <f>N343/N350</f>
        <v>3.0736044095279989E-2</v>
      </c>
      <c r="O354" s="20">
        <f t="shared" si="26"/>
        <v>0.83927540547143287</v>
      </c>
      <c r="P354" s="20">
        <f t="shared" si="26"/>
        <v>3.2502777209513951E-2</v>
      </c>
      <c r="Q354" s="20">
        <f t="shared" si="26"/>
        <v>0.46834236766292175</v>
      </c>
      <c r="R354" s="20">
        <f t="shared" si="26"/>
        <v>0.10049269611654126</v>
      </c>
      <c r="S354" s="20">
        <f t="shared" si="26"/>
        <v>0.14039995960343138</v>
      </c>
      <c r="T354" s="20">
        <f t="shared" si="26"/>
        <v>4.7695034194687812E-2</v>
      </c>
      <c r="U354" s="20">
        <f t="shared" si="26"/>
        <v>4.2853892334867763E-2</v>
      </c>
      <c r="V354" s="20">
        <f t="shared" si="26"/>
        <v>5.8376506632702961E-2</v>
      </c>
      <c r="W354" s="20">
        <f t="shared" si="26"/>
        <v>8.1537051405536534E-2</v>
      </c>
      <c r="X354" s="20">
        <f t="shared" si="26"/>
        <v>0.17856175736269989</v>
      </c>
      <c r="Y354" s="20">
        <f t="shared" si="26"/>
        <v>0.14683023056570646</v>
      </c>
      <c r="Z354" s="20">
        <f t="shared" si="26"/>
        <v>0.55429315456677564</v>
      </c>
      <c r="AA354" s="20">
        <f t="shared" si="26"/>
        <v>5.0492997262796692E-2</v>
      </c>
      <c r="AB354" s="20">
        <f t="shared" si="26"/>
        <v>0.83565462203278174</v>
      </c>
      <c r="AC354" s="20">
        <f t="shared" si="26"/>
        <v>0.1490330271340384</v>
      </c>
      <c r="AD354" s="20">
        <f t="shared" si="26"/>
        <v>0.30794570050523817</v>
      </c>
      <c r="AE354" s="20">
        <f t="shared" si="26"/>
        <v>0.15988060402866988</v>
      </c>
      <c r="AF354" s="20">
        <f t="shared" si="26"/>
        <v>0.27672787376753666</v>
      </c>
      <c r="AG354" s="20">
        <f t="shared" si="26"/>
        <v>0.34207955307473276</v>
      </c>
      <c r="AH354" s="20">
        <f t="shared" si="26"/>
        <v>0.13640826707531775</v>
      </c>
      <c r="AI354" s="20">
        <f t="shared" si="26"/>
        <v>0.2609208541072941</v>
      </c>
      <c r="AJ354" s="20">
        <f t="shared" si="26"/>
        <v>0.53765205572343744</v>
      </c>
      <c r="AK354" s="20">
        <f t="shared" si="26"/>
        <v>0.74141180170752929</v>
      </c>
      <c r="AL354" s="20">
        <f t="shared" si="26"/>
        <v>0.74160307312780893</v>
      </c>
      <c r="AM354" s="20">
        <f>AM343/AM350</f>
        <v>4.2617423398872069E-2</v>
      </c>
      <c r="AN354" s="20">
        <f>AN343/AN350</f>
        <v>0.74211797564536697</v>
      </c>
      <c r="AO354" s="20">
        <f>AO343/AO350</f>
        <v>0.1972860776558214</v>
      </c>
      <c r="AP354" s="20">
        <f>AP343/AP350</f>
        <v>0.10375262104744841</v>
      </c>
      <c r="AQ354" s="20">
        <f t="shared" ref="AQ354:AW354" si="27">AQ343/AQ350</f>
        <v>0.28158486387884479</v>
      </c>
      <c r="AR354" s="20">
        <f t="shared" si="27"/>
        <v>9.7719996735413789E-2</v>
      </c>
      <c r="AS354" s="20">
        <f t="shared" si="27"/>
        <v>0.15818538353128403</v>
      </c>
      <c r="AT354" s="20" t="e">
        <f t="shared" si="27"/>
        <v>#DIV/0!</v>
      </c>
      <c r="AU354" s="20">
        <f t="shared" si="27"/>
        <v>0.14262511879108619</v>
      </c>
      <c r="AV354" s="20">
        <f t="shared" si="27"/>
        <v>9.9853084661694361E-2</v>
      </c>
      <c r="AW354" s="20">
        <f t="shared" si="27"/>
        <v>0.11140529855114498</v>
      </c>
      <c r="AX354" s="20">
        <f>AX343/AX350</f>
        <v>0.20092336752339843</v>
      </c>
      <c r="AY354" s="20">
        <f t="shared" ref="AY354:BI354" si="28">AY343/AY350</f>
        <v>5.0182440816700417E-2</v>
      </c>
      <c r="AZ354" s="20">
        <f t="shared" si="28"/>
        <v>5.4978457137888181E-2</v>
      </c>
      <c r="BA354" s="20">
        <f t="shared" si="28"/>
        <v>0.17961860575829214</v>
      </c>
      <c r="BB354" s="20">
        <f t="shared" si="28"/>
        <v>0.19810054505959104</v>
      </c>
      <c r="BC354" s="20">
        <f t="shared" si="28"/>
        <v>8.579274050105988E-2</v>
      </c>
      <c r="BD354" s="20">
        <f t="shared" si="28"/>
        <v>7.7747903108870073E-2</v>
      </c>
      <c r="BE354" s="20">
        <f t="shared" si="28"/>
        <v>0.13537998174382648</v>
      </c>
      <c r="BF354" s="20">
        <f t="shared" si="28"/>
        <v>0.13537998174382648</v>
      </c>
      <c r="BG354" s="20">
        <f t="shared" si="28"/>
        <v>6.475871171566043E-2</v>
      </c>
      <c r="BH354" s="20">
        <f t="shared" si="28"/>
        <v>0.5789002833899668</v>
      </c>
      <c r="BI354" s="20">
        <f t="shared" si="28"/>
        <v>4.2396054187408744E-2</v>
      </c>
      <c r="BJ354" s="21"/>
    </row>
    <row r="355" spans="1:62" x14ac:dyDescent="0.3">
      <c r="A355" t="s">
        <v>609</v>
      </c>
      <c r="E355" s="20">
        <f t="shared" ref="E355:AL355" si="29">E344/E350</f>
        <v>0.23456435070733439</v>
      </c>
      <c r="F355" s="20">
        <f t="shared" si="29"/>
        <v>0.17234290376437045</v>
      </c>
      <c r="G355" s="20">
        <f t="shared" si="29"/>
        <v>0.3509459836546574</v>
      </c>
      <c r="H355" s="20">
        <f t="shared" si="29"/>
        <v>0</v>
      </c>
      <c r="I355" s="20">
        <f t="shared" si="29"/>
        <v>0.3709277176299472</v>
      </c>
      <c r="J355" s="20">
        <f t="shared" si="29"/>
        <v>0.34895415428102244</v>
      </c>
      <c r="K355" s="20">
        <f t="shared" si="29"/>
        <v>0.70947886569887275</v>
      </c>
      <c r="L355" s="20">
        <f t="shared" si="29"/>
        <v>8.4898609735873695E-2</v>
      </c>
      <c r="M355" s="20">
        <f t="shared" si="29"/>
        <v>0.21069201783646355</v>
      </c>
      <c r="N355" s="20">
        <f>N344/N350</f>
        <v>0.75918169315798112</v>
      </c>
      <c r="O355" s="20">
        <f t="shared" si="29"/>
        <v>1.5099185764933415E-2</v>
      </c>
      <c r="P355" s="20">
        <f t="shared" si="29"/>
        <v>0.78633108849641264</v>
      </c>
      <c r="Q355" s="20">
        <f t="shared" si="29"/>
        <v>0.15182801388507711</v>
      </c>
      <c r="R355" s="20">
        <f t="shared" si="29"/>
        <v>0.21090708337093872</v>
      </c>
      <c r="S355" s="20">
        <f t="shared" si="29"/>
        <v>0.16979671246063582</v>
      </c>
      <c r="T355" s="20">
        <f t="shared" si="29"/>
        <v>0.95318954865868877</v>
      </c>
      <c r="U355" s="20">
        <f t="shared" si="29"/>
        <v>0.73174633100326891</v>
      </c>
      <c r="V355" s="20">
        <f t="shared" si="29"/>
        <v>0.27195348771020461</v>
      </c>
      <c r="W355" s="20">
        <f t="shared" si="29"/>
        <v>0.22465665132705481</v>
      </c>
      <c r="X355" s="20">
        <f t="shared" si="29"/>
        <v>1.4456232403325178E-2</v>
      </c>
      <c r="Y355" s="20">
        <f t="shared" si="29"/>
        <v>0.17479121330465514</v>
      </c>
      <c r="Z355" s="20">
        <f t="shared" si="29"/>
        <v>6.8543267017579803E-4</v>
      </c>
      <c r="AA355" s="20">
        <f t="shared" si="29"/>
        <v>0.34664005058263764</v>
      </c>
      <c r="AB355" s="20">
        <f t="shared" si="29"/>
        <v>9.1718533042192858E-3</v>
      </c>
      <c r="AC355" s="20">
        <f t="shared" si="29"/>
        <v>0.1421085581812315</v>
      </c>
      <c r="AD355" s="20">
        <f t="shared" si="29"/>
        <v>0.17516972584266149</v>
      </c>
      <c r="AE355" s="20">
        <f t="shared" si="29"/>
        <v>0.15109368320852187</v>
      </c>
      <c r="AF355" s="20">
        <f t="shared" si="29"/>
        <v>4.2556405059627801E-2</v>
      </c>
      <c r="AG355" s="20">
        <f t="shared" si="29"/>
        <v>0.13609856950898438</v>
      </c>
      <c r="AH355" s="20">
        <f t="shared" si="29"/>
        <v>0.13118305644899428</v>
      </c>
      <c r="AI355" s="20">
        <f t="shared" si="29"/>
        <v>3.983229237093986E-2</v>
      </c>
      <c r="AJ355" s="20">
        <f t="shared" si="29"/>
        <v>6.8949622654156074E-4</v>
      </c>
      <c r="AK355" s="20">
        <f t="shared" si="29"/>
        <v>8.5058277859129089E-2</v>
      </c>
      <c r="AL355" s="20">
        <f t="shared" si="29"/>
        <v>8.5026986813679456E-2</v>
      </c>
      <c r="AM355" s="20">
        <f>AM344/AM350</f>
        <v>0.73293365666109878</v>
      </c>
      <c r="AN355" s="20">
        <f>AN344/AN350</f>
        <v>8.488952715559582E-2</v>
      </c>
      <c r="AO355" s="20">
        <f>AO344/AO350</f>
        <v>0.14815910894069861</v>
      </c>
      <c r="AP355" s="20">
        <f>AP344/AP350</f>
        <v>0</v>
      </c>
      <c r="AQ355" s="20">
        <f t="shared" ref="AQ355:AW355" si="30">AQ344/AQ350</f>
        <v>4.3046099058311443E-2</v>
      </c>
      <c r="AR355" s="20">
        <f t="shared" si="30"/>
        <v>0</v>
      </c>
      <c r="AS355" s="20">
        <f t="shared" si="30"/>
        <v>0.33914059161589888</v>
      </c>
      <c r="AT355" s="20" t="e">
        <f t="shared" si="30"/>
        <v>#DIV/0!</v>
      </c>
      <c r="AU355" s="20">
        <f t="shared" si="30"/>
        <v>0.39230986224065872</v>
      </c>
      <c r="AV355" s="20">
        <f t="shared" si="30"/>
        <v>0</v>
      </c>
      <c r="AW355" s="20">
        <f t="shared" si="30"/>
        <v>0</v>
      </c>
      <c r="AX355" s="20">
        <f>AX344/AX350</f>
        <v>1.405659546078146E-2</v>
      </c>
      <c r="AY355" s="20">
        <f t="shared" ref="AY355:BI355" si="31">AY344/AY350</f>
        <v>0.25527932732174957</v>
      </c>
      <c r="AZ355" s="20">
        <f t="shared" si="31"/>
        <v>4.0157204234152815E-3</v>
      </c>
      <c r="BA355" s="20">
        <f t="shared" si="31"/>
        <v>1.4435878661156682E-2</v>
      </c>
      <c r="BB355" s="20">
        <f t="shared" si="31"/>
        <v>0.15961890785151092</v>
      </c>
      <c r="BC355" s="20">
        <f t="shared" si="31"/>
        <v>0.26340695529112684</v>
      </c>
      <c r="BD355" s="20">
        <f t="shared" si="31"/>
        <v>4.1482411267429161E-3</v>
      </c>
      <c r="BE355" s="20">
        <f t="shared" si="31"/>
        <v>0.21117406497428454</v>
      </c>
      <c r="BF355" s="20">
        <f t="shared" si="31"/>
        <v>0.21117406497428454</v>
      </c>
      <c r="BG355" s="20">
        <f t="shared" si="31"/>
        <v>4.2071655252323434E-3</v>
      </c>
      <c r="BH355" s="20">
        <f t="shared" si="31"/>
        <v>7.9633995092024373E-2</v>
      </c>
      <c r="BI355" s="20">
        <f t="shared" si="31"/>
        <v>0.25267805987224295</v>
      </c>
      <c r="BJ355" s="21"/>
    </row>
    <row r="356" spans="1:62" x14ac:dyDescent="0.3">
      <c r="A356" t="s">
        <v>610</v>
      </c>
      <c r="E356" s="20">
        <f t="shared" ref="E356:AL356" si="32">E345/E350</f>
        <v>0.21504150608706615</v>
      </c>
      <c r="F356" s="20">
        <f t="shared" si="32"/>
        <v>0.27468752127839308</v>
      </c>
      <c r="G356" s="20">
        <f t="shared" si="32"/>
        <v>0.45584357992555041</v>
      </c>
      <c r="H356" s="20">
        <f t="shared" si="32"/>
        <v>6.1082614056195118E-2</v>
      </c>
      <c r="I356" s="20">
        <f t="shared" si="32"/>
        <v>0.33845234571007038</v>
      </c>
      <c r="J356" s="20">
        <f t="shared" si="32"/>
        <v>0.43398534882783735</v>
      </c>
      <c r="K356" s="20">
        <f t="shared" si="32"/>
        <v>0.13582860829106466</v>
      </c>
      <c r="L356" s="20">
        <f t="shared" si="32"/>
        <v>9.841289760874905E-2</v>
      </c>
      <c r="M356" s="20">
        <f t="shared" si="32"/>
        <v>0.36192348838231592</v>
      </c>
      <c r="N356" s="20">
        <f>N345/N350</f>
        <v>0.21048869557776975</v>
      </c>
      <c r="O356" s="20">
        <f t="shared" si="32"/>
        <v>0</v>
      </c>
      <c r="P356" s="20">
        <f t="shared" si="32"/>
        <v>2.7900145052095495E-3</v>
      </c>
      <c r="Q356" s="20">
        <f t="shared" si="32"/>
        <v>0.31939743846054891</v>
      </c>
      <c r="R356" s="20">
        <f t="shared" si="32"/>
        <v>0.63998829351915931</v>
      </c>
      <c r="S356" s="20">
        <f t="shared" si="32"/>
        <v>0.36708301118815739</v>
      </c>
      <c r="T356" s="20">
        <f t="shared" si="32"/>
        <v>0</v>
      </c>
      <c r="U356" s="20">
        <f t="shared" si="32"/>
        <v>0.14009168243270376</v>
      </c>
      <c r="V356" s="20">
        <f t="shared" si="32"/>
        <v>0.46681612512229964</v>
      </c>
      <c r="W356" s="20">
        <f t="shared" si="32"/>
        <v>0.38407528449628997</v>
      </c>
      <c r="X356" s="20">
        <f t="shared" si="32"/>
        <v>0</v>
      </c>
      <c r="Y356" s="20">
        <f t="shared" si="32"/>
        <v>0.13440606857796394</v>
      </c>
      <c r="Z356" s="20">
        <f t="shared" si="32"/>
        <v>9.9003168952252821E-2</v>
      </c>
      <c r="AA356" s="20">
        <f t="shared" si="32"/>
        <v>0.46788268428988433</v>
      </c>
      <c r="AB356" s="20">
        <f t="shared" si="32"/>
        <v>0</v>
      </c>
      <c r="AC356" s="20">
        <f t="shared" si="32"/>
        <v>0.29062648461516927</v>
      </c>
      <c r="AD356" s="20">
        <f t="shared" si="32"/>
        <v>0.23557401236270767</v>
      </c>
      <c r="AE356" s="20">
        <f t="shared" si="32"/>
        <v>9.7896046512876686E-2</v>
      </c>
      <c r="AF356" s="20">
        <f t="shared" si="32"/>
        <v>1.3179588432600912E-2</v>
      </c>
      <c r="AG356" s="20">
        <f t="shared" si="32"/>
        <v>0.21087177485032729</v>
      </c>
      <c r="AH356" s="20">
        <f t="shared" si="32"/>
        <v>0.1115893221332156</v>
      </c>
      <c r="AI356" s="20">
        <f t="shared" si="32"/>
        <v>1.235231867347974E-2</v>
      </c>
      <c r="AJ356" s="20">
        <f t="shared" si="32"/>
        <v>9.360674843195757E-2</v>
      </c>
      <c r="AK356" s="20">
        <f t="shared" si="32"/>
        <v>0</v>
      </c>
      <c r="AL356" s="20">
        <f t="shared" si="32"/>
        <v>0</v>
      </c>
      <c r="AM356" s="20">
        <f>AM345/AM350</f>
        <v>0.14031898366454881</v>
      </c>
      <c r="AN356" s="20">
        <f>AN345/AN350</f>
        <v>0</v>
      </c>
      <c r="AO356" s="20">
        <f>AO345/AO350</f>
        <v>0.32908787509335241</v>
      </c>
      <c r="AP356" s="20">
        <f>AP345/AP350</f>
        <v>0</v>
      </c>
      <c r="AQ356" s="20">
        <f t="shared" ref="AQ356:AW356" si="33">AQ345/AQ350</f>
        <v>1.2905476040653688E-2</v>
      </c>
      <c r="AR356" s="20">
        <f t="shared" si="33"/>
        <v>0</v>
      </c>
      <c r="AS356" s="20">
        <f t="shared" si="33"/>
        <v>0.22667526724115442</v>
      </c>
      <c r="AT356" s="20" t="e">
        <f t="shared" si="33"/>
        <v>#DIV/0!</v>
      </c>
      <c r="AU356" s="20">
        <f t="shared" si="33"/>
        <v>0.32020458029948634</v>
      </c>
      <c r="AV356" s="20">
        <f t="shared" si="33"/>
        <v>0</v>
      </c>
      <c r="AW356" s="20">
        <f t="shared" si="33"/>
        <v>0</v>
      </c>
      <c r="AX356" s="20">
        <f>AX345/AX350</f>
        <v>0</v>
      </c>
      <c r="AY356" s="20">
        <f t="shared" ref="AY356:BI356" si="34">AY345/AY350</f>
        <v>0.47653018288829418</v>
      </c>
      <c r="AZ356" s="20">
        <f t="shared" si="34"/>
        <v>2.8510586594670817E-2</v>
      </c>
      <c r="BA356" s="20">
        <f t="shared" si="34"/>
        <v>0</v>
      </c>
      <c r="BB356" s="20">
        <f t="shared" si="34"/>
        <v>0.31829960921227396</v>
      </c>
      <c r="BC356" s="20">
        <f t="shared" si="34"/>
        <v>0.61410326668528348</v>
      </c>
      <c r="BD356" s="20">
        <f t="shared" si="34"/>
        <v>2.9451465606786738E-2</v>
      </c>
      <c r="BE356" s="20">
        <f t="shared" si="34"/>
        <v>0.32582109218027239</v>
      </c>
      <c r="BF356" s="20">
        <f t="shared" si="34"/>
        <v>0.32582109218027239</v>
      </c>
      <c r="BG356" s="20">
        <f t="shared" si="34"/>
        <v>2.9869766755588407E-2</v>
      </c>
      <c r="BH356" s="20">
        <f t="shared" si="34"/>
        <v>0.10327790997966538</v>
      </c>
      <c r="BI356" s="20">
        <f t="shared" si="34"/>
        <v>0.66481702055967562</v>
      </c>
      <c r="BJ356" s="21"/>
    </row>
    <row r="357" spans="1:62" x14ac:dyDescent="0.3">
      <c r="A357" t="s">
        <v>611</v>
      </c>
      <c r="E357" s="20">
        <f t="shared" ref="E357:AL357" si="35">E346/E350</f>
        <v>0.15211146939175449</v>
      </c>
      <c r="F357" s="20">
        <f t="shared" si="35"/>
        <v>0.29014193454674764</v>
      </c>
      <c r="G357" s="20">
        <f t="shared" si="35"/>
        <v>4.5097578405131118E-4</v>
      </c>
      <c r="H357" s="20">
        <f t="shared" si="35"/>
        <v>2.2811799295774437E-2</v>
      </c>
      <c r="I357" s="20">
        <f t="shared" si="35"/>
        <v>6.4416901521615125E-2</v>
      </c>
      <c r="J357" s="20">
        <f t="shared" si="35"/>
        <v>4.3831314166892156E-4</v>
      </c>
      <c r="K357" s="20">
        <f t="shared" si="35"/>
        <v>0</v>
      </c>
      <c r="L357" s="20">
        <f t="shared" si="35"/>
        <v>0.35113626338523846</v>
      </c>
      <c r="M357" s="20">
        <f t="shared" si="35"/>
        <v>6.6664449117897318E-2</v>
      </c>
      <c r="N357" s="20">
        <f>N346/N350</f>
        <v>0</v>
      </c>
      <c r="O357" s="20">
        <f t="shared" si="35"/>
        <v>0.15828017587572268</v>
      </c>
      <c r="P357" s="20">
        <f t="shared" si="35"/>
        <v>1.4462018109306456E-3</v>
      </c>
      <c r="Q357" s="20">
        <f t="shared" si="35"/>
        <v>5.7870365119981233E-2</v>
      </c>
      <c r="R357" s="20">
        <f t="shared" si="35"/>
        <v>5.321118058645353E-3</v>
      </c>
      <c r="S357" s="20">
        <f t="shared" si="35"/>
        <v>0.28982672584871405</v>
      </c>
      <c r="T357" s="20">
        <f t="shared" si="35"/>
        <v>0</v>
      </c>
      <c r="U357" s="20">
        <f t="shared" si="35"/>
        <v>0</v>
      </c>
      <c r="V357" s="20">
        <f t="shared" si="35"/>
        <v>7.9832812730523954E-4</v>
      </c>
      <c r="W357" s="20">
        <f t="shared" si="35"/>
        <v>0.11184471764412098</v>
      </c>
      <c r="X357" s="20">
        <f t="shared" si="35"/>
        <v>0.80920451775141256</v>
      </c>
      <c r="Y357" s="20">
        <f t="shared" si="35"/>
        <v>0.28968053416709943</v>
      </c>
      <c r="Z357" s="20">
        <f t="shared" si="35"/>
        <v>0.35851641784868837</v>
      </c>
      <c r="AA357" s="20">
        <f t="shared" si="35"/>
        <v>7.6612858068467236E-4</v>
      </c>
      <c r="AB357" s="20">
        <f t="shared" si="35"/>
        <v>0.1624294261741516</v>
      </c>
      <c r="AC357" s="20">
        <f t="shared" si="35"/>
        <v>0.31088437967465765</v>
      </c>
      <c r="AD357" s="20">
        <f t="shared" si="35"/>
        <v>0.28480531390740299</v>
      </c>
      <c r="AE357" s="20">
        <f t="shared" si="35"/>
        <v>0.26683950947138785</v>
      </c>
      <c r="AF357" s="20">
        <f t="shared" si="35"/>
        <v>0.64165649677568526</v>
      </c>
      <c r="AG357" s="20">
        <f t="shared" si="35"/>
        <v>0.28384003786377421</v>
      </c>
      <c r="AH357" s="20">
        <f t="shared" si="35"/>
        <v>0.29751873120248823</v>
      </c>
      <c r="AI357" s="20">
        <f t="shared" si="35"/>
        <v>0.61510004037934629</v>
      </c>
      <c r="AJ357" s="20">
        <f t="shared" si="35"/>
        <v>0.38044496737713224</v>
      </c>
      <c r="AK357" s="20">
        <f t="shared" si="35"/>
        <v>0.20449514812430813</v>
      </c>
      <c r="AL357" s="20">
        <f t="shared" si="35"/>
        <v>0.20441991963053063</v>
      </c>
      <c r="AM357" s="20">
        <f>AM346/AM350</f>
        <v>0</v>
      </c>
      <c r="AN357" s="20">
        <f>AN346/AN350</f>
        <v>0.20408944487606914</v>
      </c>
      <c r="AO357" s="20">
        <f>AO346/AO350</f>
        <v>0.30547835681625773</v>
      </c>
      <c r="AP357" s="20">
        <f>AP346/AP350</f>
        <v>0.89625334470871021</v>
      </c>
      <c r="AQ357" s="20">
        <f t="shared" ref="AQ357:AW357" si="36">AQ346/AQ350</f>
        <v>0.64281204805532366</v>
      </c>
      <c r="AR357" s="20">
        <f t="shared" si="36"/>
        <v>0.9024937893462962</v>
      </c>
      <c r="AS357" s="20">
        <f t="shared" si="36"/>
        <v>0.24091447413276212</v>
      </c>
      <c r="AT357" s="20" t="e">
        <f t="shared" si="36"/>
        <v>#DIV/0!</v>
      </c>
      <c r="AU357" s="20">
        <f t="shared" si="36"/>
        <v>0.12664795956035646</v>
      </c>
      <c r="AV357" s="20">
        <f t="shared" si="36"/>
        <v>0.8998517660498323</v>
      </c>
      <c r="AW357" s="20">
        <f t="shared" si="36"/>
        <v>0.88890144976076302</v>
      </c>
      <c r="AX357" s="20">
        <f>AX346/AX350</f>
        <v>0.78683405849373578</v>
      </c>
      <c r="AY357" s="20">
        <f t="shared" ref="AY357:BI357" si="37">AY346/AY350</f>
        <v>0.17571863782677721</v>
      </c>
      <c r="AZ357" s="20">
        <f t="shared" si="37"/>
        <v>0.84693701542815469</v>
      </c>
      <c r="BA357" s="20">
        <f t="shared" si="37"/>
        <v>0.80806542619484611</v>
      </c>
      <c r="BB357" s="20">
        <f t="shared" si="37"/>
        <v>0.30443170428794786</v>
      </c>
      <c r="BC357" s="20">
        <f t="shared" si="37"/>
        <v>4.2965465691530293E-4</v>
      </c>
      <c r="BD357" s="20">
        <f t="shared" si="37"/>
        <v>0.82066532732738806</v>
      </c>
      <c r="BE357" s="20">
        <f t="shared" si="37"/>
        <v>0.3087861521160139</v>
      </c>
      <c r="BF357" s="20">
        <f t="shared" si="37"/>
        <v>0.3087861521160139</v>
      </c>
      <c r="BG357" s="20">
        <f t="shared" si="37"/>
        <v>0.83232137797894523</v>
      </c>
      <c r="BH357" s="20">
        <f t="shared" si="37"/>
        <v>0.24972546611069438</v>
      </c>
      <c r="BI357" s="20">
        <f t="shared" si="37"/>
        <v>4.6070818243251185E-4</v>
      </c>
      <c r="BJ357" s="21"/>
    </row>
    <row r="358" spans="1:62" x14ac:dyDescent="0.3">
      <c r="A358" t="s">
        <v>612</v>
      </c>
      <c r="E358" s="20">
        <f t="shared" ref="E358:AL358" si="38">E347/E350</f>
        <v>8.6809443988002569E-2</v>
      </c>
      <c r="F358" s="20">
        <f t="shared" si="38"/>
        <v>3.9162199011032586E-2</v>
      </c>
      <c r="G358" s="20">
        <f t="shared" si="38"/>
        <v>8.4584905425560117E-2</v>
      </c>
      <c r="H358" s="20">
        <f t="shared" si="38"/>
        <v>0.88879845174133332</v>
      </c>
      <c r="I358" s="20">
        <f t="shared" si="38"/>
        <v>8.3031429769762494E-2</v>
      </c>
      <c r="J358" s="20">
        <f t="shared" si="38"/>
        <v>0.1073527236621499</v>
      </c>
      <c r="K358" s="20">
        <f t="shared" si="38"/>
        <v>5.40023746782686E-2</v>
      </c>
      <c r="L358" s="20">
        <f t="shared" si="38"/>
        <v>5.5048828484844527E-2</v>
      </c>
      <c r="M358" s="20">
        <f t="shared" si="38"/>
        <v>0.1198489541584032</v>
      </c>
      <c r="N358" s="20">
        <f>N347/N350</f>
        <v>0</v>
      </c>
      <c r="O358" s="20">
        <f t="shared" si="38"/>
        <v>0</v>
      </c>
      <c r="P358" s="20">
        <f t="shared" si="38"/>
        <v>0.11137059850021035</v>
      </c>
      <c r="Q358" s="20">
        <f t="shared" si="38"/>
        <v>0</v>
      </c>
      <c r="R358" s="20">
        <f t="shared" si="38"/>
        <v>1.9072907941564713E-3</v>
      </c>
      <c r="S358" s="20">
        <f t="shared" si="38"/>
        <v>-1.1824443603744579E-2</v>
      </c>
      <c r="T358" s="20">
        <f t="shared" si="38"/>
        <v>0</v>
      </c>
      <c r="U358" s="20">
        <f t="shared" si="38"/>
        <v>1.4956003764537392E-2</v>
      </c>
      <c r="V358" s="20">
        <f t="shared" si="38"/>
        <v>0.13393226302642183</v>
      </c>
      <c r="W358" s="20">
        <f t="shared" si="38"/>
        <v>0.11691728649400686</v>
      </c>
      <c r="X358" s="20">
        <f t="shared" si="38"/>
        <v>0</v>
      </c>
      <c r="Y358" s="20">
        <f t="shared" si="38"/>
        <v>9.6039600718761969E-2</v>
      </c>
      <c r="Z358" s="20">
        <f t="shared" si="38"/>
        <v>0</v>
      </c>
      <c r="AA358" s="20">
        <f t="shared" si="38"/>
        <v>6.1934694995126591E-2</v>
      </c>
      <c r="AB358" s="20">
        <f t="shared" si="38"/>
        <v>-3.4346821261146091E-5</v>
      </c>
      <c r="AC358" s="20">
        <f t="shared" si="38"/>
        <v>4.2687729554596321E-2</v>
      </c>
      <c r="AD358" s="20">
        <f t="shared" si="38"/>
        <v>0</v>
      </c>
      <c r="AE358" s="20">
        <f t="shared" si="38"/>
        <v>0.11020542296570526</v>
      </c>
      <c r="AF358" s="20">
        <f t="shared" si="38"/>
        <v>-1.6882673920265521E-2</v>
      </c>
      <c r="AG358" s="20">
        <f t="shared" si="38"/>
        <v>3.1703449464664725E-2</v>
      </c>
      <c r="AH358" s="20">
        <f t="shared" si="38"/>
        <v>9.1721587659066836E-2</v>
      </c>
      <c r="AI358" s="20">
        <f t="shared" si="38"/>
        <v>1.7453664972903904E-2</v>
      </c>
      <c r="AJ358" s="20">
        <f t="shared" si="38"/>
        <v>2.8273541892891072E-5</v>
      </c>
      <c r="AK358" s="20">
        <f t="shared" si="38"/>
        <v>4.3887384252617032E-5</v>
      </c>
      <c r="AL358" s="20">
        <f t="shared" si="38"/>
        <v>1.9220533877162072E-5</v>
      </c>
      <c r="AM358" s="20">
        <f>AM347/AM350</f>
        <v>1.5330039797231132E-2</v>
      </c>
      <c r="AN358" s="20">
        <f>AN347/AN350</f>
        <v>7.3870848859065961E-5</v>
      </c>
      <c r="AO358" s="20">
        <f>AO347/AO350</f>
        <v>-1.3585194696756746E-2</v>
      </c>
      <c r="AP358" s="20">
        <f>AP347/AP350</f>
        <v>0</v>
      </c>
      <c r="AQ358" s="20">
        <f t="shared" ref="AQ358:AW358" si="39">AQ347/AQ350</f>
        <v>-8.0172094421778299E-3</v>
      </c>
      <c r="AR358" s="20">
        <f t="shared" si="39"/>
        <v>0</v>
      </c>
      <c r="AS358" s="20">
        <f t="shared" si="39"/>
        <v>-1.0438531097445839E-2</v>
      </c>
      <c r="AT358" s="20" t="e">
        <f t="shared" si="39"/>
        <v>#DIV/0!</v>
      </c>
      <c r="AU358" s="20">
        <f t="shared" si="39"/>
        <v>-3.145723785207253E-3</v>
      </c>
      <c r="AV358" s="20">
        <f t="shared" si="39"/>
        <v>0</v>
      </c>
      <c r="AW358" s="20">
        <f t="shared" si="39"/>
        <v>0</v>
      </c>
      <c r="AX358" s="20">
        <f>AX347/AX350</f>
        <v>0</v>
      </c>
      <c r="AY358" s="20">
        <f t="shared" ref="AY358:BI358" si="40">AY347/AY350</f>
        <v>0</v>
      </c>
      <c r="AZ358" s="20">
        <f t="shared" si="40"/>
        <v>0</v>
      </c>
      <c r="BA358" s="20">
        <f t="shared" si="40"/>
        <v>0</v>
      </c>
      <c r="BB358" s="20">
        <f t="shared" si="40"/>
        <v>-1.3136735062289842E-2</v>
      </c>
      <c r="BC358" s="20">
        <f t="shared" si="40"/>
        <v>0</v>
      </c>
      <c r="BD358" s="20">
        <f t="shared" si="40"/>
        <v>0</v>
      </c>
      <c r="BE358" s="20">
        <f t="shared" si="40"/>
        <v>-1.3720010347845786E-2</v>
      </c>
      <c r="BF358" s="20">
        <f t="shared" si="40"/>
        <v>-1.3720010347845786E-2</v>
      </c>
      <c r="BG358" s="20">
        <f t="shared" si="40"/>
        <v>0</v>
      </c>
      <c r="BH358" s="20">
        <f t="shared" si="40"/>
        <v>0</v>
      </c>
      <c r="BI358" s="20">
        <f t="shared" si="40"/>
        <v>0</v>
      </c>
      <c r="BJ358" s="21"/>
    </row>
    <row r="359" spans="1:62" x14ac:dyDescent="0.3">
      <c r="A359" t="s">
        <v>613</v>
      </c>
      <c r="E359" s="20">
        <f t="shared" ref="E359:M359" si="41">E348/E350</f>
        <v>0.21954072783093742</v>
      </c>
      <c r="F359" s="20">
        <f t="shared" si="41"/>
        <v>7.7350270907117824E-2</v>
      </c>
      <c r="G359" s="20">
        <f t="shared" si="41"/>
        <v>7.2070023573517134E-2</v>
      </c>
      <c r="H359" s="20">
        <f t="shared" si="41"/>
        <v>2.6480584763289915E-2</v>
      </c>
      <c r="I359" s="20">
        <f t="shared" si="41"/>
        <v>7.5742430538264238E-2</v>
      </c>
      <c r="J359" s="20">
        <f t="shared" si="41"/>
        <v>7.1586595224535005E-2</v>
      </c>
      <c r="K359" s="20">
        <f t="shared" si="41"/>
        <v>6.8107902154127167E-2</v>
      </c>
      <c r="L359" s="20">
        <f t="shared" si="41"/>
        <v>0.24487298301520352</v>
      </c>
      <c r="M359" s="20">
        <f t="shared" si="41"/>
        <v>0.19431597883585452</v>
      </c>
      <c r="N359" s="20">
        <f>N348/N350</f>
        <v>-4.0643283103083207E-4</v>
      </c>
      <c r="O359" s="20">
        <f t="shared" ref="O359:AL359" si="42">O348/O350</f>
        <v>-1.2654767112089032E-2</v>
      </c>
      <c r="P359" s="20">
        <f t="shared" si="42"/>
        <v>6.5559319477723046E-2</v>
      </c>
      <c r="Q359" s="20">
        <f t="shared" si="42"/>
        <v>2.5618148714710172E-3</v>
      </c>
      <c r="R359" s="20">
        <f t="shared" si="42"/>
        <v>4.1383518140559052E-2</v>
      </c>
      <c r="S359" s="20">
        <f t="shared" si="42"/>
        <v>4.4718034502805933E-2</v>
      </c>
      <c r="T359" s="20">
        <f t="shared" si="42"/>
        <v>-8.845828533765661E-4</v>
      </c>
      <c r="U359" s="20">
        <f t="shared" si="42"/>
        <v>7.0352090464622097E-2</v>
      </c>
      <c r="V359" s="20">
        <f t="shared" si="42"/>
        <v>6.812328938106571E-2</v>
      </c>
      <c r="W359" s="20">
        <f t="shared" si="42"/>
        <v>8.0969008632990849E-2</v>
      </c>
      <c r="X359" s="20">
        <f t="shared" si="42"/>
        <v>-2.222507517437607E-3</v>
      </c>
      <c r="Y359" s="20">
        <f t="shared" si="42"/>
        <v>0.15825235266581297</v>
      </c>
      <c r="Z359" s="20">
        <f t="shared" si="42"/>
        <v>-1.2498174037892502E-2</v>
      </c>
      <c r="AA359" s="20">
        <f t="shared" si="42"/>
        <v>7.2283444288870097E-2</v>
      </c>
      <c r="AB359" s="20">
        <f t="shared" si="42"/>
        <v>-7.221554689891569E-3</v>
      </c>
      <c r="AC359" s="20">
        <f t="shared" si="42"/>
        <v>6.4659820840306775E-2</v>
      </c>
      <c r="AD359" s="20">
        <f t="shared" si="42"/>
        <v>-3.4947526180103463E-3</v>
      </c>
      <c r="AE359" s="20">
        <f t="shared" si="42"/>
        <v>0.2140847338128386</v>
      </c>
      <c r="AF359" s="20">
        <f t="shared" si="42"/>
        <v>4.2762309884814775E-2</v>
      </c>
      <c r="AG359" s="20">
        <f t="shared" si="42"/>
        <v>-4.593384762483302E-3</v>
      </c>
      <c r="AH359" s="20">
        <f t="shared" si="42"/>
        <v>0.23157903548091732</v>
      </c>
      <c r="AI359" s="20">
        <f t="shared" si="42"/>
        <v>5.4340829496036254E-2</v>
      </c>
      <c r="AJ359" s="20">
        <f t="shared" si="42"/>
        <v>-1.2421541300961779E-2</v>
      </c>
      <c r="AK359" s="20">
        <f t="shared" si="42"/>
        <v>-3.1009115075219099E-2</v>
      </c>
      <c r="AL359" s="20">
        <f t="shared" si="42"/>
        <v>-3.1069200105896283E-2</v>
      </c>
      <c r="AM359" s="20">
        <f>AM348/AM350</f>
        <v>6.8799896478249162E-2</v>
      </c>
      <c r="AN359" s="20">
        <f>AN348/AN350</f>
        <v>-3.1170818525890976E-2</v>
      </c>
      <c r="AO359" s="20">
        <f>AO348/AO350</f>
        <v>3.3573776190626681E-2</v>
      </c>
      <c r="AP359" s="20">
        <f>AP348/AP350</f>
        <v>-5.9657561585904422E-6</v>
      </c>
      <c r="AQ359" s="20">
        <f t="shared" ref="AQ359:AW359" si="43">AQ348/AQ350</f>
        <v>2.766872240904418E-2</v>
      </c>
      <c r="AR359" s="20">
        <f t="shared" si="43"/>
        <v>-2.1378608170993411E-4</v>
      </c>
      <c r="AS359" s="20">
        <f t="shared" si="43"/>
        <v>4.5522814576346424E-2</v>
      </c>
      <c r="AT359" s="20" t="e">
        <f t="shared" si="43"/>
        <v>#DIV/0!</v>
      </c>
      <c r="AU359" s="20">
        <f t="shared" si="43"/>
        <v>2.1358202893619716E-2</v>
      </c>
      <c r="AV359" s="20">
        <f t="shared" si="43"/>
        <v>2.9514928847337635E-4</v>
      </c>
      <c r="AW359" s="20">
        <f t="shared" si="43"/>
        <v>-3.0674831190787504E-4</v>
      </c>
      <c r="AX359" s="20">
        <f>AX348/AX350</f>
        <v>-1.814021477915637E-3</v>
      </c>
      <c r="AY359" s="20">
        <f t="shared" ref="AY359:BI359" si="44">AY348/AY350</f>
        <v>4.2289411146478495E-2</v>
      </c>
      <c r="AZ359" s="20">
        <f t="shared" si="44"/>
        <v>6.5558220415871116E-2</v>
      </c>
      <c r="BA359" s="20">
        <f t="shared" si="44"/>
        <v>-2.1199106142949314E-3</v>
      </c>
      <c r="BB359" s="20">
        <f t="shared" si="44"/>
        <v>3.2685968650966027E-2</v>
      </c>
      <c r="BC359" s="20">
        <f t="shared" si="44"/>
        <v>3.6267382865614421E-2</v>
      </c>
      <c r="BD359" s="20">
        <f t="shared" si="44"/>
        <v>6.7987062830212303E-2</v>
      </c>
      <c r="BE359" s="20">
        <f t="shared" si="44"/>
        <v>3.2558719333448616E-2</v>
      </c>
      <c r="BF359" s="20">
        <f t="shared" si="44"/>
        <v>3.2558719333448616E-2</v>
      </c>
      <c r="BG359" s="20">
        <f t="shared" si="44"/>
        <v>6.8842978024573648E-2</v>
      </c>
      <c r="BH359" s="20">
        <f t="shared" si="44"/>
        <v>-1.1537654572351052E-2</v>
      </c>
      <c r="BI359" s="20">
        <f t="shared" si="44"/>
        <v>3.9648157198240157E-2</v>
      </c>
      <c r="BJ359" s="21"/>
    </row>
    <row r="360" spans="1:62" x14ac:dyDescent="0.3">
      <c r="A360" s="21" t="s">
        <v>696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</row>
  </sheetData>
  <mergeCells count="3">
    <mergeCell ref="A1:BI1"/>
    <mergeCell ref="BJ2:BJ359"/>
    <mergeCell ref="A360:BI360"/>
  </mergeCells>
  <conditionalFormatting sqref="A17:A33">
    <cfRule type="cellIs" dxfId="3" priority="17" stopIfTrue="1" operator="lessThan">
      <formula>0</formula>
    </cfRule>
  </conditionalFormatting>
  <conditionalFormatting sqref="B23:B33">
    <cfRule type="cellIs" dxfId="2" priority="26" stopIfTrue="1" operator="lessThan">
      <formula>0</formula>
    </cfRule>
  </conditionalFormatting>
  <conditionalFormatting sqref="C16:D24">
    <cfRule type="cellIs" dxfId="1" priority="18" stopIfTrue="1" operator="lessThan">
      <formula>0</formula>
    </cfRule>
  </conditionalFormatting>
  <conditionalFormatting sqref="E15:BI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BBF15B13-7AAB-445C-97C2-A55EBF8853B9}"/>
</file>

<file path=customXml/itemProps2.xml><?xml version="1.0" encoding="utf-8"?>
<ds:datastoreItem xmlns:ds="http://schemas.openxmlformats.org/officeDocument/2006/customXml" ds:itemID="{5C363D8F-BD7F-4FF8-A326-536666058CF2}"/>
</file>

<file path=customXml/itemProps3.xml><?xml version="1.0" encoding="utf-8"?>
<ds:datastoreItem xmlns:ds="http://schemas.openxmlformats.org/officeDocument/2006/customXml" ds:itemID="{A9F2EEF6-AE33-4700-AF9A-77A7DAA89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2/2025</dc:title>
  <dc:creator>פרידמן אמיר</dc:creator>
  <cp:lastModifiedBy>Silvi Cohen</cp:lastModifiedBy>
  <dcterms:created xsi:type="dcterms:W3CDTF">2025-03-18T13:17:32Z</dcterms:created>
  <dcterms:modified xsi:type="dcterms:W3CDTF">2025-03-20T10:44:21Z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