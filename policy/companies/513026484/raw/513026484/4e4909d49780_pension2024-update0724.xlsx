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C:\Users\ush67110\Downloads\"/>
    </mc:Choice>
  </mc:AlternateContent>
  <xr:revisionPtr revIDLastSave="0" documentId="8_{43C88C65-D700-4A73-82A3-3C6BCE78E6EE}" xr6:coauthVersionLast="36" xr6:coauthVersionMax="36" xr10:uidLastSave="{00000000-0000-0000-0000-000000000000}"/>
  <bookViews>
    <workbookView xWindow="0" yWindow="0" windowWidth="28800" windowHeight="12255" tabRatio="886" xr2:uid="{00000000-000D-0000-FFFF-FFFF00000000}"/>
  </bookViews>
  <sheets>
    <sheet name="פנסיה מקיפה תלוי גיל" sheetId="14" r:id="rId1"/>
    <sheet name="פנסיה תלוי גיל פאסיבי" sheetId="20" state="hidden" r:id="rId2"/>
    <sheet name="מקיפה - אשכול 1 - אקטיבי" sheetId="32" r:id="rId3"/>
    <sheet name="מקיפה - אשכול 3 סחיר" sheetId="27" r:id="rId4"/>
    <sheet name="מקיפה- אשכול 4 - עוקב מדדים" sheetId="28" r:id="rId5"/>
    <sheet name="מקיפה אשכול 5 - הלכה" sheetId="16" r:id="rId6"/>
    <sheet name="מקיפה - מסלול השקעה למקבלי קצבה" sheetId="33" r:id="rId7"/>
    <sheet name="פנסיה מקיפה - מסלולים מתמחים" sheetId="21" state="hidden" r:id="rId8"/>
    <sheet name="פנסיה משלימה תלוי גיל" sheetId="15" r:id="rId9"/>
    <sheet name="משלימה - אשכול 1 - אקטיבי" sheetId="34" r:id="rId10"/>
    <sheet name="משלימה - אשכול 3 - סחיר" sheetId="30" r:id="rId11"/>
    <sheet name="משלימה - אשכול 4 - עוקב מדדים" sheetId="31" r:id="rId12"/>
    <sheet name="משלימה - אשכול 5 - אמונה" sheetId="22" r:id="rId13"/>
    <sheet name="מקיפה-פנסיונרים עד 31.12.17" sheetId="8" state="hidden" r:id="rId14"/>
    <sheet name="מקיפה-פנסיונרים זכאים" sheetId="9" state="hidden" r:id="rId15"/>
    <sheet name="מקיפה-פנסיונרים החל מ-1.1.18" sheetId="17" state="hidden" r:id="rId16"/>
    <sheet name="משלימה - מסלו השקעה למקבלי קצבה" sheetId="18" r:id="rId17"/>
    <sheet name="פנסיית יסוד" sheetId="12" r:id="rId18"/>
    <sheet name="עמיתי דור ביניים" sheetId="29" r:id="rId19"/>
    <sheet name="מגן" sheetId="23" r:id="rId20"/>
    <sheet name="קרן גמלאות של עורכי דין" sheetId="24" r:id="rId21"/>
  </sheets>
  <definedNames>
    <definedName name="_xlnm.Print_Area" localSheetId="19">מגן!$A$3:$F$12</definedName>
    <definedName name="_xlnm.Print_Area" localSheetId="15">'מקיפה-פנסיונרים החל מ-1.1.18'!$A$1:$F$17</definedName>
    <definedName name="_xlnm.Print_Area" localSheetId="14">'מקיפה-פנסיונרים זכאים'!$A$1:$F$17</definedName>
    <definedName name="_xlnm.Print_Area" localSheetId="13">'מקיפה-פנסיונרים עד 31.12.17'!$A$1:$F$17</definedName>
    <definedName name="_xlnm.Print_Area" localSheetId="2">'מקיפה - אשכול 1 - אקטיבי'!$A$1:$E$3</definedName>
    <definedName name="_xlnm.Print_Area" localSheetId="3">'מקיפה - אשכול 3 סחיר'!$A$1:$F$15</definedName>
    <definedName name="_xlnm.Print_Area" localSheetId="6">'מקיפה - מסלול השקעה למקבלי קצבה'!#REF!</definedName>
    <definedName name="_xlnm.Print_Area" localSheetId="5">'מקיפה אשכול 5 - הלכה'!$B$1:$F$16</definedName>
    <definedName name="_xlnm.Print_Area" localSheetId="9">'משלימה - אשכול 1 - אקטיבי'!#REF!</definedName>
    <definedName name="_xlnm.Print_Area" localSheetId="10">'משלימה - אשכול 3 - סחיר'!$A$1:$F$13</definedName>
    <definedName name="_xlnm.Print_Area" localSheetId="12">'משלימה - אשכול 5 - אמונה'!#REF!</definedName>
    <definedName name="_xlnm.Print_Area" localSheetId="16">'משלימה - מסלו השקעה למקבלי קצבה'!$A$1:$E$17</definedName>
    <definedName name="_xlnm.Print_Area" localSheetId="18">'עמיתי דור ביניים'!$A$1:$F$18</definedName>
    <definedName name="_xlnm.Print_Area" localSheetId="7">'פנסיה מקיפה - מסלולים מתמחים'!#REF!</definedName>
    <definedName name="_xlnm.Print_Area" localSheetId="0">'פנסיה מקיפה תלוי גיל'!$B$1:$F$51</definedName>
    <definedName name="_xlnm.Print_Area" localSheetId="8">'פנסיה משלימה תלוי גיל'!$B$1:$F$41</definedName>
    <definedName name="_xlnm.Print_Area" localSheetId="17">'פנסיית יסוד'!$A$1:$F$19</definedName>
    <definedName name="_xlnm.Print_Area" localSheetId="20">'קרן גמלאות של עורכי דין'!$A$3:$F$12</definedName>
    <definedName name="Z_1E7BC9D9_4D0B_4817_A4C3_8EF85EF5043F_.wvu.Cols" localSheetId="19" hidden="1">מגן!$B:$B</definedName>
    <definedName name="Z_1E7BC9D9_4D0B_4817_A4C3_8EF85EF5043F_.wvu.Cols" localSheetId="15" hidden="1">'מקיפה-פנסיונרים החל מ-1.1.18'!#REF!</definedName>
    <definedName name="Z_1E7BC9D9_4D0B_4817_A4C3_8EF85EF5043F_.wvu.Cols" localSheetId="14" hidden="1">'מקיפה-פנסיונרים זכאים'!$B:$B</definedName>
    <definedName name="Z_1E7BC9D9_4D0B_4817_A4C3_8EF85EF5043F_.wvu.Cols" localSheetId="13" hidden="1">'מקיפה-פנסיונרים עד 31.12.17'!$B:$B</definedName>
    <definedName name="Z_1E7BC9D9_4D0B_4817_A4C3_8EF85EF5043F_.wvu.Cols" localSheetId="2" hidden="1">'מקיפה - אשכול 1 - אקטיבי'!#REF!</definedName>
    <definedName name="Z_1E7BC9D9_4D0B_4817_A4C3_8EF85EF5043F_.wvu.Cols" localSheetId="3" hidden="1">'מקיפה - אשכול 3 סחיר'!#REF!</definedName>
    <definedName name="Z_1E7BC9D9_4D0B_4817_A4C3_8EF85EF5043F_.wvu.Cols" localSheetId="16" hidden="1">'משלימה - מסלו השקעה למקבלי קצבה'!#REF!</definedName>
    <definedName name="Z_1E7BC9D9_4D0B_4817_A4C3_8EF85EF5043F_.wvu.Cols" localSheetId="18" hidden="1">'עמיתי דור ביניים'!$B:$B</definedName>
    <definedName name="Z_1E7BC9D9_4D0B_4817_A4C3_8EF85EF5043F_.wvu.Cols" localSheetId="17" hidden="1">'פנסיית יסוד'!$B:$B</definedName>
    <definedName name="Z_1E7BC9D9_4D0B_4817_A4C3_8EF85EF5043F_.wvu.Cols" localSheetId="20" hidden="1">'קרן גמלאות של עורכי דין'!$B:$B</definedName>
    <definedName name="Z_1E7BC9D9_4D0B_4817_A4C3_8EF85EF5043F_.wvu.PrintArea" localSheetId="19" hidden="1">מגן!$A$1:$F$14</definedName>
    <definedName name="Z_1E7BC9D9_4D0B_4817_A4C3_8EF85EF5043F_.wvu.PrintArea" localSheetId="15" hidden="1">'מקיפה-פנסיונרים החל מ-1.1.18'!$B$1:$E$1</definedName>
    <definedName name="Z_1E7BC9D9_4D0B_4817_A4C3_8EF85EF5043F_.wvu.PrintArea" localSheetId="14" hidden="1">'מקיפה-פנסיונרים זכאים'!$A$1:$F$14</definedName>
    <definedName name="Z_1E7BC9D9_4D0B_4817_A4C3_8EF85EF5043F_.wvu.PrintArea" localSheetId="13" hidden="1">'מקיפה-פנסיונרים עד 31.12.17'!$B$1:$F$1</definedName>
    <definedName name="Z_1E7BC9D9_4D0B_4817_A4C3_8EF85EF5043F_.wvu.PrintArea" localSheetId="2" hidden="1">'מקיפה - אשכול 1 - אקטיבי'!$A$1:$E$3</definedName>
    <definedName name="Z_1E7BC9D9_4D0B_4817_A4C3_8EF85EF5043F_.wvu.PrintArea" localSheetId="3" hidden="1">'מקיפה - אשכול 3 סחיר'!$A$1:$F$13</definedName>
    <definedName name="Z_1E7BC9D9_4D0B_4817_A4C3_8EF85EF5043F_.wvu.PrintArea" localSheetId="16" hidden="1">'משלימה - מסלו השקעה למקבלי קצבה'!$A$1:$D$13</definedName>
    <definedName name="Z_1E7BC9D9_4D0B_4817_A4C3_8EF85EF5043F_.wvu.PrintArea" localSheetId="18" hidden="1">'עמיתי דור ביניים'!$A$1:$F$15</definedName>
    <definedName name="Z_1E7BC9D9_4D0B_4817_A4C3_8EF85EF5043F_.wvu.PrintArea" localSheetId="17" hidden="1">'פנסיית יסוד'!$A$1:$F$16</definedName>
    <definedName name="Z_1E7BC9D9_4D0B_4817_A4C3_8EF85EF5043F_.wvu.PrintArea" localSheetId="20" hidden="1">'קרן גמלאות של עורכי דין'!$A$1:$F$14</definedName>
    <definedName name="Z_1E7BC9D9_4D0B_4817_A4C3_8EF85EF5043F_.wvu.Rows" localSheetId="19" hidden="1">מגן!#REF!</definedName>
    <definedName name="Z_1E7BC9D9_4D0B_4817_A4C3_8EF85EF5043F_.wvu.Rows" localSheetId="15" hidden="1">'מקיפה-פנסיונרים החל מ-1.1.18'!#REF!</definedName>
    <definedName name="Z_1E7BC9D9_4D0B_4817_A4C3_8EF85EF5043F_.wvu.Rows" localSheetId="14" hidden="1">'מקיפה-פנסיונרים זכאים'!$5:$5</definedName>
    <definedName name="Z_1E7BC9D9_4D0B_4817_A4C3_8EF85EF5043F_.wvu.Rows" localSheetId="13" hidden="1">'מקיפה-פנסיונרים עד 31.12.17'!#REF!</definedName>
    <definedName name="Z_1E7BC9D9_4D0B_4817_A4C3_8EF85EF5043F_.wvu.Rows" localSheetId="2" hidden="1">'מקיפה - אשכול 1 - אקטיבי'!#REF!</definedName>
    <definedName name="Z_1E7BC9D9_4D0B_4817_A4C3_8EF85EF5043F_.wvu.Rows" localSheetId="3" hidden="1">'מקיפה - אשכול 3 סחיר'!#REF!</definedName>
    <definedName name="Z_1E7BC9D9_4D0B_4817_A4C3_8EF85EF5043F_.wvu.Rows" localSheetId="16" hidden="1">'משלימה - מסלו השקעה למקבלי קצבה'!$5:$5</definedName>
    <definedName name="Z_1E7BC9D9_4D0B_4817_A4C3_8EF85EF5043F_.wvu.Rows" localSheetId="18" hidden="1">'עמיתי דור ביניים'!#REF!</definedName>
    <definedName name="Z_1E7BC9D9_4D0B_4817_A4C3_8EF85EF5043F_.wvu.Rows" localSheetId="17" hidden="1">'פנסיית יסוד'!#REF!</definedName>
    <definedName name="Z_1E7BC9D9_4D0B_4817_A4C3_8EF85EF5043F_.wvu.Rows" localSheetId="20" hidden="1">'קרן גמלאות של עורכי דין'!#REF!</definedName>
    <definedName name="Z_3A5C5383_6F57_40E5_AD89_51555C7DA784_.wvu.Cols" localSheetId="19" hidden="1">מגן!$B:$B</definedName>
    <definedName name="Z_3A5C5383_6F57_40E5_AD89_51555C7DA784_.wvu.Cols" localSheetId="15" hidden="1">'מקיפה-פנסיונרים החל מ-1.1.18'!#REF!</definedName>
    <definedName name="Z_3A5C5383_6F57_40E5_AD89_51555C7DA784_.wvu.Cols" localSheetId="14" hidden="1">'מקיפה-פנסיונרים זכאים'!$B:$B</definedName>
    <definedName name="Z_3A5C5383_6F57_40E5_AD89_51555C7DA784_.wvu.Cols" localSheetId="13" hidden="1">'מקיפה-פנסיונרים עד 31.12.17'!$B:$B</definedName>
    <definedName name="Z_3A5C5383_6F57_40E5_AD89_51555C7DA784_.wvu.Cols" localSheetId="2" hidden="1">'מקיפה - אשכול 1 - אקטיבי'!#REF!</definedName>
    <definedName name="Z_3A5C5383_6F57_40E5_AD89_51555C7DA784_.wvu.Cols" localSheetId="3" hidden="1">'מקיפה - אשכול 3 סחיר'!#REF!</definedName>
    <definedName name="Z_3A5C5383_6F57_40E5_AD89_51555C7DA784_.wvu.Cols" localSheetId="16" hidden="1">'משלימה - מסלו השקעה למקבלי קצבה'!#REF!</definedName>
    <definedName name="Z_3A5C5383_6F57_40E5_AD89_51555C7DA784_.wvu.Cols" localSheetId="18" hidden="1">'עמיתי דור ביניים'!$B:$B</definedName>
    <definedName name="Z_3A5C5383_6F57_40E5_AD89_51555C7DA784_.wvu.Cols" localSheetId="17" hidden="1">'פנסיית יסוד'!$B:$B</definedName>
    <definedName name="Z_3A5C5383_6F57_40E5_AD89_51555C7DA784_.wvu.Cols" localSheetId="20" hidden="1">'קרן גמלאות של עורכי דין'!$B:$B</definedName>
    <definedName name="Z_3A5C5383_6F57_40E5_AD89_51555C7DA784_.wvu.PrintArea" localSheetId="19" hidden="1">מגן!$A$1:$F$14</definedName>
    <definedName name="Z_3A5C5383_6F57_40E5_AD89_51555C7DA784_.wvu.PrintArea" localSheetId="15" hidden="1">'מקיפה-פנסיונרים החל מ-1.1.18'!$B$1:$E$1</definedName>
    <definedName name="Z_3A5C5383_6F57_40E5_AD89_51555C7DA784_.wvu.PrintArea" localSheetId="14" hidden="1">'מקיפה-פנסיונרים זכאים'!$A$1:$F$14</definedName>
    <definedName name="Z_3A5C5383_6F57_40E5_AD89_51555C7DA784_.wvu.PrintArea" localSheetId="13" hidden="1">'מקיפה-פנסיונרים עד 31.12.17'!$B$1:$F$1</definedName>
    <definedName name="Z_3A5C5383_6F57_40E5_AD89_51555C7DA784_.wvu.PrintArea" localSheetId="2" hidden="1">'מקיפה - אשכול 1 - אקטיבי'!$A$1:$E$3</definedName>
    <definedName name="Z_3A5C5383_6F57_40E5_AD89_51555C7DA784_.wvu.PrintArea" localSheetId="3" hidden="1">'מקיפה - אשכול 3 סחיר'!$A$1:$F$13</definedName>
    <definedName name="Z_3A5C5383_6F57_40E5_AD89_51555C7DA784_.wvu.PrintArea" localSheetId="16" hidden="1">'משלימה - מסלו השקעה למקבלי קצבה'!$A$1:$D$13</definedName>
    <definedName name="Z_3A5C5383_6F57_40E5_AD89_51555C7DA784_.wvu.PrintArea" localSheetId="18" hidden="1">'עמיתי דור ביניים'!$A$1:$F$15</definedName>
    <definedName name="Z_3A5C5383_6F57_40E5_AD89_51555C7DA784_.wvu.PrintArea" localSheetId="17" hidden="1">'פנסיית יסוד'!$A$1:$F$16</definedName>
    <definedName name="Z_3A5C5383_6F57_40E5_AD89_51555C7DA784_.wvu.PrintArea" localSheetId="20" hidden="1">'קרן גמלאות של עורכי דין'!$A$1:$F$14</definedName>
    <definedName name="Z_3A5C5383_6F57_40E5_AD89_51555C7DA784_.wvu.Rows" localSheetId="19" hidden="1">מגן!#REF!</definedName>
    <definedName name="Z_3A5C5383_6F57_40E5_AD89_51555C7DA784_.wvu.Rows" localSheetId="15" hidden="1">'מקיפה-פנסיונרים החל מ-1.1.18'!#REF!</definedName>
    <definedName name="Z_3A5C5383_6F57_40E5_AD89_51555C7DA784_.wvu.Rows" localSheetId="14" hidden="1">'מקיפה-פנסיונרים זכאים'!$5:$5</definedName>
    <definedName name="Z_3A5C5383_6F57_40E5_AD89_51555C7DA784_.wvu.Rows" localSheetId="13" hidden="1">'מקיפה-פנסיונרים עד 31.12.17'!#REF!</definedName>
    <definedName name="Z_3A5C5383_6F57_40E5_AD89_51555C7DA784_.wvu.Rows" localSheetId="2" hidden="1">'מקיפה - אשכול 1 - אקטיבי'!#REF!</definedName>
    <definedName name="Z_3A5C5383_6F57_40E5_AD89_51555C7DA784_.wvu.Rows" localSheetId="3" hidden="1">'מקיפה - אשכול 3 סחיר'!#REF!</definedName>
    <definedName name="Z_3A5C5383_6F57_40E5_AD89_51555C7DA784_.wvu.Rows" localSheetId="16" hidden="1">'משלימה - מסלו השקעה למקבלי קצבה'!$5:$5</definedName>
    <definedName name="Z_3A5C5383_6F57_40E5_AD89_51555C7DA784_.wvu.Rows" localSheetId="18" hidden="1">'עמיתי דור ביניים'!#REF!</definedName>
    <definedName name="Z_3A5C5383_6F57_40E5_AD89_51555C7DA784_.wvu.Rows" localSheetId="17" hidden="1">'פנסיית יסוד'!#REF!</definedName>
    <definedName name="Z_3A5C5383_6F57_40E5_AD89_51555C7DA784_.wvu.Rows" localSheetId="20" hidden="1">'קרן גמלאות של עורכי דין'!#REF!</definedName>
  </definedNames>
  <calcPr calcId="191029" iterate="1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34" l="1"/>
  <c r="H17" i="34"/>
  <c r="G20" i="34"/>
  <c r="H20" i="34"/>
  <c r="H16" i="34"/>
  <c r="G16" i="34"/>
  <c r="E19" i="34"/>
  <c r="F13" i="18" l="1"/>
  <c r="E13" i="18"/>
  <c r="E7" i="18"/>
  <c r="F7" i="18"/>
  <c r="E8" i="18"/>
  <c r="F8" i="18"/>
  <c r="E9" i="18"/>
  <c r="F9" i="18"/>
  <c r="E10" i="18"/>
  <c r="F10" i="18"/>
  <c r="F6" i="18"/>
  <c r="E6" i="18"/>
  <c r="F11" i="31"/>
  <c r="E11" i="31"/>
  <c r="E7" i="31"/>
  <c r="F7" i="31"/>
  <c r="E8" i="31"/>
  <c r="F8" i="31"/>
  <c r="F6" i="31"/>
  <c r="E6" i="31"/>
  <c r="H32" i="34"/>
  <c r="G32" i="34"/>
  <c r="H29" i="34"/>
  <c r="H28" i="34"/>
  <c r="H27" i="34"/>
  <c r="G27" i="34"/>
  <c r="H9" i="34"/>
  <c r="G9" i="34"/>
  <c r="H6" i="34"/>
  <c r="G6" i="34"/>
  <c r="H5" i="34"/>
  <c r="G5" i="34"/>
  <c r="G38" i="15"/>
  <c r="F38" i="15"/>
  <c r="F33" i="15"/>
  <c r="G33" i="15"/>
  <c r="F34" i="15"/>
  <c r="G34" i="15"/>
  <c r="F35" i="15"/>
  <c r="G35" i="15"/>
  <c r="G32" i="15"/>
  <c r="F32" i="15"/>
  <c r="G25" i="15"/>
  <c r="F25" i="15"/>
  <c r="F20" i="15"/>
  <c r="G20" i="15"/>
  <c r="F21" i="15"/>
  <c r="G21" i="15"/>
  <c r="F22" i="15"/>
  <c r="G22" i="15"/>
  <c r="G19" i="15"/>
  <c r="F19" i="15"/>
  <c r="G12" i="15"/>
  <c r="F12" i="15"/>
  <c r="F7" i="15"/>
  <c r="G7" i="15"/>
  <c r="F8" i="15"/>
  <c r="G8" i="15"/>
  <c r="F9" i="15"/>
  <c r="G9" i="15"/>
  <c r="G6" i="15"/>
  <c r="F6" i="15"/>
  <c r="G35" i="33"/>
  <c r="F35" i="33"/>
  <c r="F32" i="33"/>
  <c r="G32" i="33"/>
  <c r="G31" i="33"/>
  <c r="F31" i="33"/>
  <c r="G23" i="33"/>
  <c r="F23" i="33"/>
  <c r="F20" i="33"/>
  <c r="G20" i="33"/>
  <c r="G19" i="33"/>
  <c r="F19" i="33"/>
  <c r="G12" i="33"/>
  <c r="F12" i="33"/>
  <c r="F6" i="33"/>
  <c r="G6" i="33"/>
  <c r="F7" i="33"/>
  <c r="G7" i="33"/>
  <c r="F8" i="33"/>
  <c r="G8" i="33"/>
  <c r="F9" i="33"/>
  <c r="G9" i="33"/>
  <c r="G5" i="33"/>
  <c r="F5" i="33"/>
  <c r="G13" i="16"/>
  <c r="F13" i="16"/>
  <c r="F8" i="16"/>
  <c r="G8" i="16"/>
  <c r="F9" i="16"/>
  <c r="G9" i="16"/>
  <c r="F10" i="16"/>
  <c r="G10" i="16"/>
  <c r="G7" i="16"/>
  <c r="F7" i="16"/>
  <c r="F38" i="28"/>
  <c r="E38" i="28"/>
  <c r="E35" i="28"/>
  <c r="F35" i="28"/>
  <c r="F34" i="28"/>
  <c r="E34" i="28"/>
  <c r="F27" i="28"/>
  <c r="E27" i="28"/>
  <c r="E24" i="28"/>
  <c r="F24" i="28"/>
  <c r="E25" i="28"/>
  <c r="F25" i="28"/>
  <c r="F23" i="28"/>
  <c r="E23" i="28"/>
  <c r="F9" i="28"/>
  <c r="E10" i="28"/>
  <c r="F10" i="28"/>
  <c r="E11" i="28"/>
  <c r="F11" i="28"/>
  <c r="F12" i="28"/>
  <c r="E15" i="28"/>
  <c r="F15" i="28"/>
  <c r="F8" i="28"/>
  <c r="E8" i="28"/>
  <c r="F12" i="27"/>
  <c r="E12" i="27"/>
  <c r="F7" i="27"/>
  <c r="E8" i="27"/>
  <c r="F8" i="27"/>
  <c r="E9" i="27"/>
  <c r="F9" i="27"/>
  <c r="F6" i="27"/>
  <c r="E6" i="27"/>
  <c r="F35" i="32"/>
  <c r="E36" i="32"/>
  <c r="F36" i="32"/>
  <c r="F37" i="32"/>
  <c r="E40" i="32"/>
  <c r="F40" i="32"/>
  <c r="F34" i="32"/>
  <c r="E34" i="32"/>
  <c r="E27" i="32"/>
  <c r="F27" i="32"/>
  <c r="F24" i="32"/>
  <c r="F23" i="32"/>
  <c r="E23" i="32"/>
  <c r="F22" i="32"/>
  <c r="E22" i="32"/>
  <c r="F21" i="32"/>
  <c r="E21" i="32"/>
  <c r="F20" i="32"/>
  <c r="E9" i="32"/>
  <c r="F9" i="32"/>
  <c r="E10" i="32"/>
  <c r="F10" i="32"/>
  <c r="F8" i="32"/>
  <c r="E8" i="32"/>
  <c r="G46" i="14"/>
  <c r="F46" i="14"/>
  <c r="F40" i="14"/>
  <c r="G40" i="14"/>
  <c r="F41" i="14"/>
  <c r="G41" i="14"/>
  <c r="F42" i="14"/>
  <c r="G42" i="14"/>
  <c r="G43" i="14"/>
  <c r="G39" i="14"/>
  <c r="F39" i="14"/>
  <c r="G32" i="14"/>
  <c r="F32" i="14"/>
  <c r="G25" i="14"/>
  <c r="F26" i="14"/>
  <c r="G26" i="14"/>
  <c r="F27" i="14"/>
  <c r="G27" i="14"/>
  <c r="G28" i="14"/>
  <c r="G29" i="14"/>
  <c r="G24" i="14"/>
  <c r="F24" i="14"/>
  <c r="G16" i="14"/>
  <c r="F16" i="14"/>
  <c r="F7" i="14"/>
  <c r="G7" i="14"/>
  <c r="F8" i="14"/>
  <c r="G8" i="14"/>
  <c r="F9" i="14"/>
  <c r="G9" i="14"/>
  <c r="G10" i="14"/>
  <c r="G11" i="14"/>
  <c r="G12" i="14"/>
  <c r="G13" i="14"/>
  <c r="G6" i="14"/>
  <c r="F6" i="14"/>
  <c r="F17" i="22" l="1"/>
  <c r="D32" i="31"/>
  <c r="D40" i="30" l="1"/>
  <c r="D50" i="28" l="1"/>
  <c r="D20" i="22" l="1"/>
  <c r="E39" i="31" l="1"/>
  <c r="E44" i="30" l="1"/>
  <c r="D44" i="30"/>
  <c r="B43" i="30"/>
  <c r="E41" i="30"/>
  <c r="D41" i="30"/>
  <c r="E40" i="30"/>
  <c r="E39" i="30"/>
  <c r="D39" i="30"/>
  <c r="B41" i="31" l="1"/>
  <c r="E40" i="31"/>
  <c r="D40" i="31"/>
  <c r="D39" i="31"/>
  <c r="G21" i="22"/>
  <c r="F21" i="22"/>
  <c r="G18" i="22"/>
  <c r="F18" i="22"/>
  <c r="G17" i="22"/>
  <c r="G16" i="22"/>
  <c r="F16" i="22"/>
  <c r="B26" i="18" l="1"/>
  <c r="B12" i="18"/>
  <c r="B21" i="31"/>
  <c r="B10" i="31"/>
  <c r="B10" i="30"/>
  <c r="D31" i="34"/>
  <c r="D19" i="34"/>
  <c r="D8" i="34"/>
  <c r="C37" i="15"/>
  <c r="C24" i="15"/>
  <c r="C34" i="33"/>
  <c r="C22" i="33"/>
  <c r="B14" i="28"/>
  <c r="B36" i="27"/>
  <c r="B25" i="27"/>
  <c r="B39" i="32"/>
  <c r="C45" i="14"/>
  <c r="C31" i="14"/>
  <c r="C11" i="15" l="1"/>
  <c r="C15" i="14"/>
  <c r="B49" i="28" l="1"/>
  <c r="F27" i="18" l="1"/>
  <c r="E32" i="31"/>
  <c r="E30" i="31"/>
  <c r="D30" i="31"/>
  <c r="E29" i="31"/>
  <c r="D29" i="31"/>
  <c r="E22" i="31"/>
  <c r="D22" i="31"/>
  <c r="E20" i="31"/>
  <c r="D20" i="31"/>
  <c r="E19" i="31"/>
  <c r="D19" i="31"/>
  <c r="E32" i="30"/>
  <c r="D32" i="30"/>
  <c r="E29" i="30"/>
  <c r="D29" i="30"/>
  <c r="G22" i="30"/>
  <c r="F22" i="30"/>
  <c r="C21" i="30"/>
  <c r="B21" i="30"/>
  <c r="G19" i="30"/>
  <c r="F19" i="30"/>
  <c r="G18" i="30"/>
  <c r="G17" i="30"/>
  <c r="F17" i="30"/>
  <c r="F60" i="34"/>
  <c r="E60" i="34"/>
  <c r="F58" i="34"/>
  <c r="E58" i="34"/>
  <c r="F57" i="34"/>
  <c r="E57" i="34"/>
  <c r="F51" i="34"/>
  <c r="E51" i="34"/>
  <c r="F49" i="34"/>
  <c r="E49" i="34"/>
  <c r="F48" i="34"/>
  <c r="E48" i="34"/>
  <c r="E8" i="34"/>
  <c r="E31" i="34"/>
  <c r="G46" i="33" l="1"/>
  <c r="F47" i="33"/>
  <c r="G47" i="33"/>
  <c r="F48" i="33"/>
  <c r="G48" i="33"/>
  <c r="F49" i="33"/>
  <c r="G49" i="33"/>
  <c r="G50" i="33"/>
  <c r="D52" i="33"/>
  <c r="C11" i="33" l="1"/>
  <c r="D11" i="33"/>
  <c r="E97" i="33"/>
  <c r="D97" i="33"/>
  <c r="E95" i="33"/>
  <c r="D95" i="33"/>
  <c r="E94" i="33"/>
  <c r="D94" i="33"/>
  <c r="E93" i="33"/>
  <c r="D93" i="33"/>
  <c r="E85" i="33"/>
  <c r="D85" i="33"/>
  <c r="E84" i="33"/>
  <c r="D84" i="33"/>
  <c r="E83" i="33"/>
  <c r="D83" i="33"/>
  <c r="E74" i="33"/>
  <c r="D74" i="33"/>
  <c r="E73" i="33"/>
  <c r="D73" i="33"/>
  <c r="E72" i="33"/>
  <c r="D72" i="33"/>
  <c r="D65" i="33"/>
  <c r="G63" i="33"/>
  <c r="G62" i="33"/>
  <c r="F62" i="33"/>
  <c r="G61" i="33"/>
  <c r="G60" i="33"/>
  <c r="F60" i="33"/>
  <c r="C39" i="32" l="1"/>
  <c r="B26" i="32"/>
  <c r="C26" i="32"/>
  <c r="B12" i="32"/>
  <c r="C12" i="32"/>
  <c r="C12" i="16"/>
  <c r="E50" i="28" l="1"/>
  <c r="E48" i="28"/>
  <c r="D48" i="28"/>
  <c r="E47" i="28"/>
  <c r="D47" i="28"/>
  <c r="E46" i="28"/>
  <c r="D46" i="28"/>
  <c r="B37" i="28"/>
  <c r="B26" i="28"/>
  <c r="C37" i="28"/>
  <c r="C26" i="28"/>
  <c r="E37" i="27"/>
  <c r="D37" i="27"/>
  <c r="E34" i="27"/>
  <c r="D34" i="27"/>
  <c r="E33" i="27"/>
  <c r="D33" i="27"/>
  <c r="E26" i="27"/>
  <c r="D26" i="27"/>
  <c r="E23" i="27"/>
  <c r="D23" i="27"/>
  <c r="E22" i="27"/>
  <c r="D22" i="27"/>
  <c r="E21" i="27"/>
  <c r="E20" i="27"/>
  <c r="D20" i="27"/>
  <c r="B11" i="27"/>
  <c r="G9" i="22" l="1"/>
  <c r="F9" i="22"/>
  <c r="D8" i="22"/>
  <c r="G7" i="22"/>
  <c r="F7" i="22"/>
  <c r="G6" i="22"/>
  <c r="F6" i="22"/>
  <c r="F69" i="21"/>
  <c r="E69" i="21"/>
  <c r="C68" i="21"/>
  <c r="F67" i="21"/>
  <c r="E67" i="21"/>
  <c r="F66" i="21"/>
  <c r="E66" i="21"/>
  <c r="F65" i="21"/>
  <c r="E65" i="21"/>
  <c r="C58" i="21"/>
  <c r="F57" i="21"/>
  <c r="E57" i="21"/>
  <c r="F56" i="21"/>
  <c r="E56" i="21"/>
  <c r="F55" i="21"/>
  <c r="E55" i="21"/>
  <c r="C48" i="21"/>
  <c r="F46" i="21"/>
  <c r="E46" i="21"/>
  <c r="F45" i="21"/>
  <c r="E45" i="21"/>
  <c r="F44" i="21"/>
  <c r="E44" i="21"/>
  <c r="C37" i="21"/>
  <c r="F35" i="21"/>
  <c r="F34" i="21"/>
  <c r="E34" i="21"/>
  <c r="F33" i="21"/>
  <c r="F32" i="21"/>
  <c r="E32" i="21"/>
  <c r="C25" i="21"/>
  <c r="F23" i="21"/>
  <c r="F22" i="21"/>
  <c r="E22" i="21"/>
  <c r="F21" i="21"/>
  <c r="E21" i="21"/>
  <c r="F20" i="21"/>
  <c r="E20" i="21"/>
  <c r="F19" i="21"/>
  <c r="C12" i="21"/>
  <c r="F11" i="21"/>
  <c r="E11" i="21"/>
  <c r="F10" i="21"/>
  <c r="F9" i="21"/>
  <c r="E9" i="21"/>
  <c r="F8" i="21"/>
  <c r="E8" i="21"/>
  <c r="F7" i="21"/>
  <c r="E7" i="21"/>
  <c r="F6" i="21"/>
  <c r="E6" i="21"/>
  <c r="E14" i="8"/>
  <c r="E11" i="30"/>
  <c r="D11" i="30"/>
  <c r="E8" i="30"/>
  <c r="D8" i="30"/>
  <c r="E7" i="30"/>
  <c r="D7" i="30"/>
  <c r="E6" i="30"/>
  <c r="D6" i="30"/>
  <c r="E13" i="29"/>
  <c r="D13" i="29"/>
  <c r="E10" i="29"/>
  <c r="E9" i="29"/>
  <c r="D9" i="29"/>
  <c r="E8" i="29"/>
  <c r="D8" i="29"/>
  <c r="E7" i="29"/>
  <c r="D7" i="29"/>
  <c r="E6" i="29"/>
  <c r="D6" i="29"/>
  <c r="G57" i="20"/>
  <c r="H57" i="20"/>
  <c r="H106" i="20"/>
  <c r="G106" i="20"/>
  <c r="H71" i="20"/>
  <c r="G71" i="20"/>
  <c r="H35" i="20"/>
  <c r="G35" i="20"/>
  <c r="H17" i="20"/>
  <c r="G8" i="20"/>
  <c r="E12" i="24"/>
  <c r="D12" i="24"/>
  <c r="E9" i="24"/>
  <c r="D9" i="24"/>
  <c r="E8" i="24"/>
  <c r="D8" i="24"/>
  <c r="E7" i="24"/>
  <c r="D7" i="24"/>
  <c r="E6" i="24"/>
  <c r="D6" i="24"/>
  <c r="E5" i="24"/>
  <c r="D5" i="24"/>
  <c r="E12" i="23"/>
  <c r="D12" i="23"/>
  <c r="E9" i="23"/>
  <c r="D9" i="23"/>
  <c r="E8" i="23"/>
  <c r="D8" i="23"/>
  <c r="E7" i="23"/>
  <c r="D7" i="23"/>
  <c r="E6" i="23"/>
  <c r="D6" i="23"/>
  <c r="E5" i="23"/>
  <c r="D5" i="23"/>
  <c r="E14" i="17"/>
  <c r="D14" i="17"/>
  <c r="E11" i="17"/>
  <c r="D11" i="17"/>
  <c r="E10" i="17"/>
  <c r="D10" i="17"/>
  <c r="E9" i="17"/>
  <c r="D9" i="17"/>
  <c r="E8" i="17"/>
  <c r="D8" i="17"/>
  <c r="E7" i="17"/>
  <c r="D7" i="17"/>
  <c r="E6" i="17"/>
  <c r="D6" i="17"/>
  <c r="B13" i="17"/>
  <c r="E11" i="9"/>
  <c r="E10" i="9"/>
  <c r="E9" i="9"/>
  <c r="E8" i="9"/>
  <c r="D8" i="9"/>
  <c r="E7" i="9"/>
  <c r="E6" i="9"/>
  <c r="E11" i="8"/>
  <c r="E10" i="8"/>
  <c r="E9" i="8"/>
  <c r="E8" i="8"/>
  <c r="D8" i="8"/>
  <c r="E7" i="8"/>
  <c r="E6" i="8"/>
  <c r="E11" i="12"/>
  <c r="E14" i="12"/>
  <c r="D14" i="12"/>
  <c r="E7" i="12"/>
  <c r="D7" i="12"/>
  <c r="E10" i="12"/>
  <c r="E9" i="12"/>
  <c r="D9" i="12"/>
  <c r="E8" i="12"/>
  <c r="D8" i="12"/>
  <c r="E6" i="12"/>
  <c r="D6" i="12"/>
  <c r="H80" i="20"/>
  <c r="G80" i="20"/>
  <c r="H88" i="20"/>
  <c r="G88" i="20"/>
  <c r="H92" i="20"/>
  <c r="G92" i="20"/>
  <c r="H96" i="20"/>
  <c r="G96" i="20"/>
  <c r="G25" i="20"/>
  <c r="H61" i="20"/>
  <c r="G61" i="20"/>
  <c r="H53" i="20"/>
  <c r="H44" i="20"/>
  <c r="G44" i="20"/>
  <c r="H25" i="20"/>
  <c r="H21" i="20"/>
  <c r="G21" i="20"/>
  <c r="H8" i="20"/>
</calcChain>
</file>

<file path=xl/sharedStrings.xml><?xml version="1.0" encoding="utf-8"?>
<sst xmlns="http://schemas.openxmlformats.org/spreadsheetml/2006/main" count="1358" uniqueCount="224">
  <si>
    <t>אפיק השקעה</t>
  </si>
  <si>
    <t>טווח סטייה</t>
  </si>
  <si>
    <t>+/- 5%</t>
  </si>
  <si>
    <t>מדד אג"ח ממשלתי כללי</t>
  </si>
  <si>
    <t>אג"ח מיועדות</t>
  </si>
  <si>
    <t>+/- 6%</t>
  </si>
  <si>
    <t>מדד תל בונד 60</t>
  </si>
  <si>
    <t>נדל"ן</t>
  </si>
  <si>
    <t>סה"כ</t>
  </si>
  <si>
    <t>0%-6%</t>
  </si>
  <si>
    <t>גבולות שיעור החשיפה הצפויה</t>
  </si>
  <si>
    <t>0%-5%</t>
  </si>
  <si>
    <t>הפניקס פנסיה מקיפה מסלול כללי</t>
  </si>
  <si>
    <t>חשיפה למט"ח</t>
  </si>
  <si>
    <t>28%-40%</t>
  </si>
  <si>
    <t>10%-22%</t>
  </si>
  <si>
    <t>0%-9%</t>
  </si>
  <si>
    <t>17%-29%</t>
  </si>
  <si>
    <t>33%-43%</t>
  </si>
  <si>
    <t>שיעור חשיפה צפוי לשנת 2015</t>
  </si>
  <si>
    <t>גבולות החשיפה שאושרו בשנת 2014</t>
  </si>
  <si>
    <t>אג"ח קונצרני</t>
  </si>
  <si>
    <t xml:space="preserve">חשיפה למט"ח </t>
  </si>
  <si>
    <t>אחר</t>
  </si>
  <si>
    <t>סה"כ מניות 
(כולל תעודות סל, אופציות וקרנות נאמנות)</t>
  </si>
  <si>
    <t>*מיועדות</t>
  </si>
  <si>
    <t>קרנות השקעה ללא קרנות נדל"ן</t>
  </si>
  <si>
    <t>***סה"כ אחר ומזומן</t>
  </si>
  <si>
    <t>סה"כ תיק</t>
  </si>
  <si>
    <t>מניות (כולל תעודות סל, אופציות, קרנות נאמנות)</t>
  </si>
  <si>
    <r>
      <t>אג"ח ממשלתי (צמוד, שקלי ומט"ח), ממשלות זרות בנטרול חשיפות בנגזרים</t>
    </r>
    <r>
      <rPr>
        <b/>
        <vertAlign val="superscript"/>
        <sz val="9.9"/>
        <color indexed="62"/>
        <rFont val="Arial"/>
        <family val="2"/>
      </rPr>
      <t>1</t>
    </r>
  </si>
  <si>
    <r>
      <rPr>
        <b/>
        <vertAlign val="superscript"/>
        <sz val="7.2"/>
        <color indexed="10"/>
        <rFont val="Arial"/>
        <family val="2"/>
      </rPr>
      <t>1</t>
    </r>
    <r>
      <rPr>
        <b/>
        <sz val="8"/>
        <color indexed="10"/>
        <rFont val="Arial"/>
        <family val="2"/>
      </rPr>
      <t xml:space="preserve">החל מ-23.10.2013 מציגה החברה את החשיפה לאגח ממשלתי בנטרול תוספת החשיפה הנובעת בהשקעה בנגזרים </t>
    </r>
  </si>
  <si>
    <t>מנורה</t>
  </si>
  <si>
    <t>אחר (קרנות השקעה, PE, VC, קרדיט, גידור)</t>
  </si>
  <si>
    <t>אג"ח קונצרני (קרנות נאמנות, תעודות סל)</t>
  </si>
  <si>
    <r>
      <t xml:space="preserve">מזומנים </t>
    </r>
    <r>
      <rPr>
        <b/>
        <sz val="11"/>
        <color indexed="10"/>
        <rFont val="Arial"/>
        <family val="2"/>
      </rPr>
      <t>(בנטרול נגזרים)</t>
    </r>
  </si>
  <si>
    <t>שיעור חשיפה לתאריך 31.10.2014</t>
  </si>
  <si>
    <t>מזומנים (*)</t>
  </si>
  <si>
    <t>* מוצג בנטרול תוספת החשיפה הנובעת מהשקעה בנגזרים</t>
  </si>
  <si>
    <t>אג"ח ממשלתי (צמוד, שקלי ומט"ח), ממשלות זרות בנטרול חשיפות בנגזרים</t>
  </si>
  <si>
    <t>טווח סטייה %-/+</t>
  </si>
  <si>
    <t>אג"ח ממשלתי (צמוד, שקלי ומט"ח), 
ממשלות זרות בנטרול חשיפות בנגזרים</t>
  </si>
  <si>
    <t>מניות (תעודות סל, אופציות, קרנות נאמנות)</t>
  </si>
  <si>
    <t xml:space="preserve"> S&amp;P500</t>
  </si>
  <si>
    <t>TPX</t>
  </si>
  <si>
    <t xml:space="preserve">MSCI EM </t>
  </si>
  <si>
    <t>תל אביב 125</t>
  </si>
  <si>
    <t>משקל גליל 2-5</t>
  </si>
  <si>
    <t xml:space="preserve">אג"ח ממשלתי (צמוד, שקלי ומט"ח), ממשלות </t>
  </si>
  <si>
    <t>משקל גליל 5-10</t>
  </si>
  <si>
    <t>זרות בנטרול חשיפות בנגזרים</t>
  </si>
  <si>
    <t>משקל שחר 2-5</t>
  </si>
  <si>
    <t xml:space="preserve"> ריבית פח"ק</t>
  </si>
  <si>
    <t>BlueStar TA-BIG Tech Israel Tech</t>
  </si>
  <si>
    <t>IBOXX HY</t>
  </si>
  <si>
    <t>IBOXIG</t>
  </si>
  <si>
    <t>ת"א SME60</t>
  </si>
  <si>
    <t>הפניקס פנסיה מקיפה לבני 50 ומטה</t>
  </si>
  <si>
    <t>הפניקס פנסיה מקיפה לבני 50 עד 60</t>
  </si>
  <si>
    <t xml:space="preserve">70% - מדד תל בונד 60 ,
30% - מדד BarCap Global Corporate Total Return Bond Index UnHedged </t>
  </si>
  <si>
    <t>הפניקס פנסיה מקיפה לבני 60 ומעלה</t>
  </si>
  <si>
    <t>הפניקס פנסיה מקיפה מסלול פאסיבי לבני 50 ומטה</t>
  </si>
  <si>
    <t>הפניקס פנסיה מקיפה מסלול פאסיבי לבני 50 עד 60</t>
  </si>
  <si>
    <t>הפניקס פנסיה מקיפה מסלול פאסיבי לבני 60 ומעלה</t>
  </si>
  <si>
    <t>פנסיית יסוד</t>
  </si>
  <si>
    <t>עמיתי דור ביניים</t>
  </si>
  <si>
    <t>הפניקס פנסיה מקיפה מסלול הלכה</t>
  </si>
  <si>
    <t>הפניקס פנסיה מקיפה פנסיונרים עד 31.12.17</t>
  </si>
  <si>
    <t>הפניקס פנסיה מקיפה פנסיונרים זכאים</t>
  </si>
  <si>
    <t>הפניקס פנסיה מקיפה פנסיונרים החל מ- 1.1.18</t>
  </si>
  <si>
    <t>אג"ח קונצרני (כולל קרנות נאמנות, תעודות סל)</t>
  </si>
  <si>
    <t xml:space="preserve">35% - תל בונד כללי , 20% - תל בונד 60 ,
15% - תל בונד 50 ,
15% - IBOXX HY - 15%, IBOXX IG </t>
  </si>
  <si>
    <t>** מובהר כי תיק הנכסים אינו תואם בהכרח במלואו להרכב מדד הייחוס. אין בציון מדד הייחוס בכדי להוות מצג, הצהרה או התחייבות כלשהי לגבי התשואה שתושג בפועל בתיק</t>
  </si>
  <si>
    <t>מדד הייחוס (**)</t>
  </si>
  <si>
    <t xml:space="preserve">35% - תל בונד כללי , 20% - תל בונד 60 ,
15% - תל בונד 50 ,
15% - IBOXX HY - 15%, IBOXX IG
 </t>
  </si>
  <si>
    <t>הפניקס פנסיה משלימה מסלול לבני 50 ומטה</t>
  </si>
  <si>
    <t>הפניקס פנסיה משלימה מסלול לבני 50 עד 60</t>
  </si>
  <si>
    <t>הפניקס פנסיה משלימה מסלול לבני 60 ומעלה</t>
  </si>
  <si>
    <t>אחר (קרנות השקעה, Co Invest, תשתיות, גידור)</t>
  </si>
  <si>
    <t>IBXXC1D1</t>
  </si>
  <si>
    <t>JGENUUG</t>
  </si>
  <si>
    <t>JCMBCOMP</t>
  </si>
  <si>
    <t>מגן קרן פנסיה ותיקה</t>
  </si>
  <si>
    <t>קרן גמלאות של עורכי דין</t>
  </si>
  <si>
    <t>40%- מדד ת"א 125 ,
  60%- MSCI WORLD AC</t>
  </si>
  <si>
    <t>קרנות השקעה</t>
  </si>
  <si>
    <t>STOXX600</t>
  </si>
  <si>
    <t>NASDAQ100</t>
  </si>
  <si>
    <t>משקל גליל 0-2</t>
  </si>
  <si>
    <t>משקל שחר 0-2</t>
  </si>
  <si>
    <t xml:space="preserve">  משקל שחר 5-10</t>
  </si>
  <si>
    <t xml:space="preserve">  משקל שחר 10+</t>
  </si>
  <si>
    <t xml:space="preserve"> תל בונד  60</t>
  </si>
  <si>
    <t xml:space="preserve"> תל בונד שקלי</t>
  </si>
  <si>
    <t xml:space="preserve"> תל בונד תשואות</t>
  </si>
  <si>
    <t xml:space="preserve"> תל בונד תשואות שקלי</t>
  </si>
  <si>
    <t>תל בונד דולר</t>
  </si>
  <si>
    <t xml:space="preserve">  סוף מידע טבלה </t>
  </si>
  <si>
    <t xml:space="preserve">תחילת מידע טבלה </t>
  </si>
  <si>
    <t xml:space="preserve">  סוף מידע טבלה צד שמאל </t>
  </si>
  <si>
    <t xml:space="preserve">תחילת מידע טבלה  </t>
  </si>
  <si>
    <t xml:space="preserve">  סוף מידע טבלה</t>
  </si>
  <si>
    <t xml:space="preserve">  סוף מידע  </t>
  </si>
  <si>
    <t>*** בהתאם להוראות ההסדר התחיקתי</t>
  </si>
  <si>
    <t>אג"ח מיועדות ורכיב מבטיח תשואה(***)</t>
  </si>
  <si>
    <t>35%- מדד ת"א 125 ,
  65%- MSCI WORLD AC</t>
  </si>
  <si>
    <t>תחילת מידע טבלה</t>
  </si>
  <si>
    <t xml:space="preserve"> תחילת מידע טבלה</t>
  </si>
  <si>
    <t xml:space="preserve"> תחילת מידע טבלה </t>
  </si>
  <si>
    <t>סוף מידע גיליון</t>
  </si>
  <si>
    <t>סוף מידע טבלה</t>
  </si>
  <si>
    <t xml:space="preserve">סוף מידע טבלה </t>
  </si>
  <si>
    <t xml:space="preserve"> תחילת  מידע טבלה  </t>
  </si>
  <si>
    <t>מדד ייחוס</t>
  </si>
  <si>
    <t>מדיניות השקעה צפויה לשנת 2024</t>
  </si>
  <si>
    <t>שיעור חשיפה צפוי לשנת 2024</t>
  </si>
  <si>
    <t>מגבלת עמלת ניהול חיצוני לשנת 2024</t>
  </si>
  <si>
    <t>אחר (קרנות השקעה,Co Invest, תשתיות, גידור,נדלן)</t>
  </si>
  <si>
    <t>אחר (נדלן, קרנות השקעה, Co Invest, תשתיות, גידור)</t>
  </si>
  <si>
    <t>אחר (Co Invest, תשתיות, גידור, נדל"ן)</t>
  </si>
  <si>
    <t>הפניקס פנסיה מקיפה עד 25% מניות</t>
  </si>
  <si>
    <t>טווח סטיה</t>
  </si>
  <si>
    <t>גבולות שיעור החשיפה הצםויה</t>
  </si>
  <si>
    <t>אחר ( Co Invest, נדל"ן, קרנות השקעהתשתיות, גידור)</t>
  </si>
  <si>
    <t>הפניקס פנסיה מקיפה אגח</t>
  </si>
  <si>
    <t>הפניקס פנסיה מקיפה מנייתי</t>
  </si>
  <si>
    <t>הפניקס פנסיה מקיפה טווח קצר</t>
  </si>
  <si>
    <t>הפניקס פנסיה מקיפה מדדי אג"ח חו"ל</t>
  </si>
  <si>
    <t>מיועדות</t>
  </si>
  <si>
    <t xml:space="preserve">
50% - IBOXX HY - 50%, IBOXX IG </t>
  </si>
  <si>
    <t>הפניקס פנסיה מסלול פאסיבי s&amp;p 500</t>
  </si>
  <si>
    <t>s&amp;p 500</t>
  </si>
  <si>
    <t>הפניקס פנסיה משלימה שריעה</t>
  </si>
  <si>
    <t>הפניקס פנסיה משלימה s&amp;p 500</t>
  </si>
  <si>
    <t>V</t>
  </si>
  <si>
    <t>מספר מסלול באוצר 9974</t>
  </si>
  <si>
    <t>מסלולי הציליאני הפאסיבי מתמזגים למסלולי הציליאני האקטיבי לאור דרישות החוזר המאפשרות לנהל מסלולי ציליאני מסוג 1 בלבד.</t>
  </si>
  <si>
    <t>מספר מסלול באוצר 9975</t>
  </si>
  <si>
    <t>מספר מסלול באוצר 9976</t>
  </si>
  <si>
    <t>מספר מסלול באוצר 12116</t>
  </si>
  <si>
    <t>מספר מסלול באוצר 12117</t>
  </si>
  <si>
    <t>מספר מסלול באוצר 12118</t>
  </si>
  <si>
    <t>מספר מסלול באוצר 14285</t>
  </si>
  <si>
    <t>שיעור חשיפה מבוקש לאחר רפורמה</t>
  </si>
  <si>
    <t>אג"ח סחיר - ייפתח כמסלול חדש</t>
  </si>
  <si>
    <t>מספר מסלול באוצר 14286</t>
  </si>
  <si>
    <t>מספר מסלול באוצר 13335</t>
  </si>
  <si>
    <t>מספר מסלול באוצר 9979</t>
  </si>
  <si>
    <t>מספר מסלול באוצר 9984</t>
  </si>
  <si>
    <t>מספר מסול באוצר 2189</t>
  </si>
  <si>
    <t>מספר מסלול באוצר 2188</t>
  </si>
  <si>
    <t>מספר מסלול באוצר 9980</t>
  </si>
  <si>
    <t>מספר מסלול באוצר 2187</t>
  </si>
  <si>
    <t>מספר מסלול באוצר 12119</t>
  </si>
  <si>
    <t>ס</t>
  </si>
  <si>
    <t>מספר מסלול באוצר 9987</t>
  </si>
  <si>
    <t>מספר מסלול באוצר 2201</t>
  </si>
  <si>
    <t>מספר מסלול באוצר 347</t>
  </si>
  <si>
    <t>מספר מסלול באוצר 7234</t>
  </si>
  <si>
    <t>מספר מסלול באוצר 7235</t>
  </si>
  <si>
    <t>מספר מסלול באוצר 7236</t>
  </si>
  <si>
    <t>מספר מסלול באוצר 8320</t>
  </si>
  <si>
    <t>מספר מסלול באוצר 8318</t>
  </si>
  <si>
    <t>מספר מסלול באוצר 8319</t>
  </si>
  <si>
    <t>מספר מסלול באוצר 14288</t>
  </si>
  <si>
    <t>מספר מסלול באוצר 13465</t>
  </si>
  <si>
    <t>מספר מסלול באוצר 14287</t>
  </si>
  <si>
    <t>מספר מסלול באוצר 14082</t>
  </si>
  <si>
    <t>מספר מסלול באוצר 12120</t>
  </si>
  <si>
    <t>מספר מסלול באוצר 2202</t>
  </si>
  <si>
    <t>איך באגח סחיר יש 46% מניות ?</t>
  </si>
  <si>
    <t>אחר ( Co Invest, תשתיות, גידור, נדל"ן)</t>
  </si>
  <si>
    <t>תשתיות</t>
  </si>
  <si>
    <t>אחר ( Co Invest גידור...)</t>
  </si>
  <si>
    <t>50% Xndx
40% SP5T5T
10% - SPTRMDCP</t>
  </si>
  <si>
    <t>אשכול 1 - אקטיבי - פנסיה מקיפה</t>
  </si>
  <si>
    <t>100%- מדד ת"א 125</t>
  </si>
  <si>
    <t>אשכול 4 - עוקב מדדים - פנסיה מקיפה</t>
  </si>
  <si>
    <t>אשכול 5 - אמונה - פנסיה מקיפה</t>
  </si>
  <si>
    <t>ISHARES 7-10 YEARS TREASURY</t>
  </si>
  <si>
    <t>IBOXY HY 46%, IBXXC1D1 12% , JGENUUG 8%, JCMBCOMP 8%, IBOXIG 26%</t>
  </si>
  <si>
    <t>הפניקס פנסיה משלימה מסלול משולב סחיר</t>
  </si>
  <si>
    <t>פנסיה משלימה מסלול עוקב מדדים גמיש</t>
  </si>
  <si>
    <t>הפניקס פנסיה משלימה מסלול s&amp;p 500</t>
  </si>
  <si>
    <t>הפניקס פנסיה משלימה מסלול שריעה</t>
  </si>
  <si>
    <t>פנסיה מקיפה מסלול משולב סחיר</t>
  </si>
  <si>
    <r>
      <rPr>
        <b/>
        <sz val="14"/>
        <color rgb="FFFF0000"/>
        <rFont val="Arial"/>
        <family val="2"/>
      </rPr>
      <t>הפניקס פנסיה משלימה מסלול בסיסי למקבלי קצבה (ברירת מחדל)</t>
    </r>
    <r>
      <rPr>
        <b/>
        <sz val="14"/>
        <color theme="0"/>
        <rFont val="Arial"/>
        <family val="2"/>
      </rPr>
      <t xml:space="preserve"> - לשעבר הפניקס פנסיה משלימה פנסיונרים החל מ- 1.1.18</t>
    </r>
  </si>
  <si>
    <t>הפניקס פנסיה משלימה מסלול למקבלי קצבה קיימים - לשעבר הפניקס פנסיה משלימה פנסיונרים עד 31.12.17</t>
  </si>
  <si>
    <t>מספר מסלול באוצר 15217</t>
  </si>
  <si>
    <t>מספר מסלול באוצר 15218</t>
  </si>
  <si>
    <t>מספר מסלול באוצר 15219</t>
  </si>
  <si>
    <t>מספר מסלול באוצר 15220</t>
  </si>
  <si>
    <t>מספר מסלול באוצר 15221</t>
  </si>
  <si>
    <t>מספר מסלול באוצר 15222</t>
  </si>
  <si>
    <t>מספר מסלול באוצר 15223</t>
  </si>
  <si>
    <t>מספר מסלול באוצר 15224</t>
  </si>
  <si>
    <r>
      <rPr>
        <b/>
        <sz val="14"/>
        <color rgb="FFFF0000"/>
        <rFont val="Arial"/>
        <family val="2"/>
      </rPr>
      <t>פנסיה מקיפה מסלול כספי (שקלי)</t>
    </r>
    <r>
      <rPr>
        <b/>
        <sz val="14"/>
        <color theme="0"/>
        <rFont val="Arial"/>
        <family val="2"/>
      </rPr>
      <t xml:space="preserve">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מקיפה טווח קצר</t>
    </r>
  </si>
  <si>
    <r>
      <rPr>
        <b/>
        <sz val="14"/>
        <color rgb="FFFF0000"/>
        <rFont val="Arial"/>
        <family val="2"/>
      </rPr>
      <t>פנסיה מקיפה מסלול אשראי ואג"ח</t>
    </r>
    <r>
      <rPr>
        <b/>
        <sz val="14"/>
        <color theme="0"/>
        <rFont val="Arial"/>
        <family val="2"/>
      </rPr>
      <t xml:space="preserve">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מקיפה אגח</t>
    </r>
  </si>
  <si>
    <r>
      <rPr>
        <b/>
        <sz val="14"/>
        <color rgb="FFFF0000"/>
        <rFont val="Arial"/>
        <family val="2"/>
      </rPr>
      <t>פנסיה מקיפה מסלול מניות</t>
    </r>
    <r>
      <rPr>
        <b/>
        <sz val="14"/>
        <color theme="0"/>
        <rFont val="Arial"/>
        <family val="2"/>
      </rPr>
      <t xml:space="preserve">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מקיפה מנייתי</t>
    </r>
  </si>
  <si>
    <t>שיעור חשיפה צפוי ליום 01.07.2024</t>
  </si>
  <si>
    <t>שיעור חשיפה צפוי עד 30.06.2024</t>
  </si>
  <si>
    <t>פנסיה מקיפה אג"ח סחיר - מסלול חדש החל מ- 01.07.2024</t>
  </si>
  <si>
    <t>פנסיה מקיפה מניות סחיר - מסלול חדש החל מ- 01.07.2024</t>
  </si>
  <si>
    <t>הפניקס פנסיה מקיפה עוקב מדדי מניות - מסלול חדש החל מ- 01.07.2024</t>
  </si>
  <si>
    <t>הפניקס פנסיה מקיפה עוקב מדד s&amp;p 500</t>
  </si>
  <si>
    <t>הפניקס פנסיה מקיפה עוקב מדדים גמיש</t>
  </si>
  <si>
    <t>הפניקס פנסיה מקיפה עוקב מדדי אג"ח חו"ל</t>
  </si>
  <si>
    <r>
      <rPr>
        <b/>
        <sz val="14"/>
        <color rgb="FFFF0000"/>
        <rFont val="Arial"/>
        <family val="2"/>
      </rPr>
      <t>מסלול למקבלי קצבה קיימים</t>
    </r>
    <r>
      <rPr>
        <b/>
        <sz val="14"/>
        <color theme="0"/>
        <rFont val="Arial"/>
        <family val="2"/>
      </rPr>
      <t xml:space="preserve"> 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מקיפה פנסיונרים עד 31.12.17</t>
    </r>
  </si>
  <si>
    <r>
      <rPr>
        <b/>
        <sz val="14"/>
        <color rgb="FFFF0000"/>
        <rFont val="Arial"/>
        <family val="2"/>
      </rPr>
      <t xml:space="preserve">מסלול בסיסי למקבלי קצבה (ברירת מחדל)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מקיפה פנסיונרים החל מ- 1.1.18</t>
    </r>
  </si>
  <si>
    <r>
      <rPr>
        <b/>
        <sz val="14"/>
        <color rgb="FFFF0000"/>
        <rFont val="Arial"/>
        <family val="2"/>
      </rPr>
      <t>הפניקס פנסיה משלימה מסלול כספי (שקלי)</t>
    </r>
    <r>
      <rPr>
        <b/>
        <sz val="14"/>
        <color theme="0"/>
        <rFont val="Arial"/>
        <family val="2"/>
      </rPr>
      <t xml:space="preserve">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פנסיה כללית טווח קצר</t>
    </r>
  </si>
  <si>
    <r>
      <rPr>
        <b/>
        <sz val="14"/>
        <color rgb="FFFF0000"/>
        <rFont val="Arial"/>
        <family val="2"/>
      </rPr>
      <t>הפניקס פנסיה משלימה מסלול אשראי ואג"ח</t>
    </r>
    <r>
      <rPr>
        <b/>
        <sz val="14"/>
        <color theme="0"/>
        <rFont val="Arial"/>
        <family val="2"/>
      </rPr>
      <t xml:space="preserve"> </t>
    </r>
    <r>
      <rPr>
        <b/>
        <sz val="14"/>
        <rFont val="Arial"/>
        <family val="2"/>
      </rPr>
      <t>לשעבר</t>
    </r>
    <r>
      <rPr>
        <b/>
        <sz val="14"/>
        <color theme="0"/>
        <rFont val="Arial"/>
        <family val="2"/>
      </rPr>
      <t xml:space="preserve"> הפניקס משלימה מסלול אגח</t>
    </r>
  </si>
  <si>
    <t>הפניקס פנסיה משלימה מניות סחיר - מסלול חדש החל מ- 01.07.2024</t>
  </si>
  <si>
    <t>הפניקס פנסיה משלימה אג"ח סחיר - מסלול חדש החל מ- 01.07.2024</t>
  </si>
  <si>
    <t>MSCI WORLD AC</t>
  </si>
  <si>
    <t xml:space="preserve"> מדד ת"א 125
     </t>
  </si>
  <si>
    <t>שיעור חשיפה צפוי לשנת 2024 (החל מיום 1.7.24)</t>
  </si>
  <si>
    <t>שיעור חשיפה ליום 30.6.24</t>
  </si>
  <si>
    <t>הפניקס פנסיה משלימה עוקב מדדי מניות - מסלול חדש החל מ - 01.07.2024</t>
  </si>
  <si>
    <t>הפניקס פנסיה משלימה עוקב מדדי אג"ח - מסלול חדש החל מ - 01.07.2024</t>
  </si>
  <si>
    <t>הפניקס פנסיה משלימה הלכה - מסלול חדש החל מ - 01.07.2024</t>
  </si>
  <si>
    <t>הפניקס פנסיה משלימה מנייתית</t>
  </si>
  <si>
    <t xml:space="preserve">
s&amp;p שריעה </t>
  </si>
  <si>
    <t>תחילת מידע טבלה צד ימין</t>
  </si>
  <si>
    <t>סוף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</si>
</sst>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%"/>
  </numFmts>
  <fonts count="36" x14ac:knownFonts="1">
    <font>
      <sz val="11"/>
      <color theme="1"/>
      <name val="Arial"/>
      <family val="2"/>
      <charset val="177"/>
      <scheme val="minor"/>
    </font>
    <font>
      <b/>
      <vertAlign val="superscript"/>
      <sz val="9.9"/>
      <color indexed="62"/>
      <name val="Arial"/>
      <family val="2"/>
    </font>
    <font>
      <b/>
      <sz val="11"/>
      <color indexed="10"/>
      <name val="Arial"/>
      <family val="2"/>
    </font>
    <font>
      <b/>
      <sz val="8"/>
      <color indexed="10"/>
      <name val="Arial"/>
      <family val="2"/>
    </font>
    <font>
      <b/>
      <vertAlign val="superscript"/>
      <sz val="7.2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1"/>
      <color theme="4" tint="-0.249977111117893"/>
      <name val="Arial"/>
      <family val="2"/>
    </font>
    <font>
      <b/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9" tint="0.59999389629810485"/>
      <name val="Arial"/>
      <family val="2"/>
    </font>
    <font>
      <b/>
      <sz val="14"/>
      <color rgb="FFFFC000"/>
      <name val="Arial"/>
      <family val="2"/>
      <scheme val="minor"/>
    </font>
    <font>
      <b/>
      <sz val="10"/>
      <color rgb="FF000000"/>
      <name val="Arial"/>
      <family val="2"/>
    </font>
    <font>
      <b/>
      <sz val="14"/>
      <color theme="4" tint="-0.249977111117893"/>
      <name val="Arial"/>
      <family val="2"/>
    </font>
    <font>
      <b/>
      <sz val="14"/>
      <color theme="0"/>
      <name val="Arial"/>
      <family val="2"/>
    </font>
    <font>
      <b/>
      <sz val="11"/>
      <color theme="3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5"/>
      <color theme="0"/>
      <name val="Arial"/>
      <family val="2"/>
      <charset val="177"/>
      <scheme val="minor"/>
    </font>
    <font>
      <b/>
      <sz val="14"/>
      <color theme="3" tint="0.3999755851924192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theme="0"/>
      </left>
      <right/>
      <top style="thick">
        <color theme="4"/>
      </top>
      <bottom style="thin">
        <color theme="0"/>
      </bottom>
      <diagonal/>
    </border>
    <border>
      <left/>
      <right/>
      <top style="thick">
        <color theme="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7">
    <xf numFmtId="0" fontId="0" fillId="0" borderId="0"/>
    <xf numFmtId="0" fontId="7" fillId="0" borderId="0"/>
    <xf numFmtId="0" fontId="5" fillId="0" borderId="0"/>
    <xf numFmtId="0" fontId="7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12" applyNumberFormat="0" applyFill="0" applyAlignment="0" applyProtection="0"/>
  </cellStyleXfs>
  <cellXfs count="244">
    <xf numFmtId="0" fontId="0" fillId="0" borderId="0" xfId="0"/>
    <xf numFmtId="9" fontId="10" fillId="2" borderId="13" xfId="0" applyNumberFormat="1" applyFont="1" applyFill="1" applyBorder="1" applyAlignment="1">
      <alignment horizontal="center" vertical="center" wrapText="1" readingOrder="1"/>
    </xf>
    <xf numFmtId="0" fontId="10" fillId="2" borderId="13" xfId="0" applyFont="1" applyFill="1" applyBorder="1" applyAlignment="1">
      <alignment horizontal="center" vertical="center" wrapText="1" readingOrder="1"/>
    </xf>
    <xf numFmtId="9" fontId="11" fillId="2" borderId="13" xfId="0" applyNumberFormat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right" readingOrder="2"/>
    </xf>
    <xf numFmtId="10" fontId="10" fillId="2" borderId="13" xfId="0" applyNumberFormat="1" applyFont="1" applyFill="1" applyBorder="1" applyAlignment="1">
      <alignment horizontal="center" vertical="center" wrapText="1" readingOrder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 readingOrder="2"/>
    </xf>
    <xf numFmtId="0" fontId="13" fillId="3" borderId="1" xfId="3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 wrapText="1" readingOrder="2"/>
    </xf>
    <xf numFmtId="0" fontId="15" fillId="4" borderId="15" xfId="0" applyFont="1" applyFill="1" applyBorder="1" applyAlignment="1">
      <alignment horizontal="center" vertical="center" wrapText="1" readingOrder="2"/>
    </xf>
    <xf numFmtId="0" fontId="16" fillId="5" borderId="1" xfId="3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right" vertical="center" wrapText="1" readingOrder="2"/>
    </xf>
    <xf numFmtId="0" fontId="10" fillId="2" borderId="14" xfId="0" applyFont="1" applyFill="1" applyBorder="1" applyAlignment="1">
      <alignment horizontal="center" vertical="center" wrapText="1" readingOrder="1"/>
    </xf>
    <xf numFmtId="0" fontId="17" fillId="0" borderId="16" xfId="0" applyFont="1" applyBorder="1" applyAlignment="1">
      <alignment horizontal="right" readingOrder="2"/>
    </xf>
    <xf numFmtId="0" fontId="14" fillId="6" borderId="15" xfId="0" applyFont="1" applyFill="1" applyBorder="1" applyAlignment="1">
      <alignment horizontal="center" vertical="center" wrapText="1" readingOrder="2"/>
    </xf>
    <xf numFmtId="0" fontId="10" fillId="7" borderId="13" xfId="0" applyFont="1" applyFill="1" applyBorder="1" applyAlignment="1">
      <alignment horizontal="right" vertical="center" wrapText="1" readingOrder="2"/>
    </xf>
    <xf numFmtId="9" fontId="10" fillId="7" borderId="13" xfId="0" applyNumberFormat="1" applyFont="1" applyFill="1" applyBorder="1" applyAlignment="1">
      <alignment horizontal="center" vertical="center" wrapText="1" readingOrder="1"/>
    </xf>
    <xf numFmtId="164" fontId="10" fillId="7" borderId="13" xfId="0" applyNumberFormat="1" applyFont="1" applyFill="1" applyBorder="1" applyAlignment="1">
      <alignment horizontal="center" vertical="center" wrapText="1" readingOrder="1"/>
    </xf>
    <xf numFmtId="9" fontId="10" fillId="7" borderId="13" xfId="16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2"/>
    </xf>
    <xf numFmtId="9" fontId="10" fillId="7" borderId="17" xfId="16" applyFont="1" applyFill="1" applyBorder="1" applyAlignment="1">
      <alignment horizontal="center" vertical="center" wrapText="1" readingOrder="1"/>
    </xf>
    <xf numFmtId="0" fontId="10" fillId="7" borderId="15" xfId="0" applyFont="1" applyFill="1" applyBorder="1" applyAlignment="1">
      <alignment horizontal="right" vertical="center" wrapText="1" readingOrder="2"/>
    </xf>
    <xf numFmtId="9" fontId="10" fillId="7" borderId="15" xfId="16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2"/>
    </xf>
    <xf numFmtId="10" fontId="7" fillId="0" borderId="0" xfId="16" applyNumberFormat="1" applyFont="1" applyFill="1"/>
    <xf numFmtId="165" fontId="0" fillId="0" borderId="0" xfId="0" applyNumberFormat="1"/>
    <xf numFmtId="0" fontId="7" fillId="0" borderId="0" xfId="12"/>
    <xf numFmtId="0" fontId="7" fillId="0" borderId="0" xfId="6"/>
    <xf numFmtId="0" fontId="14" fillId="4" borderId="15" xfId="12" applyFont="1" applyFill="1" applyBorder="1" applyAlignment="1">
      <alignment horizontal="center" vertical="center" wrapText="1" readingOrder="2"/>
    </xf>
    <xf numFmtId="0" fontId="14" fillId="4" borderId="19" xfId="12" applyFont="1" applyFill="1" applyBorder="1" applyAlignment="1">
      <alignment vertical="center" readingOrder="2"/>
    </xf>
    <xf numFmtId="0" fontId="14" fillId="4" borderId="19" xfId="12" applyFont="1" applyFill="1" applyBorder="1" applyAlignment="1">
      <alignment vertical="center" wrapText="1" readingOrder="2"/>
    </xf>
    <xf numFmtId="0" fontId="10" fillId="7" borderId="17" xfId="12" applyFont="1" applyFill="1" applyBorder="1" applyAlignment="1">
      <alignment vertical="center" wrapText="1" readingOrder="2"/>
    </xf>
    <xf numFmtId="9" fontId="10" fillId="7" borderId="17" xfId="21" applyFont="1" applyFill="1" applyBorder="1" applyAlignment="1">
      <alignment vertical="center" wrapText="1" readingOrder="1"/>
    </xf>
    <xf numFmtId="0" fontId="10" fillId="7" borderId="20" xfId="12" applyFont="1" applyFill="1" applyBorder="1" applyAlignment="1">
      <alignment vertical="center" wrapText="1" readingOrder="2"/>
    </xf>
    <xf numFmtId="9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20" xfId="21" applyFont="1" applyFill="1" applyBorder="1" applyAlignment="1">
      <alignment vertical="center" wrapText="1" readingOrder="1"/>
    </xf>
    <xf numFmtId="9" fontId="10" fillId="7" borderId="13" xfId="18" applyFont="1" applyFill="1" applyBorder="1" applyAlignment="1">
      <alignment horizontal="center" vertical="center" readingOrder="1"/>
    </xf>
    <xf numFmtId="0" fontId="10" fillId="7" borderId="14" xfId="7" applyFont="1" applyFill="1" applyBorder="1" applyAlignment="1">
      <alignment horizontal="center" vertical="center" readingOrder="2"/>
    </xf>
    <xf numFmtId="9" fontId="10" fillId="7" borderId="20" xfId="21" applyFont="1" applyFill="1" applyBorder="1" applyAlignment="1">
      <alignment horizontal="center" vertical="center" wrapText="1" readingOrder="1"/>
    </xf>
    <xf numFmtId="0" fontId="10" fillId="7" borderId="13" xfId="12" applyFont="1" applyFill="1" applyBorder="1" applyAlignment="1">
      <alignment vertical="center" wrapText="1" readingOrder="2"/>
    </xf>
    <xf numFmtId="9" fontId="10" fillId="7" borderId="13" xfId="21" applyFont="1" applyFill="1" applyBorder="1" applyAlignment="1">
      <alignment vertical="center" wrapText="1" readingOrder="1"/>
    </xf>
    <xf numFmtId="164" fontId="10" fillId="7" borderId="13" xfId="18" applyNumberFormat="1" applyFont="1" applyFill="1" applyBorder="1" applyAlignment="1">
      <alignment horizontal="center" vertical="center" readingOrder="1"/>
    </xf>
    <xf numFmtId="9" fontId="10" fillId="7" borderId="20" xfId="21" applyFont="1" applyFill="1" applyBorder="1" applyAlignment="1">
      <alignment horizontal="center" wrapText="1" readingOrder="1"/>
    </xf>
    <xf numFmtId="0" fontId="10" fillId="7" borderId="13" xfId="12" applyFont="1" applyFill="1" applyBorder="1" applyAlignment="1">
      <alignment horizontal="right" vertical="center" wrapText="1" readingOrder="2"/>
    </xf>
    <xf numFmtId="9" fontId="10" fillId="7" borderId="13" xfId="21" applyFont="1" applyFill="1" applyBorder="1" applyAlignment="1">
      <alignment horizontal="center" vertical="center" wrapText="1" readingOrder="1"/>
    </xf>
    <xf numFmtId="0" fontId="10" fillId="7" borderId="14" xfId="12" applyFont="1" applyFill="1" applyBorder="1" applyAlignment="1">
      <alignment horizontal="center" vertical="center" wrapText="1" readingOrder="2"/>
    </xf>
    <xf numFmtId="0" fontId="10" fillId="7" borderId="14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center" vertical="center" readingOrder="2"/>
    </xf>
    <xf numFmtId="0" fontId="10" fillId="7" borderId="13" xfId="12" applyFont="1" applyFill="1" applyBorder="1" applyAlignment="1">
      <alignment horizontal="right" vertical="center" readingOrder="2"/>
    </xf>
    <xf numFmtId="9" fontId="10" fillId="7" borderId="20" xfId="12" applyNumberFormat="1" applyFont="1" applyFill="1" applyBorder="1" applyAlignment="1">
      <alignment horizontal="center" vertical="center" wrapText="1" readingOrder="1"/>
    </xf>
    <xf numFmtId="9" fontId="10" fillId="7" borderId="17" xfId="21" applyFont="1" applyFill="1" applyBorder="1" applyAlignment="1">
      <alignment horizontal="center" vertical="center" wrapText="1" readingOrder="1"/>
    </xf>
    <xf numFmtId="0" fontId="17" fillId="0" borderId="0" xfId="12" applyFont="1" applyAlignment="1">
      <alignment horizontal="right" vertical="top" readingOrder="2"/>
    </xf>
    <xf numFmtId="164" fontId="10" fillId="7" borderId="21" xfId="12" applyNumberFormat="1" applyFont="1" applyFill="1" applyBorder="1" applyAlignment="1">
      <alignment horizontal="center" vertical="center" wrapText="1" readingOrder="1"/>
    </xf>
    <xf numFmtId="9" fontId="10" fillId="7" borderId="13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readingOrder="2"/>
    </xf>
    <xf numFmtId="0" fontId="10" fillId="7" borderId="18" xfId="8" applyFont="1" applyFill="1" applyBorder="1" applyAlignment="1">
      <alignment horizontal="center" vertical="center" readingOrder="2"/>
    </xf>
    <xf numFmtId="9" fontId="10" fillId="7" borderId="15" xfId="18" applyFont="1" applyFill="1" applyBorder="1" applyAlignment="1">
      <alignment horizontal="center" vertical="center" readingOrder="1"/>
    </xf>
    <xf numFmtId="0" fontId="10" fillId="7" borderId="18" xfId="7" applyFont="1" applyFill="1" applyBorder="1" applyAlignment="1">
      <alignment horizontal="center" vertical="center" readingOrder="2"/>
    </xf>
    <xf numFmtId="0" fontId="10" fillId="7" borderId="14" xfId="8" applyFont="1" applyFill="1" applyBorder="1" applyAlignment="1">
      <alignment horizontal="center" vertical="center" wrapText="1" readingOrder="2"/>
    </xf>
    <xf numFmtId="9" fontId="10" fillId="7" borderId="13" xfId="22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 readingOrder="2"/>
    </xf>
    <xf numFmtId="0" fontId="14" fillId="4" borderId="18" xfId="0" applyFont="1" applyFill="1" applyBorder="1" applyAlignment="1">
      <alignment horizontal="center" vertical="center" wrapText="1" readingOrder="2"/>
    </xf>
    <xf numFmtId="0" fontId="18" fillId="0" borderId="22" xfId="0" applyFont="1" applyBorder="1" applyAlignment="1">
      <alignment vertical="center" wrapText="1" readingOrder="2"/>
    </xf>
    <xf numFmtId="0" fontId="14" fillId="4" borderId="19" xfId="0" applyFont="1" applyFill="1" applyBorder="1" applyAlignment="1">
      <alignment vertical="center" readingOrder="2"/>
    </xf>
    <xf numFmtId="0" fontId="14" fillId="4" borderId="15" xfId="13" applyFont="1" applyFill="1" applyBorder="1" applyAlignment="1">
      <alignment horizontal="center" vertical="center" wrapText="1" readingOrder="2"/>
    </xf>
    <xf numFmtId="0" fontId="14" fillId="4" borderId="19" xfId="13" applyFont="1" applyFill="1" applyBorder="1" applyAlignment="1">
      <alignment vertical="center" readingOrder="2"/>
    </xf>
    <xf numFmtId="0" fontId="14" fillId="4" borderId="18" xfId="13" applyFont="1" applyFill="1" applyBorder="1" applyAlignment="1">
      <alignment vertical="center" readingOrder="2"/>
    </xf>
    <xf numFmtId="0" fontId="14" fillId="4" borderId="19" xfId="13" applyFont="1" applyFill="1" applyBorder="1" applyAlignment="1">
      <alignment horizontal="right" vertical="center" wrapText="1" indent="2" readingOrder="2"/>
    </xf>
    <xf numFmtId="9" fontId="10" fillId="7" borderId="14" xfId="19" applyFont="1" applyFill="1" applyBorder="1" applyAlignment="1">
      <alignment horizontal="center" vertical="center" readingOrder="1"/>
    </xf>
    <xf numFmtId="0" fontId="10" fillId="7" borderId="14" xfId="8" applyFont="1" applyFill="1" applyBorder="1" applyAlignment="1">
      <alignment horizontal="center" vertical="center" wrapText="1" readingOrder="1"/>
    </xf>
    <xf numFmtId="9" fontId="10" fillId="7" borderId="15" xfId="19" applyFont="1" applyFill="1" applyBorder="1" applyAlignment="1">
      <alignment horizontal="center" vertical="center" readingOrder="1"/>
    </xf>
    <xf numFmtId="0" fontId="10" fillId="7" borderId="18" xfId="8" applyFont="1" applyFill="1" applyBorder="1" applyAlignment="1">
      <alignment horizontal="center" vertical="center" wrapText="1" readingOrder="2"/>
    </xf>
    <xf numFmtId="0" fontId="19" fillId="4" borderId="24" xfId="0" applyFont="1" applyFill="1" applyBorder="1" applyAlignment="1">
      <alignment vertical="center" wrapText="1" readingOrder="2"/>
    </xf>
    <xf numFmtId="0" fontId="19" fillId="4" borderId="25" xfId="0" applyFont="1" applyFill="1" applyBorder="1" applyAlignment="1">
      <alignment vertical="center" wrapText="1" readingOrder="2"/>
    </xf>
    <xf numFmtId="0" fontId="19" fillId="4" borderId="26" xfId="0" applyFont="1" applyFill="1" applyBorder="1" applyAlignment="1">
      <alignment vertical="center" wrapText="1" readingOrder="2"/>
    </xf>
    <xf numFmtId="0" fontId="7" fillId="0" borderId="0" xfId="8" applyAlignment="1">
      <alignment wrapText="1"/>
    </xf>
    <xf numFmtId="0" fontId="10" fillId="7" borderId="20" xfId="0" applyFont="1" applyFill="1" applyBorder="1" applyAlignment="1">
      <alignment horizontal="right" vertical="center" wrapText="1" readingOrder="2"/>
    </xf>
    <xf numFmtId="9" fontId="11" fillId="7" borderId="13" xfId="16" applyFont="1" applyFill="1" applyBorder="1" applyAlignment="1">
      <alignment horizontal="center" vertical="center" wrapText="1" readingOrder="1"/>
    </xf>
    <xf numFmtId="9" fontId="20" fillId="7" borderId="13" xfId="16" applyFont="1" applyFill="1" applyBorder="1" applyAlignment="1">
      <alignment horizontal="center" vertical="center" wrapText="1" readingOrder="1"/>
    </xf>
    <xf numFmtId="0" fontId="7" fillId="0" borderId="0" xfId="14"/>
    <xf numFmtId="0" fontId="14" fillId="4" borderId="15" xfId="14" applyFont="1" applyFill="1" applyBorder="1" applyAlignment="1">
      <alignment horizontal="center" vertical="center" wrapText="1" readingOrder="2"/>
    </xf>
    <xf numFmtId="0" fontId="14" fillId="4" borderId="15" xfId="2" applyFont="1" applyFill="1" applyBorder="1" applyAlignment="1">
      <alignment horizontal="center" vertical="center" readingOrder="2"/>
    </xf>
    <xf numFmtId="0" fontId="10" fillId="7" borderId="13" xfId="14" applyFont="1" applyFill="1" applyBorder="1" applyAlignment="1">
      <alignment horizontal="right" vertical="center" wrapText="1" readingOrder="2"/>
    </xf>
    <xf numFmtId="9" fontId="10" fillId="7" borderId="13" xfId="24" applyFont="1" applyFill="1" applyBorder="1" applyAlignment="1">
      <alignment horizontal="center" vertical="center" wrapText="1" readingOrder="1"/>
    </xf>
    <xf numFmtId="0" fontId="10" fillId="7" borderId="14" xfId="14" applyFont="1" applyFill="1" applyBorder="1" applyAlignment="1">
      <alignment horizontal="center" vertical="center" wrapText="1" readingOrder="2"/>
    </xf>
    <xf numFmtId="0" fontId="17" fillId="0" borderId="16" xfId="2" applyFont="1" applyBorder="1" applyAlignment="1">
      <alignment horizontal="right" readingOrder="2"/>
    </xf>
    <xf numFmtId="0" fontId="17" fillId="0" borderId="16" xfId="14" applyFont="1" applyBorder="1" applyAlignment="1">
      <alignment horizontal="right" readingOrder="2"/>
    </xf>
    <xf numFmtId="0" fontId="9" fillId="0" borderId="12" xfId="26"/>
    <xf numFmtId="0" fontId="9" fillId="0" borderId="12" xfId="26" applyAlignment="1">
      <alignment horizontal="right" vertical="center" readingOrder="2"/>
    </xf>
    <xf numFmtId="0" fontId="9" fillId="0" borderId="12" xfId="26" applyAlignment="1">
      <alignment vertical="center" wrapText="1" readingOrder="2"/>
    </xf>
    <xf numFmtId="0" fontId="13" fillId="3" borderId="0" xfId="3" applyFont="1" applyFill="1" applyAlignment="1">
      <alignment horizontal="center" vertical="center"/>
    </xf>
    <xf numFmtId="0" fontId="8" fillId="0" borderId="0" xfId="0" applyFont="1" applyAlignment="1">
      <alignment vertical="center" wrapText="1" readingOrder="2"/>
    </xf>
    <xf numFmtId="0" fontId="22" fillId="0" borderId="0" xfId="6" applyFont="1"/>
    <xf numFmtId="0" fontId="23" fillId="0" borderId="0" xfId="0" applyFont="1" applyAlignment="1">
      <alignment vertical="center" wrapText="1" readingOrder="2"/>
    </xf>
    <xf numFmtId="0" fontId="17" fillId="0" borderId="0" xfId="0" applyFont="1" applyAlignment="1">
      <alignment horizontal="right" readingOrder="2"/>
    </xf>
    <xf numFmtId="164" fontId="10" fillId="7" borderId="13" xfId="16" applyNumberFormat="1" applyFont="1" applyFill="1" applyBorder="1" applyAlignment="1">
      <alignment horizontal="center" vertical="center" wrapText="1" readingOrder="1"/>
    </xf>
    <xf numFmtId="0" fontId="10" fillId="8" borderId="13" xfId="0" applyFont="1" applyFill="1" applyBorder="1" applyAlignment="1">
      <alignment horizontal="right" vertical="center" wrapText="1" readingOrder="2"/>
    </xf>
    <xf numFmtId="0" fontId="14" fillId="4" borderId="2" xfId="0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14" fillId="6" borderId="3" xfId="0" applyFont="1" applyFill="1" applyBorder="1" applyAlignment="1">
      <alignment horizontal="center" vertical="center" wrapText="1" readingOrder="2"/>
    </xf>
    <xf numFmtId="0" fontId="14" fillId="4" borderId="4" xfId="0" applyFont="1" applyFill="1" applyBorder="1" applyAlignment="1">
      <alignment horizontal="center" vertical="center" readingOrder="2"/>
    </xf>
    <xf numFmtId="0" fontId="10" fillId="7" borderId="5" xfId="0" applyFont="1" applyFill="1" applyBorder="1" applyAlignment="1">
      <alignment horizontal="center" vertical="center" wrapText="1" readingOrder="2"/>
    </xf>
    <xf numFmtId="9" fontId="0" fillId="0" borderId="1" xfId="0" applyNumberForma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 wrapText="1" readingOrder="2"/>
    </xf>
    <xf numFmtId="0" fontId="10" fillId="7" borderId="7" xfId="0" applyFont="1" applyFill="1" applyBorder="1" applyAlignment="1">
      <alignment horizontal="center" vertical="center" wrapText="1" readingOrder="2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10" fillId="8" borderId="27" xfId="0" applyNumberFormat="1" applyFont="1" applyFill="1" applyBorder="1" applyAlignment="1">
      <alignment horizontal="right" vertical="center" wrapText="1" readingOrder="2"/>
    </xf>
    <xf numFmtId="0" fontId="10" fillId="7" borderId="21" xfId="12" applyFont="1" applyFill="1" applyBorder="1" applyAlignment="1">
      <alignment vertical="center" wrapText="1" readingOrder="2"/>
    </xf>
    <xf numFmtId="0" fontId="10" fillId="7" borderId="20" xfId="12" applyFont="1" applyFill="1" applyBorder="1" applyAlignment="1">
      <alignment horizontal="right" vertical="center" wrapText="1" readingOrder="2"/>
    </xf>
    <xf numFmtId="0" fontId="27" fillId="0" borderId="0" xfId="6" applyFont="1"/>
    <xf numFmtId="0" fontId="14" fillId="4" borderId="34" xfId="0" applyFont="1" applyFill="1" applyBorder="1" applyAlignment="1">
      <alignment horizontal="center" vertical="center" wrapText="1" readingOrder="2"/>
    </xf>
    <xf numFmtId="0" fontId="8" fillId="0" borderId="0" xfId="6" applyFont="1" applyAlignment="1">
      <alignment horizontal="center"/>
    </xf>
    <xf numFmtId="9" fontId="10" fillId="7" borderId="45" xfId="21" applyFont="1" applyFill="1" applyBorder="1" applyAlignment="1">
      <alignment horizontal="center" vertical="center" wrapText="1" readingOrder="1"/>
    </xf>
    <xf numFmtId="0" fontId="10" fillId="7" borderId="17" xfId="12" applyFont="1" applyFill="1" applyBorder="1" applyAlignment="1">
      <alignment horizontal="center" vertical="center" wrapText="1" readingOrder="2"/>
    </xf>
    <xf numFmtId="0" fontId="10" fillId="7" borderId="15" xfId="12" applyFont="1" applyFill="1" applyBorder="1" applyAlignment="1">
      <alignment horizontal="center" vertical="center" wrapText="1" readingOrder="2"/>
    </xf>
    <xf numFmtId="9" fontId="10" fillId="7" borderId="15" xfId="21" applyFont="1" applyFill="1" applyBorder="1" applyAlignment="1">
      <alignment horizontal="center" vertical="center" wrapText="1" readingOrder="1"/>
    </xf>
    <xf numFmtId="9" fontId="10" fillId="7" borderId="47" xfId="21" applyFont="1" applyFill="1" applyBorder="1" applyAlignment="1">
      <alignment horizontal="center" vertical="center" wrapText="1" readingOrder="1"/>
    </xf>
    <xf numFmtId="0" fontId="9" fillId="0" borderId="0" xfId="26" applyBorder="1" applyAlignment="1">
      <alignment vertical="center" readingOrder="2"/>
    </xf>
    <xf numFmtId="0" fontId="9" fillId="0" borderId="0" xfId="26" applyBorder="1" applyAlignment="1">
      <alignment horizontal="center" vertical="center" readingOrder="2"/>
    </xf>
    <xf numFmtId="9" fontId="10" fillId="0" borderId="1" xfId="16" applyFont="1" applyFill="1" applyBorder="1" applyAlignment="1">
      <alignment horizontal="center" vertical="center" wrapText="1" readingOrder="1"/>
    </xf>
    <xf numFmtId="9" fontId="33" fillId="0" borderId="8" xfId="0" applyNumberFormat="1" applyFont="1" applyBorder="1" applyAlignment="1">
      <alignment horizontal="center" vertical="center"/>
    </xf>
    <xf numFmtId="9" fontId="10" fillId="7" borderId="13" xfId="14" applyNumberFormat="1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2"/>
    </xf>
    <xf numFmtId="0" fontId="30" fillId="0" borderId="6" xfId="0" applyFont="1" applyBorder="1" applyAlignment="1">
      <alignment vertical="center" wrapText="1" readingOrder="2"/>
    </xf>
    <xf numFmtId="0" fontId="30" fillId="0" borderId="49" xfId="0" applyFont="1" applyBorder="1" applyAlignment="1">
      <alignment vertical="center" wrapText="1" readingOrder="2"/>
    </xf>
    <xf numFmtId="0" fontId="8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8" fillId="0" borderId="0" xfId="0" applyFont="1"/>
    <xf numFmtId="0" fontId="8" fillId="0" borderId="0" xfId="6" applyFont="1"/>
    <xf numFmtId="0" fontId="9" fillId="0" borderId="0" xfId="26" applyBorder="1" applyAlignment="1">
      <alignment horizontal="center" vertical="center" readingOrder="2"/>
    </xf>
    <xf numFmtId="0" fontId="24" fillId="0" borderId="0" xfId="26" applyFont="1" applyBorder="1" applyAlignment="1">
      <alignment horizontal="center" vertical="center" readingOrder="2"/>
    </xf>
    <xf numFmtId="0" fontId="14" fillId="4" borderId="19" xfId="0" applyFont="1" applyFill="1" applyBorder="1" applyAlignment="1">
      <alignment horizontal="center" vertical="center" readingOrder="2"/>
    </xf>
    <xf numFmtId="0" fontId="14" fillId="4" borderId="18" xfId="0" applyFont="1" applyFill="1" applyBorder="1" applyAlignment="1">
      <alignment horizontal="center" vertical="center" readingOrder="2"/>
    </xf>
    <xf numFmtId="0" fontId="19" fillId="4" borderId="32" xfId="0" applyFont="1" applyFill="1" applyBorder="1" applyAlignment="1">
      <alignment horizontal="center" vertical="center" readingOrder="2"/>
    </xf>
    <xf numFmtId="0" fontId="19" fillId="4" borderId="0" xfId="0" applyFont="1" applyFill="1" applyAlignment="1">
      <alignment horizontal="center" vertical="center" readingOrder="2"/>
    </xf>
    <xf numFmtId="10" fontId="18" fillId="7" borderId="16" xfId="0" applyNumberFormat="1" applyFont="1" applyFill="1" applyBorder="1" applyAlignment="1">
      <alignment horizontal="center" vertical="center" wrapText="1" readingOrder="1"/>
    </xf>
    <xf numFmtId="0" fontId="14" fillId="3" borderId="0" xfId="0" applyFont="1" applyFill="1" applyAlignment="1">
      <alignment horizontal="center" vertical="center" wrapText="1" readingOrder="2"/>
    </xf>
    <xf numFmtId="0" fontId="21" fillId="0" borderId="0" xfId="0" applyFont="1" applyAlignment="1">
      <alignment horizontal="center" readingOrder="2"/>
    </xf>
    <xf numFmtId="0" fontId="19" fillId="4" borderId="27" xfId="0" applyFont="1" applyFill="1" applyBorder="1" applyAlignment="1">
      <alignment horizontal="center" vertical="center" readingOrder="2"/>
    </xf>
    <xf numFmtId="0" fontId="19" fillId="4" borderId="22" xfId="0" applyFont="1" applyFill="1" applyBorder="1" applyAlignment="1">
      <alignment horizontal="center" vertical="center" readingOrder="2"/>
    </xf>
    <xf numFmtId="10" fontId="18" fillId="7" borderId="35" xfId="0" applyNumberFormat="1" applyFont="1" applyFill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2" xfId="26" applyAlignment="1">
      <alignment horizontal="center" vertical="center" readingOrder="2"/>
    </xf>
    <xf numFmtId="0" fontId="24" fillId="0" borderId="29" xfId="26" applyFont="1" applyBorder="1" applyAlignment="1">
      <alignment horizontal="center" vertical="center" readingOrder="2"/>
    </xf>
    <xf numFmtId="0" fontId="26" fillId="0" borderId="22" xfId="12" applyFont="1" applyBorder="1" applyAlignment="1">
      <alignment horizontal="center" readingOrder="2"/>
    </xf>
    <xf numFmtId="0" fontId="8" fillId="0" borderId="16" xfId="12" applyFont="1" applyBorder="1" applyAlignment="1">
      <alignment horizontal="center"/>
    </xf>
    <xf numFmtId="0" fontId="8" fillId="0" borderId="0" xfId="12" applyFont="1" applyAlignment="1">
      <alignment horizontal="center"/>
    </xf>
    <xf numFmtId="10" fontId="18" fillId="8" borderId="19" xfId="0" applyNumberFormat="1" applyFont="1" applyFill="1" applyBorder="1" applyAlignment="1">
      <alignment horizontal="center" vertical="center" wrapText="1" readingOrder="1"/>
    </xf>
    <xf numFmtId="10" fontId="18" fillId="8" borderId="23" xfId="0" applyNumberFormat="1" applyFont="1" applyFill="1" applyBorder="1" applyAlignment="1">
      <alignment horizontal="center" vertical="center" wrapText="1" readingOrder="1"/>
    </xf>
    <xf numFmtId="0" fontId="8" fillId="0" borderId="0" xfId="6" applyFont="1" applyAlignment="1">
      <alignment horizontal="center"/>
    </xf>
    <xf numFmtId="0" fontId="19" fillId="4" borderId="36" xfId="0" applyFont="1" applyFill="1" applyBorder="1" applyAlignment="1">
      <alignment horizontal="center" vertical="center" wrapText="1" readingOrder="2"/>
    </xf>
    <xf numFmtId="0" fontId="19" fillId="4" borderId="0" xfId="0" applyFont="1" applyFill="1" applyAlignment="1">
      <alignment horizontal="center" vertical="center" wrapText="1" readingOrder="2"/>
    </xf>
    <xf numFmtId="0" fontId="29" fillId="8" borderId="36" xfId="0" applyFont="1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0" fontId="10" fillId="7" borderId="40" xfId="0" applyNumberFormat="1" applyFont="1" applyFill="1" applyBorder="1" applyAlignment="1">
      <alignment horizontal="center" vertical="center" wrapText="1" readingOrder="2"/>
    </xf>
    <xf numFmtId="0" fontId="10" fillId="7" borderId="41" xfId="0" applyFont="1" applyFill="1" applyBorder="1" applyAlignment="1">
      <alignment horizontal="center" vertical="center" wrapText="1" readingOrder="2"/>
    </xf>
    <xf numFmtId="0" fontId="8" fillId="0" borderId="16" xfId="0" applyFont="1" applyBorder="1" applyAlignment="1">
      <alignment horizontal="center"/>
    </xf>
    <xf numFmtId="10" fontId="10" fillId="7" borderId="11" xfId="0" applyNumberFormat="1" applyFont="1" applyFill="1" applyBorder="1" applyAlignment="1">
      <alignment horizontal="center" vertical="center" wrapText="1" readingOrder="2"/>
    </xf>
    <xf numFmtId="0" fontId="14" fillId="4" borderId="3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center" vertical="center" wrapText="1" readingOrder="2"/>
    </xf>
    <xf numFmtId="0" fontId="19" fillId="4" borderId="37" xfId="0" applyFont="1" applyFill="1" applyBorder="1" applyAlignment="1">
      <alignment horizontal="center" vertical="center" wrapText="1" readingOrder="2"/>
    </xf>
    <xf numFmtId="0" fontId="19" fillId="4" borderId="38" xfId="0" applyFont="1" applyFill="1" applyBorder="1" applyAlignment="1">
      <alignment horizontal="center" vertical="center" wrapText="1" readingOrder="2"/>
    </xf>
    <xf numFmtId="0" fontId="24" fillId="0" borderId="48" xfId="26" applyFont="1" applyBorder="1" applyAlignment="1">
      <alignment horizontal="center" vertical="center" readingOrder="2"/>
    </xf>
    <xf numFmtId="10" fontId="10" fillId="7" borderId="35" xfId="0" applyNumberFormat="1" applyFont="1" applyFill="1" applyBorder="1" applyAlignment="1">
      <alignment horizontal="center" vertical="center" wrapText="1" readingOrder="2"/>
    </xf>
    <xf numFmtId="10" fontId="10" fillId="7" borderId="16" xfId="0" applyNumberFormat="1" applyFont="1" applyFill="1" applyBorder="1" applyAlignment="1">
      <alignment horizontal="center" vertical="center" wrapText="1" readingOrder="2"/>
    </xf>
    <xf numFmtId="10" fontId="10" fillId="7" borderId="41" xfId="0" applyNumberFormat="1" applyFont="1" applyFill="1" applyBorder="1" applyAlignment="1">
      <alignment horizontal="center" vertical="center" wrapText="1" readingOrder="2"/>
    </xf>
    <xf numFmtId="0" fontId="14" fillId="4" borderId="19" xfId="13" applyFont="1" applyFill="1" applyBorder="1" applyAlignment="1">
      <alignment horizontal="center" vertical="center" readingOrder="2"/>
    </xf>
    <xf numFmtId="0" fontId="14" fillId="4" borderId="18" xfId="13" applyFont="1" applyFill="1" applyBorder="1" applyAlignment="1">
      <alignment horizontal="center" vertical="center" readingOrder="2"/>
    </xf>
    <xf numFmtId="0" fontId="14" fillId="4" borderId="19" xfId="0" applyFont="1" applyFill="1" applyBorder="1" applyAlignment="1">
      <alignment horizontal="center" vertical="center" wrapText="1" readingOrder="2"/>
    </xf>
    <xf numFmtId="0" fontId="14" fillId="4" borderId="18" xfId="0" applyFont="1" applyFill="1" applyBorder="1" applyAlignment="1">
      <alignment horizontal="center" vertical="center" wrapText="1" readingOrder="2"/>
    </xf>
    <xf numFmtId="9" fontId="10" fillId="7" borderId="35" xfId="19" applyFont="1" applyFill="1" applyBorder="1" applyAlignment="1">
      <alignment horizontal="center" vertical="center" readingOrder="1"/>
    </xf>
    <xf numFmtId="9" fontId="10" fillId="7" borderId="46" xfId="19" applyFont="1" applyFill="1" applyBorder="1" applyAlignment="1">
      <alignment horizontal="center" vertical="center" readingOrder="1"/>
    </xf>
    <xf numFmtId="0" fontId="19" fillId="4" borderId="32" xfId="0" applyFont="1" applyFill="1" applyBorder="1" applyAlignment="1">
      <alignment horizontal="center" vertical="center" wrapText="1" readingOrder="2"/>
    </xf>
    <xf numFmtId="164" fontId="10" fillId="7" borderId="19" xfId="18" applyNumberFormat="1" applyFont="1" applyFill="1" applyBorder="1" applyAlignment="1">
      <alignment horizontal="center" vertical="center" readingOrder="1"/>
    </xf>
    <xf numFmtId="164" fontId="10" fillId="7" borderId="18" xfId="18" applyNumberFormat="1" applyFont="1" applyFill="1" applyBorder="1" applyAlignment="1">
      <alignment horizontal="center" vertical="center" readingOrder="1"/>
    </xf>
    <xf numFmtId="9" fontId="10" fillId="7" borderId="19" xfId="19" applyFont="1" applyFill="1" applyBorder="1" applyAlignment="1">
      <alignment horizontal="center" vertical="center" readingOrder="1"/>
    </xf>
    <xf numFmtId="9" fontId="10" fillId="7" borderId="18" xfId="19" applyFont="1" applyFill="1" applyBorder="1" applyAlignment="1">
      <alignment horizontal="center" vertical="center" readingOrder="1"/>
    </xf>
    <xf numFmtId="9" fontId="10" fillId="7" borderId="19" xfId="21" applyFont="1" applyFill="1" applyBorder="1" applyAlignment="1">
      <alignment horizontal="center" vertical="center" wrapText="1" readingOrder="1"/>
    </xf>
    <xf numFmtId="9" fontId="10" fillId="7" borderId="18" xfId="21" applyFont="1" applyFill="1" applyBorder="1" applyAlignment="1">
      <alignment horizontal="center" vertical="center" wrapText="1" readingOrder="1"/>
    </xf>
    <xf numFmtId="9" fontId="10" fillId="7" borderId="19" xfId="18" applyFont="1" applyFill="1" applyBorder="1" applyAlignment="1">
      <alignment horizontal="center" vertical="center" readingOrder="1"/>
    </xf>
    <xf numFmtId="9" fontId="10" fillId="7" borderId="18" xfId="18" applyFont="1" applyFill="1" applyBorder="1" applyAlignment="1">
      <alignment horizontal="center" vertical="center" readingOrder="1"/>
    </xf>
    <xf numFmtId="0" fontId="10" fillId="7" borderId="19" xfId="12" applyFont="1" applyFill="1" applyBorder="1" applyAlignment="1">
      <alignment horizontal="center" vertical="center" wrapText="1" readingOrder="2"/>
    </xf>
    <xf numFmtId="0" fontId="10" fillId="7" borderId="18" xfId="12" applyFont="1" applyFill="1" applyBorder="1" applyAlignment="1">
      <alignment horizontal="center" vertical="center" wrapText="1" readingOrder="2"/>
    </xf>
    <xf numFmtId="10" fontId="10" fillId="7" borderId="32" xfId="0" applyNumberFormat="1" applyFont="1" applyFill="1" applyBorder="1" applyAlignment="1">
      <alignment horizontal="center" vertical="center" wrapText="1" readingOrder="2"/>
    </xf>
    <xf numFmtId="10" fontId="10" fillId="7" borderId="0" xfId="0" applyNumberFormat="1" applyFont="1" applyFill="1" applyAlignment="1">
      <alignment horizontal="center" vertical="center" wrapText="1" readingOrder="2"/>
    </xf>
    <xf numFmtId="0" fontId="32" fillId="0" borderId="0" xfId="0" applyFont="1" applyAlignment="1">
      <alignment horizontal="center" vertical="center"/>
    </xf>
    <xf numFmtId="0" fontId="26" fillId="0" borderId="0" xfId="12" applyFont="1" applyAlignment="1">
      <alignment horizontal="center" readingOrder="2"/>
    </xf>
    <xf numFmtId="0" fontId="35" fillId="0" borderId="0" xfId="6" applyFont="1" applyAlignment="1">
      <alignment horizontal="center"/>
    </xf>
    <xf numFmtId="10" fontId="10" fillId="7" borderId="39" xfId="0" applyNumberFormat="1" applyFont="1" applyFill="1" applyBorder="1" applyAlignment="1">
      <alignment horizontal="center" vertical="center" wrapText="1" readingOrder="2"/>
    </xf>
    <xf numFmtId="0" fontId="29" fillId="8" borderId="1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25" fillId="4" borderId="33" xfId="0" applyFont="1" applyFill="1" applyBorder="1" applyAlignment="1">
      <alignment horizontal="center" vertical="center" wrapText="1" readingOrder="2"/>
    </xf>
    <xf numFmtId="0" fontId="25" fillId="4" borderId="23" xfId="0" applyFont="1" applyFill="1" applyBorder="1" applyAlignment="1">
      <alignment horizontal="center" vertical="center" wrapText="1" readingOrder="2"/>
    </xf>
    <xf numFmtId="0" fontId="14" fillId="4" borderId="42" xfId="0" applyFont="1" applyFill="1" applyBorder="1" applyAlignment="1">
      <alignment horizontal="center" vertical="center" wrapText="1" readingOrder="2"/>
    </xf>
    <xf numFmtId="0" fontId="14" fillId="4" borderId="34" xfId="0" applyFont="1" applyFill="1" applyBorder="1" applyAlignment="1">
      <alignment horizontal="center" vertical="center" wrapText="1" readingOrder="2"/>
    </xf>
    <xf numFmtId="10" fontId="18" fillId="8" borderId="40" xfId="0" applyNumberFormat="1" applyFont="1" applyFill="1" applyBorder="1" applyAlignment="1">
      <alignment horizontal="center" vertical="center" wrapText="1" readingOrder="1"/>
    </xf>
    <xf numFmtId="10" fontId="18" fillId="8" borderId="41" xfId="0" applyNumberFormat="1" applyFont="1" applyFill="1" applyBorder="1" applyAlignment="1">
      <alignment horizontal="center" vertical="center" wrapText="1" readingOrder="1"/>
    </xf>
    <xf numFmtId="0" fontId="26" fillId="0" borderId="0" xfId="0" applyFont="1" applyAlignment="1">
      <alignment horizontal="center" readingOrder="2"/>
    </xf>
    <xf numFmtId="0" fontId="8" fillId="0" borderId="21" xfId="6" applyFont="1" applyBorder="1" applyAlignment="1">
      <alignment horizontal="center"/>
    </xf>
    <xf numFmtId="0" fontId="19" fillId="4" borderId="27" xfId="0" applyFont="1" applyFill="1" applyBorder="1" applyAlignment="1">
      <alignment horizontal="center" vertical="center" wrapText="1" readingOrder="2"/>
    </xf>
    <xf numFmtId="0" fontId="19" fillId="4" borderId="22" xfId="0" applyFont="1" applyFill="1" applyBorder="1" applyAlignment="1">
      <alignment horizontal="center" vertical="center" wrapText="1" readingOrder="2"/>
    </xf>
    <xf numFmtId="0" fontId="19" fillId="4" borderId="21" xfId="0" applyFont="1" applyFill="1" applyBorder="1" applyAlignment="1">
      <alignment horizontal="center" vertical="center" readingOrder="2"/>
    </xf>
    <xf numFmtId="0" fontId="8" fillId="0" borderId="0" xfId="0" applyFont="1" applyAlignment="1">
      <alignment horizontal="center" vertical="center" wrapText="1" readingOrder="2"/>
    </xf>
    <xf numFmtId="10" fontId="18" fillId="7" borderId="0" xfId="0" applyNumberFormat="1" applyFont="1" applyFill="1" applyAlignment="1">
      <alignment horizontal="center" vertical="center" wrapText="1" readingOrder="1"/>
    </xf>
    <xf numFmtId="0" fontId="8" fillId="0" borderId="0" xfId="8" applyFont="1" applyAlignment="1">
      <alignment horizontal="center" wrapText="1"/>
    </xf>
    <xf numFmtId="0" fontId="19" fillId="4" borderId="30" xfId="0" applyFont="1" applyFill="1" applyBorder="1" applyAlignment="1">
      <alignment horizontal="center" vertical="center" readingOrder="2"/>
    </xf>
    <xf numFmtId="0" fontId="19" fillId="4" borderId="31" xfId="0" applyFont="1" applyFill="1" applyBorder="1" applyAlignment="1">
      <alignment horizontal="center" vertical="center" readingOrder="2"/>
    </xf>
    <xf numFmtId="9" fontId="10" fillId="8" borderId="43" xfId="16" applyFont="1" applyFill="1" applyBorder="1" applyAlignment="1">
      <alignment horizontal="center" vertical="center" wrapText="1" readingOrder="1"/>
    </xf>
    <xf numFmtId="0" fontId="0" fillId="8" borderId="44" xfId="0" applyFill="1" applyBorder="1" applyAlignment="1">
      <alignment horizontal="center" vertical="center" wrapText="1" readingOrder="1"/>
    </xf>
    <xf numFmtId="0" fontId="14" fillId="3" borderId="23" xfId="0" applyFont="1" applyFill="1" applyBorder="1" applyAlignment="1">
      <alignment horizontal="center" vertical="center" wrapText="1" readingOrder="2"/>
    </xf>
    <xf numFmtId="10" fontId="10" fillId="7" borderId="19" xfId="16" applyNumberFormat="1" applyFont="1" applyFill="1" applyBorder="1" applyAlignment="1">
      <alignment horizontal="center" vertical="center" wrapText="1" readingOrder="2"/>
    </xf>
    <xf numFmtId="10" fontId="10" fillId="7" borderId="23" xfId="16" applyNumberFormat="1" applyFont="1" applyFill="1" applyBorder="1" applyAlignment="1">
      <alignment horizontal="center" vertical="center" wrapText="1" readingOrder="2"/>
    </xf>
    <xf numFmtId="10" fontId="10" fillId="8" borderId="35" xfId="0" applyNumberFormat="1" applyFont="1" applyFill="1" applyBorder="1" applyAlignment="1">
      <alignment horizontal="center" vertical="center" wrapText="1" readingOrder="2"/>
    </xf>
    <xf numFmtId="10" fontId="10" fillId="8" borderId="16" xfId="0" applyNumberFormat="1" applyFont="1" applyFill="1" applyBorder="1" applyAlignment="1">
      <alignment horizontal="center" vertical="center" wrapText="1" readingOrder="2"/>
    </xf>
    <xf numFmtId="10" fontId="18" fillId="7" borderId="19" xfId="0" applyNumberFormat="1" applyFont="1" applyFill="1" applyBorder="1" applyAlignment="1">
      <alignment horizontal="center" vertical="center" wrapText="1" readingOrder="1"/>
    </xf>
    <xf numFmtId="10" fontId="18" fillId="7" borderId="23" xfId="0" applyNumberFormat="1" applyFont="1" applyFill="1" applyBorder="1" applyAlignment="1">
      <alignment horizontal="center" vertical="center" wrapText="1" readingOrder="1"/>
    </xf>
    <xf numFmtId="0" fontId="8" fillId="0" borderId="38" xfId="6" applyFont="1" applyBorder="1" applyAlignment="1">
      <alignment horizontal="center"/>
    </xf>
    <xf numFmtId="0" fontId="8" fillId="0" borderId="16" xfId="6" applyFont="1" applyBorder="1" applyAlignment="1">
      <alignment horizontal="center"/>
    </xf>
    <xf numFmtId="0" fontId="28" fillId="4" borderId="10" xfId="0" applyFont="1" applyFill="1" applyBorder="1" applyAlignment="1">
      <alignment horizontal="center" vertical="center" wrapText="1" readingOrder="2"/>
    </xf>
    <xf numFmtId="0" fontId="34" fillId="0" borderId="11" xfId="0" applyFont="1" applyBorder="1" applyAlignment="1">
      <alignment horizontal="center" vertical="center" wrapText="1" readingOrder="2"/>
    </xf>
    <xf numFmtId="10" fontId="18" fillId="7" borderId="22" xfId="0" applyNumberFormat="1" applyFont="1" applyFill="1" applyBorder="1" applyAlignment="1">
      <alignment horizontal="center" vertical="center" wrapText="1" readingOrder="1"/>
    </xf>
    <xf numFmtId="0" fontId="19" fillId="0" borderId="23" xfId="0" applyFont="1" applyBorder="1" applyAlignment="1">
      <alignment horizontal="center" vertical="center" readingOrder="2"/>
    </xf>
    <xf numFmtId="0" fontId="18" fillId="0" borderId="22" xfId="0" applyFont="1" applyBorder="1" applyAlignment="1">
      <alignment horizontal="center" vertical="center" readingOrder="2"/>
    </xf>
    <xf numFmtId="0" fontId="19" fillId="4" borderId="19" xfId="0" applyFont="1" applyFill="1" applyBorder="1" applyAlignment="1">
      <alignment horizontal="center" vertical="center" wrapText="1" readingOrder="2"/>
    </xf>
    <xf numFmtId="0" fontId="19" fillId="4" borderId="23" xfId="0" applyFont="1" applyFill="1" applyBorder="1" applyAlignment="1">
      <alignment horizontal="center" vertical="center" wrapText="1" readingOrder="2"/>
    </xf>
    <xf numFmtId="0" fontId="19" fillId="4" borderId="19" xfId="0" applyFont="1" applyFill="1" applyBorder="1" applyAlignment="1">
      <alignment horizontal="center" vertical="center" readingOrder="2"/>
    </xf>
    <xf numFmtId="0" fontId="19" fillId="4" borderId="23" xfId="0" applyFont="1" applyFill="1" applyBorder="1" applyAlignment="1">
      <alignment horizontal="center" vertical="center" readingOrder="2"/>
    </xf>
    <xf numFmtId="0" fontId="14" fillId="3" borderId="16" xfId="0" applyFont="1" applyFill="1" applyBorder="1" applyAlignment="1">
      <alignment horizontal="center" vertical="center" wrapText="1" readingOrder="2"/>
    </xf>
    <xf numFmtId="0" fontId="18" fillId="0" borderId="22" xfId="14" applyFont="1" applyBorder="1" applyAlignment="1">
      <alignment horizontal="center" vertical="center" wrapText="1" readingOrder="2"/>
    </xf>
    <xf numFmtId="0" fontId="19" fillId="4" borderId="27" xfId="14" applyFont="1" applyFill="1" applyBorder="1" applyAlignment="1">
      <alignment horizontal="center" vertical="center" wrapText="1" readingOrder="2"/>
    </xf>
    <xf numFmtId="0" fontId="19" fillId="4" borderId="22" xfId="14" applyFont="1" applyFill="1" applyBorder="1" applyAlignment="1">
      <alignment horizontal="center" vertical="center" wrapText="1" readingOrder="2"/>
    </xf>
    <xf numFmtId="0" fontId="8" fillId="0" borderId="0" xfId="14" applyFont="1" applyAlignment="1">
      <alignment horizontal="center"/>
    </xf>
    <xf numFmtId="0" fontId="14" fillId="4" borderId="19" xfId="14" applyFont="1" applyFill="1" applyBorder="1" applyAlignment="1">
      <alignment horizontal="center" vertical="center" wrapText="1" readingOrder="2"/>
    </xf>
    <xf numFmtId="0" fontId="23" fillId="0" borderId="18" xfId="14" applyFont="1" applyBorder="1" applyAlignment="1">
      <alignment horizontal="center" vertical="center" wrapText="1" readingOrder="2"/>
    </xf>
    <xf numFmtId="0" fontId="14" fillId="3" borderId="23" xfId="14" applyFont="1" applyFill="1" applyBorder="1" applyAlignment="1">
      <alignment horizontal="center" vertical="center" wrapText="1" readingOrder="2"/>
    </xf>
    <xf numFmtId="0" fontId="19" fillId="0" borderId="23" xfId="14" applyFont="1" applyBorder="1" applyAlignment="1">
      <alignment horizontal="center" vertical="center" wrapText="1" readingOrder="2"/>
    </xf>
  </cellXfs>
  <cellStyles count="27">
    <cellStyle name="Normal" xfId="0" builtinId="0"/>
    <cellStyle name="Normal 2" xfId="1" xr:uid="{00000000-0005-0000-0000-000001000000}"/>
    <cellStyle name="Normal 2 2" xfId="2" xr:uid="{00000000-0005-0000-0000-000002000000}"/>
    <cellStyle name="Normal 212" xfId="3" xr:uid="{00000000-0005-0000-0000-000003000000}"/>
    <cellStyle name="Normal 3" xfId="4" xr:uid="{00000000-0005-0000-0000-000004000000}"/>
    <cellStyle name="Normal 4" xfId="5" xr:uid="{00000000-0005-0000-0000-000005000000}"/>
    <cellStyle name="Normal 5 2" xfId="6" xr:uid="{00000000-0005-0000-0000-000006000000}"/>
    <cellStyle name="Normal 5 2 2" xfId="7" xr:uid="{00000000-0005-0000-0000-000007000000}"/>
    <cellStyle name="Normal 5 2 2 2" xfId="8" xr:uid="{00000000-0005-0000-0000-000008000000}"/>
    <cellStyle name="Normal 5 2 2 2 3" xfId="9" xr:uid="{00000000-0005-0000-0000-000009000000}"/>
    <cellStyle name="Normal 5 2 3" xfId="10" xr:uid="{00000000-0005-0000-0000-00000A000000}"/>
    <cellStyle name="Normal 5 3" xfId="11" xr:uid="{00000000-0005-0000-0000-00000B000000}"/>
    <cellStyle name="Normal 6" xfId="12" xr:uid="{00000000-0005-0000-0000-00000C000000}"/>
    <cellStyle name="Normal 6 2" xfId="13" xr:uid="{00000000-0005-0000-0000-00000D000000}"/>
    <cellStyle name="Normal 6 2 3" xfId="14" xr:uid="{00000000-0005-0000-0000-00000E000000}"/>
    <cellStyle name="Normal 6 3" xfId="15" xr:uid="{00000000-0005-0000-0000-00000F000000}"/>
    <cellStyle name="Percent" xfId="16" builtinId="5"/>
    <cellStyle name="Percent 2" xfId="17" xr:uid="{00000000-0005-0000-0000-000011000000}"/>
    <cellStyle name="Percent 2 3" xfId="18" xr:uid="{00000000-0005-0000-0000-000012000000}"/>
    <cellStyle name="Percent 2 3 2" xfId="19" xr:uid="{00000000-0005-0000-0000-000013000000}"/>
    <cellStyle name="Percent 2 3 2 2" xfId="20" xr:uid="{00000000-0005-0000-0000-000014000000}"/>
    <cellStyle name="Percent 3" xfId="21" xr:uid="{00000000-0005-0000-0000-000015000000}"/>
    <cellStyle name="Percent 3 2" xfId="22" xr:uid="{00000000-0005-0000-0000-000016000000}"/>
    <cellStyle name="Percent 3 2 3" xfId="23" xr:uid="{00000000-0005-0000-0000-000017000000}"/>
    <cellStyle name="Percent 3 3" xfId="24" xr:uid="{00000000-0005-0000-0000-000018000000}"/>
    <cellStyle name="Percent 5" xfId="25" xr:uid="{00000000-0005-0000-0000-000019000000}"/>
    <cellStyle name="כותרת 1" xfId="26" builtin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1601932</xdr:colOff>
      <xdr:row>0</xdr:row>
      <xdr:rowOff>34637</xdr:rowOff>
    </xdr:from>
    <xdr:to>
      <xdr:col>8</xdr:col>
      <xdr:colOff>228600</xdr:colOff>
      <xdr:row>0</xdr:row>
      <xdr:rowOff>358487</xdr:rowOff>
    </xdr:to>
    <xdr:pic>
      <xdr:nvPicPr>
        <xdr:cNvPr id="3" name="Picture 2" descr="קוֹבֶץ זֶה הוּנְגַּש עַל יְדֵי חברת אֵיְי טוּ זִי - סֶמֶל הַנגישוּת">
          <a:extLst>
            <a:ext uri="{FF2B5EF4-FFF2-40B4-BE49-F238E27FC236}">
              <a16:creationId xmlns:a16="http://schemas.microsoft.com/office/drawing/2014/main" id="{6A4152B7-BB74-4A19-939B-8D8D80CC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0270673" y="34637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171450</xdr:rowOff>
    </xdr:from>
    <xdr:to>
      <xdr:col>6</xdr:col>
      <xdr:colOff>790575</xdr:colOff>
      <xdr:row>1</xdr:row>
      <xdr:rowOff>114300</xdr:rowOff>
    </xdr:to>
    <xdr:pic>
      <xdr:nvPicPr>
        <xdr:cNvPr id="2" name="Picture 2" descr="קוֹבֶץ זֶה הוּנְגַּש עַל יְדֵי חברת אֵיְי טוּ זִי - סֶמֶל הַנגישוּת">
          <a:extLst>
            <a:ext uri="{FF2B5EF4-FFF2-40B4-BE49-F238E27FC236}">
              <a16:creationId xmlns:a16="http://schemas.microsoft.com/office/drawing/2014/main" id="{1540E632-4BE0-4D51-A28C-62C08A3EE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6270075" y="1714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52"/>
  <sheetViews>
    <sheetView showGridLines="0" rightToLeft="1" tabSelected="1" zoomScale="110" zoomScaleNormal="110" zoomScaleSheetLayoutView="100" workbookViewId="0">
      <selection activeCell="J2" sqref="J2"/>
    </sheetView>
  </sheetViews>
  <sheetFormatPr defaultColWidth="8.875" defaultRowHeight="14.25" x14ac:dyDescent="0.2"/>
  <cols>
    <col min="1" max="1" width="10.75" customWidth="1"/>
    <col min="2" max="2" width="36" customWidth="1"/>
    <col min="3" max="4" width="15.25" bestFit="1" customWidth="1"/>
    <col min="5" max="5" width="11.5" customWidth="1"/>
    <col min="6" max="6" width="23.625" customWidth="1"/>
    <col min="8" max="8" width="22.25" bestFit="1" customWidth="1"/>
  </cols>
  <sheetData>
    <row r="1" spans="1:9" ht="30" customHeight="1" x14ac:dyDescent="0.2">
      <c r="B1" s="133" t="s">
        <v>114</v>
      </c>
      <c r="C1" s="133"/>
      <c r="D1" s="133"/>
      <c r="E1" s="133"/>
      <c r="F1" s="133"/>
      <c r="G1" s="133"/>
      <c r="H1" s="133"/>
    </row>
    <row r="2" spans="1:9" ht="30" customHeight="1" x14ac:dyDescent="0.2">
      <c r="B2" s="134" t="s">
        <v>106</v>
      </c>
      <c r="C2" s="134"/>
      <c r="D2" s="134"/>
      <c r="E2" s="134"/>
      <c r="F2" s="134"/>
      <c r="G2" s="134"/>
      <c r="H2" s="134"/>
    </row>
    <row r="3" spans="1:9" ht="18" x14ac:dyDescent="0.2">
      <c r="A3" s="145" t="s">
        <v>222</v>
      </c>
      <c r="B3" s="137" t="s">
        <v>57</v>
      </c>
      <c r="C3" s="138"/>
      <c r="D3" s="138"/>
      <c r="E3" s="138"/>
      <c r="F3" s="138"/>
      <c r="G3" s="138"/>
      <c r="H3" s="138"/>
      <c r="I3" s="146" t="s">
        <v>223</v>
      </c>
    </row>
    <row r="4" spans="1:9" ht="18.75" thickBot="1" x14ac:dyDescent="0.25">
      <c r="A4" s="145"/>
      <c r="B4" s="142" t="s">
        <v>135</v>
      </c>
      <c r="C4" s="143"/>
      <c r="D4" s="143"/>
      <c r="E4" s="143"/>
      <c r="F4" s="143"/>
      <c r="G4" s="143"/>
      <c r="H4" s="143"/>
      <c r="I4" s="146"/>
    </row>
    <row r="5" spans="1:9" ht="45" x14ac:dyDescent="0.2">
      <c r="A5" s="145"/>
      <c r="B5" s="9" t="s">
        <v>0</v>
      </c>
      <c r="C5" s="15" t="s">
        <v>215</v>
      </c>
      <c r="D5" s="114" t="s">
        <v>216</v>
      </c>
      <c r="E5" s="9" t="s">
        <v>40</v>
      </c>
      <c r="F5" s="135" t="s">
        <v>10</v>
      </c>
      <c r="G5" s="136"/>
      <c r="H5" s="9" t="s">
        <v>73</v>
      </c>
      <c r="I5" s="146"/>
    </row>
    <row r="6" spans="1:9" ht="36.75" customHeight="1" x14ac:dyDescent="0.2">
      <c r="A6" s="145"/>
      <c r="B6" s="16" t="s">
        <v>29</v>
      </c>
      <c r="C6" s="17">
        <v>0.51</v>
      </c>
      <c r="D6" s="17">
        <v>0.51</v>
      </c>
      <c r="E6" s="19">
        <v>0.06</v>
      </c>
      <c r="F6" s="19">
        <f>+C6-E6</f>
        <v>0.45</v>
      </c>
      <c r="G6" s="19">
        <f>+C6+E6</f>
        <v>0.57000000000000006</v>
      </c>
      <c r="H6" s="104" t="s">
        <v>84</v>
      </c>
      <c r="I6" s="146"/>
    </row>
    <row r="7" spans="1:9" ht="47.25" customHeight="1" x14ac:dyDescent="0.2">
      <c r="A7" s="145"/>
      <c r="B7" s="16" t="s">
        <v>41</v>
      </c>
      <c r="C7" s="17">
        <v>0.01</v>
      </c>
      <c r="D7" s="17">
        <v>0.02</v>
      </c>
      <c r="E7" s="19">
        <v>0.05</v>
      </c>
      <c r="F7" s="19">
        <f t="shared" ref="F7:F9" si="0">+C7-E7</f>
        <v>-0.04</v>
      </c>
      <c r="G7" s="19">
        <f t="shared" ref="G7:G13" si="1">+C7+E7</f>
        <v>6.0000000000000005E-2</v>
      </c>
      <c r="H7" s="20" t="s">
        <v>3</v>
      </c>
      <c r="I7" s="146"/>
    </row>
    <row r="8" spans="1:9" ht="21" customHeight="1" x14ac:dyDescent="0.2">
      <c r="A8" s="145"/>
      <c r="B8" s="16" t="s">
        <v>104</v>
      </c>
      <c r="C8" s="17">
        <v>0.27</v>
      </c>
      <c r="D8" s="17">
        <v>0.26</v>
      </c>
      <c r="E8" s="19">
        <v>0.05</v>
      </c>
      <c r="F8" s="19">
        <f t="shared" si="0"/>
        <v>0.22000000000000003</v>
      </c>
      <c r="G8" s="19">
        <f t="shared" si="1"/>
        <v>0.32</v>
      </c>
      <c r="H8" s="20"/>
      <c r="I8" s="146"/>
    </row>
    <row r="9" spans="1:9" ht="71.25" customHeight="1" x14ac:dyDescent="0.2">
      <c r="A9" s="145"/>
      <c r="B9" s="16" t="s">
        <v>70</v>
      </c>
      <c r="C9" s="17">
        <v>0.11</v>
      </c>
      <c r="D9" s="17">
        <v>0.12</v>
      </c>
      <c r="E9" s="19">
        <v>0.06</v>
      </c>
      <c r="F9" s="19">
        <f t="shared" si="0"/>
        <v>0.05</v>
      </c>
      <c r="G9" s="19">
        <f t="shared" si="1"/>
        <v>0.16999999999999998</v>
      </c>
      <c r="H9" s="20" t="s">
        <v>71</v>
      </c>
      <c r="I9" s="146"/>
    </row>
    <row r="10" spans="1:9" ht="15" x14ac:dyDescent="0.2">
      <c r="A10" s="145"/>
      <c r="B10" s="16" t="s">
        <v>7</v>
      </c>
      <c r="C10" s="17">
        <v>0.01</v>
      </c>
      <c r="D10" s="17">
        <v>0.01</v>
      </c>
      <c r="E10" s="19">
        <v>0.05</v>
      </c>
      <c r="F10" s="19">
        <v>0</v>
      </c>
      <c r="G10" s="19">
        <f t="shared" si="1"/>
        <v>6.0000000000000005E-2</v>
      </c>
      <c r="H10" s="20"/>
      <c r="I10" s="146"/>
    </row>
    <row r="11" spans="1:9" ht="15" x14ac:dyDescent="0.2">
      <c r="A11" s="145"/>
      <c r="B11" s="16" t="s">
        <v>85</v>
      </c>
      <c r="C11" s="17">
        <v>0.02</v>
      </c>
      <c r="D11" s="17">
        <v>0.03</v>
      </c>
      <c r="E11" s="19">
        <v>0.05</v>
      </c>
      <c r="F11" s="19">
        <v>0</v>
      </c>
      <c r="G11" s="19">
        <f t="shared" si="1"/>
        <v>7.0000000000000007E-2</v>
      </c>
      <c r="H11" s="20"/>
      <c r="I11" s="146"/>
    </row>
    <row r="12" spans="1:9" ht="15" x14ac:dyDescent="0.2">
      <c r="A12" s="145"/>
      <c r="B12" s="16" t="s">
        <v>172</v>
      </c>
      <c r="C12" s="17">
        <v>0.02</v>
      </c>
      <c r="D12" s="17"/>
      <c r="E12" s="19">
        <v>0.05</v>
      </c>
      <c r="F12" s="19">
        <v>0</v>
      </c>
      <c r="G12" s="19">
        <f t="shared" si="1"/>
        <v>7.0000000000000007E-2</v>
      </c>
      <c r="H12" s="20"/>
      <c r="I12" s="146"/>
    </row>
    <row r="13" spans="1:9" ht="15" x14ac:dyDescent="0.2">
      <c r="A13" s="145"/>
      <c r="B13" s="16" t="s">
        <v>173</v>
      </c>
      <c r="C13" s="17">
        <v>0.04</v>
      </c>
      <c r="D13" s="17">
        <v>0.04</v>
      </c>
      <c r="E13" s="19">
        <v>0.05</v>
      </c>
      <c r="F13" s="19">
        <v>0</v>
      </c>
      <c r="G13" s="19">
        <f t="shared" si="1"/>
        <v>0.09</v>
      </c>
      <c r="H13" s="20"/>
      <c r="I13" s="146"/>
    </row>
    <row r="14" spans="1:9" ht="15" x14ac:dyDescent="0.2">
      <c r="A14" s="145"/>
      <c r="B14" s="16" t="s">
        <v>37</v>
      </c>
      <c r="C14" s="17">
        <v>0.01</v>
      </c>
      <c r="D14" s="17">
        <v>0.01</v>
      </c>
      <c r="E14" s="19"/>
      <c r="F14" s="19"/>
      <c r="G14" s="19"/>
      <c r="H14" s="20"/>
      <c r="I14" s="146"/>
    </row>
    <row r="15" spans="1:9" ht="15" x14ac:dyDescent="0.2">
      <c r="A15" s="145"/>
      <c r="B15" s="16" t="s">
        <v>8</v>
      </c>
      <c r="C15" s="17">
        <f>SUM(C6:C14)</f>
        <v>1</v>
      </c>
      <c r="D15" s="17">
        <v>1</v>
      </c>
      <c r="E15" s="19"/>
      <c r="F15" s="19"/>
      <c r="G15" s="19"/>
      <c r="H15" s="20"/>
      <c r="I15" s="146"/>
    </row>
    <row r="16" spans="1:9" ht="15" x14ac:dyDescent="0.2">
      <c r="A16" s="145"/>
      <c r="B16" s="16" t="s">
        <v>13</v>
      </c>
      <c r="C16" s="17">
        <v>0.25</v>
      </c>
      <c r="D16" s="17">
        <v>0.24</v>
      </c>
      <c r="E16" s="19">
        <v>0.06</v>
      </c>
      <c r="F16" s="19">
        <f>+C16-E16</f>
        <v>0.19</v>
      </c>
      <c r="G16" s="19">
        <f>+C16+E16</f>
        <v>0.31</v>
      </c>
      <c r="H16" s="20"/>
      <c r="I16" s="146"/>
    </row>
    <row r="17" spans="1:9" ht="18" x14ac:dyDescent="0.2">
      <c r="A17" s="145"/>
      <c r="B17" s="16" t="s">
        <v>116</v>
      </c>
      <c r="C17" s="139">
        <v>2.8E-3</v>
      </c>
      <c r="D17" s="139"/>
      <c r="E17" s="139"/>
      <c r="F17" s="139"/>
      <c r="G17" s="139"/>
      <c r="H17" s="139"/>
      <c r="I17" s="146"/>
    </row>
    <row r="18" spans="1:9" x14ac:dyDescent="0.2">
      <c r="B18" s="141" t="s">
        <v>101</v>
      </c>
      <c r="C18" s="141"/>
      <c r="D18" s="141"/>
      <c r="E18" s="141"/>
      <c r="F18" s="141"/>
      <c r="G18" s="141"/>
      <c r="H18" s="141"/>
    </row>
    <row r="19" spans="1:9" x14ac:dyDescent="0.2">
      <c r="B19" s="141"/>
      <c r="C19" s="141"/>
      <c r="D19" s="141"/>
      <c r="E19" s="141"/>
      <c r="F19" s="141"/>
      <c r="G19" s="141"/>
      <c r="H19" s="141"/>
    </row>
    <row r="20" spans="1:9" x14ac:dyDescent="0.2">
      <c r="B20" s="141" t="s">
        <v>106</v>
      </c>
      <c r="C20" s="141"/>
      <c r="D20" s="141"/>
      <c r="E20" s="141"/>
      <c r="F20" s="141"/>
      <c r="G20" s="141"/>
      <c r="H20" s="141"/>
    </row>
    <row r="21" spans="1:9" ht="18" x14ac:dyDescent="0.2">
      <c r="A21" s="145" t="s">
        <v>222</v>
      </c>
      <c r="B21" s="137" t="s">
        <v>58</v>
      </c>
      <c r="C21" s="138"/>
      <c r="D21" s="138"/>
      <c r="E21" s="138"/>
      <c r="F21" s="138"/>
      <c r="G21" s="138"/>
      <c r="H21" s="138"/>
      <c r="I21" s="146" t="s">
        <v>223</v>
      </c>
    </row>
    <row r="22" spans="1:9" ht="18.75" thickBot="1" x14ac:dyDescent="0.25">
      <c r="A22" s="145"/>
      <c r="B22" s="142" t="s">
        <v>137</v>
      </c>
      <c r="C22" s="143"/>
      <c r="D22" s="143"/>
      <c r="E22" s="143"/>
      <c r="F22" s="143"/>
      <c r="G22" s="143"/>
      <c r="H22" s="143"/>
      <c r="I22" s="146"/>
    </row>
    <row r="23" spans="1:9" ht="45" x14ac:dyDescent="0.2">
      <c r="A23" s="145"/>
      <c r="B23" s="9" t="s">
        <v>0</v>
      </c>
      <c r="C23" s="15" t="s">
        <v>215</v>
      </c>
      <c r="D23" s="114" t="s">
        <v>216</v>
      </c>
      <c r="E23" s="9" t="s">
        <v>40</v>
      </c>
      <c r="F23" s="135" t="s">
        <v>10</v>
      </c>
      <c r="G23" s="136"/>
      <c r="H23" s="9" t="s">
        <v>73</v>
      </c>
      <c r="I23" s="146"/>
    </row>
    <row r="24" spans="1:9" ht="30" x14ac:dyDescent="0.2">
      <c r="A24" s="145"/>
      <c r="B24" s="16" t="s">
        <v>29</v>
      </c>
      <c r="C24" s="19">
        <v>0.43</v>
      </c>
      <c r="D24" s="19">
        <v>0.42</v>
      </c>
      <c r="E24" s="19">
        <v>0.06</v>
      </c>
      <c r="F24" s="19">
        <f>+C24-E24</f>
        <v>0.37</v>
      </c>
      <c r="G24" s="19">
        <f>+C24+E24</f>
        <v>0.49</v>
      </c>
      <c r="H24" s="104" t="s">
        <v>84</v>
      </c>
      <c r="I24" s="146"/>
    </row>
    <row r="25" spans="1:9" ht="30" x14ac:dyDescent="0.2">
      <c r="A25" s="145"/>
      <c r="B25" s="16" t="s">
        <v>39</v>
      </c>
      <c r="C25" s="19">
        <v>0.02</v>
      </c>
      <c r="D25" s="19">
        <v>0.03</v>
      </c>
      <c r="E25" s="19">
        <v>0.05</v>
      </c>
      <c r="F25" s="19">
        <v>0</v>
      </c>
      <c r="G25" s="19">
        <f t="shared" ref="G25:G29" si="2">+C25+E25</f>
        <v>7.0000000000000007E-2</v>
      </c>
      <c r="H25" s="20" t="s">
        <v>3</v>
      </c>
      <c r="I25" s="146"/>
    </row>
    <row r="26" spans="1:9" ht="15" x14ac:dyDescent="0.2">
      <c r="A26" s="145"/>
      <c r="B26" s="16" t="s">
        <v>104</v>
      </c>
      <c r="C26" s="19">
        <v>0.27</v>
      </c>
      <c r="D26" s="19">
        <v>0.26</v>
      </c>
      <c r="E26" s="19">
        <v>0.05</v>
      </c>
      <c r="F26" s="19">
        <f t="shared" ref="F26:F27" si="3">+C26-E26</f>
        <v>0.22000000000000003</v>
      </c>
      <c r="G26" s="19">
        <f t="shared" si="2"/>
        <v>0.32</v>
      </c>
      <c r="H26" s="20"/>
      <c r="I26" s="146"/>
    </row>
    <row r="27" spans="1:9" ht="75" x14ac:dyDescent="0.2">
      <c r="A27" s="145"/>
      <c r="B27" s="16" t="s">
        <v>70</v>
      </c>
      <c r="C27" s="19">
        <v>0.2</v>
      </c>
      <c r="D27" s="19">
        <v>0.21</v>
      </c>
      <c r="E27" s="19">
        <v>0.06</v>
      </c>
      <c r="F27" s="19">
        <f t="shared" si="3"/>
        <v>0.14000000000000001</v>
      </c>
      <c r="G27" s="19">
        <f t="shared" si="2"/>
        <v>0.26</v>
      </c>
      <c r="H27" s="20" t="s">
        <v>71</v>
      </c>
      <c r="I27" s="146"/>
    </row>
    <row r="28" spans="1:9" ht="15" x14ac:dyDescent="0.2">
      <c r="A28" s="145"/>
      <c r="B28" s="16" t="s">
        <v>85</v>
      </c>
      <c r="C28" s="19">
        <v>0.03</v>
      </c>
      <c r="D28" s="19"/>
      <c r="E28" s="19">
        <v>0.05</v>
      </c>
      <c r="F28" s="19">
        <v>0</v>
      </c>
      <c r="G28" s="19">
        <f t="shared" si="2"/>
        <v>0.08</v>
      </c>
      <c r="H28" s="20"/>
      <c r="I28" s="146"/>
    </row>
    <row r="29" spans="1:9" ht="15" x14ac:dyDescent="0.2">
      <c r="A29" s="145"/>
      <c r="B29" s="16" t="s">
        <v>171</v>
      </c>
      <c r="C29" s="19">
        <v>0.04</v>
      </c>
      <c r="D29" s="19">
        <v>0.05</v>
      </c>
      <c r="E29" s="19">
        <v>0.05</v>
      </c>
      <c r="F29" s="19">
        <v>0</v>
      </c>
      <c r="G29" s="19">
        <f t="shared" si="2"/>
        <v>0.09</v>
      </c>
      <c r="H29" s="20"/>
      <c r="I29" s="146"/>
    </row>
    <row r="30" spans="1:9" ht="15" x14ac:dyDescent="0.2">
      <c r="A30" s="145"/>
      <c r="B30" s="16" t="s">
        <v>37</v>
      </c>
      <c r="C30" s="19">
        <v>0.01</v>
      </c>
      <c r="D30" s="19">
        <v>0.03</v>
      </c>
      <c r="E30" s="19"/>
      <c r="F30" s="19"/>
      <c r="G30" s="19"/>
      <c r="H30" s="20"/>
      <c r="I30" s="146"/>
    </row>
    <row r="31" spans="1:9" ht="15" x14ac:dyDescent="0.2">
      <c r="A31" s="145"/>
      <c r="B31" s="16" t="s">
        <v>8</v>
      </c>
      <c r="C31" s="17">
        <f>SUM(C24:C30)</f>
        <v>1</v>
      </c>
      <c r="D31" s="17">
        <v>1</v>
      </c>
      <c r="E31" s="19"/>
      <c r="F31" s="19"/>
      <c r="G31" s="19"/>
      <c r="H31" s="20"/>
      <c r="I31" s="146"/>
    </row>
    <row r="32" spans="1:9" ht="15" x14ac:dyDescent="0.2">
      <c r="A32" s="145"/>
      <c r="B32" s="16" t="s">
        <v>13</v>
      </c>
      <c r="C32" s="19">
        <v>0.22</v>
      </c>
      <c r="D32" s="19">
        <v>0.22</v>
      </c>
      <c r="E32" s="19">
        <v>0.06</v>
      </c>
      <c r="F32" s="19">
        <f>+C32-E32</f>
        <v>0.16</v>
      </c>
      <c r="G32" s="19">
        <f>+C32+E32</f>
        <v>0.28000000000000003</v>
      </c>
      <c r="H32" s="20"/>
      <c r="I32" s="146"/>
    </row>
    <row r="33" spans="1:9" ht="18" x14ac:dyDescent="0.2">
      <c r="A33" s="145"/>
      <c r="B33" s="16" t="s">
        <v>116</v>
      </c>
      <c r="C33" s="144">
        <v>3.3E-3</v>
      </c>
      <c r="D33" s="139"/>
      <c r="E33" s="139"/>
      <c r="F33" s="139"/>
      <c r="G33" s="139"/>
      <c r="H33" s="139"/>
      <c r="I33" s="146"/>
    </row>
    <row r="34" spans="1:9" ht="18" customHeight="1" x14ac:dyDescent="0.2">
      <c r="A34" s="129"/>
      <c r="B34" s="140" t="s">
        <v>110</v>
      </c>
      <c r="C34" s="140"/>
      <c r="D34" s="140"/>
      <c r="E34" s="140"/>
      <c r="F34" s="140"/>
      <c r="G34" s="140"/>
      <c r="H34" s="140"/>
      <c r="I34" s="146"/>
    </row>
    <row r="35" spans="1:9" x14ac:dyDescent="0.2">
      <c r="B35" s="141" t="s">
        <v>107</v>
      </c>
      <c r="C35" s="141"/>
      <c r="D35" s="141"/>
      <c r="E35" s="141"/>
      <c r="F35" s="141"/>
      <c r="G35" s="141"/>
      <c r="H35" s="141"/>
    </row>
    <row r="36" spans="1:9" ht="18" x14ac:dyDescent="0.2">
      <c r="A36" s="145" t="s">
        <v>222</v>
      </c>
      <c r="B36" s="137" t="s">
        <v>60</v>
      </c>
      <c r="C36" s="138"/>
      <c r="D36" s="138"/>
      <c r="E36" s="138"/>
      <c r="F36" s="138"/>
      <c r="G36" s="138"/>
      <c r="H36" s="138"/>
      <c r="I36" s="146" t="s">
        <v>223</v>
      </c>
    </row>
    <row r="37" spans="1:9" ht="18.75" thickBot="1" x14ac:dyDescent="0.25">
      <c r="A37" s="145"/>
      <c r="B37" s="142" t="s">
        <v>138</v>
      </c>
      <c r="C37" s="143"/>
      <c r="D37" s="143"/>
      <c r="E37" s="143"/>
      <c r="F37" s="143"/>
      <c r="G37" s="143"/>
      <c r="H37" s="143"/>
      <c r="I37" s="146"/>
    </row>
    <row r="38" spans="1:9" ht="45" x14ac:dyDescent="0.2">
      <c r="A38" s="145"/>
      <c r="B38" s="9" t="s">
        <v>0</v>
      </c>
      <c r="C38" s="15" t="s">
        <v>215</v>
      </c>
      <c r="D38" s="114" t="s">
        <v>216</v>
      </c>
      <c r="E38" s="9" t="s">
        <v>40</v>
      </c>
      <c r="F38" s="135" t="s">
        <v>10</v>
      </c>
      <c r="G38" s="136"/>
      <c r="H38" s="9" t="s">
        <v>73</v>
      </c>
      <c r="I38" s="146"/>
    </row>
    <row r="39" spans="1:9" ht="50.1" customHeight="1" x14ac:dyDescent="0.2">
      <c r="A39" s="145"/>
      <c r="B39" s="16" t="s">
        <v>29</v>
      </c>
      <c r="C39" s="19">
        <v>0.24</v>
      </c>
      <c r="D39" s="19">
        <v>0.23</v>
      </c>
      <c r="E39" s="19">
        <v>0.06</v>
      </c>
      <c r="F39" s="19">
        <f>+C39-E39</f>
        <v>0.18</v>
      </c>
      <c r="G39" s="19">
        <f>+C39+E39</f>
        <v>0.3</v>
      </c>
      <c r="H39" s="104" t="s">
        <v>84</v>
      </c>
      <c r="I39" s="146"/>
    </row>
    <row r="40" spans="1:9" ht="27.6" customHeight="1" x14ac:dyDescent="0.2">
      <c r="A40" s="145"/>
      <c r="B40" s="16" t="s">
        <v>39</v>
      </c>
      <c r="C40" s="19">
        <v>0.13</v>
      </c>
      <c r="D40" s="19">
        <v>0.13</v>
      </c>
      <c r="E40" s="19">
        <v>0.05</v>
      </c>
      <c r="F40" s="19">
        <f t="shared" ref="F40:F42" si="4">+C40-E40</f>
        <v>0.08</v>
      </c>
      <c r="G40" s="19">
        <f t="shared" ref="G40:G43" si="5">+C40+E40</f>
        <v>0.18</v>
      </c>
      <c r="H40" s="20" t="s">
        <v>3</v>
      </c>
      <c r="I40" s="146"/>
    </row>
    <row r="41" spans="1:9" ht="27.6" customHeight="1" x14ac:dyDescent="0.2">
      <c r="A41" s="145"/>
      <c r="B41" s="16" t="s">
        <v>104</v>
      </c>
      <c r="C41" s="19">
        <v>0.27</v>
      </c>
      <c r="D41" s="19">
        <v>0.26</v>
      </c>
      <c r="E41" s="19">
        <v>0.05</v>
      </c>
      <c r="F41" s="19">
        <f t="shared" si="4"/>
        <v>0.22000000000000003</v>
      </c>
      <c r="G41" s="19">
        <f t="shared" si="5"/>
        <v>0.32</v>
      </c>
      <c r="H41" s="20"/>
      <c r="I41" s="146"/>
    </row>
    <row r="42" spans="1:9" ht="75" x14ac:dyDescent="0.2">
      <c r="A42" s="145"/>
      <c r="B42" s="16" t="s">
        <v>70</v>
      </c>
      <c r="C42" s="19">
        <v>0.3</v>
      </c>
      <c r="D42" s="19">
        <v>0.3</v>
      </c>
      <c r="E42" s="19">
        <v>0.06</v>
      </c>
      <c r="F42" s="19">
        <f t="shared" si="4"/>
        <v>0.24</v>
      </c>
      <c r="G42" s="19">
        <f t="shared" si="5"/>
        <v>0.36</v>
      </c>
      <c r="H42" s="20" t="s">
        <v>71</v>
      </c>
      <c r="I42" s="146"/>
    </row>
    <row r="43" spans="1:9" ht="27.75" customHeight="1" x14ac:dyDescent="0.2">
      <c r="A43" s="145"/>
      <c r="B43" s="16" t="s">
        <v>78</v>
      </c>
      <c r="C43" s="19">
        <v>0.04</v>
      </c>
      <c r="D43" s="19">
        <v>0.03</v>
      </c>
      <c r="E43" s="19">
        <v>0.05</v>
      </c>
      <c r="F43" s="19">
        <v>0</v>
      </c>
      <c r="G43" s="19">
        <f t="shared" si="5"/>
        <v>0.09</v>
      </c>
      <c r="H43" s="20"/>
      <c r="I43" s="146"/>
    </row>
    <row r="44" spans="1:9" ht="33.75" customHeight="1" x14ac:dyDescent="0.2">
      <c r="A44" s="145"/>
      <c r="B44" s="16" t="s">
        <v>37</v>
      </c>
      <c r="C44" s="96">
        <v>0.02</v>
      </c>
      <c r="D44" s="96">
        <v>0.04</v>
      </c>
      <c r="E44" s="19"/>
      <c r="F44" s="19"/>
      <c r="G44" s="19"/>
      <c r="H44" s="20"/>
      <c r="I44" s="146"/>
    </row>
    <row r="45" spans="1:9" ht="18.600000000000001" customHeight="1" x14ac:dyDescent="0.2">
      <c r="A45" s="145"/>
      <c r="B45" s="16" t="s">
        <v>8</v>
      </c>
      <c r="C45" s="17">
        <f>SUM(C39:C44)</f>
        <v>1</v>
      </c>
      <c r="D45" s="17">
        <v>1</v>
      </c>
      <c r="E45" s="19"/>
      <c r="F45" s="19"/>
      <c r="G45" s="19"/>
      <c r="H45" s="20"/>
      <c r="I45" s="146"/>
    </row>
    <row r="46" spans="1:9" ht="18.600000000000001" customHeight="1" x14ac:dyDescent="0.2">
      <c r="A46" s="145"/>
      <c r="B46" s="16" t="s">
        <v>13</v>
      </c>
      <c r="C46" s="19">
        <v>0.16</v>
      </c>
      <c r="D46" s="19">
        <v>0.18</v>
      </c>
      <c r="E46" s="19">
        <v>0.06</v>
      </c>
      <c r="F46" s="19">
        <f>+C46-E46</f>
        <v>0.1</v>
      </c>
      <c r="G46" s="19">
        <f>+C46+E46</f>
        <v>0.22</v>
      </c>
      <c r="H46" s="20"/>
      <c r="I46" s="146"/>
    </row>
    <row r="47" spans="1:9" ht="18" x14ac:dyDescent="0.2">
      <c r="A47" s="145"/>
      <c r="B47" s="16" t="s">
        <v>116</v>
      </c>
      <c r="C47" s="139">
        <v>2.2000000000000001E-3</v>
      </c>
      <c r="D47" s="139"/>
      <c r="E47" s="139"/>
      <c r="F47" s="139"/>
      <c r="G47" s="139"/>
      <c r="H47" s="139"/>
      <c r="I47" s="146"/>
    </row>
    <row r="48" spans="1:9" ht="15" x14ac:dyDescent="0.2">
      <c r="B48" s="140" t="s">
        <v>97</v>
      </c>
      <c r="C48" s="140"/>
      <c r="D48" s="140"/>
      <c r="E48" s="140"/>
      <c r="F48" s="140"/>
      <c r="G48" s="140"/>
      <c r="H48" s="140"/>
    </row>
    <row r="49" spans="1:8" x14ac:dyDescent="0.2">
      <c r="B49" s="14" t="s">
        <v>38</v>
      </c>
      <c r="C49" s="27"/>
      <c r="D49" s="27"/>
      <c r="E49" s="27"/>
      <c r="F49" s="27"/>
    </row>
    <row r="50" spans="1:8" s="28" customFormat="1" x14ac:dyDescent="0.2">
      <c r="B50" s="14" t="s">
        <v>72</v>
      </c>
      <c r="C50" s="14"/>
      <c r="D50" s="14"/>
      <c r="E50" s="14"/>
      <c r="F50" s="14"/>
    </row>
    <row r="51" spans="1:8" x14ac:dyDescent="0.2">
      <c r="B51" s="14" t="s">
        <v>103</v>
      </c>
      <c r="C51" s="14"/>
      <c r="D51" s="14"/>
      <c r="E51" s="14"/>
      <c r="F51" s="14"/>
    </row>
    <row r="52" spans="1:8" x14ac:dyDescent="0.2">
      <c r="A52" s="147" t="s">
        <v>109</v>
      </c>
      <c r="B52" s="147"/>
      <c r="C52" s="147"/>
      <c r="D52" s="147"/>
      <c r="E52" s="147"/>
      <c r="F52" s="147"/>
      <c r="G52" s="147"/>
      <c r="H52" s="147"/>
    </row>
  </sheetData>
  <mergeCells count="26">
    <mergeCell ref="A36:A47"/>
    <mergeCell ref="B48:H48"/>
    <mergeCell ref="I36:I47"/>
    <mergeCell ref="A52:H52"/>
    <mergeCell ref="A3:A17"/>
    <mergeCell ref="B18:H19"/>
    <mergeCell ref="I3:I17"/>
    <mergeCell ref="B20:H20"/>
    <mergeCell ref="A21:A33"/>
    <mergeCell ref="I21:I34"/>
    <mergeCell ref="B4:H4"/>
    <mergeCell ref="C47:H47"/>
    <mergeCell ref="B1:H1"/>
    <mergeCell ref="B2:H2"/>
    <mergeCell ref="F23:G23"/>
    <mergeCell ref="F38:G38"/>
    <mergeCell ref="F5:G5"/>
    <mergeCell ref="B21:H21"/>
    <mergeCell ref="B3:H3"/>
    <mergeCell ref="C17:H17"/>
    <mergeCell ref="B34:H34"/>
    <mergeCell ref="B35:H35"/>
    <mergeCell ref="B22:H22"/>
    <mergeCell ref="B36:H36"/>
    <mergeCell ref="B37:H37"/>
    <mergeCell ref="C33:H33"/>
  </mergeCells>
  <pageMargins left="0.26" right="0.26" top="0.75" bottom="0.75" header="0.3" footer="0.3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127"/>
  <sheetViews>
    <sheetView showGridLines="0" rightToLeft="1" zoomScale="80" zoomScaleNormal="80" zoomScaleSheetLayoutView="100" workbookViewId="0">
      <selection activeCell="M7" sqref="M7"/>
    </sheetView>
  </sheetViews>
  <sheetFormatPr defaultColWidth="8.125" defaultRowHeight="14.25" x14ac:dyDescent="0.2"/>
  <cols>
    <col min="1" max="1" width="8.125" style="28"/>
    <col min="2" max="2" width="37.125" style="27" customWidth="1"/>
    <col min="3" max="4" width="12.125" style="27" customWidth="1"/>
    <col min="5" max="5" width="10.625" style="27" customWidth="1"/>
    <col min="6" max="7" width="12" style="27" customWidth="1"/>
    <col min="8" max="8" width="28.375" style="28" customWidth="1"/>
    <col min="9" max="9" width="8.125" style="28"/>
    <col min="10" max="10" width="31.5" style="28" bestFit="1" customWidth="1"/>
    <col min="11" max="16384" width="8.125" style="28"/>
  </cols>
  <sheetData>
    <row r="1" spans="2:12" ht="30" customHeight="1" thickBot="1" x14ac:dyDescent="0.25">
      <c r="B1" s="148" t="s">
        <v>114</v>
      </c>
      <c r="C1" s="148"/>
      <c r="D1" s="148"/>
      <c r="E1" s="148"/>
      <c r="F1" s="148"/>
      <c r="G1" s="148"/>
      <c r="H1" s="148"/>
    </row>
    <row r="2" spans="2:12" ht="30" customHeight="1" thickTop="1" thickBot="1" x14ac:dyDescent="0.25">
      <c r="B2" s="149" t="s">
        <v>100</v>
      </c>
      <c r="C2" s="149"/>
      <c r="D2" s="149"/>
      <c r="E2" s="149"/>
      <c r="F2" s="149"/>
      <c r="G2" s="149"/>
      <c r="H2" s="149"/>
    </row>
    <row r="3" spans="2:12" ht="30" customHeight="1" thickTop="1" x14ac:dyDescent="0.25">
      <c r="B3" s="137" t="s">
        <v>61</v>
      </c>
      <c r="C3" s="138"/>
      <c r="D3" s="138"/>
      <c r="E3" s="138"/>
      <c r="F3" s="138"/>
      <c r="G3" s="138"/>
      <c r="H3" s="138"/>
      <c r="I3" s="138"/>
      <c r="J3" s="138"/>
      <c r="L3" s="113" t="s">
        <v>136</v>
      </c>
    </row>
    <row r="4" spans="2:12" ht="21.75" customHeight="1" x14ac:dyDescent="0.2">
      <c r="B4" s="142" t="s">
        <v>139</v>
      </c>
      <c r="C4" s="143"/>
      <c r="D4" s="143"/>
      <c r="E4" s="143"/>
      <c r="F4" s="143"/>
      <c r="G4" s="143"/>
      <c r="H4" s="143"/>
      <c r="I4" s="143"/>
      <c r="J4" s="143"/>
    </row>
    <row r="5" spans="2:12" ht="63" customHeight="1" x14ac:dyDescent="0.2">
      <c r="B5" s="65" t="s">
        <v>0</v>
      </c>
      <c r="C5" s="65"/>
      <c r="D5" s="65"/>
      <c r="E5" s="15" t="s">
        <v>115</v>
      </c>
      <c r="F5" s="65" t="s">
        <v>40</v>
      </c>
      <c r="G5" s="66" t="s">
        <v>10</v>
      </c>
      <c r="H5" s="67"/>
      <c r="I5" s="68"/>
      <c r="J5" s="9" t="s">
        <v>73</v>
      </c>
    </row>
    <row r="6" spans="2:12" ht="15" x14ac:dyDescent="0.2">
      <c r="B6" s="34"/>
      <c r="C6" s="111"/>
      <c r="D6" s="111"/>
      <c r="E6" s="35"/>
      <c r="F6" s="36"/>
      <c r="G6" s="36"/>
      <c r="H6" s="36"/>
      <c r="I6" s="54">
        <v>0.32500000000000001</v>
      </c>
      <c r="J6" s="55" t="s">
        <v>43</v>
      </c>
    </row>
    <row r="7" spans="2:12" ht="15" x14ac:dyDescent="0.2">
      <c r="B7" s="34"/>
      <c r="C7" s="111"/>
      <c r="D7" s="111"/>
      <c r="E7" s="53"/>
      <c r="F7" s="36"/>
      <c r="G7" s="36"/>
      <c r="H7" s="36"/>
      <c r="I7" s="69">
        <v>0.10400000000000001</v>
      </c>
      <c r="J7" s="55" t="s">
        <v>86</v>
      </c>
    </row>
    <row r="8" spans="2:12" ht="30" x14ac:dyDescent="0.2">
      <c r="B8" s="34" t="s">
        <v>29</v>
      </c>
      <c r="C8" s="34"/>
      <c r="D8" s="34"/>
      <c r="E8" s="39">
        <v>0.61</v>
      </c>
      <c r="F8" s="39">
        <v>0.06</v>
      </c>
      <c r="G8" s="39">
        <f>+E8-F8</f>
        <v>0.55000000000000004</v>
      </c>
      <c r="H8" s="39">
        <f>+E8+F8</f>
        <v>0.66999999999999993</v>
      </c>
      <c r="I8" s="69">
        <v>9.1000000000000011E-2</v>
      </c>
      <c r="J8" s="55" t="s">
        <v>45</v>
      </c>
    </row>
    <row r="9" spans="2:12" ht="15" x14ac:dyDescent="0.2">
      <c r="B9" s="34"/>
      <c r="C9" s="34"/>
      <c r="D9" s="34"/>
      <c r="E9" s="39"/>
      <c r="F9" s="39"/>
      <c r="G9" s="39"/>
      <c r="H9" s="39"/>
      <c r="I9" s="69">
        <v>3.2500000000000001E-2</v>
      </c>
      <c r="J9" s="55" t="s">
        <v>44</v>
      </c>
    </row>
    <row r="10" spans="2:12" ht="21.75" customHeight="1" x14ac:dyDescent="0.2">
      <c r="B10" s="77"/>
      <c r="C10" s="77"/>
      <c r="D10" s="77"/>
      <c r="E10" s="36"/>
      <c r="F10" s="39"/>
      <c r="G10" s="36"/>
      <c r="H10" s="36"/>
      <c r="I10" s="69">
        <v>9.7500000000000003E-2</v>
      </c>
      <c r="J10" s="55" t="s">
        <v>87</v>
      </c>
    </row>
    <row r="11" spans="2:12" ht="15" x14ac:dyDescent="0.2">
      <c r="B11" s="34"/>
      <c r="C11" s="34"/>
      <c r="D11" s="34"/>
      <c r="E11" s="36"/>
      <c r="F11" s="36"/>
      <c r="G11" s="36"/>
      <c r="H11" s="36"/>
      <c r="I11" s="71">
        <v>0.31</v>
      </c>
      <c r="J11" s="56" t="s">
        <v>46</v>
      </c>
    </row>
    <row r="12" spans="2:12" ht="15" x14ac:dyDescent="0.2">
      <c r="B12" s="34"/>
      <c r="C12" s="34"/>
      <c r="D12" s="34"/>
      <c r="E12" s="36"/>
      <c r="F12" s="36"/>
      <c r="G12" s="36"/>
      <c r="H12" s="36"/>
      <c r="I12" s="69">
        <v>2.0000000000000004E-2</v>
      </c>
      <c r="J12" s="55" t="s">
        <v>56</v>
      </c>
    </row>
    <row r="13" spans="2:12" ht="15" x14ac:dyDescent="0.2">
      <c r="B13" s="40"/>
      <c r="C13" s="40"/>
      <c r="D13" s="40"/>
      <c r="E13" s="41"/>
      <c r="F13" s="41"/>
      <c r="G13" s="41"/>
      <c r="H13" s="41"/>
      <c r="I13" s="57">
        <v>2.0000000000000004E-2</v>
      </c>
      <c r="J13" s="58" t="s">
        <v>53</v>
      </c>
    </row>
    <row r="14" spans="2:12" ht="15" x14ac:dyDescent="0.2">
      <c r="B14" s="34"/>
      <c r="C14" s="34"/>
      <c r="D14" s="34"/>
      <c r="E14" s="36"/>
      <c r="F14" s="36"/>
      <c r="G14" s="36"/>
      <c r="H14" s="36"/>
      <c r="I14" s="37">
        <v>0.24</v>
      </c>
      <c r="J14" s="38" t="s">
        <v>88</v>
      </c>
    </row>
    <row r="15" spans="2:12" ht="15" x14ac:dyDescent="0.2">
      <c r="B15" s="34"/>
      <c r="C15" s="34"/>
      <c r="D15" s="34"/>
      <c r="E15" s="36"/>
      <c r="F15" s="36"/>
      <c r="G15" s="36"/>
      <c r="H15" s="36"/>
      <c r="I15" s="37">
        <v>7.0000000000000007E-2</v>
      </c>
      <c r="J15" s="38" t="s">
        <v>47</v>
      </c>
    </row>
    <row r="16" spans="2:12" ht="15" x14ac:dyDescent="0.2">
      <c r="B16" s="34"/>
      <c r="C16" s="34"/>
      <c r="D16" s="34"/>
      <c r="E16" s="36"/>
      <c r="F16" s="36"/>
      <c r="G16" s="36"/>
      <c r="H16" s="36"/>
      <c r="I16" s="37">
        <v>0.08</v>
      </c>
      <c r="J16" s="38" t="s">
        <v>49</v>
      </c>
    </row>
    <row r="17" spans="2:10" ht="15" x14ac:dyDescent="0.25">
      <c r="B17" s="34" t="s">
        <v>48</v>
      </c>
      <c r="C17" s="34"/>
      <c r="D17" s="34"/>
      <c r="E17" s="39">
        <v>0</v>
      </c>
      <c r="F17" s="43">
        <v>0.05</v>
      </c>
      <c r="G17" s="39">
        <v>0</v>
      </c>
      <c r="H17" s="39">
        <f>+E17+F17</f>
        <v>0.05</v>
      </c>
      <c r="I17" s="37">
        <v>0.24</v>
      </c>
      <c r="J17" s="38" t="s">
        <v>89</v>
      </c>
    </row>
    <row r="18" spans="2:10" ht="15" x14ac:dyDescent="0.25">
      <c r="B18" s="34" t="s">
        <v>50</v>
      </c>
      <c r="C18" s="34"/>
      <c r="D18" s="34"/>
      <c r="E18" s="43"/>
      <c r="F18" s="43"/>
      <c r="G18" s="43"/>
      <c r="H18" s="43"/>
      <c r="I18" s="37">
        <v>0.06</v>
      </c>
      <c r="J18" s="38" t="s">
        <v>51</v>
      </c>
    </row>
    <row r="19" spans="2:10" ht="15" x14ac:dyDescent="0.25">
      <c r="B19" s="34"/>
      <c r="C19" s="34"/>
      <c r="D19" s="34"/>
      <c r="E19" s="43"/>
      <c r="F19" s="43"/>
      <c r="G19" s="43"/>
      <c r="H19" s="43"/>
      <c r="I19" s="37">
        <v>7.0000000000000007E-2</v>
      </c>
      <c r="J19" s="38" t="s">
        <v>90</v>
      </c>
    </row>
    <row r="20" spans="2:10" ht="15" x14ac:dyDescent="0.2">
      <c r="B20" s="40"/>
      <c r="C20" s="40"/>
      <c r="D20" s="40"/>
      <c r="E20" s="41"/>
      <c r="F20" s="41"/>
      <c r="G20" s="41"/>
      <c r="H20" s="41"/>
      <c r="I20" s="57">
        <v>0.24</v>
      </c>
      <c r="J20" s="58" t="s">
        <v>91</v>
      </c>
    </row>
    <row r="21" spans="2:10" ht="47.25" customHeight="1" x14ac:dyDescent="0.2">
      <c r="B21" s="16" t="s">
        <v>104</v>
      </c>
      <c r="C21" s="77"/>
      <c r="D21" s="77"/>
      <c r="E21" s="39">
        <v>0.27</v>
      </c>
      <c r="F21" s="39">
        <v>0.05</v>
      </c>
      <c r="G21" s="39">
        <f>+E21-F21</f>
        <v>0.22000000000000003</v>
      </c>
      <c r="H21" s="39">
        <f>+E21+F21</f>
        <v>0.32</v>
      </c>
      <c r="I21" s="42"/>
      <c r="J21" s="38"/>
    </row>
    <row r="22" spans="2:10" ht="15" x14ac:dyDescent="0.2">
      <c r="B22" s="32"/>
      <c r="C22" s="32"/>
      <c r="D22" s="32"/>
      <c r="E22" s="33"/>
      <c r="F22" s="33"/>
      <c r="G22" s="33"/>
      <c r="H22" s="33"/>
      <c r="I22" s="54">
        <v>0.14000000000000001</v>
      </c>
      <c r="J22" s="55" t="s">
        <v>54</v>
      </c>
    </row>
    <row r="23" spans="2:10" ht="15" x14ac:dyDescent="0.2">
      <c r="B23" s="34"/>
      <c r="C23" s="34"/>
      <c r="D23" s="34"/>
      <c r="E23" s="36"/>
      <c r="F23" s="36"/>
      <c r="G23" s="36"/>
      <c r="H23" s="36"/>
      <c r="I23" s="54">
        <v>0.05</v>
      </c>
      <c r="J23" s="70" t="s">
        <v>79</v>
      </c>
    </row>
    <row r="24" spans="2:10" ht="15" x14ac:dyDescent="0.2">
      <c r="B24" s="34"/>
      <c r="C24" s="34"/>
      <c r="D24" s="34"/>
      <c r="E24" s="36"/>
      <c r="F24" s="36"/>
      <c r="G24" s="36"/>
      <c r="H24" s="36"/>
      <c r="I24" s="54">
        <v>0.04</v>
      </c>
      <c r="J24" s="70" t="s">
        <v>80</v>
      </c>
    </row>
    <row r="25" spans="2:10" ht="15" x14ac:dyDescent="0.2">
      <c r="B25" s="34" t="s">
        <v>70</v>
      </c>
      <c r="C25" s="34"/>
      <c r="D25" s="34"/>
      <c r="E25" s="39">
        <v>0.11</v>
      </c>
      <c r="F25" s="39">
        <v>0.06</v>
      </c>
      <c r="G25" s="39">
        <f>+E25-F25</f>
        <v>0.05</v>
      </c>
      <c r="H25" s="39">
        <f>+E25+F25</f>
        <v>0.16999999999999998</v>
      </c>
      <c r="I25" s="54">
        <v>0.02</v>
      </c>
      <c r="J25" s="59" t="s">
        <v>81</v>
      </c>
    </row>
    <row r="26" spans="2:10" ht="15" x14ac:dyDescent="0.2">
      <c r="B26" s="34"/>
      <c r="C26" s="34"/>
      <c r="D26" s="34"/>
      <c r="E26" s="39"/>
      <c r="F26" s="39"/>
      <c r="G26" s="39"/>
      <c r="H26" s="39"/>
      <c r="I26" s="54">
        <v>0.05</v>
      </c>
      <c r="J26" s="59" t="s">
        <v>55</v>
      </c>
    </row>
    <row r="27" spans="2:10" ht="15" x14ac:dyDescent="0.2">
      <c r="B27" s="34"/>
      <c r="C27" s="34"/>
      <c r="D27" s="34"/>
      <c r="E27" s="39"/>
      <c r="F27" s="39"/>
      <c r="G27" s="39"/>
      <c r="H27" s="39"/>
      <c r="I27" s="54">
        <v>0.315</v>
      </c>
      <c r="J27" s="59" t="s">
        <v>92</v>
      </c>
    </row>
    <row r="28" spans="2:10" ht="15" x14ac:dyDescent="0.2">
      <c r="B28" s="34"/>
      <c r="C28" s="34"/>
      <c r="D28" s="34"/>
      <c r="E28" s="36"/>
      <c r="F28" s="36"/>
      <c r="G28" s="36"/>
      <c r="H28" s="36"/>
      <c r="I28" s="54">
        <v>0.23099999999999998</v>
      </c>
      <c r="J28" s="59" t="s">
        <v>93</v>
      </c>
    </row>
    <row r="29" spans="2:10" ht="15" x14ac:dyDescent="0.2">
      <c r="B29" s="34"/>
      <c r="C29" s="34"/>
      <c r="D29" s="34"/>
      <c r="E29" s="36"/>
      <c r="F29" s="36"/>
      <c r="G29" s="36"/>
      <c r="H29" s="36"/>
      <c r="I29" s="54">
        <v>6.9999999999999993E-2</v>
      </c>
      <c r="J29" s="59" t="s">
        <v>94</v>
      </c>
    </row>
    <row r="30" spans="2:10" ht="15" x14ac:dyDescent="0.2">
      <c r="B30" s="34"/>
      <c r="C30" s="34"/>
      <c r="D30" s="34"/>
      <c r="E30" s="36"/>
      <c r="F30" s="36"/>
      <c r="G30" s="36"/>
      <c r="H30" s="36"/>
      <c r="I30" s="54">
        <v>3.4999999999999996E-2</v>
      </c>
      <c r="J30" s="59" t="s">
        <v>95</v>
      </c>
    </row>
    <row r="31" spans="2:10" ht="15" x14ac:dyDescent="0.2">
      <c r="B31" s="40"/>
      <c r="C31" s="40"/>
      <c r="D31" s="40"/>
      <c r="E31" s="41"/>
      <c r="F31" s="41"/>
      <c r="G31" s="41"/>
      <c r="H31" s="41"/>
      <c r="I31" s="71">
        <v>4.9000000000000002E-2</v>
      </c>
      <c r="J31" s="72" t="s">
        <v>96</v>
      </c>
    </row>
    <row r="32" spans="2:10" ht="15" x14ac:dyDescent="0.2">
      <c r="B32" s="40" t="s">
        <v>23</v>
      </c>
      <c r="C32" s="40"/>
      <c r="D32" s="40"/>
      <c r="E32" s="60">
        <v>0</v>
      </c>
      <c r="F32" s="45">
        <v>0.05</v>
      </c>
      <c r="G32" s="60">
        <v>0</v>
      </c>
      <c r="H32" s="60">
        <v>0.05</v>
      </c>
      <c r="I32" s="54"/>
      <c r="J32" s="59"/>
    </row>
    <row r="33" spans="1:10" ht="15.75" customHeight="1" x14ac:dyDescent="0.2">
      <c r="B33" s="44" t="s">
        <v>37</v>
      </c>
      <c r="C33" s="44"/>
      <c r="D33" s="44"/>
      <c r="E33" s="60">
        <v>0.01</v>
      </c>
      <c r="F33" s="45"/>
      <c r="G33" s="60"/>
      <c r="H33" s="60"/>
      <c r="I33" s="45">
        <v>1</v>
      </c>
      <c r="J33" s="48" t="s">
        <v>52</v>
      </c>
    </row>
    <row r="34" spans="1:10" ht="15" x14ac:dyDescent="0.2">
      <c r="B34" s="44" t="s">
        <v>8</v>
      </c>
      <c r="C34" s="44"/>
      <c r="D34" s="44"/>
      <c r="E34" s="45">
        <v>1</v>
      </c>
      <c r="F34" s="45"/>
      <c r="G34" s="45"/>
      <c r="H34" s="45"/>
      <c r="I34" s="46"/>
      <c r="J34" s="47"/>
    </row>
    <row r="35" spans="1:10" ht="15" x14ac:dyDescent="0.2">
      <c r="B35" s="44" t="s">
        <v>13</v>
      </c>
      <c r="C35" s="112"/>
      <c r="D35" s="112"/>
      <c r="E35" s="39">
        <v>0.24</v>
      </c>
      <c r="F35" s="45">
        <v>0.06</v>
      </c>
      <c r="G35" s="39">
        <f>+E35-F35</f>
        <v>0.18</v>
      </c>
      <c r="H35" s="39">
        <f>+E35+F35</f>
        <v>0.3</v>
      </c>
      <c r="I35" s="45"/>
      <c r="J35" s="49"/>
    </row>
    <row r="36" spans="1:10" customFormat="1" ht="33.75" customHeight="1" x14ac:dyDescent="0.2">
      <c r="B36" s="97" t="s">
        <v>116</v>
      </c>
      <c r="C36" s="153">
        <v>1E-3</v>
      </c>
      <c r="D36" s="154"/>
      <c r="E36" s="154"/>
      <c r="F36" s="154"/>
      <c r="G36" s="154"/>
      <c r="H36" s="154"/>
    </row>
    <row r="37" spans="1:10" customFormat="1" ht="33.75" customHeight="1" x14ac:dyDescent="0.2">
      <c r="A37" s="28"/>
      <c r="B37" s="150"/>
      <c r="C37" s="150"/>
      <c r="D37" s="150"/>
      <c r="E37" s="150"/>
      <c r="F37" s="150"/>
      <c r="G37" s="150"/>
      <c r="H37" s="150"/>
      <c r="I37" s="28"/>
      <c r="J37" s="28"/>
    </row>
    <row r="38" spans="1:10" x14ac:dyDescent="0.2">
      <c r="B38" s="150" t="s">
        <v>106</v>
      </c>
      <c r="C38" s="150"/>
      <c r="D38" s="150"/>
      <c r="E38" s="150"/>
      <c r="F38" s="150"/>
      <c r="G38" s="150"/>
      <c r="H38" s="150"/>
    </row>
    <row r="39" spans="1:10" ht="30" customHeight="1" x14ac:dyDescent="0.2">
      <c r="B39" s="137" t="s">
        <v>62</v>
      </c>
      <c r="C39" s="138"/>
      <c r="D39" s="138"/>
      <c r="E39" s="138"/>
      <c r="F39" s="138"/>
      <c r="G39" s="138"/>
      <c r="H39" s="138"/>
      <c r="I39" s="138"/>
      <c r="J39" s="138"/>
    </row>
    <row r="40" spans="1:10" ht="30" customHeight="1" x14ac:dyDescent="0.2">
      <c r="B40" s="142" t="s">
        <v>140</v>
      </c>
      <c r="C40" s="143"/>
      <c r="D40" s="143"/>
      <c r="E40" s="143"/>
      <c r="F40" s="143"/>
      <c r="G40" s="143"/>
      <c r="H40" s="143"/>
      <c r="I40" s="143"/>
      <c r="J40" s="143"/>
    </row>
    <row r="41" spans="1:10" ht="45" x14ac:dyDescent="0.2">
      <c r="B41" s="29" t="s">
        <v>0</v>
      </c>
      <c r="C41" s="29"/>
      <c r="D41" s="29"/>
      <c r="E41" s="15" t="s">
        <v>115</v>
      </c>
      <c r="F41" s="29" t="s">
        <v>40</v>
      </c>
      <c r="G41" s="30" t="s">
        <v>10</v>
      </c>
      <c r="H41" s="30"/>
      <c r="I41" s="31"/>
      <c r="J41" s="9" t="s">
        <v>73</v>
      </c>
    </row>
    <row r="42" spans="1:10" ht="15" x14ac:dyDescent="0.2">
      <c r="B42" s="34"/>
      <c r="C42" s="34"/>
      <c r="D42" s="34"/>
      <c r="E42" s="50"/>
      <c r="F42" s="36"/>
      <c r="G42" s="36"/>
      <c r="H42" s="36"/>
      <c r="I42" s="54">
        <v>0.32500000000000001</v>
      </c>
      <c r="J42" s="55" t="s">
        <v>43</v>
      </c>
    </row>
    <row r="43" spans="1:10" ht="14.45" customHeight="1" x14ac:dyDescent="0.2">
      <c r="B43" s="34"/>
      <c r="C43" s="34"/>
      <c r="D43" s="34"/>
      <c r="E43" s="50"/>
      <c r="F43" s="36"/>
      <c r="G43" s="36"/>
      <c r="H43" s="36"/>
      <c r="I43" s="69">
        <v>0.10400000000000001</v>
      </c>
      <c r="J43" s="55" t="s">
        <v>86</v>
      </c>
    </row>
    <row r="44" spans="1:10" ht="14.45" customHeight="1" x14ac:dyDescent="0.2">
      <c r="B44" s="34" t="s">
        <v>29</v>
      </c>
      <c r="C44" s="34"/>
      <c r="D44" s="34"/>
      <c r="E44" s="39">
        <v>0.46</v>
      </c>
      <c r="F44" s="39">
        <v>0.06</v>
      </c>
      <c r="G44" s="39">
        <f>+E44-F44</f>
        <v>0.4</v>
      </c>
      <c r="H44" s="39">
        <f>+E44+F44</f>
        <v>0.52</v>
      </c>
      <c r="I44" s="69">
        <v>9.1000000000000011E-2</v>
      </c>
      <c r="J44" s="55" t="s">
        <v>45</v>
      </c>
    </row>
    <row r="45" spans="1:10" ht="14.45" customHeight="1" x14ac:dyDescent="0.2">
      <c r="B45" s="77"/>
      <c r="C45" s="77"/>
      <c r="D45" s="77"/>
      <c r="E45" s="36"/>
      <c r="F45" s="39"/>
      <c r="G45" s="36"/>
      <c r="H45" s="36"/>
      <c r="I45" s="69">
        <v>3.2500000000000001E-2</v>
      </c>
      <c r="J45" s="55" t="s">
        <v>44</v>
      </c>
    </row>
    <row r="46" spans="1:10" ht="14.45" customHeight="1" x14ac:dyDescent="0.2">
      <c r="B46" s="77"/>
      <c r="C46" s="77"/>
      <c r="D46" s="77"/>
      <c r="E46" s="36"/>
      <c r="F46" s="39"/>
      <c r="G46" s="36"/>
      <c r="H46" s="36"/>
      <c r="I46" s="69">
        <v>9.7500000000000003E-2</v>
      </c>
      <c r="J46" s="55" t="s">
        <v>87</v>
      </c>
    </row>
    <row r="47" spans="1:10" ht="14.45" customHeight="1" x14ac:dyDescent="0.2">
      <c r="B47" s="34"/>
      <c r="C47" s="34"/>
      <c r="D47" s="34"/>
      <c r="E47" s="36"/>
      <c r="F47" s="39"/>
      <c r="G47" s="36"/>
      <c r="H47" s="36"/>
      <c r="I47" s="71">
        <v>0.31</v>
      </c>
      <c r="J47" s="56" t="s">
        <v>46</v>
      </c>
    </row>
    <row r="48" spans="1:10" ht="15" x14ac:dyDescent="0.2">
      <c r="B48" s="34"/>
      <c r="C48" s="34"/>
      <c r="D48" s="34"/>
      <c r="E48" s="36"/>
      <c r="F48" s="39"/>
      <c r="G48" s="36"/>
      <c r="H48" s="36"/>
      <c r="I48" s="69">
        <v>2.0000000000000004E-2</v>
      </c>
      <c r="J48" s="55" t="s">
        <v>56</v>
      </c>
    </row>
    <row r="49" spans="2:10" ht="15" x14ac:dyDescent="0.2">
      <c r="B49" s="40"/>
      <c r="C49" s="40"/>
      <c r="D49" s="40"/>
      <c r="E49" s="41"/>
      <c r="F49" s="45"/>
      <c r="G49" s="41"/>
      <c r="H49" s="41"/>
      <c r="I49" s="57">
        <v>2.0000000000000004E-2</v>
      </c>
      <c r="J49" s="58" t="s">
        <v>53</v>
      </c>
    </row>
    <row r="50" spans="2:10" ht="15" x14ac:dyDescent="0.2">
      <c r="B50" s="34"/>
      <c r="C50" s="34"/>
      <c r="D50" s="34"/>
      <c r="E50" s="36"/>
      <c r="F50" s="39"/>
      <c r="G50" s="36"/>
      <c r="H50" s="36"/>
      <c r="I50" s="37">
        <v>0.24</v>
      </c>
      <c r="J50" s="38" t="s">
        <v>88</v>
      </c>
    </row>
    <row r="51" spans="2:10" ht="15" x14ac:dyDescent="0.2">
      <c r="B51" s="34"/>
      <c r="C51" s="34"/>
      <c r="D51" s="34"/>
      <c r="E51" s="36"/>
      <c r="F51" s="39"/>
      <c r="G51" s="36"/>
      <c r="H51" s="36"/>
      <c r="I51" s="37">
        <v>7.0000000000000007E-2</v>
      </c>
      <c r="J51" s="38" t="s">
        <v>47</v>
      </c>
    </row>
    <row r="52" spans="2:10" ht="15" x14ac:dyDescent="0.2">
      <c r="B52" s="34"/>
      <c r="C52" s="34"/>
      <c r="D52" s="34"/>
      <c r="E52" s="36"/>
      <c r="F52" s="39"/>
      <c r="G52" s="36"/>
      <c r="H52" s="36"/>
      <c r="I52" s="37">
        <v>0.08</v>
      </c>
      <c r="J52" s="38" t="s">
        <v>49</v>
      </c>
    </row>
    <row r="53" spans="2:10" ht="15" x14ac:dyDescent="0.2">
      <c r="B53" s="34" t="s">
        <v>48</v>
      </c>
      <c r="C53" s="34"/>
      <c r="D53" s="34"/>
      <c r="E53" s="39">
        <v>0.02</v>
      </c>
      <c r="F53" s="39">
        <v>0.05</v>
      </c>
      <c r="G53" s="39">
        <v>0</v>
      </c>
      <c r="H53" s="39">
        <f>+E53+F53</f>
        <v>7.0000000000000007E-2</v>
      </c>
      <c r="I53" s="37">
        <v>0.24</v>
      </c>
      <c r="J53" s="38" t="s">
        <v>89</v>
      </c>
    </row>
    <row r="54" spans="2:10" ht="15" x14ac:dyDescent="0.25">
      <c r="B54" s="34" t="s">
        <v>50</v>
      </c>
      <c r="C54" s="34"/>
      <c r="D54" s="34"/>
      <c r="E54" s="43"/>
      <c r="F54" s="39"/>
      <c r="G54" s="43"/>
      <c r="H54" s="43"/>
      <c r="I54" s="37">
        <v>0.06</v>
      </c>
      <c r="J54" s="38" t="s">
        <v>51</v>
      </c>
    </row>
    <row r="55" spans="2:10" ht="15" x14ac:dyDescent="0.25">
      <c r="B55" s="34"/>
      <c r="C55" s="34"/>
      <c r="D55" s="34"/>
      <c r="E55" s="43"/>
      <c r="F55" s="39"/>
      <c r="G55" s="43"/>
      <c r="H55" s="43"/>
      <c r="I55" s="37">
        <v>7.0000000000000007E-2</v>
      </c>
      <c r="J55" s="38" t="s">
        <v>90</v>
      </c>
    </row>
    <row r="56" spans="2:10" ht="15" x14ac:dyDescent="0.2">
      <c r="B56" s="40"/>
      <c r="C56" s="40"/>
      <c r="D56" s="40"/>
      <c r="E56" s="41"/>
      <c r="F56" s="45"/>
      <c r="G56" s="41"/>
      <c r="H56" s="41"/>
      <c r="I56" s="57">
        <v>0.24</v>
      </c>
      <c r="J56" s="58" t="s">
        <v>91</v>
      </c>
    </row>
    <row r="57" spans="2:10" ht="21.6" customHeight="1" x14ac:dyDescent="0.2">
      <c r="B57" s="16" t="s">
        <v>104</v>
      </c>
      <c r="C57" s="77"/>
      <c r="D57" s="77"/>
      <c r="E57" s="39">
        <v>0.27</v>
      </c>
      <c r="F57" s="39">
        <v>0.06</v>
      </c>
      <c r="G57" s="39">
        <f>+E57-F57</f>
        <v>0.21000000000000002</v>
      </c>
      <c r="H57" s="39">
        <f>+E57+F57</f>
        <v>0.33</v>
      </c>
      <c r="I57" s="42"/>
      <c r="J57" s="38"/>
    </row>
    <row r="58" spans="2:10" ht="18.600000000000001" customHeight="1" x14ac:dyDescent="0.2">
      <c r="B58" s="32"/>
      <c r="C58" s="32"/>
      <c r="D58" s="32"/>
      <c r="E58" s="33"/>
      <c r="F58" s="51"/>
      <c r="G58" s="33"/>
      <c r="H58" s="33"/>
      <c r="I58" s="54">
        <v>0.14000000000000001</v>
      </c>
      <c r="J58" s="55" t="s">
        <v>54</v>
      </c>
    </row>
    <row r="59" spans="2:10" ht="15" x14ac:dyDescent="0.2">
      <c r="B59" s="34"/>
      <c r="C59" s="34"/>
      <c r="D59" s="34"/>
      <c r="E59" s="36"/>
      <c r="F59" s="39"/>
      <c r="G59" s="36"/>
      <c r="H59" s="36"/>
      <c r="I59" s="54">
        <v>0.05</v>
      </c>
      <c r="J59" s="70" t="s">
        <v>79</v>
      </c>
    </row>
    <row r="60" spans="2:10" ht="15" x14ac:dyDescent="0.2">
      <c r="B60" s="34"/>
      <c r="C60" s="34"/>
      <c r="D60" s="34"/>
      <c r="E60" s="36"/>
      <c r="F60" s="39"/>
      <c r="G60" s="36"/>
      <c r="H60" s="36"/>
      <c r="I60" s="54">
        <v>0.04</v>
      </c>
      <c r="J60" s="70" t="s">
        <v>80</v>
      </c>
    </row>
    <row r="61" spans="2:10" ht="15" x14ac:dyDescent="0.2">
      <c r="B61" s="34" t="s">
        <v>70</v>
      </c>
      <c r="C61" s="34"/>
      <c r="D61" s="34"/>
      <c r="E61" s="39">
        <v>0.22</v>
      </c>
      <c r="F61" s="39">
        <v>0.06</v>
      </c>
      <c r="G61" s="39">
        <f>+E61-F61</f>
        <v>0.16</v>
      </c>
      <c r="H61" s="39">
        <f>+E61+F61</f>
        <v>0.28000000000000003</v>
      </c>
      <c r="I61" s="54">
        <v>0.02</v>
      </c>
      <c r="J61" s="59" t="s">
        <v>81</v>
      </c>
    </row>
    <row r="62" spans="2:10" ht="15" x14ac:dyDescent="0.2">
      <c r="B62" s="34"/>
      <c r="C62" s="34"/>
      <c r="D62" s="34"/>
      <c r="E62" s="39"/>
      <c r="F62" s="39"/>
      <c r="G62" s="39"/>
      <c r="H62" s="39"/>
      <c r="I62" s="54">
        <v>0.05</v>
      </c>
      <c r="J62" s="59" t="s">
        <v>55</v>
      </c>
    </row>
    <row r="63" spans="2:10" ht="15" x14ac:dyDescent="0.2">
      <c r="B63" s="34"/>
      <c r="C63" s="34"/>
      <c r="D63" s="34"/>
      <c r="E63" s="39"/>
      <c r="F63" s="39"/>
      <c r="G63" s="39"/>
      <c r="H63" s="39"/>
      <c r="I63" s="54">
        <v>0.315</v>
      </c>
      <c r="J63" s="59" t="s">
        <v>92</v>
      </c>
    </row>
    <row r="64" spans="2:10" ht="15" x14ac:dyDescent="0.2">
      <c r="B64" s="34"/>
      <c r="C64" s="34"/>
      <c r="D64" s="34"/>
      <c r="E64" s="36"/>
      <c r="F64" s="36"/>
      <c r="G64" s="36"/>
      <c r="H64" s="36"/>
      <c r="I64" s="54">
        <v>0.23099999999999998</v>
      </c>
      <c r="J64" s="59" t="s">
        <v>93</v>
      </c>
    </row>
    <row r="65" spans="2:10" ht="15" x14ac:dyDescent="0.2">
      <c r="B65" s="34"/>
      <c r="C65" s="34"/>
      <c r="D65" s="34"/>
      <c r="E65" s="36"/>
      <c r="F65" s="36"/>
      <c r="G65" s="36"/>
      <c r="H65" s="36"/>
      <c r="I65" s="54">
        <v>6.9999999999999993E-2</v>
      </c>
      <c r="J65" s="59" t="s">
        <v>94</v>
      </c>
    </row>
    <row r="66" spans="2:10" ht="15" x14ac:dyDescent="0.2">
      <c r="B66" s="34"/>
      <c r="C66" s="34"/>
      <c r="D66" s="34"/>
      <c r="E66" s="36"/>
      <c r="F66" s="36"/>
      <c r="G66" s="36"/>
      <c r="H66" s="36"/>
      <c r="I66" s="54">
        <v>3.4999999999999996E-2</v>
      </c>
      <c r="J66" s="59" t="s">
        <v>95</v>
      </c>
    </row>
    <row r="67" spans="2:10" ht="15" x14ac:dyDescent="0.2">
      <c r="B67" s="40"/>
      <c r="C67" s="40"/>
      <c r="D67" s="40"/>
      <c r="E67" s="41"/>
      <c r="F67" s="41"/>
      <c r="G67" s="41"/>
      <c r="H67" s="41"/>
      <c r="I67" s="71">
        <v>4.9000000000000002E-2</v>
      </c>
      <c r="J67" s="72" t="s">
        <v>96</v>
      </c>
    </row>
    <row r="68" spans="2:10" ht="15" x14ac:dyDescent="0.2">
      <c r="B68" s="40" t="s">
        <v>23</v>
      </c>
      <c r="C68" s="40"/>
      <c r="D68" s="40"/>
      <c r="E68" s="60">
        <v>0</v>
      </c>
      <c r="F68" s="45">
        <v>0.05</v>
      </c>
      <c r="G68" s="60">
        <v>0</v>
      </c>
      <c r="H68" s="60">
        <v>0.05</v>
      </c>
      <c r="I68" s="54"/>
      <c r="J68" s="59"/>
    </row>
    <row r="69" spans="2:10" ht="15" x14ac:dyDescent="0.2">
      <c r="B69" s="44" t="s">
        <v>37</v>
      </c>
      <c r="C69" s="44"/>
      <c r="D69" s="44"/>
      <c r="E69" s="60">
        <v>0.03</v>
      </c>
      <c r="F69" s="45"/>
      <c r="G69" s="60"/>
      <c r="H69" s="60"/>
      <c r="I69" s="45">
        <v>1</v>
      </c>
      <c r="J69" s="48" t="s">
        <v>52</v>
      </c>
    </row>
    <row r="70" spans="2:10" ht="15" x14ac:dyDescent="0.2">
      <c r="B70" s="44" t="s">
        <v>8</v>
      </c>
      <c r="C70" s="44"/>
      <c r="D70" s="44"/>
      <c r="E70" s="45">
        <v>1</v>
      </c>
      <c r="F70" s="45"/>
      <c r="G70" s="45"/>
      <c r="H70" s="45"/>
      <c r="I70" s="46"/>
      <c r="J70" s="47"/>
    </row>
    <row r="71" spans="2:10" ht="15" x14ac:dyDescent="0.2">
      <c r="B71" s="44" t="s">
        <v>13</v>
      </c>
      <c r="C71" s="112"/>
      <c r="D71" s="112"/>
      <c r="E71" s="39">
        <v>0.22</v>
      </c>
      <c r="F71" s="39">
        <v>0.06</v>
      </c>
      <c r="G71" s="39">
        <f>+E71-F71</f>
        <v>0.16</v>
      </c>
      <c r="H71" s="39">
        <f>+E71+F71</f>
        <v>0.28000000000000003</v>
      </c>
      <c r="I71" s="45"/>
      <c r="J71" s="49"/>
    </row>
    <row r="72" spans="2:10" customFormat="1" ht="33.75" customHeight="1" x14ac:dyDescent="0.2">
      <c r="B72" s="97" t="s">
        <v>116</v>
      </c>
      <c r="C72" s="153">
        <v>1E-3</v>
      </c>
      <c r="D72" s="154"/>
      <c r="E72" s="154"/>
      <c r="F72" s="154"/>
      <c r="G72" s="154"/>
      <c r="H72" s="154"/>
    </row>
    <row r="73" spans="2:10" x14ac:dyDescent="0.2">
      <c r="B73" s="151" t="s">
        <v>108</v>
      </c>
      <c r="C73" s="151"/>
      <c r="D73" s="151"/>
      <c r="E73" s="151"/>
      <c r="F73" s="151"/>
      <c r="G73" s="151"/>
      <c r="H73" s="151"/>
    </row>
    <row r="74" spans="2:10" ht="30" customHeight="1" x14ac:dyDescent="0.2">
      <c r="B74" s="142" t="s">
        <v>63</v>
      </c>
      <c r="C74" s="143"/>
      <c r="D74" s="143"/>
      <c r="E74" s="143"/>
      <c r="F74" s="143"/>
      <c r="G74" s="143"/>
      <c r="H74" s="143"/>
      <c r="I74" s="143"/>
      <c r="J74" s="143"/>
    </row>
    <row r="75" spans="2:10" ht="25.5" customHeight="1" x14ac:dyDescent="0.2">
      <c r="B75" s="142" t="s">
        <v>141</v>
      </c>
      <c r="C75" s="143"/>
      <c r="D75" s="143"/>
      <c r="E75" s="143"/>
      <c r="F75" s="143"/>
      <c r="G75" s="143"/>
      <c r="H75" s="143"/>
      <c r="I75" s="143"/>
      <c r="J75" s="143"/>
    </row>
    <row r="76" spans="2:10" ht="45.75" customHeight="1" x14ac:dyDescent="0.2">
      <c r="B76" s="29" t="s">
        <v>0</v>
      </c>
      <c r="C76" s="29"/>
      <c r="D76" s="29"/>
      <c r="E76" s="15" t="s">
        <v>115</v>
      </c>
      <c r="F76" s="29" t="s">
        <v>40</v>
      </c>
      <c r="G76" s="30" t="s">
        <v>10</v>
      </c>
      <c r="H76" s="30"/>
      <c r="I76" s="31"/>
      <c r="J76" s="9" t="s">
        <v>73</v>
      </c>
    </row>
    <row r="77" spans="2:10" ht="15" x14ac:dyDescent="0.2">
      <c r="B77" s="34"/>
      <c r="C77" s="111"/>
      <c r="D77" s="111"/>
      <c r="E77" s="35"/>
      <c r="F77" s="36"/>
      <c r="G77" s="36"/>
      <c r="H77" s="36"/>
      <c r="I77" s="54">
        <v>0.32500000000000001</v>
      </c>
      <c r="J77" s="55" t="s">
        <v>43</v>
      </c>
    </row>
    <row r="78" spans="2:10" ht="15" x14ac:dyDescent="0.2">
      <c r="B78" s="34"/>
      <c r="C78" s="111"/>
      <c r="D78" s="111"/>
      <c r="E78" s="35"/>
      <c r="F78" s="39"/>
      <c r="G78" s="39"/>
      <c r="H78" s="39"/>
      <c r="I78" s="69">
        <v>0.10400000000000001</v>
      </c>
      <c r="J78" s="55" t="s">
        <v>86</v>
      </c>
    </row>
    <row r="79" spans="2:10" ht="15" x14ac:dyDescent="0.2">
      <c r="B79" s="34"/>
      <c r="C79" s="111"/>
      <c r="D79" s="111"/>
      <c r="E79" s="35"/>
      <c r="F79" s="39"/>
      <c r="G79" s="39"/>
      <c r="H79" s="39"/>
      <c r="I79" s="69">
        <v>9.1000000000000011E-2</v>
      </c>
      <c r="J79" s="55" t="s">
        <v>45</v>
      </c>
    </row>
    <row r="80" spans="2:10" ht="30" x14ac:dyDescent="0.2">
      <c r="B80" s="34" t="s">
        <v>29</v>
      </c>
      <c r="C80" s="34"/>
      <c r="D80" s="34"/>
      <c r="E80" s="39">
        <v>0.25</v>
      </c>
      <c r="F80" s="39">
        <v>0.06</v>
      </c>
      <c r="G80" s="39">
        <f>+E80-F80</f>
        <v>0.19</v>
      </c>
      <c r="H80" s="39">
        <f>+E80+F80</f>
        <v>0.31</v>
      </c>
      <c r="I80" s="69">
        <v>3.2500000000000001E-2</v>
      </c>
      <c r="J80" s="55" t="s">
        <v>44</v>
      </c>
    </row>
    <row r="81" spans="2:10" ht="15" x14ac:dyDescent="0.2">
      <c r="B81" s="77"/>
      <c r="C81" s="77"/>
      <c r="D81" s="77"/>
      <c r="E81" s="36"/>
      <c r="F81" s="39"/>
      <c r="G81" s="36"/>
      <c r="H81" s="36"/>
      <c r="I81" s="69">
        <v>9.7500000000000003E-2</v>
      </c>
      <c r="J81" s="55" t="s">
        <v>87</v>
      </c>
    </row>
    <row r="82" spans="2:10" ht="15" x14ac:dyDescent="0.2">
      <c r="B82" s="34"/>
      <c r="C82" s="34"/>
      <c r="D82" s="34"/>
      <c r="E82" s="36"/>
      <c r="F82" s="39"/>
      <c r="G82" s="36"/>
      <c r="H82" s="36"/>
      <c r="I82" s="71">
        <v>0.31</v>
      </c>
      <c r="J82" s="56" t="s">
        <v>46</v>
      </c>
    </row>
    <row r="83" spans="2:10" ht="15" x14ac:dyDescent="0.2">
      <c r="B83" s="34"/>
      <c r="C83" s="34"/>
      <c r="D83" s="34"/>
      <c r="E83" s="36"/>
      <c r="F83" s="39"/>
      <c r="G83" s="36"/>
      <c r="H83" s="36"/>
      <c r="I83" s="69">
        <v>2.0000000000000004E-2</v>
      </c>
      <c r="J83" s="55" t="s">
        <v>56</v>
      </c>
    </row>
    <row r="84" spans="2:10" ht="15" x14ac:dyDescent="0.2">
      <c r="B84" s="40"/>
      <c r="C84" s="40"/>
      <c r="D84" s="40"/>
      <c r="E84" s="41"/>
      <c r="F84" s="45"/>
      <c r="G84" s="41"/>
      <c r="H84" s="41"/>
      <c r="I84" s="57">
        <v>2.0000000000000004E-2</v>
      </c>
      <c r="J84" s="58" t="s">
        <v>53</v>
      </c>
    </row>
    <row r="85" spans="2:10" ht="15" x14ac:dyDescent="0.2">
      <c r="B85" s="34"/>
      <c r="C85" s="34"/>
      <c r="D85" s="34"/>
      <c r="E85" s="36"/>
      <c r="F85" s="39"/>
      <c r="G85" s="36"/>
      <c r="H85" s="36"/>
      <c r="I85" s="37">
        <v>0.24</v>
      </c>
      <c r="J85" s="38" t="s">
        <v>88</v>
      </c>
    </row>
    <row r="86" spans="2:10" ht="15" x14ac:dyDescent="0.2">
      <c r="B86" s="34"/>
      <c r="C86" s="34"/>
      <c r="D86" s="34"/>
      <c r="E86" s="36"/>
      <c r="F86" s="39"/>
      <c r="G86" s="36"/>
      <c r="H86" s="36"/>
      <c r="I86" s="37">
        <v>7.0000000000000007E-2</v>
      </c>
      <c r="J86" s="38" t="s">
        <v>47</v>
      </c>
    </row>
    <row r="87" spans="2:10" ht="15" x14ac:dyDescent="0.2">
      <c r="B87" s="34"/>
      <c r="C87" s="34"/>
      <c r="D87" s="34"/>
      <c r="E87" s="36"/>
      <c r="F87" s="39"/>
      <c r="G87" s="36"/>
      <c r="H87" s="36"/>
      <c r="I87" s="37">
        <v>0.08</v>
      </c>
      <c r="J87" s="38" t="s">
        <v>49</v>
      </c>
    </row>
    <row r="88" spans="2:10" ht="15" x14ac:dyDescent="0.2">
      <c r="B88" s="34" t="s">
        <v>48</v>
      </c>
      <c r="C88" s="34"/>
      <c r="D88" s="34"/>
      <c r="E88" s="39">
        <v>0.13</v>
      </c>
      <c r="F88" s="39">
        <v>0.05</v>
      </c>
      <c r="G88" s="39">
        <f>+E88-F88</f>
        <v>0.08</v>
      </c>
      <c r="H88" s="39">
        <f>+E88+F88</f>
        <v>0.18</v>
      </c>
      <c r="I88" s="37">
        <v>0.24</v>
      </c>
      <c r="J88" s="38" t="s">
        <v>89</v>
      </c>
    </row>
    <row r="89" spans="2:10" ht="15" x14ac:dyDescent="0.25">
      <c r="B89" s="34" t="s">
        <v>50</v>
      </c>
      <c r="C89" s="34"/>
      <c r="D89" s="34"/>
      <c r="E89" s="43"/>
      <c r="F89" s="39"/>
      <c r="G89" s="43"/>
      <c r="H89" s="43"/>
      <c r="I89" s="37">
        <v>0.06</v>
      </c>
      <c r="J89" s="38" t="s">
        <v>51</v>
      </c>
    </row>
    <row r="90" spans="2:10" ht="15" x14ac:dyDescent="0.25">
      <c r="B90" s="34"/>
      <c r="C90" s="34"/>
      <c r="D90" s="34"/>
      <c r="E90" s="43"/>
      <c r="F90" s="39"/>
      <c r="G90" s="43"/>
      <c r="H90" s="43"/>
      <c r="I90" s="37">
        <v>7.0000000000000007E-2</v>
      </c>
      <c r="J90" s="38" t="s">
        <v>90</v>
      </c>
    </row>
    <row r="91" spans="2:10" ht="15" x14ac:dyDescent="0.2">
      <c r="B91" s="40"/>
      <c r="C91" s="40"/>
      <c r="D91" s="40"/>
      <c r="E91" s="41"/>
      <c r="F91" s="45"/>
      <c r="G91" s="41"/>
      <c r="H91" s="41"/>
      <c r="I91" s="57">
        <v>0.24</v>
      </c>
      <c r="J91" s="58" t="s">
        <v>91</v>
      </c>
    </row>
    <row r="92" spans="2:10" ht="21.6" customHeight="1" x14ac:dyDescent="0.2">
      <c r="B92" s="16" t="s">
        <v>104</v>
      </c>
      <c r="C92" s="77"/>
      <c r="D92" s="77"/>
      <c r="E92" s="39">
        <v>0.27</v>
      </c>
      <c r="F92" s="39">
        <v>0.05</v>
      </c>
      <c r="G92" s="39">
        <f>+E92-F92</f>
        <v>0.22000000000000003</v>
      </c>
      <c r="H92" s="39">
        <f>+E92+F92</f>
        <v>0.32</v>
      </c>
      <c r="I92" s="42"/>
      <c r="J92" s="38"/>
    </row>
    <row r="93" spans="2:10" ht="15" x14ac:dyDescent="0.2">
      <c r="B93" s="32"/>
      <c r="C93" s="32"/>
      <c r="D93" s="32"/>
      <c r="E93" s="33"/>
      <c r="F93" s="51"/>
      <c r="G93" s="33"/>
      <c r="H93" s="33"/>
      <c r="I93" s="54">
        <v>0.14000000000000001</v>
      </c>
      <c r="J93" s="55" t="s">
        <v>54</v>
      </c>
    </row>
    <row r="94" spans="2:10" ht="15" x14ac:dyDescent="0.2">
      <c r="B94" s="34"/>
      <c r="C94" s="34"/>
      <c r="D94" s="34"/>
      <c r="E94" s="36"/>
      <c r="F94" s="39"/>
      <c r="G94" s="36"/>
      <c r="H94" s="36"/>
      <c r="I94" s="54">
        <v>0.05</v>
      </c>
      <c r="J94" s="70" t="s">
        <v>79</v>
      </c>
    </row>
    <row r="95" spans="2:10" ht="15" x14ac:dyDescent="0.2">
      <c r="B95" s="34"/>
      <c r="C95" s="34"/>
      <c r="D95" s="34"/>
      <c r="E95" s="36"/>
      <c r="F95" s="39"/>
      <c r="G95" s="36"/>
      <c r="H95" s="36"/>
      <c r="I95" s="54">
        <v>0.04</v>
      </c>
      <c r="J95" s="70" t="s">
        <v>80</v>
      </c>
    </row>
    <row r="96" spans="2:10" ht="15" x14ac:dyDescent="0.2">
      <c r="B96" s="34" t="s">
        <v>70</v>
      </c>
      <c r="C96" s="34"/>
      <c r="D96" s="34"/>
      <c r="E96" s="39">
        <v>0.31</v>
      </c>
      <c r="F96" s="39">
        <v>0.06</v>
      </c>
      <c r="G96" s="39">
        <f>+E96-F96</f>
        <v>0.25</v>
      </c>
      <c r="H96" s="39">
        <f>+E96+F96</f>
        <v>0.37</v>
      </c>
      <c r="I96" s="54">
        <v>0.02</v>
      </c>
      <c r="J96" s="59" t="s">
        <v>81</v>
      </c>
    </row>
    <row r="97" spans="2:10" ht="15" x14ac:dyDescent="0.2">
      <c r="B97" s="34"/>
      <c r="C97" s="34"/>
      <c r="D97" s="34"/>
      <c r="E97" s="39"/>
      <c r="F97" s="39"/>
      <c r="G97" s="39"/>
      <c r="H97" s="39"/>
      <c r="I97" s="54">
        <v>0.05</v>
      </c>
      <c r="J97" s="59" t="s">
        <v>55</v>
      </c>
    </row>
    <row r="98" spans="2:10" ht="15" x14ac:dyDescent="0.2">
      <c r="B98" s="34"/>
      <c r="C98" s="34"/>
      <c r="D98" s="34"/>
      <c r="E98" s="39"/>
      <c r="F98" s="39"/>
      <c r="G98" s="39"/>
      <c r="H98" s="39"/>
      <c r="I98" s="54">
        <v>0.315</v>
      </c>
      <c r="J98" s="59" t="s">
        <v>92</v>
      </c>
    </row>
    <row r="99" spans="2:10" ht="15" x14ac:dyDescent="0.2">
      <c r="B99" s="34"/>
      <c r="C99" s="34"/>
      <c r="D99" s="34"/>
      <c r="E99" s="36"/>
      <c r="F99" s="36"/>
      <c r="G99" s="36"/>
      <c r="H99" s="36"/>
      <c r="I99" s="54">
        <v>0.23099999999999998</v>
      </c>
      <c r="J99" s="59" t="s">
        <v>93</v>
      </c>
    </row>
    <row r="100" spans="2:10" ht="15" x14ac:dyDescent="0.2">
      <c r="B100" s="34"/>
      <c r="C100" s="34"/>
      <c r="D100" s="34"/>
      <c r="E100" s="36"/>
      <c r="F100" s="36"/>
      <c r="G100" s="36"/>
      <c r="H100" s="36"/>
      <c r="I100" s="54">
        <v>6.9999999999999993E-2</v>
      </c>
      <c r="J100" s="59" t="s">
        <v>94</v>
      </c>
    </row>
    <row r="101" spans="2:10" ht="15" x14ac:dyDescent="0.2">
      <c r="B101" s="34"/>
      <c r="C101" s="34"/>
      <c r="D101" s="34"/>
      <c r="E101" s="36"/>
      <c r="F101" s="36"/>
      <c r="G101" s="36"/>
      <c r="H101" s="36"/>
      <c r="I101" s="54">
        <v>3.4999999999999996E-2</v>
      </c>
      <c r="J101" s="59" t="s">
        <v>95</v>
      </c>
    </row>
    <row r="102" spans="2:10" ht="15" x14ac:dyDescent="0.2">
      <c r="B102" s="40"/>
      <c r="C102" s="40"/>
      <c r="D102" s="40"/>
      <c r="E102" s="41"/>
      <c r="F102" s="41"/>
      <c r="G102" s="41"/>
      <c r="H102" s="41"/>
      <c r="I102" s="71">
        <v>4.9000000000000002E-2</v>
      </c>
      <c r="J102" s="72" t="s">
        <v>96</v>
      </c>
    </row>
    <row r="103" spans="2:10" ht="15" x14ac:dyDescent="0.2">
      <c r="B103" s="40" t="s">
        <v>23</v>
      </c>
      <c r="C103" s="40"/>
      <c r="D103" s="40"/>
      <c r="E103" s="60">
        <v>0</v>
      </c>
      <c r="F103" s="45">
        <v>0.05</v>
      </c>
      <c r="G103" s="60">
        <v>0</v>
      </c>
      <c r="H103" s="60">
        <v>0.05</v>
      </c>
      <c r="I103" s="54"/>
      <c r="J103" s="59"/>
    </row>
    <row r="104" spans="2:10" ht="15" x14ac:dyDescent="0.2">
      <c r="B104" s="44" t="s">
        <v>37</v>
      </c>
      <c r="C104" s="44"/>
      <c r="D104" s="44"/>
      <c r="E104" s="60">
        <v>0.04</v>
      </c>
      <c r="F104" s="45"/>
      <c r="G104" s="60"/>
      <c r="H104" s="60"/>
      <c r="I104" s="45">
        <v>1</v>
      </c>
      <c r="J104" s="48" t="s">
        <v>52</v>
      </c>
    </row>
    <row r="105" spans="2:10" ht="15" x14ac:dyDescent="0.2">
      <c r="B105" s="44" t="s">
        <v>8</v>
      </c>
      <c r="C105" s="44"/>
      <c r="D105" s="44"/>
      <c r="E105" s="45">
        <v>1</v>
      </c>
      <c r="F105" s="45"/>
      <c r="G105" s="45"/>
      <c r="H105" s="45"/>
      <c r="I105" s="46"/>
      <c r="J105" s="47"/>
    </row>
    <row r="106" spans="2:10" ht="15" x14ac:dyDescent="0.2">
      <c r="B106" s="44" t="s">
        <v>13</v>
      </c>
      <c r="C106" s="112"/>
      <c r="D106" s="112"/>
      <c r="E106" s="39">
        <v>0.18</v>
      </c>
      <c r="F106" s="45">
        <v>0.06</v>
      </c>
      <c r="G106" s="39">
        <f>+E106-F106</f>
        <v>0.12</v>
      </c>
      <c r="H106" s="39">
        <f>+E106+F106</f>
        <v>0.24</v>
      </c>
      <c r="I106" s="45"/>
      <c r="J106" s="49"/>
    </row>
    <row r="107" spans="2:10" customFormat="1" ht="33.75" customHeight="1" x14ac:dyDescent="0.2">
      <c r="B107" s="97" t="s">
        <v>116</v>
      </c>
      <c r="C107" s="153">
        <v>1E-3</v>
      </c>
      <c r="D107" s="154"/>
      <c r="E107" s="154"/>
      <c r="F107" s="154"/>
      <c r="G107" s="154"/>
      <c r="H107" s="154"/>
    </row>
    <row r="108" spans="2:10" x14ac:dyDescent="0.2">
      <c r="B108" s="152" t="s">
        <v>101</v>
      </c>
      <c r="C108" s="152"/>
      <c r="D108" s="152"/>
      <c r="E108" s="152"/>
      <c r="F108" s="152"/>
      <c r="G108" s="152"/>
      <c r="H108" s="152"/>
    </row>
    <row r="109" spans="2:10" x14ac:dyDescent="0.2">
      <c r="B109" s="14" t="s">
        <v>38</v>
      </c>
    </row>
    <row r="110" spans="2:10" ht="14.1" customHeight="1" x14ac:dyDescent="0.2">
      <c r="B110" s="14" t="s">
        <v>72</v>
      </c>
      <c r="C110" s="52"/>
      <c r="D110" s="52"/>
      <c r="E110" s="52"/>
      <c r="F110" s="52"/>
      <c r="G110" s="52"/>
    </row>
    <row r="111" spans="2:10" x14ac:dyDescent="0.2">
      <c r="B111" s="155" t="s">
        <v>102</v>
      </c>
      <c r="C111" s="155"/>
      <c r="D111" s="155"/>
      <c r="E111" s="155"/>
      <c r="F111" s="155"/>
      <c r="G111" s="155"/>
      <c r="H111" s="155"/>
    </row>
    <row r="112" spans="2:10" x14ac:dyDescent="0.2">
      <c r="B112" s="14" t="s">
        <v>103</v>
      </c>
      <c r="C112" s="28"/>
      <c r="D112" s="28"/>
      <c r="E112" s="28"/>
      <c r="F112" s="28"/>
      <c r="G112" s="28"/>
    </row>
    <row r="113" spans="2:8" x14ac:dyDescent="0.2">
      <c r="B113" s="155" t="s">
        <v>109</v>
      </c>
      <c r="C113" s="155"/>
      <c r="D113" s="155"/>
      <c r="E113" s="155"/>
      <c r="F113" s="155"/>
      <c r="G113" s="155"/>
      <c r="H113" s="155"/>
    </row>
    <row r="114" spans="2:8" x14ac:dyDescent="0.2">
      <c r="B114" s="28"/>
      <c r="C114" s="28"/>
      <c r="D114" s="28"/>
      <c r="E114" s="28"/>
      <c r="F114" s="28"/>
      <c r="G114" s="28"/>
    </row>
    <row r="115" spans="2:8" x14ac:dyDescent="0.2">
      <c r="B115" s="28"/>
      <c r="C115" s="28"/>
      <c r="D115" s="28"/>
      <c r="E115" s="28"/>
      <c r="F115" s="28"/>
      <c r="G115" s="28"/>
    </row>
    <row r="116" spans="2:8" x14ac:dyDescent="0.2">
      <c r="B116" s="28"/>
      <c r="C116" s="28"/>
      <c r="D116" s="28"/>
      <c r="E116" s="28"/>
      <c r="F116" s="28"/>
      <c r="G116" s="28"/>
    </row>
    <row r="117" spans="2:8" x14ac:dyDescent="0.2">
      <c r="B117" s="28"/>
      <c r="C117" s="28"/>
      <c r="D117" s="28"/>
      <c r="E117" s="28"/>
      <c r="F117" s="28"/>
      <c r="G117" s="28"/>
    </row>
    <row r="118" spans="2:8" x14ac:dyDescent="0.2">
      <c r="B118" s="28"/>
      <c r="C118" s="28"/>
      <c r="D118" s="28"/>
      <c r="E118" s="28"/>
      <c r="F118" s="28"/>
      <c r="G118" s="28"/>
    </row>
    <row r="119" spans="2:8" x14ac:dyDescent="0.2">
      <c r="B119" s="28"/>
      <c r="C119" s="28"/>
      <c r="D119" s="28"/>
      <c r="E119" s="28"/>
      <c r="F119" s="28"/>
      <c r="G119" s="28"/>
    </row>
    <row r="120" spans="2:8" x14ac:dyDescent="0.2">
      <c r="B120" s="28"/>
      <c r="C120" s="28"/>
      <c r="D120" s="28"/>
      <c r="E120" s="28"/>
      <c r="F120" s="28"/>
      <c r="G120" s="28"/>
    </row>
    <row r="121" spans="2:8" x14ac:dyDescent="0.2">
      <c r="B121" s="28"/>
      <c r="C121" s="28"/>
      <c r="D121" s="28"/>
      <c r="E121" s="28"/>
      <c r="F121" s="28"/>
      <c r="G121" s="28"/>
    </row>
    <row r="122" spans="2:8" x14ac:dyDescent="0.2">
      <c r="B122" s="28"/>
      <c r="C122" s="28"/>
      <c r="D122" s="28"/>
      <c r="E122" s="28"/>
      <c r="F122" s="28"/>
      <c r="G122" s="28"/>
    </row>
    <row r="123" spans="2:8" x14ac:dyDescent="0.2">
      <c r="B123" s="28"/>
      <c r="C123" s="28"/>
      <c r="D123" s="28"/>
      <c r="E123" s="28"/>
      <c r="F123" s="28"/>
      <c r="G123" s="28"/>
    </row>
    <row r="124" spans="2:8" x14ac:dyDescent="0.2">
      <c r="B124" s="28"/>
      <c r="C124" s="28"/>
      <c r="D124" s="28"/>
      <c r="E124" s="28"/>
      <c r="F124" s="28"/>
      <c r="G124" s="28"/>
    </row>
    <row r="125" spans="2:8" x14ac:dyDescent="0.2">
      <c r="B125" s="28"/>
      <c r="C125" s="28"/>
      <c r="D125" s="28"/>
      <c r="E125" s="28"/>
      <c r="F125" s="28"/>
      <c r="G125" s="28"/>
    </row>
    <row r="126" spans="2:8" x14ac:dyDescent="0.2">
      <c r="B126" s="28"/>
      <c r="C126" s="28"/>
      <c r="D126" s="28"/>
      <c r="E126" s="28"/>
      <c r="F126" s="28"/>
      <c r="G126" s="28"/>
    </row>
    <row r="127" spans="2:8" x14ac:dyDescent="0.2">
      <c r="B127" s="28"/>
      <c r="C127" s="28"/>
      <c r="D127" s="28"/>
      <c r="E127" s="28"/>
      <c r="F127" s="28"/>
      <c r="G127" s="28"/>
    </row>
  </sheetData>
  <mergeCells count="17">
    <mergeCell ref="B113:H113"/>
    <mergeCell ref="B111:H111"/>
    <mergeCell ref="B1:H1"/>
    <mergeCell ref="B2:H2"/>
    <mergeCell ref="B38:H38"/>
    <mergeCell ref="B73:H73"/>
    <mergeCell ref="B108:H108"/>
    <mergeCell ref="C107:H107"/>
    <mergeCell ref="C72:H72"/>
    <mergeCell ref="C36:H36"/>
    <mergeCell ref="B3:J3"/>
    <mergeCell ref="B4:J4"/>
    <mergeCell ref="B75:J75"/>
    <mergeCell ref="B37:H37"/>
    <mergeCell ref="B39:J39"/>
    <mergeCell ref="B40:J40"/>
    <mergeCell ref="B74:J74"/>
  </mergeCells>
  <pageMargins left="0.7" right="0.7" top="0.75" bottom="0.51" header="0.3" footer="0.3"/>
  <pageSetup paperSize="9" scale="43" fitToHeight="0" orientation="landscape" r:id="rId1"/>
  <rowBreaks count="2" manualBreakCount="2">
    <brk id="38" max="16383" man="1"/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46"/>
  <sheetViews>
    <sheetView showGridLines="0" rightToLeft="1" topLeftCell="A24" zoomScaleNormal="100" zoomScaleSheetLayoutView="100" workbookViewId="0">
      <selection activeCell="A46" sqref="A46:F46"/>
    </sheetView>
  </sheetViews>
  <sheetFormatPr defaultColWidth="8.875" defaultRowHeight="14.25" x14ac:dyDescent="0.2"/>
  <cols>
    <col min="1" max="1" width="36" customWidth="1"/>
    <col min="2" max="2" width="28.5" bestFit="1" customWidth="1"/>
    <col min="3" max="3" width="27.25" bestFit="1" customWidth="1"/>
    <col min="4" max="4" width="11.125" customWidth="1"/>
    <col min="5" max="5" width="13.625" customWidth="1"/>
    <col min="7" max="7" width="22.375" customWidth="1"/>
  </cols>
  <sheetData>
    <row r="1" spans="1:8" ht="30" customHeight="1" thickBot="1" x14ac:dyDescent="0.25">
      <c r="B1" s="148" t="s">
        <v>114</v>
      </c>
      <c r="C1" s="148"/>
      <c r="D1" s="148"/>
      <c r="E1" s="148"/>
      <c r="F1" s="148"/>
    </row>
    <row r="2" spans="1:8" ht="30" customHeight="1" thickTop="1" x14ac:dyDescent="0.2">
      <c r="B2" s="122"/>
      <c r="C2" s="122"/>
      <c r="D2" s="122"/>
      <c r="E2" s="122"/>
      <c r="F2" s="122"/>
    </row>
    <row r="3" spans="1:8" ht="15.75" x14ac:dyDescent="0.2">
      <c r="A3" s="158" t="s">
        <v>175</v>
      </c>
      <c r="B3" s="159"/>
      <c r="C3" s="159"/>
      <c r="D3" s="159"/>
      <c r="E3" s="159"/>
      <c r="F3" s="159"/>
      <c r="G3" s="159"/>
    </row>
    <row r="4" spans="1:8" ht="14.1" customHeight="1" x14ac:dyDescent="0.2">
      <c r="A4" s="147" t="s">
        <v>98</v>
      </c>
      <c r="B4" s="147"/>
      <c r="C4" s="147"/>
      <c r="D4" s="147"/>
      <c r="E4" s="147"/>
      <c r="F4" s="147"/>
      <c r="G4" s="147"/>
    </row>
    <row r="5" spans="1:8" ht="14.25" customHeight="1" x14ac:dyDescent="0.2">
      <c r="A5" s="156" t="s">
        <v>196</v>
      </c>
      <c r="B5" s="157"/>
      <c r="C5" s="157"/>
      <c r="D5" s="157"/>
      <c r="E5" s="157"/>
      <c r="F5" s="157"/>
      <c r="G5" s="157"/>
      <c r="H5" s="147" t="s">
        <v>223</v>
      </c>
    </row>
    <row r="6" spans="1:8" ht="18.75" thickBot="1" x14ac:dyDescent="0.25">
      <c r="A6" s="156" t="s">
        <v>149</v>
      </c>
      <c r="B6" s="157"/>
      <c r="C6" s="157"/>
      <c r="D6" s="157"/>
      <c r="E6" s="157"/>
      <c r="F6" s="157"/>
      <c r="G6" s="157"/>
      <c r="H6" s="147"/>
    </row>
    <row r="7" spans="1:8" ht="75" customHeight="1" x14ac:dyDescent="0.2">
      <c r="A7" s="98" t="s">
        <v>0</v>
      </c>
      <c r="B7" s="15" t="s">
        <v>215</v>
      </c>
      <c r="C7" s="114" t="s">
        <v>216</v>
      </c>
      <c r="D7" s="9" t="s">
        <v>40</v>
      </c>
      <c r="E7" s="164" t="s">
        <v>10</v>
      </c>
      <c r="F7" s="165"/>
      <c r="G7" s="101" t="s">
        <v>113</v>
      </c>
      <c r="H7" s="147"/>
    </row>
    <row r="8" spans="1:8" ht="30" x14ac:dyDescent="0.2">
      <c r="A8" s="102" t="s">
        <v>41</v>
      </c>
      <c r="B8" s="103">
        <v>0.55000000000000004</v>
      </c>
      <c r="C8" s="103">
        <v>0.55000000000000004</v>
      </c>
      <c r="D8" s="103">
        <v>0.05</v>
      </c>
      <c r="E8" s="103">
        <f>+B8-D8</f>
        <v>0.5</v>
      </c>
      <c r="F8" s="103">
        <f>+B8+D8</f>
        <v>0.60000000000000009</v>
      </c>
      <c r="G8" s="104" t="s">
        <v>3</v>
      </c>
      <c r="H8" s="147"/>
    </row>
    <row r="9" spans="1:8" ht="15" x14ac:dyDescent="0.2">
      <c r="A9" s="102" t="s">
        <v>104</v>
      </c>
      <c r="B9" s="103">
        <v>0.27</v>
      </c>
      <c r="C9" s="103">
        <v>0.27</v>
      </c>
      <c r="D9" s="103">
        <v>0.05</v>
      </c>
      <c r="E9" s="103">
        <f t="shared" ref="E9:E10" si="0">+B9-D9</f>
        <v>0.22000000000000003</v>
      </c>
      <c r="F9" s="103">
        <f t="shared" ref="F9:F10" si="1">+B9+D9</f>
        <v>0.32</v>
      </c>
      <c r="G9" s="105"/>
      <c r="H9" s="147"/>
    </row>
    <row r="10" spans="1:8" ht="75" x14ac:dyDescent="0.2">
      <c r="A10" s="102" t="s">
        <v>70</v>
      </c>
      <c r="B10" s="103">
        <v>0.16</v>
      </c>
      <c r="C10" s="103">
        <v>0.16</v>
      </c>
      <c r="D10" s="103">
        <v>0.06</v>
      </c>
      <c r="E10" s="103">
        <f t="shared" si="0"/>
        <v>0.1</v>
      </c>
      <c r="F10" s="103">
        <f t="shared" si="1"/>
        <v>0.22</v>
      </c>
      <c r="G10" s="106" t="s">
        <v>71</v>
      </c>
      <c r="H10" s="147"/>
    </row>
    <row r="11" spans="1:8" ht="15" x14ac:dyDescent="0.2">
      <c r="A11" s="102" t="s">
        <v>37</v>
      </c>
      <c r="B11" s="103">
        <v>0.02</v>
      </c>
      <c r="C11" s="103">
        <v>0.02</v>
      </c>
      <c r="D11" s="103"/>
      <c r="E11" s="103"/>
      <c r="F11" s="103"/>
      <c r="G11" s="105"/>
      <c r="H11" s="147"/>
    </row>
    <row r="12" spans="1:8" ht="15" x14ac:dyDescent="0.2">
      <c r="A12" s="102" t="s">
        <v>8</v>
      </c>
      <c r="B12" s="103">
        <f>SUM(B8:B11)</f>
        <v>1</v>
      </c>
      <c r="C12" s="103">
        <f>SUM(C8:C11)</f>
        <v>1</v>
      </c>
      <c r="D12" s="103"/>
      <c r="E12" s="103"/>
      <c r="F12" s="103"/>
      <c r="G12" s="105"/>
      <c r="H12" s="147"/>
    </row>
    <row r="13" spans="1:8" ht="15.75" thickBot="1" x14ac:dyDescent="0.25">
      <c r="A13" s="107" t="s">
        <v>13</v>
      </c>
      <c r="B13" s="108">
        <v>0</v>
      </c>
      <c r="C13" s="108">
        <v>0</v>
      </c>
      <c r="D13" s="108"/>
      <c r="E13" s="108"/>
      <c r="F13" s="108"/>
      <c r="G13" s="109"/>
      <c r="H13" s="147"/>
    </row>
    <row r="14" spans="1:8" ht="18" customHeight="1" x14ac:dyDescent="0.2">
      <c r="A14" s="16" t="s">
        <v>116</v>
      </c>
      <c r="B14" s="160">
        <v>5.0000000000000001E-4</v>
      </c>
      <c r="C14" s="161"/>
      <c r="D14" s="161"/>
      <c r="E14" s="161"/>
      <c r="F14" s="161"/>
      <c r="G14" s="161"/>
      <c r="H14" s="147"/>
    </row>
    <row r="15" spans="1:8" x14ac:dyDescent="0.2">
      <c r="A15" s="162" t="s">
        <v>110</v>
      </c>
      <c r="B15" s="162"/>
      <c r="C15" s="162"/>
      <c r="D15" s="162"/>
      <c r="E15" s="162"/>
      <c r="F15" s="162"/>
      <c r="G15" s="162"/>
    </row>
    <row r="16" spans="1:8" x14ac:dyDescent="0.2">
      <c r="A16" s="147" t="s">
        <v>98</v>
      </c>
      <c r="B16" s="147"/>
      <c r="C16" s="147"/>
      <c r="D16" s="147"/>
      <c r="E16" s="147"/>
      <c r="F16" s="147"/>
      <c r="G16" s="147"/>
    </row>
    <row r="17" spans="1:8" ht="14.25" customHeight="1" x14ac:dyDescent="0.2">
      <c r="A17" s="156" t="s">
        <v>197</v>
      </c>
      <c r="B17" s="157"/>
      <c r="C17" s="157"/>
      <c r="D17" s="157"/>
      <c r="E17" s="157"/>
      <c r="F17" s="157"/>
      <c r="G17" s="157"/>
      <c r="H17" s="147" t="s">
        <v>223</v>
      </c>
    </row>
    <row r="18" spans="1:8" ht="18.75" thickBot="1" x14ac:dyDescent="0.25">
      <c r="A18" s="156" t="s">
        <v>150</v>
      </c>
      <c r="B18" s="157"/>
      <c r="C18" s="157"/>
      <c r="D18" s="157"/>
      <c r="E18" s="157"/>
      <c r="F18" s="157"/>
      <c r="G18" s="157"/>
      <c r="H18" s="147"/>
    </row>
    <row r="19" spans="1:8" ht="30" x14ac:dyDescent="0.2">
      <c r="A19" s="98" t="s">
        <v>0</v>
      </c>
      <c r="B19" s="15" t="s">
        <v>215</v>
      </c>
      <c r="C19" s="114" t="s">
        <v>216</v>
      </c>
      <c r="D19" s="9" t="s">
        <v>40</v>
      </c>
      <c r="E19" s="164" t="s">
        <v>10</v>
      </c>
      <c r="F19" s="165"/>
      <c r="G19" s="101" t="s">
        <v>113</v>
      </c>
      <c r="H19" s="147"/>
    </row>
    <row r="20" spans="1:8" ht="30" x14ac:dyDescent="0.2">
      <c r="A20" s="102" t="s">
        <v>29</v>
      </c>
      <c r="B20" s="103">
        <v>0.01</v>
      </c>
      <c r="C20" s="103">
        <v>0.01</v>
      </c>
      <c r="D20" s="103">
        <v>0.06</v>
      </c>
      <c r="E20" s="103">
        <v>0</v>
      </c>
      <c r="F20" s="103">
        <f>+B20+D20</f>
        <v>6.9999999999999993E-2</v>
      </c>
      <c r="G20" s="104" t="s">
        <v>84</v>
      </c>
      <c r="H20" s="147"/>
    </row>
    <row r="21" spans="1:8" ht="30" x14ac:dyDescent="0.2">
      <c r="A21" s="102" t="s">
        <v>41</v>
      </c>
      <c r="B21" s="103">
        <v>0.09</v>
      </c>
      <c r="C21" s="103">
        <v>0.09</v>
      </c>
      <c r="D21" s="103">
        <v>0.05</v>
      </c>
      <c r="E21" s="103">
        <f>+B21-D21</f>
        <v>3.9999999999999994E-2</v>
      </c>
      <c r="F21" s="103">
        <f>+B21+D21</f>
        <v>0.14000000000000001</v>
      </c>
      <c r="G21" s="104" t="s">
        <v>3</v>
      </c>
      <c r="H21" s="147"/>
    </row>
    <row r="22" spans="1:8" ht="15" x14ac:dyDescent="0.2">
      <c r="A22" s="102" t="s">
        <v>104</v>
      </c>
      <c r="B22" s="103">
        <v>0.27</v>
      </c>
      <c r="C22" s="103">
        <v>0.27</v>
      </c>
      <c r="D22" s="103">
        <v>0.05</v>
      </c>
      <c r="E22" s="103">
        <f t="shared" ref="E22:E23" si="2">+B22-D22</f>
        <v>0.22000000000000003</v>
      </c>
      <c r="F22" s="103">
        <f t="shared" ref="F22:F24" si="3">+B22+D22</f>
        <v>0.32</v>
      </c>
      <c r="G22" s="105"/>
      <c r="H22" s="147"/>
    </row>
    <row r="23" spans="1:8" ht="75" x14ac:dyDescent="0.2">
      <c r="A23" s="102" t="s">
        <v>70</v>
      </c>
      <c r="B23" s="103">
        <v>0.55000000000000004</v>
      </c>
      <c r="C23" s="103">
        <v>0.55000000000000004</v>
      </c>
      <c r="D23" s="103">
        <v>0.06</v>
      </c>
      <c r="E23" s="103">
        <f t="shared" si="2"/>
        <v>0.49000000000000005</v>
      </c>
      <c r="F23" s="103">
        <f t="shared" si="3"/>
        <v>0.6100000000000001</v>
      </c>
      <c r="G23" s="106" t="s">
        <v>71</v>
      </c>
      <c r="H23" s="147"/>
    </row>
    <row r="24" spans="1:8" ht="30" x14ac:dyDescent="0.2">
      <c r="A24" s="102" t="s">
        <v>123</v>
      </c>
      <c r="B24" s="103">
        <v>0.03</v>
      </c>
      <c r="C24" s="103">
        <v>0.03</v>
      </c>
      <c r="D24" s="103">
        <v>0.05</v>
      </c>
      <c r="E24" s="103">
        <v>0</v>
      </c>
      <c r="F24" s="103">
        <f t="shared" si="3"/>
        <v>0.08</v>
      </c>
      <c r="G24" s="105"/>
      <c r="H24" s="147"/>
    </row>
    <row r="25" spans="1:8" ht="15" x14ac:dyDescent="0.2">
      <c r="A25" s="102" t="s">
        <v>37</v>
      </c>
      <c r="B25" s="103">
        <v>0.05</v>
      </c>
      <c r="C25" s="103">
        <v>0.05</v>
      </c>
      <c r="D25" s="103"/>
      <c r="E25" s="103"/>
      <c r="F25" s="103"/>
      <c r="G25" s="105"/>
      <c r="H25" s="147"/>
    </row>
    <row r="26" spans="1:8" ht="15" x14ac:dyDescent="0.2">
      <c r="A26" s="102" t="s">
        <v>8</v>
      </c>
      <c r="B26" s="103">
        <f>SUM(B20:B25)</f>
        <v>1</v>
      </c>
      <c r="C26" s="103">
        <f>SUM(C20:C25)</f>
        <v>1</v>
      </c>
      <c r="D26" s="103"/>
      <c r="E26" s="103"/>
      <c r="F26" s="103"/>
      <c r="G26" s="105"/>
      <c r="H26" s="147"/>
    </row>
    <row r="27" spans="1:8" ht="15.75" thickBot="1" x14ac:dyDescent="0.25">
      <c r="A27" s="107" t="s">
        <v>13</v>
      </c>
      <c r="B27" s="108">
        <v>0.09</v>
      </c>
      <c r="C27" s="108">
        <v>0.09</v>
      </c>
      <c r="D27" s="108">
        <v>0.06</v>
      </c>
      <c r="E27" s="103">
        <f t="shared" ref="E27" si="4">+B27-D27</f>
        <v>0.03</v>
      </c>
      <c r="F27" s="103">
        <f t="shared" ref="F27" si="5">+B27+D27</f>
        <v>0.15</v>
      </c>
      <c r="G27" s="109"/>
      <c r="H27" s="147"/>
    </row>
    <row r="28" spans="1:8" ht="18" customHeight="1" x14ac:dyDescent="0.2">
      <c r="A28" s="16" t="s">
        <v>116</v>
      </c>
      <c r="B28" s="163">
        <v>1.1000000000000001E-3</v>
      </c>
      <c r="C28" s="163"/>
      <c r="D28" s="163"/>
      <c r="E28" s="163"/>
      <c r="F28" s="163"/>
      <c r="G28" s="163"/>
      <c r="H28" s="147"/>
    </row>
    <row r="29" spans="1:8" x14ac:dyDescent="0.2">
      <c r="A29" s="147" t="s">
        <v>110</v>
      </c>
      <c r="B29" s="147"/>
      <c r="C29" s="147"/>
      <c r="D29" s="147"/>
      <c r="E29" s="147"/>
      <c r="F29" s="147"/>
      <c r="G29" s="147"/>
    </row>
    <row r="30" spans="1:8" x14ac:dyDescent="0.2">
      <c r="A30" s="147" t="s">
        <v>98</v>
      </c>
      <c r="B30" s="147"/>
      <c r="C30" s="147"/>
      <c r="D30" s="147"/>
      <c r="E30" s="147"/>
      <c r="F30" s="147"/>
      <c r="G30" s="147"/>
    </row>
    <row r="31" spans="1:8" ht="15" customHeight="1" x14ac:dyDescent="0.2">
      <c r="A31" s="156" t="s">
        <v>198</v>
      </c>
      <c r="B31" s="157"/>
      <c r="C31" s="157"/>
      <c r="D31" s="157"/>
      <c r="E31" s="157"/>
      <c r="F31" s="157"/>
      <c r="G31" s="157"/>
      <c r="H31" s="147" t="s">
        <v>223</v>
      </c>
    </row>
    <row r="32" spans="1:8" ht="15" customHeight="1" thickBot="1" x14ac:dyDescent="0.25">
      <c r="A32" s="166" t="s">
        <v>152</v>
      </c>
      <c r="B32" s="167"/>
      <c r="C32" s="167"/>
      <c r="D32" s="167"/>
      <c r="E32" s="167"/>
      <c r="F32" s="167"/>
      <c r="G32" s="167"/>
      <c r="H32" s="147"/>
    </row>
    <row r="33" spans="1:8" ht="45" customHeight="1" x14ac:dyDescent="0.2">
      <c r="A33" s="98" t="s">
        <v>0</v>
      </c>
      <c r="B33" s="15" t="s">
        <v>215</v>
      </c>
      <c r="C33" s="114" t="s">
        <v>216</v>
      </c>
      <c r="D33" s="9" t="s">
        <v>40</v>
      </c>
      <c r="E33" s="164" t="s">
        <v>10</v>
      </c>
      <c r="F33" s="165"/>
      <c r="G33" s="101" t="s">
        <v>113</v>
      </c>
      <c r="H33" s="147"/>
    </row>
    <row r="34" spans="1:8" ht="30" x14ac:dyDescent="0.2">
      <c r="A34" s="102" t="s">
        <v>29</v>
      </c>
      <c r="B34" s="103">
        <v>0.68</v>
      </c>
      <c r="C34" s="103">
        <v>0.68</v>
      </c>
      <c r="D34" s="103">
        <v>0.06</v>
      </c>
      <c r="E34" s="103">
        <f>+B34-D34</f>
        <v>0.62000000000000011</v>
      </c>
      <c r="F34" s="103">
        <f>+B34+D34</f>
        <v>0.74</v>
      </c>
      <c r="G34" s="104" t="s">
        <v>84</v>
      </c>
      <c r="H34" s="147"/>
    </row>
    <row r="35" spans="1:8" ht="30" x14ac:dyDescent="0.2">
      <c r="A35" s="102" t="s">
        <v>41</v>
      </c>
      <c r="B35" s="103">
        <v>0.02</v>
      </c>
      <c r="C35" s="103">
        <v>0.02</v>
      </c>
      <c r="D35" s="103">
        <v>0.05</v>
      </c>
      <c r="E35" s="103">
        <v>0</v>
      </c>
      <c r="F35" s="103">
        <f t="shared" ref="F35:F40" si="6">+B35+D35</f>
        <v>7.0000000000000007E-2</v>
      </c>
      <c r="G35" s="104" t="s">
        <v>3</v>
      </c>
      <c r="H35" s="147"/>
    </row>
    <row r="36" spans="1:8" ht="15" x14ac:dyDescent="0.2">
      <c r="A36" s="102" t="s">
        <v>104</v>
      </c>
      <c r="B36" s="103">
        <v>0.27</v>
      </c>
      <c r="C36" s="103">
        <v>0.27</v>
      </c>
      <c r="D36" s="103">
        <v>0.05</v>
      </c>
      <c r="E36" s="103">
        <f t="shared" ref="E36:E40" si="7">+B36-D36</f>
        <v>0.22000000000000003</v>
      </c>
      <c r="F36" s="103">
        <f t="shared" si="6"/>
        <v>0.32</v>
      </c>
      <c r="G36" s="105"/>
      <c r="H36" s="147"/>
    </row>
    <row r="37" spans="1:8" ht="30" x14ac:dyDescent="0.2">
      <c r="A37" s="102" t="s">
        <v>123</v>
      </c>
      <c r="B37" s="103">
        <v>0.01</v>
      </c>
      <c r="C37" s="103">
        <v>0.01</v>
      </c>
      <c r="D37" s="103">
        <v>0.05</v>
      </c>
      <c r="E37" s="103">
        <v>0</v>
      </c>
      <c r="F37" s="103">
        <f t="shared" si="6"/>
        <v>6.0000000000000005E-2</v>
      </c>
      <c r="G37" s="105"/>
      <c r="H37" s="147"/>
    </row>
    <row r="38" spans="1:8" ht="15" x14ac:dyDescent="0.2">
      <c r="A38" s="102" t="s">
        <v>37</v>
      </c>
      <c r="B38" s="103">
        <v>0.02</v>
      </c>
      <c r="C38" s="103">
        <v>0.02</v>
      </c>
      <c r="D38" s="103"/>
      <c r="E38" s="103"/>
      <c r="F38" s="103"/>
      <c r="G38" s="105"/>
      <c r="H38" s="147"/>
    </row>
    <row r="39" spans="1:8" ht="15" x14ac:dyDescent="0.2">
      <c r="A39" s="102" t="s">
        <v>8</v>
      </c>
      <c r="B39" s="103">
        <f>SUM(B34:B38)</f>
        <v>1</v>
      </c>
      <c r="C39" s="103">
        <f>SUM(C34:C38)</f>
        <v>1</v>
      </c>
      <c r="D39" s="103"/>
      <c r="E39" s="103"/>
      <c r="F39" s="103"/>
      <c r="G39" s="105"/>
      <c r="H39" s="147"/>
    </row>
    <row r="40" spans="1:8" ht="15.75" thickBot="1" x14ac:dyDescent="0.25">
      <c r="A40" s="107" t="s">
        <v>13</v>
      </c>
      <c r="B40" s="103">
        <v>0.2</v>
      </c>
      <c r="C40" s="103">
        <v>0.2</v>
      </c>
      <c r="D40" s="103">
        <v>0.06</v>
      </c>
      <c r="E40" s="103">
        <f t="shared" si="7"/>
        <v>0.14000000000000001</v>
      </c>
      <c r="F40" s="103">
        <f t="shared" si="6"/>
        <v>0.26</v>
      </c>
      <c r="G40" s="105"/>
      <c r="H40" s="147"/>
    </row>
    <row r="41" spans="1:8" ht="18" customHeight="1" x14ac:dyDescent="0.2">
      <c r="A41" s="16" t="s">
        <v>116</v>
      </c>
      <c r="B41" s="163">
        <v>1.5E-3</v>
      </c>
      <c r="C41" s="163"/>
      <c r="D41" s="163"/>
      <c r="E41" s="163"/>
      <c r="F41" s="163"/>
      <c r="G41" s="163"/>
      <c r="H41" s="147"/>
    </row>
    <row r="42" spans="1:8" x14ac:dyDescent="0.2">
      <c r="A42" s="147" t="s">
        <v>110</v>
      </c>
      <c r="B42" s="147"/>
      <c r="C42" s="147"/>
      <c r="D42" s="147"/>
      <c r="E42" s="147"/>
      <c r="F42" s="147"/>
      <c r="G42" s="147"/>
    </row>
    <row r="43" spans="1:8" x14ac:dyDescent="0.2">
      <c r="A43" s="14" t="s">
        <v>38</v>
      </c>
    </row>
    <row r="44" spans="1:8" x14ac:dyDescent="0.2">
      <c r="A44" s="14" t="s">
        <v>72</v>
      </c>
    </row>
    <row r="45" spans="1:8" x14ac:dyDescent="0.2">
      <c r="A45" s="14" t="s">
        <v>103</v>
      </c>
    </row>
    <row r="46" spans="1:8" x14ac:dyDescent="0.2">
      <c r="A46" s="147" t="s">
        <v>109</v>
      </c>
      <c r="B46" s="147"/>
      <c r="C46" s="147"/>
      <c r="D46" s="147"/>
      <c r="E46" s="147"/>
      <c r="F46" s="147"/>
    </row>
  </sheetData>
  <mergeCells count="24">
    <mergeCell ref="H31:H41"/>
    <mergeCell ref="A42:G42"/>
    <mergeCell ref="A46:F46"/>
    <mergeCell ref="H5:H14"/>
    <mergeCell ref="A15:G15"/>
    <mergeCell ref="A16:G16"/>
    <mergeCell ref="H17:H28"/>
    <mergeCell ref="A29:G29"/>
    <mergeCell ref="B41:G41"/>
    <mergeCell ref="E19:F19"/>
    <mergeCell ref="B28:G28"/>
    <mergeCell ref="E7:F7"/>
    <mergeCell ref="E33:F33"/>
    <mergeCell ref="A31:G31"/>
    <mergeCell ref="A32:G32"/>
    <mergeCell ref="A30:G30"/>
    <mergeCell ref="B1:F1"/>
    <mergeCell ref="A5:G5"/>
    <mergeCell ref="A6:G6"/>
    <mergeCell ref="A3:G3"/>
    <mergeCell ref="A18:G18"/>
    <mergeCell ref="A17:G17"/>
    <mergeCell ref="B14:G14"/>
    <mergeCell ref="A4:G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43"/>
  <sheetViews>
    <sheetView showGridLines="0" rightToLeft="1" topLeftCell="A23" zoomScaleNormal="100" zoomScaleSheetLayoutView="100" workbookViewId="0">
      <selection activeCell="A44" sqref="A44"/>
    </sheetView>
  </sheetViews>
  <sheetFormatPr defaultColWidth="8.875" defaultRowHeight="14.25" x14ac:dyDescent="0.2"/>
  <cols>
    <col min="1" max="1" width="36" customWidth="1"/>
    <col min="2" max="2" width="16.625" customWidth="1"/>
    <col min="3" max="3" width="12.125" customWidth="1"/>
    <col min="4" max="4" width="9.125" customWidth="1"/>
    <col min="5" max="5" width="16.125" customWidth="1"/>
    <col min="6" max="6" width="30.375" bestFit="1" customWidth="1"/>
    <col min="7" max="7" width="18" customWidth="1"/>
    <col min="8" max="8" width="19.375" bestFit="1" customWidth="1"/>
  </cols>
  <sheetData>
    <row r="1" spans="1:8" ht="30" customHeight="1" thickBot="1" x14ac:dyDescent="0.25">
      <c r="A1" s="148" t="s">
        <v>114</v>
      </c>
      <c r="B1" s="148"/>
      <c r="C1" s="148"/>
      <c r="D1" s="148"/>
      <c r="E1" s="148"/>
      <c r="F1" s="148"/>
      <c r="G1" s="148"/>
    </row>
    <row r="2" spans="1:8" ht="30" customHeight="1" thickTop="1" x14ac:dyDescent="0.2">
      <c r="A2" s="168" t="s">
        <v>106</v>
      </c>
      <c r="B2" s="168"/>
      <c r="C2" s="168"/>
      <c r="D2" s="168"/>
      <c r="E2" s="168"/>
      <c r="F2" s="168"/>
      <c r="G2" s="168"/>
    </row>
    <row r="3" spans="1:8" ht="18" x14ac:dyDescent="0.2">
      <c r="A3" s="137" t="s">
        <v>185</v>
      </c>
      <c r="B3" s="138"/>
      <c r="C3" s="138"/>
      <c r="D3" s="138"/>
      <c r="E3" s="138"/>
      <c r="F3" s="138"/>
      <c r="G3" s="138"/>
      <c r="H3" s="146" t="s">
        <v>223</v>
      </c>
    </row>
    <row r="4" spans="1:8" ht="18.75" thickBot="1" x14ac:dyDescent="0.25">
      <c r="A4" s="137" t="s">
        <v>142</v>
      </c>
      <c r="B4" s="138"/>
      <c r="C4" s="138"/>
      <c r="D4" s="138"/>
      <c r="E4" s="138"/>
      <c r="F4" s="138"/>
      <c r="G4" s="138"/>
      <c r="H4" s="146"/>
    </row>
    <row r="5" spans="1:8" ht="45" x14ac:dyDescent="0.2">
      <c r="A5" s="9" t="s">
        <v>0</v>
      </c>
      <c r="B5" s="15" t="s">
        <v>215</v>
      </c>
      <c r="C5" s="114" t="s">
        <v>216</v>
      </c>
      <c r="D5" s="9" t="s">
        <v>40</v>
      </c>
      <c r="E5" s="135" t="s">
        <v>10</v>
      </c>
      <c r="F5" s="136"/>
      <c r="G5" s="9" t="s">
        <v>73</v>
      </c>
      <c r="H5" s="146"/>
    </row>
    <row r="6" spans="1:8" ht="27.6" customHeight="1" x14ac:dyDescent="0.2">
      <c r="A6" s="16" t="s">
        <v>42</v>
      </c>
      <c r="B6" s="19">
        <v>0.46</v>
      </c>
      <c r="C6" s="19">
        <v>0.46</v>
      </c>
      <c r="D6" s="19">
        <v>0.06</v>
      </c>
      <c r="E6" s="19">
        <f>+B6-D6</f>
        <v>0.4</v>
      </c>
      <c r="F6" s="19">
        <f>+B6+D6</f>
        <v>0.52</v>
      </c>
      <c r="G6" s="104" t="s">
        <v>84</v>
      </c>
      <c r="H6" s="146"/>
    </row>
    <row r="7" spans="1:8" ht="27.6" customHeight="1" x14ac:dyDescent="0.2">
      <c r="A7" s="16" t="s">
        <v>39</v>
      </c>
      <c r="B7" s="19">
        <v>0.04</v>
      </c>
      <c r="C7" s="19">
        <v>0.04</v>
      </c>
      <c r="D7" s="19">
        <v>0.05</v>
      </c>
      <c r="E7" s="19">
        <v>0</v>
      </c>
      <c r="F7" s="19">
        <f t="shared" ref="F7:F9" si="0">+B7+D7</f>
        <v>0.09</v>
      </c>
      <c r="G7" s="20" t="s">
        <v>3</v>
      </c>
      <c r="H7" s="146"/>
    </row>
    <row r="8" spans="1:8" ht="18.600000000000001" customHeight="1" x14ac:dyDescent="0.2">
      <c r="A8" s="16" t="s">
        <v>104</v>
      </c>
      <c r="B8" s="19">
        <v>0.27</v>
      </c>
      <c r="C8" s="19">
        <v>0.27</v>
      </c>
      <c r="D8" s="19">
        <v>0.05</v>
      </c>
      <c r="E8" s="19">
        <f t="shared" ref="E8:E9" si="1">+B8-D8</f>
        <v>0.22000000000000003</v>
      </c>
      <c r="F8" s="19">
        <f t="shared" si="0"/>
        <v>0.32</v>
      </c>
      <c r="G8" s="20"/>
      <c r="H8" s="146"/>
    </row>
    <row r="9" spans="1:8" ht="57.75" customHeight="1" x14ac:dyDescent="0.2">
      <c r="A9" s="16" t="s">
        <v>70</v>
      </c>
      <c r="B9" s="19">
        <v>0.2</v>
      </c>
      <c r="C9" s="19">
        <v>0.2</v>
      </c>
      <c r="D9" s="19">
        <v>0.06</v>
      </c>
      <c r="E9" s="19">
        <f t="shared" si="1"/>
        <v>0.14000000000000001</v>
      </c>
      <c r="F9" s="19">
        <f t="shared" si="0"/>
        <v>0.26</v>
      </c>
      <c r="G9" s="20" t="s">
        <v>74</v>
      </c>
      <c r="H9" s="146"/>
    </row>
    <row r="10" spans="1:8" ht="18.600000000000001" customHeight="1" x14ac:dyDescent="0.2">
      <c r="A10" s="16" t="s">
        <v>37</v>
      </c>
      <c r="B10" s="19">
        <v>0.03</v>
      </c>
      <c r="C10" s="19">
        <v>0.03</v>
      </c>
      <c r="D10" s="19"/>
      <c r="E10" s="19"/>
      <c r="F10" s="19"/>
      <c r="G10" s="20"/>
      <c r="H10" s="146"/>
    </row>
    <row r="11" spans="1:8" ht="15" x14ac:dyDescent="0.2">
      <c r="A11" s="16" t="s">
        <v>8</v>
      </c>
      <c r="B11" s="19">
        <f>SUM(B6:B10)</f>
        <v>1</v>
      </c>
      <c r="C11" s="19">
        <v>1</v>
      </c>
      <c r="D11" s="19"/>
      <c r="E11" s="19"/>
      <c r="F11" s="19"/>
      <c r="G11" s="20"/>
      <c r="H11" s="146"/>
    </row>
    <row r="12" spans="1:8" ht="15" x14ac:dyDescent="0.2">
      <c r="A12" s="16" t="s">
        <v>13</v>
      </c>
      <c r="B12" s="19">
        <v>0.18</v>
      </c>
      <c r="C12" s="19">
        <v>0.18</v>
      </c>
      <c r="D12" s="19">
        <v>0.06</v>
      </c>
      <c r="E12" s="19">
        <f>+B12-D12</f>
        <v>0.12</v>
      </c>
      <c r="F12" s="19">
        <f>+B12+D12</f>
        <v>0.24</v>
      </c>
      <c r="G12" s="20"/>
      <c r="H12" s="146"/>
    </row>
    <row r="13" spans="1:8" ht="15" x14ac:dyDescent="0.2">
      <c r="A13" s="16" t="s">
        <v>116</v>
      </c>
      <c r="B13" s="169">
        <v>5.0000000000000001E-4</v>
      </c>
      <c r="C13" s="170"/>
      <c r="D13" s="170"/>
      <c r="E13" s="170"/>
      <c r="F13" s="170"/>
      <c r="G13" s="170"/>
      <c r="H13" s="146"/>
    </row>
    <row r="14" spans="1:8" s="28" customFormat="1" x14ac:dyDescent="0.2">
      <c r="A14" s="155" t="s">
        <v>110</v>
      </c>
      <c r="B14" s="155"/>
      <c r="C14" s="155"/>
      <c r="D14" s="155"/>
      <c r="E14" s="155"/>
      <c r="F14" s="155"/>
      <c r="G14" s="155"/>
    </row>
    <row r="15" spans="1:8" x14ac:dyDescent="0.2">
      <c r="A15" s="147" t="s">
        <v>109</v>
      </c>
      <c r="B15" s="147"/>
      <c r="C15" s="147"/>
      <c r="D15" s="147"/>
      <c r="E15" s="147"/>
      <c r="F15" s="147"/>
    </row>
    <row r="16" spans="1:8" ht="14.1" customHeight="1" x14ac:dyDescent="0.2">
      <c r="A16" s="147" t="s">
        <v>106</v>
      </c>
      <c r="B16" s="147"/>
      <c r="C16" s="147"/>
      <c r="D16" s="147"/>
      <c r="E16" s="147"/>
      <c r="F16" s="147"/>
    </row>
    <row r="17" spans="1:7" ht="18" x14ac:dyDescent="0.2">
      <c r="A17" s="137" t="s">
        <v>201</v>
      </c>
      <c r="B17" s="138"/>
      <c r="C17" s="138"/>
      <c r="D17" s="138"/>
      <c r="E17" s="138"/>
      <c r="F17" s="138"/>
      <c r="G17" s="146" t="s">
        <v>223</v>
      </c>
    </row>
    <row r="18" spans="1:7" ht="18" x14ac:dyDescent="0.2">
      <c r="A18" s="142" t="s">
        <v>188</v>
      </c>
      <c r="B18" s="143"/>
      <c r="C18" s="143"/>
      <c r="D18" s="143"/>
      <c r="E18" s="143"/>
      <c r="F18" s="143"/>
      <c r="G18" s="146"/>
    </row>
    <row r="19" spans="1:7" ht="45" x14ac:dyDescent="0.2">
      <c r="A19" s="9" t="s">
        <v>0</v>
      </c>
      <c r="B19" s="15" t="s">
        <v>215</v>
      </c>
      <c r="C19" s="9" t="s">
        <v>40</v>
      </c>
      <c r="D19" s="135" t="s">
        <v>10</v>
      </c>
      <c r="E19" s="136"/>
      <c r="F19" s="9" t="s">
        <v>73</v>
      </c>
      <c r="G19" s="146"/>
    </row>
    <row r="20" spans="1:7" ht="30" x14ac:dyDescent="0.2">
      <c r="A20" s="16" t="s">
        <v>42</v>
      </c>
      <c r="B20" s="19">
        <v>0.19</v>
      </c>
      <c r="C20" s="19">
        <v>0.06</v>
      </c>
      <c r="D20" s="19">
        <f>+B20-C20</f>
        <v>0.13</v>
      </c>
      <c r="E20" s="19">
        <f>+B20+C20</f>
        <v>0.25</v>
      </c>
      <c r="F20" s="104" t="s">
        <v>84</v>
      </c>
      <c r="G20" s="146"/>
    </row>
    <row r="21" spans="1:7" ht="30" x14ac:dyDescent="0.2">
      <c r="A21" s="16" t="s">
        <v>39</v>
      </c>
      <c r="B21" s="19">
        <v>0.05</v>
      </c>
      <c r="C21" s="19">
        <v>0.05</v>
      </c>
      <c r="D21" s="19">
        <v>0</v>
      </c>
      <c r="E21" s="19">
        <f>+B21+C21</f>
        <v>0.1</v>
      </c>
      <c r="F21" s="20" t="s">
        <v>3</v>
      </c>
      <c r="G21" s="146"/>
    </row>
    <row r="22" spans="1:7" ht="15" x14ac:dyDescent="0.2">
      <c r="A22" s="16" t="s">
        <v>104</v>
      </c>
      <c r="B22" s="19">
        <v>0.27</v>
      </c>
      <c r="C22" s="19">
        <v>0.05</v>
      </c>
      <c r="D22" s="19">
        <f>+B22-C22</f>
        <v>0.22000000000000003</v>
      </c>
      <c r="E22" s="19">
        <f>+B22+C22</f>
        <v>0.32</v>
      </c>
      <c r="F22" s="20"/>
      <c r="G22" s="146"/>
    </row>
    <row r="23" spans="1:7" ht="87" customHeight="1" x14ac:dyDescent="0.2">
      <c r="A23" s="16" t="s">
        <v>70</v>
      </c>
      <c r="B23" s="19">
        <v>0.45</v>
      </c>
      <c r="C23" s="19">
        <v>0.06</v>
      </c>
      <c r="D23" s="19">
        <f>+B23-C23</f>
        <v>0.39</v>
      </c>
      <c r="E23" s="19">
        <f>+B23+C23</f>
        <v>0.51</v>
      </c>
      <c r="F23" s="20" t="s">
        <v>74</v>
      </c>
      <c r="G23" s="146"/>
    </row>
    <row r="24" spans="1:7" ht="15" x14ac:dyDescent="0.2">
      <c r="A24" s="16" t="s">
        <v>37</v>
      </c>
      <c r="B24" s="19">
        <v>0.04</v>
      </c>
      <c r="C24" s="19"/>
      <c r="D24" s="19"/>
      <c r="E24" s="19"/>
      <c r="F24" s="20"/>
      <c r="G24" s="146"/>
    </row>
    <row r="25" spans="1:7" ht="15" x14ac:dyDescent="0.2">
      <c r="A25" s="16" t="s">
        <v>8</v>
      </c>
      <c r="B25" s="19">
        <f>SUM(B20:B24)</f>
        <v>1</v>
      </c>
      <c r="C25" s="19"/>
      <c r="D25" s="19"/>
      <c r="E25" s="19"/>
      <c r="F25" s="20"/>
      <c r="G25" s="146"/>
    </row>
    <row r="26" spans="1:7" ht="15" x14ac:dyDescent="0.2">
      <c r="A26" s="16" t="s">
        <v>13</v>
      </c>
      <c r="B26" s="19">
        <v>0.1</v>
      </c>
      <c r="C26" s="19">
        <v>0.06</v>
      </c>
      <c r="D26" s="19">
        <f>+B26-C26</f>
        <v>4.0000000000000008E-2</v>
      </c>
      <c r="E26" s="19">
        <f>+B26+C26</f>
        <v>0.16</v>
      </c>
      <c r="F26" s="20"/>
      <c r="G26" s="146"/>
    </row>
    <row r="27" spans="1:7" ht="15" x14ac:dyDescent="0.2">
      <c r="A27" s="16" t="s">
        <v>116</v>
      </c>
      <c r="B27" s="169">
        <v>1.1000000000000001E-3</v>
      </c>
      <c r="C27" s="170"/>
      <c r="D27" s="170"/>
      <c r="E27" s="170"/>
      <c r="F27" s="170"/>
      <c r="G27" s="146"/>
    </row>
    <row r="28" spans="1:7" x14ac:dyDescent="0.2">
      <c r="A28" s="147" t="s">
        <v>110</v>
      </c>
      <c r="B28" s="147"/>
      <c r="C28" s="147"/>
      <c r="D28" s="147"/>
      <c r="E28" s="147"/>
      <c r="F28" s="147"/>
    </row>
    <row r="29" spans="1:7" x14ac:dyDescent="0.2">
      <c r="A29" s="147" t="s">
        <v>106</v>
      </c>
      <c r="B29" s="147"/>
      <c r="C29" s="147"/>
      <c r="D29" s="147"/>
      <c r="E29" s="147"/>
      <c r="F29" s="147"/>
    </row>
    <row r="30" spans="1:7" ht="18" x14ac:dyDescent="0.2">
      <c r="A30" s="137" t="s">
        <v>202</v>
      </c>
      <c r="B30" s="138"/>
      <c r="C30" s="138"/>
      <c r="D30" s="138"/>
      <c r="E30" s="138"/>
      <c r="F30" s="138"/>
      <c r="G30" s="146" t="s">
        <v>223</v>
      </c>
    </row>
    <row r="31" spans="1:7" ht="18" x14ac:dyDescent="0.2">
      <c r="A31" s="142" t="s">
        <v>189</v>
      </c>
      <c r="B31" s="143"/>
      <c r="C31" s="143"/>
      <c r="D31" s="143"/>
      <c r="E31" s="143"/>
      <c r="F31" s="143"/>
      <c r="G31" s="146"/>
    </row>
    <row r="32" spans="1:7" ht="45" x14ac:dyDescent="0.2">
      <c r="A32" s="9" t="s">
        <v>0</v>
      </c>
      <c r="B32" s="15" t="s">
        <v>215</v>
      </c>
      <c r="C32" s="9" t="s">
        <v>40</v>
      </c>
      <c r="D32" s="64" t="s">
        <v>10</v>
      </c>
      <c r="E32" s="64"/>
      <c r="F32" s="9" t="s">
        <v>73</v>
      </c>
      <c r="G32" s="146"/>
    </row>
    <row r="33" spans="1:7" ht="15" x14ac:dyDescent="0.2">
      <c r="A33" s="16" t="s">
        <v>42</v>
      </c>
      <c r="B33" s="19">
        <v>0.7</v>
      </c>
      <c r="C33" s="19">
        <v>0.06</v>
      </c>
      <c r="D33" s="19">
        <f>+B33-C33</f>
        <v>0.6399999999999999</v>
      </c>
      <c r="E33" s="19">
        <f>+B33+C33</f>
        <v>0.76</v>
      </c>
      <c r="F33" s="20" t="s">
        <v>176</v>
      </c>
      <c r="G33" s="146"/>
    </row>
    <row r="34" spans="1:7" ht="15" x14ac:dyDescent="0.2">
      <c r="A34" s="16" t="s">
        <v>104</v>
      </c>
      <c r="B34" s="19">
        <v>0.27</v>
      </c>
      <c r="C34" s="19">
        <v>0.05</v>
      </c>
      <c r="D34" s="19">
        <f>+B34-C34</f>
        <v>0.22000000000000003</v>
      </c>
      <c r="E34" s="19">
        <f>+B34+C34</f>
        <v>0.32</v>
      </c>
      <c r="F34" s="20"/>
      <c r="G34" s="146"/>
    </row>
    <row r="35" spans="1:7" ht="15" x14ac:dyDescent="0.2">
      <c r="A35" s="16" t="s">
        <v>37</v>
      </c>
      <c r="B35" s="19">
        <v>0.03</v>
      </c>
      <c r="C35" s="19"/>
      <c r="D35" s="19"/>
      <c r="E35" s="19"/>
      <c r="F35" s="20"/>
      <c r="G35" s="146"/>
    </row>
    <row r="36" spans="1:7" ht="15" x14ac:dyDescent="0.2">
      <c r="A36" s="16" t="s">
        <v>8</v>
      </c>
      <c r="B36" s="19">
        <f>SUM(B33:B35)</f>
        <v>1</v>
      </c>
      <c r="C36" s="19"/>
      <c r="D36" s="19"/>
      <c r="E36" s="19"/>
      <c r="F36" s="20"/>
      <c r="G36" s="146"/>
    </row>
    <row r="37" spans="1:7" ht="15" x14ac:dyDescent="0.2">
      <c r="A37" s="16" t="s">
        <v>13</v>
      </c>
      <c r="B37" s="19">
        <v>0.15</v>
      </c>
      <c r="C37" s="19">
        <v>0.06</v>
      </c>
      <c r="D37" s="19">
        <f>+B37-C37</f>
        <v>0.09</v>
      </c>
      <c r="E37" s="19">
        <f>+B37+C37</f>
        <v>0.21</v>
      </c>
      <c r="F37" s="20"/>
      <c r="G37" s="146"/>
    </row>
    <row r="38" spans="1:7" ht="15" x14ac:dyDescent="0.2">
      <c r="A38" s="16" t="s">
        <v>116</v>
      </c>
      <c r="B38" s="169">
        <v>1.5E-3</v>
      </c>
      <c r="C38" s="170"/>
      <c r="D38" s="170"/>
      <c r="E38" s="170"/>
      <c r="F38" s="170"/>
      <c r="G38" s="146"/>
    </row>
    <row r="39" spans="1:7" x14ac:dyDescent="0.2">
      <c r="A39" s="147" t="s">
        <v>110</v>
      </c>
      <c r="B39" s="147"/>
      <c r="C39" s="147"/>
      <c r="D39" s="147"/>
      <c r="E39" s="147"/>
      <c r="F39" s="147"/>
    </row>
    <row r="40" spans="1:7" x14ac:dyDescent="0.2">
      <c r="A40" s="14" t="s">
        <v>38</v>
      </c>
    </row>
    <row r="41" spans="1:7" x14ac:dyDescent="0.2">
      <c r="A41" s="14" t="s">
        <v>72</v>
      </c>
    </row>
    <row r="42" spans="1:7" x14ac:dyDescent="0.2">
      <c r="A42" s="14" t="s">
        <v>103</v>
      </c>
    </row>
    <row r="43" spans="1:7" x14ac:dyDescent="0.2">
      <c r="A43" s="147" t="s">
        <v>109</v>
      </c>
      <c r="B43" s="147"/>
      <c r="C43" s="147"/>
      <c r="D43" s="147"/>
      <c r="E43" s="147"/>
      <c r="F43" s="147"/>
    </row>
  </sheetData>
  <mergeCells count="23">
    <mergeCell ref="G30:G38"/>
    <mergeCell ref="A39:F39"/>
    <mergeCell ref="A43:F43"/>
    <mergeCell ref="H3:H13"/>
    <mergeCell ref="A14:G14"/>
    <mergeCell ref="A16:F16"/>
    <mergeCell ref="G17:G27"/>
    <mergeCell ref="A28:F28"/>
    <mergeCell ref="A30:F30"/>
    <mergeCell ref="A31:F31"/>
    <mergeCell ref="B38:F38"/>
    <mergeCell ref="A17:F17"/>
    <mergeCell ref="A18:F18"/>
    <mergeCell ref="B27:F27"/>
    <mergeCell ref="D19:E19"/>
    <mergeCell ref="A29:F29"/>
    <mergeCell ref="A1:G1"/>
    <mergeCell ref="A2:G2"/>
    <mergeCell ref="A15:F15"/>
    <mergeCell ref="E5:F5"/>
    <mergeCell ref="A3:G3"/>
    <mergeCell ref="A4:G4"/>
    <mergeCell ref="B13:G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I56"/>
  <sheetViews>
    <sheetView showGridLines="0" rightToLeft="1" topLeftCell="A37" zoomScale="80" zoomScaleNormal="80" zoomScaleSheetLayoutView="100" workbookViewId="0">
      <selection activeCell="G43" sqref="G43:G51"/>
    </sheetView>
  </sheetViews>
  <sheetFormatPr defaultColWidth="8.125" defaultRowHeight="14.25" x14ac:dyDescent="0.2"/>
  <cols>
    <col min="1" max="1" width="37.125" style="27" customWidth="1"/>
    <col min="2" max="2" width="30.25" style="27" customWidth="1"/>
    <col min="3" max="3" width="12.125" style="27" customWidth="1"/>
    <col min="4" max="4" width="10.625" style="27" customWidth="1"/>
    <col min="5" max="5" width="12" style="27" customWidth="1"/>
    <col min="6" max="6" width="40" style="27" bestFit="1" customWidth="1"/>
    <col min="7" max="7" width="37.75" style="28" customWidth="1"/>
    <col min="8" max="8" width="41.875" style="28" customWidth="1"/>
    <col min="9" max="9" width="40.75" style="28" customWidth="1"/>
    <col min="10" max="10" width="27.625" style="28" bestFit="1" customWidth="1"/>
    <col min="11" max="16384" width="8.125" style="28"/>
  </cols>
  <sheetData>
    <row r="1" spans="1:9" ht="30" customHeight="1" x14ac:dyDescent="0.2">
      <c r="A1" s="133" t="s">
        <v>114</v>
      </c>
      <c r="B1" s="133"/>
      <c r="C1" s="133"/>
      <c r="D1" s="133"/>
      <c r="E1" s="133"/>
      <c r="F1" s="133"/>
      <c r="G1" s="133"/>
      <c r="H1" s="133"/>
      <c r="I1" s="121"/>
    </row>
    <row r="2" spans="1:9" ht="15.75" x14ac:dyDescent="0.2">
      <c r="A2" s="158" t="s">
        <v>177</v>
      </c>
      <c r="B2" s="159"/>
      <c r="C2" s="159"/>
      <c r="D2" s="159"/>
      <c r="E2" s="159"/>
      <c r="F2" s="159"/>
      <c r="G2" s="159"/>
      <c r="H2" s="159"/>
    </row>
    <row r="3" spans="1:9" ht="15.75" x14ac:dyDescent="0.2">
      <c r="A3" s="191" t="s">
        <v>106</v>
      </c>
      <c r="B3" s="191"/>
      <c r="C3" s="191"/>
      <c r="D3" s="191"/>
      <c r="E3" s="191"/>
      <c r="F3" s="191"/>
      <c r="G3" s="191"/>
      <c r="H3" s="191"/>
    </row>
    <row r="4" spans="1:9" ht="18" customHeight="1" x14ac:dyDescent="0.2">
      <c r="A4" s="157" t="s">
        <v>205</v>
      </c>
      <c r="B4" s="157"/>
      <c r="C4" s="157"/>
      <c r="D4" s="157"/>
      <c r="E4" s="157"/>
      <c r="F4" s="157"/>
      <c r="G4" s="157"/>
      <c r="H4" s="157"/>
      <c r="I4" s="155" t="s">
        <v>223</v>
      </c>
    </row>
    <row r="5" spans="1:9" ht="18" customHeight="1" x14ac:dyDescent="0.2">
      <c r="A5" s="157"/>
      <c r="B5" s="157"/>
      <c r="C5" s="157"/>
      <c r="D5" s="157"/>
      <c r="E5" s="157"/>
      <c r="F5" s="157"/>
      <c r="G5" s="157"/>
      <c r="H5" s="157"/>
      <c r="I5" s="155"/>
    </row>
    <row r="6" spans="1:9" ht="18.75" thickBot="1" x14ac:dyDescent="0.25">
      <c r="A6" s="178" t="s">
        <v>145</v>
      </c>
      <c r="B6" s="157"/>
      <c r="C6" s="157"/>
      <c r="D6" s="157"/>
      <c r="E6" s="157"/>
      <c r="F6" s="157"/>
      <c r="G6" s="157"/>
      <c r="H6" s="157"/>
      <c r="I6" s="155"/>
    </row>
    <row r="7" spans="1:9" ht="51" customHeight="1" x14ac:dyDescent="0.2">
      <c r="A7" s="65" t="s">
        <v>0</v>
      </c>
      <c r="B7" s="15" t="s">
        <v>215</v>
      </c>
      <c r="C7" s="114" t="s">
        <v>216</v>
      </c>
      <c r="D7" s="65" t="s">
        <v>40</v>
      </c>
      <c r="E7" s="172" t="s">
        <v>10</v>
      </c>
      <c r="F7" s="173"/>
      <c r="G7" s="174" t="s">
        <v>73</v>
      </c>
      <c r="H7" s="175"/>
      <c r="I7" s="155"/>
    </row>
    <row r="8" spans="1:9" ht="15" customHeight="1" x14ac:dyDescent="0.2">
      <c r="A8" s="117" t="s">
        <v>29</v>
      </c>
      <c r="B8" s="116">
        <v>0.46</v>
      </c>
      <c r="C8" s="51">
        <v>0.46</v>
      </c>
      <c r="D8" s="51">
        <v>0.06</v>
      </c>
      <c r="E8" s="51">
        <f>+B8-D8</f>
        <v>0.4</v>
      </c>
      <c r="F8" s="51">
        <f>+B8+D8</f>
        <v>0.52</v>
      </c>
      <c r="G8" s="176" t="s">
        <v>213</v>
      </c>
      <c r="H8" s="177"/>
      <c r="I8" s="155"/>
    </row>
    <row r="9" spans="1:9" ht="15" customHeight="1" x14ac:dyDescent="0.2">
      <c r="A9" s="118" t="s">
        <v>48</v>
      </c>
      <c r="B9" s="119">
        <v>0.03</v>
      </c>
      <c r="C9" s="119">
        <v>0.03</v>
      </c>
      <c r="D9" s="119">
        <v>0.05</v>
      </c>
      <c r="E9" s="51">
        <v>0</v>
      </c>
      <c r="F9" s="51">
        <f t="shared" ref="F9:F15" si="0">+B9+D9</f>
        <v>0.08</v>
      </c>
      <c r="G9" s="185" t="s">
        <v>179</v>
      </c>
      <c r="H9" s="186"/>
      <c r="I9" s="155"/>
    </row>
    <row r="10" spans="1:9" ht="15" x14ac:dyDescent="0.2">
      <c r="A10" s="16" t="s">
        <v>104</v>
      </c>
      <c r="B10" s="39">
        <v>0.27</v>
      </c>
      <c r="C10" s="39">
        <v>0.27</v>
      </c>
      <c r="D10" s="39">
        <v>0.05</v>
      </c>
      <c r="E10" s="51">
        <f t="shared" ref="E10:E15" si="1">+B10-D10</f>
        <v>0.22000000000000003</v>
      </c>
      <c r="F10" s="51">
        <f t="shared" si="0"/>
        <v>0.32</v>
      </c>
      <c r="G10" s="179"/>
      <c r="H10" s="180"/>
      <c r="I10" s="155"/>
    </row>
    <row r="11" spans="1:9" ht="39.75" customHeight="1" x14ac:dyDescent="0.2">
      <c r="A11" s="118" t="s">
        <v>70</v>
      </c>
      <c r="B11" s="119">
        <v>0.22</v>
      </c>
      <c r="C11" s="119">
        <v>0.22</v>
      </c>
      <c r="D11" s="119">
        <v>0.06</v>
      </c>
      <c r="E11" s="51">
        <f t="shared" si="1"/>
        <v>0.16</v>
      </c>
      <c r="F11" s="51">
        <f t="shared" si="0"/>
        <v>0.28000000000000003</v>
      </c>
      <c r="G11" s="181" t="s">
        <v>180</v>
      </c>
      <c r="H11" s="182"/>
      <c r="I11" s="155"/>
    </row>
    <row r="12" spans="1:9" ht="15" x14ac:dyDescent="0.2">
      <c r="A12" s="40" t="s">
        <v>23</v>
      </c>
      <c r="B12" s="60">
        <v>0</v>
      </c>
      <c r="C12" s="60">
        <v>0</v>
      </c>
      <c r="D12" s="45">
        <v>0.05</v>
      </c>
      <c r="E12" s="51">
        <v>0</v>
      </c>
      <c r="F12" s="51">
        <f t="shared" si="0"/>
        <v>0.05</v>
      </c>
      <c r="G12" s="181"/>
      <c r="H12" s="182"/>
      <c r="I12" s="155"/>
    </row>
    <row r="13" spans="1:9" ht="15" x14ac:dyDescent="0.2">
      <c r="A13" s="44" t="s">
        <v>37</v>
      </c>
      <c r="B13" s="60">
        <v>0.02</v>
      </c>
      <c r="C13" s="60">
        <v>0.02</v>
      </c>
      <c r="D13" s="45"/>
      <c r="E13" s="119"/>
      <c r="F13" s="119"/>
      <c r="G13" s="183"/>
      <c r="H13" s="184"/>
      <c r="I13" s="155"/>
    </row>
    <row r="14" spans="1:9" ht="15" x14ac:dyDescent="0.2">
      <c r="A14" s="44" t="s">
        <v>8</v>
      </c>
      <c r="B14" s="45">
        <f>SUM(B8:B13)</f>
        <v>1</v>
      </c>
      <c r="C14" s="45">
        <v>1</v>
      </c>
      <c r="D14" s="45"/>
      <c r="E14" s="45"/>
      <c r="F14" s="45"/>
      <c r="G14" s="187"/>
      <c r="H14" s="188"/>
      <c r="I14" s="155"/>
    </row>
    <row r="15" spans="1:9" ht="15" x14ac:dyDescent="0.2">
      <c r="A15" s="44" t="s">
        <v>13</v>
      </c>
      <c r="B15" s="45">
        <v>0.7</v>
      </c>
      <c r="C15" s="45">
        <v>0.2</v>
      </c>
      <c r="D15" s="45">
        <v>0.06</v>
      </c>
      <c r="E15" s="45">
        <f t="shared" si="1"/>
        <v>0.6399999999999999</v>
      </c>
      <c r="F15" s="45">
        <f t="shared" si="0"/>
        <v>0.76</v>
      </c>
      <c r="G15" s="187"/>
      <c r="H15" s="188"/>
      <c r="I15" s="155"/>
    </row>
    <row r="16" spans="1:9" customFormat="1" ht="18" customHeight="1" x14ac:dyDescent="0.2">
      <c r="A16" s="16" t="s">
        <v>116</v>
      </c>
      <c r="B16" s="189">
        <v>1.5E-3</v>
      </c>
      <c r="C16" s="190"/>
      <c r="D16" s="190"/>
      <c r="E16" s="190"/>
      <c r="F16" s="190"/>
      <c r="G16" s="190"/>
      <c r="H16" s="190"/>
      <c r="I16" s="155"/>
    </row>
    <row r="17" spans="1:8" x14ac:dyDescent="0.2">
      <c r="A17" s="192" t="s">
        <v>101</v>
      </c>
      <c r="B17" s="192"/>
      <c r="C17" s="192"/>
      <c r="D17" s="192"/>
      <c r="E17" s="192"/>
      <c r="F17" s="192"/>
      <c r="G17" s="192"/>
      <c r="H17" s="192"/>
    </row>
    <row r="18" spans="1:8" x14ac:dyDescent="0.2">
      <c r="A18" s="132"/>
      <c r="B18" s="132"/>
      <c r="C18" s="132"/>
      <c r="D18" s="132"/>
      <c r="E18" s="132"/>
      <c r="F18" s="132"/>
      <c r="G18" s="132"/>
    </row>
    <row r="19" spans="1:8" x14ac:dyDescent="0.2">
      <c r="A19" s="155" t="s">
        <v>106</v>
      </c>
      <c r="B19" s="155"/>
      <c r="C19" s="155"/>
      <c r="D19" s="155"/>
      <c r="E19" s="155"/>
      <c r="F19" s="155"/>
      <c r="G19" s="155"/>
    </row>
    <row r="20" spans="1:8" ht="14.25" customHeight="1" x14ac:dyDescent="0.2">
      <c r="A20" s="156" t="s">
        <v>204</v>
      </c>
      <c r="B20" s="157"/>
      <c r="C20" s="157"/>
      <c r="D20" s="157"/>
      <c r="E20" s="157"/>
      <c r="F20" s="157"/>
      <c r="G20" s="157"/>
      <c r="H20" s="193" t="s">
        <v>223</v>
      </c>
    </row>
    <row r="21" spans="1:8" ht="18.75" thickBot="1" x14ac:dyDescent="0.25">
      <c r="A21" s="166" t="s">
        <v>146</v>
      </c>
      <c r="B21" s="167"/>
      <c r="C21" s="167"/>
      <c r="D21" s="167"/>
      <c r="E21" s="167"/>
      <c r="F21" s="167"/>
      <c r="G21" s="167"/>
      <c r="H21" s="193"/>
    </row>
    <row r="22" spans="1:8" ht="30" x14ac:dyDescent="0.2">
      <c r="A22" s="98" t="s">
        <v>0</v>
      </c>
      <c r="B22" s="15" t="s">
        <v>215</v>
      </c>
      <c r="C22" s="114" t="s">
        <v>216</v>
      </c>
      <c r="D22" s="9" t="s">
        <v>40</v>
      </c>
      <c r="E22" s="164" t="s">
        <v>10</v>
      </c>
      <c r="F22" s="165"/>
      <c r="G22" s="101" t="s">
        <v>113</v>
      </c>
      <c r="H22" s="193"/>
    </row>
    <row r="23" spans="1:8" ht="30" x14ac:dyDescent="0.2">
      <c r="A23" s="102" t="s">
        <v>29</v>
      </c>
      <c r="B23" s="103">
        <v>0.7</v>
      </c>
      <c r="C23" s="103">
        <v>0.7</v>
      </c>
      <c r="D23" s="103">
        <v>0.06</v>
      </c>
      <c r="E23" s="103">
        <f>+B23-D23</f>
        <v>0.6399999999999999</v>
      </c>
      <c r="F23" s="103">
        <f>+B23+D23</f>
        <v>0.76</v>
      </c>
      <c r="G23" s="104" t="s">
        <v>131</v>
      </c>
      <c r="H23" s="193"/>
    </row>
    <row r="24" spans="1:8" ht="15" x14ac:dyDescent="0.2">
      <c r="A24" s="102" t="s">
        <v>128</v>
      </c>
      <c r="B24" s="103">
        <v>0.27</v>
      </c>
      <c r="C24" s="103">
        <v>0.27</v>
      </c>
      <c r="D24" s="103">
        <v>0.05</v>
      </c>
      <c r="E24" s="103">
        <f t="shared" ref="E24:E25" si="2">+B24-D24</f>
        <v>0.22000000000000003</v>
      </c>
      <c r="F24" s="103">
        <f t="shared" ref="F24:F25" si="3">+B24+D24</f>
        <v>0.32</v>
      </c>
      <c r="G24" s="105"/>
      <c r="H24" s="193"/>
    </row>
    <row r="25" spans="1:8" ht="15" x14ac:dyDescent="0.2">
      <c r="A25" s="102" t="s">
        <v>37</v>
      </c>
      <c r="B25" s="103">
        <v>0.03</v>
      </c>
      <c r="C25" s="103">
        <v>0.03</v>
      </c>
      <c r="D25" s="103"/>
      <c r="E25" s="103">
        <f t="shared" si="2"/>
        <v>0.03</v>
      </c>
      <c r="F25" s="103">
        <f t="shared" si="3"/>
        <v>0.03</v>
      </c>
      <c r="G25" s="105"/>
      <c r="H25" s="193"/>
    </row>
    <row r="26" spans="1:8" ht="15" x14ac:dyDescent="0.2">
      <c r="A26" s="102" t="s">
        <v>8</v>
      </c>
      <c r="B26" s="103">
        <f>SUM(B23:B25)</f>
        <v>1</v>
      </c>
      <c r="C26" s="103">
        <f>SUM(C23:C25)</f>
        <v>1</v>
      </c>
      <c r="D26" s="103"/>
      <c r="E26" s="103"/>
      <c r="F26" s="103"/>
      <c r="G26" s="105"/>
      <c r="H26" s="193"/>
    </row>
    <row r="27" spans="1:8" ht="15.75" thickBot="1" x14ac:dyDescent="0.25">
      <c r="A27" s="107" t="s">
        <v>13</v>
      </c>
      <c r="B27" s="108">
        <v>0.7</v>
      </c>
      <c r="C27" s="108">
        <v>0.7</v>
      </c>
      <c r="D27" s="108">
        <v>0.06</v>
      </c>
      <c r="E27" s="108">
        <f>+B27-D27</f>
        <v>0.6399999999999999</v>
      </c>
      <c r="F27" s="108">
        <f>+B27+D27</f>
        <v>0.76</v>
      </c>
      <c r="G27" s="109"/>
      <c r="H27" s="193"/>
    </row>
    <row r="28" spans="1:8" ht="18" customHeight="1" x14ac:dyDescent="0.2">
      <c r="A28" s="16" t="s">
        <v>116</v>
      </c>
      <c r="B28" s="194">
        <v>5.0000000000000001E-4</v>
      </c>
      <c r="C28" s="163"/>
      <c r="D28" s="163"/>
      <c r="E28" s="163"/>
      <c r="F28" s="163"/>
      <c r="G28" s="163"/>
      <c r="H28" s="193"/>
    </row>
    <row r="29" spans="1:8" ht="15" x14ac:dyDescent="0.25">
      <c r="A29" s="155" t="s">
        <v>110</v>
      </c>
      <c r="B29" s="155"/>
      <c r="C29" s="155"/>
      <c r="D29" s="155"/>
      <c r="E29" s="155"/>
      <c r="F29" s="155"/>
      <c r="G29" s="155"/>
      <c r="H29" s="113"/>
    </row>
    <row r="30" spans="1:8" ht="15" x14ac:dyDescent="0.25">
      <c r="A30" s="155" t="s">
        <v>106</v>
      </c>
      <c r="B30" s="155"/>
      <c r="C30" s="155"/>
      <c r="D30" s="155"/>
      <c r="E30" s="155"/>
      <c r="F30" s="155"/>
      <c r="G30" s="155"/>
      <c r="H30" s="113"/>
    </row>
    <row r="31" spans="1:8" ht="14.25" customHeight="1" x14ac:dyDescent="0.2">
      <c r="A31" s="156" t="s">
        <v>206</v>
      </c>
      <c r="B31" s="157"/>
      <c r="C31" s="157"/>
      <c r="D31" s="157"/>
      <c r="E31" s="157"/>
      <c r="F31" s="157"/>
      <c r="G31" s="157"/>
      <c r="H31" s="193" t="s">
        <v>223</v>
      </c>
    </row>
    <row r="32" spans="1:8" ht="18.75" thickBot="1" x14ac:dyDescent="0.25">
      <c r="A32" s="166" t="s">
        <v>147</v>
      </c>
      <c r="B32" s="167"/>
      <c r="C32" s="167"/>
      <c r="D32" s="167"/>
      <c r="E32" s="167"/>
      <c r="F32" s="167"/>
      <c r="G32" s="167"/>
      <c r="H32" s="193"/>
    </row>
    <row r="33" spans="1:8" ht="30" x14ac:dyDescent="0.2">
      <c r="A33" s="98" t="s">
        <v>0</v>
      </c>
      <c r="B33" s="15" t="s">
        <v>215</v>
      </c>
      <c r="C33" s="114" t="s">
        <v>216</v>
      </c>
      <c r="D33" s="9" t="s">
        <v>40</v>
      </c>
      <c r="E33" s="164" t="s">
        <v>10</v>
      </c>
      <c r="F33" s="165"/>
      <c r="G33" s="101" t="s">
        <v>113</v>
      </c>
      <c r="H33" s="193"/>
    </row>
    <row r="34" spans="1:8" ht="15" x14ac:dyDescent="0.2">
      <c r="A34" s="102" t="s">
        <v>128</v>
      </c>
      <c r="B34" s="103">
        <v>0.27</v>
      </c>
      <c r="C34" s="103">
        <v>0.28000000000000003</v>
      </c>
      <c r="D34" s="103">
        <v>0.05</v>
      </c>
      <c r="E34" s="103">
        <f>+B34-D34</f>
        <v>0.22000000000000003</v>
      </c>
      <c r="F34" s="103">
        <f>+B34+D34</f>
        <v>0.32</v>
      </c>
      <c r="G34" s="104" t="s">
        <v>3</v>
      </c>
      <c r="H34" s="193"/>
    </row>
    <row r="35" spans="1:8" ht="45" x14ac:dyDescent="0.2">
      <c r="A35" s="102" t="s">
        <v>70</v>
      </c>
      <c r="B35" s="103">
        <v>0.69</v>
      </c>
      <c r="C35" s="103">
        <v>0.7</v>
      </c>
      <c r="D35" s="103">
        <v>0.06</v>
      </c>
      <c r="E35" s="103">
        <f t="shared" ref="E35" si="4">+B35-D35</f>
        <v>0.62999999999999989</v>
      </c>
      <c r="F35" s="103">
        <f t="shared" ref="F35" si="5">+B35+D35</f>
        <v>0.75</v>
      </c>
      <c r="G35" s="106" t="s">
        <v>180</v>
      </c>
      <c r="H35" s="193"/>
    </row>
    <row r="36" spans="1:8" ht="15" x14ac:dyDescent="0.2">
      <c r="A36" s="102" t="s">
        <v>37</v>
      </c>
      <c r="B36" s="103">
        <v>0.04</v>
      </c>
      <c r="C36" s="103">
        <v>0.02</v>
      </c>
      <c r="D36" s="103"/>
      <c r="E36" s="103"/>
      <c r="F36" s="103"/>
      <c r="G36" s="105"/>
      <c r="H36" s="193"/>
    </row>
    <row r="37" spans="1:8" ht="15" x14ac:dyDescent="0.2">
      <c r="A37" s="102" t="s">
        <v>8</v>
      </c>
      <c r="B37" s="103">
        <f>SUM(B34:B36)</f>
        <v>1</v>
      </c>
      <c r="C37" s="103">
        <f>SUM(C34:C36)</f>
        <v>1</v>
      </c>
      <c r="D37" s="103"/>
      <c r="E37" s="103"/>
      <c r="F37" s="103"/>
      <c r="G37" s="105"/>
      <c r="H37" s="193"/>
    </row>
    <row r="38" spans="1:8" ht="15.75" thickBot="1" x14ac:dyDescent="0.25">
      <c r="A38" s="107" t="s">
        <v>13</v>
      </c>
      <c r="B38" s="103">
        <v>0.7</v>
      </c>
      <c r="C38" s="108">
        <v>0.7</v>
      </c>
      <c r="D38" s="108">
        <v>0.06</v>
      </c>
      <c r="E38" s="103">
        <f t="shared" ref="E38" si="6">+B38-D38</f>
        <v>0.6399999999999999</v>
      </c>
      <c r="F38" s="103">
        <f t="shared" ref="F38" si="7">+B38+D38</f>
        <v>0.76</v>
      </c>
      <c r="G38" s="109"/>
      <c r="H38" s="193"/>
    </row>
    <row r="39" spans="1:8" ht="18" customHeight="1" x14ac:dyDescent="0.2">
      <c r="A39" s="16" t="s">
        <v>116</v>
      </c>
      <c r="B39" s="194">
        <v>3.0000000000000001E-3</v>
      </c>
      <c r="C39" s="163"/>
      <c r="D39" s="163"/>
      <c r="E39" s="163"/>
      <c r="F39" s="163"/>
      <c r="G39" s="163"/>
      <c r="H39" s="193"/>
    </row>
    <row r="40" spans="1:8" x14ac:dyDescent="0.2">
      <c r="A40" s="152" t="s">
        <v>110</v>
      </c>
      <c r="B40" s="152"/>
      <c r="C40" s="152"/>
      <c r="D40" s="152"/>
      <c r="E40" s="152"/>
      <c r="F40" s="152"/>
      <c r="G40" s="152"/>
    </row>
    <row r="42" spans="1:8" x14ac:dyDescent="0.2">
      <c r="A42" s="152" t="s">
        <v>98</v>
      </c>
      <c r="B42" s="152"/>
      <c r="C42" s="152"/>
      <c r="D42" s="152"/>
      <c r="E42" s="152"/>
      <c r="F42" s="152"/>
    </row>
    <row r="43" spans="1:8" ht="18" customHeight="1" x14ac:dyDescent="0.2">
      <c r="A43" s="156" t="s">
        <v>203</v>
      </c>
      <c r="B43" s="157"/>
      <c r="C43" s="157"/>
      <c r="D43" s="157"/>
      <c r="E43" s="157"/>
      <c r="F43" s="157"/>
      <c r="G43" s="193" t="s">
        <v>223</v>
      </c>
    </row>
    <row r="44" spans="1:8" ht="18.75" thickBot="1" x14ac:dyDescent="0.25">
      <c r="A44" s="166" t="s">
        <v>190</v>
      </c>
      <c r="B44" s="167"/>
      <c r="C44" s="167"/>
      <c r="D44" s="167"/>
      <c r="E44" s="167"/>
      <c r="F44" s="167"/>
      <c r="G44" s="193"/>
    </row>
    <row r="45" spans="1:8" ht="25.5" customHeight="1" x14ac:dyDescent="0.2">
      <c r="A45" s="98" t="s">
        <v>0</v>
      </c>
      <c r="B45" s="15" t="s">
        <v>215</v>
      </c>
      <c r="C45" s="9" t="s">
        <v>40</v>
      </c>
      <c r="D45" s="164" t="s">
        <v>10</v>
      </c>
      <c r="E45" s="165"/>
      <c r="F45" s="101" t="s">
        <v>113</v>
      </c>
      <c r="G45" s="193"/>
    </row>
    <row r="46" spans="1:8" ht="60" customHeight="1" x14ac:dyDescent="0.2">
      <c r="A46" s="102" t="s">
        <v>29</v>
      </c>
      <c r="B46" s="103">
        <v>0.7</v>
      </c>
      <c r="C46" s="103">
        <v>0.06</v>
      </c>
      <c r="D46" s="103">
        <f>+B46-C46</f>
        <v>0.6399999999999999</v>
      </c>
      <c r="E46" s="103">
        <f>+B46+C46</f>
        <v>0.76</v>
      </c>
      <c r="F46" s="126" t="s">
        <v>174</v>
      </c>
      <c r="G46" s="193"/>
    </row>
    <row r="47" spans="1:8" ht="15" x14ac:dyDescent="0.2">
      <c r="A47" s="102" t="s">
        <v>128</v>
      </c>
      <c r="B47" s="103">
        <v>0.28000000000000003</v>
      </c>
      <c r="C47" s="103">
        <v>0.05</v>
      </c>
      <c r="D47" s="103">
        <f>+B47-C47</f>
        <v>0.23000000000000004</v>
      </c>
      <c r="E47" s="103">
        <f>+B47+C47</f>
        <v>0.33</v>
      </c>
      <c r="F47" s="127"/>
      <c r="G47" s="193"/>
    </row>
    <row r="48" spans="1:8" ht="15" x14ac:dyDescent="0.2">
      <c r="A48" s="102" t="s">
        <v>37</v>
      </c>
      <c r="B48" s="103">
        <v>0.02</v>
      </c>
      <c r="C48" s="103"/>
      <c r="D48" s="103">
        <f>+B48-C48</f>
        <v>0.02</v>
      </c>
      <c r="E48" s="103">
        <f>+B48+C48</f>
        <v>0.02</v>
      </c>
      <c r="F48" s="128"/>
      <c r="G48" s="193"/>
    </row>
    <row r="49" spans="1:7" ht="15" x14ac:dyDescent="0.2">
      <c r="A49" s="102" t="s">
        <v>8</v>
      </c>
      <c r="B49" s="103">
        <f>SUM(B46:B48)</f>
        <v>1</v>
      </c>
      <c r="C49" s="103"/>
      <c r="D49" s="103"/>
      <c r="E49" s="103"/>
      <c r="F49" s="105"/>
      <c r="G49" s="193"/>
    </row>
    <row r="50" spans="1:7" ht="15.75" thickBot="1" x14ac:dyDescent="0.25">
      <c r="A50" s="107" t="s">
        <v>13</v>
      </c>
      <c r="B50" s="103">
        <v>0.7</v>
      </c>
      <c r="C50" s="108">
        <v>0.06</v>
      </c>
      <c r="D50" s="108">
        <f>+B50-C50</f>
        <v>0.6399999999999999</v>
      </c>
      <c r="E50" s="108">
        <f>+B50+C50</f>
        <v>0.76</v>
      </c>
      <c r="F50" s="109"/>
      <c r="G50" s="193"/>
    </row>
    <row r="51" spans="1:7" ht="18" customHeight="1" x14ac:dyDescent="0.2">
      <c r="A51" s="16" t="s">
        <v>116</v>
      </c>
      <c r="B51" s="160">
        <v>8.0000000000000004E-4</v>
      </c>
      <c r="C51" s="171"/>
      <c r="D51" s="171"/>
      <c r="E51" s="171"/>
      <c r="F51" s="171"/>
      <c r="G51" s="193"/>
    </row>
    <row r="52" spans="1:7" x14ac:dyDescent="0.2">
      <c r="A52" s="151" t="s">
        <v>110</v>
      </c>
      <c r="B52" s="151"/>
      <c r="C52" s="151"/>
      <c r="D52" s="151"/>
      <c r="E52" s="151"/>
      <c r="F52" s="151"/>
    </row>
    <row r="53" spans="1:7" x14ac:dyDescent="0.2">
      <c r="A53" s="14" t="s">
        <v>38</v>
      </c>
    </row>
    <row r="54" spans="1:7" x14ac:dyDescent="0.2">
      <c r="A54" s="14" t="s">
        <v>72</v>
      </c>
    </row>
    <row r="55" spans="1:7" x14ac:dyDescent="0.2">
      <c r="A55" s="14" t="s">
        <v>103</v>
      </c>
    </row>
    <row r="56" spans="1:7" x14ac:dyDescent="0.2">
      <c r="A56" s="152" t="s">
        <v>109</v>
      </c>
      <c r="B56" s="152"/>
      <c r="C56" s="152"/>
      <c r="D56" s="152"/>
      <c r="E56" s="152"/>
      <c r="F56" s="152"/>
    </row>
  </sheetData>
  <mergeCells count="40">
    <mergeCell ref="A56:F56"/>
    <mergeCell ref="H31:H39"/>
    <mergeCell ref="A40:G40"/>
    <mergeCell ref="A42:F42"/>
    <mergeCell ref="G43:G51"/>
    <mergeCell ref="A52:F52"/>
    <mergeCell ref="B39:G39"/>
    <mergeCell ref="A31:G31"/>
    <mergeCell ref="D45:E45"/>
    <mergeCell ref="E33:F33"/>
    <mergeCell ref="A43:F43"/>
    <mergeCell ref="A44:F44"/>
    <mergeCell ref="A3:H3"/>
    <mergeCell ref="I4:I16"/>
    <mergeCell ref="A17:H17"/>
    <mergeCell ref="A19:G19"/>
    <mergeCell ref="H20:H28"/>
    <mergeCell ref="B28:G28"/>
    <mergeCell ref="G14:H14"/>
    <mergeCell ref="G15:H15"/>
    <mergeCell ref="B16:H16"/>
    <mergeCell ref="E22:F22"/>
    <mergeCell ref="A20:G20"/>
    <mergeCell ref="A21:G21"/>
    <mergeCell ref="A2:H2"/>
    <mergeCell ref="A1:H1"/>
    <mergeCell ref="B51:F51"/>
    <mergeCell ref="E7:F7"/>
    <mergeCell ref="G7:H7"/>
    <mergeCell ref="G8:H8"/>
    <mergeCell ref="A4:H5"/>
    <mergeCell ref="A6:H6"/>
    <mergeCell ref="G10:H10"/>
    <mergeCell ref="G11:H11"/>
    <mergeCell ref="G12:H12"/>
    <mergeCell ref="G13:H13"/>
    <mergeCell ref="G9:H9"/>
    <mergeCell ref="A32:G32"/>
    <mergeCell ref="A29:G29"/>
    <mergeCell ref="A30:G30"/>
  </mergeCells>
  <pageMargins left="0.7" right="0.7" top="0.75" bottom="0.51" header="0.3" footer="0.3"/>
  <pageSetup paperSize="9"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I19"/>
  <sheetViews>
    <sheetView showGridLines="0" rightToLeft="1" topLeftCell="A4" zoomScaleNormal="100" zoomScaleSheetLayoutView="100" workbookViewId="0">
      <selection activeCell="A19" sqref="A19:H19"/>
    </sheetView>
  </sheetViews>
  <sheetFormatPr defaultColWidth="8.875" defaultRowHeight="14.25" x14ac:dyDescent="0.2"/>
  <cols>
    <col min="2" max="2" width="36" customWidth="1"/>
    <col min="3" max="3" width="12.125" customWidth="1"/>
    <col min="4" max="4" width="13.375" customWidth="1"/>
    <col min="5" max="5" width="11.125" customWidth="1"/>
    <col min="6" max="6" width="15.25" customWidth="1"/>
    <col min="7" max="7" width="19.125" customWidth="1"/>
    <col min="8" max="8" width="72.125" customWidth="1"/>
  </cols>
  <sheetData>
    <row r="1" spans="1:9" ht="30" customHeight="1" x14ac:dyDescent="0.2">
      <c r="B1" s="133" t="s">
        <v>114</v>
      </c>
      <c r="C1" s="133"/>
      <c r="D1" s="133"/>
      <c r="E1" s="133"/>
      <c r="F1" s="133"/>
      <c r="G1" s="133"/>
      <c r="H1" s="133"/>
    </row>
    <row r="2" spans="1:9" ht="15.75" x14ac:dyDescent="0.2">
      <c r="B2" s="195" t="s">
        <v>178</v>
      </c>
      <c r="C2" s="195"/>
      <c r="D2" s="195"/>
      <c r="E2" s="195"/>
      <c r="F2" s="195"/>
      <c r="G2" s="195"/>
      <c r="H2" s="195"/>
    </row>
    <row r="3" spans="1:9" ht="30" customHeight="1" x14ac:dyDescent="0.2">
      <c r="B3" s="196" t="s">
        <v>106</v>
      </c>
      <c r="C3" s="196"/>
      <c r="D3" s="196"/>
      <c r="E3" s="196"/>
      <c r="F3" s="196"/>
      <c r="G3" s="196"/>
      <c r="H3" s="196"/>
    </row>
    <row r="4" spans="1:9" ht="18" x14ac:dyDescent="0.2">
      <c r="A4" s="145" t="s">
        <v>222</v>
      </c>
      <c r="B4" s="137" t="s">
        <v>66</v>
      </c>
      <c r="C4" s="138"/>
      <c r="D4" s="138"/>
      <c r="E4" s="138"/>
      <c r="F4" s="138"/>
      <c r="G4" s="138"/>
      <c r="H4" s="138"/>
      <c r="I4" s="146" t="s">
        <v>223</v>
      </c>
    </row>
    <row r="5" spans="1:9" ht="18.75" thickBot="1" x14ac:dyDescent="0.25">
      <c r="A5" s="145"/>
      <c r="B5" s="137" t="s">
        <v>148</v>
      </c>
      <c r="C5" s="138"/>
      <c r="D5" s="138"/>
      <c r="E5" s="138"/>
      <c r="F5" s="138"/>
      <c r="G5" s="138"/>
      <c r="H5" s="138"/>
      <c r="I5" s="146"/>
    </row>
    <row r="6" spans="1:9" ht="60" x14ac:dyDescent="0.2">
      <c r="A6" s="145"/>
      <c r="B6" s="9" t="s">
        <v>0</v>
      </c>
      <c r="C6" s="15" t="s">
        <v>215</v>
      </c>
      <c r="D6" s="114" t="s">
        <v>216</v>
      </c>
      <c r="E6" s="9" t="s">
        <v>40</v>
      </c>
      <c r="F6" s="135" t="s">
        <v>10</v>
      </c>
      <c r="G6" s="136"/>
      <c r="H6" s="9" t="s">
        <v>73</v>
      </c>
      <c r="I6" s="146"/>
    </row>
    <row r="7" spans="1:9" ht="27.6" customHeight="1" x14ac:dyDescent="0.2">
      <c r="A7" s="145"/>
      <c r="B7" s="16" t="s">
        <v>29</v>
      </c>
      <c r="C7" s="19">
        <v>0.44</v>
      </c>
      <c r="D7" s="19">
        <v>0.44</v>
      </c>
      <c r="E7" s="19">
        <v>0.06</v>
      </c>
      <c r="F7" s="19">
        <f>+C7-E7</f>
        <v>0.38</v>
      </c>
      <c r="G7" s="19">
        <f>+C7+E7</f>
        <v>0.5</v>
      </c>
      <c r="H7" s="104" t="s">
        <v>84</v>
      </c>
      <c r="I7" s="146"/>
    </row>
    <row r="8" spans="1:9" ht="27.6" customHeight="1" x14ac:dyDescent="0.2">
      <c r="A8" s="145"/>
      <c r="B8" s="16" t="s">
        <v>39</v>
      </c>
      <c r="C8" s="19">
        <v>0.04</v>
      </c>
      <c r="D8" s="19">
        <v>0.04</v>
      </c>
      <c r="E8" s="19">
        <v>0.05</v>
      </c>
      <c r="F8" s="19">
        <f t="shared" ref="F8:F10" si="0">+C8-E8</f>
        <v>-1.0000000000000002E-2</v>
      </c>
      <c r="G8" s="19">
        <f t="shared" ref="G8:G10" si="1">+C8+E8</f>
        <v>0.09</v>
      </c>
      <c r="H8" s="20" t="s">
        <v>3</v>
      </c>
      <c r="I8" s="146"/>
    </row>
    <row r="9" spans="1:9" ht="18.600000000000001" customHeight="1" x14ac:dyDescent="0.2">
      <c r="A9" s="145"/>
      <c r="B9" s="16" t="s">
        <v>104</v>
      </c>
      <c r="C9" s="19">
        <v>0.27</v>
      </c>
      <c r="D9" s="19">
        <v>0.27</v>
      </c>
      <c r="E9" s="19">
        <v>0.05</v>
      </c>
      <c r="F9" s="19">
        <f t="shared" si="0"/>
        <v>0.22000000000000003</v>
      </c>
      <c r="G9" s="19">
        <f t="shared" si="1"/>
        <v>0.32</v>
      </c>
      <c r="H9" s="20"/>
      <c r="I9" s="146"/>
    </row>
    <row r="10" spans="1:9" ht="41.45" customHeight="1" x14ac:dyDescent="0.2">
      <c r="A10" s="145"/>
      <c r="B10" s="16" t="s">
        <v>70</v>
      </c>
      <c r="C10" s="19">
        <v>0.2</v>
      </c>
      <c r="D10" s="19">
        <v>0.2</v>
      </c>
      <c r="E10" s="19">
        <v>0.06</v>
      </c>
      <c r="F10" s="19">
        <f t="shared" si="0"/>
        <v>0.14000000000000001</v>
      </c>
      <c r="G10" s="19">
        <f t="shared" si="1"/>
        <v>0.26</v>
      </c>
      <c r="H10" s="20" t="s">
        <v>59</v>
      </c>
      <c r="I10" s="146"/>
    </row>
    <row r="11" spans="1:9" ht="18.600000000000001" customHeight="1" x14ac:dyDescent="0.2">
      <c r="A11" s="145"/>
      <c r="B11" s="16" t="s">
        <v>37</v>
      </c>
      <c r="C11" s="19">
        <v>0.05</v>
      </c>
      <c r="D11" s="19">
        <v>0.05</v>
      </c>
      <c r="E11" s="19"/>
      <c r="F11" s="19"/>
      <c r="G11" s="19"/>
      <c r="H11" s="20"/>
      <c r="I11" s="146"/>
    </row>
    <row r="12" spans="1:9" ht="18.600000000000001" customHeight="1" x14ac:dyDescent="0.2">
      <c r="A12" s="145"/>
      <c r="B12" s="16" t="s">
        <v>8</v>
      </c>
      <c r="C12" s="19">
        <f>SUM(C7:C11)</f>
        <v>1</v>
      </c>
      <c r="D12" s="19">
        <v>1</v>
      </c>
      <c r="E12" s="19"/>
      <c r="F12" s="19"/>
      <c r="G12" s="19"/>
      <c r="H12" s="20"/>
      <c r="I12" s="146"/>
    </row>
    <row r="13" spans="1:9" ht="33.75" customHeight="1" x14ac:dyDescent="0.2">
      <c r="A13" s="145"/>
      <c r="B13" s="16" t="s">
        <v>13</v>
      </c>
      <c r="C13" s="19">
        <v>0.2</v>
      </c>
      <c r="D13" s="19">
        <v>0.2</v>
      </c>
      <c r="E13" s="19">
        <v>0.06</v>
      </c>
      <c r="F13" s="19">
        <f>+C13-E13</f>
        <v>0.14000000000000001</v>
      </c>
      <c r="G13" s="19">
        <f>+C13+E13</f>
        <v>0.26</v>
      </c>
      <c r="H13" s="20"/>
      <c r="I13" s="146"/>
    </row>
    <row r="14" spans="1:9" ht="18" x14ac:dyDescent="0.2">
      <c r="A14" s="145"/>
      <c r="B14" s="16" t="s">
        <v>116</v>
      </c>
      <c r="C14" s="139">
        <v>1E-3</v>
      </c>
      <c r="D14" s="139"/>
      <c r="E14" s="139"/>
      <c r="F14" s="139"/>
      <c r="G14" s="139"/>
      <c r="H14" s="139"/>
      <c r="I14" s="146"/>
    </row>
    <row r="15" spans="1:9" ht="18" customHeight="1" x14ac:dyDescent="0.25">
      <c r="A15" s="129"/>
      <c r="B15" s="140" t="s">
        <v>110</v>
      </c>
      <c r="C15" s="140"/>
      <c r="D15" s="140"/>
      <c r="E15" s="140"/>
      <c r="F15" s="140"/>
      <c r="G15" s="140"/>
      <c r="H15" s="140"/>
      <c r="I15" s="130"/>
    </row>
    <row r="16" spans="1:9" x14ac:dyDescent="0.2">
      <c r="B16" s="14" t="s">
        <v>38</v>
      </c>
      <c r="C16" s="14"/>
      <c r="D16" s="14"/>
      <c r="E16" s="14"/>
      <c r="F16" s="14"/>
    </row>
    <row r="17" spans="1:8" x14ac:dyDescent="0.2">
      <c r="B17" s="14" t="s">
        <v>72</v>
      </c>
    </row>
    <row r="18" spans="1:8" s="28" customFormat="1" x14ac:dyDescent="0.2">
      <c r="B18" s="14" t="s">
        <v>103</v>
      </c>
    </row>
    <row r="19" spans="1:8" x14ac:dyDescent="0.2">
      <c r="A19" s="147" t="s">
        <v>109</v>
      </c>
      <c r="B19" s="147"/>
      <c r="C19" s="147"/>
      <c r="D19" s="147"/>
      <c r="E19" s="147"/>
      <c r="F19" s="147"/>
      <c r="G19" s="147"/>
      <c r="H19" s="147"/>
    </row>
  </sheetData>
  <mergeCells count="11">
    <mergeCell ref="A4:A14"/>
    <mergeCell ref="I4:I14"/>
    <mergeCell ref="B15:H15"/>
    <mergeCell ref="A19:H19"/>
    <mergeCell ref="B1:H1"/>
    <mergeCell ref="B4:H4"/>
    <mergeCell ref="B5:H5"/>
    <mergeCell ref="C14:H14"/>
    <mergeCell ref="B2:H2"/>
    <mergeCell ref="F6:G6"/>
    <mergeCell ref="B3:H3"/>
  </mergeCells>
  <pageMargins left="0.7" right="0.7" top="0.75" bottom="0.75" header="0.3" footer="0.3"/>
  <pageSetup paperSize="9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J98"/>
  <sheetViews>
    <sheetView showGridLines="0" rightToLeft="1" topLeftCell="A18" zoomScale="80" zoomScaleNormal="80" workbookViewId="0">
      <selection activeCell="A41" sqref="A41:H41"/>
    </sheetView>
  </sheetViews>
  <sheetFormatPr defaultColWidth="8" defaultRowHeight="14.25" x14ac:dyDescent="0.2"/>
  <cols>
    <col min="1" max="1" width="12.375" style="28" customWidth="1"/>
    <col min="2" max="2" width="52.75" style="28" bestFit="1" customWidth="1"/>
    <col min="3" max="3" width="27.625" style="28" bestFit="1" customWidth="1"/>
    <col min="4" max="4" width="12.5" style="28" bestFit="1" customWidth="1"/>
    <col min="5" max="5" width="16.5" style="28" bestFit="1" customWidth="1"/>
    <col min="6" max="6" width="21.5" style="28" customWidth="1"/>
    <col min="7" max="7" width="26.625" style="28" customWidth="1"/>
    <col min="8" max="8" width="43.375" style="28" customWidth="1"/>
    <col min="9" max="16384" width="8" style="28"/>
  </cols>
  <sheetData>
    <row r="1" spans="1:9" customFormat="1" ht="27.6" customHeight="1" x14ac:dyDescent="0.2">
      <c r="B1" s="147" t="s">
        <v>106</v>
      </c>
      <c r="C1" s="147"/>
      <c r="D1" s="147"/>
      <c r="E1" s="147"/>
      <c r="F1" s="147"/>
      <c r="G1" s="147"/>
      <c r="H1" s="147"/>
    </row>
    <row r="2" spans="1:9" customFormat="1" ht="27.6" customHeight="1" x14ac:dyDescent="0.2">
      <c r="A2" s="145" t="s">
        <v>222</v>
      </c>
      <c r="B2" s="137" t="s">
        <v>208</v>
      </c>
      <c r="C2" s="138"/>
      <c r="D2" s="138"/>
      <c r="E2" s="138"/>
      <c r="F2" s="138"/>
      <c r="G2" s="138"/>
      <c r="H2" s="138"/>
      <c r="I2" s="146" t="s">
        <v>223</v>
      </c>
    </row>
    <row r="3" spans="1:9" customFormat="1" ht="27.6" customHeight="1" thickBot="1" x14ac:dyDescent="0.25">
      <c r="A3" s="145"/>
      <c r="B3" s="178" t="s">
        <v>153</v>
      </c>
      <c r="C3" s="157"/>
      <c r="D3" s="157"/>
      <c r="E3" s="157"/>
      <c r="F3" s="157"/>
      <c r="G3" s="157"/>
      <c r="H3" s="157"/>
      <c r="I3" s="146"/>
    </row>
    <row r="4" spans="1:9" customFormat="1" ht="30" x14ac:dyDescent="0.2">
      <c r="A4" s="145"/>
      <c r="B4" s="9" t="s">
        <v>0</v>
      </c>
      <c r="C4" s="15" t="s">
        <v>215</v>
      </c>
      <c r="D4" s="114" t="s">
        <v>216</v>
      </c>
      <c r="E4" s="9" t="s">
        <v>40</v>
      </c>
      <c r="F4" s="135" t="s">
        <v>10</v>
      </c>
      <c r="G4" s="136"/>
      <c r="H4" s="9" t="s">
        <v>73</v>
      </c>
      <c r="I4" s="146"/>
    </row>
    <row r="5" spans="1:9" customFormat="1" ht="27.6" customHeight="1" x14ac:dyDescent="0.2">
      <c r="A5" s="145"/>
      <c r="B5" s="16" t="s">
        <v>42</v>
      </c>
      <c r="C5" s="19">
        <v>0.16</v>
      </c>
      <c r="D5" s="19">
        <v>0.16</v>
      </c>
      <c r="E5" s="19">
        <v>0.06</v>
      </c>
      <c r="F5" s="19">
        <f>IF(C5-E5&gt;0,C5-E5,0)</f>
        <v>0.1</v>
      </c>
      <c r="G5" s="19">
        <f>C5+E5</f>
        <v>0.22</v>
      </c>
      <c r="H5" s="104" t="s">
        <v>84</v>
      </c>
      <c r="I5" s="146"/>
    </row>
    <row r="6" spans="1:9" customFormat="1" ht="27.6" customHeight="1" x14ac:dyDescent="0.2">
      <c r="A6" s="145"/>
      <c r="B6" s="16" t="s">
        <v>39</v>
      </c>
      <c r="C6" s="19">
        <v>0.03</v>
      </c>
      <c r="D6" s="19">
        <v>0.03</v>
      </c>
      <c r="E6" s="19">
        <v>0.05</v>
      </c>
      <c r="F6" s="19">
        <f t="shared" ref="F6:F9" si="0">IF(C6-E6&gt;0,C6-E6,0)</f>
        <v>0</v>
      </c>
      <c r="G6" s="19">
        <f t="shared" ref="G6:G9" si="1">C6+E6</f>
        <v>0.08</v>
      </c>
      <c r="H6" s="20" t="s">
        <v>3</v>
      </c>
      <c r="I6" s="146"/>
    </row>
    <row r="7" spans="1:9" customFormat="1" ht="27.6" customHeight="1" x14ac:dyDescent="0.2">
      <c r="A7" s="145"/>
      <c r="B7" s="16" t="s">
        <v>104</v>
      </c>
      <c r="C7" s="19">
        <v>0.6</v>
      </c>
      <c r="D7" s="19">
        <v>0.6</v>
      </c>
      <c r="E7" s="19">
        <v>0.05</v>
      </c>
      <c r="F7" s="19">
        <f t="shared" si="0"/>
        <v>0.54999999999999993</v>
      </c>
      <c r="G7" s="19">
        <f t="shared" si="1"/>
        <v>0.65</v>
      </c>
      <c r="H7" s="20"/>
      <c r="I7" s="146"/>
    </row>
    <row r="8" spans="1:9" customFormat="1" ht="27.6" customHeight="1" x14ac:dyDescent="0.2">
      <c r="A8" s="145"/>
      <c r="B8" s="16" t="s">
        <v>70</v>
      </c>
      <c r="C8" s="19">
        <v>0.16</v>
      </c>
      <c r="D8" s="19">
        <v>0.16</v>
      </c>
      <c r="E8" s="19">
        <v>0.06</v>
      </c>
      <c r="F8" s="19">
        <f t="shared" si="0"/>
        <v>0.1</v>
      </c>
      <c r="G8" s="19">
        <f t="shared" si="1"/>
        <v>0.22</v>
      </c>
      <c r="H8" s="20" t="s">
        <v>74</v>
      </c>
      <c r="I8" s="146"/>
    </row>
    <row r="9" spans="1:9" customFormat="1" ht="27.6" customHeight="1" x14ac:dyDescent="0.2">
      <c r="A9" s="145"/>
      <c r="B9" s="16" t="s">
        <v>78</v>
      </c>
      <c r="C9" s="19">
        <v>0.04</v>
      </c>
      <c r="D9" s="19">
        <v>0.03</v>
      </c>
      <c r="E9" s="19">
        <v>0.05</v>
      </c>
      <c r="F9" s="19">
        <f t="shared" si="0"/>
        <v>0</v>
      </c>
      <c r="G9" s="19">
        <f t="shared" si="1"/>
        <v>0.09</v>
      </c>
      <c r="H9" s="20"/>
      <c r="I9" s="146"/>
    </row>
    <row r="10" spans="1:9" customFormat="1" ht="27.6" customHeight="1" x14ac:dyDescent="0.2">
      <c r="A10" s="145"/>
      <c r="B10" s="16" t="s">
        <v>37</v>
      </c>
      <c r="C10" s="19">
        <v>0.01</v>
      </c>
      <c r="D10" s="19">
        <v>0.02</v>
      </c>
      <c r="E10" s="19"/>
      <c r="F10" s="19"/>
      <c r="G10" s="19"/>
      <c r="H10" s="20"/>
      <c r="I10" s="146"/>
    </row>
    <row r="11" spans="1:9" customFormat="1" ht="27.6" customHeight="1" x14ac:dyDescent="0.2">
      <c r="A11" s="145"/>
      <c r="B11" s="16" t="s">
        <v>8</v>
      </c>
      <c r="C11" s="19">
        <f>SUM(C5:C10)</f>
        <v>1</v>
      </c>
      <c r="D11" s="19">
        <f>SUM(D5:D10)</f>
        <v>1</v>
      </c>
      <c r="E11" s="19"/>
      <c r="F11" s="19"/>
      <c r="G11" s="19"/>
      <c r="H11" s="20"/>
      <c r="I11" s="146"/>
    </row>
    <row r="12" spans="1:9" customFormat="1" ht="27.6" customHeight="1" x14ac:dyDescent="0.2">
      <c r="A12" s="145"/>
      <c r="B12" s="16" t="s">
        <v>13</v>
      </c>
      <c r="C12" s="19">
        <v>0.12</v>
      </c>
      <c r="D12" s="19">
        <v>0.12</v>
      </c>
      <c r="E12" s="19">
        <v>0.06</v>
      </c>
      <c r="F12" s="19">
        <f>IF(C12-E12&gt;0,C12-E12,0)</f>
        <v>0.06</v>
      </c>
      <c r="G12" s="19">
        <f>C12+E12</f>
        <v>0.18</v>
      </c>
      <c r="H12" s="20"/>
      <c r="I12" s="146"/>
    </row>
    <row r="13" spans="1:9" customFormat="1" ht="27.6" customHeight="1" x14ac:dyDescent="0.2">
      <c r="A13" s="145"/>
      <c r="B13" s="16" t="s">
        <v>116</v>
      </c>
      <c r="C13" s="139">
        <v>2E-3</v>
      </c>
      <c r="D13" s="139"/>
      <c r="E13" s="139"/>
      <c r="F13" s="139"/>
      <c r="G13" s="139"/>
      <c r="H13" s="139"/>
      <c r="I13" s="146"/>
    </row>
    <row r="14" spans="1:9" customFormat="1" ht="27.6" customHeight="1" x14ac:dyDescent="0.2">
      <c r="B14" s="147" t="s">
        <v>110</v>
      </c>
      <c r="C14" s="147"/>
      <c r="D14" s="147"/>
      <c r="E14" s="147"/>
      <c r="F14" s="147"/>
      <c r="G14" s="147"/>
      <c r="H14" s="147"/>
    </row>
    <row r="15" spans="1:9" customFormat="1" ht="27.6" customHeight="1" x14ac:dyDescent="0.2">
      <c r="B15" s="147" t="s">
        <v>106</v>
      </c>
      <c r="C15" s="147"/>
      <c r="D15" s="147"/>
      <c r="E15" s="147"/>
      <c r="F15" s="147"/>
      <c r="G15" s="147"/>
      <c r="H15" s="147"/>
    </row>
    <row r="16" spans="1:9" customFormat="1" ht="18" x14ac:dyDescent="0.2">
      <c r="A16" s="147" t="s">
        <v>222</v>
      </c>
      <c r="B16" s="137" t="s">
        <v>68</v>
      </c>
      <c r="C16" s="138"/>
      <c r="D16" s="138"/>
      <c r="E16" s="138"/>
      <c r="F16" s="138"/>
      <c r="G16" s="138"/>
      <c r="H16" s="138"/>
      <c r="I16" s="146" t="s">
        <v>223</v>
      </c>
    </row>
    <row r="17" spans="1:10" customFormat="1" ht="18.75" thickBot="1" x14ac:dyDescent="0.25">
      <c r="A17" s="147"/>
      <c r="B17" s="143" t="s">
        <v>155</v>
      </c>
      <c r="C17" s="143"/>
      <c r="D17" s="143"/>
      <c r="E17" s="143"/>
      <c r="F17" s="143"/>
      <c r="G17" s="143"/>
      <c r="H17" s="143"/>
      <c r="I17" s="146"/>
    </row>
    <row r="18" spans="1:10" s="76" customFormat="1" ht="30" x14ac:dyDescent="0.2">
      <c r="A18" s="147"/>
      <c r="B18" s="9" t="s">
        <v>0</v>
      </c>
      <c r="C18" s="15" t="s">
        <v>215</v>
      </c>
      <c r="D18" s="114" t="s">
        <v>216</v>
      </c>
      <c r="E18" s="9" t="s">
        <v>40</v>
      </c>
      <c r="F18" s="135" t="s">
        <v>10</v>
      </c>
      <c r="G18" s="136"/>
      <c r="H18" s="9" t="s">
        <v>73</v>
      </c>
      <c r="I18" s="146"/>
      <c r="J18"/>
    </row>
    <row r="19" spans="1:10" s="76" customFormat="1" ht="45" customHeight="1" x14ac:dyDescent="0.2">
      <c r="A19" s="147"/>
      <c r="B19" s="16" t="s">
        <v>39</v>
      </c>
      <c r="C19" s="19">
        <v>0.15</v>
      </c>
      <c r="D19" s="19">
        <v>0.15</v>
      </c>
      <c r="E19" s="19">
        <v>0.05</v>
      </c>
      <c r="F19" s="19">
        <f t="shared" ref="F19" si="2">IF(C19-E19&gt;0,C19-E19,0)</f>
        <v>9.9999999999999992E-2</v>
      </c>
      <c r="G19" s="19">
        <f t="shared" ref="G19" si="3">C19+E19</f>
        <v>0.2</v>
      </c>
      <c r="H19" s="20" t="s">
        <v>3</v>
      </c>
      <c r="I19" s="146"/>
      <c r="J19"/>
    </row>
    <row r="20" spans="1:10" ht="30" customHeight="1" x14ac:dyDescent="0.2">
      <c r="A20" s="147"/>
      <c r="B20" s="16" t="s">
        <v>104</v>
      </c>
      <c r="C20" s="19">
        <v>0.8</v>
      </c>
      <c r="D20" s="19">
        <v>0.8</v>
      </c>
      <c r="E20" s="19">
        <v>0.05</v>
      </c>
      <c r="F20" s="19">
        <f t="shared" ref="F20" si="4">IF(C20-E20&gt;0,C20-E20,0)</f>
        <v>0.75</v>
      </c>
      <c r="G20" s="19">
        <f t="shared" ref="G20" si="5">C20+E20</f>
        <v>0.85000000000000009</v>
      </c>
      <c r="H20" s="20"/>
      <c r="I20" s="146"/>
      <c r="J20"/>
    </row>
    <row r="21" spans="1:10" ht="15" customHeight="1" x14ac:dyDescent="0.2">
      <c r="A21" s="147"/>
      <c r="B21" s="16" t="s">
        <v>37</v>
      </c>
      <c r="C21" s="19">
        <v>0.05</v>
      </c>
      <c r="D21" s="19">
        <v>0.05</v>
      </c>
      <c r="E21" s="19"/>
      <c r="F21" s="19"/>
      <c r="G21" s="19"/>
      <c r="H21" s="20"/>
      <c r="I21" s="146"/>
      <c r="J21"/>
    </row>
    <row r="22" spans="1:10" ht="15" customHeight="1" x14ac:dyDescent="0.2">
      <c r="A22" s="147"/>
      <c r="B22" s="22" t="s">
        <v>8</v>
      </c>
      <c r="C22" s="17">
        <f>SUM(C19:C21)</f>
        <v>1</v>
      </c>
      <c r="D22" s="17">
        <v>1</v>
      </c>
      <c r="E22" s="23"/>
      <c r="F22" s="19"/>
      <c r="G22" s="19"/>
      <c r="H22" s="24"/>
      <c r="I22" s="146"/>
      <c r="J22"/>
    </row>
    <row r="23" spans="1:10" ht="15" customHeight="1" x14ac:dyDescent="0.2">
      <c r="A23" s="147"/>
      <c r="B23" s="16" t="s">
        <v>13</v>
      </c>
      <c r="C23" s="17">
        <v>0</v>
      </c>
      <c r="D23" s="17">
        <v>0</v>
      </c>
      <c r="E23" s="19">
        <v>0.06</v>
      </c>
      <c r="F23" s="19">
        <f>IF(C23-E23&gt;0,C23-E23,0)</f>
        <v>0</v>
      </c>
      <c r="G23" s="19">
        <f>C23+E23</f>
        <v>0.06</v>
      </c>
      <c r="H23" s="20"/>
      <c r="I23" s="146"/>
      <c r="J23"/>
    </row>
    <row r="24" spans="1:10" s="76" customFormat="1" ht="15.75" customHeight="1" x14ac:dyDescent="0.2">
      <c r="A24" s="147"/>
      <c r="B24" s="16" t="s">
        <v>116</v>
      </c>
      <c r="C24" s="139">
        <v>1E-3</v>
      </c>
      <c r="D24" s="139"/>
      <c r="E24" s="139"/>
      <c r="F24" s="139"/>
      <c r="G24" s="139"/>
      <c r="H24" s="139"/>
      <c r="I24" s="146"/>
    </row>
    <row r="25" spans="1:10" s="76" customFormat="1" ht="18" customHeight="1" x14ac:dyDescent="0.2">
      <c r="B25" s="140" t="s">
        <v>111</v>
      </c>
      <c r="C25" s="140"/>
      <c r="D25" s="140"/>
      <c r="E25" s="140"/>
      <c r="F25" s="140"/>
      <c r="G25" s="140"/>
      <c r="H25" s="140"/>
    </row>
    <row r="26" spans="1:10" ht="18.75" customHeight="1" x14ac:dyDescent="0.2">
      <c r="B26" s="14"/>
    </row>
    <row r="27" spans="1:10" ht="18.75" customHeight="1" x14ac:dyDescent="0.2">
      <c r="B27" s="205" t="s">
        <v>106</v>
      </c>
      <c r="C27" s="205"/>
      <c r="D27" s="205"/>
      <c r="E27" s="205"/>
      <c r="F27" s="205"/>
      <c r="G27" s="205"/>
      <c r="H27" s="205"/>
    </row>
    <row r="28" spans="1:10" ht="18" x14ac:dyDescent="0.2">
      <c r="A28" s="206" t="s">
        <v>222</v>
      </c>
      <c r="B28" s="137" t="s">
        <v>207</v>
      </c>
      <c r="C28" s="138"/>
      <c r="D28" s="138"/>
      <c r="E28" s="138"/>
      <c r="F28" s="138"/>
      <c r="G28" s="138"/>
      <c r="H28" s="138"/>
      <c r="I28" s="146" t="s">
        <v>223</v>
      </c>
    </row>
    <row r="29" spans="1:10" ht="18.75" thickBot="1" x14ac:dyDescent="0.25">
      <c r="A29" s="206"/>
      <c r="B29" s="207" t="s">
        <v>156</v>
      </c>
      <c r="C29" s="208"/>
      <c r="D29" s="208"/>
      <c r="E29" s="208"/>
      <c r="F29" s="208"/>
      <c r="G29" s="208"/>
      <c r="H29" s="208"/>
      <c r="I29" s="146"/>
    </row>
    <row r="30" spans="1:10" ht="30" x14ac:dyDescent="0.2">
      <c r="A30" s="206"/>
      <c r="B30" s="9" t="s">
        <v>0</v>
      </c>
      <c r="C30" s="15" t="s">
        <v>215</v>
      </c>
      <c r="D30" s="114" t="s">
        <v>216</v>
      </c>
      <c r="E30" s="9" t="s">
        <v>40</v>
      </c>
      <c r="F30" s="135" t="s">
        <v>10</v>
      </c>
      <c r="G30" s="136"/>
      <c r="H30" s="9" t="s">
        <v>73</v>
      </c>
      <c r="I30" s="146"/>
    </row>
    <row r="31" spans="1:10" ht="30" x14ac:dyDescent="0.2">
      <c r="A31" s="206"/>
      <c r="B31" s="16" t="s">
        <v>39</v>
      </c>
      <c r="C31" s="17">
        <v>0.37</v>
      </c>
      <c r="D31" s="17">
        <v>0.37</v>
      </c>
      <c r="E31" s="19">
        <v>0.05</v>
      </c>
      <c r="F31" s="19">
        <f t="shared" ref="F31" si="6">IF(C31-E31&gt;0,C31-E31,0)</f>
        <v>0.32</v>
      </c>
      <c r="G31" s="19">
        <f t="shared" ref="G31" si="7">C31+E31</f>
        <v>0.42</v>
      </c>
      <c r="H31" s="20" t="s">
        <v>3</v>
      </c>
      <c r="I31" s="146"/>
    </row>
    <row r="32" spans="1:10" ht="25.5" customHeight="1" x14ac:dyDescent="0.2">
      <c r="A32" s="206"/>
      <c r="B32" s="16" t="s">
        <v>104</v>
      </c>
      <c r="C32" s="17">
        <v>0.6</v>
      </c>
      <c r="D32" s="17">
        <v>0.6</v>
      </c>
      <c r="E32" s="19">
        <v>0.05</v>
      </c>
      <c r="F32" s="19">
        <f t="shared" ref="F32" si="8">IF(C32-E32&gt;0,C32-E32,0)</f>
        <v>0.54999999999999993</v>
      </c>
      <c r="G32" s="19">
        <f t="shared" ref="G32" si="9">C32+E32</f>
        <v>0.65</v>
      </c>
      <c r="H32" s="20"/>
      <c r="I32" s="146"/>
    </row>
    <row r="33" spans="1:9" ht="28.5" customHeight="1" x14ac:dyDescent="0.2">
      <c r="A33" s="206"/>
      <c r="B33" s="16" t="s">
        <v>37</v>
      </c>
      <c r="C33" s="17">
        <v>0.03</v>
      </c>
      <c r="D33" s="17">
        <v>0.03</v>
      </c>
      <c r="E33" s="19"/>
      <c r="F33" s="19"/>
      <c r="G33" s="19"/>
      <c r="H33" s="20"/>
      <c r="I33" s="146"/>
    </row>
    <row r="34" spans="1:9" ht="18.75" customHeight="1" x14ac:dyDescent="0.2">
      <c r="A34" s="206"/>
      <c r="B34" s="16" t="s">
        <v>8</v>
      </c>
      <c r="C34" s="17">
        <f>SUM(C31:C33)</f>
        <v>1</v>
      </c>
      <c r="D34" s="17">
        <v>1</v>
      </c>
      <c r="E34" s="19"/>
      <c r="F34" s="19"/>
      <c r="G34" s="19"/>
      <c r="H34" s="20"/>
      <c r="I34" s="146"/>
    </row>
    <row r="35" spans="1:9" ht="22.5" customHeight="1" x14ac:dyDescent="0.2">
      <c r="A35" s="206"/>
      <c r="B35" s="16" t="s">
        <v>13</v>
      </c>
      <c r="C35" s="17">
        <v>0</v>
      </c>
      <c r="D35" s="17">
        <v>0</v>
      </c>
      <c r="E35" s="19">
        <v>0.06</v>
      </c>
      <c r="F35" s="19">
        <f>IF(C35-E35&gt;0,C35-E35,0)</f>
        <v>0</v>
      </c>
      <c r="G35" s="19">
        <f>C35+E35</f>
        <v>0.06</v>
      </c>
      <c r="H35" s="20"/>
      <c r="I35" s="146"/>
    </row>
    <row r="36" spans="1:9" ht="28.5" customHeight="1" x14ac:dyDescent="0.2">
      <c r="A36" s="206"/>
      <c r="B36" s="16" t="s">
        <v>116</v>
      </c>
      <c r="C36" s="139">
        <v>5.0000000000000001E-4</v>
      </c>
      <c r="D36" s="139"/>
      <c r="E36" s="139"/>
      <c r="F36" s="139"/>
      <c r="G36" s="139"/>
      <c r="H36" s="139"/>
      <c r="I36" s="146"/>
    </row>
    <row r="37" spans="1:9" ht="18.75" customHeight="1" x14ac:dyDescent="0.2">
      <c r="B37" s="140" t="s">
        <v>110</v>
      </c>
      <c r="C37" s="140"/>
      <c r="D37" s="140"/>
      <c r="E37" s="140"/>
      <c r="F37" s="140"/>
      <c r="G37" s="140"/>
      <c r="H37" s="140"/>
    </row>
    <row r="38" spans="1:9" ht="18.75" customHeight="1" x14ac:dyDescent="0.2">
      <c r="B38" s="14" t="s">
        <v>38</v>
      </c>
      <c r="C38" s="14"/>
      <c r="D38" s="14"/>
      <c r="E38" s="14"/>
      <c r="F38" s="14"/>
      <c r="G38"/>
    </row>
    <row r="39" spans="1:9" ht="18.75" customHeight="1" x14ac:dyDescent="0.2">
      <c r="B39" s="14" t="s">
        <v>72</v>
      </c>
      <c r="C39"/>
      <c r="D39"/>
      <c r="E39"/>
      <c r="F39"/>
      <c r="G39"/>
    </row>
    <row r="40" spans="1:9" ht="18.75" customHeight="1" x14ac:dyDescent="0.2">
      <c r="B40" s="14" t="s">
        <v>103</v>
      </c>
    </row>
    <row r="41" spans="1:9" ht="18.75" customHeight="1" x14ac:dyDescent="0.2">
      <c r="A41" s="155" t="s">
        <v>109</v>
      </c>
      <c r="B41" s="155"/>
      <c r="C41" s="155"/>
      <c r="D41" s="155"/>
      <c r="E41" s="155"/>
      <c r="F41" s="155"/>
      <c r="G41" s="155"/>
      <c r="H41" s="155"/>
    </row>
    <row r="42" spans="1:9" ht="18.75" customHeight="1" x14ac:dyDescent="0.2">
      <c r="B42" s="95"/>
    </row>
    <row r="43" spans="1:9" ht="18.75" customHeight="1" x14ac:dyDescent="0.2">
      <c r="B43" s="95"/>
    </row>
    <row r="44" spans="1:9" ht="18.75" hidden="1" customHeight="1" thickBot="1" x14ac:dyDescent="0.2">
      <c r="B44" s="95"/>
    </row>
    <row r="45" spans="1:9" ht="45" hidden="1" customHeight="1" x14ac:dyDescent="0.2">
      <c r="B45" s="98" t="s">
        <v>0</v>
      </c>
      <c r="C45" s="114" t="s">
        <v>143</v>
      </c>
      <c r="D45" s="100" t="s">
        <v>115</v>
      </c>
      <c r="E45" s="99" t="s">
        <v>121</v>
      </c>
      <c r="F45" s="201" t="s">
        <v>122</v>
      </c>
      <c r="G45" s="202"/>
      <c r="H45" s="101" t="s">
        <v>113</v>
      </c>
    </row>
    <row r="46" spans="1:9" ht="30" hidden="1" customHeight="1" x14ac:dyDescent="0.2">
      <c r="B46" s="102" t="s">
        <v>29</v>
      </c>
      <c r="C46" s="103"/>
      <c r="D46" s="103">
        <v>0.01</v>
      </c>
      <c r="E46" s="103">
        <v>0.06</v>
      </c>
      <c r="F46" s="103">
        <v>0</v>
      </c>
      <c r="G46" s="103">
        <f>+D46+E46</f>
        <v>6.9999999999999993E-2</v>
      </c>
      <c r="H46" s="104" t="s">
        <v>84</v>
      </c>
    </row>
    <row r="47" spans="1:9" ht="30" hidden="1" customHeight="1" x14ac:dyDescent="0.2">
      <c r="B47" s="102" t="s">
        <v>41</v>
      </c>
      <c r="C47" s="103"/>
      <c r="D47" s="103">
        <v>0.09</v>
      </c>
      <c r="E47" s="103">
        <v>0.05</v>
      </c>
      <c r="F47" s="103">
        <f>+D47-E47</f>
        <v>3.9999999999999994E-2</v>
      </c>
      <c r="G47" s="103">
        <f>+D47+E47</f>
        <v>0.14000000000000001</v>
      </c>
      <c r="H47" s="104" t="s">
        <v>3</v>
      </c>
    </row>
    <row r="48" spans="1:9" s="76" customFormat="1" ht="27" hidden="1" customHeight="1" x14ac:dyDescent="0.2">
      <c r="B48" s="102" t="s">
        <v>104</v>
      </c>
      <c r="C48" s="103"/>
      <c r="D48" s="103">
        <v>0.27</v>
      </c>
      <c r="E48" s="103">
        <v>0.05</v>
      </c>
      <c r="F48" s="103">
        <f>+D48-E48</f>
        <v>0.22000000000000003</v>
      </c>
      <c r="G48" s="103">
        <f>+D48+E48</f>
        <v>0.32</v>
      </c>
      <c r="H48" s="105"/>
    </row>
    <row r="49" spans="2:8" ht="45" hidden="1" customHeight="1" x14ac:dyDescent="0.2">
      <c r="B49" s="102" t="s">
        <v>70</v>
      </c>
      <c r="C49" s="103"/>
      <c r="D49" s="103">
        <v>0.55000000000000004</v>
      </c>
      <c r="E49" s="103">
        <v>0.06</v>
      </c>
      <c r="F49" s="103">
        <f>+D49-E49</f>
        <v>0.49000000000000005</v>
      </c>
      <c r="G49" s="103">
        <f>+D49+E49</f>
        <v>0.6100000000000001</v>
      </c>
      <c r="H49" s="106" t="s">
        <v>71</v>
      </c>
    </row>
    <row r="50" spans="2:8" ht="19.5" hidden="1" customHeight="1" x14ac:dyDescent="0.2">
      <c r="B50" s="102" t="s">
        <v>123</v>
      </c>
      <c r="C50" s="103"/>
      <c r="D50" s="103">
        <v>0.03</v>
      </c>
      <c r="E50" s="103">
        <v>0.05</v>
      </c>
      <c r="F50" s="103">
        <v>0</v>
      </c>
      <c r="G50" s="103">
        <f>+D50+E50</f>
        <v>0.08</v>
      </c>
      <c r="H50" s="105"/>
    </row>
    <row r="51" spans="2:8" ht="24.75" hidden="1" customHeight="1" x14ac:dyDescent="0.2">
      <c r="B51" s="102" t="s">
        <v>37</v>
      </c>
      <c r="C51" s="103"/>
      <c r="D51" s="103">
        <v>0.05</v>
      </c>
      <c r="E51" s="103"/>
      <c r="F51" s="103"/>
      <c r="G51" s="103"/>
      <c r="H51" s="105"/>
    </row>
    <row r="52" spans="2:8" ht="18.75" hidden="1" customHeight="1" x14ac:dyDescent="0.2">
      <c r="B52" s="102" t="s">
        <v>8</v>
      </c>
      <c r="C52" s="103"/>
      <c r="D52" s="103">
        <f>SUM(D46:D51)</f>
        <v>1</v>
      </c>
      <c r="E52" s="103"/>
      <c r="F52" s="103"/>
      <c r="G52" s="103"/>
      <c r="H52" s="105"/>
    </row>
    <row r="53" spans="2:8" ht="21.75" hidden="1" customHeight="1" thickBot="1" x14ac:dyDescent="0.25">
      <c r="B53" s="107" t="s">
        <v>13</v>
      </c>
      <c r="C53" s="108"/>
      <c r="D53" s="108">
        <v>0.09</v>
      </c>
      <c r="E53" s="108"/>
      <c r="F53" s="108"/>
      <c r="G53" s="108"/>
      <c r="H53" s="109"/>
    </row>
    <row r="54" spans="2:8" s="76" customFormat="1" ht="18" hidden="1" customHeight="1" x14ac:dyDescent="0.2">
      <c r="B54" s="97" t="s">
        <v>116</v>
      </c>
      <c r="C54" s="203"/>
      <c r="D54" s="204"/>
      <c r="E54" s="204"/>
      <c r="F54" s="204"/>
    </row>
    <row r="55" spans="2:8" s="76" customFormat="1" ht="14.25" hidden="1" customHeight="1" x14ac:dyDescent="0.2">
      <c r="B55"/>
      <c r="C55"/>
      <c r="D55"/>
      <c r="E55"/>
      <c r="F55"/>
      <c r="G55" s="28"/>
      <c r="H55" s="28"/>
    </row>
    <row r="56" spans="2:8" ht="14.25" hidden="1" customHeight="1" x14ac:dyDescent="0.2">
      <c r="B56"/>
      <c r="C56"/>
      <c r="D56"/>
      <c r="E56"/>
      <c r="F56"/>
    </row>
    <row r="57" spans="2:8" ht="14.25" hidden="1" customHeight="1" x14ac:dyDescent="0.2">
      <c r="B57" s="156"/>
      <c r="C57" s="157"/>
      <c r="D57" s="157"/>
      <c r="E57" s="157"/>
      <c r="F57" s="157"/>
      <c r="G57" s="157"/>
      <c r="H57" s="157"/>
    </row>
    <row r="58" spans="2:8" s="76" customFormat="1" ht="15" hidden="1" customHeight="1" thickBot="1" x14ac:dyDescent="0.25">
      <c r="B58" s="166"/>
      <c r="C58" s="167"/>
      <c r="D58" s="167"/>
      <c r="E58" s="167"/>
      <c r="F58" s="167"/>
      <c r="G58" s="167"/>
      <c r="H58" s="167"/>
    </row>
    <row r="59" spans="2:8" ht="45" hidden="1" customHeight="1" x14ac:dyDescent="0.2">
      <c r="B59" s="98" t="s">
        <v>0</v>
      </c>
      <c r="C59" s="114" t="s">
        <v>143</v>
      </c>
      <c r="D59" s="100" t="s">
        <v>115</v>
      </c>
      <c r="E59" s="99" t="s">
        <v>121</v>
      </c>
      <c r="F59" s="201" t="s">
        <v>122</v>
      </c>
      <c r="G59" s="202"/>
      <c r="H59" s="101" t="s">
        <v>113</v>
      </c>
    </row>
    <row r="60" spans="2:8" s="76" customFormat="1" ht="30" hidden="1" x14ac:dyDescent="0.2">
      <c r="B60" s="102" t="s">
        <v>29</v>
      </c>
      <c r="C60" s="103"/>
      <c r="D60" s="103">
        <v>0.68</v>
      </c>
      <c r="E60" s="103">
        <v>0.06</v>
      </c>
      <c r="F60" s="103">
        <f>+D60-E60</f>
        <v>0.62000000000000011</v>
      </c>
      <c r="G60" s="103">
        <f>+D60+E60</f>
        <v>0.74</v>
      </c>
      <c r="H60" s="104" t="s">
        <v>84</v>
      </c>
    </row>
    <row r="61" spans="2:8" ht="30" hidden="1" x14ac:dyDescent="0.2">
      <c r="B61" s="102" t="s">
        <v>41</v>
      </c>
      <c r="C61" s="103"/>
      <c r="D61" s="103">
        <v>0.02</v>
      </c>
      <c r="E61" s="103">
        <v>0.05</v>
      </c>
      <c r="F61" s="103">
        <v>0</v>
      </c>
      <c r="G61" s="103">
        <f>+D61+E61</f>
        <v>7.0000000000000007E-2</v>
      </c>
      <c r="H61" s="104" t="s">
        <v>3</v>
      </c>
    </row>
    <row r="62" spans="2:8" ht="15" hidden="1" x14ac:dyDescent="0.2">
      <c r="B62" s="102" t="s">
        <v>104</v>
      </c>
      <c r="C62" s="103"/>
      <c r="D62" s="103">
        <v>0.27</v>
      </c>
      <c r="E62" s="103">
        <v>0.05</v>
      </c>
      <c r="F62" s="103">
        <f>+D62-E62</f>
        <v>0.22000000000000003</v>
      </c>
      <c r="G62" s="103">
        <f>+D62+E62</f>
        <v>0.32</v>
      </c>
      <c r="H62" s="105"/>
    </row>
    <row r="63" spans="2:8" ht="15" hidden="1" x14ac:dyDescent="0.2">
      <c r="B63" s="102" t="s">
        <v>123</v>
      </c>
      <c r="C63" s="103"/>
      <c r="D63" s="103">
        <v>0.01</v>
      </c>
      <c r="E63" s="103">
        <v>0.05</v>
      </c>
      <c r="F63" s="103">
        <v>0</v>
      </c>
      <c r="G63" s="103">
        <f>+D63+E63</f>
        <v>6.0000000000000005E-2</v>
      </c>
      <c r="H63" s="105"/>
    </row>
    <row r="64" spans="2:8" ht="15" hidden="1" x14ac:dyDescent="0.2">
      <c r="B64" s="102" t="s">
        <v>37</v>
      </c>
      <c r="C64" s="103"/>
      <c r="D64" s="103">
        <v>0.02</v>
      </c>
      <c r="E64" s="103"/>
      <c r="F64" s="103"/>
      <c r="G64" s="103"/>
      <c r="H64" s="105"/>
    </row>
    <row r="65" spans="2:8" ht="15" hidden="1" x14ac:dyDescent="0.2">
      <c r="B65" s="102" t="s">
        <v>8</v>
      </c>
      <c r="C65" s="103"/>
      <c r="D65" s="103">
        <f>SUM(D60:D64)</f>
        <v>1</v>
      </c>
      <c r="E65" s="103"/>
      <c r="F65" s="103"/>
      <c r="G65" s="103"/>
      <c r="H65" s="105"/>
    </row>
    <row r="66" spans="2:8" s="76" customFormat="1" ht="15.75" hidden="1" thickBot="1" x14ac:dyDescent="0.25">
      <c r="B66" s="107" t="s">
        <v>13</v>
      </c>
      <c r="C66" s="108"/>
      <c r="D66" s="108">
        <v>0.2</v>
      </c>
      <c r="E66" s="108"/>
      <c r="F66" s="108"/>
      <c r="G66" s="108"/>
      <c r="H66" s="109"/>
    </row>
    <row r="67" spans="2:8" s="76" customFormat="1" ht="18" hidden="1" x14ac:dyDescent="0.2">
      <c r="B67" s="97" t="s">
        <v>116</v>
      </c>
      <c r="C67" s="153"/>
      <c r="D67" s="154"/>
      <c r="E67" s="154"/>
      <c r="F67" s="154"/>
    </row>
    <row r="68" spans="2:8" hidden="1" x14ac:dyDescent="0.2">
      <c r="B68"/>
      <c r="C68"/>
      <c r="D68"/>
      <c r="E68"/>
      <c r="F68"/>
    </row>
    <row r="69" spans="2:8" hidden="1" x14ac:dyDescent="0.2">
      <c r="B69" s="197" t="s">
        <v>126</v>
      </c>
      <c r="C69" s="198"/>
      <c r="D69" s="198"/>
      <c r="E69" s="198"/>
      <c r="F69" s="198"/>
    </row>
    <row r="70" spans="2:8" ht="18" hidden="1" x14ac:dyDescent="0.2">
      <c r="B70" s="199"/>
      <c r="C70" s="200"/>
      <c r="D70" s="200"/>
      <c r="E70" s="200"/>
      <c r="F70" s="200"/>
    </row>
    <row r="71" spans="2:8" ht="15" hidden="1" x14ac:dyDescent="0.2">
      <c r="B71" s="98" t="s">
        <v>0</v>
      </c>
      <c r="C71" s="99" t="s">
        <v>121</v>
      </c>
      <c r="D71" s="164" t="s">
        <v>122</v>
      </c>
      <c r="E71" s="165"/>
      <c r="F71" s="101" t="s">
        <v>113</v>
      </c>
    </row>
    <row r="72" spans="2:8" ht="30" hidden="1" x14ac:dyDescent="0.2">
      <c r="B72" s="102" t="s">
        <v>41</v>
      </c>
      <c r="C72" s="103">
        <v>0.05</v>
      </c>
      <c r="D72" s="103" t="e">
        <f>+#REF!-C72</f>
        <v>#REF!</v>
      </c>
      <c r="E72" s="103" t="e">
        <f>+#REF!+C72</f>
        <v>#REF!</v>
      </c>
      <c r="F72" s="104" t="s">
        <v>3</v>
      </c>
    </row>
    <row r="73" spans="2:8" ht="15" hidden="1" x14ac:dyDescent="0.2">
      <c r="B73" s="102" t="s">
        <v>104</v>
      </c>
      <c r="C73" s="103">
        <v>0.05</v>
      </c>
      <c r="D73" s="103" t="e">
        <f>+#REF!-C73</f>
        <v>#REF!</v>
      </c>
      <c r="E73" s="103" t="e">
        <f>+#REF!+C73</f>
        <v>#REF!</v>
      </c>
      <c r="F73" s="105"/>
    </row>
    <row r="74" spans="2:8" ht="45" hidden="1" x14ac:dyDescent="0.2">
      <c r="B74" s="102" t="s">
        <v>70</v>
      </c>
      <c r="C74" s="103">
        <v>0.06</v>
      </c>
      <c r="D74" s="103" t="e">
        <f>+#REF!-C74</f>
        <v>#REF!</v>
      </c>
      <c r="E74" s="103" t="e">
        <f>+#REF!+C74</f>
        <v>#REF!</v>
      </c>
      <c r="F74" s="106" t="s">
        <v>71</v>
      </c>
    </row>
    <row r="75" spans="2:8" ht="15" hidden="1" x14ac:dyDescent="0.2">
      <c r="B75" s="102" t="s">
        <v>37</v>
      </c>
      <c r="C75" s="103"/>
      <c r="D75" s="103"/>
      <c r="E75" s="103"/>
      <c r="F75" s="105"/>
    </row>
    <row r="76" spans="2:8" ht="15" hidden="1" x14ac:dyDescent="0.2">
      <c r="B76" s="102" t="s">
        <v>8</v>
      </c>
      <c r="C76" s="103"/>
      <c r="D76" s="103"/>
      <c r="E76" s="103"/>
      <c r="F76" s="105"/>
    </row>
    <row r="77" spans="2:8" ht="15.75" hidden="1" thickBot="1" x14ac:dyDescent="0.25">
      <c r="B77" s="107" t="s">
        <v>13</v>
      </c>
      <c r="C77" s="108"/>
      <c r="D77" s="108"/>
      <c r="E77" s="108"/>
      <c r="F77" s="109"/>
    </row>
    <row r="78" spans="2:8" s="76" customFormat="1" ht="18" hidden="1" x14ac:dyDescent="0.2">
      <c r="B78" s="97" t="s">
        <v>116</v>
      </c>
      <c r="C78" s="153"/>
      <c r="D78" s="154"/>
      <c r="E78" s="154"/>
      <c r="F78" s="154"/>
    </row>
    <row r="79" spans="2:8" hidden="1" x14ac:dyDescent="0.2"/>
    <row r="80" spans="2:8" hidden="1" x14ac:dyDescent="0.2">
      <c r="B80" s="197" t="s">
        <v>127</v>
      </c>
      <c r="C80" s="198"/>
      <c r="D80" s="198"/>
      <c r="E80" s="198"/>
      <c r="F80" s="198"/>
    </row>
    <row r="81" spans="2:6" ht="18" hidden="1" x14ac:dyDescent="0.2">
      <c r="B81" s="199"/>
      <c r="C81" s="200"/>
      <c r="D81" s="200"/>
      <c r="E81" s="200"/>
      <c r="F81" s="200"/>
    </row>
    <row r="82" spans="2:6" ht="15" hidden="1" x14ac:dyDescent="0.2">
      <c r="B82" s="98" t="s">
        <v>0</v>
      </c>
      <c r="C82" s="99" t="s">
        <v>121</v>
      </c>
      <c r="D82" s="164" t="s">
        <v>122</v>
      </c>
      <c r="E82" s="165"/>
      <c r="F82" s="101" t="s">
        <v>113</v>
      </c>
    </row>
    <row r="83" spans="2:6" ht="15" hidden="1" x14ac:dyDescent="0.2">
      <c r="B83" s="102" t="s">
        <v>128</v>
      </c>
      <c r="C83" s="103">
        <v>0.05</v>
      </c>
      <c r="D83" s="103" t="e">
        <f>+#REF!-C83</f>
        <v>#REF!</v>
      </c>
      <c r="E83" s="103" t="e">
        <f>+#REF!+C83</f>
        <v>#REF!</v>
      </c>
      <c r="F83" s="104" t="s">
        <v>3</v>
      </c>
    </row>
    <row r="84" spans="2:6" ht="30" hidden="1" x14ac:dyDescent="0.2">
      <c r="B84" s="102" t="s">
        <v>70</v>
      </c>
      <c r="C84" s="103">
        <v>0.06</v>
      </c>
      <c r="D84" s="103" t="e">
        <f>+#REF!-C84</f>
        <v>#REF!</v>
      </c>
      <c r="E84" s="103" t="e">
        <f>+#REF!+C84</f>
        <v>#REF!</v>
      </c>
      <c r="F84" s="106" t="s">
        <v>129</v>
      </c>
    </row>
    <row r="85" spans="2:6" ht="15" hidden="1" x14ac:dyDescent="0.2">
      <c r="B85" s="102" t="s">
        <v>37</v>
      </c>
      <c r="C85" s="103"/>
      <c r="D85" s="103" t="e">
        <f>+#REF!-C85</f>
        <v>#REF!</v>
      </c>
      <c r="E85" s="103" t="e">
        <f>+#REF!+C85</f>
        <v>#REF!</v>
      </c>
      <c r="F85" s="105"/>
    </row>
    <row r="86" spans="2:6" ht="15" hidden="1" x14ac:dyDescent="0.2">
      <c r="B86" s="102" t="s">
        <v>8</v>
      </c>
      <c r="C86" s="103"/>
      <c r="D86" s="103"/>
      <c r="E86" s="103"/>
      <c r="F86" s="105"/>
    </row>
    <row r="87" spans="2:6" ht="15.75" hidden="1" thickBot="1" x14ac:dyDescent="0.25">
      <c r="B87" s="107" t="s">
        <v>13</v>
      </c>
      <c r="C87" s="108"/>
      <c r="D87" s="108">
        <v>0.9</v>
      </c>
      <c r="E87" s="108">
        <v>1.02</v>
      </c>
      <c r="F87" s="109"/>
    </row>
    <row r="88" spans="2:6" s="76" customFormat="1" ht="18" hidden="1" x14ac:dyDescent="0.2">
      <c r="B88" s="97" t="s">
        <v>116</v>
      </c>
      <c r="C88" s="153"/>
      <c r="D88" s="154"/>
      <c r="E88" s="154"/>
      <c r="F88" s="154"/>
    </row>
    <row r="89" spans="2:6" hidden="1" x14ac:dyDescent="0.2">
      <c r="B89"/>
      <c r="C89"/>
      <c r="D89"/>
      <c r="E89"/>
      <c r="F89"/>
    </row>
    <row r="90" spans="2:6" hidden="1" x14ac:dyDescent="0.2">
      <c r="B90" s="197" t="s">
        <v>130</v>
      </c>
      <c r="C90" s="198"/>
      <c r="D90" s="198"/>
      <c r="E90" s="198"/>
      <c r="F90" s="198"/>
    </row>
    <row r="91" spans="2:6" ht="18" hidden="1" x14ac:dyDescent="0.2">
      <c r="B91" s="199"/>
      <c r="C91" s="200"/>
      <c r="D91" s="200"/>
      <c r="E91" s="200"/>
      <c r="F91" s="200"/>
    </row>
    <row r="92" spans="2:6" ht="15" hidden="1" x14ac:dyDescent="0.2">
      <c r="B92" s="98" t="s">
        <v>0</v>
      </c>
      <c r="C92" s="99" t="s">
        <v>121</v>
      </c>
      <c r="D92" s="164" t="s">
        <v>122</v>
      </c>
      <c r="E92" s="165"/>
      <c r="F92" s="101" t="s">
        <v>113</v>
      </c>
    </row>
    <row r="93" spans="2:6" ht="15" hidden="1" x14ac:dyDescent="0.2">
      <c r="B93" s="102" t="s">
        <v>29</v>
      </c>
      <c r="C93" s="103">
        <v>0.06</v>
      </c>
      <c r="D93" s="103" t="e">
        <f>+#REF!-C93</f>
        <v>#REF!</v>
      </c>
      <c r="E93" s="103" t="e">
        <f>+#REF!+C93</f>
        <v>#REF!</v>
      </c>
      <c r="F93" s="104" t="s">
        <v>131</v>
      </c>
    </row>
    <row r="94" spans="2:6" ht="15" hidden="1" x14ac:dyDescent="0.2">
      <c r="B94" s="102" t="s">
        <v>128</v>
      </c>
      <c r="C94" s="103">
        <v>0.05</v>
      </c>
      <c r="D94" s="103" t="e">
        <f>+#REF!-C94</f>
        <v>#REF!</v>
      </c>
      <c r="E94" s="103" t="e">
        <f>+#REF!+C94</f>
        <v>#REF!</v>
      </c>
      <c r="F94" s="104"/>
    </row>
    <row r="95" spans="2:6" ht="15" hidden="1" x14ac:dyDescent="0.2">
      <c r="B95" s="102" t="s">
        <v>37</v>
      </c>
      <c r="C95" s="103"/>
      <c r="D95" s="103" t="e">
        <f>+#REF!-C95</f>
        <v>#REF!</v>
      </c>
      <c r="E95" s="103" t="e">
        <f>+#REF!+C95</f>
        <v>#REF!</v>
      </c>
      <c r="F95" s="105"/>
    </row>
    <row r="96" spans="2:6" ht="15" hidden="1" x14ac:dyDescent="0.2">
      <c r="B96" s="102" t="s">
        <v>8</v>
      </c>
      <c r="C96" s="103"/>
      <c r="D96" s="103"/>
      <c r="E96" s="103"/>
      <c r="F96" s="105"/>
    </row>
    <row r="97" spans="2:6" ht="15.75" hidden="1" thickBot="1" x14ac:dyDescent="0.25">
      <c r="B97" s="107" t="s">
        <v>13</v>
      </c>
      <c r="C97" s="108"/>
      <c r="D97" s="108" t="e">
        <f>+#REF!-C97</f>
        <v>#REF!</v>
      </c>
      <c r="E97" s="108" t="e">
        <f>+#REF!+C97</f>
        <v>#REF!</v>
      </c>
      <c r="F97" s="109"/>
    </row>
    <row r="98" spans="2:6" s="76" customFormat="1" ht="18" hidden="1" x14ac:dyDescent="0.2">
      <c r="B98" s="97" t="s">
        <v>116</v>
      </c>
      <c r="C98" s="153"/>
      <c r="D98" s="154"/>
      <c r="E98" s="154"/>
      <c r="F98" s="154"/>
    </row>
  </sheetData>
  <mergeCells count="43">
    <mergeCell ref="A41:H41"/>
    <mergeCell ref="A16:A24"/>
    <mergeCell ref="B25:H25"/>
    <mergeCell ref="I16:I24"/>
    <mergeCell ref="B27:H27"/>
    <mergeCell ref="A28:A36"/>
    <mergeCell ref="I28:I36"/>
    <mergeCell ref="B16:H16"/>
    <mergeCell ref="B17:H17"/>
    <mergeCell ref="C24:H24"/>
    <mergeCell ref="F18:G18"/>
    <mergeCell ref="B28:H28"/>
    <mergeCell ref="F30:G30"/>
    <mergeCell ref="B29:H29"/>
    <mergeCell ref="C36:H36"/>
    <mergeCell ref="B37:H37"/>
    <mergeCell ref="B1:H1"/>
    <mergeCell ref="A2:A13"/>
    <mergeCell ref="B14:H14"/>
    <mergeCell ref="I2:I13"/>
    <mergeCell ref="B15:H15"/>
    <mergeCell ref="B2:H2"/>
    <mergeCell ref="B3:H3"/>
    <mergeCell ref="F4:G4"/>
    <mergeCell ref="C13:H13"/>
    <mergeCell ref="F45:G45"/>
    <mergeCell ref="C54:F54"/>
    <mergeCell ref="F59:G59"/>
    <mergeCell ref="C67:F67"/>
    <mergeCell ref="B58:H58"/>
    <mergeCell ref="B57:H57"/>
    <mergeCell ref="C98:F98"/>
    <mergeCell ref="B69:F69"/>
    <mergeCell ref="B70:F70"/>
    <mergeCell ref="D71:E71"/>
    <mergeCell ref="C78:F78"/>
    <mergeCell ref="B80:F80"/>
    <mergeCell ref="B81:F81"/>
    <mergeCell ref="D82:E82"/>
    <mergeCell ref="C88:F88"/>
    <mergeCell ref="B90:F90"/>
    <mergeCell ref="B91:F91"/>
    <mergeCell ref="D92:E92"/>
  </mergeCells>
  <pageMargins left="0.70866141732283472" right="0.70866141732283472" top="0.33" bottom="0.42" header="0.31496062992125984" footer="0.31496062992125984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G70"/>
  <sheetViews>
    <sheetView showGridLines="0" rightToLeft="1" zoomScale="80" zoomScaleNormal="80" workbookViewId="0">
      <selection activeCell="L20" sqref="L20"/>
    </sheetView>
  </sheetViews>
  <sheetFormatPr defaultColWidth="8" defaultRowHeight="14.25" x14ac:dyDescent="0.2"/>
  <cols>
    <col min="1" max="1" width="8" style="28"/>
    <col min="2" max="2" width="52.75" style="28" bestFit="1" customWidth="1"/>
    <col min="3" max="3" width="31.375" style="28" bestFit="1" customWidth="1"/>
    <col min="4" max="4" width="30.25" style="28" bestFit="1" customWidth="1"/>
    <col min="5" max="5" width="10.75" style="28" bestFit="1" customWidth="1"/>
    <col min="6" max="6" width="5" style="28" bestFit="1" customWidth="1"/>
    <col min="7" max="7" width="45.375" style="28" customWidth="1"/>
    <col min="8" max="16384" width="8" style="28"/>
  </cols>
  <sheetData>
    <row r="1" spans="2:7" customFormat="1" ht="27.6" customHeight="1" x14ac:dyDescent="0.2"/>
    <row r="2" spans="2:7" customFormat="1" ht="27.6" customHeight="1" thickBot="1" x14ac:dyDescent="0.25"/>
    <row r="3" spans="2:7" s="76" customFormat="1" ht="15" thickBot="1" x14ac:dyDescent="0.25">
      <c r="B3" s="197" t="s">
        <v>120</v>
      </c>
      <c r="C3" s="198"/>
      <c r="D3" s="198"/>
      <c r="E3" s="198"/>
      <c r="F3" s="198"/>
      <c r="G3" s="198"/>
    </row>
    <row r="4" spans="2:7" s="76" customFormat="1" ht="15" thickBot="1" x14ac:dyDescent="0.25">
      <c r="B4" s="197" t="s">
        <v>151</v>
      </c>
      <c r="C4" s="198"/>
      <c r="D4" s="198"/>
      <c r="E4" s="198"/>
      <c r="F4" s="198"/>
      <c r="G4" s="198"/>
    </row>
    <row r="5" spans="2:7" s="76" customFormat="1" ht="15" x14ac:dyDescent="0.2">
      <c r="B5" s="98" t="s">
        <v>0</v>
      </c>
      <c r="C5" s="100" t="s">
        <v>115</v>
      </c>
      <c r="D5" s="99" t="s">
        <v>121</v>
      </c>
      <c r="E5" s="164" t="s">
        <v>122</v>
      </c>
      <c r="F5" s="165"/>
      <c r="G5" s="101" t="s">
        <v>113</v>
      </c>
    </row>
    <row r="6" spans="2:7" ht="30" x14ac:dyDescent="0.2">
      <c r="B6" s="102" t="s">
        <v>29</v>
      </c>
      <c r="C6" s="103">
        <v>0.18</v>
      </c>
      <c r="D6" s="103">
        <v>0.06</v>
      </c>
      <c r="E6" s="103">
        <f>+C6-D6</f>
        <v>0.12</v>
      </c>
      <c r="F6" s="103">
        <f t="shared" ref="F6:F11" si="0">+C6+D6</f>
        <v>0.24</v>
      </c>
      <c r="G6" s="104" t="s">
        <v>84</v>
      </c>
    </row>
    <row r="7" spans="2:7" ht="30" x14ac:dyDescent="0.2">
      <c r="B7" s="102" t="s">
        <v>41</v>
      </c>
      <c r="C7" s="103">
        <v>7.0000000000000007E-2</v>
      </c>
      <c r="D7" s="103">
        <v>0.05</v>
      </c>
      <c r="E7" s="103">
        <f>+C7-D7</f>
        <v>2.0000000000000004E-2</v>
      </c>
      <c r="F7" s="103">
        <f t="shared" si="0"/>
        <v>0.12000000000000001</v>
      </c>
      <c r="G7" s="104" t="s">
        <v>3</v>
      </c>
    </row>
    <row r="8" spans="2:7" ht="15" x14ac:dyDescent="0.2">
      <c r="B8" s="102" t="s">
        <v>104</v>
      </c>
      <c r="C8" s="103">
        <v>0.27</v>
      </c>
      <c r="D8" s="103">
        <v>0.05</v>
      </c>
      <c r="E8" s="103">
        <f>+C8-D8</f>
        <v>0.22000000000000003</v>
      </c>
      <c r="F8" s="103">
        <f t="shared" si="0"/>
        <v>0.32</v>
      </c>
      <c r="G8" s="105"/>
    </row>
    <row r="9" spans="2:7" ht="45" x14ac:dyDescent="0.2">
      <c r="B9" s="102" t="s">
        <v>70</v>
      </c>
      <c r="C9" s="103">
        <v>0.44</v>
      </c>
      <c r="D9" s="103">
        <v>0.06</v>
      </c>
      <c r="E9" s="103">
        <f>+C9-D9</f>
        <v>0.38</v>
      </c>
      <c r="F9" s="103">
        <f t="shared" si="0"/>
        <v>0.5</v>
      </c>
      <c r="G9" s="106" t="s">
        <v>71</v>
      </c>
    </row>
    <row r="10" spans="2:7" ht="15" x14ac:dyDescent="0.2">
      <c r="B10" s="102" t="s">
        <v>123</v>
      </c>
      <c r="C10" s="103">
        <v>0.02</v>
      </c>
      <c r="D10" s="103">
        <v>0.05</v>
      </c>
      <c r="E10" s="103">
        <v>0</v>
      </c>
      <c r="F10" s="103">
        <f t="shared" si="0"/>
        <v>7.0000000000000007E-2</v>
      </c>
      <c r="G10" s="105"/>
    </row>
    <row r="11" spans="2:7" ht="15" x14ac:dyDescent="0.2">
      <c r="B11" s="102" t="s">
        <v>37</v>
      </c>
      <c r="C11" s="103">
        <v>0.02</v>
      </c>
      <c r="D11" s="103"/>
      <c r="E11" s="103">
        <f>+C11-D11</f>
        <v>0.02</v>
      </c>
      <c r="F11" s="103">
        <f t="shared" si="0"/>
        <v>0.02</v>
      </c>
      <c r="G11" s="105"/>
    </row>
    <row r="12" spans="2:7" ht="15" x14ac:dyDescent="0.2">
      <c r="B12" s="102" t="s">
        <v>8</v>
      </c>
      <c r="C12" s="103">
        <f>SUM(C6:C11)</f>
        <v>1</v>
      </c>
      <c r="D12" s="103"/>
      <c r="E12" s="103"/>
      <c r="F12" s="103"/>
      <c r="G12" s="105"/>
    </row>
    <row r="13" spans="2:7" s="76" customFormat="1" ht="15.75" thickBot="1" x14ac:dyDescent="0.25">
      <c r="B13" s="107" t="s">
        <v>13</v>
      </c>
      <c r="C13" s="108">
        <v>0.1</v>
      </c>
      <c r="D13" s="108"/>
      <c r="E13" s="108"/>
      <c r="F13" s="108"/>
      <c r="G13" s="109"/>
    </row>
    <row r="14" spans="2:7" s="76" customFormat="1" ht="18" x14ac:dyDescent="0.2">
      <c r="B14" s="97" t="s">
        <v>116</v>
      </c>
      <c r="C14" s="110">
        <v>1E-3</v>
      </c>
      <c r="D14" s="153"/>
      <c r="E14" s="154"/>
      <c r="F14" s="154"/>
      <c r="G14" s="154"/>
    </row>
    <row r="15" spans="2:7" ht="15" thickBot="1" x14ac:dyDescent="0.25">
      <c r="B15"/>
      <c r="C15"/>
      <c r="D15"/>
      <c r="E15"/>
      <c r="F15"/>
      <c r="G15"/>
    </row>
    <row r="16" spans="2:7" ht="15" thickBot="1" x14ac:dyDescent="0.25">
      <c r="B16" s="197" t="s">
        <v>124</v>
      </c>
      <c r="C16" s="198"/>
      <c r="D16" s="198"/>
      <c r="E16" s="198"/>
      <c r="F16" s="198"/>
      <c r="G16" s="198"/>
    </row>
    <row r="17" spans="2:7" ht="15" thickBot="1" x14ac:dyDescent="0.25">
      <c r="B17" s="197" t="s">
        <v>150</v>
      </c>
      <c r="C17" s="198"/>
      <c r="D17" s="198"/>
      <c r="E17" s="198"/>
      <c r="F17" s="198"/>
      <c r="G17" s="198"/>
    </row>
    <row r="18" spans="2:7" ht="15" x14ac:dyDescent="0.2">
      <c r="B18" s="98" t="s">
        <v>0</v>
      </c>
      <c r="C18" s="100" t="s">
        <v>115</v>
      </c>
      <c r="D18" s="99" t="s">
        <v>121</v>
      </c>
      <c r="E18" s="164" t="s">
        <v>122</v>
      </c>
      <c r="F18" s="165"/>
      <c r="G18" s="101" t="s">
        <v>113</v>
      </c>
    </row>
    <row r="19" spans="2:7" ht="30" x14ac:dyDescent="0.2">
      <c r="B19" s="102" t="s">
        <v>29</v>
      </c>
      <c r="C19" s="103">
        <v>0.01</v>
      </c>
      <c r="D19" s="103">
        <v>0.06</v>
      </c>
      <c r="E19" s="103">
        <v>0</v>
      </c>
      <c r="F19" s="103">
        <f>+C19+D19</f>
        <v>6.9999999999999993E-2</v>
      </c>
      <c r="G19" s="104" t="s">
        <v>84</v>
      </c>
    </row>
    <row r="20" spans="2:7" ht="30" x14ac:dyDescent="0.2">
      <c r="B20" s="102" t="s">
        <v>41</v>
      </c>
      <c r="C20" s="103">
        <v>0.09</v>
      </c>
      <c r="D20" s="103">
        <v>0.05</v>
      </c>
      <c r="E20" s="103">
        <f>+C20-D20</f>
        <v>3.9999999999999994E-2</v>
      </c>
      <c r="F20" s="103">
        <f>+C20+D20</f>
        <v>0.14000000000000001</v>
      </c>
      <c r="G20" s="104" t="s">
        <v>3</v>
      </c>
    </row>
    <row r="21" spans="2:7" s="76" customFormat="1" ht="15" x14ac:dyDescent="0.2">
      <c r="B21" s="102" t="s">
        <v>104</v>
      </c>
      <c r="C21" s="103">
        <v>0.27</v>
      </c>
      <c r="D21" s="103">
        <v>0.05</v>
      </c>
      <c r="E21" s="103">
        <f>+C21-D21</f>
        <v>0.22000000000000003</v>
      </c>
      <c r="F21" s="103">
        <f>+C21+D21</f>
        <v>0.32</v>
      </c>
      <c r="G21" s="105"/>
    </row>
    <row r="22" spans="2:7" ht="45" x14ac:dyDescent="0.2">
      <c r="B22" s="102" t="s">
        <v>70</v>
      </c>
      <c r="C22" s="103">
        <v>0.55000000000000004</v>
      </c>
      <c r="D22" s="103">
        <v>0.06</v>
      </c>
      <c r="E22" s="103">
        <f>+C22-D22</f>
        <v>0.49000000000000005</v>
      </c>
      <c r="F22" s="103">
        <f>+C22+D22</f>
        <v>0.6100000000000001</v>
      </c>
      <c r="G22" s="106" t="s">
        <v>71</v>
      </c>
    </row>
    <row r="23" spans="2:7" ht="15" x14ac:dyDescent="0.2">
      <c r="B23" s="102" t="s">
        <v>123</v>
      </c>
      <c r="C23" s="103">
        <v>0.03</v>
      </c>
      <c r="D23" s="103">
        <v>0.05</v>
      </c>
      <c r="E23" s="103">
        <v>0</v>
      </c>
      <c r="F23" s="103">
        <f>+C23+D23</f>
        <v>0.08</v>
      </c>
      <c r="G23" s="105"/>
    </row>
    <row r="24" spans="2:7" ht="15" x14ac:dyDescent="0.2">
      <c r="B24" s="102" t="s">
        <v>37</v>
      </c>
      <c r="C24" s="103">
        <v>0.05</v>
      </c>
      <c r="D24" s="103"/>
      <c r="E24" s="103"/>
      <c r="F24" s="103"/>
      <c r="G24" s="105"/>
    </row>
    <row r="25" spans="2:7" ht="15" x14ac:dyDescent="0.2">
      <c r="B25" s="102" t="s">
        <v>8</v>
      </c>
      <c r="C25" s="103">
        <f>SUM(C19:C24)</f>
        <v>1</v>
      </c>
      <c r="D25" s="103"/>
      <c r="E25" s="103"/>
      <c r="F25" s="103"/>
      <c r="G25" s="105"/>
    </row>
    <row r="26" spans="2:7" ht="15.75" thickBot="1" x14ac:dyDescent="0.25">
      <c r="B26" s="107" t="s">
        <v>13</v>
      </c>
      <c r="C26" s="108">
        <v>0.09</v>
      </c>
      <c r="D26" s="108"/>
      <c r="E26" s="108"/>
      <c r="F26" s="108"/>
      <c r="G26" s="109"/>
    </row>
    <row r="27" spans="2:7" s="76" customFormat="1" ht="18" x14ac:dyDescent="0.2">
      <c r="B27" s="97" t="s">
        <v>116</v>
      </c>
      <c r="C27" s="110">
        <v>5.0000000000000001E-4</v>
      </c>
      <c r="D27" s="153"/>
      <c r="E27" s="154"/>
      <c r="F27" s="154"/>
      <c r="G27" s="154"/>
    </row>
    <row r="28" spans="2:7" ht="15" thickBot="1" x14ac:dyDescent="0.25">
      <c r="B28"/>
      <c r="C28"/>
      <c r="D28"/>
      <c r="E28"/>
      <c r="F28"/>
      <c r="G28"/>
    </row>
    <row r="29" spans="2:7" ht="15" thickBot="1" x14ac:dyDescent="0.25">
      <c r="B29" s="197" t="s">
        <v>125</v>
      </c>
      <c r="C29" s="198"/>
      <c r="D29" s="198"/>
      <c r="E29" s="198"/>
      <c r="F29" s="198"/>
      <c r="G29" s="198"/>
    </row>
    <row r="30" spans="2:7" s="76" customFormat="1" ht="15" thickBot="1" x14ac:dyDescent="0.25">
      <c r="B30" s="197" t="s">
        <v>152</v>
      </c>
      <c r="C30" s="198"/>
      <c r="D30" s="198"/>
      <c r="E30" s="198"/>
      <c r="F30" s="198"/>
      <c r="G30" s="198"/>
    </row>
    <row r="31" spans="2:7" ht="15" x14ac:dyDescent="0.2">
      <c r="B31" s="98" t="s">
        <v>0</v>
      </c>
      <c r="C31" s="100" t="s">
        <v>115</v>
      </c>
      <c r="D31" s="99" t="s">
        <v>121</v>
      </c>
      <c r="E31" s="164" t="s">
        <v>122</v>
      </c>
      <c r="F31" s="165"/>
      <c r="G31" s="101" t="s">
        <v>113</v>
      </c>
    </row>
    <row r="32" spans="2:7" s="76" customFormat="1" ht="30" x14ac:dyDescent="0.2">
      <c r="B32" s="102" t="s">
        <v>29</v>
      </c>
      <c r="C32" s="103">
        <v>0.68</v>
      </c>
      <c r="D32" s="103">
        <v>0.06</v>
      </c>
      <c r="E32" s="103">
        <f>+C32-D32</f>
        <v>0.62000000000000011</v>
      </c>
      <c r="F32" s="103">
        <f>+C32+D32</f>
        <v>0.74</v>
      </c>
      <c r="G32" s="104" t="s">
        <v>84</v>
      </c>
    </row>
    <row r="33" spans="2:7" ht="30" x14ac:dyDescent="0.2">
      <c r="B33" s="102" t="s">
        <v>41</v>
      </c>
      <c r="C33" s="103">
        <v>0.02</v>
      </c>
      <c r="D33" s="103">
        <v>0.05</v>
      </c>
      <c r="E33" s="103">
        <v>0</v>
      </c>
      <c r="F33" s="103">
        <f>+C33+D33</f>
        <v>7.0000000000000007E-2</v>
      </c>
      <c r="G33" s="104" t="s">
        <v>3</v>
      </c>
    </row>
    <row r="34" spans="2:7" ht="15" x14ac:dyDescent="0.2">
      <c r="B34" s="102" t="s">
        <v>104</v>
      </c>
      <c r="C34" s="103">
        <v>0.27</v>
      </c>
      <c r="D34" s="103">
        <v>0.05</v>
      </c>
      <c r="E34" s="103">
        <f>+C34-D34</f>
        <v>0.22000000000000003</v>
      </c>
      <c r="F34" s="103">
        <f>+C34+D34</f>
        <v>0.32</v>
      </c>
      <c r="G34" s="105"/>
    </row>
    <row r="35" spans="2:7" ht="15" x14ac:dyDescent="0.2">
      <c r="B35" s="102" t="s">
        <v>123</v>
      </c>
      <c r="C35" s="103">
        <v>0.01</v>
      </c>
      <c r="D35" s="103">
        <v>0.05</v>
      </c>
      <c r="E35" s="103">
        <v>0</v>
      </c>
      <c r="F35" s="103">
        <f>+C35+D35</f>
        <v>6.0000000000000005E-2</v>
      </c>
      <c r="G35" s="105"/>
    </row>
    <row r="36" spans="2:7" ht="15" x14ac:dyDescent="0.2">
      <c r="B36" s="102" t="s">
        <v>37</v>
      </c>
      <c r="C36" s="103">
        <v>0.02</v>
      </c>
      <c r="D36" s="103"/>
      <c r="E36" s="103"/>
      <c r="F36" s="103"/>
      <c r="G36" s="105"/>
    </row>
    <row r="37" spans="2:7" ht="15" x14ac:dyDescent="0.2">
      <c r="B37" s="102" t="s">
        <v>8</v>
      </c>
      <c r="C37" s="103">
        <f>SUM(C32:C36)</f>
        <v>1</v>
      </c>
      <c r="D37" s="103"/>
      <c r="E37" s="103"/>
      <c r="F37" s="103"/>
      <c r="G37" s="105"/>
    </row>
    <row r="38" spans="2:7" s="76" customFormat="1" ht="15.75" thickBot="1" x14ac:dyDescent="0.25">
      <c r="B38" s="107" t="s">
        <v>13</v>
      </c>
      <c r="C38" s="108">
        <v>0.2</v>
      </c>
      <c r="D38" s="108"/>
      <c r="E38" s="108"/>
      <c r="F38" s="108"/>
      <c r="G38" s="109"/>
    </row>
    <row r="39" spans="2:7" s="76" customFormat="1" ht="18" x14ac:dyDescent="0.2">
      <c r="B39" s="97" t="s">
        <v>116</v>
      </c>
      <c r="C39" s="110">
        <v>1.5E-3</v>
      </c>
      <c r="D39" s="153"/>
      <c r="E39" s="154"/>
      <c r="F39" s="154"/>
      <c r="G39" s="154"/>
    </row>
    <row r="40" spans="2:7" x14ac:dyDescent="0.2">
      <c r="B40"/>
      <c r="C40"/>
      <c r="D40"/>
      <c r="E40"/>
      <c r="F40"/>
      <c r="G40"/>
    </row>
    <row r="41" spans="2:7" hidden="1" x14ac:dyDescent="0.2">
      <c r="B41" s="197" t="s">
        <v>126</v>
      </c>
      <c r="C41" s="198"/>
      <c r="D41" s="198"/>
      <c r="E41" s="198"/>
      <c r="F41" s="198"/>
      <c r="G41" s="198"/>
    </row>
    <row r="42" spans="2:7" ht="18.75" hidden="1" thickBot="1" x14ac:dyDescent="0.25">
      <c r="B42" s="199"/>
      <c r="C42" s="200"/>
      <c r="D42" s="200"/>
      <c r="E42" s="200"/>
      <c r="F42" s="200"/>
      <c r="G42" s="200"/>
    </row>
    <row r="43" spans="2:7" ht="15" hidden="1" x14ac:dyDescent="0.2">
      <c r="B43" s="98" t="s">
        <v>0</v>
      </c>
      <c r="C43" s="100" t="s">
        <v>115</v>
      </c>
      <c r="D43" s="99" t="s">
        <v>121</v>
      </c>
      <c r="E43" s="164" t="s">
        <v>122</v>
      </c>
      <c r="F43" s="165"/>
      <c r="G43" s="101" t="s">
        <v>113</v>
      </c>
    </row>
    <row r="44" spans="2:7" ht="30" hidden="1" x14ac:dyDescent="0.2">
      <c r="B44" s="102" t="s">
        <v>41</v>
      </c>
      <c r="C44" s="103">
        <v>0.55000000000000004</v>
      </c>
      <c r="D44" s="103">
        <v>0.05</v>
      </c>
      <c r="E44" s="103">
        <f>+C44-D44</f>
        <v>0.5</v>
      </c>
      <c r="F44" s="103">
        <f>+C44+D44</f>
        <v>0.60000000000000009</v>
      </c>
      <c r="G44" s="104" t="s">
        <v>3</v>
      </c>
    </row>
    <row r="45" spans="2:7" ht="15" hidden="1" x14ac:dyDescent="0.2">
      <c r="B45" s="102" t="s">
        <v>104</v>
      </c>
      <c r="C45" s="103">
        <v>0.27</v>
      </c>
      <c r="D45" s="103">
        <v>0.05</v>
      </c>
      <c r="E45" s="103">
        <f>+C45-D45</f>
        <v>0.22000000000000003</v>
      </c>
      <c r="F45" s="103">
        <f>+C45+D45</f>
        <v>0.32</v>
      </c>
      <c r="G45" s="105"/>
    </row>
    <row r="46" spans="2:7" ht="45" hidden="1" x14ac:dyDescent="0.2">
      <c r="B46" s="102" t="s">
        <v>70</v>
      </c>
      <c r="C46" s="103">
        <v>0.16</v>
      </c>
      <c r="D46" s="103">
        <v>0.06</v>
      </c>
      <c r="E46" s="103">
        <f>+C46-D46</f>
        <v>0.1</v>
      </c>
      <c r="F46" s="103">
        <f>+C46+D46</f>
        <v>0.22</v>
      </c>
      <c r="G46" s="106" t="s">
        <v>71</v>
      </c>
    </row>
    <row r="47" spans="2:7" ht="15" hidden="1" x14ac:dyDescent="0.2">
      <c r="B47" s="102" t="s">
        <v>37</v>
      </c>
      <c r="C47" s="103">
        <v>0.02</v>
      </c>
      <c r="D47" s="103"/>
      <c r="E47" s="103"/>
      <c r="F47" s="103"/>
      <c r="G47" s="105"/>
    </row>
    <row r="48" spans="2:7" ht="15" hidden="1" x14ac:dyDescent="0.2">
      <c r="B48" s="102" t="s">
        <v>8</v>
      </c>
      <c r="C48" s="103">
        <f>SUM(C44:C47)</f>
        <v>1</v>
      </c>
      <c r="D48" s="103"/>
      <c r="E48" s="103"/>
      <c r="F48" s="103"/>
      <c r="G48" s="105"/>
    </row>
    <row r="49" spans="2:7" ht="15.75" hidden="1" thickBot="1" x14ac:dyDescent="0.25">
      <c r="B49" s="107" t="s">
        <v>13</v>
      </c>
      <c r="C49" s="108">
        <v>0</v>
      </c>
      <c r="D49" s="108"/>
      <c r="E49" s="108"/>
      <c r="F49" s="108"/>
      <c r="G49" s="109"/>
    </row>
    <row r="50" spans="2:7" s="76" customFormat="1" ht="18" hidden="1" x14ac:dyDescent="0.2">
      <c r="B50" s="97" t="s">
        <v>116</v>
      </c>
      <c r="C50" s="110">
        <v>5.0000000000000001E-4</v>
      </c>
      <c r="D50" s="153"/>
      <c r="E50" s="154"/>
      <c r="F50" s="154"/>
      <c r="G50" s="154"/>
    </row>
    <row r="52" spans="2:7" hidden="1" x14ac:dyDescent="0.2">
      <c r="B52" s="197" t="s">
        <v>127</v>
      </c>
      <c r="C52" s="198"/>
      <c r="D52" s="198"/>
      <c r="E52" s="198"/>
      <c r="F52" s="198"/>
      <c r="G52" s="198"/>
    </row>
    <row r="53" spans="2:7" ht="18.75" hidden="1" thickBot="1" x14ac:dyDescent="0.25">
      <c r="B53" s="199"/>
      <c r="C53" s="200"/>
      <c r="D53" s="200"/>
      <c r="E53" s="200"/>
      <c r="F53" s="200"/>
      <c r="G53" s="200"/>
    </row>
    <row r="54" spans="2:7" ht="15" hidden="1" x14ac:dyDescent="0.2">
      <c r="B54" s="98" t="s">
        <v>0</v>
      </c>
      <c r="C54" s="100" t="s">
        <v>115</v>
      </c>
      <c r="D54" s="99" t="s">
        <v>121</v>
      </c>
      <c r="E54" s="164" t="s">
        <v>122</v>
      </c>
      <c r="F54" s="165"/>
      <c r="G54" s="101" t="s">
        <v>113</v>
      </c>
    </row>
    <row r="55" spans="2:7" ht="15" hidden="1" x14ac:dyDescent="0.2">
      <c r="B55" s="102" t="s">
        <v>128</v>
      </c>
      <c r="C55" s="103">
        <v>0.27</v>
      </c>
      <c r="D55" s="103">
        <v>0.05</v>
      </c>
      <c r="E55" s="103">
        <f>+C55-D55</f>
        <v>0.22000000000000003</v>
      </c>
      <c r="F55" s="103">
        <f>+C55+D55</f>
        <v>0.32</v>
      </c>
      <c r="G55" s="104" t="s">
        <v>3</v>
      </c>
    </row>
    <row r="56" spans="2:7" ht="30" hidden="1" x14ac:dyDescent="0.2">
      <c r="B56" s="102" t="s">
        <v>70</v>
      </c>
      <c r="C56" s="103">
        <v>0.7</v>
      </c>
      <c r="D56" s="103">
        <v>0.06</v>
      </c>
      <c r="E56" s="103">
        <f>+C56-D56</f>
        <v>0.6399999999999999</v>
      </c>
      <c r="F56" s="103">
        <f>+C56+D56</f>
        <v>0.76</v>
      </c>
      <c r="G56" s="106" t="s">
        <v>129</v>
      </c>
    </row>
    <row r="57" spans="2:7" ht="15" hidden="1" x14ac:dyDescent="0.2">
      <c r="B57" s="102" t="s">
        <v>37</v>
      </c>
      <c r="C57" s="103">
        <v>0.02</v>
      </c>
      <c r="D57" s="103"/>
      <c r="E57" s="103">
        <f>+C57-D57</f>
        <v>0.02</v>
      </c>
      <c r="F57" s="103">
        <f>+C57+D57</f>
        <v>0.02</v>
      </c>
      <c r="G57" s="105"/>
    </row>
    <row r="58" spans="2:7" ht="15" hidden="1" x14ac:dyDescent="0.2">
      <c r="B58" s="102" t="s">
        <v>8</v>
      </c>
      <c r="C58" s="103">
        <f>SUM(C55:C57)</f>
        <v>0.99</v>
      </c>
      <c r="D58" s="103"/>
      <c r="E58" s="103"/>
      <c r="F58" s="103"/>
      <c r="G58" s="105"/>
    </row>
    <row r="59" spans="2:7" ht="15.75" hidden="1" thickBot="1" x14ac:dyDescent="0.25">
      <c r="B59" s="107" t="s">
        <v>13</v>
      </c>
      <c r="C59" s="108">
        <v>0.96</v>
      </c>
      <c r="D59" s="108"/>
      <c r="E59" s="108">
        <v>0.9</v>
      </c>
      <c r="F59" s="108">
        <v>1.02</v>
      </c>
      <c r="G59" s="109"/>
    </row>
    <row r="60" spans="2:7" s="76" customFormat="1" ht="18" hidden="1" x14ac:dyDescent="0.2">
      <c r="B60" s="97" t="s">
        <v>116</v>
      </c>
      <c r="C60" s="110">
        <v>3.0000000000000001E-3</v>
      </c>
      <c r="D60" s="153"/>
      <c r="E60" s="154"/>
      <c r="F60" s="154"/>
      <c r="G60" s="154"/>
    </row>
    <row r="61" spans="2:7" ht="15" hidden="1" thickBot="1" x14ac:dyDescent="0.25">
      <c r="B61"/>
      <c r="C61"/>
      <c r="D61"/>
      <c r="E61"/>
      <c r="F61"/>
      <c r="G61"/>
    </row>
    <row r="62" spans="2:7" hidden="1" x14ac:dyDescent="0.2">
      <c r="B62" s="197" t="s">
        <v>130</v>
      </c>
      <c r="C62" s="198"/>
      <c r="D62" s="198"/>
      <c r="E62" s="198"/>
      <c r="F62" s="198"/>
      <c r="G62" s="198"/>
    </row>
    <row r="63" spans="2:7" ht="18.75" hidden="1" thickBot="1" x14ac:dyDescent="0.25">
      <c r="B63" s="199"/>
      <c r="C63" s="200"/>
      <c r="D63" s="200"/>
      <c r="E63" s="200"/>
      <c r="F63" s="200"/>
      <c r="G63" s="200"/>
    </row>
    <row r="64" spans="2:7" ht="15" hidden="1" x14ac:dyDescent="0.2">
      <c r="B64" s="98" t="s">
        <v>0</v>
      </c>
      <c r="C64" s="100" t="s">
        <v>115</v>
      </c>
      <c r="D64" s="99" t="s">
        <v>121</v>
      </c>
      <c r="E64" s="164" t="s">
        <v>122</v>
      </c>
      <c r="F64" s="165"/>
      <c r="G64" s="101" t="s">
        <v>113</v>
      </c>
    </row>
    <row r="65" spans="2:7" ht="15" hidden="1" x14ac:dyDescent="0.2">
      <c r="B65" s="102" t="s">
        <v>29</v>
      </c>
      <c r="C65" s="103">
        <v>0.7</v>
      </c>
      <c r="D65" s="103">
        <v>0.06</v>
      </c>
      <c r="E65" s="103">
        <f>+C65-D65</f>
        <v>0.6399999999999999</v>
      </c>
      <c r="F65" s="103">
        <f>+C65+D65</f>
        <v>0.76</v>
      </c>
      <c r="G65" s="104" t="s">
        <v>131</v>
      </c>
    </row>
    <row r="66" spans="2:7" ht="15" hidden="1" x14ac:dyDescent="0.2">
      <c r="B66" s="102" t="s">
        <v>128</v>
      </c>
      <c r="C66" s="103">
        <v>0.27</v>
      </c>
      <c r="D66" s="103">
        <v>0.05</v>
      </c>
      <c r="E66" s="103">
        <f>+C66-D66</f>
        <v>0.22000000000000003</v>
      </c>
      <c r="F66" s="103">
        <f>+C66+D66</f>
        <v>0.32</v>
      </c>
      <c r="G66" s="104"/>
    </row>
    <row r="67" spans="2:7" ht="15" hidden="1" x14ac:dyDescent="0.2">
      <c r="B67" s="102" t="s">
        <v>37</v>
      </c>
      <c r="C67" s="103">
        <v>0.03</v>
      </c>
      <c r="D67" s="103"/>
      <c r="E67" s="103">
        <f>+C67-D67</f>
        <v>0.03</v>
      </c>
      <c r="F67" s="103">
        <f>+C67+D67</f>
        <v>0.03</v>
      </c>
      <c r="G67" s="105"/>
    </row>
    <row r="68" spans="2:7" ht="15" hidden="1" x14ac:dyDescent="0.2">
      <c r="B68" s="102" t="s">
        <v>8</v>
      </c>
      <c r="C68" s="103">
        <f>SUM(C65:C67)</f>
        <v>1</v>
      </c>
      <c r="D68" s="103"/>
      <c r="E68" s="103"/>
      <c r="F68" s="103"/>
      <c r="G68" s="105"/>
    </row>
    <row r="69" spans="2:7" ht="15.75" hidden="1" thickBot="1" x14ac:dyDescent="0.25">
      <c r="B69" s="107" t="s">
        <v>13</v>
      </c>
      <c r="C69" s="108"/>
      <c r="D69" s="108"/>
      <c r="E69" s="108">
        <f>+C69-D69</f>
        <v>0</v>
      </c>
      <c r="F69" s="108">
        <f>+C69+D69</f>
        <v>0</v>
      </c>
      <c r="G69" s="109"/>
    </row>
    <row r="70" spans="2:7" s="76" customFormat="1" ht="18" hidden="1" x14ac:dyDescent="0.2">
      <c r="B70" s="97" t="s">
        <v>116</v>
      </c>
      <c r="C70" s="110">
        <v>5.0000000000000001E-4</v>
      </c>
      <c r="D70" s="153"/>
      <c r="E70" s="154"/>
      <c r="F70" s="154"/>
      <c r="G70" s="154"/>
    </row>
  </sheetData>
  <mergeCells count="24">
    <mergeCell ref="E18:F18"/>
    <mergeCell ref="B29:G29"/>
    <mergeCell ref="D14:G14"/>
    <mergeCell ref="D27:G27"/>
    <mergeCell ref="B53:G53"/>
    <mergeCell ref="B30:G30"/>
    <mergeCell ref="E31:F31"/>
    <mergeCell ref="B41:G41"/>
    <mergeCell ref="B42:G42"/>
    <mergeCell ref="E43:F43"/>
    <mergeCell ref="D39:G39"/>
    <mergeCell ref="D50:G50"/>
    <mergeCell ref="B3:G3"/>
    <mergeCell ref="B4:G4"/>
    <mergeCell ref="E5:F5"/>
    <mergeCell ref="B16:G16"/>
    <mergeCell ref="B17:G17"/>
    <mergeCell ref="D60:G60"/>
    <mergeCell ref="D70:G70"/>
    <mergeCell ref="B52:G52"/>
    <mergeCell ref="E54:F54"/>
    <mergeCell ref="B62:G62"/>
    <mergeCell ref="B63:G63"/>
    <mergeCell ref="E64:F64"/>
  </mergeCells>
  <pageMargins left="0.70866141732283472" right="0.70866141732283472" top="0.33" bottom="0.42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43"/>
  <sheetViews>
    <sheetView showGridLines="0" rightToLeft="1" topLeftCell="A27" zoomScaleNormal="100" zoomScaleSheetLayoutView="100" workbookViewId="0">
      <selection activeCell="A29" sqref="A29:A39"/>
    </sheetView>
  </sheetViews>
  <sheetFormatPr defaultColWidth="8.875" defaultRowHeight="14.25" x14ac:dyDescent="0.2"/>
  <cols>
    <col min="1" max="1" width="11.25" customWidth="1"/>
    <col min="2" max="2" width="36" customWidth="1"/>
    <col min="3" max="3" width="12.125" customWidth="1"/>
    <col min="4" max="4" width="11.375" bestFit="1" customWidth="1"/>
    <col min="5" max="5" width="11.125" customWidth="1"/>
    <col min="6" max="6" width="13.5" customWidth="1"/>
    <col min="7" max="7" width="12" customWidth="1"/>
    <col min="8" max="8" width="32.625" bestFit="1" customWidth="1"/>
  </cols>
  <sheetData>
    <row r="1" spans="1:9" ht="30" customHeight="1" thickBot="1" x14ac:dyDescent="0.25">
      <c r="B1" s="148" t="s">
        <v>114</v>
      </c>
      <c r="C1" s="148"/>
      <c r="D1" s="148"/>
      <c r="E1" s="148"/>
      <c r="F1" s="148"/>
    </row>
    <row r="2" spans="1:9" ht="30" customHeight="1" thickTop="1" x14ac:dyDescent="0.2">
      <c r="B2" s="134" t="s">
        <v>100</v>
      </c>
      <c r="C2" s="134"/>
      <c r="D2" s="134"/>
      <c r="E2" s="134"/>
      <c r="F2" s="134"/>
      <c r="G2" s="134"/>
      <c r="H2" s="134"/>
    </row>
    <row r="3" spans="1:9" ht="18" x14ac:dyDescent="0.2">
      <c r="A3" s="145" t="s">
        <v>222</v>
      </c>
      <c r="B3" s="137" t="s">
        <v>75</v>
      </c>
      <c r="C3" s="138"/>
      <c r="D3" s="138"/>
      <c r="E3" s="138"/>
      <c r="F3" s="138"/>
      <c r="G3" s="138"/>
      <c r="H3" s="209"/>
      <c r="I3" s="146" t="s">
        <v>223</v>
      </c>
    </row>
    <row r="4" spans="1:9" ht="18.75" thickBot="1" x14ac:dyDescent="0.25">
      <c r="A4" s="145"/>
      <c r="B4" s="137" t="s">
        <v>158</v>
      </c>
      <c r="C4" s="138"/>
      <c r="D4" s="138"/>
      <c r="E4" s="138"/>
      <c r="F4" s="138"/>
      <c r="G4" s="138"/>
      <c r="H4" s="138"/>
      <c r="I4" s="146"/>
    </row>
    <row r="5" spans="1:9" ht="60" x14ac:dyDescent="0.2">
      <c r="A5" s="145"/>
      <c r="B5" s="9" t="s">
        <v>0</v>
      </c>
      <c r="C5" s="15" t="s">
        <v>215</v>
      </c>
      <c r="D5" s="114" t="s">
        <v>216</v>
      </c>
      <c r="E5" s="9" t="s">
        <v>40</v>
      </c>
      <c r="F5" s="135" t="s">
        <v>10</v>
      </c>
      <c r="G5" s="136"/>
      <c r="H5" s="9" t="s">
        <v>73</v>
      </c>
      <c r="I5" s="146"/>
    </row>
    <row r="6" spans="1:9" ht="27.6" customHeight="1" x14ac:dyDescent="0.2">
      <c r="A6" s="145"/>
      <c r="B6" s="16" t="s">
        <v>42</v>
      </c>
      <c r="C6" s="17">
        <v>0.51</v>
      </c>
      <c r="D6" s="17">
        <v>0.52</v>
      </c>
      <c r="E6" s="19">
        <v>0.06</v>
      </c>
      <c r="F6" s="19">
        <f>IF(C6-E6&gt;0,C6-E6,0)</f>
        <v>0.45</v>
      </c>
      <c r="G6" s="19">
        <f>C6+E6</f>
        <v>0.57000000000000006</v>
      </c>
      <c r="H6" s="104" t="s">
        <v>84</v>
      </c>
      <c r="I6" s="146"/>
    </row>
    <row r="7" spans="1:9" ht="27.6" customHeight="1" x14ac:dyDescent="0.2">
      <c r="A7" s="145"/>
      <c r="B7" s="16" t="s">
        <v>39</v>
      </c>
      <c r="C7" s="17">
        <v>0.15</v>
      </c>
      <c r="D7" s="17">
        <v>0.14000000000000001</v>
      </c>
      <c r="E7" s="19">
        <v>0.05</v>
      </c>
      <c r="F7" s="19">
        <f t="shared" ref="F7:F9" si="0">IF(C7-E7&gt;0,C7-E7,0)</f>
        <v>9.9999999999999992E-2</v>
      </c>
      <c r="G7" s="19">
        <f t="shared" ref="G7:G9" si="1">C7+E7</f>
        <v>0.2</v>
      </c>
      <c r="H7" s="20" t="s">
        <v>3</v>
      </c>
      <c r="I7" s="146"/>
    </row>
    <row r="8" spans="1:9" ht="60" customHeight="1" x14ac:dyDescent="0.2">
      <c r="A8" s="145"/>
      <c r="B8" s="16" t="s">
        <v>70</v>
      </c>
      <c r="C8" s="17">
        <v>0.28000000000000003</v>
      </c>
      <c r="D8" s="17">
        <v>0.28999999999999998</v>
      </c>
      <c r="E8" s="19">
        <v>0.06</v>
      </c>
      <c r="F8" s="19">
        <f t="shared" si="0"/>
        <v>0.22000000000000003</v>
      </c>
      <c r="G8" s="19">
        <f t="shared" si="1"/>
        <v>0.34</v>
      </c>
      <c r="H8" s="20" t="s">
        <v>74</v>
      </c>
      <c r="I8" s="146"/>
    </row>
    <row r="9" spans="1:9" ht="26.25" customHeight="1" x14ac:dyDescent="0.2">
      <c r="A9" s="145"/>
      <c r="B9" s="16" t="s">
        <v>78</v>
      </c>
      <c r="C9" s="17">
        <v>0.05</v>
      </c>
      <c r="D9" s="17">
        <v>0.02</v>
      </c>
      <c r="E9" s="19">
        <v>0.05</v>
      </c>
      <c r="F9" s="19">
        <f t="shared" si="0"/>
        <v>0</v>
      </c>
      <c r="G9" s="19">
        <f t="shared" si="1"/>
        <v>0.1</v>
      </c>
      <c r="H9" s="20"/>
      <c r="I9" s="146"/>
    </row>
    <row r="10" spans="1:9" ht="18.600000000000001" customHeight="1" x14ac:dyDescent="0.2">
      <c r="A10" s="145"/>
      <c r="B10" s="16" t="s">
        <v>37</v>
      </c>
      <c r="C10" s="17">
        <v>0.01</v>
      </c>
      <c r="D10" s="17">
        <v>0.02</v>
      </c>
      <c r="E10" s="19"/>
      <c r="F10" s="19"/>
      <c r="G10" s="19"/>
      <c r="H10" s="20"/>
      <c r="I10" s="146"/>
    </row>
    <row r="11" spans="1:9" ht="18.600000000000001" customHeight="1" x14ac:dyDescent="0.2">
      <c r="A11" s="145"/>
      <c r="B11" s="16" t="s">
        <v>8</v>
      </c>
      <c r="C11" s="17">
        <f>SUM(C6:C10)</f>
        <v>1</v>
      </c>
      <c r="D11" s="17">
        <v>1</v>
      </c>
      <c r="E11" s="19"/>
      <c r="F11" s="19"/>
      <c r="G11" s="19"/>
      <c r="H11" s="20"/>
      <c r="I11" s="146"/>
    </row>
    <row r="12" spans="1:9" ht="18.600000000000001" customHeight="1" x14ac:dyDescent="0.2">
      <c r="A12" s="145"/>
      <c r="B12" s="16" t="s">
        <v>13</v>
      </c>
      <c r="C12" s="17">
        <v>0.25</v>
      </c>
      <c r="D12" s="17">
        <v>0.24</v>
      </c>
      <c r="E12" s="21">
        <v>0.06</v>
      </c>
      <c r="F12" s="19">
        <f>IF(C12-E12&gt;0,C12-E12,0)</f>
        <v>0.19</v>
      </c>
      <c r="G12" s="19">
        <f>C12+E12</f>
        <v>0.31</v>
      </c>
      <c r="H12" s="20"/>
      <c r="I12" s="146"/>
    </row>
    <row r="13" spans="1:9" ht="33.75" customHeight="1" x14ac:dyDescent="0.2">
      <c r="A13" s="145"/>
      <c r="B13" s="16" t="s">
        <v>116</v>
      </c>
      <c r="C13" s="170">
        <v>2E-3</v>
      </c>
      <c r="D13" s="170"/>
      <c r="E13" s="170"/>
      <c r="F13" s="170"/>
      <c r="G13" s="170"/>
      <c r="H13" s="170"/>
      <c r="I13" s="146"/>
    </row>
    <row r="14" spans="1:9" ht="33.75" customHeight="1" x14ac:dyDescent="0.2">
      <c r="A14" s="129"/>
      <c r="B14" s="140" t="s">
        <v>110</v>
      </c>
      <c r="C14" s="140"/>
      <c r="D14" s="140"/>
      <c r="E14" s="140"/>
      <c r="F14" s="140"/>
      <c r="G14" s="140"/>
      <c r="H14" s="140"/>
    </row>
    <row r="15" spans="1:9" x14ac:dyDescent="0.2">
      <c r="B15" s="147" t="s">
        <v>112</v>
      </c>
      <c r="C15" s="147"/>
      <c r="D15" s="147"/>
      <c r="E15" s="147"/>
      <c r="F15" s="147"/>
      <c r="G15" s="147"/>
      <c r="H15" s="147"/>
    </row>
    <row r="16" spans="1:9" ht="18" x14ac:dyDescent="0.2">
      <c r="A16" s="145" t="s">
        <v>222</v>
      </c>
      <c r="B16" s="137" t="s">
        <v>76</v>
      </c>
      <c r="C16" s="138"/>
      <c r="D16" s="138"/>
      <c r="E16" s="138"/>
      <c r="F16" s="138"/>
      <c r="G16" s="138"/>
      <c r="H16" s="209"/>
      <c r="I16" s="146" t="s">
        <v>223</v>
      </c>
    </row>
    <row r="17" spans="1:9" ht="18.75" thickBot="1" x14ac:dyDescent="0.25">
      <c r="A17" s="145"/>
      <c r="B17" s="142" t="s">
        <v>159</v>
      </c>
      <c r="C17" s="143"/>
      <c r="D17" s="143"/>
      <c r="E17" s="143"/>
      <c r="F17" s="143"/>
      <c r="G17" s="143"/>
      <c r="H17" s="143"/>
      <c r="I17" s="146"/>
    </row>
    <row r="18" spans="1:9" ht="60" x14ac:dyDescent="0.2">
      <c r="A18" s="145"/>
      <c r="B18" s="9" t="s">
        <v>0</v>
      </c>
      <c r="C18" s="15" t="s">
        <v>215</v>
      </c>
      <c r="D18" s="114" t="s">
        <v>216</v>
      </c>
      <c r="E18" s="9" t="s">
        <v>40</v>
      </c>
      <c r="F18" s="135" t="s">
        <v>10</v>
      </c>
      <c r="G18" s="136"/>
      <c r="H18" s="9" t="s">
        <v>73</v>
      </c>
      <c r="I18" s="146"/>
    </row>
    <row r="19" spans="1:9" ht="54.75" customHeight="1" x14ac:dyDescent="0.2">
      <c r="A19" s="145"/>
      <c r="B19" s="16" t="s">
        <v>42</v>
      </c>
      <c r="C19" s="19">
        <v>0.4</v>
      </c>
      <c r="D19" s="19">
        <v>0.39</v>
      </c>
      <c r="E19" s="19">
        <v>0.06</v>
      </c>
      <c r="F19" s="19">
        <f>IF(C19-E19&gt;0,C19-E19,0)</f>
        <v>0.34</v>
      </c>
      <c r="G19" s="19">
        <f>C19+E19</f>
        <v>0.46</v>
      </c>
      <c r="H19" s="104" t="s">
        <v>84</v>
      </c>
      <c r="I19" s="146"/>
    </row>
    <row r="20" spans="1:9" ht="34.5" customHeight="1" x14ac:dyDescent="0.2">
      <c r="A20" s="145"/>
      <c r="B20" s="16" t="s">
        <v>39</v>
      </c>
      <c r="C20" s="19">
        <v>0.25</v>
      </c>
      <c r="D20" s="19">
        <v>0.26</v>
      </c>
      <c r="E20" s="19">
        <v>0.05</v>
      </c>
      <c r="F20" s="19">
        <f t="shared" ref="F20:F22" si="2">IF(C20-E20&gt;0,C20-E20,0)</f>
        <v>0.2</v>
      </c>
      <c r="G20" s="19">
        <f t="shared" ref="G20:G22" si="3">C20+E20</f>
        <v>0.3</v>
      </c>
      <c r="H20" s="20" t="s">
        <v>3</v>
      </c>
      <c r="I20" s="146"/>
    </row>
    <row r="21" spans="1:9" ht="61.5" customHeight="1" x14ac:dyDescent="0.2">
      <c r="A21" s="145"/>
      <c r="B21" s="16" t="s">
        <v>70</v>
      </c>
      <c r="C21" s="19">
        <v>0.31</v>
      </c>
      <c r="D21" s="19">
        <v>0.32</v>
      </c>
      <c r="E21" s="19">
        <v>0.06</v>
      </c>
      <c r="F21" s="19">
        <f t="shared" si="2"/>
        <v>0.25</v>
      </c>
      <c r="G21" s="19">
        <f t="shared" si="3"/>
        <v>0.37</v>
      </c>
      <c r="H21" s="20" t="s">
        <v>74</v>
      </c>
      <c r="I21" s="146"/>
    </row>
    <row r="22" spans="1:9" ht="27.75" customHeight="1" x14ac:dyDescent="0.2">
      <c r="A22" s="145"/>
      <c r="B22" s="16" t="s">
        <v>78</v>
      </c>
      <c r="C22" s="19">
        <v>0.03</v>
      </c>
      <c r="D22" s="19">
        <v>0</v>
      </c>
      <c r="E22" s="19">
        <v>0.05</v>
      </c>
      <c r="F22" s="19">
        <f t="shared" si="2"/>
        <v>0</v>
      </c>
      <c r="G22" s="19">
        <f t="shared" si="3"/>
        <v>0.08</v>
      </c>
      <c r="H22" s="20"/>
      <c r="I22" s="146"/>
    </row>
    <row r="23" spans="1:9" ht="18.600000000000001" customHeight="1" x14ac:dyDescent="0.2">
      <c r="A23" s="145"/>
      <c r="B23" s="16" t="s">
        <v>37</v>
      </c>
      <c r="C23" s="19">
        <v>0.01</v>
      </c>
      <c r="D23" s="19">
        <v>0.03</v>
      </c>
      <c r="E23" s="19"/>
      <c r="F23" s="19"/>
      <c r="G23" s="19"/>
      <c r="H23" s="20"/>
      <c r="I23" s="146"/>
    </row>
    <row r="24" spans="1:9" ht="18.600000000000001" customHeight="1" x14ac:dyDescent="0.2">
      <c r="A24" s="145"/>
      <c r="B24" s="16" t="s">
        <v>8</v>
      </c>
      <c r="C24" s="19">
        <f>SUM(C19:C23)</f>
        <v>1</v>
      </c>
      <c r="D24" s="19">
        <v>1</v>
      </c>
      <c r="E24" s="19"/>
      <c r="F24" s="19"/>
      <c r="G24" s="19"/>
      <c r="H24" s="20"/>
      <c r="I24" s="146"/>
    </row>
    <row r="25" spans="1:9" ht="18.600000000000001" customHeight="1" x14ac:dyDescent="0.2">
      <c r="A25" s="145"/>
      <c r="B25" s="16" t="s">
        <v>13</v>
      </c>
      <c r="C25" s="21">
        <v>0.2</v>
      </c>
      <c r="D25" s="21">
        <v>0.19</v>
      </c>
      <c r="E25" s="21">
        <v>0.06</v>
      </c>
      <c r="F25" s="19">
        <f>IF(C25-E25&gt;0,C25-E25,0)</f>
        <v>0.14000000000000001</v>
      </c>
      <c r="G25" s="19">
        <f>C25+E25</f>
        <v>0.26</v>
      </c>
      <c r="H25" s="20"/>
      <c r="I25" s="146"/>
    </row>
    <row r="26" spans="1:9" ht="33.75" customHeight="1" x14ac:dyDescent="0.2">
      <c r="A26" s="145"/>
      <c r="B26" s="16" t="s">
        <v>116</v>
      </c>
      <c r="C26" s="139">
        <v>2E-3</v>
      </c>
      <c r="D26" s="139"/>
      <c r="E26" s="139"/>
      <c r="F26" s="139"/>
      <c r="G26" s="139"/>
      <c r="H26" s="139"/>
      <c r="I26" s="146"/>
    </row>
    <row r="27" spans="1:9" ht="33.75" customHeight="1" x14ac:dyDescent="0.2">
      <c r="B27" s="147" t="s">
        <v>110</v>
      </c>
      <c r="C27" s="147"/>
      <c r="D27" s="147"/>
      <c r="E27" s="147"/>
      <c r="F27" s="147"/>
      <c r="G27" s="147"/>
      <c r="H27" s="147"/>
    </row>
    <row r="28" spans="1:9" ht="33.75" customHeight="1" x14ac:dyDescent="0.2">
      <c r="B28" s="147" t="s">
        <v>100</v>
      </c>
      <c r="C28" s="147"/>
      <c r="D28" s="147"/>
      <c r="E28" s="147"/>
      <c r="F28" s="147"/>
      <c r="G28" s="147"/>
      <c r="H28" s="147"/>
    </row>
    <row r="29" spans="1:9" ht="18" x14ac:dyDescent="0.2">
      <c r="A29" s="145" t="s">
        <v>222</v>
      </c>
      <c r="B29" s="137" t="s">
        <v>77</v>
      </c>
      <c r="C29" s="138"/>
      <c r="D29" s="138"/>
      <c r="E29" s="138"/>
      <c r="F29" s="138"/>
      <c r="G29" s="138"/>
      <c r="H29" s="138"/>
      <c r="I29" s="147" t="s">
        <v>223</v>
      </c>
    </row>
    <row r="30" spans="1:9" ht="18.75" thickBot="1" x14ac:dyDescent="0.25">
      <c r="A30" s="145"/>
      <c r="B30" s="137" t="s">
        <v>160</v>
      </c>
      <c r="C30" s="138"/>
      <c r="D30" s="138"/>
      <c r="E30" s="138"/>
      <c r="F30" s="138"/>
      <c r="G30" s="138"/>
      <c r="H30" s="138"/>
      <c r="I30" s="147"/>
    </row>
    <row r="31" spans="1:9" ht="60" x14ac:dyDescent="0.2">
      <c r="A31" s="145"/>
      <c r="B31" s="9" t="s">
        <v>0</v>
      </c>
      <c r="C31" s="15" t="s">
        <v>215</v>
      </c>
      <c r="D31" s="114" t="s">
        <v>216</v>
      </c>
      <c r="E31" s="9" t="s">
        <v>40</v>
      </c>
      <c r="F31" s="135" t="s">
        <v>10</v>
      </c>
      <c r="G31" s="136"/>
      <c r="H31" s="9" t="s">
        <v>73</v>
      </c>
      <c r="I31" s="147"/>
    </row>
    <row r="32" spans="1:9" ht="27.6" customHeight="1" x14ac:dyDescent="0.2">
      <c r="A32" s="145"/>
      <c r="B32" s="16" t="s">
        <v>42</v>
      </c>
      <c r="C32" s="19">
        <v>0.24</v>
      </c>
      <c r="D32" s="19">
        <v>0.25</v>
      </c>
      <c r="E32" s="19">
        <v>0.06</v>
      </c>
      <c r="F32" s="19">
        <f>IF(C32-E32&gt;0,C32-E32,0)</f>
        <v>0.18</v>
      </c>
      <c r="G32" s="19">
        <f>C32+E32</f>
        <v>0.3</v>
      </c>
      <c r="H32" s="104" t="s">
        <v>84</v>
      </c>
      <c r="I32" s="147"/>
    </row>
    <row r="33" spans="1:9" ht="27.6" customHeight="1" x14ac:dyDescent="0.2">
      <c r="A33" s="145"/>
      <c r="B33" s="16" t="s">
        <v>39</v>
      </c>
      <c r="C33" s="19">
        <v>0.36</v>
      </c>
      <c r="D33" s="19">
        <v>0.37</v>
      </c>
      <c r="E33" s="19">
        <v>0.05</v>
      </c>
      <c r="F33" s="19">
        <f t="shared" ref="F33:F35" si="4">IF(C33-E33&gt;0,C33-E33,0)</f>
        <v>0.31</v>
      </c>
      <c r="G33" s="19">
        <f t="shared" ref="G33:G35" si="5">C33+E33</f>
        <v>0.41</v>
      </c>
      <c r="H33" s="20" t="s">
        <v>3</v>
      </c>
      <c r="I33" s="147"/>
    </row>
    <row r="34" spans="1:9" ht="63.75" customHeight="1" x14ac:dyDescent="0.2">
      <c r="A34" s="145"/>
      <c r="B34" s="16" t="s">
        <v>70</v>
      </c>
      <c r="C34" s="19">
        <v>0.34</v>
      </c>
      <c r="D34" s="19">
        <v>0.34</v>
      </c>
      <c r="E34" s="19">
        <v>0.06</v>
      </c>
      <c r="F34" s="19">
        <f t="shared" si="4"/>
        <v>0.28000000000000003</v>
      </c>
      <c r="G34" s="19">
        <f t="shared" si="5"/>
        <v>0.4</v>
      </c>
      <c r="H34" s="20" t="s">
        <v>74</v>
      </c>
      <c r="I34" s="147"/>
    </row>
    <row r="35" spans="1:9" ht="56.25" customHeight="1" x14ac:dyDescent="0.2">
      <c r="A35" s="145"/>
      <c r="B35" s="16" t="s">
        <v>78</v>
      </c>
      <c r="C35" s="19">
        <v>0.04</v>
      </c>
      <c r="D35" s="19">
        <v>0</v>
      </c>
      <c r="E35" s="19">
        <v>0.05</v>
      </c>
      <c r="F35" s="19">
        <f t="shared" si="4"/>
        <v>0</v>
      </c>
      <c r="G35" s="19">
        <f t="shared" si="5"/>
        <v>0.09</v>
      </c>
      <c r="H35" s="20"/>
      <c r="I35" s="147"/>
    </row>
    <row r="36" spans="1:9" ht="18.600000000000001" customHeight="1" x14ac:dyDescent="0.2">
      <c r="A36" s="145"/>
      <c r="B36" s="16" t="s">
        <v>37</v>
      </c>
      <c r="C36" s="19">
        <v>0.02</v>
      </c>
      <c r="D36" s="19">
        <v>0.04</v>
      </c>
      <c r="E36" s="19"/>
      <c r="F36" s="19"/>
      <c r="G36" s="19"/>
      <c r="H36" s="20"/>
      <c r="I36" s="147"/>
    </row>
    <row r="37" spans="1:9" ht="18.600000000000001" customHeight="1" x14ac:dyDescent="0.2">
      <c r="A37" s="145"/>
      <c r="B37" s="16" t="s">
        <v>8</v>
      </c>
      <c r="C37" s="19">
        <f>SUM(C32:C36)</f>
        <v>1</v>
      </c>
      <c r="D37" s="19">
        <v>1</v>
      </c>
      <c r="E37" s="19"/>
      <c r="F37" s="19"/>
      <c r="G37" s="19"/>
      <c r="H37" s="20"/>
      <c r="I37" s="147"/>
    </row>
    <row r="38" spans="1:9" ht="18.600000000000001" customHeight="1" x14ac:dyDescent="0.2">
      <c r="A38" s="145"/>
      <c r="B38" s="16" t="s">
        <v>13</v>
      </c>
      <c r="C38" s="19">
        <v>0.19</v>
      </c>
      <c r="D38" s="19">
        <v>0.19</v>
      </c>
      <c r="E38" s="21">
        <v>0.06</v>
      </c>
      <c r="F38" s="19">
        <f>IF(C38-E38&gt;0,C38-E38,0)</f>
        <v>0.13</v>
      </c>
      <c r="G38" s="19">
        <f>C38+E38</f>
        <v>0.25</v>
      </c>
      <c r="H38" s="20"/>
      <c r="I38" s="147"/>
    </row>
    <row r="39" spans="1:9" ht="33.75" customHeight="1" x14ac:dyDescent="0.2">
      <c r="A39" s="145"/>
      <c r="B39" s="16" t="s">
        <v>116</v>
      </c>
      <c r="C39" s="139">
        <v>2E-3</v>
      </c>
      <c r="D39" s="139"/>
      <c r="E39" s="139"/>
      <c r="F39" s="139"/>
      <c r="G39" s="139"/>
      <c r="H39" s="139"/>
      <c r="I39" s="147"/>
    </row>
    <row r="40" spans="1:9" ht="33.75" customHeight="1" x14ac:dyDescent="0.2">
      <c r="B40" s="140" t="s">
        <v>110</v>
      </c>
      <c r="C40" s="140"/>
      <c r="D40" s="140"/>
      <c r="E40" s="140"/>
      <c r="F40" s="140"/>
      <c r="G40" s="140"/>
      <c r="H40" s="140"/>
    </row>
    <row r="41" spans="1:9" x14ac:dyDescent="0.2">
      <c r="B41" s="14" t="s">
        <v>38</v>
      </c>
      <c r="C41" s="14"/>
      <c r="D41" s="14"/>
      <c r="E41" s="14"/>
      <c r="F41" s="14"/>
    </row>
    <row r="42" spans="1:9" x14ac:dyDescent="0.2">
      <c r="B42" s="14" t="s">
        <v>72</v>
      </c>
    </row>
    <row r="43" spans="1:9" x14ac:dyDescent="0.2">
      <c r="A43" s="147" t="s">
        <v>109</v>
      </c>
      <c r="B43" s="147"/>
      <c r="C43" s="147"/>
      <c r="D43" s="147"/>
      <c r="E43" s="147"/>
      <c r="F43" s="147"/>
      <c r="G43" s="147"/>
      <c r="H43" s="147"/>
      <c r="I43" s="147"/>
    </row>
  </sheetData>
  <mergeCells count="26">
    <mergeCell ref="A29:A39"/>
    <mergeCell ref="B40:H40"/>
    <mergeCell ref="I29:I39"/>
    <mergeCell ref="A43:I43"/>
    <mergeCell ref="A3:A13"/>
    <mergeCell ref="B14:H14"/>
    <mergeCell ref="I3:I13"/>
    <mergeCell ref="B15:H15"/>
    <mergeCell ref="A16:A26"/>
    <mergeCell ref="I16:I26"/>
    <mergeCell ref="B1:F1"/>
    <mergeCell ref="B29:H29"/>
    <mergeCell ref="B30:H30"/>
    <mergeCell ref="C39:H39"/>
    <mergeCell ref="F31:G31"/>
    <mergeCell ref="F5:G5"/>
    <mergeCell ref="F18:G18"/>
    <mergeCell ref="B2:H2"/>
    <mergeCell ref="B27:H27"/>
    <mergeCell ref="B28:H28"/>
    <mergeCell ref="B3:H3"/>
    <mergeCell ref="B4:H4"/>
    <mergeCell ref="C13:H13"/>
    <mergeCell ref="B16:H16"/>
    <mergeCell ref="B17:H17"/>
    <mergeCell ref="C26:H26"/>
  </mergeCells>
  <pageMargins left="0.25" right="0.25" top="0.4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J64"/>
  <sheetViews>
    <sheetView showGridLines="0" rightToLeft="1" topLeftCell="A16" zoomScaleNormal="100" workbookViewId="0">
      <selection activeCell="C37" sqref="C37:G37"/>
    </sheetView>
  </sheetViews>
  <sheetFormatPr defaultColWidth="8" defaultRowHeight="14.25" x14ac:dyDescent="0.2"/>
  <cols>
    <col min="1" max="2" width="8" style="28"/>
    <col min="3" max="3" width="42.125" style="28" bestFit="1" customWidth="1"/>
    <col min="4" max="4" width="27.625" style="28" bestFit="1" customWidth="1"/>
    <col min="5" max="5" width="27.25" style="28" bestFit="1" customWidth="1"/>
    <col min="6" max="6" width="13.25" style="28" bestFit="1" customWidth="1"/>
    <col min="7" max="7" width="19.375" style="28" bestFit="1" customWidth="1"/>
    <col min="8" max="8" width="8" style="28"/>
    <col min="9" max="9" width="32" style="28" customWidth="1"/>
    <col min="10" max="16384" width="8" style="28"/>
  </cols>
  <sheetData>
    <row r="1" spans="1:10" customFormat="1" ht="27.6" customHeight="1" x14ac:dyDescent="0.2">
      <c r="A1" s="92" t="s">
        <v>99</v>
      </c>
      <c r="B1" s="61"/>
      <c r="C1" s="210" t="s">
        <v>106</v>
      </c>
      <c r="D1" s="210"/>
      <c r="E1" s="210"/>
      <c r="F1" s="210"/>
      <c r="G1" s="210"/>
      <c r="H1" s="210"/>
      <c r="I1" s="210"/>
    </row>
    <row r="2" spans="1:10" customFormat="1" ht="18" x14ac:dyDescent="0.2">
      <c r="A2" s="92"/>
      <c r="B2" s="210" t="s">
        <v>222</v>
      </c>
      <c r="C2" s="156" t="s">
        <v>209</v>
      </c>
      <c r="D2" s="157"/>
      <c r="E2" s="157"/>
      <c r="F2" s="157"/>
      <c r="G2" s="157"/>
      <c r="H2" s="157"/>
      <c r="I2" s="157"/>
      <c r="J2" s="146" t="s">
        <v>223</v>
      </c>
    </row>
    <row r="3" spans="1:10" customFormat="1" ht="18.75" thickBot="1" x14ac:dyDescent="0.25">
      <c r="A3" s="92" t="s">
        <v>154</v>
      </c>
      <c r="B3" s="210"/>
      <c r="C3" s="166" t="s">
        <v>161</v>
      </c>
      <c r="D3" s="167"/>
      <c r="E3" s="167"/>
      <c r="F3" s="167"/>
      <c r="G3" s="167"/>
      <c r="H3" s="167"/>
      <c r="I3" s="167"/>
      <c r="J3" s="146"/>
    </row>
    <row r="4" spans="1:10" customFormat="1" ht="27.6" customHeight="1" x14ac:dyDescent="0.2">
      <c r="A4" s="92"/>
      <c r="B4" s="210"/>
      <c r="C4" s="98" t="s">
        <v>0</v>
      </c>
      <c r="D4" s="15" t="s">
        <v>215</v>
      </c>
      <c r="E4" s="114" t="s">
        <v>216</v>
      </c>
      <c r="F4" s="9" t="s">
        <v>40</v>
      </c>
      <c r="G4" s="164" t="s">
        <v>10</v>
      </c>
      <c r="H4" s="165"/>
      <c r="I4" s="101" t="s">
        <v>113</v>
      </c>
      <c r="J4" s="146"/>
    </row>
    <row r="5" spans="1:10" customFormat="1" ht="27.6" customHeight="1" x14ac:dyDescent="0.2">
      <c r="A5" s="92"/>
      <c r="B5" s="210"/>
      <c r="C5" s="102" t="s">
        <v>41</v>
      </c>
      <c r="D5" s="103">
        <v>0.75</v>
      </c>
      <c r="E5" s="103">
        <v>0.74</v>
      </c>
      <c r="F5" s="103">
        <v>0.05</v>
      </c>
      <c r="G5" s="103">
        <f>+D5-F5</f>
        <v>0.7</v>
      </c>
      <c r="H5" s="103">
        <f>+D5+F5</f>
        <v>0.8</v>
      </c>
      <c r="I5" s="104" t="s">
        <v>3</v>
      </c>
      <c r="J5" s="146"/>
    </row>
    <row r="6" spans="1:10" customFormat="1" ht="60" x14ac:dyDescent="0.2">
      <c r="A6" s="92"/>
      <c r="B6" s="210"/>
      <c r="C6" s="102" t="s">
        <v>70</v>
      </c>
      <c r="D6" s="103">
        <v>0.22</v>
      </c>
      <c r="E6" s="103">
        <v>0.2</v>
      </c>
      <c r="F6" s="103">
        <v>0.06</v>
      </c>
      <c r="G6" s="103">
        <f>+D6-F6</f>
        <v>0.16</v>
      </c>
      <c r="H6" s="103">
        <f>+D6+F6</f>
        <v>0.28000000000000003</v>
      </c>
      <c r="I6" s="106" t="s">
        <v>71</v>
      </c>
      <c r="J6" s="146"/>
    </row>
    <row r="7" spans="1:10" customFormat="1" ht="27.6" customHeight="1" x14ac:dyDescent="0.2">
      <c r="A7" s="92"/>
      <c r="B7" s="210"/>
      <c r="C7" s="102" t="s">
        <v>37</v>
      </c>
      <c r="D7" s="103">
        <v>0.03</v>
      </c>
      <c r="E7" s="103">
        <v>0.06</v>
      </c>
      <c r="F7" s="103"/>
      <c r="G7" s="103"/>
      <c r="H7" s="103"/>
      <c r="I7" s="105"/>
      <c r="J7" s="146"/>
    </row>
    <row r="8" spans="1:10" customFormat="1" ht="27.6" customHeight="1" x14ac:dyDescent="0.2">
      <c r="A8" s="92"/>
      <c r="B8" s="210"/>
      <c r="C8" s="102" t="s">
        <v>8</v>
      </c>
      <c r="D8" s="103">
        <f>SUM(D5:D7)</f>
        <v>1</v>
      </c>
      <c r="E8" s="103">
        <f>SUM(E5:E7)</f>
        <v>1</v>
      </c>
      <c r="F8" s="103"/>
      <c r="G8" s="103"/>
      <c r="H8" s="103"/>
      <c r="I8" s="105"/>
      <c r="J8" s="146"/>
    </row>
    <row r="9" spans="1:10" customFormat="1" ht="27.6" customHeight="1" thickBot="1" x14ac:dyDescent="0.25">
      <c r="A9" s="92"/>
      <c r="B9" s="210"/>
      <c r="C9" s="107" t="s">
        <v>13</v>
      </c>
      <c r="D9" s="108">
        <v>0</v>
      </c>
      <c r="E9" s="108"/>
      <c r="F9" s="123">
        <v>0.06</v>
      </c>
      <c r="G9" s="123">
        <f>IF(D9-F9&gt;0,D9-F9,0)</f>
        <v>0</v>
      </c>
      <c r="H9" s="123">
        <f>D9+F9</f>
        <v>0.06</v>
      </c>
      <c r="I9" s="109"/>
      <c r="J9" s="146"/>
    </row>
    <row r="10" spans="1:10" customFormat="1" ht="27.6" customHeight="1" x14ac:dyDescent="0.2">
      <c r="A10" s="92"/>
      <c r="B10" s="210"/>
      <c r="C10" s="16" t="s">
        <v>116</v>
      </c>
      <c r="D10" s="211">
        <v>5.0000000000000001E-4</v>
      </c>
      <c r="E10" s="211"/>
      <c r="F10" s="211"/>
      <c r="G10" s="211"/>
      <c r="H10" s="211"/>
      <c r="I10" s="211"/>
      <c r="J10" s="146"/>
    </row>
    <row r="11" spans="1:10" customFormat="1" ht="27.6" customHeight="1" x14ac:dyDescent="0.2">
      <c r="A11" s="92" t="s">
        <v>154</v>
      </c>
      <c r="B11" s="61"/>
      <c r="C11" s="210" t="s">
        <v>110</v>
      </c>
      <c r="D11" s="210"/>
      <c r="E11" s="210"/>
      <c r="F11" s="210"/>
      <c r="G11" s="210"/>
      <c r="H11" s="210"/>
      <c r="I11" s="210"/>
    </row>
    <row r="12" spans="1:10" customFormat="1" ht="27.6" customHeight="1" x14ac:dyDescent="0.2">
      <c r="A12" s="92"/>
      <c r="B12" s="61"/>
      <c r="C12" s="210" t="s">
        <v>106</v>
      </c>
      <c r="D12" s="210"/>
      <c r="E12" s="210"/>
      <c r="F12" s="210"/>
      <c r="G12" s="210"/>
      <c r="H12" s="210"/>
      <c r="I12" s="210"/>
    </row>
    <row r="13" spans="1:10" customFormat="1" ht="18" x14ac:dyDescent="0.2">
      <c r="A13" s="92"/>
      <c r="B13" s="210" t="s">
        <v>222</v>
      </c>
      <c r="C13" s="156" t="s">
        <v>210</v>
      </c>
      <c r="D13" s="157"/>
      <c r="E13" s="157"/>
      <c r="F13" s="157"/>
      <c r="G13" s="157"/>
      <c r="H13" s="157"/>
      <c r="I13" s="157"/>
      <c r="J13" s="146" t="s">
        <v>223</v>
      </c>
    </row>
    <row r="14" spans="1:10" customFormat="1" ht="18.75" thickBot="1" x14ac:dyDescent="0.25">
      <c r="A14" s="92"/>
      <c r="B14" s="210"/>
      <c r="C14" s="166" t="s">
        <v>163</v>
      </c>
      <c r="D14" s="167"/>
      <c r="E14" s="167"/>
      <c r="F14" s="167"/>
      <c r="G14" s="167"/>
      <c r="H14" s="167"/>
      <c r="I14" s="167"/>
      <c r="J14" s="146"/>
    </row>
    <row r="15" spans="1:10" customFormat="1" ht="27.6" customHeight="1" x14ac:dyDescent="0.2">
      <c r="A15" s="92"/>
      <c r="B15" s="210"/>
      <c r="C15" s="98" t="s">
        <v>0</v>
      </c>
      <c r="D15" s="15" t="s">
        <v>199</v>
      </c>
      <c r="E15" s="114" t="s">
        <v>200</v>
      </c>
      <c r="F15" s="9" t="s">
        <v>40</v>
      </c>
      <c r="G15" s="164" t="s">
        <v>10</v>
      </c>
      <c r="H15" s="165"/>
      <c r="I15" s="101" t="s">
        <v>113</v>
      </c>
      <c r="J15" s="146"/>
    </row>
    <row r="16" spans="1:10" customFormat="1" ht="27.6" customHeight="1" x14ac:dyDescent="0.2">
      <c r="A16" s="92"/>
      <c r="B16" s="210"/>
      <c r="C16" s="102" t="s">
        <v>41</v>
      </c>
      <c r="D16" s="103">
        <v>0.46</v>
      </c>
      <c r="E16" s="103">
        <v>0.46</v>
      </c>
      <c r="F16" s="103">
        <v>0.05</v>
      </c>
      <c r="G16" s="103">
        <f>IF(D16-F16&gt;0,D16-F16,0)</f>
        <v>0.41000000000000003</v>
      </c>
      <c r="H16" s="103">
        <f>D16+F16</f>
        <v>0.51</v>
      </c>
      <c r="I16" s="104"/>
      <c r="J16" s="146"/>
    </row>
    <row r="17" spans="1:10" customFormat="1" ht="27.6" customHeight="1" x14ac:dyDescent="0.2">
      <c r="A17" s="92"/>
      <c r="B17" s="210"/>
      <c r="C17" s="102" t="s">
        <v>70</v>
      </c>
      <c r="D17" s="103">
        <v>0.5</v>
      </c>
      <c r="E17" s="103">
        <v>0.5</v>
      </c>
      <c r="F17" s="103">
        <v>0.06</v>
      </c>
      <c r="G17" s="103">
        <f t="shared" ref="G17:G20" si="0">IF(D17-F17&gt;0,D17-F17,0)</f>
        <v>0.44</v>
      </c>
      <c r="H17" s="103">
        <f t="shared" ref="H17:H20" si="1">D17+F17</f>
        <v>0.56000000000000005</v>
      </c>
      <c r="I17" s="104"/>
      <c r="J17" s="146"/>
    </row>
    <row r="18" spans="1:10" customFormat="1" ht="27.6" customHeight="1" x14ac:dyDescent="0.2">
      <c r="A18" s="92"/>
      <c r="B18" s="210"/>
      <c r="C18" s="102" t="s">
        <v>37</v>
      </c>
      <c r="D18" s="103">
        <v>0.04</v>
      </c>
      <c r="E18" s="103">
        <v>0.04</v>
      </c>
      <c r="F18" s="103"/>
      <c r="G18" s="103"/>
      <c r="H18" s="103"/>
      <c r="I18" s="104"/>
      <c r="J18" s="146"/>
    </row>
    <row r="19" spans="1:10" customFormat="1" ht="27.6" customHeight="1" x14ac:dyDescent="0.2">
      <c r="A19" s="92"/>
      <c r="B19" s="210"/>
      <c r="C19" s="102" t="s">
        <v>8</v>
      </c>
      <c r="D19" s="103">
        <f>SUM(D16:D18)</f>
        <v>1</v>
      </c>
      <c r="E19" s="103">
        <f>SUM(E16:E18)</f>
        <v>1</v>
      </c>
      <c r="F19" s="103"/>
      <c r="G19" s="103"/>
      <c r="H19" s="103"/>
      <c r="I19" s="104"/>
      <c r="J19" s="146"/>
    </row>
    <row r="20" spans="1:10" customFormat="1" ht="27.6" customHeight="1" thickBot="1" x14ac:dyDescent="0.25">
      <c r="A20" s="92"/>
      <c r="B20" s="210"/>
      <c r="C20" s="107" t="s">
        <v>13</v>
      </c>
      <c r="D20" s="103">
        <v>0.12</v>
      </c>
      <c r="E20" s="103">
        <v>0.12</v>
      </c>
      <c r="F20" s="103">
        <v>0.06</v>
      </c>
      <c r="G20" s="123">
        <f t="shared" si="0"/>
        <v>0.06</v>
      </c>
      <c r="H20" s="123">
        <f t="shared" si="1"/>
        <v>0.18</v>
      </c>
      <c r="I20" s="104"/>
      <c r="J20" s="146"/>
    </row>
    <row r="21" spans="1:10" customFormat="1" ht="27.6" customHeight="1" x14ac:dyDescent="0.2">
      <c r="A21" s="92"/>
      <c r="B21" s="210"/>
      <c r="C21" s="16" t="s">
        <v>116</v>
      </c>
      <c r="D21" s="211">
        <v>5.0000000000000001E-4</v>
      </c>
      <c r="E21" s="211"/>
      <c r="F21" s="211"/>
      <c r="G21" s="211"/>
      <c r="H21" s="211"/>
      <c r="I21" s="211"/>
      <c r="J21" s="146"/>
    </row>
    <row r="22" spans="1:10" customFormat="1" ht="27.6" customHeight="1" x14ac:dyDescent="0.2">
      <c r="A22" s="92"/>
      <c r="B22" s="61"/>
      <c r="C22" s="210" t="s">
        <v>110</v>
      </c>
      <c r="D22" s="210"/>
      <c r="E22" s="210"/>
      <c r="F22" s="210"/>
      <c r="G22" s="210"/>
      <c r="H22" s="210"/>
      <c r="I22" s="210"/>
    </row>
    <row r="23" spans="1:10" customFormat="1" ht="27.6" customHeight="1" x14ac:dyDescent="0.2">
      <c r="A23" s="92"/>
      <c r="B23" s="61"/>
      <c r="C23" s="210" t="s">
        <v>106</v>
      </c>
      <c r="D23" s="210"/>
      <c r="E23" s="210"/>
      <c r="F23" s="210"/>
      <c r="G23" s="210"/>
      <c r="H23" s="210"/>
      <c r="I23" s="210"/>
    </row>
    <row r="24" spans="1:10" s="76" customFormat="1" ht="18" x14ac:dyDescent="0.2">
      <c r="A24" s="210"/>
      <c r="B24" s="212" t="s">
        <v>222</v>
      </c>
      <c r="C24" s="156" t="s">
        <v>220</v>
      </c>
      <c r="D24" s="157"/>
      <c r="E24" s="157"/>
      <c r="F24" s="157"/>
      <c r="G24" s="157"/>
      <c r="H24" s="157"/>
      <c r="I24" s="157"/>
      <c r="J24" s="212" t="s">
        <v>223</v>
      </c>
    </row>
    <row r="25" spans="1:10" s="76" customFormat="1" ht="18.75" thickBot="1" x14ac:dyDescent="0.25">
      <c r="A25" s="210"/>
      <c r="B25" s="212"/>
      <c r="C25" s="166" t="s">
        <v>162</v>
      </c>
      <c r="D25" s="167"/>
      <c r="E25" s="167"/>
      <c r="F25" s="167"/>
      <c r="G25" s="167"/>
      <c r="H25" s="167"/>
      <c r="I25" s="167"/>
      <c r="J25" s="212"/>
    </row>
    <row r="26" spans="1:10" s="76" customFormat="1" ht="15" customHeight="1" x14ac:dyDescent="0.2">
      <c r="A26" s="210"/>
      <c r="B26" s="212"/>
      <c r="C26" s="98" t="s">
        <v>0</v>
      </c>
      <c r="D26" s="15" t="s">
        <v>215</v>
      </c>
      <c r="E26" s="114" t="s">
        <v>216</v>
      </c>
      <c r="F26" s="9" t="s">
        <v>40</v>
      </c>
      <c r="G26" s="201" t="s">
        <v>10</v>
      </c>
      <c r="H26" s="202"/>
      <c r="I26" s="101" t="s">
        <v>113</v>
      </c>
      <c r="J26" s="212"/>
    </row>
    <row r="27" spans="1:10" ht="30" x14ac:dyDescent="0.2">
      <c r="A27" s="210"/>
      <c r="B27" s="212"/>
      <c r="C27" s="102" t="s">
        <v>29</v>
      </c>
      <c r="D27" s="103">
        <v>0.94</v>
      </c>
      <c r="E27" s="103">
        <v>0.93</v>
      </c>
      <c r="F27" s="103">
        <v>0.06</v>
      </c>
      <c r="G27" s="103">
        <f>+D27-F27</f>
        <v>0.87999999999999989</v>
      </c>
      <c r="H27" s="103">
        <f>+D27+F27</f>
        <v>1</v>
      </c>
      <c r="I27" s="104" t="s">
        <v>84</v>
      </c>
      <c r="J27" s="212"/>
    </row>
    <row r="28" spans="1:10" ht="30" x14ac:dyDescent="0.2">
      <c r="A28" s="210"/>
      <c r="B28" s="212"/>
      <c r="C28" s="102" t="s">
        <v>41</v>
      </c>
      <c r="D28" s="103">
        <v>0.03</v>
      </c>
      <c r="E28" s="103">
        <v>0.03</v>
      </c>
      <c r="F28" s="103">
        <v>0.05</v>
      </c>
      <c r="G28" s="103">
        <v>0</v>
      </c>
      <c r="H28" s="103">
        <f>+D28+F28</f>
        <v>0.08</v>
      </c>
      <c r="I28" s="104" t="s">
        <v>3</v>
      </c>
      <c r="J28" s="212"/>
    </row>
    <row r="29" spans="1:10" ht="30" x14ac:dyDescent="0.2">
      <c r="A29" s="210"/>
      <c r="B29" s="212"/>
      <c r="C29" s="102" t="s">
        <v>123</v>
      </c>
      <c r="D29" s="103">
        <v>0</v>
      </c>
      <c r="E29" s="103">
        <v>0.01</v>
      </c>
      <c r="F29" s="103">
        <v>0.05</v>
      </c>
      <c r="G29" s="103">
        <v>0</v>
      </c>
      <c r="H29" s="103">
        <f>+D29+F29</f>
        <v>0.05</v>
      </c>
      <c r="I29" s="105"/>
      <c r="J29" s="212"/>
    </row>
    <row r="30" spans="1:10" ht="15" x14ac:dyDescent="0.2">
      <c r="A30" s="210"/>
      <c r="B30" s="212"/>
      <c r="C30" s="102" t="s">
        <v>37</v>
      </c>
      <c r="D30" s="103">
        <v>0.03</v>
      </c>
      <c r="E30" s="103">
        <v>0.03</v>
      </c>
      <c r="F30" s="103"/>
      <c r="G30" s="103"/>
      <c r="H30" s="103"/>
      <c r="I30" s="105"/>
      <c r="J30" s="212"/>
    </row>
    <row r="31" spans="1:10" ht="15" x14ac:dyDescent="0.2">
      <c r="A31" s="210"/>
      <c r="B31" s="212"/>
      <c r="C31" s="102" t="s">
        <v>8</v>
      </c>
      <c r="D31" s="103">
        <f>SUM(D27:D30)</f>
        <v>1</v>
      </c>
      <c r="E31" s="103">
        <f>SUM(E27:E30)</f>
        <v>1</v>
      </c>
      <c r="F31" s="103"/>
      <c r="G31" s="103"/>
      <c r="H31" s="103"/>
      <c r="I31" s="105"/>
      <c r="J31" s="212"/>
    </row>
    <row r="32" spans="1:10" ht="15.75" thickBot="1" x14ac:dyDescent="0.25">
      <c r="A32" s="210"/>
      <c r="B32" s="212"/>
      <c r="C32" s="107" t="s">
        <v>13</v>
      </c>
      <c r="D32" s="108">
        <v>0.32</v>
      </c>
      <c r="E32" s="108">
        <v>0.32</v>
      </c>
      <c r="F32" s="108">
        <v>0.06</v>
      </c>
      <c r="G32" s="108">
        <f>IF(D32-F32&gt;0,D32-F32,0)</f>
        <v>0.26</v>
      </c>
      <c r="H32" s="108">
        <f>D32+F32</f>
        <v>0.38</v>
      </c>
      <c r="I32" s="109"/>
      <c r="J32" s="212"/>
    </row>
    <row r="33" spans="1:10" ht="18" x14ac:dyDescent="0.2">
      <c r="A33" s="210"/>
      <c r="B33" s="212"/>
      <c r="C33" s="16" t="s">
        <v>116</v>
      </c>
      <c r="D33" s="211">
        <v>1.5E-3</v>
      </c>
      <c r="E33" s="211"/>
      <c r="F33" s="211"/>
      <c r="G33" s="211"/>
      <c r="H33" s="211"/>
      <c r="I33" s="211"/>
      <c r="J33" s="212"/>
    </row>
    <row r="34" spans="1:10" x14ac:dyDescent="0.2">
      <c r="A34" s="210"/>
      <c r="C34" s="147" t="s">
        <v>110</v>
      </c>
      <c r="D34" s="147"/>
      <c r="E34" s="147"/>
      <c r="F34" s="147"/>
      <c r="G34" s="147"/>
      <c r="H34" s="147"/>
      <c r="I34" s="147"/>
    </row>
    <row r="35" spans="1:10" ht="15" customHeight="1" x14ac:dyDescent="0.2">
      <c r="A35" s="210"/>
      <c r="C35" s="14" t="s">
        <v>38</v>
      </c>
    </row>
    <row r="36" spans="1:10" x14ac:dyDescent="0.2">
      <c r="A36" s="210"/>
      <c r="C36" s="14" t="s">
        <v>72</v>
      </c>
    </row>
    <row r="37" spans="1:10" s="76" customFormat="1" ht="30.75" customHeight="1" x14ac:dyDescent="0.2">
      <c r="A37" s="210"/>
      <c r="C37" s="212" t="s">
        <v>109</v>
      </c>
      <c r="D37" s="212"/>
      <c r="E37" s="212"/>
      <c r="F37" s="212"/>
      <c r="G37" s="212"/>
    </row>
    <row r="38" spans="1:10" x14ac:dyDescent="0.2">
      <c r="A38" s="210"/>
    </row>
    <row r="39" spans="1:10" s="76" customFormat="1" x14ac:dyDescent="0.2">
      <c r="A39" s="210"/>
    </row>
    <row r="40" spans="1:10" x14ac:dyDescent="0.2">
      <c r="A40" s="210"/>
    </row>
    <row r="41" spans="1:10" s="76" customFormat="1" x14ac:dyDescent="0.2">
      <c r="A41" s="210"/>
    </row>
    <row r="42" spans="1:10" hidden="1" x14ac:dyDescent="0.2">
      <c r="A42" s="210"/>
    </row>
    <row r="43" spans="1:10" s="76" customFormat="1" hidden="1" x14ac:dyDescent="0.2">
      <c r="A43" s="210"/>
    </row>
    <row r="44" spans="1:10" ht="16.5" hidden="1" customHeight="1" thickBot="1" x14ac:dyDescent="0.2">
      <c r="A44" s="210"/>
    </row>
    <row r="45" spans="1:10" hidden="1" x14ac:dyDescent="0.2">
      <c r="A45" s="210"/>
      <c r="C45" s="197" t="s">
        <v>132</v>
      </c>
      <c r="D45" s="198"/>
      <c r="E45" s="198"/>
      <c r="F45" s="198"/>
      <c r="G45" s="198"/>
    </row>
    <row r="46" spans="1:10" s="76" customFormat="1" ht="18" hidden="1" x14ac:dyDescent="0.2">
      <c r="A46" s="210"/>
      <c r="C46" s="199"/>
      <c r="D46" s="200"/>
      <c r="E46" s="200"/>
      <c r="F46" s="200"/>
      <c r="G46" s="200"/>
    </row>
    <row r="47" spans="1:10" s="76" customFormat="1" ht="15" hidden="1" x14ac:dyDescent="0.2">
      <c r="A47" s="92"/>
      <c r="C47" s="98" t="s">
        <v>0</v>
      </c>
      <c r="D47" s="99" t="s">
        <v>121</v>
      </c>
      <c r="E47" s="164" t="s">
        <v>10</v>
      </c>
      <c r="F47" s="165"/>
      <c r="G47" s="101" t="s">
        <v>113</v>
      </c>
    </row>
    <row r="48" spans="1:10" ht="15" hidden="1" x14ac:dyDescent="0.2">
      <c r="A48" s="92"/>
      <c r="C48" s="102" t="s">
        <v>29</v>
      </c>
      <c r="D48" s="103">
        <v>0.06</v>
      </c>
      <c r="E48" s="103" t="e">
        <f>+#REF!-D48</f>
        <v>#REF!</v>
      </c>
      <c r="F48" s="103" t="e">
        <f>+#REF!+D48</f>
        <v>#REF!</v>
      </c>
      <c r="G48" s="104" t="s">
        <v>131</v>
      </c>
    </row>
    <row r="49" spans="1:7" ht="15" hidden="1" x14ac:dyDescent="0.2">
      <c r="C49" s="102" t="s">
        <v>37</v>
      </c>
      <c r="D49" s="103"/>
      <c r="E49" s="103" t="e">
        <f>+#REF!-D49</f>
        <v>#REF!</v>
      </c>
      <c r="F49" s="103" t="e">
        <f>+#REF!+D49</f>
        <v>#REF!</v>
      </c>
      <c r="G49" s="105"/>
    </row>
    <row r="50" spans="1:7" ht="15" hidden="1" x14ac:dyDescent="0.2">
      <c r="C50" s="102" t="s">
        <v>8</v>
      </c>
      <c r="D50" s="103"/>
      <c r="E50" s="103"/>
      <c r="F50" s="103"/>
      <c r="G50" s="105"/>
    </row>
    <row r="51" spans="1:7" ht="15.75" hidden="1" thickBot="1" x14ac:dyDescent="0.25">
      <c r="C51" s="107" t="s">
        <v>13</v>
      </c>
      <c r="D51" s="108"/>
      <c r="E51" s="108" t="e">
        <f>+#REF!-D51</f>
        <v>#REF!</v>
      </c>
      <c r="F51" s="108" t="e">
        <f>+#REF!+D51</f>
        <v>#REF!</v>
      </c>
      <c r="G51" s="109"/>
    </row>
    <row r="52" spans="1:7" s="93" customFormat="1" ht="18" hidden="1" x14ac:dyDescent="0.2">
      <c r="A52" s="94"/>
      <c r="C52" s="97" t="s">
        <v>116</v>
      </c>
      <c r="D52" s="154"/>
      <c r="E52" s="154"/>
      <c r="F52" s="154"/>
      <c r="G52" s="154"/>
    </row>
    <row r="53" spans="1:7" customFormat="1" hidden="1" x14ac:dyDescent="0.2"/>
    <row r="54" spans="1:7" hidden="1" x14ac:dyDescent="0.2">
      <c r="C54" s="197" t="s">
        <v>133</v>
      </c>
      <c r="D54" s="198"/>
      <c r="E54" s="198"/>
      <c r="F54" s="198"/>
      <c r="G54" s="198"/>
    </row>
    <row r="55" spans="1:7" ht="18" hidden="1" x14ac:dyDescent="0.2">
      <c r="C55" s="199"/>
      <c r="D55" s="200"/>
      <c r="E55" s="200"/>
      <c r="F55" s="200"/>
      <c r="G55" s="200"/>
    </row>
    <row r="56" spans="1:7" ht="15" hidden="1" x14ac:dyDescent="0.2">
      <c r="C56" s="98" t="s">
        <v>0</v>
      </c>
      <c r="D56" s="99" t="s">
        <v>121</v>
      </c>
      <c r="E56" s="164" t="s">
        <v>10</v>
      </c>
      <c r="F56" s="165"/>
      <c r="G56" s="101" t="s">
        <v>113</v>
      </c>
    </row>
    <row r="57" spans="1:7" ht="15" hidden="1" x14ac:dyDescent="0.2">
      <c r="C57" s="102" t="s">
        <v>29</v>
      </c>
      <c r="D57" s="103">
        <v>0.06</v>
      </c>
      <c r="E57" s="103" t="e">
        <f>+#REF!-D57</f>
        <v>#REF!</v>
      </c>
      <c r="F57" s="103" t="e">
        <f>+#REF!+D57</f>
        <v>#REF!</v>
      </c>
      <c r="G57" s="104" t="s">
        <v>131</v>
      </c>
    </row>
    <row r="58" spans="1:7" ht="15" hidden="1" x14ac:dyDescent="0.2">
      <c r="C58" s="102" t="s">
        <v>37</v>
      </c>
      <c r="D58" s="103"/>
      <c r="E58" s="103" t="e">
        <f>+#REF!-D58</f>
        <v>#REF!</v>
      </c>
      <c r="F58" s="103" t="e">
        <f>+#REF!+D58</f>
        <v>#REF!</v>
      </c>
      <c r="G58" s="105"/>
    </row>
    <row r="59" spans="1:7" ht="15" hidden="1" x14ac:dyDescent="0.2">
      <c r="C59" s="102" t="s">
        <v>8</v>
      </c>
      <c r="D59" s="103"/>
      <c r="E59" s="103"/>
      <c r="F59" s="103"/>
      <c r="G59" s="105"/>
    </row>
    <row r="60" spans="1:7" ht="15.75" hidden="1" thickBot="1" x14ac:dyDescent="0.25">
      <c r="C60" s="107" t="s">
        <v>13</v>
      </c>
      <c r="D60" s="21">
        <v>0.06</v>
      </c>
      <c r="E60" s="19" t="e">
        <f>IF(#REF!-D60&gt;0,#REF!-D60,0)</f>
        <v>#REF!</v>
      </c>
      <c r="F60" s="19" t="e">
        <f>#REF!+D60</f>
        <v>#REF!</v>
      </c>
      <c r="G60" s="109"/>
    </row>
    <row r="61" spans="1:7" ht="18" hidden="1" x14ac:dyDescent="0.2">
      <c r="C61" s="97" t="s">
        <v>116</v>
      </c>
      <c r="D61" s="154"/>
      <c r="E61" s="154"/>
      <c r="F61" s="154"/>
      <c r="G61" s="154"/>
    </row>
    <row r="62" spans="1:7" ht="15" customHeight="1" x14ac:dyDescent="0.2"/>
    <row r="64" spans="1:7" ht="30" customHeight="1" x14ac:dyDescent="0.2"/>
  </sheetData>
  <mergeCells count="34">
    <mergeCell ref="J13:J21"/>
    <mergeCell ref="C23:I23"/>
    <mergeCell ref="B24:B33"/>
    <mergeCell ref="C34:I34"/>
    <mergeCell ref="J24:J33"/>
    <mergeCell ref="C1:I1"/>
    <mergeCell ref="B2:B10"/>
    <mergeCell ref="C11:I11"/>
    <mergeCell ref="J2:J10"/>
    <mergeCell ref="C12:I12"/>
    <mergeCell ref="A24:A46"/>
    <mergeCell ref="G26:H26"/>
    <mergeCell ref="C2:I2"/>
    <mergeCell ref="D33:I33"/>
    <mergeCell ref="C3:I3"/>
    <mergeCell ref="D10:I10"/>
    <mergeCell ref="C13:I13"/>
    <mergeCell ref="C14:I14"/>
    <mergeCell ref="C24:I24"/>
    <mergeCell ref="G4:H4"/>
    <mergeCell ref="D21:I21"/>
    <mergeCell ref="B13:B21"/>
    <mergeCell ref="C22:I22"/>
    <mergeCell ref="C37:G37"/>
    <mergeCell ref="D61:G61"/>
    <mergeCell ref="G15:H15"/>
    <mergeCell ref="C46:G46"/>
    <mergeCell ref="E47:F47"/>
    <mergeCell ref="D52:G52"/>
    <mergeCell ref="C54:G54"/>
    <mergeCell ref="C55:G55"/>
    <mergeCell ref="E56:F56"/>
    <mergeCell ref="C25:I25"/>
    <mergeCell ref="C45:G45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H49"/>
  <sheetViews>
    <sheetView showGridLines="0" rightToLeft="1" topLeftCell="A34" zoomScaleNormal="100" zoomScaleSheetLayoutView="100" workbookViewId="0">
      <selection activeCell="G36" sqref="G36:G45"/>
    </sheetView>
  </sheetViews>
  <sheetFormatPr defaultColWidth="8.875" defaultRowHeight="14.25" x14ac:dyDescent="0.2"/>
  <cols>
    <col min="1" max="1" width="36" customWidth="1"/>
    <col min="2" max="2" width="16.625" customWidth="1"/>
    <col min="3" max="3" width="12.125" customWidth="1"/>
    <col min="4" max="4" width="9.125" customWidth="1"/>
    <col min="5" max="5" width="19.875" customWidth="1"/>
    <col min="6" max="6" width="32.625" bestFit="1" customWidth="1"/>
    <col min="8" max="8" width="26.875" customWidth="1"/>
  </cols>
  <sheetData>
    <row r="1" spans="1:8" ht="30" customHeight="1" thickBot="1" x14ac:dyDescent="0.25">
      <c r="A1" s="148" t="s">
        <v>114</v>
      </c>
      <c r="B1" s="148"/>
      <c r="C1" s="148"/>
      <c r="D1" s="148"/>
      <c r="E1" s="148"/>
      <c r="F1" s="148"/>
    </row>
    <row r="2" spans="1:8" ht="30" customHeight="1" thickTop="1" thickBot="1" x14ac:dyDescent="0.25">
      <c r="A2" s="149" t="s">
        <v>100</v>
      </c>
      <c r="B2" s="149"/>
      <c r="C2" s="149"/>
      <c r="D2" s="149"/>
      <c r="E2" s="149"/>
      <c r="F2" s="149"/>
    </row>
    <row r="3" spans="1:8" ht="19.5" thickTop="1" thickBot="1" x14ac:dyDescent="0.25">
      <c r="A3" s="213" t="s">
        <v>181</v>
      </c>
      <c r="B3" s="214"/>
      <c r="C3" s="214"/>
      <c r="D3" s="214"/>
      <c r="E3" s="214"/>
      <c r="F3" s="214"/>
      <c r="G3" s="146" t="s">
        <v>223</v>
      </c>
    </row>
    <row r="4" spans="1:8" ht="18.75" thickTop="1" x14ac:dyDescent="0.2">
      <c r="A4" s="213" t="s">
        <v>164</v>
      </c>
      <c r="B4" s="214"/>
      <c r="C4" s="214"/>
      <c r="D4" s="214"/>
      <c r="E4" s="214"/>
      <c r="F4" s="214"/>
      <c r="G4" s="146"/>
    </row>
    <row r="5" spans="1:8" ht="50.1" customHeight="1" x14ac:dyDescent="0.2">
      <c r="A5" s="9" t="s">
        <v>0</v>
      </c>
      <c r="B5" s="15" t="s">
        <v>215</v>
      </c>
      <c r="C5" s="9" t="s">
        <v>40</v>
      </c>
      <c r="D5" s="135" t="s">
        <v>10</v>
      </c>
      <c r="E5" s="136"/>
      <c r="F5" s="9" t="s">
        <v>73</v>
      </c>
      <c r="G5" s="146"/>
    </row>
    <row r="6" spans="1:8" ht="27.6" customHeight="1" x14ac:dyDescent="0.2">
      <c r="A6" s="16" t="s">
        <v>42</v>
      </c>
      <c r="B6" s="19">
        <v>0.4</v>
      </c>
      <c r="C6" s="19">
        <v>0.06</v>
      </c>
      <c r="D6" s="19">
        <f>IF(B6-C6&gt;0,B6-C6,0)</f>
        <v>0.34</v>
      </c>
      <c r="E6" s="19">
        <f>B6+C6</f>
        <v>0.46</v>
      </c>
      <c r="F6" s="104" t="s">
        <v>84</v>
      </c>
      <c r="G6" s="146"/>
    </row>
    <row r="7" spans="1:8" ht="30" x14ac:dyDescent="0.2">
      <c r="A7" s="16" t="s">
        <v>39</v>
      </c>
      <c r="B7" s="19">
        <v>0.24</v>
      </c>
      <c r="C7" s="19">
        <v>0.05</v>
      </c>
      <c r="D7" s="19">
        <f>IF(B7-C7&gt;0,B7-C7,0)</f>
        <v>0.19</v>
      </c>
      <c r="E7" s="19">
        <f>B7+C7</f>
        <v>0.28999999999999998</v>
      </c>
      <c r="F7" s="20" t="s">
        <v>3</v>
      </c>
      <c r="G7" s="146"/>
    </row>
    <row r="8" spans="1:8" ht="60" x14ac:dyDescent="0.2">
      <c r="A8" s="16" t="s">
        <v>70</v>
      </c>
      <c r="B8" s="19">
        <v>0.32</v>
      </c>
      <c r="C8" s="19">
        <v>0.06</v>
      </c>
      <c r="D8" s="19">
        <f>IF(B8-C8&gt;0,B8-C8,0)</f>
        <v>0.26</v>
      </c>
      <c r="E8" s="19">
        <f>B8+C8</f>
        <v>0.38</v>
      </c>
      <c r="F8" s="20" t="s">
        <v>74</v>
      </c>
      <c r="G8" s="146"/>
    </row>
    <row r="9" spans="1:8" ht="18.600000000000001" customHeight="1" x14ac:dyDescent="0.2">
      <c r="A9" s="16" t="s">
        <v>37</v>
      </c>
      <c r="B9" s="19">
        <v>0.04</v>
      </c>
      <c r="C9" s="19"/>
      <c r="D9" s="19"/>
      <c r="E9" s="19"/>
      <c r="F9" s="20"/>
      <c r="G9" s="146"/>
    </row>
    <row r="10" spans="1:8" ht="18.600000000000001" customHeight="1" x14ac:dyDescent="0.2">
      <c r="A10" s="16" t="s">
        <v>8</v>
      </c>
      <c r="B10" s="19">
        <f>SUM(B6:B9)</f>
        <v>1</v>
      </c>
      <c r="C10" s="19"/>
      <c r="D10" s="19"/>
      <c r="E10" s="19"/>
      <c r="F10" s="20"/>
      <c r="G10" s="146"/>
    </row>
    <row r="11" spans="1:8" ht="18.600000000000001" customHeight="1" x14ac:dyDescent="0.2">
      <c r="A11" s="16" t="s">
        <v>13</v>
      </c>
      <c r="B11" s="19">
        <v>0.19</v>
      </c>
      <c r="C11" s="21">
        <v>0.06</v>
      </c>
      <c r="D11" s="19">
        <f>IF(B11-C11&gt;0,B11-C11,0)</f>
        <v>0.13</v>
      </c>
      <c r="E11" s="19">
        <f>B11+C11</f>
        <v>0.25</v>
      </c>
      <c r="F11" s="20"/>
      <c r="G11" s="146"/>
    </row>
    <row r="12" spans="1:8" ht="45.75" customHeight="1" x14ac:dyDescent="0.2">
      <c r="A12" s="16" t="s">
        <v>116</v>
      </c>
      <c r="B12" s="218">
        <v>5.0000000000000001E-4</v>
      </c>
      <c r="C12" s="219"/>
      <c r="D12" s="219"/>
      <c r="E12" s="219"/>
      <c r="F12" s="219"/>
      <c r="G12" s="146"/>
    </row>
    <row r="13" spans="1:8" ht="33.75" customHeight="1" x14ac:dyDescent="0.2">
      <c r="A13" s="217" t="s">
        <v>110</v>
      </c>
      <c r="B13" s="217"/>
      <c r="C13" s="217"/>
      <c r="D13" s="217"/>
      <c r="E13" s="217"/>
      <c r="F13" s="217"/>
    </row>
    <row r="14" spans="1:8" ht="18" hidden="1" x14ac:dyDescent="0.2">
      <c r="A14" s="137" t="s">
        <v>144</v>
      </c>
      <c r="B14" s="138"/>
      <c r="C14" s="138"/>
      <c r="D14" s="138"/>
      <c r="E14" s="138"/>
      <c r="F14" s="138"/>
      <c r="G14" s="138"/>
      <c r="H14" s="138"/>
    </row>
    <row r="15" spans="1:8" ht="18.75" hidden="1" thickBot="1" x14ac:dyDescent="0.25">
      <c r="A15" s="142"/>
      <c r="B15" s="143"/>
      <c r="C15" s="143"/>
      <c r="D15" s="143"/>
      <c r="E15" s="143"/>
      <c r="F15" s="143"/>
      <c r="G15" s="143"/>
      <c r="H15" s="143"/>
    </row>
    <row r="16" spans="1:8" ht="75" hidden="1" x14ac:dyDescent="0.2">
      <c r="A16" s="9" t="s">
        <v>0</v>
      </c>
      <c r="B16" s="114"/>
      <c r="C16" s="114"/>
      <c r="D16" s="15" t="s">
        <v>115</v>
      </c>
      <c r="E16" s="9" t="s">
        <v>40</v>
      </c>
      <c r="F16" s="135" t="s">
        <v>10</v>
      </c>
      <c r="G16" s="136"/>
      <c r="H16" s="9" t="s">
        <v>73</v>
      </c>
    </row>
    <row r="17" spans="1:8" ht="30" hidden="1" x14ac:dyDescent="0.2">
      <c r="A17" s="16" t="s">
        <v>42</v>
      </c>
      <c r="B17" s="215" t="s">
        <v>170</v>
      </c>
      <c r="C17" s="216"/>
      <c r="D17" s="19"/>
      <c r="E17" s="19">
        <v>0.06</v>
      </c>
      <c r="F17" s="19">
        <f>+D17-E17</f>
        <v>-0.06</v>
      </c>
      <c r="G17" s="19">
        <f>+D17+E17</f>
        <v>0.06</v>
      </c>
      <c r="H17" s="20" t="s">
        <v>105</v>
      </c>
    </row>
    <row r="18" spans="1:8" ht="30" hidden="1" x14ac:dyDescent="0.2">
      <c r="A18" s="16" t="s">
        <v>39</v>
      </c>
      <c r="B18" s="19"/>
      <c r="C18" s="19"/>
      <c r="D18" s="19"/>
      <c r="E18" s="19">
        <v>0.05</v>
      </c>
      <c r="F18" s="19">
        <v>0</v>
      </c>
      <c r="G18" s="19">
        <f>+D18+E18</f>
        <v>0.05</v>
      </c>
      <c r="H18" s="20" t="s">
        <v>3</v>
      </c>
    </row>
    <row r="19" spans="1:8" ht="90" hidden="1" x14ac:dyDescent="0.2">
      <c r="A19" s="16" t="s">
        <v>70</v>
      </c>
      <c r="B19" s="19"/>
      <c r="C19" s="19"/>
      <c r="D19" s="19"/>
      <c r="E19" s="19">
        <v>0.06</v>
      </c>
      <c r="F19" s="19">
        <f>+D19-E19</f>
        <v>-0.06</v>
      </c>
      <c r="G19" s="19">
        <f>+D19+E19</f>
        <v>0.06</v>
      </c>
      <c r="H19" s="20" t="s">
        <v>74</v>
      </c>
    </row>
    <row r="20" spans="1:8" ht="15" hidden="1" x14ac:dyDescent="0.2">
      <c r="A20" s="16" t="s">
        <v>37</v>
      </c>
      <c r="B20" s="19"/>
      <c r="C20" s="19"/>
      <c r="D20" s="19">
        <v>0.03</v>
      </c>
      <c r="E20" s="19"/>
      <c r="F20" s="19"/>
      <c r="G20" s="19"/>
      <c r="H20" s="20"/>
    </row>
    <row r="21" spans="1:8" ht="15" hidden="1" x14ac:dyDescent="0.2">
      <c r="A21" s="16" t="s">
        <v>8</v>
      </c>
      <c r="B21" s="19">
        <f>SUM(B17:B20)</f>
        <v>0</v>
      </c>
      <c r="C21" s="19">
        <f>SUM(C17:C20)</f>
        <v>0</v>
      </c>
      <c r="D21" s="19">
        <v>1</v>
      </c>
      <c r="E21" s="19"/>
      <c r="F21" s="19"/>
      <c r="G21" s="19"/>
      <c r="H21" s="20"/>
    </row>
    <row r="22" spans="1:8" ht="15" hidden="1" x14ac:dyDescent="0.2">
      <c r="A22" s="16" t="s">
        <v>13</v>
      </c>
      <c r="B22" s="19"/>
      <c r="C22" s="19"/>
      <c r="D22" s="19">
        <v>0.18</v>
      </c>
      <c r="E22" s="19">
        <v>0.06</v>
      </c>
      <c r="F22" s="19">
        <f>+D22-E22</f>
        <v>0.12</v>
      </c>
      <c r="G22" s="19">
        <f>+D22+E22</f>
        <v>0.24</v>
      </c>
      <c r="H22" s="20"/>
    </row>
    <row r="23" spans="1:8" ht="15" hidden="1" x14ac:dyDescent="0.2">
      <c r="A23" s="97" t="s">
        <v>116</v>
      </c>
      <c r="B23" s="220">
        <v>5.0000000000000001E-4</v>
      </c>
      <c r="C23" s="221"/>
      <c r="D23" s="221"/>
      <c r="E23" s="221"/>
      <c r="F23" s="221"/>
      <c r="G23" s="221"/>
      <c r="H23" s="221"/>
    </row>
    <row r="25" spans="1:8" x14ac:dyDescent="0.2">
      <c r="A25" s="147" t="s">
        <v>106</v>
      </c>
      <c r="B25" s="147"/>
      <c r="C25" s="147"/>
      <c r="D25" s="147"/>
      <c r="E25" s="147"/>
      <c r="F25" s="147"/>
    </row>
    <row r="26" spans="1:8" ht="18" x14ac:dyDescent="0.2">
      <c r="A26" s="137" t="s">
        <v>211</v>
      </c>
      <c r="B26" s="138"/>
      <c r="C26" s="138"/>
      <c r="D26" s="138"/>
      <c r="E26" s="138"/>
      <c r="F26" s="138"/>
      <c r="G26" s="146" t="s">
        <v>223</v>
      </c>
    </row>
    <row r="27" spans="1:8" ht="18" x14ac:dyDescent="0.2">
      <c r="A27" s="142" t="s">
        <v>192</v>
      </c>
      <c r="B27" s="143"/>
      <c r="C27" s="143"/>
      <c r="D27" s="143"/>
      <c r="E27" s="143"/>
      <c r="F27" s="143"/>
      <c r="G27" s="146"/>
    </row>
    <row r="28" spans="1:8" ht="45" x14ac:dyDescent="0.2">
      <c r="A28" s="9" t="s">
        <v>0</v>
      </c>
      <c r="B28" s="15" t="s">
        <v>215</v>
      </c>
      <c r="C28" s="9" t="s">
        <v>40</v>
      </c>
      <c r="D28" s="135" t="s">
        <v>10</v>
      </c>
      <c r="E28" s="136"/>
      <c r="F28" s="9" t="s">
        <v>73</v>
      </c>
      <c r="G28" s="146"/>
    </row>
    <row r="29" spans="1:8" ht="30" x14ac:dyDescent="0.2">
      <c r="A29" s="16" t="s">
        <v>42</v>
      </c>
      <c r="B29" s="19">
        <v>0.94</v>
      </c>
      <c r="C29" s="19">
        <v>0.06</v>
      </c>
      <c r="D29" s="19">
        <f>+B29-C29</f>
        <v>0.87999999999999989</v>
      </c>
      <c r="E29" s="19">
        <f>+B29+C29</f>
        <v>1</v>
      </c>
      <c r="F29" s="20" t="s">
        <v>214</v>
      </c>
      <c r="G29" s="146"/>
    </row>
    <row r="30" spans="1:8" ht="15" x14ac:dyDescent="0.2">
      <c r="A30" s="16" t="s">
        <v>37</v>
      </c>
      <c r="B30" s="19">
        <v>0.06</v>
      </c>
      <c r="C30" s="19"/>
      <c r="D30" s="19"/>
      <c r="E30" s="19"/>
      <c r="F30" s="20"/>
      <c r="G30" s="146"/>
    </row>
    <row r="31" spans="1:8" ht="15" x14ac:dyDescent="0.2">
      <c r="A31" s="16" t="s">
        <v>8</v>
      </c>
      <c r="B31" s="19">
        <v>1</v>
      </c>
      <c r="C31" s="19"/>
      <c r="D31" s="19"/>
      <c r="E31" s="19"/>
      <c r="F31" s="20"/>
      <c r="G31" s="146"/>
    </row>
    <row r="32" spans="1:8" ht="15" x14ac:dyDescent="0.2">
      <c r="A32" s="16" t="s">
        <v>13</v>
      </c>
      <c r="B32" s="19">
        <v>0.2</v>
      </c>
      <c r="C32" s="19">
        <v>0.06</v>
      </c>
      <c r="D32" s="19">
        <f>+B32-C32</f>
        <v>0.14000000000000001</v>
      </c>
      <c r="E32" s="19">
        <f>+B32+C32</f>
        <v>0.26</v>
      </c>
      <c r="F32" s="20"/>
      <c r="G32" s="146"/>
    </row>
    <row r="33" spans="1:7" ht="15" x14ac:dyDescent="0.2">
      <c r="A33" s="16" t="s">
        <v>116</v>
      </c>
      <c r="B33" s="169">
        <v>1.5E-3</v>
      </c>
      <c r="C33" s="170"/>
      <c r="D33" s="170"/>
      <c r="E33" s="170"/>
      <c r="F33" s="170"/>
      <c r="G33" s="146"/>
    </row>
    <row r="34" spans="1:7" x14ac:dyDescent="0.2">
      <c r="A34" s="147" t="s">
        <v>110</v>
      </c>
      <c r="B34" s="147"/>
      <c r="C34" s="147"/>
      <c r="D34" s="147"/>
      <c r="E34" s="147"/>
      <c r="F34" s="147"/>
    </row>
    <row r="35" spans="1:7" x14ac:dyDescent="0.2">
      <c r="A35" s="147" t="s">
        <v>106</v>
      </c>
      <c r="B35" s="147"/>
      <c r="C35" s="147"/>
      <c r="D35" s="147"/>
      <c r="E35" s="147"/>
      <c r="F35" s="147"/>
    </row>
    <row r="36" spans="1:7" ht="18" x14ac:dyDescent="0.2">
      <c r="A36" s="137" t="s">
        <v>212</v>
      </c>
      <c r="B36" s="138"/>
      <c r="C36" s="138"/>
      <c r="D36" s="138"/>
      <c r="E36" s="138"/>
      <c r="F36" s="138"/>
      <c r="G36" s="146" t="s">
        <v>223</v>
      </c>
    </row>
    <row r="37" spans="1:7" ht="18" x14ac:dyDescent="0.2">
      <c r="A37" s="142" t="s">
        <v>191</v>
      </c>
      <c r="B37" s="143"/>
      <c r="C37" s="143"/>
      <c r="D37" s="143"/>
      <c r="E37" s="143"/>
      <c r="F37" s="143"/>
      <c r="G37" s="146"/>
    </row>
    <row r="38" spans="1:7" ht="45" x14ac:dyDescent="0.2">
      <c r="A38" s="9" t="s">
        <v>0</v>
      </c>
      <c r="B38" s="15" t="s">
        <v>215</v>
      </c>
      <c r="C38" s="9" t="s">
        <v>40</v>
      </c>
      <c r="D38" s="135" t="s">
        <v>10</v>
      </c>
      <c r="E38" s="136"/>
      <c r="F38" s="9" t="s">
        <v>73</v>
      </c>
      <c r="G38" s="146"/>
    </row>
    <row r="39" spans="1:7" ht="30" x14ac:dyDescent="0.2">
      <c r="A39" s="16" t="s">
        <v>42</v>
      </c>
      <c r="B39" s="19">
        <v>0.19</v>
      </c>
      <c r="C39" s="19">
        <v>0.06</v>
      </c>
      <c r="D39" s="19">
        <f>+B39-C39</f>
        <v>0.13</v>
      </c>
      <c r="E39" s="19">
        <f>+B39+C39</f>
        <v>0.25</v>
      </c>
      <c r="F39" s="104" t="s">
        <v>84</v>
      </c>
      <c r="G39" s="146"/>
    </row>
    <row r="40" spans="1:7" ht="30" x14ac:dyDescent="0.2">
      <c r="A40" s="16" t="s">
        <v>39</v>
      </c>
      <c r="B40" s="19">
        <v>0.2</v>
      </c>
      <c r="C40" s="19">
        <v>0.05</v>
      </c>
      <c r="D40" s="19">
        <f>+B40-C40</f>
        <v>0.15000000000000002</v>
      </c>
      <c r="E40" s="19">
        <f>+B40+C40</f>
        <v>0.25</v>
      </c>
      <c r="F40" s="20" t="s">
        <v>3</v>
      </c>
      <c r="G40" s="146"/>
    </row>
    <row r="41" spans="1:7" ht="60" x14ac:dyDescent="0.2">
      <c r="A41" s="16" t="s">
        <v>70</v>
      </c>
      <c r="B41" s="19">
        <v>0.56000000000000005</v>
      </c>
      <c r="C41" s="19">
        <v>0.06</v>
      </c>
      <c r="D41" s="19">
        <f>+B41-C41</f>
        <v>0.5</v>
      </c>
      <c r="E41" s="19">
        <f>+B41+C41</f>
        <v>0.62000000000000011</v>
      </c>
      <c r="F41" s="20" t="s">
        <v>74</v>
      </c>
      <c r="G41" s="146"/>
    </row>
    <row r="42" spans="1:7" ht="15" x14ac:dyDescent="0.2">
      <c r="A42" s="16" t="s">
        <v>37</v>
      </c>
      <c r="B42" s="19">
        <v>0.05</v>
      </c>
      <c r="C42" s="19"/>
      <c r="D42" s="19"/>
      <c r="E42" s="19"/>
      <c r="F42" s="20"/>
      <c r="G42" s="146"/>
    </row>
    <row r="43" spans="1:7" ht="15" x14ac:dyDescent="0.2">
      <c r="A43" s="16" t="s">
        <v>8</v>
      </c>
      <c r="B43" s="19">
        <f>SUM(B39:B42)</f>
        <v>1</v>
      </c>
      <c r="C43" s="19"/>
      <c r="D43" s="19"/>
      <c r="E43" s="19"/>
      <c r="F43" s="20"/>
      <c r="G43" s="146"/>
    </row>
    <row r="44" spans="1:7" ht="15" x14ac:dyDescent="0.2">
      <c r="A44" s="16" t="s">
        <v>13</v>
      </c>
      <c r="B44" s="19">
        <v>0.1</v>
      </c>
      <c r="C44" s="19">
        <v>0.06</v>
      </c>
      <c r="D44" s="19">
        <f>+B44-C44</f>
        <v>4.0000000000000008E-2</v>
      </c>
      <c r="E44" s="19">
        <f>+B44+C44</f>
        <v>0.16</v>
      </c>
      <c r="F44" s="20"/>
      <c r="G44" s="146"/>
    </row>
    <row r="45" spans="1:7" ht="15" x14ac:dyDescent="0.2">
      <c r="A45" s="16" t="s">
        <v>116</v>
      </c>
      <c r="B45" s="169">
        <v>1.1000000000000001E-3</v>
      </c>
      <c r="C45" s="170"/>
      <c r="D45" s="170"/>
      <c r="E45" s="170"/>
      <c r="F45" s="170"/>
      <c r="G45" s="146"/>
    </row>
    <row r="46" spans="1:7" x14ac:dyDescent="0.2">
      <c r="A46" s="147" t="s">
        <v>110</v>
      </c>
      <c r="B46" s="147"/>
      <c r="C46" s="147"/>
      <c r="D46" s="147"/>
      <c r="E46" s="147"/>
      <c r="F46" s="147"/>
    </row>
    <row r="47" spans="1:7" x14ac:dyDescent="0.2">
      <c r="A47" s="14" t="s">
        <v>38</v>
      </c>
    </row>
    <row r="48" spans="1:7" x14ac:dyDescent="0.2">
      <c r="A48" s="14" t="s">
        <v>72</v>
      </c>
    </row>
    <row r="49" spans="1:6" x14ac:dyDescent="0.2">
      <c r="A49" s="147" t="s">
        <v>109</v>
      </c>
      <c r="B49" s="147"/>
      <c r="C49" s="147"/>
      <c r="D49" s="147"/>
      <c r="E49" s="147"/>
      <c r="F49" s="147"/>
    </row>
  </sheetData>
  <mergeCells count="28">
    <mergeCell ref="G36:G45"/>
    <mergeCell ref="A46:F46"/>
    <mergeCell ref="A49:F49"/>
    <mergeCell ref="B23:H23"/>
    <mergeCell ref="A26:F26"/>
    <mergeCell ref="A25:F25"/>
    <mergeCell ref="G26:G33"/>
    <mergeCell ref="A27:F27"/>
    <mergeCell ref="A36:F36"/>
    <mergeCell ref="A37:F37"/>
    <mergeCell ref="D38:E38"/>
    <mergeCell ref="B45:F45"/>
    <mergeCell ref="B33:F33"/>
    <mergeCell ref="D28:E28"/>
    <mergeCell ref="A34:F34"/>
    <mergeCell ref="A35:F35"/>
    <mergeCell ref="A1:F1"/>
    <mergeCell ref="A4:F4"/>
    <mergeCell ref="A3:F3"/>
    <mergeCell ref="D5:E5"/>
    <mergeCell ref="B17:C17"/>
    <mergeCell ref="A2:F2"/>
    <mergeCell ref="A13:F13"/>
    <mergeCell ref="F16:G16"/>
    <mergeCell ref="A14:H14"/>
    <mergeCell ref="A15:H15"/>
    <mergeCell ref="B12:F12"/>
    <mergeCell ref="G3:G12"/>
  </mergeCells>
  <pageMargins left="0.25" right="0.25" top="0.4" bottom="0.75" header="0.3" footer="0.3"/>
  <pageSetup paperSize="9" scale="71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I47"/>
  <sheetViews>
    <sheetView showGridLines="0" rightToLeft="1" topLeftCell="A29" zoomScale="80" zoomScaleNormal="80" zoomScaleSheetLayoutView="100" workbookViewId="0">
      <selection activeCell="A47" sqref="A47:F47"/>
    </sheetView>
  </sheetViews>
  <sheetFormatPr defaultColWidth="8.125" defaultRowHeight="14.25" x14ac:dyDescent="0.2"/>
  <cols>
    <col min="1" max="1" width="37.125" style="27" customWidth="1"/>
    <col min="2" max="2" width="12.125" style="27" customWidth="1"/>
    <col min="3" max="3" width="10.625" style="27" customWidth="1"/>
    <col min="4" max="5" width="12" style="27" customWidth="1"/>
    <col min="6" max="6" width="38.875" style="28" customWidth="1"/>
    <col min="7" max="7" width="31.625" style="28" customWidth="1"/>
    <col min="8" max="8" width="34.125" style="28" customWidth="1"/>
    <col min="9" max="9" width="36.5" style="28" customWidth="1"/>
    <col min="10" max="16384" width="8.125" style="28"/>
  </cols>
  <sheetData>
    <row r="1" spans="1:9" ht="30" customHeight="1" thickBot="1" x14ac:dyDescent="0.25">
      <c r="A1" s="148" t="s">
        <v>114</v>
      </c>
      <c r="B1" s="148"/>
      <c r="C1" s="148"/>
      <c r="D1" s="148"/>
      <c r="E1" s="148"/>
      <c r="F1" s="148"/>
      <c r="G1" s="148"/>
      <c r="H1" s="148"/>
    </row>
    <row r="2" spans="1:9" ht="30" customHeight="1" thickTop="1" x14ac:dyDescent="0.2">
      <c r="A2" s="168" t="s">
        <v>100</v>
      </c>
      <c r="B2" s="168"/>
      <c r="C2" s="168"/>
      <c r="D2" s="168"/>
      <c r="E2" s="168"/>
      <c r="F2" s="168"/>
      <c r="G2" s="168"/>
      <c r="H2" s="168"/>
    </row>
    <row r="3" spans="1:9" ht="18.75" customHeight="1" x14ac:dyDescent="0.2">
      <c r="A3" s="178" t="s">
        <v>182</v>
      </c>
      <c r="B3" s="157"/>
      <c r="C3" s="157"/>
      <c r="D3" s="157"/>
      <c r="E3" s="157"/>
      <c r="F3" s="157"/>
      <c r="G3" s="157"/>
      <c r="H3" s="157"/>
      <c r="I3" s="193" t="s">
        <v>223</v>
      </c>
    </row>
    <row r="4" spans="1:9" ht="18.75" thickBot="1" x14ac:dyDescent="0.25">
      <c r="A4" s="178" t="s">
        <v>166</v>
      </c>
      <c r="B4" s="157"/>
      <c r="C4" s="157"/>
      <c r="D4" s="157"/>
      <c r="E4" s="157"/>
      <c r="F4" s="157"/>
      <c r="G4" s="157"/>
      <c r="H4" s="157"/>
      <c r="I4" s="193"/>
    </row>
    <row r="5" spans="1:9" ht="60" x14ac:dyDescent="0.2">
      <c r="A5" s="65" t="s">
        <v>0</v>
      </c>
      <c r="B5" s="15" t="s">
        <v>215</v>
      </c>
      <c r="C5" s="114" t="s">
        <v>216</v>
      </c>
      <c r="D5" s="65" t="s">
        <v>40</v>
      </c>
      <c r="E5" s="172" t="s">
        <v>10</v>
      </c>
      <c r="F5" s="173"/>
      <c r="G5" s="174" t="s">
        <v>73</v>
      </c>
      <c r="H5" s="175"/>
      <c r="I5" s="193"/>
    </row>
    <row r="6" spans="1:9" ht="15" customHeight="1" x14ac:dyDescent="0.2">
      <c r="A6" s="118" t="s">
        <v>29</v>
      </c>
      <c r="B6" s="120">
        <v>0.37</v>
      </c>
      <c r="C6" s="119">
        <v>0.37359999999999999</v>
      </c>
      <c r="D6" s="119">
        <v>0.06</v>
      </c>
      <c r="E6" s="119">
        <f>+B6-D6</f>
        <v>0.31</v>
      </c>
      <c r="F6" s="119">
        <f>+B6+D6</f>
        <v>0.43</v>
      </c>
      <c r="G6" s="181" t="s">
        <v>213</v>
      </c>
      <c r="H6" s="182"/>
      <c r="I6" s="193"/>
    </row>
    <row r="7" spans="1:9" ht="15" customHeight="1" x14ac:dyDescent="0.2">
      <c r="A7" s="117" t="s">
        <v>48</v>
      </c>
      <c r="B7" s="51">
        <v>0.27</v>
      </c>
      <c r="C7" s="51">
        <v>0.27</v>
      </c>
      <c r="D7" s="51">
        <v>0.05</v>
      </c>
      <c r="E7" s="119">
        <f t="shared" ref="E7:E8" si="0">+B7-D7</f>
        <v>0.22000000000000003</v>
      </c>
      <c r="F7" s="119">
        <f t="shared" ref="F7:F8" si="1">+B7+D7</f>
        <v>0.32</v>
      </c>
      <c r="G7" s="185" t="s">
        <v>179</v>
      </c>
      <c r="H7" s="186"/>
      <c r="I7" s="193"/>
    </row>
    <row r="8" spans="1:9" ht="57" customHeight="1" x14ac:dyDescent="0.2">
      <c r="A8" s="118" t="s">
        <v>70</v>
      </c>
      <c r="B8" s="119">
        <v>0.31</v>
      </c>
      <c r="C8" s="119">
        <v>0.31</v>
      </c>
      <c r="D8" s="119">
        <v>0.06</v>
      </c>
      <c r="E8" s="119">
        <f t="shared" si="0"/>
        <v>0.25</v>
      </c>
      <c r="F8" s="119">
        <f t="shared" si="1"/>
        <v>0.37</v>
      </c>
      <c r="G8" s="181" t="s">
        <v>180</v>
      </c>
      <c r="H8" s="182"/>
      <c r="I8" s="193"/>
    </row>
    <row r="9" spans="1:9" ht="15.75" customHeight="1" x14ac:dyDescent="0.2">
      <c r="A9" s="44" t="s">
        <v>37</v>
      </c>
      <c r="B9" s="45">
        <v>0.05</v>
      </c>
      <c r="C9" s="45">
        <v>4.5199999999999997E-2</v>
      </c>
      <c r="D9" s="45"/>
      <c r="E9" s="60"/>
      <c r="F9" s="60"/>
      <c r="G9" s="185"/>
      <c r="H9" s="186"/>
      <c r="I9" s="193"/>
    </row>
    <row r="10" spans="1:9" ht="15" x14ac:dyDescent="0.2">
      <c r="A10" s="44" t="s">
        <v>8</v>
      </c>
      <c r="B10" s="45">
        <f>SUM(B6:B9)</f>
        <v>1</v>
      </c>
      <c r="C10" s="45">
        <v>1</v>
      </c>
      <c r="D10" s="45"/>
      <c r="E10" s="45"/>
      <c r="F10" s="45"/>
      <c r="G10" s="185"/>
      <c r="H10" s="186"/>
      <c r="I10" s="193"/>
    </row>
    <row r="11" spans="1:9" ht="15" x14ac:dyDescent="0.2">
      <c r="A11" s="44" t="s">
        <v>13</v>
      </c>
      <c r="B11" s="45">
        <v>0.95</v>
      </c>
      <c r="C11" s="45">
        <v>0.21</v>
      </c>
      <c r="D11" s="45">
        <v>0.06</v>
      </c>
      <c r="E11" s="39">
        <f>+B11-D11</f>
        <v>0.8899999999999999</v>
      </c>
      <c r="F11" s="39">
        <f>+B11+D11</f>
        <v>1.01</v>
      </c>
      <c r="G11" s="185"/>
      <c r="H11" s="186"/>
      <c r="I11" s="193"/>
    </row>
    <row r="12" spans="1:9" customFormat="1" ht="18" x14ac:dyDescent="0.2">
      <c r="A12" s="16" t="s">
        <v>116</v>
      </c>
      <c r="B12" s="144">
        <v>1.5E-3</v>
      </c>
      <c r="C12" s="139"/>
      <c r="D12" s="139"/>
      <c r="E12" s="139"/>
      <c r="F12" s="139"/>
      <c r="G12" s="139"/>
      <c r="H12" s="139"/>
      <c r="I12" s="193"/>
    </row>
    <row r="13" spans="1:9" customFormat="1" ht="18" customHeight="1" x14ac:dyDescent="0.2">
      <c r="A13" s="192" t="s">
        <v>101</v>
      </c>
      <c r="B13" s="192"/>
      <c r="C13" s="192"/>
      <c r="D13" s="192"/>
      <c r="E13" s="192"/>
      <c r="F13" s="192"/>
      <c r="G13" s="192"/>
      <c r="H13" s="192"/>
    </row>
    <row r="14" spans="1:9" x14ac:dyDescent="0.2">
      <c r="A14" s="155" t="s">
        <v>111</v>
      </c>
      <c r="B14" s="155"/>
      <c r="C14" s="155"/>
      <c r="D14" s="155"/>
      <c r="E14" s="155"/>
      <c r="F14" s="155"/>
      <c r="G14" s="155"/>
    </row>
    <row r="15" spans="1:9" ht="15" thickBot="1" x14ac:dyDescent="0.25">
      <c r="A15" s="224" t="s">
        <v>100</v>
      </c>
      <c r="B15" s="224"/>
      <c r="C15" s="224"/>
      <c r="D15" s="224"/>
      <c r="E15" s="224"/>
      <c r="F15" s="224"/>
    </row>
    <row r="16" spans="1:9" ht="25.5" customHeight="1" thickBot="1" x14ac:dyDescent="0.25">
      <c r="A16" s="226" t="s">
        <v>183</v>
      </c>
      <c r="B16" s="227"/>
      <c r="C16" s="227"/>
      <c r="D16" s="227"/>
      <c r="E16" s="227"/>
      <c r="F16" s="227"/>
      <c r="G16" s="193" t="s">
        <v>223</v>
      </c>
    </row>
    <row r="17" spans="1:7" ht="33" customHeight="1" thickBot="1" x14ac:dyDescent="0.25">
      <c r="A17" s="197" t="s">
        <v>165</v>
      </c>
      <c r="B17" s="198"/>
      <c r="C17" s="198"/>
      <c r="D17" s="198"/>
      <c r="E17" s="198"/>
      <c r="F17" s="198"/>
      <c r="G17" s="193"/>
    </row>
    <row r="18" spans="1:7" ht="60" x14ac:dyDescent="0.2">
      <c r="A18" s="98" t="s">
        <v>0</v>
      </c>
      <c r="B18" s="15" t="s">
        <v>215</v>
      </c>
      <c r="C18" s="65" t="s">
        <v>40</v>
      </c>
      <c r="D18" s="164" t="s">
        <v>10</v>
      </c>
      <c r="E18" s="165"/>
      <c r="F18" s="101" t="s">
        <v>113</v>
      </c>
      <c r="G18" s="193"/>
    </row>
    <row r="19" spans="1:7" ht="30" x14ac:dyDescent="0.2">
      <c r="A19" s="102" t="s">
        <v>29</v>
      </c>
      <c r="B19" s="103">
        <v>0.94</v>
      </c>
      <c r="C19" s="103">
        <v>0.06</v>
      </c>
      <c r="D19" s="103">
        <f>+B19-C19</f>
        <v>0.87999999999999989</v>
      </c>
      <c r="E19" s="103">
        <f>+B19+C19</f>
        <v>1</v>
      </c>
      <c r="F19" s="104" t="s">
        <v>131</v>
      </c>
      <c r="G19" s="193"/>
    </row>
    <row r="20" spans="1:7" ht="25.5" customHeight="1" x14ac:dyDescent="0.2">
      <c r="A20" s="102" t="s">
        <v>37</v>
      </c>
      <c r="B20" s="103">
        <v>0.06</v>
      </c>
      <c r="C20" s="103"/>
      <c r="D20" s="103">
        <f>+B20-C20</f>
        <v>0.06</v>
      </c>
      <c r="E20" s="103">
        <f>+B20+C20</f>
        <v>0.06</v>
      </c>
      <c r="F20" s="105"/>
      <c r="G20" s="193"/>
    </row>
    <row r="21" spans="1:7" ht="23.25" customHeight="1" x14ac:dyDescent="0.2">
      <c r="A21" s="102" t="s">
        <v>8</v>
      </c>
      <c r="B21" s="103">
        <f>SUM(B19:B20)</f>
        <v>1</v>
      </c>
      <c r="C21" s="103"/>
      <c r="D21" s="103"/>
      <c r="E21" s="103"/>
      <c r="F21" s="105"/>
      <c r="G21" s="193"/>
    </row>
    <row r="22" spans="1:7" ht="35.25" customHeight="1" thickBot="1" x14ac:dyDescent="0.25">
      <c r="A22" s="107" t="s">
        <v>13</v>
      </c>
      <c r="B22" s="108">
        <v>0.96</v>
      </c>
      <c r="C22" s="108">
        <v>0.06</v>
      </c>
      <c r="D22" s="108">
        <f>IF(B22-C22&gt;0,B22-C22,0)</f>
        <v>0.89999999999999991</v>
      </c>
      <c r="E22" s="108">
        <f>B22+C22</f>
        <v>1.02</v>
      </c>
      <c r="F22" s="109"/>
      <c r="G22" s="193"/>
    </row>
    <row r="23" spans="1:7" ht="18" x14ac:dyDescent="0.2">
      <c r="A23" s="16" t="s">
        <v>116</v>
      </c>
      <c r="B23" s="222">
        <v>5.0000000000000001E-4</v>
      </c>
      <c r="C23" s="228"/>
      <c r="D23" s="228"/>
      <c r="E23" s="228"/>
      <c r="F23" s="223"/>
      <c r="G23" s="193"/>
    </row>
    <row r="24" spans="1:7" x14ac:dyDescent="0.2">
      <c r="A24" s="225" t="s">
        <v>111</v>
      </c>
      <c r="B24" s="225"/>
      <c r="C24" s="225"/>
      <c r="D24" s="225"/>
      <c r="E24" s="225"/>
      <c r="F24" s="225"/>
    </row>
    <row r="25" spans="1:7" x14ac:dyDescent="0.2">
      <c r="A25" s="155" t="s">
        <v>100</v>
      </c>
      <c r="B25" s="155"/>
      <c r="C25" s="155"/>
      <c r="D25" s="155"/>
      <c r="E25" s="155"/>
      <c r="F25" s="155"/>
    </row>
    <row r="26" spans="1:7" ht="18" customHeight="1" x14ac:dyDescent="0.2">
      <c r="A26" s="156" t="s">
        <v>217</v>
      </c>
      <c r="B26" s="157"/>
      <c r="C26" s="157"/>
      <c r="D26" s="157"/>
      <c r="E26" s="157"/>
      <c r="F26" s="157"/>
      <c r="G26" s="193" t="s">
        <v>223</v>
      </c>
    </row>
    <row r="27" spans="1:7" ht="18.75" thickBot="1" x14ac:dyDescent="0.25">
      <c r="A27" s="166" t="s">
        <v>194</v>
      </c>
      <c r="B27" s="167"/>
      <c r="C27" s="167"/>
      <c r="D27" s="167"/>
      <c r="E27" s="167"/>
      <c r="F27" s="167"/>
      <c r="G27" s="193"/>
    </row>
    <row r="28" spans="1:7" ht="60" x14ac:dyDescent="0.2">
      <c r="A28" s="98" t="s">
        <v>0</v>
      </c>
      <c r="B28" s="15" t="s">
        <v>215</v>
      </c>
      <c r="C28" s="65" t="s">
        <v>40</v>
      </c>
      <c r="D28" s="164" t="s">
        <v>10</v>
      </c>
      <c r="E28" s="165"/>
      <c r="F28" s="101" t="s">
        <v>113</v>
      </c>
      <c r="G28" s="193"/>
    </row>
    <row r="29" spans="1:7" ht="45" x14ac:dyDescent="0.2">
      <c r="A29" s="102" t="s">
        <v>29</v>
      </c>
      <c r="B29" s="103">
        <v>0.94</v>
      </c>
      <c r="C29" s="103">
        <v>0.06</v>
      </c>
      <c r="D29" s="103">
        <f>+B29-C29</f>
        <v>0.87999999999999989</v>
      </c>
      <c r="E29" s="103">
        <f>+B29+C29</f>
        <v>1</v>
      </c>
      <c r="F29" s="106" t="s">
        <v>174</v>
      </c>
      <c r="G29" s="193"/>
    </row>
    <row r="30" spans="1:7" ht="15" x14ac:dyDescent="0.2">
      <c r="A30" s="102" t="s">
        <v>37</v>
      </c>
      <c r="B30" s="103">
        <v>0.06</v>
      </c>
      <c r="C30" s="103"/>
      <c r="D30" s="103">
        <f>+B30-C30</f>
        <v>0.06</v>
      </c>
      <c r="E30" s="103">
        <f>+B30+C30</f>
        <v>0.06</v>
      </c>
      <c r="F30" s="106"/>
      <c r="G30" s="193"/>
    </row>
    <row r="31" spans="1:7" ht="15" customHeight="1" x14ac:dyDescent="0.2">
      <c r="A31" s="102" t="s">
        <v>8</v>
      </c>
      <c r="B31" s="103"/>
      <c r="C31" s="103"/>
      <c r="D31" s="103"/>
      <c r="E31" s="103"/>
      <c r="F31" s="106"/>
      <c r="G31" s="193"/>
    </row>
    <row r="32" spans="1:7" ht="15.75" thickBot="1" x14ac:dyDescent="0.25">
      <c r="A32" s="107" t="s">
        <v>13</v>
      </c>
      <c r="B32" s="108">
        <v>0.95</v>
      </c>
      <c r="C32" s="108">
        <v>0.06</v>
      </c>
      <c r="D32" s="108">
        <f>+B32-C32</f>
        <v>0.8899999999999999</v>
      </c>
      <c r="E32" s="108">
        <f>+B32+C32</f>
        <v>1.01</v>
      </c>
      <c r="F32" s="109"/>
      <c r="G32" s="193"/>
    </row>
    <row r="33" spans="1:7" ht="18" customHeight="1" x14ac:dyDescent="0.2">
      <c r="A33" s="16" t="s">
        <v>116</v>
      </c>
      <c r="B33" s="222">
        <v>8.0000000000000004E-4</v>
      </c>
      <c r="C33" s="223"/>
      <c r="D33" s="223"/>
      <c r="E33" s="223"/>
      <c r="F33" s="223"/>
      <c r="G33" s="193"/>
    </row>
    <row r="34" spans="1:7" x14ac:dyDescent="0.2">
      <c r="A34" s="151" t="s">
        <v>111</v>
      </c>
      <c r="B34" s="151"/>
      <c r="C34" s="151"/>
      <c r="D34" s="151"/>
      <c r="E34" s="151"/>
      <c r="F34" s="151"/>
    </row>
    <row r="35" spans="1:7" x14ac:dyDescent="0.2">
      <c r="A35" s="152" t="s">
        <v>100</v>
      </c>
      <c r="B35" s="152"/>
      <c r="C35" s="152"/>
      <c r="D35" s="152"/>
      <c r="E35" s="152"/>
      <c r="F35" s="152"/>
    </row>
    <row r="36" spans="1:7" ht="18" customHeight="1" x14ac:dyDescent="0.2">
      <c r="A36" s="156" t="s">
        <v>218</v>
      </c>
      <c r="B36" s="157"/>
      <c r="C36" s="157"/>
      <c r="D36" s="157"/>
      <c r="E36" s="157"/>
      <c r="F36" s="157"/>
      <c r="G36" s="155" t="s">
        <v>223</v>
      </c>
    </row>
    <row r="37" spans="1:7" ht="18.75" thickBot="1" x14ac:dyDescent="0.25">
      <c r="A37" s="166" t="s">
        <v>193</v>
      </c>
      <c r="B37" s="167"/>
      <c r="C37" s="167"/>
      <c r="D37" s="167"/>
      <c r="E37" s="167"/>
      <c r="F37" s="167"/>
      <c r="G37" s="155"/>
    </row>
    <row r="38" spans="1:7" ht="60" x14ac:dyDescent="0.2">
      <c r="A38" s="98" t="s">
        <v>0</v>
      </c>
      <c r="B38" s="15" t="s">
        <v>215</v>
      </c>
      <c r="C38" s="65" t="s">
        <v>40</v>
      </c>
      <c r="D38" s="164" t="s">
        <v>10</v>
      </c>
      <c r="E38" s="165"/>
      <c r="F38" s="101" t="s">
        <v>113</v>
      </c>
      <c r="G38" s="155"/>
    </row>
    <row r="39" spans="1:7" ht="45" x14ac:dyDescent="0.2">
      <c r="A39" s="102" t="s">
        <v>70</v>
      </c>
      <c r="B39" s="103">
        <v>0.98</v>
      </c>
      <c r="C39" s="103">
        <v>0.06</v>
      </c>
      <c r="D39" s="103">
        <f>+B39-C39</f>
        <v>0.91999999999999993</v>
      </c>
      <c r="E39" s="103">
        <f>+B39+C39-4%</f>
        <v>1</v>
      </c>
      <c r="F39" s="106" t="s">
        <v>180</v>
      </c>
      <c r="G39" s="155"/>
    </row>
    <row r="40" spans="1:7" ht="15" x14ac:dyDescent="0.2">
      <c r="A40" s="102" t="s">
        <v>37</v>
      </c>
      <c r="B40" s="103">
        <v>0.02</v>
      </c>
      <c r="C40" s="103"/>
      <c r="D40" s="103">
        <f>+B40-C40</f>
        <v>0.02</v>
      </c>
      <c r="E40" s="103">
        <f>+B40+C40</f>
        <v>0.02</v>
      </c>
      <c r="F40" s="105"/>
      <c r="G40" s="155"/>
    </row>
    <row r="41" spans="1:7" ht="15" x14ac:dyDescent="0.2">
      <c r="A41" s="102" t="s">
        <v>8</v>
      </c>
      <c r="B41" s="103">
        <f>SUM(B39:B40)</f>
        <v>1</v>
      </c>
      <c r="C41" s="103"/>
      <c r="D41" s="103"/>
      <c r="E41" s="103"/>
      <c r="F41" s="105"/>
      <c r="G41" s="155"/>
    </row>
    <row r="42" spans="1:7" ht="15.75" thickBot="1" x14ac:dyDescent="0.25">
      <c r="A42" s="107" t="s">
        <v>13</v>
      </c>
      <c r="B42" s="124">
        <v>0.95</v>
      </c>
      <c r="C42" s="108"/>
      <c r="D42" s="108">
        <v>0.89</v>
      </c>
      <c r="E42" s="108">
        <v>1.01</v>
      </c>
      <c r="F42" s="109"/>
      <c r="G42" s="155"/>
    </row>
    <row r="43" spans="1:7" ht="18" x14ac:dyDescent="0.2">
      <c r="A43" s="16" t="s">
        <v>116</v>
      </c>
      <c r="B43" s="222">
        <v>3.3E-3</v>
      </c>
      <c r="C43" s="223"/>
      <c r="D43" s="223"/>
      <c r="E43" s="223"/>
      <c r="F43" s="223"/>
      <c r="G43" s="155"/>
    </row>
    <row r="44" spans="1:7" x14ac:dyDescent="0.2">
      <c r="A44" s="151" t="s">
        <v>111</v>
      </c>
      <c r="B44" s="151"/>
      <c r="C44" s="151"/>
      <c r="D44" s="151"/>
      <c r="E44" s="151"/>
      <c r="F44" s="151"/>
    </row>
    <row r="45" spans="1:7" x14ac:dyDescent="0.2">
      <c r="A45" s="14" t="s">
        <v>38</v>
      </c>
      <c r="F45" s="27"/>
    </row>
    <row r="46" spans="1:7" x14ac:dyDescent="0.2">
      <c r="A46" s="14" t="s">
        <v>72</v>
      </c>
    </row>
    <row r="47" spans="1:7" x14ac:dyDescent="0.2">
      <c r="A47" s="152" t="s">
        <v>109</v>
      </c>
      <c r="B47" s="152"/>
      <c r="C47" s="152"/>
      <c r="D47" s="152"/>
      <c r="E47" s="152"/>
      <c r="F47" s="152"/>
    </row>
  </sheetData>
  <mergeCells count="38">
    <mergeCell ref="A44:F44"/>
    <mergeCell ref="A47:F47"/>
    <mergeCell ref="I3:I12"/>
    <mergeCell ref="A13:H13"/>
    <mergeCell ref="A15:F15"/>
    <mergeCell ref="G16:G23"/>
    <mergeCell ref="A24:F24"/>
    <mergeCell ref="B43:F43"/>
    <mergeCell ref="A14:G14"/>
    <mergeCell ref="A27:F27"/>
    <mergeCell ref="A16:F16"/>
    <mergeCell ref="A17:F17"/>
    <mergeCell ref="D18:E18"/>
    <mergeCell ref="B23:F23"/>
    <mergeCell ref="A1:H1"/>
    <mergeCell ref="B12:H12"/>
    <mergeCell ref="A3:H3"/>
    <mergeCell ref="A4:H4"/>
    <mergeCell ref="A2:H2"/>
    <mergeCell ref="E5:F5"/>
    <mergeCell ref="G7:H7"/>
    <mergeCell ref="G6:H6"/>
    <mergeCell ref="G8:H8"/>
    <mergeCell ref="G5:H5"/>
    <mergeCell ref="G9:H9"/>
    <mergeCell ref="G10:H10"/>
    <mergeCell ref="G11:H11"/>
    <mergeCell ref="A25:F25"/>
    <mergeCell ref="G26:G33"/>
    <mergeCell ref="A34:F34"/>
    <mergeCell ref="A26:F26"/>
    <mergeCell ref="D38:E38"/>
    <mergeCell ref="D28:E28"/>
    <mergeCell ref="A36:F36"/>
    <mergeCell ref="A37:F37"/>
    <mergeCell ref="B33:F33"/>
    <mergeCell ref="A35:F35"/>
    <mergeCell ref="G36:G43"/>
  </mergeCells>
  <pageMargins left="0.7" right="0.7" top="0.75" bottom="0.51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J27"/>
  <sheetViews>
    <sheetView showGridLines="0" rightToLeft="1" topLeftCell="C12" zoomScaleNormal="100" workbookViewId="0">
      <selection activeCell="C27" sqref="C27:H27"/>
    </sheetView>
  </sheetViews>
  <sheetFormatPr defaultColWidth="8" defaultRowHeight="14.25" x14ac:dyDescent="0.2"/>
  <cols>
    <col min="1" max="2" width="8" style="28"/>
    <col min="3" max="3" width="42.125" style="28" bestFit="1" customWidth="1"/>
    <col min="4" max="4" width="25" style="28" bestFit="1" customWidth="1"/>
    <col min="5" max="5" width="24.125" style="28" bestFit="1" customWidth="1"/>
    <col min="6" max="6" width="15.125" style="28" customWidth="1"/>
    <col min="7" max="7" width="15.25" style="28" customWidth="1"/>
    <col min="8" max="8" width="72.125" style="28" customWidth="1"/>
    <col min="9" max="9" width="19.125" style="28" customWidth="1"/>
    <col min="10" max="10" width="19.625" style="28" bestFit="1" customWidth="1"/>
    <col min="11" max="16384" width="8" style="28"/>
  </cols>
  <sheetData>
    <row r="1" spans="1:10" customFormat="1" ht="27.6" customHeight="1" x14ac:dyDescent="0.2">
      <c r="A1" s="92" t="s">
        <v>99</v>
      </c>
      <c r="B1" s="61"/>
      <c r="C1" s="61"/>
    </row>
    <row r="2" spans="1:10" ht="16.5" customHeight="1" thickBot="1" x14ac:dyDescent="0.25">
      <c r="A2" s="210"/>
      <c r="C2" s="224" t="s">
        <v>106</v>
      </c>
      <c r="D2" s="224"/>
      <c r="E2" s="224"/>
      <c r="F2" s="224"/>
      <c r="G2" s="224"/>
      <c r="H2" s="224"/>
    </row>
    <row r="3" spans="1:10" ht="15" thickBot="1" x14ac:dyDescent="0.25">
      <c r="A3" s="210"/>
      <c r="C3" s="197" t="s">
        <v>184</v>
      </c>
      <c r="D3" s="198"/>
      <c r="E3" s="198"/>
      <c r="F3" s="198"/>
      <c r="G3" s="198"/>
      <c r="H3" s="198"/>
      <c r="I3" s="155" t="s">
        <v>223</v>
      </c>
    </row>
    <row r="4" spans="1:10" s="76" customFormat="1" ht="15" thickBot="1" x14ac:dyDescent="0.25">
      <c r="A4" s="210"/>
      <c r="C4" s="197" t="s">
        <v>167</v>
      </c>
      <c r="D4" s="198"/>
      <c r="E4" s="198"/>
      <c r="F4" s="198"/>
      <c r="G4" s="198"/>
      <c r="H4" s="198"/>
      <c r="I4" s="155"/>
    </row>
    <row r="5" spans="1:10" s="76" customFormat="1" ht="30" x14ac:dyDescent="0.2">
      <c r="A5" s="92"/>
      <c r="C5" s="98" t="s">
        <v>0</v>
      </c>
      <c r="D5" s="15" t="s">
        <v>215</v>
      </c>
      <c r="E5" s="9" t="s">
        <v>40</v>
      </c>
      <c r="F5" s="164" t="s">
        <v>10</v>
      </c>
      <c r="G5" s="165"/>
      <c r="H5" s="101" t="s">
        <v>113</v>
      </c>
      <c r="I5" s="155"/>
    </row>
    <row r="6" spans="1:10" ht="30" x14ac:dyDescent="0.2">
      <c r="A6" s="92"/>
      <c r="C6" s="102" t="s">
        <v>29</v>
      </c>
      <c r="D6" s="103">
        <v>0.92</v>
      </c>
      <c r="E6" s="103">
        <v>0.06</v>
      </c>
      <c r="F6" s="103">
        <f>+D6-E6</f>
        <v>0.8600000000000001</v>
      </c>
      <c r="G6" s="103">
        <f>+D6+E6</f>
        <v>0.98</v>
      </c>
      <c r="H6" s="104" t="s">
        <v>221</v>
      </c>
      <c r="I6" s="155"/>
    </row>
    <row r="7" spans="1:10" ht="15" x14ac:dyDescent="0.2">
      <c r="C7" s="102" t="s">
        <v>37</v>
      </c>
      <c r="D7" s="103">
        <v>0.08</v>
      </c>
      <c r="E7" s="103"/>
      <c r="F7" s="103">
        <f>+D7-E7</f>
        <v>0.08</v>
      </c>
      <c r="G7" s="103">
        <f>+D7+E7</f>
        <v>0.08</v>
      </c>
      <c r="H7" s="105"/>
      <c r="I7" s="155"/>
    </row>
    <row r="8" spans="1:10" ht="15" x14ac:dyDescent="0.2">
      <c r="C8" s="102" t="s">
        <v>8</v>
      </c>
      <c r="D8" s="103">
        <f>SUM(E4:E7)</f>
        <v>0.06</v>
      </c>
      <c r="E8" s="103"/>
      <c r="F8" s="103"/>
      <c r="G8" s="103"/>
      <c r="H8" s="105"/>
      <c r="I8" s="155"/>
    </row>
    <row r="9" spans="1:10" ht="15.75" thickBot="1" x14ac:dyDescent="0.25">
      <c r="C9" s="107" t="s">
        <v>13</v>
      </c>
      <c r="D9" s="108">
        <v>0.93</v>
      </c>
      <c r="E9" s="108">
        <v>0.06</v>
      </c>
      <c r="F9" s="108">
        <f>+D9-E9</f>
        <v>0.87000000000000011</v>
      </c>
      <c r="G9" s="108">
        <f>+D9+E9</f>
        <v>0.99</v>
      </c>
      <c r="H9" s="109"/>
      <c r="I9" s="155"/>
    </row>
    <row r="10" spans="1:10" s="93" customFormat="1" ht="18" x14ac:dyDescent="0.2">
      <c r="A10" s="94"/>
      <c r="C10" s="16" t="s">
        <v>116</v>
      </c>
      <c r="D10" s="222">
        <v>5.0000000000000001E-4</v>
      </c>
      <c r="E10" s="223"/>
      <c r="F10" s="223"/>
      <c r="G10" s="223"/>
      <c r="H10" s="223"/>
      <c r="I10" s="155"/>
      <c r="J10" s="28"/>
    </row>
    <row r="11" spans="1:10" customFormat="1" x14ac:dyDescent="0.2">
      <c r="C11" s="162" t="s">
        <v>110</v>
      </c>
      <c r="D11" s="162"/>
      <c r="E11" s="162"/>
      <c r="F11" s="162"/>
      <c r="G11" s="162"/>
      <c r="H11" s="162"/>
      <c r="I11" s="28"/>
      <c r="J11" s="28"/>
    </row>
    <row r="12" spans="1:10" ht="15" customHeight="1" x14ac:dyDescent="0.2">
      <c r="C12" s="155" t="s">
        <v>106</v>
      </c>
      <c r="D12" s="155"/>
      <c r="E12" s="155"/>
      <c r="F12" s="155"/>
      <c r="G12" s="155"/>
      <c r="H12" s="155"/>
    </row>
    <row r="13" spans="1:10" ht="18" x14ac:dyDescent="0.2">
      <c r="C13" s="137" t="s">
        <v>219</v>
      </c>
      <c r="D13" s="138"/>
      <c r="E13" s="138"/>
      <c r="F13" s="138"/>
      <c r="G13" s="138"/>
      <c r="H13" s="138"/>
      <c r="I13" s="155" t="s">
        <v>223</v>
      </c>
    </row>
    <row r="14" spans="1:10" ht="18" x14ac:dyDescent="0.2">
      <c r="C14" s="142" t="s">
        <v>195</v>
      </c>
      <c r="D14" s="143"/>
      <c r="E14" s="143"/>
      <c r="F14" s="143"/>
      <c r="G14" s="143"/>
      <c r="H14" s="143"/>
      <c r="I14" s="155"/>
    </row>
    <row r="15" spans="1:10" ht="43.5" customHeight="1" x14ac:dyDescent="0.2">
      <c r="C15" s="9" t="s">
        <v>0</v>
      </c>
      <c r="D15" s="15" t="s">
        <v>215</v>
      </c>
      <c r="E15" s="9" t="s">
        <v>40</v>
      </c>
      <c r="F15" s="135" t="s">
        <v>10</v>
      </c>
      <c r="G15" s="136"/>
      <c r="H15" s="9" t="s">
        <v>73</v>
      </c>
      <c r="I15" s="155"/>
    </row>
    <row r="16" spans="1:10" ht="30" x14ac:dyDescent="0.2">
      <c r="C16" s="16" t="s">
        <v>29</v>
      </c>
      <c r="D16" s="19">
        <v>0.44</v>
      </c>
      <c r="E16" s="19">
        <v>0.06</v>
      </c>
      <c r="F16" s="19">
        <f>+D16-E16</f>
        <v>0.38</v>
      </c>
      <c r="G16" s="19">
        <f t="shared" ref="G16:G18" si="0">+D16+E16</f>
        <v>0.5</v>
      </c>
      <c r="H16" s="104" t="s">
        <v>84</v>
      </c>
      <c r="I16" s="155"/>
    </row>
    <row r="17" spans="3:10" ht="30" x14ac:dyDescent="0.2">
      <c r="C17" s="16" t="s">
        <v>39</v>
      </c>
      <c r="D17" s="19">
        <v>0.2</v>
      </c>
      <c r="E17" s="19">
        <v>0.05</v>
      </c>
      <c r="F17" s="19">
        <f>+D17-E17</f>
        <v>0.15000000000000002</v>
      </c>
      <c r="G17" s="19">
        <f>+D17+E17</f>
        <v>0.25</v>
      </c>
      <c r="H17" s="20" t="s">
        <v>3</v>
      </c>
      <c r="I17" s="155"/>
    </row>
    <row r="18" spans="3:10" ht="30" x14ac:dyDescent="0.2">
      <c r="C18" s="16" t="s">
        <v>70</v>
      </c>
      <c r="D18" s="19">
        <v>0.31</v>
      </c>
      <c r="E18" s="19">
        <v>0.06</v>
      </c>
      <c r="F18" s="19">
        <f>+D18-E18</f>
        <v>0.25</v>
      </c>
      <c r="G18" s="19">
        <f t="shared" si="0"/>
        <v>0.37</v>
      </c>
      <c r="H18" s="20" t="s">
        <v>59</v>
      </c>
      <c r="I18" s="155"/>
    </row>
    <row r="19" spans="3:10" ht="15" x14ac:dyDescent="0.2">
      <c r="C19" s="16" t="s">
        <v>37</v>
      </c>
      <c r="D19" s="19">
        <v>0.05</v>
      </c>
      <c r="E19" s="19"/>
      <c r="F19" s="19"/>
      <c r="G19" s="19"/>
      <c r="H19" s="20"/>
      <c r="I19" s="155"/>
    </row>
    <row r="20" spans="3:10" ht="15" x14ac:dyDescent="0.2">
      <c r="C20" s="16" t="s">
        <v>8</v>
      </c>
      <c r="D20" s="19">
        <f>SUM(D16:D19)</f>
        <v>1</v>
      </c>
      <c r="E20" s="19"/>
      <c r="F20" s="19"/>
      <c r="G20" s="19"/>
      <c r="H20" s="20"/>
      <c r="I20" s="155"/>
    </row>
    <row r="21" spans="3:10" ht="15" x14ac:dyDescent="0.2">
      <c r="C21" s="16" t="s">
        <v>13</v>
      </c>
      <c r="D21" s="19">
        <v>0.2</v>
      </c>
      <c r="E21" s="19">
        <v>0.06</v>
      </c>
      <c r="F21" s="19">
        <f>+D21-E21</f>
        <v>0.14000000000000001</v>
      </c>
      <c r="G21" s="19">
        <f>+D21+E21</f>
        <v>0.26</v>
      </c>
      <c r="H21" s="20"/>
      <c r="I21" s="155"/>
    </row>
    <row r="22" spans="3:10" ht="18" x14ac:dyDescent="0.2">
      <c r="C22" s="16" t="s">
        <v>116</v>
      </c>
      <c r="D22" s="222">
        <v>1.1000000000000001E-3</v>
      </c>
      <c r="E22" s="223"/>
      <c r="F22" s="223"/>
      <c r="G22" s="223"/>
      <c r="H22" s="223"/>
      <c r="I22" s="155"/>
    </row>
    <row r="23" spans="3:10" ht="18" customHeight="1" x14ac:dyDescent="0.2">
      <c r="C23" s="217" t="s">
        <v>110</v>
      </c>
      <c r="D23" s="217"/>
      <c r="E23" s="217"/>
      <c r="F23" s="217"/>
      <c r="G23" s="217"/>
      <c r="H23" s="217"/>
      <c r="I23" s="115"/>
    </row>
    <row r="24" spans="3:10" x14ac:dyDescent="0.2">
      <c r="C24" s="14" t="s">
        <v>38</v>
      </c>
      <c r="D24" s="14"/>
      <c r="E24" s="14"/>
      <c r="F24" s="14"/>
      <c r="G24" s="14"/>
      <c r="H24" s="14"/>
      <c r="I24"/>
      <c r="J24"/>
    </row>
    <row r="25" spans="3:10" x14ac:dyDescent="0.2">
      <c r="C25" s="14" t="s">
        <v>72</v>
      </c>
      <c r="D25"/>
      <c r="E25"/>
      <c r="F25"/>
      <c r="G25"/>
      <c r="H25"/>
      <c r="I25"/>
      <c r="J25"/>
    </row>
    <row r="26" spans="3:10" x14ac:dyDescent="0.2">
      <c r="C26" s="14" t="s">
        <v>103</v>
      </c>
    </row>
    <row r="27" spans="3:10" x14ac:dyDescent="0.2">
      <c r="C27" s="155" t="s">
        <v>109</v>
      </c>
      <c r="D27" s="155"/>
      <c r="E27" s="155"/>
      <c r="F27" s="155"/>
      <c r="G27" s="155"/>
      <c r="H27" s="155"/>
    </row>
  </sheetData>
  <mergeCells count="16">
    <mergeCell ref="C27:H27"/>
    <mergeCell ref="I3:I10"/>
    <mergeCell ref="C11:H11"/>
    <mergeCell ref="C12:H12"/>
    <mergeCell ref="I13:I22"/>
    <mergeCell ref="C23:H23"/>
    <mergeCell ref="C13:H13"/>
    <mergeCell ref="C14:H14"/>
    <mergeCell ref="D22:H22"/>
    <mergeCell ref="D10:H10"/>
    <mergeCell ref="A2:A4"/>
    <mergeCell ref="F5:G5"/>
    <mergeCell ref="C3:H3"/>
    <mergeCell ref="C4:H4"/>
    <mergeCell ref="F15:G15"/>
    <mergeCell ref="C2:H2"/>
  </mergeCells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4"/>
  <dimension ref="A1:F20"/>
  <sheetViews>
    <sheetView showGridLines="0" rightToLeft="1" zoomScaleNormal="100" zoomScaleSheetLayoutView="100" workbookViewId="0">
      <selection activeCell="A3" sqref="A3:G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3.5" customWidth="1"/>
  </cols>
  <sheetData>
    <row r="1" spans="1:6" ht="30" customHeight="1" x14ac:dyDescent="0.2">
      <c r="A1" s="230" t="s">
        <v>114</v>
      </c>
      <c r="B1" s="230"/>
      <c r="C1" s="230"/>
      <c r="D1" s="230"/>
      <c r="E1" s="230"/>
      <c r="F1" s="230"/>
    </row>
    <row r="2" spans="1:6" ht="30" customHeight="1" x14ac:dyDescent="0.2">
      <c r="A2" s="229" t="s">
        <v>98</v>
      </c>
      <c r="B2" s="229"/>
      <c r="C2" s="229"/>
      <c r="D2" s="229"/>
      <c r="E2" s="229"/>
      <c r="F2" s="229"/>
    </row>
    <row r="3" spans="1:6" ht="30" customHeight="1" x14ac:dyDescent="0.2">
      <c r="A3" s="233" t="s">
        <v>67</v>
      </c>
      <c r="B3" s="234"/>
      <c r="C3" s="234"/>
      <c r="D3" s="234"/>
      <c r="E3" s="234"/>
      <c r="F3" s="234"/>
    </row>
    <row r="4" spans="1:6" ht="18" customHeight="1" x14ac:dyDescent="0.2">
      <c r="A4" s="231" t="s">
        <v>156</v>
      </c>
      <c r="B4" s="232"/>
      <c r="C4" s="232"/>
      <c r="D4" s="232"/>
      <c r="E4" s="232"/>
      <c r="F4" s="232"/>
    </row>
    <row r="5" spans="1:6" ht="50.1" customHeight="1" x14ac:dyDescent="0.2">
      <c r="A5" s="9" t="s">
        <v>0</v>
      </c>
      <c r="B5" s="15" t="s">
        <v>115</v>
      </c>
      <c r="C5" s="9" t="s">
        <v>40</v>
      </c>
      <c r="D5" s="64" t="s">
        <v>10</v>
      </c>
      <c r="E5" s="64"/>
      <c r="F5" s="9" t="s">
        <v>73</v>
      </c>
    </row>
    <row r="6" spans="1:6" ht="27.6" customHeight="1" x14ac:dyDescent="0.2">
      <c r="A6" s="16" t="s">
        <v>42</v>
      </c>
      <c r="B6" s="18">
        <v>0</v>
      </c>
      <c r="C6" s="19">
        <v>0.01</v>
      </c>
      <c r="D6" s="19">
        <v>0</v>
      </c>
      <c r="E6" s="19">
        <f t="shared" ref="E6:E11" si="0">+B6+C6</f>
        <v>0.01</v>
      </c>
      <c r="F6" s="20"/>
    </row>
    <row r="7" spans="1:6" ht="27.6" customHeight="1" x14ac:dyDescent="0.2">
      <c r="A7" s="16" t="s">
        <v>39</v>
      </c>
      <c r="B7" s="17">
        <v>0.37</v>
      </c>
      <c r="C7" s="19">
        <v>0.05</v>
      </c>
      <c r="D7" s="19">
        <v>0</v>
      </c>
      <c r="E7" s="19">
        <f t="shared" si="0"/>
        <v>0.42</v>
      </c>
      <c r="F7" s="20" t="s">
        <v>3</v>
      </c>
    </row>
    <row r="8" spans="1:6" ht="25.5" customHeight="1" x14ac:dyDescent="0.2">
      <c r="A8" s="16" t="s">
        <v>104</v>
      </c>
      <c r="B8" s="17">
        <v>0.6</v>
      </c>
      <c r="C8" s="19">
        <v>0.05</v>
      </c>
      <c r="D8" s="19">
        <f>+B8-C8</f>
        <v>0.54999999999999993</v>
      </c>
      <c r="E8" s="19">
        <f t="shared" si="0"/>
        <v>0.65</v>
      </c>
      <c r="F8" s="20"/>
    </row>
    <row r="9" spans="1:6" ht="24" customHeight="1" x14ac:dyDescent="0.2">
      <c r="A9" s="16" t="s">
        <v>70</v>
      </c>
      <c r="B9" s="17">
        <v>0</v>
      </c>
      <c r="C9" s="19">
        <v>0.01</v>
      </c>
      <c r="D9" s="19">
        <v>0</v>
      </c>
      <c r="E9" s="19">
        <f t="shared" si="0"/>
        <v>0.01</v>
      </c>
      <c r="F9" s="20" t="s">
        <v>6</v>
      </c>
    </row>
    <row r="10" spans="1:6" ht="18.600000000000001" customHeight="1" x14ac:dyDescent="0.2">
      <c r="A10" s="16" t="s">
        <v>7</v>
      </c>
      <c r="B10" s="17">
        <v>0</v>
      </c>
      <c r="C10" s="19">
        <v>0</v>
      </c>
      <c r="D10" s="19">
        <v>0</v>
      </c>
      <c r="E10" s="19">
        <f t="shared" si="0"/>
        <v>0</v>
      </c>
      <c r="F10" s="20"/>
    </row>
    <row r="11" spans="1:6" ht="36.75" customHeight="1" x14ac:dyDescent="0.2">
      <c r="A11" s="16" t="s">
        <v>78</v>
      </c>
      <c r="B11" s="17">
        <v>0</v>
      </c>
      <c r="C11" s="19">
        <v>0</v>
      </c>
      <c r="D11" s="19">
        <v>0</v>
      </c>
      <c r="E11" s="19">
        <f t="shared" si="0"/>
        <v>0</v>
      </c>
      <c r="F11" s="20"/>
    </row>
    <row r="12" spans="1:6" ht="18.600000000000001" customHeight="1" x14ac:dyDescent="0.2">
      <c r="A12" s="16" t="s">
        <v>37</v>
      </c>
      <c r="B12" s="17">
        <v>0.03</v>
      </c>
      <c r="C12" s="19"/>
      <c r="D12" s="19"/>
      <c r="E12" s="19"/>
      <c r="F12" s="20"/>
    </row>
    <row r="13" spans="1:6" ht="18.600000000000001" customHeight="1" x14ac:dyDescent="0.2">
      <c r="A13" s="16" t="s">
        <v>8</v>
      </c>
      <c r="B13" s="18">
        <v>1</v>
      </c>
      <c r="C13" s="19"/>
      <c r="D13" s="19"/>
      <c r="E13" s="19"/>
      <c r="F13" s="20"/>
    </row>
    <row r="14" spans="1:6" ht="18.600000000000001" customHeight="1" x14ac:dyDescent="0.2">
      <c r="A14" s="16" t="s">
        <v>13</v>
      </c>
      <c r="B14" s="18">
        <v>0</v>
      </c>
      <c r="C14" s="19">
        <v>0.06</v>
      </c>
      <c r="D14" s="19">
        <v>0</v>
      </c>
      <c r="E14" s="19">
        <f>+B14+C14</f>
        <v>0.06</v>
      </c>
      <c r="F14" s="20"/>
    </row>
    <row r="15" spans="1:6" ht="33.75" customHeight="1" x14ac:dyDescent="0.2">
      <c r="A15" s="97" t="s">
        <v>116</v>
      </c>
      <c r="B15" s="153">
        <v>2E-3</v>
      </c>
      <c r="C15" s="154"/>
      <c r="D15" s="154"/>
      <c r="E15" s="154"/>
      <c r="F15" s="154"/>
    </row>
    <row r="16" spans="1:6" ht="33.75" customHeight="1" x14ac:dyDescent="0.2">
      <c r="A16" s="217" t="s">
        <v>110</v>
      </c>
      <c r="B16" s="217"/>
      <c r="C16" s="217"/>
      <c r="D16" s="217"/>
      <c r="E16" s="217"/>
      <c r="F16" s="217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72</v>
      </c>
    </row>
    <row r="19" spans="1:6" s="28" customFormat="1" x14ac:dyDescent="0.2">
      <c r="A19" s="14" t="s">
        <v>103</v>
      </c>
    </row>
    <row r="20" spans="1:6" x14ac:dyDescent="0.2">
      <c r="A20" s="147" t="s">
        <v>109</v>
      </c>
      <c r="B20" s="147"/>
      <c r="C20" s="147"/>
      <c r="D20" s="147"/>
      <c r="E20" s="147"/>
      <c r="F20" s="147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5"/>
  <dimension ref="A1:I20"/>
  <sheetViews>
    <sheetView showGridLines="0" rightToLeft="1" zoomScaleNormal="100" zoomScaleSheetLayoutView="100" workbookViewId="0">
      <selection activeCell="A3" sqref="A3:H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9" ht="30" customHeight="1" thickBot="1" x14ac:dyDescent="0.25">
      <c r="A1" s="148" t="s">
        <v>114</v>
      </c>
      <c r="B1" s="148"/>
      <c r="C1" s="148"/>
      <c r="D1" s="148"/>
      <c r="E1" s="148"/>
      <c r="F1" s="148"/>
    </row>
    <row r="2" spans="1:9" ht="30" customHeight="1" thickTop="1" thickBot="1" x14ac:dyDescent="0.25">
      <c r="A2" s="149" t="s">
        <v>100</v>
      </c>
      <c r="B2" s="149"/>
      <c r="C2" s="149"/>
      <c r="D2" s="149"/>
      <c r="E2" s="149"/>
      <c r="F2" s="149"/>
    </row>
    <row r="3" spans="1:9" ht="30" customHeight="1" thickTop="1" x14ac:dyDescent="0.2">
      <c r="A3" s="213" t="s">
        <v>68</v>
      </c>
      <c r="B3" s="214"/>
      <c r="C3" s="214"/>
      <c r="D3" s="214"/>
      <c r="E3" s="214"/>
      <c r="F3" s="214"/>
      <c r="H3" t="s">
        <v>134</v>
      </c>
      <c r="I3">
        <v>950</v>
      </c>
    </row>
    <row r="4" spans="1:9" ht="13.35" customHeight="1" x14ac:dyDescent="0.2">
      <c r="A4" s="234" t="s">
        <v>155</v>
      </c>
      <c r="B4" s="234"/>
      <c r="C4" s="234"/>
      <c r="D4" s="234"/>
      <c r="E4" s="234"/>
      <c r="F4" s="234"/>
    </row>
    <row r="5" spans="1:9" ht="50.1" customHeight="1" x14ac:dyDescent="0.2">
      <c r="A5" s="9" t="s">
        <v>0</v>
      </c>
      <c r="B5" s="15" t="s">
        <v>115</v>
      </c>
      <c r="C5" s="9" t="s">
        <v>40</v>
      </c>
      <c r="D5" s="64" t="s">
        <v>10</v>
      </c>
      <c r="E5" s="64"/>
      <c r="F5" s="9" t="s">
        <v>73</v>
      </c>
    </row>
    <row r="6" spans="1:9" ht="27.6" customHeight="1" x14ac:dyDescent="0.2">
      <c r="A6" s="16" t="s">
        <v>42</v>
      </c>
      <c r="B6" s="18">
        <v>0</v>
      </c>
      <c r="C6" s="19">
        <v>0.06</v>
      </c>
      <c r="D6" s="19">
        <v>0</v>
      </c>
      <c r="E6" s="19">
        <f t="shared" ref="E6:E11" si="0">+B6+C6</f>
        <v>0.06</v>
      </c>
      <c r="F6" s="20" t="s">
        <v>84</v>
      </c>
    </row>
    <row r="7" spans="1:9" ht="49.5" customHeight="1" x14ac:dyDescent="0.2">
      <c r="A7" s="16" t="s">
        <v>39</v>
      </c>
      <c r="B7" s="19">
        <v>0.15</v>
      </c>
      <c r="C7" s="19">
        <v>0.05</v>
      </c>
      <c r="D7" s="19">
        <v>0</v>
      </c>
      <c r="E7" s="19">
        <f t="shared" si="0"/>
        <v>0.2</v>
      </c>
      <c r="F7" s="20" t="s">
        <v>3</v>
      </c>
    </row>
    <row r="8" spans="1:9" ht="24.75" customHeight="1" x14ac:dyDescent="0.2">
      <c r="A8" s="16" t="s">
        <v>104</v>
      </c>
      <c r="B8" s="19">
        <v>0.8</v>
      </c>
      <c r="C8" s="19">
        <v>0.05</v>
      </c>
      <c r="D8" s="19">
        <f>+B8-C8</f>
        <v>0.75</v>
      </c>
      <c r="E8" s="19">
        <f t="shared" si="0"/>
        <v>0.85000000000000009</v>
      </c>
      <c r="F8" s="20"/>
    </row>
    <row r="9" spans="1:9" ht="25.5" customHeight="1" x14ac:dyDescent="0.2">
      <c r="A9" s="16" t="s">
        <v>70</v>
      </c>
      <c r="B9" s="19">
        <v>0</v>
      </c>
      <c r="C9" s="19">
        <v>0.06</v>
      </c>
      <c r="D9" s="19">
        <v>0</v>
      </c>
      <c r="E9" s="19">
        <f t="shared" si="0"/>
        <v>0.06</v>
      </c>
      <c r="F9" s="20" t="s">
        <v>6</v>
      </c>
    </row>
    <row r="10" spans="1:9" ht="30" customHeight="1" x14ac:dyDescent="0.2">
      <c r="A10" s="16" t="s">
        <v>7</v>
      </c>
      <c r="B10" s="19">
        <v>0</v>
      </c>
      <c r="C10" s="19">
        <v>0.05</v>
      </c>
      <c r="D10" s="19">
        <v>0</v>
      </c>
      <c r="E10" s="19">
        <f t="shared" si="0"/>
        <v>0.05</v>
      </c>
      <c r="F10" s="20"/>
    </row>
    <row r="11" spans="1:9" ht="30.75" customHeight="1" x14ac:dyDescent="0.2">
      <c r="A11" s="16" t="s">
        <v>78</v>
      </c>
      <c r="B11" s="19">
        <v>0</v>
      </c>
      <c r="C11" s="19">
        <v>0.05</v>
      </c>
      <c r="D11" s="19">
        <v>0</v>
      </c>
      <c r="E11" s="19">
        <f t="shared" si="0"/>
        <v>0.05</v>
      </c>
      <c r="F11" s="20"/>
    </row>
    <row r="12" spans="1:9" ht="18.600000000000001" customHeight="1" x14ac:dyDescent="0.2">
      <c r="A12" s="16" t="s">
        <v>37</v>
      </c>
      <c r="B12" s="19">
        <v>0.05</v>
      </c>
      <c r="C12" s="19"/>
      <c r="D12" s="19"/>
      <c r="E12" s="19"/>
      <c r="F12" s="20"/>
    </row>
    <row r="13" spans="1:9" ht="18.600000000000001" customHeight="1" x14ac:dyDescent="0.2">
      <c r="A13" s="22" t="s">
        <v>8</v>
      </c>
      <c r="B13" s="18">
        <v>1</v>
      </c>
      <c r="C13" s="23"/>
      <c r="D13" s="19"/>
      <c r="E13" s="19"/>
      <c r="F13" s="24"/>
    </row>
    <row r="14" spans="1:9" ht="18.600000000000001" customHeight="1" x14ac:dyDescent="0.2">
      <c r="A14" s="16" t="s">
        <v>13</v>
      </c>
      <c r="B14" s="18">
        <v>0</v>
      </c>
      <c r="C14" s="19">
        <v>0.06</v>
      </c>
      <c r="D14" s="19">
        <v>0.06</v>
      </c>
      <c r="E14" s="19">
        <v>0.18</v>
      </c>
      <c r="F14" s="20"/>
    </row>
    <row r="15" spans="1:9" ht="33.75" customHeight="1" x14ac:dyDescent="0.2">
      <c r="A15" s="97" t="s">
        <v>116</v>
      </c>
      <c r="B15" s="153">
        <v>1E-3</v>
      </c>
      <c r="C15" s="154"/>
      <c r="D15" s="154"/>
      <c r="E15" s="154"/>
      <c r="F15" s="154"/>
    </row>
    <row r="16" spans="1:9" ht="33.75" customHeight="1" x14ac:dyDescent="0.2">
      <c r="A16" s="217" t="s">
        <v>111</v>
      </c>
      <c r="B16" s="217"/>
      <c r="C16" s="217"/>
      <c r="D16" s="217"/>
      <c r="E16" s="217"/>
      <c r="F16" s="217"/>
    </row>
    <row r="17" spans="1:6" x14ac:dyDescent="0.2">
      <c r="A17" s="14" t="s">
        <v>38</v>
      </c>
      <c r="B17" s="14"/>
      <c r="C17" s="14"/>
      <c r="D17" s="14"/>
      <c r="E17" s="14"/>
      <c r="F17" s="14"/>
    </row>
    <row r="18" spans="1:6" x14ac:dyDescent="0.2">
      <c r="A18" s="14" t="s">
        <v>72</v>
      </c>
    </row>
    <row r="19" spans="1:6" s="28" customFormat="1" x14ac:dyDescent="0.2">
      <c r="A19" s="14" t="s">
        <v>103</v>
      </c>
    </row>
    <row r="20" spans="1:6" x14ac:dyDescent="0.2">
      <c r="A20" s="147" t="s">
        <v>109</v>
      </c>
      <c r="B20" s="147"/>
      <c r="C20" s="147"/>
      <c r="D20" s="147"/>
      <c r="E20" s="147"/>
      <c r="F20" s="147"/>
    </row>
  </sheetData>
  <mergeCells count="7">
    <mergeCell ref="B15:F15"/>
    <mergeCell ref="A20:F20"/>
    <mergeCell ref="A16:F16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2"/>
  <sheetViews>
    <sheetView showGridLines="0" rightToLeft="1" zoomScaleNormal="100" zoomScaleSheetLayoutView="100" workbookViewId="0">
      <selection activeCell="A3" sqref="A3:F15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2.625" customWidth="1"/>
  </cols>
  <sheetData>
    <row r="1" spans="1:8" ht="30" customHeight="1" thickBot="1" x14ac:dyDescent="0.25">
      <c r="A1" s="148" t="s">
        <v>114</v>
      </c>
      <c r="B1" s="148"/>
      <c r="C1" s="148"/>
      <c r="D1" s="148"/>
      <c r="E1" s="148"/>
      <c r="F1" s="148"/>
    </row>
    <row r="2" spans="1:8" ht="30" customHeight="1" thickTop="1" thickBot="1" x14ac:dyDescent="0.25">
      <c r="A2" s="149" t="s">
        <v>98</v>
      </c>
      <c r="B2" s="149"/>
      <c r="C2" s="149"/>
      <c r="D2" s="149"/>
      <c r="E2" s="149"/>
      <c r="F2" s="149"/>
    </row>
    <row r="3" spans="1:8" ht="30" customHeight="1" thickTop="1" x14ac:dyDescent="0.2">
      <c r="A3" s="213" t="s">
        <v>69</v>
      </c>
      <c r="B3" s="214"/>
      <c r="C3" s="214"/>
      <c r="D3" s="214"/>
      <c r="E3" s="214"/>
      <c r="F3" s="214"/>
      <c r="G3" t="s">
        <v>134</v>
      </c>
      <c r="H3">
        <v>961</v>
      </c>
    </row>
    <row r="4" spans="1:8" ht="17.100000000000001" customHeight="1" x14ac:dyDescent="0.2">
      <c r="A4" s="231" t="s">
        <v>153</v>
      </c>
      <c r="B4" s="232"/>
      <c r="C4" s="232"/>
      <c r="D4" s="232"/>
      <c r="E4" s="232"/>
      <c r="F4" s="232"/>
    </row>
    <row r="5" spans="1:8" ht="50.1" customHeight="1" x14ac:dyDescent="0.2">
      <c r="A5" s="9" t="s">
        <v>0</v>
      </c>
      <c r="B5" s="15" t="s">
        <v>115</v>
      </c>
      <c r="C5" s="9" t="s">
        <v>40</v>
      </c>
      <c r="D5" s="64" t="s">
        <v>10</v>
      </c>
      <c r="E5" s="64"/>
      <c r="F5" s="9" t="s">
        <v>73</v>
      </c>
    </row>
    <row r="6" spans="1:8" ht="27.6" customHeight="1" x14ac:dyDescent="0.2">
      <c r="A6" s="16" t="s">
        <v>42</v>
      </c>
      <c r="B6" s="19">
        <v>0.16</v>
      </c>
      <c r="C6" s="19">
        <v>0.06</v>
      </c>
      <c r="D6" s="19">
        <f t="shared" ref="D6:D11" si="0">IF(B6-C6&gt;0,B6-C6,0)</f>
        <v>0.1</v>
      </c>
      <c r="E6" s="19">
        <f t="shared" ref="E6:E11" si="1">B6+C6</f>
        <v>0.22</v>
      </c>
      <c r="F6" s="20" t="s">
        <v>105</v>
      </c>
    </row>
    <row r="7" spans="1:8" ht="33" customHeight="1" x14ac:dyDescent="0.2">
      <c r="A7" s="16" t="s">
        <v>39</v>
      </c>
      <c r="B7" s="19">
        <v>0.03</v>
      </c>
      <c r="C7" s="19">
        <v>0.05</v>
      </c>
      <c r="D7" s="19">
        <f t="shared" si="0"/>
        <v>0</v>
      </c>
      <c r="E7" s="19">
        <f t="shared" si="1"/>
        <v>0.08</v>
      </c>
      <c r="F7" s="20" t="s">
        <v>3</v>
      </c>
    </row>
    <row r="8" spans="1:8" ht="21.75" customHeight="1" x14ac:dyDescent="0.2">
      <c r="A8" s="16" t="s">
        <v>104</v>
      </c>
      <c r="B8" s="19">
        <v>0.6</v>
      </c>
      <c r="C8" s="19">
        <v>0.05</v>
      </c>
      <c r="D8" s="19">
        <f t="shared" si="0"/>
        <v>0.54999999999999993</v>
      </c>
      <c r="E8" s="19">
        <f t="shared" si="1"/>
        <v>0.65</v>
      </c>
      <c r="F8" s="20"/>
    </row>
    <row r="9" spans="1:8" ht="135" x14ac:dyDescent="0.2">
      <c r="A9" s="16" t="s">
        <v>70</v>
      </c>
      <c r="B9" s="19">
        <v>0.16</v>
      </c>
      <c r="C9" s="19">
        <v>0.06</v>
      </c>
      <c r="D9" s="19">
        <f t="shared" si="0"/>
        <v>0.1</v>
      </c>
      <c r="E9" s="19">
        <f t="shared" si="1"/>
        <v>0.22</v>
      </c>
      <c r="F9" s="20" t="s">
        <v>74</v>
      </c>
    </row>
    <row r="10" spans="1:8" ht="18.600000000000001" customHeight="1" x14ac:dyDescent="0.2">
      <c r="A10" s="16" t="s">
        <v>7</v>
      </c>
      <c r="B10" s="19">
        <v>0</v>
      </c>
      <c r="C10" s="19">
        <v>0.05</v>
      </c>
      <c r="D10" s="19">
        <f t="shared" si="0"/>
        <v>0</v>
      </c>
      <c r="E10" s="19">
        <f t="shared" si="1"/>
        <v>0.05</v>
      </c>
      <c r="F10" s="20"/>
    </row>
    <row r="11" spans="1:8" ht="28.5" customHeight="1" x14ac:dyDescent="0.2">
      <c r="A11" s="16" t="s">
        <v>78</v>
      </c>
      <c r="B11" s="19">
        <v>0.03</v>
      </c>
      <c r="C11" s="19">
        <v>0.05</v>
      </c>
      <c r="D11" s="19">
        <f t="shared" si="0"/>
        <v>0</v>
      </c>
      <c r="E11" s="19">
        <f t="shared" si="1"/>
        <v>0.08</v>
      </c>
      <c r="F11" s="20"/>
    </row>
    <row r="12" spans="1:8" ht="18.600000000000001" customHeight="1" x14ac:dyDescent="0.2">
      <c r="A12" s="16" t="s">
        <v>37</v>
      </c>
      <c r="B12" s="19">
        <v>0.02</v>
      </c>
      <c r="C12" s="19"/>
      <c r="D12" s="19"/>
      <c r="E12" s="19"/>
      <c r="F12" s="20"/>
    </row>
    <row r="13" spans="1:8" ht="18.600000000000001" customHeight="1" x14ac:dyDescent="0.2">
      <c r="A13" s="16" t="s">
        <v>8</v>
      </c>
      <c r="B13" s="19">
        <f>SUM(B6:B12)</f>
        <v>1</v>
      </c>
      <c r="C13" s="19"/>
      <c r="D13" s="19"/>
      <c r="E13" s="19"/>
      <c r="F13" s="20"/>
    </row>
    <row r="14" spans="1:8" ht="18.600000000000001" customHeight="1" x14ac:dyDescent="0.2">
      <c r="A14" s="16" t="s">
        <v>13</v>
      </c>
      <c r="B14" s="19">
        <v>0.12</v>
      </c>
      <c r="C14" s="19">
        <v>0.06</v>
      </c>
      <c r="D14" s="19">
        <f>IF(B14-C14&gt;0,B14-C14,0)</f>
        <v>0.06</v>
      </c>
      <c r="E14" s="19">
        <f>B14+C14</f>
        <v>0.18</v>
      </c>
      <c r="F14" s="20"/>
    </row>
    <row r="15" spans="1:8" ht="33.75" customHeight="1" x14ac:dyDescent="0.2">
      <c r="A15" s="97" t="s">
        <v>116</v>
      </c>
      <c r="B15" s="153">
        <v>2E-3</v>
      </c>
      <c r="C15" s="154"/>
      <c r="D15" s="154"/>
      <c r="E15" s="154"/>
      <c r="F15" s="154"/>
    </row>
    <row r="16" spans="1:8" ht="33.75" customHeight="1" x14ac:dyDescent="0.2">
      <c r="A16" s="235" t="s">
        <v>110</v>
      </c>
      <c r="B16" s="235"/>
      <c r="C16" s="235"/>
      <c r="D16" s="235"/>
      <c r="E16" s="235"/>
      <c r="F16" s="235"/>
    </row>
    <row r="17" spans="1:6" x14ac:dyDescent="0.2">
      <c r="A17" s="14" t="s">
        <v>38</v>
      </c>
      <c r="B17" s="14"/>
      <c r="C17" s="14"/>
      <c r="D17" s="14"/>
      <c r="E17" s="14"/>
    </row>
    <row r="18" spans="1:6" x14ac:dyDescent="0.2">
      <c r="A18" s="14" t="s">
        <v>72</v>
      </c>
    </row>
    <row r="19" spans="1:6" s="28" customFormat="1" x14ac:dyDescent="0.2">
      <c r="A19" s="14" t="s">
        <v>103</v>
      </c>
    </row>
    <row r="20" spans="1:6" x14ac:dyDescent="0.2">
      <c r="A20" s="147" t="s">
        <v>109</v>
      </c>
      <c r="B20" s="147"/>
      <c r="C20" s="147"/>
      <c r="D20" s="147"/>
      <c r="E20" s="147"/>
      <c r="F20" s="147"/>
    </row>
    <row r="21" spans="1:6" x14ac:dyDescent="0.2">
      <c r="E21" s="25"/>
    </row>
    <row r="22" spans="1:6" x14ac:dyDescent="0.2">
      <c r="E22" s="26"/>
    </row>
  </sheetData>
  <mergeCells count="7">
    <mergeCell ref="B15:F15"/>
    <mergeCell ref="A16:F16"/>
    <mergeCell ref="A20:F20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I33"/>
  <sheetViews>
    <sheetView showGridLines="0" rightToLeft="1" topLeftCell="A8" zoomScaleNormal="100" zoomScaleSheetLayoutView="100" workbookViewId="0">
      <selection activeCell="A20" sqref="A20:G20"/>
    </sheetView>
  </sheetViews>
  <sheetFormatPr defaultColWidth="8.875" defaultRowHeight="14.25" x14ac:dyDescent="0.2"/>
  <cols>
    <col min="1" max="1" width="36" customWidth="1"/>
    <col min="2" max="2" width="12.125" customWidth="1"/>
    <col min="3" max="3" width="9.125" customWidth="1"/>
    <col min="4" max="4" width="11.125" customWidth="1"/>
    <col min="5" max="5" width="19.375" bestFit="1" customWidth="1"/>
    <col min="7" max="7" width="19.375" bestFit="1" customWidth="1"/>
  </cols>
  <sheetData>
    <row r="1" spans="1:8" ht="30" customHeight="1" thickBot="1" x14ac:dyDescent="0.35">
      <c r="A1" s="88"/>
      <c r="B1" s="89" t="s">
        <v>114</v>
      </c>
      <c r="C1" s="90"/>
      <c r="D1" s="90"/>
      <c r="E1" s="90"/>
    </row>
    <row r="2" spans="1:8" ht="30" customHeight="1" thickTop="1" x14ac:dyDescent="0.2">
      <c r="A2" s="147" t="s">
        <v>106</v>
      </c>
      <c r="B2" s="147"/>
      <c r="C2" s="147"/>
      <c r="D2" s="147"/>
      <c r="E2" s="147"/>
      <c r="F2" s="147"/>
      <c r="G2" s="147"/>
    </row>
    <row r="3" spans="1:8" ht="18" x14ac:dyDescent="0.2">
      <c r="A3" s="137" t="s">
        <v>186</v>
      </c>
      <c r="B3" s="138"/>
      <c r="C3" s="138"/>
      <c r="D3" s="138"/>
      <c r="E3" s="138"/>
      <c r="F3" s="138"/>
      <c r="G3" s="138"/>
      <c r="H3" s="146" t="s">
        <v>223</v>
      </c>
    </row>
    <row r="4" spans="1:8" ht="18.75" thickBot="1" x14ac:dyDescent="0.25">
      <c r="A4" s="178" t="s">
        <v>168</v>
      </c>
      <c r="B4" s="157"/>
      <c r="C4" s="157"/>
      <c r="D4" s="157"/>
      <c r="E4" s="157"/>
      <c r="F4" s="157"/>
      <c r="G4" s="157"/>
      <c r="H4" s="146"/>
    </row>
    <row r="5" spans="1:8" ht="60" x14ac:dyDescent="0.2">
      <c r="A5" s="9" t="s">
        <v>0</v>
      </c>
      <c r="B5" s="15" t="s">
        <v>215</v>
      </c>
      <c r="C5" s="114" t="s">
        <v>216</v>
      </c>
      <c r="D5" s="9" t="s">
        <v>40</v>
      </c>
      <c r="E5" s="135" t="s">
        <v>10</v>
      </c>
      <c r="F5" s="136"/>
      <c r="G5" s="9" t="s">
        <v>73</v>
      </c>
      <c r="H5" s="146"/>
    </row>
    <row r="6" spans="1:8" ht="27.6" customHeight="1" x14ac:dyDescent="0.2">
      <c r="A6" s="16" t="s">
        <v>42</v>
      </c>
      <c r="B6" s="19">
        <v>0.19</v>
      </c>
      <c r="C6" s="19">
        <v>0.2</v>
      </c>
      <c r="D6" s="19">
        <v>0.06</v>
      </c>
      <c r="E6" s="19">
        <f>IF(B6-D6&gt;0,B6-D6,0)</f>
        <v>0.13</v>
      </c>
      <c r="F6" s="19">
        <f>B6+D6</f>
        <v>0.25</v>
      </c>
      <c r="G6" s="20" t="s">
        <v>105</v>
      </c>
      <c r="H6" s="146"/>
    </row>
    <row r="7" spans="1:8" ht="27.6" customHeight="1" x14ac:dyDescent="0.2">
      <c r="A7" s="16" t="s">
        <v>39</v>
      </c>
      <c r="B7" s="19">
        <v>0.39</v>
      </c>
      <c r="C7" s="19">
        <v>0.4</v>
      </c>
      <c r="D7" s="19">
        <v>0.05</v>
      </c>
      <c r="E7" s="19">
        <f t="shared" ref="E7:E10" si="0">IF(B7-D7&gt;0,B7-D7,0)</f>
        <v>0.34</v>
      </c>
      <c r="F7" s="19">
        <f t="shared" ref="F7:F10" si="1">B7+D7</f>
        <v>0.44</v>
      </c>
      <c r="G7" s="20" t="s">
        <v>3</v>
      </c>
      <c r="H7" s="146"/>
    </row>
    <row r="8" spans="1:8" ht="75" x14ac:dyDescent="0.2">
      <c r="A8" s="16" t="s">
        <v>70</v>
      </c>
      <c r="B8" s="19">
        <v>0.36</v>
      </c>
      <c r="C8" s="19">
        <v>0.37</v>
      </c>
      <c r="D8" s="19">
        <v>0.06</v>
      </c>
      <c r="E8" s="19">
        <f t="shared" si="0"/>
        <v>0.3</v>
      </c>
      <c r="F8" s="19">
        <f t="shared" si="1"/>
        <v>0.42</v>
      </c>
      <c r="G8" s="20" t="s">
        <v>71</v>
      </c>
      <c r="H8" s="146"/>
    </row>
    <row r="9" spans="1:8" ht="18.600000000000001" customHeight="1" x14ac:dyDescent="0.2">
      <c r="A9" s="16" t="s">
        <v>7</v>
      </c>
      <c r="B9" s="17">
        <v>0</v>
      </c>
      <c r="C9" s="17">
        <v>0</v>
      </c>
      <c r="D9" s="17">
        <v>0.05</v>
      </c>
      <c r="E9" s="19">
        <f t="shared" si="0"/>
        <v>0</v>
      </c>
      <c r="F9" s="19">
        <f t="shared" si="1"/>
        <v>0.05</v>
      </c>
      <c r="G9" s="20"/>
      <c r="H9" s="146"/>
    </row>
    <row r="10" spans="1:8" ht="28.5" customHeight="1" x14ac:dyDescent="0.2">
      <c r="A10" s="16" t="s">
        <v>78</v>
      </c>
      <c r="B10" s="17">
        <v>0.05</v>
      </c>
      <c r="C10" s="17">
        <v>0</v>
      </c>
      <c r="D10" s="17">
        <v>0.05</v>
      </c>
      <c r="E10" s="19">
        <f t="shared" si="0"/>
        <v>0</v>
      </c>
      <c r="F10" s="19">
        <f t="shared" si="1"/>
        <v>0.1</v>
      </c>
      <c r="G10" s="20"/>
      <c r="H10" s="146"/>
    </row>
    <row r="11" spans="1:8" ht="18.600000000000001" customHeight="1" x14ac:dyDescent="0.2">
      <c r="A11" s="16" t="s">
        <v>37</v>
      </c>
      <c r="B11" s="19">
        <v>0.01</v>
      </c>
      <c r="C11" s="19">
        <v>0.03</v>
      </c>
      <c r="D11" s="78"/>
      <c r="E11" s="19"/>
      <c r="F11" s="19"/>
      <c r="G11" s="20"/>
      <c r="H11" s="146"/>
    </row>
    <row r="12" spans="1:8" ht="18.600000000000001" customHeight="1" x14ac:dyDescent="0.2">
      <c r="A12" s="16" t="s">
        <v>8</v>
      </c>
      <c r="B12" s="17">
        <f>SUM(B6:B11)</f>
        <v>1</v>
      </c>
      <c r="C12" s="17">
        <v>1</v>
      </c>
      <c r="D12" s="78"/>
      <c r="E12" s="19"/>
      <c r="F12" s="19"/>
      <c r="G12" s="20"/>
      <c r="H12" s="146"/>
    </row>
    <row r="13" spans="1:8" ht="18.600000000000001" customHeight="1" x14ac:dyDescent="0.2">
      <c r="A13" s="16" t="s">
        <v>13</v>
      </c>
      <c r="B13" s="79">
        <v>0.16</v>
      </c>
      <c r="C13" s="79">
        <v>0.16</v>
      </c>
      <c r="D13" s="79">
        <v>0.06</v>
      </c>
      <c r="E13" s="79">
        <f>IF(B13-D13&gt;0,B13-D13,0)</f>
        <v>0.1</v>
      </c>
      <c r="F13" s="79">
        <f>B13+D13</f>
        <v>0.22</v>
      </c>
      <c r="G13" s="20"/>
      <c r="H13" s="146"/>
    </row>
    <row r="14" spans="1:8" ht="33.75" customHeight="1" x14ac:dyDescent="0.2">
      <c r="A14" s="16" t="s">
        <v>116</v>
      </c>
      <c r="B14" s="139">
        <v>1.5E-3</v>
      </c>
      <c r="C14" s="139"/>
      <c r="D14" s="139"/>
      <c r="E14" s="139"/>
      <c r="F14" s="139"/>
      <c r="G14" s="139"/>
      <c r="H14" s="146"/>
    </row>
    <row r="15" spans="1:8" ht="33.75" customHeight="1" x14ac:dyDescent="0.2">
      <c r="A15" s="140" t="s">
        <v>111</v>
      </c>
      <c r="B15" s="140"/>
      <c r="C15" s="140"/>
      <c r="D15" s="140"/>
      <c r="E15" s="140"/>
      <c r="F15" s="140"/>
      <c r="G15" s="140"/>
    </row>
    <row r="16" spans="1:8" x14ac:dyDescent="0.2">
      <c r="A16" s="14" t="s">
        <v>38</v>
      </c>
      <c r="B16" s="14"/>
      <c r="C16" s="14"/>
      <c r="D16" s="14"/>
    </row>
    <row r="17" spans="1:8" x14ac:dyDescent="0.2">
      <c r="A17" s="14" t="s">
        <v>72</v>
      </c>
    </row>
    <row r="18" spans="1:8" s="28" customFormat="1" x14ac:dyDescent="0.2">
      <c r="A18" s="14" t="s">
        <v>103</v>
      </c>
    </row>
    <row r="19" spans="1:8" x14ac:dyDescent="0.2">
      <c r="A19" s="131"/>
      <c r="B19" s="131"/>
      <c r="C19" s="131"/>
      <c r="D19" s="131"/>
      <c r="E19" s="131"/>
    </row>
    <row r="20" spans="1:8" x14ac:dyDescent="0.2">
      <c r="A20" s="147" t="s">
        <v>106</v>
      </c>
      <c r="B20" s="147"/>
      <c r="C20" s="147"/>
      <c r="D20" s="147"/>
      <c r="E20" s="147"/>
      <c r="F20" s="147"/>
      <c r="G20" s="147"/>
    </row>
    <row r="21" spans="1:8" ht="18" x14ac:dyDescent="0.2">
      <c r="A21" s="137" t="s">
        <v>187</v>
      </c>
      <c r="B21" s="138"/>
      <c r="C21" s="138"/>
      <c r="D21" s="138"/>
      <c r="E21" s="138"/>
      <c r="F21" s="138"/>
      <c r="G21" s="138"/>
      <c r="H21" s="146" t="s">
        <v>223</v>
      </c>
    </row>
    <row r="22" spans="1:8" ht="18.75" thickBot="1" x14ac:dyDescent="0.25">
      <c r="A22" s="137" t="s">
        <v>169</v>
      </c>
      <c r="B22" s="138"/>
      <c r="C22" s="138"/>
      <c r="D22" s="138"/>
      <c r="E22" s="138"/>
      <c r="F22" s="138"/>
      <c r="G22" s="138"/>
      <c r="H22" s="146"/>
    </row>
    <row r="23" spans="1:8" ht="60" x14ac:dyDescent="0.2">
      <c r="A23" s="9" t="s">
        <v>0</v>
      </c>
      <c r="B23" s="15" t="s">
        <v>215</v>
      </c>
      <c r="C23" s="114" t="s">
        <v>216</v>
      </c>
      <c r="D23" s="9" t="s">
        <v>40</v>
      </c>
      <c r="E23" s="135" t="s">
        <v>10</v>
      </c>
      <c r="F23" s="136"/>
      <c r="G23" s="9" t="s">
        <v>73</v>
      </c>
      <c r="H23" s="146"/>
    </row>
    <row r="24" spans="1:8" ht="30" x14ac:dyDescent="0.2">
      <c r="A24" s="16" t="s">
        <v>39</v>
      </c>
      <c r="B24" s="17">
        <v>0.95</v>
      </c>
      <c r="C24" s="17">
        <v>0.96</v>
      </c>
      <c r="D24" s="19">
        <v>0.05</v>
      </c>
      <c r="E24" s="19">
        <v>0.9</v>
      </c>
      <c r="F24" s="19">
        <v>1</v>
      </c>
      <c r="G24" s="20" t="s">
        <v>3</v>
      </c>
      <c r="H24" s="146"/>
    </row>
    <row r="25" spans="1:8" ht="15" x14ac:dyDescent="0.2">
      <c r="A25" s="16" t="s">
        <v>37</v>
      </c>
      <c r="B25" s="17">
        <v>0.05</v>
      </c>
      <c r="C25" s="17">
        <v>0.04</v>
      </c>
      <c r="D25" s="19"/>
      <c r="E25" s="19"/>
      <c r="F25" s="19"/>
      <c r="G25" s="20"/>
      <c r="H25" s="146"/>
    </row>
    <row r="26" spans="1:8" ht="15" x14ac:dyDescent="0.2">
      <c r="A26" s="16" t="s">
        <v>8</v>
      </c>
      <c r="B26" s="17">
        <f>SUM(B24:B25)</f>
        <v>1</v>
      </c>
      <c r="C26" s="17">
        <v>1</v>
      </c>
      <c r="D26" s="19"/>
      <c r="E26" s="19"/>
      <c r="F26" s="19"/>
      <c r="G26" s="20"/>
      <c r="H26" s="146"/>
    </row>
    <row r="27" spans="1:8" ht="15" x14ac:dyDescent="0.2">
      <c r="A27" s="16" t="s">
        <v>13</v>
      </c>
      <c r="B27" s="17">
        <v>0</v>
      </c>
      <c r="C27" s="17">
        <v>0</v>
      </c>
      <c r="D27" s="19">
        <v>0.06</v>
      </c>
      <c r="E27" s="19">
        <v>0</v>
      </c>
      <c r="F27" s="19">
        <f>+C27+D27</f>
        <v>0.06</v>
      </c>
      <c r="G27" s="20"/>
      <c r="H27" s="146"/>
    </row>
    <row r="28" spans="1:8" ht="18" x14ac:dyDescent="0.2">
      <c r="A28" s="16" t="s">
        <v>116</v>
      </c>
      <c r="B28" s="139">
        <v>5.0000000000000001E-4</v>
      </c>
      <c r="C28" s="139"/>
      <c r="D28" s="139"/>
      <c r="E28" s="139"/>
      <c r="F28" s="139"/>
      <c r="G28" s="139"/>
      <c r="H28" s="146"/>
    </row>
    <row r="29" spans="1:8" x14ac:dyDescent="0.2">
      <c r="A29" s="205" t="s">
        <v>111</v>
      </c>
      <c r="B29" s="205"/>
      <c r="C29" s="205"/>
      <c r="D29" s="205"/>
      <c r="E29" s="205"/>
      <c r="F29" s="205"/>
      <c r="G29" s="205"/>
    </row>
    <row r="30" spans="1:8" x14ac:dyDescent="0.2">
      <c r="A30" s="14" t="s">
        <v>38</v>
      </c>
      <c r="B30" s="14"/>
      <c r="C30" s="14"/>
      <c r="D30" s="14"/>
    </row>
    <row r="31" spans="1:8" x14ac:dyDescent="0.2">
      <c r="A31" s="14" t="s">
        <v>72</v>
      </c>
    </row>
    <row r="32" spans="1:8" x14ac:dyDescent="0.2">
      <c r="A32" s="14" t="s">
        <v>103</v>
      </c>
      <c r="B32" s="28"/>
      <c r="C32" s="28"/>
      <c r="D32" s="28"/>
      <c r="E32" s="28"/>
    </row>
    <row r="33" spans="1:9" x14ac:dyDescent="0.2">
      <c r="A33" s="147" t="s">
        <v>109</v>
      </c>
      <c r="B33" s="147"/>
      <c r="C33" s="147"/>
      <c r="D33" s="147"/>
      <c r="E33" s="147"/>
      <c r="F33" s="147"/>
      <c r="G33" s="147"/>
      <c r="H33" s="147"/>
      <c r="I33" s="147"/>
    </row>
  </sheetData>
  <mergeCells count="15">
    <mergeCell ref="A2:G2"/>
    <mergeCell ref="A33:I33"/>
    <mergeCell ref="H3:H14"/>
    <mergeCell ref="A15:G15"/>
    <mergeCell ref="A20:G20"/>
    <mergeCell ref="H21:H28"/>
    <mergeCell ref="A29:G29"/>
    <mergeCell ref="A21:G21"/>
    <mergeCell ref="A22:G22"/>
    <mergeCell ref="B28:G28"/>
    <mergeCell ref="A3:G3"/>
    <mergeCell ref="A4:G4"/>
    <mergeCell ref="E5:F5"/>
    <mergeCell ref="B14:G14"/>
    <mergeCell ref="E23:F2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I34"/>
  <sheetViews>
    <sheetView showGridLines="0" rightToLeft="1" topLeftCell="A13" zoomScaleNormal="100" zoomScaleSheetLayoutView="100" workbookViewId="0">
      <selection activeCell="A19" sqref="A19:I19"/>
    </sheetView>
  </sheetViews>
  <sheetFormatPr defaultColWidth="8.875" defaultRowHeight="14.25" x14ac:dyDescent="0.2"/>
  <cols>
    <col min="1" max="1" width="36" customWidth="1"/>
    <col min="2" max="3" width="12.125" customWidth="1"/>
    <col min="4" max="4" width="9.125" customWidth="1"/>
    <col min="5" max="5" width="11.125" customWidth="1"/>
    <col min="6" max="6" width="19.375" bestFit="1" customWidth="1"/>
  </cols>
  <sheetData>
    <row r="1" spans="1:7" ht="30" customHeight="1" thickBot="1" x14ac:dyDescent="0.25">
      <c r="A1" s="148" t="s">
        <v>114</v>
      </c>
      <c r="B1" s="148"/>
      <c r="C1" s="148"/>
      <c r="D1" s="148"/>
      <c r="E1" s="148"/>
      <c r="F1" s="148"/>
    </row>
    <row r="2" spans="1:7" ht="30" customHeight="1" thickTop="1" thickBot="1" x14ac:dyDescent="0.25">
      <c r="A2" s="149" t="s">
        <v>100</v>
      </c>
      <c r="B2" s="149"/>
      <c r="C2" s="149"/>
      <c r="D2" s="149"/>
      <c r="E2" s="149"/>
      <c r="F2" s="149"/>
    </row>
    <row r="3" spans="1:7" ht="30" customHeight="1" thickTop="1" thickBot="1" x14ac:dyDescent="0.25">
      <c r="A3" s="213" t="s">
        <v>64</v>
      </c>
      <c r="B3" s="214"/>
      <c r="C3" s="214"/>
      <c r="D3" s="214"/>
      <c r="E3" s="214"/>
      <c r="F3" s="214"/>
      <c r="G3" s="147" t="s">
        <v>223</v>
      </c>
    </row>
    <row r="4" spans="1:7" ht="18.75" thickTop="1" x14ac:dyDescent="0.2">
      <c r="A4" s="213" t="s">
        <v>157</v>
      </c>
      <c r="B4" s="214"/>
      <c r="C4" s="214"/>
      <c r="D4" s="214"/>
      <c r="E4" s="214"/>
      <c r="F4" s="214"/>
      <c r="G4" s="147"/>
    </row>
    <row r="5" spans="1:7" ht="50.1" customHeight="1" x14ac:dyDescent="0.2">
      <c r="A5" s="9" t="s">
        <v>0</v>
      </c>
      <c r="B5" s="15" t="s">
        <v>115</v>
      </c>
      <c r="C5" s="9" t="s">
        <v>40</v>
      </c>
      <c r="D5" s="64" t="s">
        <v>10</v>
      </c>
      <c r="E5" s="64"/>
      <c r="F5" s="9" t="s">
        <v>73</v>
      </c>
      <c r="G5" s="147"/>
    </row>
    <row r="6" spans="1:7" ht="27.6" customHeight="1" x14ac:dyDescent="0.2">
      <c r="A6" s="16" t="s">
        <v>42</v>
      </c>
      <c r="B6" s="19">
        <v>0.15</v>
      </c>
      <c r="C6" s="19">
        <v>0.06</v>
      </c>
      <c r="D6" s="19">
        <f>+B6-C6</f>
        <v>0.09</v>
      </c>
      <c r="E6" s="19">
        <f t="shared" ref="E6:E11" si="0">+B6+C6</f>
        <v>0.21</v>
      </c>
      <c r="F6" s="104" t="s">
        <v>84</v>
      </c>
      <c r="G6" s="147"/>
    </row>
    <row r="7" spans="1:7" ht="27.6" customHeight="1" x14ac:dyDescent="0.2">
      <c r="A7" s="16" t="s">
        <v>39</v>
      </c>
      <c r="B7" s="19">
        <v>0.1</v>
      </c>
      <c r="C7" s="19">
        <v>0.05</v>
      </c>
      <c r="D7" s="19">
        <f>+B7-C7</f>
        <v>0.05</v>
      </c>
      <c r="E7" s="19">
        <f t="shared" si="0"/>
        <v>0.15000000000000002</v>
      </c>
      <c r="F7" s="20" t="s">
        <v>3</v>
      </c>
      <c r="G7" s="147"/>
    </row>
    <row r="8" spans="1:7" ht="18.600000000000001" customHeight="1" x14ac:dyDescent="0.2">
      <c r="A8" s="16" t="s">
        <v>104</v>
      </c>
      <c r="B8" s="19">
        <v>0.37</v>
      </c>
      <c r="C8" s="19">
        <v>0.05</v>
      </c>
      <c r="D8" s="19">
        <f>+B8-C8</f>
        <v>0.32</v>
      </c>
      <c r="E8" s="19">
        <f t="shared" si="0"/>
        <v>0.42</v>
      </c>
      <c r="F8" s="20"/>
      <c r="G8" s="147"/>
    </row>
    <row r="9" spans="1:7" ht="57.75" customHeight="1" x14ac:dyDescent="0.2">
      <c r="A9" s="16" t="s">
        <v>70</v>
      </c>
      <c r="B9" s="19">
        <v>0.25</v>
      </c>
      <c r="C9" s="19">
        <v>0.06</v>
      </c>
      <c r="D9" s="19">
        <f>+B9-C9</f>
        <v>0.19</v>
      </c>
      <c r="E9" s="19">
        <f t="shared" si="0"/>
        <v>0.31</v>
      </c>
      <c r="F9" s="20" t="s">
        <v>74</v>
      </c>
      <c r="G9" s="147"/>
    </row>
    <row r="10" spans="1:7" ht="18.600000000000001" customHeight="1" x14ac:dyDescent="0.2">
      <c r="A10" s="16" t="s">
        <v>85</v>
      </c>
      <c r="B10" s="19">
        <v>0.03</v>
      </c>
      <c r="C10" s="19">
        <v>0.05</v>
      </c>
      <c r="D10" s="19">
        <v>0</v>
      </c>
      <c r="E10" s="19">
        <f t="shared" si="0"/>
        <v>0.08</v>
      </c>
      <c r="F10" s="20"/>
      <c r="G10" s="147"/>
    </row>
    <row r="11" spans="1:7" ht="36" customHeight="1" x14ac:dyDescent="0.2">
      <c r="A11" s="16" t="s">
        <v>119</v>
      </c>
      <c r="B11" s="19">
        <v>7.0000000000000007E-2</v>
      </c>
      <c r="C11" s="19">
        <v>0.05</v>
      </c>
      <c r="D11" s="19">
        <v>0</v>
      </c>
      <c r="E11" s="19">
        <f t="shared" si="0"/>
        <v>0.12000000000000001</v>
      </c>
      <c r="F11" s="20"/>
      <c r="G11" s="147"/>
    </row>
    <row r="12" spans="1:7" ht="28.5" customHeight="1" x14ac:dyDescent="0.2">
      <c r="A12" s="16" t="s">
        <v>37</v>
      </c>
      <c r="B12" s="19">
        <v>0.03</v>
      </c>
      <c r="C12" s="19"/>
      <c r="D12" s="19"/>
      <c r="E12" s="19"/>
      <c r="F12" s="20"/>
      <c r="G12" s="147"/>
    </row>
    <row r="13" spans="1:7" ht="18.600000000000001" customHeight="1" x14ac:dyDescent="0.2">
      <c r="A13" s="16" t="s">
        <v>8</v>
      </c>
      <c r="B13" s="19">
        <v>1</v>
      </c>
      <c r="C13" s="19"/>
      <c r="D13" s="19"/>
      <c r="E13" s="19"/>
      <c r="F13" s="20"/>
      <c r="G13" s="147"/>
    </row>
    <row r="14" spans="1:7" ht="18.600000000000001" customHeight="1" x14ac:dyDescent="0.2">
      <c r="A14" s="16" t="s">
        <v>13</v>
      </c>
      <c r="B14" s="19">
        <v>0.14000000000000001</v>
      </c>
      <c r="C14" s="19">
        <v>0.06</v>
      </c>
      <c r="D14" s="19">
        <f>+B14-C14</f>
        <v>8.0000000000000016E-2</v>
      </c>
      <c r="E14" s="19">
        <f>+B14+C14</f>
        <v>0.2</v>
      </c>
      <c r="F14" s="20"/>
      <c r="G14" s="147"/>
    </row>
    <row r="15" spans="1:7" ht="18.600000000000001" customHeight="1" x14ac:dyDescent="0.2">
      <c r="A15" s="217" t="s">
        <v>111</v>
      </c>
      <c r="B15" s="217"/>
      <c r="C15" s="217"/>
      <c r="D15" s="217"/>
      <c r="E15" s="217"/>
      <c r="F15" s="217"/>
    </row>
    <row r="16" spans="1:7" ht="18.600000000000001" customHeight="1" x14ac:dyDescent="0.2">
      <c r="A16" s="14" t="s">
        <v>38</v>
      </c>
      <c r="B16" s="14"/>
      <c r="C16" s="14"/>
      <c r="D16" s="14"/>
      <c r="E16" s="14"/>
      <c r="F16" s="14"/>
    </row>
    <row r="17" spans="1:9" ht="14.25" customHeight="1" x14ac:dyDescent="0.2">
      <c r="A17" s="14" t="s">
        <v>72</v>
      </c>
    </row>
    <row r="18" spans="1:9" ht="15.75" customHeight="1" x14ac:dyDescent="0.2">
      <c r="A18" s="14" t="s">
        <v>103</v>
      </c>
      <c r="B18" s="28"/>
      <c r="C18" s="28"/>
      <c r="D18" s="28"/>
      <c r="E18" s="28"/>
      <c r="F18" s="28"/>
    </row>
    <row r="19" spans="1:9" s="28" customFormat="1" x14ac:dyDescent="0.2">
      <c r="A19" s="147" t="s">
        <v>109</v>
      </c>
      <c r="B19" s="147"/>
      <c r="C19" s="147"/>
      <c r="D19" s="147"/>
      <c r="E19" s="147"/>
      <c r="F19" s="147"/>
      <c r="G19" s="147"/>
      <c r="H19" s="147"/>
      <c r="I19" s="147"/>
    </row>
    <row r="20" spans="1:9" ht="18" x14ac:dyDescent="0.2">
      <c r="A20" s="63"/>
      <c r="B20" s="63"/>
      <c r="C20" s="63"/>
      <c r="D20" s="63"/>
      <c r="E20" s="63"/>
      <c r="F20" s="63"/>
    </row>
    <row r="21" spans="1:9" ht="49.5" hidden="1" customHeight="1" x14ac:dyDescent="0.2">
      <c r="A21" s="73" t="s">
        <v>12</v>
      </c>
      <c r="B21" s="74"/>
      <c r="C21" s="74"/>
      <c r="D21" s="74"/>
      <c r="E21" s="74"/>
      <c r="F21" s="75"/>
    </row>
    <row r="22" spans="1:9" ht="31.5" hidden="1" customHeight="1" x14ac:dyDescent="0.2">
      <c r="A22" s="9" t="s">
        <v>0</v>
      </c>
      <c r="B22" s="9" t="s">
        <v>36</v>
      </c>
      <c r="C22" s="10" t="s">
        <v>19</v>
      </c>
      <c r="D22" s="10" t="s">
        <v>1</v>
      </c>
      <c r="E22" s="9" t="s">
        <v>20</v>
      </c>
      <c r="F22" s="62"/>
    </row>
    <row r="23" spans="1:9" ht="69" hidden="1" customHeight="1" x14ac:dyDescent="0.2">
      <c r="A23" s="12" t="s">
        <v>29</v>
      </c>
      <c r="B23" s="5">
        <v>0.33323999999999998</v>
      </c>
      <c r="C23" s="3"/>
      <c r="D23" s="2" t="s">
        <v>5</v>
      </c>
      <c r="E23" s="2" t="s">
        <v>14</v>
      </c>
      <c r="F23" s="13"/>
    </row>
    <row r="24" spans="1:9" ht="27.6" hidden="1" customHeight="1" x14ac:dyDescent="0.2">
      <c r="A24" s="12" t="s">
        <v>30</v>
      </c>
      <c r="B24" s="5">
        <v>0.35974</v>
      </c>
      <c r="C24" s="3"/>
      <c r="D24" s="2" t="s">
        <v>2</v>
      </c>
      <c r="E24" s="2" t="s">
        <v>18</v>
      </c>
      <c r="F24" s="13"/>
    </row>
    <row r="25" spans="1:9" ht="29.45" hidden="1" customHeight="1" x14ac:dyDescent="0.2">
      <c r="A25" s="12" t="s">
        <v>4</v>
      </c>
      <c r="B25" s="5">
        <v>0.29709999999999998</v>
      </c>
      <c r="C25" s="3"/>
      <c r="D25" s="2"/>
      <c r="E25" s="2"/>
      <c r="F25" s="13"/>
    </row>
    <row r="26" spans="1:9" ht="14.1" hidden="1" customHeight="1" x14ac:dyDescent="0.2">
      <c r="A26" s="12" t="s">
        <v>34</v>
      </c>
      <c r="B26" s="5">
        <v>0.25513999999999998</v>
      </c>
      <c r="C26" s="3"/>
      <c r="D26" s="2" t="s">
        <v>5</v>
      </c>
      <c r="E26" s="2" t="s">
        <v>17</v>
      </c>
      <c r="F26" s="13"/>
    </row>
    <row r="27" spans="1:9" ht="14.1" hidden="1" customHeight="1" x14ac:dyDescent="0.2">
      <c r="A27" s="12" t="s">
        <v>7</v>
      </c>
      <c r="B27" s="5">
        <v>3.884E-2</v>
      </c>
      <c r="C27" s="3"/>
      <c r="D27" s="2" t="s">
        <v>2</v>
      </c>
      <c r="E27" s="2" t="s">
        <v>16</v>
      </c>
      <c r="F27" s="13"/>
    </row>
    <row r="28" spans="1:9" ht="14.1" hidden="1" customHeight="1" x14ac:dyDescent="0.2">
      <c r="A28" s="12" t="s">
        <v>33</v>
      </c>
      <c r="B28" s="5">
        <v>6.0600000000000029E-3</v>
      </c>
      <c r="C28" s="3"/>
      <c r="D28" s="2" t="s">
        <v>2</v>
      </c>
      <c r="E28" s="2" t="s">
        <v>11</v>
      </c>
      <c r="F28" s="13"/>
    </row>
    <row r="29" spans="1:9" ht="14.1" hidden="1" customHeight="1" x14ac:dyDescent="0.2">
      <c r="A29" s="12" t="s">
        <v>35</v>
      </c>
      <c r="B29" s="5">
        <v>7.4999999999999928E-3</v>
      </c>
      <c r="C29" s="3"/>
      <c r="D29" s="2" t="s">
        <v>2</v>
      </c>
      <c r="E29" s="2" t="s">
        <v>9</v>
      </c>
      <c r="F29" s="13"/>
    </row>
    <row r="30" spans="1:9" ht="14.1" hidden="1" customHeight="1" x14ac:dyDescent="0.2">
      <c r="A30" s="12" t="s">
        <v>8</v>
      </c>
      <c r="B30" s="1">
        <v>1.0005199999999999</v>
      </c>
      <c r="C30" s="3"/>
      <c r="D30" s="2"/>
      <c r="E30" s="2"/>
      <c r="F30" s="13"/>
    </row>
    <row r="31" spans="1:9" ht="14.1" hidden="1" customHeight="1" x14ac:dyDescent="0.2">
      <c r="A31" s="12" t="s">
        <v>13</v>
      </c>
      <c r="B31" s="5">
        <v>0.16782812346728018</v>
      </c>
      <c r="C31" s="3"/>
      <c r="D31" s="2" t="s">
        <v>5</v>
      </c>
      <c r="E31" s="2" t="s">
        <v>15</v>
      </c>
      <c r="F31" s="13"/>
    </row>
    <row r="32" spans="1:9" ht="14.1" hidden="1" customHeight="1" x14ac:dyDescent="0.2">
      <c r="A32" s="4" t="s">
        <v>31</v>
      </c>
    </row>
    <row r="33" ht="14.1" hidden="1" customHeight="1" x14ac:dyDescent="0.2"/>
    <row r="34" ht="14.1" hidden="1" customHeight="1" x14ac:dyDescent="0.2"/>
  </sheetData>
  <mergeCells count="7">
    <mergeCell ref="G3:G14"/>
    <mergeCell ref="A19:I19"/>
    <mergeCell ref="A15:F15"/>
    <mergeCell ref="A2:F2"/>
    <mergeCell ref="A1:F1"/>
    <mergeCell ref="A4:F4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showGridLines="0" rightToLeft="1" zoomScaleNormal="100" zoomScaleSheetLayoutView="100" workbookViewId="0">
      <selection activeCell="A18" sqref="A18:H18"/>
    </sheetView>
  </sheetViews>
  <sheetFormatPr defaultColWidth="8.875" defaultRowHeight="14.25" x14ac:dyDescent="0.2"/>
  <cols>
    <col min="1" max="1" width="39.625" customWidth="1"/>
    <col min="2" max="3" width="12.125" customWidth="1"/>
    <col min="4" max="4" width="9.125" customWidth="1"/>
    <col min="5" max="5" width="11.125" customWidth="1"/>
    <col min="6" max="6" width="19.375" bestFit="1" customWidth="1"/>
  </cols>
  <sheetData>
    <row r="1" spans="1:7" ht="30" customHeight="1" thickBot="1" x14ac:dyDescent="0.25">
      <c r="A1" s="148" t="s">
        <v>114</v>
      </c>
      <c r="B1" s="148"/>
      <c r="C1" s="148"/>
      <c r="D1" s="148"/>
      <c r="E1" s="148"/>
      <c r="F1" s="148"/>
    </row>
    <row r="2" spans="1:7" ht="30" customHeight="1" thickTop="1" thickBot="1" x14ac:dyDescent="0.25">
      <c r="A2" s="149" t="s">
        <v>100</v>
      </c>
      <c r="B2" s="149"/>
      <c r="C2" s="149"/>
      <c r="D2" s="149"/>
      <c r="E2" s="149"/>
      <c r="F2" s="149"/>
    </row>
    <row r="3" spans="1:7" ht="30" customHeight="1" thickTop="1" thickBot="1" x14ac:dyDescent="0.25">
      <c r="A3" s="213" t="s">
        <v>65</v>
      </c>
      <c r="B3" s="214"/>
      <c r="C3" s="214"/>
      <c r="D3" s="214"/>
      <c r="E3" s="214"/>
      <c r="F3" s="214"/>
      <c r="G3" s="147" t="s">
        <v>223</v>
      </c>
    </row>
    <row r="4" spans="1:7" ht="18.75" thickTop="1" x14ac:dyDescent="0.2">
      <c r="A4" s="213" t="s">
        <v>157</v>
      </c>
      <c r="B4" s="214"/>
      <c r="C4" s="214"/>
      <c r="D4" s="214"/>
      <c r="E4" s="214"/>
      <c r="F4" s="214"/>
      <c r="G4" s="147"/>
    </row>
    <row r="5" spans="1:7" ht="50.1" customHeight="1" x14ac:dyDescent="0.2">
      <c r="A5" s="9" t="s">
        <v>0</v>
      </c>
      <c r="B5" s="15" t="s">
        <v>115</v>
      </c>
      <c r="C5" s="9" t="s">
        <v>40</v>
      </c>
      <c r="D5" s="64" t="s">
        <v>10</v>
      </c>
      <c r="E5" s="64"/>
      <c r="F5" s="9" t="s">
        <v>73</v>
      </c>
      <c r="G5" s="147"/>
    </row>
    <row r="6" spans="1:7" ht="27.6" customHeight="1" x14ac:dyDescent="0.2">
      <c r="A6" s="16" t="s">
        <v>42</v>
      </c>
      <c r="B6" s="19">
        <v>0.15</v>
      </c>
      <c r="C6" s="19">
        <v>0.06</v>
      </c>
      <c r="D6" s="19">
        <f>+B6-C6</f>
        <v>0.09</v>
      </c>
      <c r="E6" s="19">
        <f>+B6+C6</f>
        <v>0.21</v>
      </c>
      <c r="F6" s="104" t="s">
        <v>84</v>
      </c>
      <c r="G6" s="147"/>
    </row>
    <row r="7" spans="1:7" ht="27.6" customHeight="1" x14ac:dyDescent="0.2">
      <c r="A7" s="16" t="s">
        <v>39</v>
      </c>
      <c r="B7" s="19">
        <v>0.14000000000000001</v>
      </c>
      <c r="C7" s="19">
        <v>0.05</v>
      </c>
      <c r="D7" s="19">
        <f>+B7-C7</f>
        <v>9.0000000000000011E-2</v>
      </c>
      <c r="E7" s="19">
        <f>+B7+C7</f>
        <v>0.19</v>
      </c>
      <c r="F7" s="20" t="s">
        <v>3</v>
      </c>
      <c r="G7" s="147"/>
    </row>
    <row r="8" spans="1:7" ht="18.600000000000001" customHeight="1" x14ac:dyDescent="0.2">
      <c r="A8" s="16" t="s">
        <v>104</v>
      </c>
      <c r="B8" s="19">
        <v>0.38</v>
      </c>
      <c r="C8" s="19">
        <v>0.05</v>
      </c>
      <c r="D8" s="19">
        <f>+B8-C8</f>
        <v>0.33</v>
      </c>
      <c r="E8" s="19">
        <f>+B8+C8</f>
        <v>0.43</v>
      </c>
      <c r="F8" s="20"/>
      <c r="G8" s="147"/>
    </row>
    <row r="9" spans="1:7" ht="57.75" customHeight="1" x14ac:dyDescent="0.2">
      <c r="A9" s="16" t="s">
        <v>70</v>
      </c>
      <c r="B9" s="19">
        <v>0.28999999999999998</v>
      </c>
      <c r="C9" s="19">
        <v>0.06</v>
      </c>
      <c r="D9" s="19">
        <f>+B9-C9</f>
        <v>0.22999999999999998</v>
      </c>
      <c r="E9" s="19">
        <f>+B9+C9</f>
        <v>0.35</v>
      </c>
      <c r="F9" s="20" t="s">
        <v>74</v>
      </c>
      <c r="G9" s="147"/>
    </row>
    <row r="10" spans="1:7" ht="52.5" customHeight="1" x14ac:dyDescent="0.2">
      <c r="A10" s="16" t="s">
        <v>117</v>
      </c>
      <c r="B10" s="19">
        <v>0.03</v>
      </c>
      <c r="C10" s="19">
        <v>0.05</v>
      </c>
      <c r="D10" s="19">
        <v>0</v>
      </c>
      <c r="E10" s="19">
        <f>+B10+C10</f>
        <v>0.08</v>
      </c>
      <c r="F10" s="20"/>
      <c r="G10" s="147"/>
    </row>
    <row r="11" spans="1:7" ht="28.5" customHeight="1" x14ac:dyDescent="0.2">
      <c r="A11" s="16" t="s">
        <v>37</v>
      </c>
      <c r="B11" s="19">
        <v>0.01</v>
      </c>
      <c r="C11" s="19"/>
      <c r="D11" s="19"/>
      <c r="E11" s="19"/>
      <c r="F11" s="20"/>
      <c r="G11" s="147"/>
    </row>
    <row r="12" spans="1:7" ht="18.600000000000001" customHeight="1" x14ac:dyDescent="0.2">
      <c r="A12" s="16" t="s">
        <v>8</v>
      </c>
      <c r="B12" s="19">
        <v>1</v>
      </c>
      <c r="C12" s="19"/>
      <c r="D12" s="19"/>
      <c r="E12" s="19"/>
      <c r="F12" s="20"/>
      <c r="G12" s="147"/>
    </row>
    <row r="13" spans="1:7" ht="18.600000000000001" customHeight="1" x14ac:dyDescent="0.2">
      <c r="A13" s="16" t="s">
        <v>13</v>
      </c>
      <c r="B13" s="19">
        <v>0.14000000000000001</v>
      </c>
      <c r="C13" s="19">
        <v>0.06</v>
      </c>
      <c r="D13" s="19">
        <f>+B13-C13</f>
        <v>8.0000000000000016E-2</v>
      </c>
      <c r="E13" s="19">
        <f>+B13+C13</f>
        <v>0.2</v>
      </c>
      <c r="F13" s="20"/>
      <c r="G13" s="147"/>
    </row>
    <row r="14" spans="1:7" ht="18.600000000000001" customHeight="1" x14ac:dyDescent="0.2">
      <c r="A14" s="217" t="s">
        <v>110</v>
      </c>
      <c r="B14" s="217"/>
      <c r="C14" s="217"/>
      <c r="D14" s="217"/>
      <c r="E14" s="217"/>
      <c r="F14" s="217"/>
    </row>
    <row r="15" spans="1:7" ht="18.600000000000001" customHeight="1" x14ac:dyDescent="0.2">
      <c r="A15" s="14" t="s">
        <v>38</v>
      </c>
      <c r="B15" s="14"/>
      <c r="C15" s="14"/>
      <c r="D15" s="14"/>
      <c r="E15" s="14"/>
      <c r="F15" s="14"/>
    </row>
    <row r="16" spans="1:7" ht="14.25" customHeight="1" x14ac:dyDescent="0.2">
      <c r="A16" s="14" t="s">
        <v>72</v>
      </c>
    </row>
    <row r="17" spans="1:8" ht="15.75" customHeight="1" x14ac:dyDescent="0.2">
      <c r="A17" s="14" t="s">
        <v>103</v>
      </c>
      <c r="B17" s="28"/>
      <c r="C17" s="28"/>
      <c r="D17" s="28"/>
      <c r="E17" s="28"/>
      <c r="F17" s="28"/>
    </row>
    <row r="18" spans="1:8" s="28" customFormat="1" x14ac:dyDescent="0.2">
      <c r="A18" s="147" t="s">
        <v>109</v>
      </c>
      <c r="B18" s="147"/>
      <c r="C18" s="147"/>
      <c r="D18" s="147"/>
      <c r="E18" s="147"/>
      <c r="F18" s="147"/>
      <c r="G18" s="147"/>
      <c r="H18" s="147"/>
    </row>
    <row r="19" spans="1:8" ht="18" x14ac:dyDescent="0.2">
      <c r="A19" s="63"/>
      <c r="B19" s="63"/>
      <c r="C19" s="63"/>
      <c r="D19" s="63"/>
      <c r="E19" s="63"/>
      <c r="F19" s="63"/>
    </row>
    <row r="20" spans="1:8" ht="49.5" hidden="1" customHeight="1" x14ac:dyDescent="0.2">
      <c r="A20" s="73" t="s">
        <v>12</v>
      </c>
      <c r="B20" s="74"/>
      <c r="C20" s="74"/>
      <c r="D20" s="74"/>
      <c r="E20" s="74"/>
      <c r="F20" s="75"/>
    </row>
    <row r="21" spans="1:8" ht="31.5" hidden="1" customHeight="1" x14ac:dyDescent="0.2">
      <c r="A21" s="9" t="s">
        <v>0</v>
      </c>
      <c r="B21" s="9" t="s">
        <v>36</v>
      </c>
      <c r="C21" s="10" t="s">
        <v>19</v>
      </c>
      <c r="D21" s="10" t="s">
        <v>1</v>
      </c>
      <c r="E21" s="9" t="s">
        <v>20</v>
      </c>
      <c r="F21" s="62"/>
    </row>
    <row r="22" spans="1:8" ht="69" hidden="1" customHeight="1" x14ac:dyDescent="0.2">
      <c r="A22" s="12" t="s">
        <v>29</v>
      </c>
      <c r="B22" s="5">
        <v>0.33323999999999998</v>
      </c>
      <c r="C22" s="3"/>
      <c r="D22" s="2" t="s">
        <v>5</v>
      </c>
      <c r="E22" s="2" t="s">
        <v>14</v>
      </c>
      <c r="F22" s="13"/>
    </row>
    <row r="23" spans="1:8" ht="27.6" hidden="1" customHeight="1" x14ac:dyDescent="0.2">
      <c r="A23" s="12" t="s">
        <v>30</v>
      </c>
      <c r="B23" s="5">
        <v>0.35974</v>
      </c>
      <c r="C23" s="3"/>
      <c r="D23" s="2" t="s">
        <v>2</v>
      </c>
      <c r="E23" s="2" t="s">
        <v>18</v>
      </c>
      <c r="F23" s="13"/>
    </row>
    <row r="24" spans="1:8" ht="29.45" hidden="1" customHeight="1" x14ac:dyDescent="0.2">
      <c r="A24" s="12" t="s">
        <v>4</v>
      </c>
      <c r="B24" s="5">
        <v>0.29709999999999998</v>
      </c>
      <c r="C24" s="3"/>
      <c r="D24" s="2"/>
      <c r="E24" s="2"/>
      <c r="F24" s="13"/>
    </row>
    <row r="25" spans="1:8" ht="14.1" hidden="1" customHeight="1" x14ac:dyDescent="0.2">
      <c r="A25" s="12" t="s">
        <v>34</v>
      </c>
      <c r="B25" s="5">
        <v>0.25513999999999998</v>
      </c>
      <c r="C25" s="3"/>
      <c r="D25" s="2" t="s">
        <v>5</v>
      </c>
      <c r="E25" s="2" t="s">
        <v>17</v>
      </c>
      <c r="F25" s="13"/>
    </row>
    <row r="26" spans="1:8" ht="14.1" hidden="1" customHeight="1" x14ac:dyDescent="0.2">
      <c r="A26" s="12" t="s">
        <v>7</v>
      </c>
      <c r="B26" s="5">
        <v>3.884E-2</v>
      </c>
      <c r="C26" s="3"/>
      <c r="D26" s="2" t="s">
        <v>2</v>
      </c>
      <c r="E26" s="2" t="s">
        <v>16</v>
      </c>
      <c r="F26" s="13"/>
    </row>
    <row r="27" spans="1:8" ht="14.1" hidden="1" customHeight="1" x14ac:dyDescent="0.2">
      <c r="A27" s="12" t="s">
        <v>33</v>
      </c>
      <c r="B27" s="5">
        <v>6.0600000000000029E-3</v>
      </c>
      <c r="C27" s="3"/>
      <c r="D27" s="2" t="s">
        <v>2</v>
      </c>
      <c r="E27" s="2" t="s">
        <v>11</v>
      </c>
      <c r="F27" s="13"/>
    </row>
    <row r="28" spans="1:8" ht="14.1" hidden="1" customHeight="1" x14ac:dyDescent="0.2">
      <c r="A28" s="12" t="s">
        <v>35</v>
      </c>
      <c r="B28" s="5">
        <v>7.4999999999999928E-3</v>
      </c>
      <c r="C28" s="3"/>
      <c r="D28" s="2" t="s">
        <v>2</v>
      </c>
      <c r="E28" s="2" t="s">
        <v>9</v>
      </c>
      <c r="F28" s="13"/>
    </row>
    <row r="29" spans="1:8" ht="14.1" hidden="1" customHeight="1" x14ac:dyDescent="0.2">
      <c r="A29" s="12" t="s">
        <v>8</v>
      </c>
      <c r="B29" s="1">
        <v>1.0005199999999999</v>
      </c>
      <c r="C29" s="3"/>
      <c r="D29" s="2"/>
      <c r="E29" s="2"/>
      <c r="F29" s="13"/>
    </row>
    <row r="30" spans="1:8" ht="14.1" hidden="1" customHeight="1" x14ac:dyDescent="0.2">
      <c r="A30" s="12" t="s">
        <v>13</v>
      </c>
      <c r="B30" s="5">
        <v>0.16782812346728018</v>
      </c>
      <c r="C30" s="3"/>
      <c r="D30" s="2" t="s">
        <v>5</v>
      </c>
      <c r="E30" s="2" t="s">
        <v>15</v>
      </c>
      <c r="F30" s="13"/>
    </row>
    <row r="31" spans="1:8" ht="14.1" hidden="1" customHeight="1" x14ac:dyDescent="0.2">
      <c r="A31" s="4" t="s">
        <v>31</v>
      </c>
    </row>
    <row r="32" spans="1:8" ht="14.1" hidden="1" customHeight="1" x14ac:dyDescent="0.2"/>
    <row r="33" ht="14.1" hidden="1" customHeight="1" x14ac:dyDescent="0.2"/>
  </sheetData>
  <mergeCells count="7">
    <mergeCell ref="G3:G13"/>
    <mergeCell ref="A18:H18"/>
    <mergeCell ref="A14:F14"/>
    <mergeCell ref="A1:F1"/>
    <mergeCell ref="A4:F4"/>
    <mergeCell ref="A2:F2"/>
    <mergeCell ref="A3:F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17"/>
  <sheetViews>
    <sheetView showGridLines="0" rightToLeft="1" zoomScaleNormal="100" zoomScaleSheetLayoutView="100" workbookViewId="0">
      <selection activeCell="A17" sqref="A17:F17"/>
    </sheetView>
  </sheetViews>
  <sheetFormatPr defaultColWidth="7.625" defaultRowHeight="14.25" x14ac:dyDescent="0.2"/>
  <cols>
    <col min="1" max="1" width="42.625" style="80" customWidth="1"/>
    <col min="2" max="3" width="11.625" style="80" customWidth="1"/>
    <col min="4" max="4" width="17.875" style="80" customWidth="1"/>
    <col min="5" max="5" width="9" style="80" customWidth="1"/>
    <col min="6" max="6" width="32.625" style="80" bestFit="1" customWidth="1"/>
    <col min="7" max="16384" width="7.625" style="80"/>
  </cols>
  <sheetData>
    <row r="1" spans="1:7" ht="27.6" customHeight="1" x14ac:dyDescent="0.2">
      <c r="A1" s="236" t="s">
        <v>114</v>
      </c>
      <c r="B1" s="236"/>
      <c r="C1" s="236"/>
      <c r="D1" s="236"/>
      <c r="E1" s="236"/>
      <c r="F1" s="236"/>
    </row>
    <row r="2" spans="1:7" ht="27.6" customHeight="1" x14ac:dyDescent="0.2">
      <c r="A2" s="243" t="s">
        <v>106</v>
      </c>
      <c r="B2" s="243"/>
      <c r="C2" s="243"/>
      <c r="D2" s="243"/>
      <c r="E2" s="243"/>
      <c r="F2" s="243"/>
    </row>
    <row r="3" spans="1:7" ht="30" customHeight="1" x14ac:dyDescent="0.2">
      <c r="A3" s="237" t="s">
        <v>82</v>
      </c>
      <c r="B3" s="238"/>
      <c r="C3" s="238"/>
      <c r="D3" s="238"/>
      <c r="E3" s="238"/>
      <c r="F3" s="238"/>
      <c r="G3" s="239" t="s">
        <v>223</v>
      </c>
    </row>
    <row r="4" spans="1:7" ht="50.1" customHeight="1" x14ac:dyDescent="0.2">
      <c r="A4" s="81" t="s">
        <v>0</v>
      </c>
      <c r="B4" s="15" t="s">
        <v>115</v>
      </c>
      <c r="C4" s="81" t="s">
        <v>40</v>
      </c>
      <c r="D4" s="240" t="s">
        <v>10</v>
      </c>
      <c r="E4" s="241"/>
      <c r="F4" s="82" t="s">
        <v>73</v>
      </c>
      <c r="G4" s="239"/>
    </row>
    <row r="5" spans="1:7" ht="27.6" customHeight="1" x14ac:dyDescent="0.2">
      <c r="A5" s="83" t="s">
        <v>42</v>
      </c>
      <c r="B5" s="84">
        <v>0.14000000000000001</v>
      </c>
      <c r="C5" s="84">
        <v>0.06</v>
      </c>
      <c r="D5" s="84">
        <f>IF(B5-C5&gt;0,B5-C5,0)</f>
        <v>8.0000000000000016E-2</v>
      </c>
      <c r="E5" s="84">
        <f>B5+C5</f>
        <v>0.2</v>
      </c>
      <c r="F5" s="104" t="s">
        <v>84</v>
      </c>
      <c r="G5" s="239"/>
    </row>
    <row r="6" spans="1:7" ht="27.6" customHeight="1" x14ac:dyDescent="0.2">
      <c r="A6" s="83" t="s">
        <v>39</v>
      </c>
      <c r="B6" s="84">
        <v>0.26</v>
      </c>
      <c r="C6" s="84">
        <v>0.05</v>
      </c>
      <c r="D6" s="84">
        <f t="shared" ref="D6:D12" si="0">IF(B6-C6&gt;0,B6-C6,0)</f>
        <v>0.21000000000000002</v>
      </c>
      <c r="E6" s="84">
        <f t="shared" ref="E6:E12" si="1">B6+C6</f>
        <v>0.31</v>
      </c>
      <c r="F6" s="85" t="s">
        <v>3</v>
      </c>
      <c r="G6" s="239"/>
    </row>
    <row r="7" spans="1:7" ht="27.6" customHeight="1" x14ac:dyDescent="0.2">
      <c r="A7" s="16" t="s">
        <v>104</v>
      </c>
      <c r="B7" s="84">
        <v>0.38</v>
      </c>
      <c r="C7" s="84">
        <v>0.05</v>
      </c>
      <c r="D7" s="84">
        <f t="shared" si="0"/>
        <v>0.33</v>
      </c>
      <c r="E7" s="84">
        <f t="shared" si="1"/>
        <v>0.43</v>
      </c>
      <c r="F7" s="85"/>
      <c r="G7" s="239"/>
    </row>
    <row r="8" spans="1:7" ht="65.25" customHeight="1" x14ac:dyDescent="0.2">
      <c r="A8" s="83" t="s">
        <v>34</v>
      </c>
      <c r="B8" s="84">
        <v>0.12</v>
      </c>
      <c r="C8" s="84">
        <v>0.06</v>
      </c>
      <c r="D8" s="84">
        <f t="shared" si="0"/>
        <v>0.06</v>
      </c>
      <c r="E8" s="84">
        <f t="shared" si="1"/>
        <v>0.18</v>
      </c>
      <c r="F8" s="85" t="s">
        <v>74</v>
      </c>
      <c r="G8" s="239"/>
    </row>
    <row r="9" spans="1:7" ht="27.75" customHeight="1" x14ac:dyDescent="0.2">
      <c r="A9" s="83" t="s">
        <v>78</v>
      </c>
      <c r="B9" s="84">
        <v>0.06</v>
      </c>
      <c r="C9" s="84">
        <v>0.05</v>
      </c>
      <c r="D9" s="84">
        <f t="shared" si="0"/>
        <v>9.999999999999995E-3</v>
      </c>
      <c r="E9" s="84">
        <f t="shared" si="1"/>
        <v>0.11</v>
      </c>
      <c r="F9" s="85"/>
      <c r="G9" s="239"/>
    </row>
    <row r="10" spans="1:7" ht="18.600000000000001" customHeight="1" x14ac:dyDescent="0.2">
      <c r="A10" s="83" t="s">
        <v>37</v>
      </c>
      <c r="B10" s="84">
        <v>0.04</v>
      </c>
      <c r="C10" s="84"/>
      <c r="D10" s="84"/>
      <c r="E10" s="84"/>
      <c r="F10" s="85"/>
      <c r="G10" s="239"/>
    </row>
    <row r="11" spans="1:7" ht="18.600000000000001" customHeight="1" x14ac:dyDescent="0.2">
      <c r="A11" s="83" t="s">
        <v>8</v>
      </c>
      <c r="B11" s="84">
        <v>1</v>
      </c>
      <c r="C11" s="84"/>
      <c r="D11" s="84"/>
      <c r="E11" s="84"/>
      <c r="F11" s="85"/>
      <c r="G11" s="239"/>
    </row>
    <row r="12" spans="1:7" ht="36.75" customHeight="1" x14ac:dyDescent="0.2">
      <c r="A12" s="83" t="s">
        <v>13</v>
      </c>
      <c r="B12" s="84">
        <v>0.14000000000000001</v>
      </c>
      <c r="C12" s="84">
        <v>0.06</v>
      </c>
      <c r="D12" s="84">
        <f t="shared" si="0"/>
        <v>8.0000000000000016E-2</v>
      </c>
      <c r="E12" s="84">
        <f t="shared" si="1"/>
        <v>0.2</v>
      </c>
      <c r="F12" s="85"/>
      <c r="G12" s="239"/>
    </row>
    <row r="13" spans="1:7" ht="18.600000000000001" customHeight="1" x14ac:dyDescent="0.2">
      <c r="A13" s="242" t="s">
        <v>110</v>
      </c>
      <c r="B13" s="242"/>
      <c r="C13" s="242"/>
      <c r="D13" s="242"/>
      <c r="E13" s="242"/>
      <c r="F13" s="242"/>
    </row>
    <row r="14" spans="1:7" ht="14.25" customHeight="1" x14ac:dyDescent="0.2">
      <c r="A14" s="86" t="s">
        <v>38</v>
      </c>
      <c r="B14" s="87"/>
      <c r="C14" s="87"/>
      <c r="D14" s="87"/>
      <c r="E14" s="87"/>
      <c r="F14" s="87"/>
    </row>
    <row r="15" spans="1:7" x14ac:dyDescent="0.2">
      <c r="A15" s="86" t="s">
        <v>72</v>
      </c>
    </row>
    <row r="16" spans="1:7" s="28" customFormat="1" x14ac:dyDescent="0.2">
      <c r="A16" s="14" t="s">
        <v>103</v>
      </c>
    </row>
    <row r="17" spans="1:6" x14ac:dyDescent="0.2">
      <c r="A17" s="239" t="s">
        <v>109</v>
      </c>
      <c r="B17" s="239"/>
      <c r="C17" s="239"/>
      <c r="D17" s="239"/>
      <c r="E17" s="239"/>
      <c r="F17" s="239"/>
    </row>
  </sheetData>
  <mergeCells count="7">
    <mergeCell ref="A17:F17"/>
    <mergeCell ref="A2:F2"/>
    <mergeCell ref="A1:F1"/>
    <mergeCell ref="A3:F3"/>
    <mergeCell ref="G3:G12"/>
    <mergeCell ref="D4:E4"/>
    <mergeCell ref="A13:F13"/>
  </mergeCells>
  <printOptions horizontalCentered="1"/>
  <pageMargins left="0.25" right="0.25" top="0.75" bottom="0.75" header="0.3" footer="0.3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17"/>
  <sheetViews>
    <sheetView showGridLines="0" rightToLeft="1" zoomScaleNormal="100" zoomScaleSheetLayoutView="100" workbookViewId="0">
      <selection activeCell="A2" sqref="A2:F2"/>
    </sheetView>
  </sheetViews>
  <sheetFormatPr defaultColWidth="7.625" defaultRowHeight="14.25" x14ac:dyDescent="0.2"/>
  <cols>
    <col min="1" max="1" width="42.625" style="80" customWidth="1"/>
    <col min="2" max="3" width="11.625" style="80" customWidth="1"/>
    <col min="4" max="5" width="9" style="80" customWidth="1"/>
    <col min="6" max="6" width="32.625" style="80" bestFit="1" customWidth="1"/>
    <col min="7" max="7" width="34.625" style="80" hidden="1" customWidth="1"/>
    <col min="8" max="8" width="37" style="80" hidden="1" customWidth="1"/>
    <col min="9" max="16384" width="7.625" style="80"/>
  </cols>
  <sheetData>
    <row r="1" spans="1:9" ht="27.6" customHeight="1" x14ac:dyDescent="0.2">
      <c r="A1" s="236" t="s">
        <v>114</v>
      </c>
      <c r="B1" s="236"/>
      <c r="C1" s="236"/>
      <c r="D1" s="236"/>
      <c r="E1" s="236"/>
      <c r="F1" s="236"/>
    </row>
    <row r="2" spans="1:9" ht="27.6" customHeight="1" x14ac:dyDescent="0.2">
      <c r="A2" s="243" t="s">
        <v>106</v>
      </c>
      <c r="B2" s="243"/>
      <c r="C2" s="243"/>
      <c r="D2" s="243"/>
      <c r="E2" s="243"/>
      <c r="F2" s="243"/>
    </row>
    <row r="3" spans="1:9" ht="30" customHeight="1" x14ac:dyDescent="0.2">
      <c r="A3" s="237" t="s">
        <v>83</v>
      </c>
      <c r="B3" s="238"/>
      <c r="C3" s="238"/>
      <c r="D3" s="238"/>
      <c r="E3" s="238"/>
      <c r="F3" s="238"/>
      <c r="I3" s="239" t="s">
        <v>223</v>
      </c>
    </row>
    <row r="4" spans="1:9" ht="50.1" customHeight="1" x14ac:dyDescent="0.2">
      <c r="A4" s="81" t="s">
        <v>0</v>
      </c>
      <c r="B4" s="15" t="s">
        <v>115</v>
      </c>
      <c r="C4" s="81" t="s">
        <v>40</v>
      </c>
      <c r="D4" s="240" t="s">
        <v>10</v>
      </c>
      <c r="E4" s="241"/>
      <c r="F4" s="82" t="s">
        <v>73</v>
      </c>
      <c r="G4" s="11" t="s">
        <v>32</v>
      </c>
      <c r="I4" s="239"/>
    </row>
    <row r="5" spans="1:9" ht="27.6" customHeight="1" x14ac:dyDescent="0.2">
      <c r="A5" s="83" t="s">
        <v>42</v>
      </c>
      <c r="B5" s="84">
        <v>0.13</v>
      </c>
      <c r="C5" s="84">
        <v>0.06</v>
      </c>
      <c r="D5" s="84">
        <f>IF(B5-C5&gt;0,B5-C5,0)</f>
        <v>7.0000000000000007E-2</v>
      </c>
      <c r="E5" s="84">
        <f>B5+C5</f>
        <v>0.19</v>
      </c>
      <c r="F5" s="104" t="s">
        <v>84</v>
      </c>
      <c r="G5" s="6" t="s">
        <v>24</v>
      </c>
      <c r="I5" s="239"/>
    </row>
    <row r="6" spans="1:9" ht="27.6" customHeight="1" x14ac:dyDescent="0.2">
      <c r="A6" s="83" t="s">
        <v>39</v>
      </c>
      <c r="B6" s="84">
        <v>0.3</v>
      </c>
      <c r="C6" s="84">
        <v>0.05</v>
      </c>
      <c r="D6" s="84">
        <f t="shared" ref="D6:D12" si="0">IF(B6-C6&gt;0,B6-C6,0)</f>
        <v>0.25</v>
      </c>
      <c r="E6" s="84">
        <f t="shared" ref="E6:E12" si="1">B6+C6</f>
        <v>0.35</v>
      </c>
      <c r="F6" s="85" t="s">
        <v>3</v>
      </c>
      <c r="G6" s="7" t="s">
        <v>25</v>
      </c>
      <c r="I6" s="239"/>
    </row>
    <row r="7" spans="1:9" ht="27.6" customHeight="1" x14ac:dyDescent="0.2">
      <c r="A7" s="16" t="s">
        <v>104</v>
      </c>
      <c r="B7" s="84">
        <v>0.38</v>
      </c>
      <c r="C7" s="84">
        <v>0.05</v>
      </c>
      <c r="D7" s="84">
        <f t="shared" si="0"/>
        <v>0.33</v>
      </c>
      <c r="E7" s="84">
        <f t="shared" si="1"/>
        <v>0.43</v>
      </c>
      <c r="F7" s="85"/>
      <c r="G7" s="7"/>
      <c r="I7" s="239"/>
    </row>
    <row r="8" spans="1:9" ht="65.25" customHeight="1" x14ac:dyDescent="0.2">
      <c r="A8" s="83" t="s">
        <v>34</v>
      </c>
      <c r="B8" s="84">
        <v>0.08</v>
      </c>
      <c r="C8" s="84">
        <v>0.06</v>
      </c>
      <c r="D8" s="84">
        <f t="shared" si="0"/>
        <v>2.0000000000000004E-2</v>
      </c>
      <c r="E8" s="84">
        <f t="shared" si="1"/>
        <v>0.14000000000000001</v>
      </c>
      <c r="F8" s="85" t="s">
        <v>74</v>
      </c>
      <c r="G8" s="8" t="s">
        <v>21</v>
      </c>
      <c r="I8" s="239"/>
    </row>
    <row r="9" spans="1:9" ht="27.75" customHeight="1" x14ac:dyDescent="0.2">
      <c r="A9" s="83" t="s">
        <v>118</v>
      </c>
      <c r="B9" s="84">
        <v>0.06</v>
      </c>
      <c r="C9" s="84">
        <v>0.05</v>
      </c>
      <c r="D9" s="84">
        <f t="shared" si="0"/>
        <v>9.999999999999995E-3</v>
      </c>
      <c r="E9" s="84">
        <f t="shared" si="1"/>
        <v>0.11</v>
      </c>
      <c r="F9" s="85"/>
      <c r="G9" s="8" t="s">
        <v>26</v>
      </c>
      <c r="I9" s="239"/>
    </row>
    <row r="10" spans="1:9" ht="18.600000000000001" customHeight="1" x14ac:dyDescent="0.2">
      <c r="A10" s="83" t="s">
        <v>37</v>
      </c>
      <c r="B10" s="84">
        <v>0.05</v>
      </c>
      <c r="C10" s="84"/>
      <c r="D10" s="84"/>
      <c r="E10" s="84"/>
      <c r="F10" s="85"/>
      <c r="G10" s="7" t="s">
        <v>27</v>
      </c>
      <c r="I10" s="239"/>
    </row>
    <row r="11" spans="1:9" ht="18.600000000000001" customHeight="1" x14ac:dyDescent="0.2">
      <c r="A11" s="83" t="s">
        <v>8</v>
      </c>
      <c r="B11" s="84">
        <v>1</v>
      </c>
      <c r="C11" s="84"/>
      <c r="D11" s="84"/>
      <c r="E11" s="84"/>
      <c r="F11" s="85"/>
      <c r="G11" s="8" t="s">
        <v>28</v>
      </c>
      <c r="I11" s="239"/>
    </row>
    <row r="12" spans="1:9" ht="18.600000000000001" customHeight="1" x14ac:dyDescent="0.2">
      <c r="A12" s="83" t="s">
        <v>13</v>
      </c>
      <c r="B12" s="125">
        <v>0.12</v>
      </c>
      <c r="C12" s="84">
        <v>0.06</v>
      </c>
      <c r="D12" s="84">
        <f t="shared" si="0"/>
        <v>0.06</v>
      </c>
      <c r="E12" s="84">
        <f t="shared" si="1"/>
        <v>0.18</v>
      </c>
      <c r="F12" s="85"/>
      <c r="G12" s="8" t="s">
        <v>22</v>
      </c>
      <c r="I12" s="239"/>
    </row>
    <row r="13" spans="1:9" ht="18.600000000000001" customHeight="1" x14ac:dyDescent="0.2">
      <c r="A13" s="242" t="s">
        <v>110</v>
      </c>
      <c r="B13" s="242"/>
      <c r="C13" s="242"/>
      <c r="D13" s="242"/>
      <c r="E13" s="242"/>
      <c r="F13" s="242"/>
      <c r="H13" s="91"/>
    </row>
    <row r="14" spans="1:9" ht="14.25" customHeight="1" x14ac:dyDescent="0.2">
      <c r="A14" s="86" t="s">
        <v>38</v>
      </c>
      <c r="B14" s="87"/>
      <c r="C14" s="87"/>
      <c r="D14" s="87"/>
      <c r="E14" s="87"/>
      <c r="F14" s="87"/>
    </row>
    <row r="15" spans="1:9" x14ac:dyDescent="0.2">
      <c r="A15" s="86" t="s">
        <v>72</v>
      </c>
      <c r="B15" s="87"/>
      <c r="C15" s="87"/>
      <c r="D15" s="87"/>
      <c r="E15" s="87"/>
      <c r="F15" s="87"/>
    </row>
    <row r="16" spans="1:9" s="28" customFormat="1" x14ac:dyDescent="0.2">
      <c r="A16" s="14" t="s">
        <v>103</v>
      </c>
    </row>
    <row r="17" spans="1:6" x14ac:dyDescent="0.2">
      <c r="A17" s="239" t="s">
        <v>109</v>
      </c>
      <c r="B17" s="239"/>
      <c r="C17" s="239"/>
      <c r="D17" s="239"/>
      <c r="E17" s="239"/>
      <c r="F17" s="239"/>
    </row>
  </sheetData>
  <mergeCells count="7">
    <mergeCell ref="A1:F1"/>
    <mergeCell ref="A3:F3"/>
    <mergeCell ref="I3:I12"/>
    <mergeCell ref="D4:E4"/>
    <mergeCell ref="A17:F17"/>
    <mergeCell ref="A13:F13"/>
    <mergeCell ref="A2:F2"/>
  </mergeCells>
  <printOptions horizontalCentered="1"/>
  <pageMargins left="0.25" right="0.25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de__x05d9__x05d5__x05df_ xmlns="132a703e-4ff7-4d4d-99cc-9caaff5f427f">30</_x05de__x05d9__x05d5__x05df_>
    <_x05e7__x05d8__x05d2__x05d5__x05e8__x05d9__x05d4_ xmlns="132a703e-4ff7-4d4d-99cc-9caaff5f427f">פנסיה 2024</_x05e7__x05d8__x05d2__x05d5__x05e8__x05d9__x05d4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3005918AFDF62B4596BFBB7C146FA1E9" ma:contentTypeVersion="7" ma:contentTypeDescription="צור מסמך חדש." ma:contentTypeScope="" ma:versionID="2b401b763f7bbfd615646282db6032a6">
  <xsd:schema xmlns:xsd="http://www.w3.org/2001/XMLSchema" xmlns:xs="http://www.w3.org/2001/XMLSchema" xmlns:p="http://schemas.microsoft.com/office/2006/metadata/properties" xmlns:ns2="132a703e-4ff7-4d4d-99cc-9caaff5f427f" targetNamespace="http://schemas.microsoft.com/office/2006/metadata/properties" ma:root="true" ma:fieldsID="2769b59088046d01674a3688230a2d3f" ns2:_="">
    <xsd:import namespace="132a703e-4ff7-4d4d-99cc-9caaff5f427f"/>
    <xsd:element name="properties">
      <xsd:complexType>
        <xsd:sequence>
          <xsd:element name="documentManagement">
            <xsd:complexType>
              <xsd:all>
                <xsd:element ref="ns2:_x05de__x05d9__x05d5__x05df_" minOccurs="0"/>
                <xsd:element ref="ns2:_x05e7__x05d8__x05d2__x05d5__x05e8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a703e-4ff7-4d4d-99cc-9caaff5f427f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8" nillable="true" ma:displayName="מיון" ma:internalName="_x05de__x05d9__x05d5__x05df_">
      <xsd:simpleType>
        <xsd:restriction base="dms:Number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ביטוח"/>
          <xsd:enumeration value="פנסיה"/>
          <xsd:enumeration value="גמל"/>
          <xsd:enumeration value="אקסלנס אינווסט"/>
          <xsd:enumeration value="פנסיה 2011"/>
          <xsd:enumeration value="גמל 2011"/>
          <xsd:enumeration value="ביטוח 2011"/>
          <xsd:enumeration value="פנסיה 2012"/>
          <xsd:enumeration value="גמל 2012"/>
          <xsd:enumeration value="ביטוח 2012"/>
          <xsd:enumeration value="גמל 2013"/>
          <xsd:enumeration value="פנסיה 2013"/>
          <xsd:enumeration value="ביטוח 2013"/>
          <xsd:enumeration value="ביטוח 2014"/>
          <xsd:enumeration value="פנסיה 2014"/>
          <xsd:enumeration value="גמל 2014"/>
          <xsd:enumeration value="ביטוח 2015"/>
          <xsd:enumeration value="גמל 2015"/>
          <xsd:enumeration value="פנסיה 2015"/>
          <xsd:enumeration value="ביטוח 2016"/>
          <xsd:enumeration value="גמל 2016"/>
          <xsd:enumeration value="פנסיה 2016"/>
          <xsd:enumeration value="ביטוח 2017"/>
          <xsd:enumeration value="גמל 2017"/>
          <xsd:enumeration value="פנסיה 2017"/>
          <xsd:enumeration value="ביטוח 2018"/>
          <xsd:enumeration value="פנסיה 2018"/>
          <xsd:enumeration value="גמל 2018"/>
          <xsd:enumeration value="ביטוח 2019"/>
          <xsd:enumeration value="פנסיה 2019"/>
          <xsd:enumeration value="גמל 2019"/>
          <xsd:enumeration value="השקעות אחראיות 2019"/>
          <xsd:enumeration value="ביטוח 2020"/>
          <xsd:enumeration value="פנסיה 2020"/>
          <xsd:enumeration value="גמל 2020"/>
          <xsd:enumeration value="השקעות אחראיות 2020"/>
          <xsd:enumeration value="ביטוח 2021"/>
          <xsd:enumeration value="פנסיה 2021"/>
          <xsd:enumeration value="גמל 2021"/>
          <xsd:enumeration value="השקעות אחראיות 2021"/>
          <xsd:enumeration value="ביטוח 2022"/>
          <xsd:enumeration value="פנסיה 2022"/>
          <xsd:enumeration value="גמל 2022"/>
          <xsd:enumeration value="השקעות אחראיות 2022"/>
          <xsd:enumeration value="השקעות אחראיות 2023"/>
          <xsd:enumeration value="ביטוח 2023"/>
          <xsd:enumeration value="פנסיה 2023"/>
          <xsd:enumeration value="גמל 2023"/>
          <xsd:enumeration value="ביטוח 2024"/>
          <xsd:enumeration value="פנסיה 2024"/>
          <xsd:enumeration value="גמל 2024"/>
          <xsd:enumeration value="השקעות אחראיות 2024"/>
          <xsd:enumeration value="ביטוח 2025"/>
          <xsd:enumeration value="פנסיה 2025"/>
          <xsd:enumeration value="גמל 2025"/>
          <xsd:enumeration value="השקעות אחראיות 2025"/>
          <xsd:enumeration value="ביטוח 2026"/>
          <xsd:enumeration value="פנסיה 2026"/>
          <xsd:enumeration value="גמל 2026"/>
          <xsd:enumeration value="השקעות אחראיות 2026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C06E26F-1398-4AB8-9221-CD51D94BF1E0}"/>
</file>

<file path=customXml/itemProps2.xml><?xml version="1.0" encoding="utf-8"?>
<ds:datastoreItem xmlns:ds="http://schemas.openxmlformats.org/officeDocument/2006/customXml" ds:itemID="{C5519EDC-7D34-4F41-AC90-C03E81100FCA}"/>
</file>

<file path=customXml/itemProps3.xml><?xml version="1.0" encoding="utf-8"?>
<ds:datastoreItem xmlns:ds="http://schemas.openxmlformats.org/officeDocument/2006/customXml" ds:itemID="{63AA6AEF-FC6D-4240-A7FA-E991ACFC527F}"/>
</file>

<file path=customXml/itemProps4.xml><?xml version="1.0" encoding="utf-8"?>
<ds:datastoreItem xmlns:ds="http://schemas.openxmlformats.org/officeDocument/2006/customXml" ds:itemID="{BBC6BD1D-FC72-413D-89A7-272A27179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21</vt:i4>
      </vt:variant>
      <vt:variant>
        <vt:lpstr>טווחים בעלי שם</vt:lpstr>
      </vt:variant>
      <vt:variant>
        <vt:i4>14</vt:i4>
      </vt:variant>
    </vt:vector>
  </HeadingPairs>
  <TitlesOfParts>
    <vt:vector size="35" baseType="lpstr">
      <vt:lpstr>פנסיה מקיפה תלוי גיל</vt:lpstr>
      <vt:lpstr>פנסיה תלוי גיל פאסיבי</vt:lpstr>
      <vt:lpstr>מקיפה - אשכול 1 - אקטיבי</vt:lpstr>
      <vt:lpstr>מקיפה - אשכול 3 סחיר</vt:lpstr>
      <vt:lpstr>מקיפה- אשכול 4 - עוקב מדדים</vt:lpstr>
      <vt:lpstr>מקיפה אשכול 5 - הלכה</vt:lpstr>
      <vt:lpstr>מקיפה - מסלול השקעה למקבלי קצבה</vt:lpstr>
      <vt:lpstr>פנסיה מקיפה - מסלולים מתמחים</vt:lpstr>
      <vt:lpstr>פנסיה משלימה תלוי גיל</vt:lpstr>
      <vt:lpstr>משלימה - אשכול 1 - אקטיבי</vt:lpstr>
      <vt:lpstr>משלימה - אשכול 3 - סחיר</vt:lpstr>
      <vt:lpstr>משלימה - אשכול 4 - עוקב מדדים</vt:lpstr>
      <vt:lpstr>משלימה - אשכול 5 - אמונה</vt:lpstr>
      <vt:lpstr>מקיפה-פנסיונרים עד 31.12.17</vt:lpstr>
      <vt:lpstr>מקיפה-פנסיונרים זכאים</vt:lpstr>
      <vt:lpstr>מקיפה-פנסיונרים החל מ-1.1.18</vt:lpstr>
      <vt:lpstr>משלימה - מסלו השקעה למקבלי קצבה</vt:lpstr>
      <vt:lpstr>פנסיית יסוד</vt:lpstr>
      <vt:lpstr>עמיתי דור ביניים</vt:lpstr>
      <vt:lpstr>מגן</vt:lpstr>
      <vt:lpstr>קרן גמלאות של עורכי דין</vt:lpstr>
      <vt:lpstr>מגן!WPrint_Area_W</vt:lpstr>
      <vt:lpstr>'מקיפה-פנסיונרים החל מ-1.1.18'!WPrint_Area_W</vt:lpstr>
      <vt:lpstr>'מקיפה-פנסיונרים זכאים'!WPrint_Area_W</vt:lpstr>
      <vt:lpstr>'מקיפה-פנסיונרים עד 31.12.17'!WPrint_Area_W</vt:lpstr>
      <vt:lpstr>'מקיפה - אשכול 1 - אקטיבי'!WPrint_Area_W</vt:lpstr>
      <vt:lpstr>'מקיפה - אשכול 3 סחיר'!WPrint_Area_W</vt:lpstr>
      <vt:lpstr>'מקיפה אשכול 5 - הלכה'!WPrint_Area_W</vt:lpstr>
      <vt:lpstr>'משלימה - אשכול 3 - סחיר'!WPrint_Area_W</vt:lpstr>
      <vt:lpstr>'משלימה - מסלו השקעה למקבלי קצבה'!WPrint_Area_W</vt:lpstr>
      <vt:lpstr>'עמיתי דור ביניים'!WPrint_Area_W</vt:lpstr>
      <vt:lpstr>'פנסיה מקיפה תלוי גיל'!WPrint_Area_W</vt:lpstr>
      <vt:lpstr>'פנסיה משלימה תלוי גיל'!WPrint_Area_W</vt:lpstr>
      <vt:lpstr>'פנסיית יסוד'!WPrint_Area_W</vt:lpstr>
      <vt:lpstr>'קרן גמלאות של עורכי דין'!WPrint_Area_W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צפויה לשנת 2024 - עדכון יולי 2024</dc:title>
  <dc:creator>usf12840</dc:creator>
  <cp:lastModifiedBy>ארנה מור</cp:lastModifiedBy>
  <cp:lastPrinted>2018-11-01T14:03:26Z</cp:lastPrinted>
  <dcterms:created xsi:type="dcterms:W3CDTF">2010-10-12T06:56:00Z</dcterms:created>
  <dcterms:modified xsi:type="dcterms:W3CDTF">2024-07-07T09:18:18Z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0x0101003005918AFDF62B4596BFBB7C146FA1E9</vt:lpwstr>
  </property>
</Properties>
</file>