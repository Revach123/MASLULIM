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mc-nas\invest\אלי ברוך\דוחות 2018\שנתי\הוצאות ישירות\הוצאות ישירות לאתר\מסלולי הלמן אלדובי\"/>
    </mc:Choice>
  </mc:AlternateContent>
  <bookViews>
    <workbookView xWindow="240" yWindow="108" windowWidth="8472" windowHeight="6156" tabRatio="884" activeTab="0"/>
  </bookViews>
  <sheets>
    <sheet name="נספח 1" sheetId="1" r:id="rId2"/>
    <sheet name="נספח 2" sheetId="2" r:id="rId3"/>
    <sheet name="נספח 3" sheetId="3" r:id="rId4"/>
  </sheets>
  <definedNames/>
  <calcPr fullCalcOnLoad="1"/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<sst xmlns="http://schemas.openxmlformats.org/spreadsheetml/2006/main" count="123" uniqueCount="84">
  <si>
    <t>שם החברה המנהלת:</t>
  </si>
  <si>
    <t>שם הקופה המדווחת:</t>
  </si>
  <si>
    <t xml:space="preserve">אלפי ₪ </t>
  </si>
  <si>
    <t>סך עמלות קסטודיאן לצדדים קשורים</t>
  </si>
  <si>
    <t>סך עמלות קסטודיאן לצדדים שאינם קשורים</t>
  </si>
  <si>
    <t>סך תשלומים הנובעים מהשקעה בקרנות השקעה</t>
  </si>
  <si>
    <t>סך תשלומים למנהלי תיקים ישראליים</t>
  </si>
  <si>
    <t>סך תשלומים בגין השקעה בקרנות נאמנות ישראליות</t>
  </si>
  <si>
    <t>דיווח לציבור על הוצאות ישירות המנוכות מחשבונות העמיתים</t>
  </si>
  <si>
    <t>ברוקראז'- עמלות קנייה ומכירה בגין ביצוע עסקאות בניירות ערך סחירים</t>
  </si>
  <si>
    <t>צדדים קשורים</t>
  </si>
  <si>
    <t>(2) ברוקר ב'</t>
  </si>
  <si>
    <t>(3) אחרים</t>
  </si>
  <si>
    <t>צדדים שאינם קשורים</t>
  </si>
  <si>
    <t>סך עמלות ברוקראז'</t>
  </si>
  <si>
    <t>עמלות קסטודיאן</t>
  </si>
  <si>
    <t>(1) קסטודיאן א'</t>
  </si>
  <si>
    <t>(1) ברוקר א'</t>
  </si>
  <si>
    <t>(2) קסטודיאן ב'</t>
  </si>
  <si>
    <t>סך עמלות קסטודיאן</t>
  </si>
  <si>
    <t>הוצאה הנובעת מהשקעה בניירות ערך לא סחירים או ממתן הלוואה</t>
  </si>
  <si>
    <t>(1) גוף/יחיד א'</t>
  </si>
  <si>
    <t>(2) גוף/יחיד ב'</t>
  </si>
  <si>
    <t>סך הוצאה הנובעת מהשקעה בניירות ערך לא סחירים וממתן הלוואה</t>
  </si>
  <si>
    <t>הוצאה הנובעת מהשקעה בזכויות מקרקעין</t>
  </si>
  <si>
    <t>סך הוצאות הנובעות מהשקעה בזכויות במקרקעין</t>
  </si>
  <si>
    <t>סך הכל עמלות והוצאות</t>
  </si>
  <si>
    <t>תשלום למנהל תיקים ישראלי</t>
  </si>
  <si>
    <t>תשלום למנהל תיקים זר</t>
  </si>
  <si>
    <t>סך תשלומים למנהלי תיקים זרים</t>
  </si>
  <si>
    <t>תשלום בגין השקעה בקרן נאמנות</t>
  </si>
  <si>
    <t>א. קרן נאמנות ישראלית</t>
  </si>
  <si>
    <t>(1) מנהל קרנות א'</t>
  </si>
  <si>
    <t>(2) מנהל קרנות ב'</t>
  </si>
  <si>
    <t>ב. קרן חוץ</t>
  </si>
  <si>
    <t>סך תשלומים בגין השקעה בקרנות נאמנות</t>
  </si>
  <si>
    <t>עמלה בגין הליך דירוג פנימי</t>
  </si>
  <si>
    <t>סך הכול עמלות ניהול חיצוני</t>
  </si>
  <si>
    <t>סך תשלומים בגין השקעה בתעודות סל ישראליות</t>
  </si>
  <si>
    <t>קלירמרק</t>
  </si>
  <si>
    <t>1. סה"כ עמלות קנייה ומכירה</t>
  </si>
  <si>
    <t>סך עמלות קנייה ומכירה לצדדים קשורים</t>
  </si>
  <si>
    <t>סך עמלות קנייה ומכירה לצדדים שאינם קשורים</t>
  </si>
  <si>
    <t>2. סה"כ עמלות קסטודיאן</t>
  </si>
  <si>
    <t>3. סה"כ מהשקעות לא סחירות</t>
  </si>
  <si>
    <t>א.סך הוצאות הנובעות מהשקעה בניירות ערך לא סחירים שאינם לצורך מימון פרויקטים לתשתיות</t>
  </si>
  <si>
    <t>ב. סך הוצאות הנובעות ממימון פרוייקטים לתשתיות</t>
  </si>
  <si>
    <t>ג. סך הוצאות הנובעות מהשקעה בזכויות מקרקעין</t>
  </si>
  <si>
    <t>4. סה"כ עמלות ניהול חיצוני</t>
  </si>
  <si>
    <t>סך תשלומים הנובעים מהשקעה בקרנות השקעה בישראל</t>
  </si>
  <si>
    <t>סך תשלומים הנובעים מהשקעה בקרנות השקעה בחו"ל</t>
  </si>
  <si>
    <t>סך תשלומים למנהלי תיקים ישראלים בגין השקעה בחו"ל</t>
  </si>
  <si>
    <t>סך תשלומים בגין השקעה בתעודות סל זרות</t>
  </si>
  <si>
    <t>סך תשלומים בגין השקעה בקרנות נאמנות זרות</t>
  </si>
  <si>
    <t>5. סה"כ הוצאות אחרות</t>
  </si>
  <si>
    <t>א.סך הוצאות בעד ניהול תביעות</t>
  </si>
  <si>
    <t>ב.סך הוצאות בעד מתן משכנתאות</t>
  </si>
  <si>
    <t xml:space="preserve"> 6. סה"כ הוצאות ישירות (סיכום סעיפים 1 עד 5)</t>
  </si>
  <si>
    <t>7. שיעור הוצאות ישירות</t>
  </si>
  <si>
    <t>א. שיעור סך ההוצאות הישירות, שההוצאה בגינן מוגבלת לשיעור של 0.25% לפי</t>
  </si>
  <si>
    <t>התקנות (סיכום סעיפים 3א,4, 5ב) חלקי סך הנכסים</t>
  </si>
  <si>
    <t>סך נכסים לסוף שנה קודמת</t>
  </si>
  <si>
    <t xml:space="preserve">פועלים 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</si>
  <si>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</si>
  <si>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</si>
  <si>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</si>
  <si>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סך הוצאות הנובעות  ממתן משכנתא</t>
  </si>
  <si>
    <t>פימי אופורטיוניטי 2</t>
  </si>
  <si>
    <t xml:space="preserve">תשלומים בגין השקעה בתעודות סל </t>
  </si>
  <si>
    <t>תעודת סל זרה</t>
  </si>
  <si>
    <t>קופה לתשלום דמי מחלה</t>
  </si>
  <si>
    <t>ISF</t>
  </si>
  <si>
    <t>הלמן אלדובי קופות גמל ופנסיה בע"מ</t>
  </si>
  <si>
    <t>KCPS</t>
  </si>
  <si>
    <t>תעודות סל ישראליות</t>
  </si>
  <si>
    <t>Blackrock</t>
  </si>
  <si>
    <t>בנק מזרחי</t>
  </si>
  <si>
    <t>vanguard group inc</t>
  </si>
  <si>
    <t>נספח 3 - פרוט עמלות ניהול חיצוני לשנת 2017</t>
  </si>
  <si>
    <t>נספח 1 - סך התשלומים ששולמו בגין כל סוג של הוצאה ישירה לשנת 2018</t>
  </si>
  <si>
    <t>נספח 2 - פרוט עמלות והוצאות לשנת 2018</t>
  </si>
  <si>
    <t>בראשית - ב' - 5.94%</t>
  </si>
  <si>
    <t>תשלום הנובע מהשקעה בקרנות השקעה בישראל</t>
  </si>
  <si>
    <t>ב. שיעור סך הוצאות ישירות מתוך יתרת נכסים ממוצעת (באחוזים)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</si>
</sst>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11">
    <font>
      <sz val="10"/>
      <name val="Arial"/>
      <family val="2"/>
      <charset val="177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 val="single"/>
      <sz val="10"/>
      <name val="Arial"/>
      <family val="2"/>
    </font>
    <font>
      <b/>
      <sz val="8"/>
      <color indexed="8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indexed="8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ont="1" applyFill="1" applyBorder="1" applyAlignment="1">
      <alignment horizontal="right" readingOrder="2"/>
    </xf>
    <xf numFmtId="0" fontId="2" fillId="0" borderId="0" xfId="0" applyFont="1"/>
    <xf numFmtId="165" fontId="2" fillId="3" borderId="2" xfId="20" applyNumberFormat="1" applyFont="1" applyFill="1" applyBorder="1" applyAlignment="1">
      <alignment/>
    </xf>
    <xf numFmtId="165" fontId="2" fillId="2" borderId="2" xfId="20" applyNumberFormat="1" applyFont="1" applyFill="1" applyBorder="1" applyAlignment="1">
      <alignment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readingOrder="2"/>
    </xf>
    <xf numFmtId="0" fontId="2" fillId="2" borderId="1" xfId="0" applyFont="1" applyFill="1" applyBorder="1" applyAlignment="1">
      <alignment/>
    </xf>
    <xf numFmtId="0" fontId="2" fillId="2" borderId="4" xfId="0" applyFont="1" applyFill="1" applyBorder="1" applyAlignment="1">
      <alignment/>
    </xf>
    <xf numFmtId="0" fontId="2" fillId="0" borderId="0" xfId="0" applyFont="1" applyAlignment="1">
      <alignment horizontal="right"/>
    </xf>
    <xf numFmtId="0" fontId="2" fillId="0" borderId="0" xfId="0" applyFont="1" applyAlignment="1">
      <alignment/>
    </xf>
    <xf numFmtId="0" fontId="0" fillId="0" borderId="0" xfId="0" applyFill="1"/>
    <xf numFmtId="0" fontId="2" fillId="2" borderId="1" xfId="0" applyFont="1" applyFill="1" applyBorder="1" applyAlignment="1">
      <alignment readingOrder="2"/>
    </xf>
    <xf numFmtId="0" fontId="2" fillId="2" borderId="3" xfId="0" applyFont="1" applyFill="1" applyBorder="1" applyAlignment="1">
      <alignment/>
    </xf>
    <xf numFmtId="0" fontId="4" fillId="2" borderId="3" xfId="0" applyFont="1" applyFill="1" applyBorder="1" applyAlignment="1">
      <alignment/>
    </xf>
    <xf numFmtId="0" fontId="4" fillId="2" borderId="4" xfId="0" applyFont="1" applyFill="1" applyBorder="1" applyAlignment="1">
      <alignment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2" borderId="1" xfId="0" applyFont="1" applyFill="1" applyBorder="1" applyAlignment="1">
      <alignment/>
    </xf>
    <xf numFmtId="0" fontId="0" fillId="2" borderId="3" xfId="0" applyFont="1" applyFill="1" applyBorder="1" applyAlignment="1">
      <alignment/>
    </xf>
    <xf numFmtId="0" fontId="0" fillId="2" borderId="4" xfId="0" applyFont="1" applyFill="1" applyBorder="1" applyAlignment="1">
      <alignment/>
    </xf>
    <xf numFmtId="0" fontId="0" fillId="0" borderId="0" xfId="0" applyFont="1"/>
    <xf numFmtId="0" fontId="7" fillId="2" borderId="2" xfId="0" applyFont="1" applyFill="1" applyBorder="1" applyAlignment="1">
      <alignment horizontal="right" readingOrder="2"/>
    </xf>
    <xf numFmtId="10" fontId="2" fillId="0" borderId="2" xfId="24" applyNumberFormat="1" applyFont="1" applyFill="1" applyBorder="1" applyAlignment="1">
      <alignment/>
    </xf>
    <xf numFmtId="10" fontId="2" fillId="2" borderId="2" xfId="24" applyNumberFormat="1" applyFont="1" applyFill="1" applyBorder="1" applyAlignment="1">
      <alignment/>
    </xf>
    <xf numFmtId="0" fontId="0" fillId="0" borderId="0" xfId="0" applyFill="1" applyBorder="1"/>
    <xf numFmtId="164" fontId="8" fillId="0" borderId="0" xfId="22" applyNumberFormat="1" applyFont="1" applyFill="1" applyBorder="1" applyAlignment="1">
      <alignment horizontal="right" wrapText="1" readingOrder="2"/>
    </xf>
    <xf numFmtId="165" fontId="5" fillId="0" borderId="0" xfId="22" applyNumberFormat="1" applyFont="1" applyFill="1" applyBorder="1" applyAlignment="1">
      <alignment horizontal="right"/>
    </xf>
    <xf numFmtId="0" fontId="9" fillId="0" borderId="0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43" fontId="0" fillId="0" borderId="0" xfId="18" applyFont="1"/>
    <xf numFmtId="43" fontId="2" fillId="2" borderId="2" xfId="18" applyFont="1" applyFill="1" applyBorder="1" applyAlignment="1">
      <alignment/>
    </xf>
    <xf numFmtId="43" fontId="2" fillId="0" borderId="2" xfId="18" applyFont="1" applyFill="1" applyBorder="1" applyAlignment="1">
      <alignment/>
    </xf>
    <xf numFmtId="43" fontId="2" fillId="0" borderId="2" xfId="18" applyFont="1" applyBorder="1" applyAlignment="1">
      <alignment/>
    </xf>
    <xf numFmtId="43" fontId="2" fillId="3" borderId="2" xfId="18" applyFont="1" applyFill="1" applyBorder="1" applyAlignment="1">
      <alignment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 readingOrder="2"/>
    </xf>
    <xf numFmtId="164" fontId="2" fillId="3" borderId="2" xfId="20" applyNumberFormat="1" applyFont="1" applyFill="1" applyBorder="1" applyAlignment="1">
      <alignment/>
    </xf>
    <xf numFmtId="164" fontId="2" fillId="2" borderId="2" xfId="20" applyNumberFormat="1" applyFont="1" applyFill="1" applyBorder="1" applyAlignment="1">
      <alignment/>
    </xf>
    <xf numFmtId="0" fontId="0" fillId="2" borderId="3" xfId="0" applyFont="1" applyFill="1" applyBorder="1" applyAlignment="1">
      <alignment horizontal="right"/>
    </xf>
    <xf numFmtId="43" fontId="2" fillId="3" borderId="2" xfId="20" applyNumberFormat="1" applyFont="1" applyFill="1" applyBorder="1" applyAlignment="1">
      <alignment/>
    </xf>
    <xf numFmtId="43" fontId="0" fillId="2" borderId="4" xfId="0" applyNumberFormat="1" applyFont="1" applyFill="1" applyBorder="1" applyAlignment="1">
      <alignment/>
    </xf>
    <xf numFmtId="43" fontId="2" fillId="2" borderId="4" xfId="0" applyNumberFormat="1" applyFont="1" applyFill="1" applyBorder="1" applyAlignment="1">
      <alignment/>
    </xf>
    <xf numFmtId="43" fontId="0" fillId="0" borderId="0" xfId="0" applyNumberFormat="1" applyFill="1"/>
    <xf numFmtId="43" fontId="2" fillId="2" borderId="2" xfId="0" applyNumberFormat="1" applyFont="1" applyFill="1" applyBorder="1" applyAlignment="1">
      <alignment/>
    </xf>
    <xf numFmtId="43" fontId="2" fillId="0" borderId="2" xfId="20" applyNumberFormat="1" applyFont="1" applyFill="1" applyBorder="1" applyAlignment="1">
      <alignment/>
    </xf>
    <xf numFmtId="43" fontId="2" fillId="0" borderId="2" xfId="0" applyNumberFormat="1" applyFont="1" applyFill="1" applyBorder="1" applyAlignment="1">
      <alignment/>
    </xf>
    <xf numFmtId="43" fontId="0" fillId="2" borderId="2" xfId="0" applyNumberFormat="1" applyFont="1" applyFill="1" applyBorder="1" applyAlignment="1">
      <alignment horizontal="right" readingOrder="2"/>
    </xf>
    <xf numFmtId="43" fontId="2" fillId="0" borderId="2" xfId="18" applyNumberFormat="1" applyFont="1" applyFill="1" applyBorder="1" applyAlignment="1">
      <alignment/>
    </xf>
    <xf numFmtId="43" fontId="0" fillId="0" borderId="0" xfId="0" applyNumberFormat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 readingOrder="2"/>
    </xf>
    <xf numFmtId="0" fontId="0" fillId="2" borderId="3" xfId="0" applyFont="1" applyFill="1" applyBorder="1" applyAlignment="1">
      <alignment horizontal="right" readingOrder="2"/>
    </xf>
    <xf numFmtId="0" fontId="0" fillId="2" borderId="4" xfId="0" applyFont="1" applyFill="1" applyBorder="1" applyAlignment="1">
      <alignment horizontal="right" readingOrder="2"/>
    </xf>
    <xf numFmtId="0" fontId="0" fillId="2" borderId="1" xfId="0" applyFont="1" applyFill="1" applyBorder="1" applyAlignment="1">
      <alignment horizontal="right" readingOrder="2"/>
    </xf>
    <xf numFmtId="0" fontId="0" fillId="2" borderId="3" xfId="0" applyFont="1" applyFill="1" applyBorder="1" applyAlignment="1">
      <alignment horizontal="right" readingOrder="2"/>
    </xf>
    <xf numFmtId="0" fontId="0" fillId="2" borderId="4" xfId="0" applyFont="1" applyFill="1" applyBorder="1" applyAlignment="1">
      <alignment horizontal="right" readingOrder="2"/>
    </xf>
    <xf numFmtId="0" fontId="2" fillId="2" borderId="1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2" borderId="2" xfId="0" applyFill="1" applyBorder="1" applyAlignment="1">
      <alignment horizontal="center"/>
    </xf>
  </cellXfs>
  <cellStyles count="1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 5" xfId="20"/>
    <cellStyle name="Comma 8" xfId="21"/>
    <cellStyle name="Comma 9" xfId="22"/>
    <cellStyle name="Normal 2" xfId="23"/>
    <cellStyle name="Percent 2" xfId="24"/>
    <cellStyle name="Percent 8" xfId="25"/>
    <cellStyle name="Comma 2 6" xf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H46"/>
  <sheetViews>
    <sheetView rightToLeft="1" tabSelected="1" workbookViewId="0" topLeftCell="A1">
      <selection pane="topLeft" activeCell="G42" sqref="G42"/>
    </sheetView>
  </sheetViews>
  <sheetFormatPr defaultRowHeight="13.5"/>
  <cols>
    <col min="3" max="3" width="21" customWidth="1"/>
    <col min="7" max="7" width="14" bestFit="1" customWidth="1"/>
    <col min="8" max="8" width="8.85714285714286" style="28"/>
  </cols>
  <sheetData>
    <row r="1" spans="1:7" ht="13.2">
      <c r="A1" s="12" t="s">
        <v>8</v>
      </c>
      <c r="B1" s="1"/>
      <c r="C1" s="1"/>
      <c r="D1" s="1"/>
      <c r="E1" s="1"/>
      <c r="F1" s="1"/>
      <c r="G1" s="1"/>
    </row>
    <row r="2" spans="1:1" ht="13.2">
      <c r="A2" s="19"/>
    </row>
    <row r="3" spans="1:7" ht="13.2">
      <c r="A3" s="13" t="s">
        <v>79</v>
      </c>
      <c r="B3" s="1"/>
      <c r="C3" s="1"/>
      <c r="D3" s="1"/>
      <c r="E3" s="1"/>
      <c r="F3" s="1"/>
      <c r="G3" s="1"/>
    </row>
    <row r="4" spans="1:7" ht="13.2">
      <c r="A4" s="3"/>
      <c r="B4" s="3"/>
      <c r="C4" s="13"/>
      <c r="D4" s="13"/>
      <c r="E4" s="13"/>
      <c r="F4" s="3"/>
      <c r="G4" s="3"/>
    </row>
    <row r="5" spans="7:8" ht="13.2">
      <c r="G5" s="14"/>
      <c r="H5"/>
    </row>
    <row r="6" spans="1:8" ht="13.2">
      <c r="A6" t="s">
        <v>0</v>
      </c>
      <c r="C6" t="s">
        <v>72</v>
      </c>
      <c r="G6" s="14"/>
      <c r="H6"/>
    </row>
    <row r="7" spans="7:8" ht="13.2">
      <c r="G7" s="14"/>
      <c r="H7"/>
    </row>
    <row r="8" spans="1:7" ht="13.2">
      <c r="A8" t="s">
        <v>1</v>
      </c>
      <c r="C8" t="s">
        <v>70</v>
      </c>
      <c r="D8">
        <v>1008</v>
      </c>
      <c r="G8" s="14"/>
    </row>
    <row r="10" spans="1:8" s="24" customFormat="1" ht="13.2">
      <c r="A10" s="21"/>
      <c r="B10" s="22"/>
      <c r="C10" s="22"/>
      <c r="D10" s="22"/>
      <c r="E10" s="22"/>
      <c r="F10" s="23"/>
      <c r="G10" s="6" t="s">
        <v>2</v>
      </c>
      <c r="H10" s="28"/>
    </row>
    <row r="11" spans="1:8" s="24" customFormat="1" ht="13.2">
      <c r="A11" s="25" t="s">
        <v>40</v>
      </c>
      <c r="B11" s="16"/>
      <c r="C11" s="16"/>
      <c r="D11" s="16"/>
      <c r="E11" s="16"/>
      <c r="F11" s="11"/>
      <c r="G11" s="11"/>
      <c r="H11" s="28"/>
    </row>
    <row r="12" spans="1:8" s="24" customFormat="1" ht="13.2">
      <c r="A12" s="25" t="s">
        <v>41</v>
      </c>
      <c r="B12" s="16"/>
      <c r="C12" s="16"/>
      <c r="D12" s="16"/>
      <c r="E12" s="16"/>
      <c r="F12" s="11"/>
      <c r="G12" s="4">
        <v>0</v>
      </c>
      <c r="H12" s="28"/>
    </row>
    <row r="13" spans="1:8" s="24" customFormat="1" ht="13.2">
      <c r="A13" s="25" t="s">
        <v>42</v>
      </c>
      <c r="B13" s="16"/>
      <c r="C13" s="16"/>
      <c r="D13" s="16"/>
      <c r="E13" s="16"/>
      <c r="F13" s="11"/>
      <c r="G13" s="45">
        <v>0.26656999999999997</v>
      </c>
      <c r="H13" s="28"/>
    </row>
    <row r="14" spans="1:8" s="24" customFormat="1" ht="13.2">
      <c r="A14" s="21"/>
      <c r="B14" s="22"/>
      <c r="C14" s="22"/>
      <c r="D14" s="22"/>
      <c r="E14" s="22"/>
      <c r="F14" s="23"/>
      <c r="G14" s="46"/>
      <c r="H14" s="28"/>
    </row>
    <row r="15" spans="1:8" s="24" customFormat="1" ht="13.2">
      <c r="A15" s="25" t="s">
        <v>43</v>
      </c>
      <c r="B15" s="16"/>
      <c r="C15" s="16"/>
      <c r="D15" s="16"/>
      <c r="E15" s="16"/>
      <c r="F15" s="23"/>
      <c r="G15" s="46"/>
      <c r="H15" s="28"/>
    </row>
    <row r="16" spans="1:8" s="24" customFormat="1" ht="13.2">
      <c r="A16" s="25" t="s">
        <v>3</v>
      </c>
      <c r="B16" s="16"/>
      <c r="C16" s="16"/>
      <c r="D16" s="16"/>
      <c r="E16" s="16"/>
      <c r="F16" s="23"/>
      <c r="G16" s="45"/>
      <c r="H16" s="28"/>
    </row>
    <row r="17" spans="1:8" s="24" customFormat="1" ht="13.2">
      <c r="A17" s="25" t="s">
        <v>4</v>
      </c>
      <c r="B17" s="16"/>
      <c r="C17" s="16"/>
      <c r="D17" s="16"/>
      <c r="E17" s="16"/>
      <c r="F17" s="11"/>
      <c r="G17" s="45">
        <v>0</v>
      </c>
      <c r="H17" s="28"/>
    </row>
    <row r="18" spans="1:8" s="24" customFormat="1" ht="13.2">
      <c r="A18" s="21"/>
      <c r="B18" s="22"/>
      <c r="C18" s="22"/>
      <c r="D18" s="22"/>
      <c r="E18" s="22"/>
      <c r="F18" s="23"/>
      <c r="G18" s="46"/>
      <c r="H18" s="28"/>
    </row>
    <row r="19" spans="1:8" s="24" customFormat="1" ht="13.2">
      <c r="A19" s="25" t="s">
        <v>44</v>
      </c>
      <c r="B19" s="16"/>
      <c r="C19" s="16"/>
      <c r="D19" s="16"/>
      <c r="E19" s="16"/>
      <c r="F19" s="11"/>
      <c r="G19" s="47"/>
      <c r="H19" s="28"/>
    </row>
    <row r="20" spans="1:8" s="24" customFormat="1" ht="13.2">
      <c r="A20" s="25" t="s">
        <v>45</v>
      </c>
      <c r="B20" s="17"/>
      <c r="C20" s="17"/>
      <c r="D20" s="17"/>
      <c r="E20" s="17"/>
      <c r="F20" s="18"/>
      <c r="G20" s="45">
        <v>0</v>
      </c>
      <c r="H20" s="28"/>
    </row>
    <row r="21" spans="1:8" s="24" customFormat="1" ht="13.2">
      <c r="A21" s="25" t="s">
        <v>46</v>
      </c>
      <c r="B21" s="16"/>
      <c r="C21" s="16"/>
      <c r="D21" s="16"/>
      <c r="E21" s="16"/>
      <c r="F21" s="11"/>
      <c r="G21" s="45">
        <v>0</v>
      </c>
      <c r="H21" s="28"/>
    </row>
    <row r="22" spans="1:8" s="24" customFormat="1" ht="13.2">
      <c r="A22" s="25" t="s">
        <v>47</v>
      </c>
      <c r="B22" s="16"/>
      <c r="C22" s="16"/>
      <c r="D22" s="16"/>
      <c r="E22" s="16"/>
      <c r="F22" s="11"/>
      <c r="G22" s="45">
        <v>0</v>
      </c>
      <c r="H22" s="28"/>
    </row>
    <row r="23" spans="1:8" s="24" customFormat="1" ht="13.2">
      <c r="A23" s="21"/>
      <c r="B23" s="22"/>
      <c r="C23" s="22"/>
      <c r="D23" s="22"/>
      <c r="E23" s="22"/>
      <c r="F23" s="23"/>
      <c r="G23" s="46"/>
      <c r="H23" s="28"/>
    </row>
    <row r="24" spans="1:8" s="24" customFormat="1" ht="13.2">
      <c r="A24" s="25" t="s">
        <v>48</v>
      </c>
      <c r="B24" s="16"/>
      <c r="C24" s="16"/>
      <c r="D24" s="16"/>
      <c r="E24" s="16"/>
      <c r="F24" s="11"/>
      <c r="G24" s="47"/>
      <c r="H24" s="28"/>
    </row>
    <row r="25" spans="1:8" s="24" customFormat="1" ht="13.2">
      <c r="A25" s="25" t="s">
        <v>49</v>
      </c>
      <c r="B25" s="16"/>
      <c r="C25" s="16"/>
      <c r="D25" s="16"/>
      <c r="E25" s="16"/>
      <c r="F25" s="11"/>
      <c r="G25" s="45">
        <v>12.330191116904713</v>
      </c>
      <c r="H25" s="29"/>
    </row>
    <row r="26" spans="1:8" s="24" customFormat="1" ht="13.2">
      <c r="A26" s="25" t="s">
        <v>50</v>
      </c>
      <c r="B26" s="16"/>
      <c r="C26" s="16"/>
      <c r="D26" s="16"/>
      <c r="E26" s="16"/>
      <c r="F26" s="11"/>
      <c r="G26" s="45">
        <v>0</v>
      </c>
      <c r="H26" s="28"/>
    </row>
    <row r="27" spans="1:8" s="24" customFormat="1" ht="13.2">
      <c r="A27" s="25" t="s">
        <v>51</v>
      </c>
      <c r="B27" s="16"/>
      <c r="C27" s="16"/>
      <c r="D27" s="16"/>
      <c r="E27" s="16"/>
      <c r="F27" s="11"/>
      <c r="G27" s="45">
        <v>0</v>
      </c>
      <c r="H27" s="28"/>
    </row>
    <row r="28" spans="1:8" s="24" customFormat="1" ht="13.2">
      <c r="A28" s="25" t="s">
        <v>29</v>
      </c>
      <c r="B28" s="16"/>
      <c r="C28" s="16"/>
      <c r="D28" s="16"/>
      <c r="E28" s="16"/>
      <c r="F28" s="11"/>
      <c r="G28" s="45">
        <v>0</v>
      </c>
      <c r="H28" s="28"/>
    </row>
    <row r="29" spans="1:8" s="24" customFormat="1" ht="13.2">
      <c r="A29" s="25" t="s">
        <v>38</v>
      </c>
      <c r="B29" s="16"/>
      <c r="C29" s="16"/>
      <c r="D29" s="16"/>
      <c r="E29" s="16"/>
      <c r="F29" s="11"/>
      <c r="G29" s="45">
        <v>0</v>
      </c>
      <c r="H29" s="28"/>
    </row>
    <row r="30" spans="1:8" s="24" customFormat="1" ht="13.2">
      <c r="A30" s="25" t="s">
        <v>52</v>
      </c>
      <c r="B30" s="16"/>
      <c r="C30" s="16"/>
      <c r="D30" s="16"/>
      <c r="E30" s="16"/>
      <c r="F30" s="11"/>
      <c r="G30" s="45">
        <v>1.1061300000000001</v>
      </c>
      <c r="H30" s="28"/>
    </row>
    <row r="31" spans="1:8" s="24" customFormat="1" ht="13.2">
      <c r="A31" s="25" t="s">
        <v>7</v>
      </c>
      <c r="B31" s="16"/>
      <c r="C31" s="16"/>
      <c r="D31" s="16"/>
      <c r="E31" s="16"/>
      <c r="F31" s="11"/>
      <c r="G31" s="42">
        <v>0</v>
      </c>
      <c r="H31" s="28"/>
    </row>
    <row r="32" spans="1:8" s="24" customFormat="1" ht="13.2">
      <c r="A32" s="25" t="s">
        <v>53</v>
      </c>
      <c r="B32" s="16"/>
      <c r="C32" s="16"/>
      <c r="D32" s="16"/>
      <c r="E32" s="16"/>
      <c r="F32" s="11"/>
      <c r="G32" s="42">
        <v>0</v>
      </c>
      <c r="H32" s="28"/>
    </row>
    <row r="33" spans="1:8" s="24" customFormat="1" ht="13.2">
      <c r="A33" s="21"/>
      <c r="B33" s="22"/>
      <c r="C33" s="22"/>
      <c r="D33" s="22"/>
      <c r="E33" s="22"/>
      <c r="F33" s="23"/>
      <c r="G33" s="43"/>
      <c r="H33" s="28"/>
    </row>
    <row r="34" spans="1:8" s="24" customFormat="1" ht="13.2">
      <c r="A34" s="25" t="s">
        <v>54</v>
      </c>
      <c r="B34" s="16"/>
      <c r="C34" s="16"/>
      <c r="D34" s="16"/>
      <c r="E34" s="16"/>
      <c r="F34" s="11"/>
      <c r="G34" s="43"/>
      <c r="H34" s="28"/>
    </row>
    <row r="35" spans="1:8" s="24" customFormat="1" ht="13.2">
      <c r="A35" s="25" t="s">
        <v>55</v>
      </c>
      <c r="B35" s="16"/>
      <c r="C35" s="16"/>
      <c r="D35" s="16"/>
      <c r="E35" s="16"/>
      <c r="F35" s="11"/>
      <c r="G35" s="42"/>
      <c r="H35" s="28"/>
    </row>
    <row r="36" spans="1:8" s="24" customFormat="1" ht="13.2">
      <c r="A36" s="25" t="s">
        <v>56</v>
      </c>
      <c r="B36" s="16"/>
      <c r="C36" s="16"/>
      <c r="D36" s="16"/>
      <c r="E36" s="16"/>
      <c r="F36" s="11"/>
      <c r="G36" s="42"/>
      <c r="H36" s="28"/>
    </row>
    <row r="37" spans="1:8" s="24" customFormat="1" ht="13.2">
      <c r="A37" s="21"/>
      <c r="B37" s="22"/>
      <c r="C37" s="22"/>
      <c r="D37" s="22"/>
      <c r="E37" s="22"/>
      <c r="F37" s="23"/>
      <c r="G37" s="43"/>
      <c r="H37" s="28"/>
    </row>
    <row r="38" spans="1:8" s="24" customFormat="1" ht="13.2">
      <c r="A38" s="25" t="s">
        <v>57</v>
      </c>
      <c r="B38" s="16"/>
      <c r="C38" s="16"/>
      <c r="D38" s="16"/>
      <c r="E38" s="16"/>
      <c r="F38" s="11"/>
      <c r="G38" s="42">
        <f>G13+G25+G29+G30</f>
        <v>13.702891116904713</v>
      </c>
      <c r="H38" s="28"/>
    </row>
    <row r="39" spans="1:8" s="24" customFormat="1" ht="13.2">
      <c r="A39" s="21"/>
      <c r="B39" s="22"/>
      <c r="C39" s="22"/>
      <c r="D39" s="22"/>
      <c r="E39" s="22"/>
      <c r="F39" s="23"/>
      <c r="G39" s="5"/>
      <c r="H39" s="28"/>
    </row>
    <row r="40" spans="1:8" s="24" customFormat="1" ht="13.2">
      <c r="A40" s="25" t="s">
        <v>58</v>
      </c>
      <c r="B40" s="16"/>
      <c r="C40" s="16"/>
      <c r="D40" s="16"/>
      <c r="E40" s="16"/>
      <c r="F40" s="11"/>
      <c r="G40" s="5"/>
      <c r="H40" s="28"/>
    </row>
    <row r="41" spans="1:8" s="24" customFormat="1" ht="13.2">
      <c r="A41" s="25" t="s">
        <v>59</v>
      </c>
      <c r="B41" s="16"/>
      <c r="C41" s="16"/>
      <c r="D41" s="16"/>
      <c r="E41" s="16"/>
      <c r="F41" s="11"/>
      <c r="G41" s="5"/>
      <c r="H41" s="28"/>
    </row>
    <row r="42" spans="1:8" s="24" customFormat="1" ht="13.2">
      <c r="A42" s="25" t="s">
        <v>60</v>
      </c>
      <c r="B42" s="16"/>
      <c r="C42" s="16"/>
      <c r="D42" s="16"/>
      <c r="E42" s="16"/>
      <c r="F42" s="11"/>
      <c r="G42" s="26">
        <v>0.0036850756204793783</v>
      </c>
      <c r="H42" s="28"/>
    </row>
    <row r="43" spans="1:8" s="24" customFormat="1" ht="13.2">
      <c r="A43" s="21"/>
      <c r="B43" s="22"/>
      <c r="C43" s="22"/>
      <c r="D43" s="22"/>
      <c r="E43" s="22"/>
      <c r="F43" s="23"/>
      <c r="G43" s="27"/>
      <c r="H43" s="28"/>
    </row>
    <row r="44" spans="1:8" s="24" customFormat="1" ht="13.2">
      <c r="A44" s="25" t="s">
        <v>83</v>
      </c>
      <c r="B44" s="16"/>
      <c r="C44" s="16"/>
      <c r="D44" s="16"/>
      <c r="E44" s="16"/>
      <c r="F44" s="11"/>
      <c r="G44" s="26">
        <v>0.0040105338760177498</v>
      </c>
      <c r="H44" s="28"/>
    </row>
    <row r="45" spans="1:8" s="24" customFormat="1" ht="13.2">
      <c r="A45" s="21"/>
      <c r="B45" s="22"/>
      <c r="C45" s="22"/>
      <c r="D45" s="22"/>
      <c r="E45" s="22"/>
      <c r="F45" s="23"/>
      <c r="G45" s="5"/>
      <c r="H45" s="28"/>
    </row>
    <row r="46" spans="1:8" s="24" customFormat="1" ht="13.2">
      <c r="A46" s="25" t="s">
        <v>61</v>
      </c>
      <c r="B46" s="16"/>
      <c r="C46" s="16"/>
      <c r="D46" s="16"/>
      <c r="E46" s="16"/>
      <c r="F46" s="11"/>
      <c r="G46" s="4">
        <v>3646.1452899999999</v>
      </c>
      <c r="H46" s="28"/>
    </row>
  </sheetData>
  <pageMargins left="0.75" right="0.75" top="1" bottom="1" header="0.5" footer="0.5"/>
  <pageSetup orientation="portrait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51"/>
  <sheetViews>
    <sheetView rightToLeft="1" workbookViewId="0" topLeftCell="A28">
      <selection pane="topLeft" activeCell="I18" sqref="I18"/>
    </sheetView>
  </sheetViews>
  <sheetFormatPr defaultRowHeight="13.5"/>
  <cols>
    <col min="3" max="3" width="19" customWidth="1"/>
    <col min="7" max="7" width="14" style="34" bestFit="1" customWidth="1"/>
  </cols>
  <sheetData>
    <row r="1" spans="1:7" ht="13.2">
      <c r="A1" s="66" t="s">
        <v>8</v>
      </c>
      <c r="B1" s="66"/>
      <c r="C1" s="66"/>
      <c r="D1" s="66"/>
      <c r="E1" s="66"/>
      <c r="F1" s="66"/>
      <c r="G1" s="66"/>
    </row>
    <row r="3" spans="1:1" ht="13.2">
      <c r="A3" s="3" t="s">
        <v>80</v>
      </c>
    </row>
    <row r="5" spans="1:7" ht="13.2">
      <c r="A5" t="s">
        <v>0</v>
      </c>
      <c r="C5" t="s">
        <v>72</v>
      </c>
      <c r="G5" s="14"/>
    </row>
    <row r="6" spans="7:7" ht="13.2">
      <c r="G6" s="14"/>
    </row>
    <row r="7" spans="1:7" ht="13.2">
      <c r="A7" t="s">
        <v>1</v>
      </c>
      <c r="C7" t="s">
        <v>70</v>
      </c>
      <c r="D7">
        <v>1008</v>
      </c>
      <c r="G7" s="14"/>
    </row>
    <row r="9" spans="1:7" ht="13.2">
      <c r="A9" s="67"/>
      <c r="B9" s="68"/>
      <c r="C9" s="68"/>
      <c r="D9" s="68"/>
      <c r="E9" s="68"/>
      <c r="F9" s="69"/>
      <c r="G9" s="35" t="s">
        <v>2</v>
      </c>
    </row>
    <row r="10" spans="1:7" ht="13.2">
      <c r="A10" s="63" t="s">
        <v>9</v>
      </c>
      <c r="B10" s="64"/>
      <c r="C10" s="64"/>
      <c r="D10" s="64"/>
      <c r="E10" s="64"/>
      <c r="F10" s="65"/>
      <c r="G10" s="35"/>
    </row>
    <row r="11" spans="1:7" ht="13.2">
      <c r="A11" s="63" t="s">
        <v>10</v>
      </c>
      <c r="B11" s="64"/>
      <c r="C11" s="64"/>
      <c r="D11" s="64"/>
      <c r="E11" s="64"/>
      <c r="F11" s="65"/>
      <c r="G11" s="35"/>
    </row>
    <row r="12" spans="1:7" ht="13.2">
      <c r="A12" s="60" t="s">
        <v>17</v>
      </c>
      <c r="B12" s="61"/>
      <c r="C12" s="61"/>
      <c r="D12" s="61"/>
      <c r="E12" s="61"/>
      <c r="F12" s="62"/>
      <c r="G12" s="36"/>
    </row>
    <row r="13" spans="1:7" ht="13.2">
      <c r="A13" s="60" t="s">
        <v>11</v>
      </c>
      <c r="B13" s="61"/>
      <c r="C13" s="61"/>
      <c r="D13" s="61"/>
      <c r="E13" s="61"/>
      <c r="F13" s="62"/>
      <c r="G13" s="37"/>
    </row>
    <row r="14" spans="1:7" ht="13.2">
      <c r="A14" s="60" t="s">
        <v>12</v>
      </c>
      <c r="B14" s="61"/>
      <c r="C14" s="61"/>
      <c r="D14" s="61"/>
      <c r="E14" s="61"/>
      <c r="F14" s="62"/>
      <c r="G14" s="37"/>
    </row>
    <row r="15" spans="1:7" ht="13.2">
      <c r="A15" s="63" t="s">
        <v>13</v>
      </c>
      <c r="B15" s="64"/>
      <c r="C15" s="64"/>
      <c r="D15" s="64"/>
      <c r="E15" s="64"/>
      <c r="F15" s="65"/>
      <c r="G15" s="35"/>
    </row>
    <row r="16" spans="1:7" ht="13.2">
      <c r="A16" s="57" t="s">
        <v>76</v>
      </c>
      <c r="B16" s="58"/>
      <c r="C16" s="58"/>
      <c r="D16" s="58"/>
      <c r="E16" s="58"/>
      <c r="F16" s="59"/>
      <c r="G16" s="38">
        <v>0.26656999999999997</v>
      </c>
    </row>
    <row r="17" spans="1:9" ht="13.2">
      <c r="A17" s="63" t="s">
        <v>14</v>
      </c>
      <c r="B17" s="64"/>
      <c r="C17" s="64"/>
      <c r="D17" s="64"/>
      <c r="E17" s="64"/>
      <c r="F17" s="65"/>
      <c r="G17" s="38">
        <f>SUM(G16:G16)</f>
        <v>0.26656999999999997</v>
      </c>
      <c r="I17" s="54">
        <f>+G17-'נספח 1'!G13</f>
        <v>0</v>
      </c>
    </row>
    <row r="18" spans="1:7" ht="13.2">
      <c r="A18" s="63"/>
      <c r="B18" s="64"/>
      <c r="C18" s="64"/>
      <c r="D18" s="64"/>
      <c r="E18" s="64"/>
      <c r="F18" s="65"/>
      <c r="G18" s="35"/>
    </row>
    <row r="19" spans="1:7" ht="13.2">
      <c r="A19" s="63" t="s">
        <v>15</v>
      </c>
      <c r="B19" s="64"/>
      <c r="C19" s="64"/>
      <c r="D19" s="64"/>
      <c r="E19" s="64"/>
      <c r="F19" s="65"/>
      <c r="G19" s="35"/>
    </row>
    <row r="20" spans="1:7" ht="13.2">
      <c r="A20" s="63" t="s">
        <v>10</v>
      </c>
      <c r="B20" s="64"/>
      <c r="C20" s="64"/>
      <c r="D20" s="64"/>
      <c r="E20" s="64"/>
      <c r="F20" s="65"/>
      <c r="G20" s="35"/>
    </row>
    <row r="21" spans="1:7" ht="13.2">
      <c r="A21" s="60" t="s">
        <v>16</v>
      </c>
      <c r="B21" s="61"/>
      <c r="C21" s="61"/>
      <c r="D21" s="61"/>
      <c r="E21" s="61"/>
      <c r="F21" s="62"/>
      <c r="G21" s="37"/>
    </row>
    <row r="22" spans="1:7" ht="13.2">
      <c r="A22" s="60" t="s">
        <v>18</v>
      </c>
      <c r="B22" s="61"/>
      <c r="C22" s="61"/>
      <c r="D22" s="61"/>
      <c r="E22" s="61"/>
      <c r="F22" s="62"/>
      <c r="G22" s="37"/>
    </row>
    <row r="23" spans="1:7" ht="13.2">
      <c r="A23" s="60" t="s">
        <v>12</v>
      </c>
      <c r="B23" s="61"/>
      <c r="C23" s="61"/>
      <c r="D23" s="61"/>
      <c r="E23" s="61"/>
      <c r="F23" s="62"/>
      <c r="G23" s="37"/>
    </row>
    <row r="24" spans="1:7" ht="13.2">
      <c r="A24" s="63" t="s">
        <v>13</v>
      </c>
      <c r="B24" s="64"/>
      <c r="C24" s="64"/>
      <c r="D24" s="64"/>
      <c r="E24" s="64"/>
      <c r="F24" s="65"/>
      <c r="G24" s="35"/>
    </row>
    <row r="25" spans="1:7" ht="13.2">
      <c r="A25" s="60" t="s">
        <v>62</v>
      </c>
      <c r="B25" s="61"/>
      <c r="C25" s="61"/>
      <c r="D25" s="61"/>
      <c r="E25" s="61"/>
      <c r="F25" s="62"/>
      <c r="G25" s="38">
        <v>0</v>
      </c>
    </row>
    <row r="26" spans="1:7" ht="13.2">
      <c r="A26" s="63" t="s">
        <v>19</v>
      </c>
      <c r="B26" s="64"/>
      <c r="C26" s="64"/>
      <c r="D26" s="64"/>
      <c r="E26" s="64"/>
      <c r="F26" s="65"/>
      <c r="G26" s="36">
        <v>0</v>
      </c>
    </row>
    <row r="27" spans="1:7" ht="13.2">
      <c r="A27" s="63"/>
      <c r="B27" s="64"/>
      <c r="C27" s="64"/>
      <c r="D27" s="64"/>
      <c r="E27" s="64"/>
      <c r="F27" s="65"/>
      <c r="G27" s="35"/>
    </row>
    <row r="28" spans="1:7" ht="13.2">
      <c r="A28" s="63" t="s">
        <v>20</v>
      </c>
      <c r="B28" s="64"/>
      <c r="C28" s="64"/>
      <c r="D28" s="64"/>
      <c r="E28" s="64"/>
      <c r="F28" s="65"/>
      <c r="G28" s="35"/>
    </row>
    <row r="29" spans="1:7" ht="13.2">
      <c r="A29" s="63" t="s">
        <v>23</v>
      </c>
      <c r="B29" s="64"/>
      <c r="C29" s="64"/>
      <c r="D29" s="64"/>
      <c r="E29" s="64"/>
      <c r="F29" s="65"/>
      <c r="G29" s="36">
        <v>0</v>
      </c>
    </row>
    <row r="30" spans="1:7" ht="13.2">
      <c r="A30" s="63"/>
      <c r="B30" s="64"/>
      <c r="C30" s="64"/>
      <c r="D30" s="64"/>
      <c r="E30" s="64"/>
      <c r="F30" s="65"/>
      <c r="G30" s="35"/>
    </row>
    <row r="31" spans="1:7" ht="13.2">
      <c r="A31" s="63" t="s">
        <v>24</v>
      </c>
      <c r="B31" s="64"/>
      <c r="C31" s="64"/>
      <c r="D31" s="64"/>
      <c r="E31" s="64"/>
      <c r="F31" s="65"/>
      <c r="G31" s="35"/>
    </row>
    <row r="32" spans="1:7" ht="13.2">
      <c r="A32" s="60" t="s">
        <v>21</v>
      </c>
      <c r="B32" s="61"/>
      <c r="C32" s="61"/>
      <c r="D32" s="61"/>
      <c r="E32" s="61"/>
      <c r="F32" s="62"/>
      <c r="G32" s="36"/>
    </row>
    <row r="33" spans="1:7" ht="13.2">
      <c r="A33" s="60" t="s">
        <v>22</v>
      </c>
      <c r="B33" s="61"/>
      <c r="C33" s="61"/>
      <c r="D33" s="61"/>
      <c r="E33" s="61"/>
      <c r="F33" s="62"/>
      <c r="G33" s="36"/>
    </row>
    <row r="34" spans="1:7" ht="13.2">
      <c r="A34" s="60" t="s">
        <v>12</v>
      </c>
      <c r="B34" s="61"/>
      <c r="C34" s="61"/>
      <c r="D34" s="61"/>
      <c r="E34" s="61"/>
      <c r="F34" s="62"/>
      <c r="G34" s="36"/>
    </row>
    <row r="35" spans="1:7" ht="13.2">
      <c r="A35" s="63" t="s">
        <v>25</v>
      </c>
      <c r="B35" s="64"/>
      <c r="C35" s="64"/>
      <c r="D35" s="64"/>
      <c r="E35" s="64"/>
      <c r="F35" s="65"/>
      <c r="G35" s="36"/>
    </row>
    <row r="36" spans="1:7" ht="13.2">
      <c r="A36" s="20"/>
      <c r="B36" s="7"/>
      <c r="C36" s="7"/>
      <c r="D36" s="7"/>
      <c r="E36" s="7"/>
      <c r="F36" s="8"/>
      <c r="G36" s="35"/>
    </row>
    <row r="37" spans="1:7" ht="13.2">
      <c r="A37" s="63" t="s">
        <v>63</v>
      </c>
      <c r="B37" s="64"/>
      <c r="C37" s="64"/>
      <c r="D37" s="64"/>
      <c r="E37" s="64"/>
      <c r="F37" s="65"/>
      <c r="G37" s="35"/>
    </row>
    <row r="38" spans="1:7" ht="13.2">
      <c r="A38" s="60" t="s">
        <v>21</v>
      </c>
      <c r="B38" s="61"/>
      <c r="C38" s="61"/>
      <c r="D38" s="61"/>
      <c r="E38" s="61"/>
      <c r="F38" s="62"/>
      <c r="G38" s="36"/>
    </row>
    <row r="39" spans="1:7" ht="13.2">
      <c r="A39" s="60" t="s">
        <v>22</v>
      </c>
      <c r="B39" s="61"/>
      <c r="C39" s="61"/>
      <c r="D39" s="61"/>
      <c r="E39" s="61"/>
      <c r="F39" s="62"/>
      <c r="G39" s="36"/>
    </row>
    <row r="40" spans="1:7" ht="13.2">
      <c r="A40" s="60" t="s">
        <v>12</v>
      </c>
      <c r="B40" s="61"/>
      <c r="C40" s="61"/>
      <c r="D40" s="61"/>
      <c r="E40" s="61"/>
      <c r="F40" s="62"/>
      <c r="G40" s="36"/>
    </row>
    <row r="41" spans="1:7" ht="13.2">
      <c r="A41" s="63" t="s">
        <v>64</v>
      </c>
      <c r="B41" s="64"/>
      <c r="C41" s="64"/>
      <c r="D41" s="64"/>
      <c r="E41" s="64"/>
      <c r="F41" s="65"/>
      <c r="G41" s="36"/>
    </row>
    <row r="42" spans="1:7" ht="13.2">
      <c r="A42" s="20"/>
      <c r="B42" s="7"/>
      <c r="C42" s="7"/>
      <c r="D42" s="7"/>
      <c r="E42" s="7"/>
      <c r="F42" s="8"/>
      <c r="G42" s="35"/>
    </row>
    <row r="43" spans="1:7" ht="13.2">
      <c r="A43" s="63" t="s">
        <v>65</v>
      </c>
      <c r="B43" s="64"/>
      <c r="C43" s="64"/>
      <c r="D43" s="64"/>
      <c r="E43" s="64"/>
      <c r="F43" s="65"/>
      <c r="G43" s="35"/>
    </row>
    <row r="44" spans="1:7" ht="13.2">
      <c r="A44" s="60" t="s">
        <v>21</v>
      </c>
      <c r="B44" s="61"/>
      <c r="C44" s="61"/>
      <c r="D44" s="61"/>
      <c r="E44" s="61"/>
      <c r="F44" s="62"/>
      <c r="G44" s="36"/>
    </row>
    <row r="45" spans="1:7" ht="13.2">
      <c r="A45" s="60" t="s">
        <v>22</v>
      </c>
      <c r="B45" s="61"/>
      <c r="C45" s="61"/>
      <c r="D45" s="61"/>
      <c r="E45" s="61"/>
      <c r="F45" s="62"/>
      <c r="G45" s="36"/>
    </row>
    <row r="46" spans="1:7" ht="13.2">
      <c r="A46" s="60" t="s">
        <v>12</v>
      </c>
      <c r="B46" s="61"/>
      <c r="C46" s="61"/>
      <c r="D46" s="61"/>
      <c r="E46" s="61"/>
      <c r="F46" s="62"/>
      <c r="G46" s="36"/>
    </row>
    <row r="47" spans="1:7" ht="13.2">
      <c r="A47" s="63" t="s">
        <v>66</v>
      </c>
      <c r="B47" s="64"/>
      <c r="C47" s="64"/>
      <c r="D47" s="64"/>
      <c r="E47" s="64"/>
      <c r="F47" s="65"/>
      <c r="G47" s="36"/>
    </row>
    <row r="48" spans="1:7" ht="13.2">
      <c r="A48" s="20"/>
      <c r="B48" s="7"/>
      <c r="C48" s="7"/>
      <c r="D48" s="7"/>
      <c r="E48" s="7"/>
      <c r="F48" s="8"/>
      <c r="G48" s="35"/>
    </row>
    <row r="49" spans="1:7" ht="13.2">
      <c r="A49" s="63" t="s">
        <v>26</v>
      </c>
      <c r="B49" s="64"/>
      <c r="C49" s="64"/>
      <c r="D49" s="64"/>
      <c r="E49" s="64"/>
      <c r="F49" s="65"/>
      <c r="G49" s="38">
        <f>G17+G26</f>
        <v>0.26656999999999997</v>
      </c>
    </row>
    <row r="50" spans="1:7" ht="13.2">
      <c r="A50" s="63"/>
      <c r="B50" s="64"/>
      <c r="C50" s="64"/>
      <c r="D50" s="64"/>
      <c r="E50" s="64"/>
      <c r="F50" s="65"/>
      <c r="G50" s="35"/>
    </row>
    <row r="51" spans="1:7" ht="13.2">
      <c r="A51" s="63" t="s">
        <v>61</v>
      </c>
      <c r="B51" s="64"/>
      <c r="C51" s="64"/>
      <c r="D51" s="64"/>
      <c r="E51" s="64"/>
      <c r="F51" s="65"/>
      <c r="G51" s="4">
        <f>'נספח 1'!G46</f>
        <v>3646.1452899999999</v>
      </c>
    </row>
  </sheetData>
  <mergeCells count="40">
    <mergeCell ref="A28:F28"/>
    <mergeCell ref="A31:F31"/>
    <mergeCell ref="A32:F32"/>
    <mergeCell ref="A29:F29"/>
    <mergeCell ref="A30:F30"/>
    <mergeCell ref="A1:G1"/>
    <mergeCell ref="A12:F12"/>
    <mergeCell ref="A15:F15"/>
    <mergeCell ref="A17:F17"/>
    <mergeCell ref="A10:F10"/>
    <mergeCell ref="A9:F9"/>
    <mergeCell ref="A13:F13"/>
    <mergeCell ref="A14:F14"/>
    <mergeCell ref="A11:F11"/>
    <mergeCell ref="A18:F18"/>
    <mergeCell ref="A20:F20"/>
    <mergeCell ref="A37:F37"/>
    <mergeCell ref="A38:F38"/>
    <mergeCell ref="A39:F39"/>
    <mergeCell ref="A21:F21"/>
    <mergeCell ref="A22:F22"/>
    <mergeCell ref="A19:F19"/>
    <mergeCell ref="A26:F26"/>
    <mergeCell ref="A25:F25"/>
    <mergeCell ref="A23:F23"/>
    <mergeCell ref="A27:F27"/>
    <mergeCell ref="A24:F24"/>
    <mergeCell ref="A35:F35"/>
    <mergeCell ref="A33:F33"/>
    <mergeCell ref="A34:F34"/>
    <mergeCell ref="A40:F40"/>
    <mergeCell ref="A41:F41"/>
    <mergeCell ref="A43:F43"/>
    <mergeCell ref="A51:F51"/>
    <mergeCell ref="A44:F44"/>
    <mergeCell ref="A45:F45"/>
    <mergeCell ref="A46:F46"/>
    <mergeCell ref="A47:F47"/>
    <mergeCell ref="A49:F49"/>
    <mergeCell ref="A50:F50"/>
  </mergeCells>
  <pageMargins left="0.75" right="0.75" top="1" bottom="1" header="0.5" footer="0.5"/>
  <pageSetup orientation="portrait" paperSize="9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I57"/>
  <sheetViews>
    <sheetView rightToLeft="1" workbookViewId="0" topLeftCell="A28">
      <selection pane="topLeft" activeCell="I52" sqref="I52"/>
    </sheetView>
  </sheetViews>
  <sheetFormatPr defaultRowHeight="13.5"/>
  <cols>
    <col min="1" max="1" width="26.4285714285714" customWidth="1"/>
    <col min="3" max="3" width="12.7142857142857" customWidth="1"/>
    <col min="4" max="4" width="6.42857142857143" customWidth="1"/>
    <col min="5" max="5" width="3.28571428571429" customWidth="1"/>
    <col min="6" max="6" width="3.42857142857143" customWidth="1"/>
    <col min="7" max="7" width="16.5714285714286" style="54" bestFit="1" customWidth="1"/>
  </cols>
  <sheetData>
    <row r="1" spans="1:7" ht="13.2">
      <c r="A1" s="66" t="s">
        <v>8</v>
      </c>
      <c r="B1" s="66"/>
      <c r="C1" s="66"/>
      <c r="D1" s="66"/>
      <c r="E1" s="66"/>
      <c r="F1" s="66"/>
      <c r="G1" s="66"/>
    </row>
    <row r="3" spans="1:7" ht="13.2">
      <c r="A3" s="70" t="s">
        <v>78</v>
      </c>
      <c r="B3" s="70"/>
      <c r="C3" s="70"/>
      <c r="D3" s="70"/>
      <c r="E3" s="70"/>
      <c r="F3" s="70"/>
      <c r="G3" s="70"/>
    </row>
    <row r="5" spans="1:7" ht="13.2">
      <c r="A5" t="s">
        <v>0</v>
      </c>
      <c r="B5" t="s">
        <v>72</v>
      </c>
      <c r="G5" s="48"/>
    </row>
    <row r="6" spans="7:7" ht="13.2">
      <c r="G6" s="48"/>
    </row>
    <row r="7" spans="1:7" ht="13.2">
      <c r="A7" t="s">
        <v>1</v>
      </c>
      <c r="B7" t="s">
        <v>70</v>
      </c>
      <c r="D7">
        <v>1008</v>
      </c>
      <c r="G7" s="48"/>
    </row>
    <row r="9" spans="1:7" ht="13.2">
      <c r="A9" s="71"/>
      <c r="B9" s="71"/>
      <c r="C9" s="71"/>
      <c r="D9" s="71"/>
      <c r="E9" s="71"/>
      <c r="F9" s="71"/>
      <c r="G9" s="49" t="s">
        <v>2</v>
      </c>
    </row>
    <row r="10" spans="1:7" ht="13.2">
      <c r="A10" s="15" t="s">
        <v>82</v>
      </c>
      <c r="B10" s="7"/>
      <c r="C10" s="7"/>
      <c r="D10" s="7"/>
      <c r="E10" s="7"/>
      <c r="F10" s="8"/>
      <c r="G10" s="49"/>
    </row>
    <row r="11" spans="1:9" ht="13.2">
      <c r="A11" s="44" t="s">
        <v>81</v>
      </c>
      <c r="B11" s="7"/>
      <c r="C11" s="7"/>
      <c r="D11" s="7"/>
      <c r="E11" s="7"/>
      <c r="F11" s="8"/>
      <c r="G11" s="50">
        <v>0.52951294242000002</v>
      </c>
      <c r="I11" s="30"/>
    </row>
    <row r="12" spans="1:9" ht="13.2">
      <c r="A12" s="44" t="s">
        <v>39</v>
      </c>
      <c r="B12" s="32"/>
      <c r="C12" s="32"/>
      <c r="D12" s="32"/>
      <c r="E12" s="32"/>
      <c r="F12" s="33"/>
      <c r="G12" s="50">
        <v>0.51434596465614257</v>
      </c>
      <c r="I12" s="30"/>
    </row>
    <row r="13" spans="1:9" ht="13.2">
      <c r="A13" s="44" t="s">
        <v>73</v>
      </c>
      <c r="B13" s="32"/>
      <c r="C13" s="32"/>
      <c r="D13" s="32"/>
      <c r="E13" s="32"/>
      <c r="F13" s="33"/>
      <c r="G13" s="50">
        <v>0.18506520982857141</v>
      </c>
      <c r="I13" s="30"/>
    </row>
    <row r="14" spans="1:9" ht="13.2">
      <c r="A14" s="44" t="s">
        <v>67</v>
      </c>
      <c r="B14" s="32"/>
      <c r="C14" s="32"/>
      <c r="D14" s="32"/>
      <c r="E14" s="32"/>
      <c r="F14" s="33"/>
      <c r="G14" s="50">
        <v>0.08312399999999999</v>
      </c>
      <c r="I14" s="30"/>
    </row>
    <row r="15" spans="1:9" ht="13.2">
      <c r="A15" s="44" t="s">
        <v>71</v>
      </c>
      <c r="B15" s="55"/>
      <c r="C15" s="55"/>
      <c r="D15" s="55"/>
      <c r="E15" s="55"/>
      <c r="F15" s="56"/>
      <c r="G15" s="50">
        <v>11.018142999999999</v>
      </c>
      <c r="I15" s="30"/>
    </row>
    <row r="16" spans="1:9" ht="13.2">
      <c r="A16" s="15" t="s">
        <v>5</v>
      </c>
      <c r="B16" s="7"/>
      <c r="C16" s="7"/>
      <c r="D16" s="7"/>
      <c r="E16" s="7"/>
      <c r="F16" s="8"/>
      <c r="G16" s="50">
        <f>SUM(G11:G15)</f>
        <v>12.330191116904713</v>
      </c>
      <c r="I16" s="54">
        <f>+G16-'נספח 1'!G25</f>
        <v>0</v>
      </c>
    </row>
    <row r="17" spans="1:7" ht="13.2">
      <c r="A17" s="15"/>
      <c r="B17" s="7"/>
      <c r="C17" s="7"/>
      <c r="D17" s="7"/>
      <c r="E17" s="7"/>
      <c r="F17" s="8"/>
      <c r="G17" s="49"/>
    </row>
    <row r="18" spans="1:7" ht="13.2">
      <c r="A18" s="15" t="s">
        <v>27</v>
      </c>
      <c r="B18" s="7"/>
      <c r="C18" s="7"/>
      <c r="D18" s="7"/>
      <c r="E18" s="7"/>
      <c r="F18" s="8"/>
      <c r="G18" s="49"/>
    </row>
    <row r="19" spans="1:7" ht="13.2">
      <c r="A19" s="9" t="s">
        <v>21</v>
      </c>
      <c r="B19" s="7"/>
      <c r="C19" s="7"/>
      <c r="D19" s="7"/>
      <c r="E19" s="7"/>
      <c r="F19" s="8"/>
      <c r="G19" s="51"/>
    </row>
    <row r="20" spans="1:7" ht="13.2">
      <c r="A20" s="9" t="s">
        <v>22</v>
      </c>
      <c r="B20" s="7"/>
      <c r="C20" s="7"/>
      <c r="D20" s="7"/>
      <c r="E20" s="7"/>
      <c r="F20" s="8"/>
      <c r="G20" s="51"/>
    </row>
    <row r="21" spans="1:7" ht="13.2">
      <c r="A21" s="9" t="s">
        <v>12</v>
      </c>
      <c r="B21" s="7"/>
      <c r="C21" s="7"/>
      <c r="D21" s="7"/>
      <c r="E21" s="7"/>
      <c r="F21" s="8"/>
      <c r="G21" s="51"/>
    </row>
    <row r="22" spans="1:7" ht="13.2">
      <c r="A22" s="15" t="s">
        <v>6</v>
      </c>
      <c r="B22" s="7"/>
      <c r="C22" s="7"/>
      <c r="D22" s="7"/>
      <c r="E22" s="7"/>
      <c r="F22" s="8"/>
      <c r="G22" s="49"/>
    </row>
    <row r="23" spans="1:7" ht="13.2">
      <c r="A23" s="15"/>
      <c r="B23" s="7"/>
      <c r="C23" s="7"/>
      <c r="D23" s="7"/>
      <c r="E23" s="7"/>
      <c r="F23" s="8"/>
      <c r="G23" s="49"/>
    </row>
    <row r="24" spans="1:7" ht="13.2">
      <c r="A24" s="15" t="s">
        <v>28</v>
      </c>
      <c r="B24" s="7"/>
      <c r="C24" s="7"/>
      <c r="D24" s="7"/>
      <c r="E24" s="7"/>
      <c r="F24" s="8"/>
      <c r="G24" s="49"/>
    </row>
    <row r="25" spans="1:7" ht="13.2">
      <c r="A25" s="15" t="s">
        <v>10</v>
      </c>
      <c r="B25" s="7"/>
      <c r="C25" s="7"/>
      <c r="D25" s="7"/>
      <c r="E25" s="7"/>
      <c r="F25" s="8"/>
      <c r="G25" s="49"/>
    </row>
    <row r="26" spans="1:7" ht="13.2">
      <c r="A26" s="9" t="s">
        <v>21</v>
      </c>
      <c r="B26" s="7"/>
      <c r="C26" s="7"/>
      <c r="D26" s="7"/>
      <c r="E26" s="7"/>
      <c r="F26" s="8"/>
      <c r="G26" s="51"/>
    </row>
    <row r="27" spans="1:7" ht="13.2">
      <c r="A27" s="9" t="s">
        <v>22</v>
      </c>
      <c r="B27" s="7"/>
      <c r="C27" s="7"/>
      <c r="D27" s="7"/>
      <c r="E27" s="7"/>
      <c r="F27" s="8"/>
      <c r="G27" s="51"/>
    </row>
    <row r="28" spans="1:7" ht="13.2">
      <c r="A28" s="9" t="s">
        <v>12</v>
      </c>
      <c r="B28" s="7"/>
      <c r="C28" s="7"/>
      <c r="D28" s="7"/>
      <c r="E28" s="7"/>
      <c r="F28" s="8"/>
      <c r="G28" s="51"/>
    </row>
    <row r="29" spans="1:7" ht="13.2">
      <c r="A29" s="9" t="s">
        <v>13</v>
      </c>
      <c r="B29" s="7"/>
      <c r="C29" s="7"/>
      <c r="D29" s="7"/>
      <c r="E29" s="7"/>
      <c r="F29" s="8"/>
      <c r="G29" s="49"/>
    </row>
    <row r="30" spans="1:7" ht="13.2">
      <c r="A30" s="9" t="s">
        <v>21</v>
      </c>
      <c r="B30" s="7"/>
      <c r="C30" s="7"/>
      <c r="D30" s="7"/>
      <c r="E30" s="7"/>
      <c r="F30" s="8"/>
      <c r="G30" s="51"/>
    </row>
    <row r="31" spans="1:7" ht="13.2">
      <c r="A31" s="9" t="s">
        <v>22</v>
      </c>
      <c r="B31" s="7"/>
      <c r="C31" s="7"/>
      <c r="D31" s="7"/>
      <c r="E31" s="7"/>
      <c r="F31" s="8"/>
      <c r="G31" s="51"/>
    </row>
    <row r="32" spans="1:7" ht="13.2">
      <c r="A32" s="9" t="s">
        <v>12</v>
      </c>
      <c r="B32" s="7"/>
      <c r="C32" s="7"/>
      <c r="D32" s="7"/>
      <c r="E32" s="7"/>
      <c r="F32" s="8"/>
      <c r="G32" s="51"/>
    </row>
    <row r="33" spans="1:7" ht="13.2">
      <c r="A33" s="9" t="s">
        <v>29</v>
      </c>
      <c r="B33" s="7"/>
      <c r="C33" s="7"/>
      <c r="D33" s="7"/>
      <c r="E33" s="7"/>
      <c r="F33" s="8"/>
      <c r="G33" s="49"/>
    </row>
    <row r="34" spans="1:7" ht="13.2">
      <c r="A34" s="9"/>
      <c r="B34" s="7"/>
      <c r="C34" s="7"/>
      <c r="D34" s="7"/>
      <c r="E34" s="7"/>
      <c r="F34" s="8"/>
      <c r="G34" s="49"/>
    </row>
    <row r="35" spans="1:7" ht="13.2">
      <c r="A35" s="9" t="s">
        <v>30</v>
      </c>
      <c r="B35" s="7"/>
      <c r="C35" s="7"/>
      <c r="D35" s="7"/>
      <c r="E35" s="7"/>
      <c r="F35" s="8"/>
      <c r="G35" s="49"/>
    </row>
    <row r="36" spans="1:7" ht="13.2">
      <c r="A36" s="9" t="s">
        <v>31</v>
      </c>
      <c r="B36" s="7"/>
      <c r="C36" s="7"/>
      <c r="D36" s="7"/>
      <c r="E36" s="7"/>
      <c r="F36" s="8"/>
      <c r="G36" s="49"/>
    </row>
    <row r="37" spans="1:7" ht="13.2">
      <c r="A37" s="9" t="s">
        <v>32</v>
      </c>
      <c r="B37" s="7"/>
      <c r="C37" s="7"/>
      <c r="D37" s="7"/>
      <c r="E37" s="7"/>
      <c r="F37" s="8"/>
      <c r="G37" s="51"/>
    </row>
    <row r="38" spans="1:7" ht="13.2">
      <c r="A38" s="9" t="s">
        <v>33</v>
      </c>
      <c r="B38" s="7"/>
      <c r="C38" s="7"/>
      <c r="D38" s="7"/>
      <c r="E38" s="7"/>
      <c r="F38" s="8"/>
      <c r="G38" s="51"/>
    </row>
    <row r="39" spans="1:7" ht="13.2">
      <c r="A39" s="9" t="s">
        <v>12</v>
      </c>
      <c r="B39" s="7"/>
      <c r="C39" s="7"/>
      <c r="D39" s="7"/>
      <c r="E39" s="7"/>
      <c r="F39" s="8"/>
      <c r="G39" s="51"/>
    </row>
    <row r="40" spans="1:7" ht="13.2">
      <c r="A40" s="9"/>
      <c r="B40" s="7"/>
      <c r="C40" s="7"/>
      <c r="D40" s="7"/>
      <c r="E40" s="7"/>
      <c r="F40" s="8"/>
      <c r="G40" s="51"/>
    </row>
    <row r="41" spans="1:7" ht="13.2">
      <c r="A41" s="9" t="s">
        <v>34</v>
      </c>
      <c r="B41" s="7"/>
      <c r="C41" s="7"/>
      <c r="D41" s="7"/>
      <c r="E41" s="7"/>
      <c r="F41" s="8"/>
      <c r="G41" s="49"/>
    </row>
    <row r="42" spans="1:7" ht="13.2">
      <c r="A42" s="15" t="s">
        <v>35</v>
      </c>
      <c r="B42" s="7"/>
      <c r="C42" s="7"/>
      <c r="D42" s="7"/>
      <c r="E42" s="7"/>
      <c r="F42" s="8"/>
      <c r="G42" s="50"/>
    </row>
    <row r="43" spans="1:7" ht="14.25" customHeight="1">
      <c r="A43" s="2"/>
      <c r="B43" s="7"/>
      <c r="C43" s="7"/>
      <c r="D43" s="7"/>
      <c r="E43" s="7"/>
      <c r="F43" s="8"/>
      <c r="G43" s="52"/>
    </row>
    <row r="44" spans="1:7" ht="14.25" customHeight="1">
      <c r="A44" s="10" t="s">
        <v>68</v>
      </c>
      <c r="B44" s="7"/>
      <c r="C44" s="7"/>
      <c r="D44" s="7"/>
      <c r="E44" s="7"/>
      <c r="F44" s="8"/>
      <c r="G44" s="52"/>
    </row>
    <row r="45" spans="1:7" ht="14.25" customHeight="1">
      <c r="A45" s="10" t="s">
        <v>74</v>
      </c>
      <c r="B45" s="7"/>
      <c r="C45" s="7"/>
      <c r="D45" s="7"/>
      <c r="E45" s="7"/>
      <c r="F45" s="8"/>
      <c r="G45" s="50"/>
    </row>
    <row r="46" spans="1:7" ht="14.25" customHeight="1">
      <c r="A46" s="25" t="s">
        <v>38</v>
      </c>
      <c r="B46" s="39"/>
      <c r="C46" s="39"/>
      <c r="D46" s="39"/>
      <c r="E46" s="39"/>
      <c r="F46" s="40"/>
      <c r="G46" s="50">
        <v>0</v>
      </c>
    </row>
    <row r="47" spans="1:7" ht="14.25" customHeight="1">
      <c r="A47" s="9"/>
      <c r="B47" s="39"/>
      <c r="C47" s="39"/>
      <c r="D47" s="39"/>
      <c r="E47" s="39"/>
      <c r="F47" s="40"/>
      <c r="G47" s="50"/>
    </row>
    <row r="48" spans="1:7" ht="14.25" customHeight="1">
      <c r="A48" s="9" t="s">
        <v>69</v>
      </c>
      <c r="B48" s="7"/>
      <c r="C48" s="7"/>
      <c r="D48" s="7"/>
      <c r="E48" s="7"/>
      <c r="F48" s="8"/>
      <c r="G48" s="50"/>
    </row>
    <row r="49" spans="1:8" ht="13.2">
      <c r="A49" s="57" t="s">
        <v>77</v>
      </c>
      <c r="B49" s="7"/>
      <c r="C49" s="7"/>
      <c r="D49" s="7"/>
      <c r="E49" s="7"/>
      <c r="F49" s="8"/>
      <c r="G49" s="53">
        <v>0.36768999999999996</v>
      </c>
      <c r="H49" s="31"/>
    </row>
    <row r="50" spans="1:8" ht="13.2">
      <c r="A50" s="41" t="s">
        <v>75</v>
      </c>
      <c r="B50" s="39"/>
      <c r="C50" s="39"/>
      <c r="D50" s="39"/>
      <c r="E50" s="39"/>
      <c r="F50" s="40"/>
      <c r="G50" s="53">
        <v>0.73843999999999999</v>
      </c>
      <c r="H50" s="31"/>
    </row>
    <row r="51" spans="1:9" ht="13.2">
      <c r="A51" s="25" t="s">
        <v>52</v>
      </c>
      <c r="B51" s="39"/>
      <c r="C51" s="39"/>
      <c r="D51" s="39"/>
      <c r="E51" s="39"/>
      <c r="F51" s="40"/>
      <c r="G51" s="53">
        <f>G49+G50</f>
        <v>1.1061299999999998</v>
      </c>
      <c r="H51" s="31"/>
      <c r="I51" s="54">
        <f>+G51-'נספח 1'!G30</f>
        <v>0</v>
      </c>
    </row>
    <row r="52" spans="1:8" ht="13.2">
      <c r="A52" s="15"/>
      <c r="B52" s="7"/>
      <c r="C52" s="7"/>
      <c r="D52" s="7"/>
      <c r="E52" s="7"/>
      <c r="F52" s="8"/>
      <c r="G52" s="49"/>
      <c r="H52" s="31"/>
    </row>
    <row r="53" spans="1:8" ht="13.2">
      <c r="A53" s="15" t="s">
        <v>36</v>
      </c>
      <c r="B53" s="7"/>
      <c r="C53" s="7"/>
      <c r="D53" s="7"/>
      <c r="E53" s="7"/>
      <c r="F53" s="8"/>
      <c r="G53" s="51"/>
      <c r="H53" s="28"/>
    </row>
    <row r="54" spans="1:8" ht="13.2">
      <c r="A54" s="15"/>
      <c r="B54" s="7"/>
      <c r="C54" s="7"/>
      <c r="D54" s="7"/>
      <c r="E54" s="7"/>
      <c r="F54" s="8"/>
      <c r="G54" s="49"/>
      <c r="H54" s="28"/>
    </row>
    <row r="55" spans="1:9" ht="13.2">
      <c r="A55" s="15" t="s">
        <v>37</v>
      </c>
      <c r="B55" s="7"/>
      <c r="C55" s="7"/>
      <c r="D55" s="7"/>
      <c r="E55" s="7"/>
      <c r="F55" s="8"/>
      <c r="G55" s="53">
        <f>G16+G46+G51</f>
        <v>13.436321116904713</v>
      </c>
      <c r="H55" s="28"/>
      <c r="I55" s="54">
        <f>+G55-'נספח 1'!G25-'נספח 1'!G30</f>
        <v>0</v>
      </c>
    </row>
    <row r="56" spans="1:7" ht="13.2">
      <c r="A56" s="15"/>
      <c r="B56" s="7"/>
      <c r="C56" s="7"/>
      <c r="D56" s="7"/>
      <c r="E56" s="7"/>
      <c r="F56" s="8"/>
      <c r="G56" s="49"/>
    </row>
    <row r="57" spans="1:7" ht="13.2">
      <c r="A57" s="63" t="s">
        <v>61</v>
      </c>
      <c r="B57" s="64"/>
      <c r="C57" s="64"/>
      <c r="D57" s="64"/>
      <c r="E57" s="64"/>
      <c r="F57" s="65"/>
      <c r="G57" s="45">
        <f>'נספח 1'!G46</f>
        <v>3646.1452899999999</v>
      </c>
    </row>
  </sheetData>
  <mergeCells count="4">
    <mergeCell ref="A57:F57"/>
    <mergeCell ref="A1:G1"/>
    <mergeCell ref="A3:G3"/>
    <mergeCell ref="A9:F9"/>
  </mergeCells>
  <pageMargins left="0.75" right="0.75" top="1" bottom="1" header="0.5" footer="0.5"/>
  <pageSetup orientation="portrait" paperSize="9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256DADDB-F98A-43BC-8D26-9E44C24CEF3A}"/>
</file>

<file path=customXml/itemProps2.xml><?xml version="1.0" encoding="utf-8"?>
<ds:datastoreItem xmlns:ds="http://schemas.openxmlformats.org/officeDocument/2006/customXml" ds:itemID="{810C6CFC-67F4-41A0-92E7-AE79CCBD2D9E}"/>
</file>

<file path=customXml/itemProps3.xml><?xml version="1.0" encoding="utf-8"?>
<ds:datastoreItem xmlns:ds="http://schemas.openxmlformats.org/officeDocument/2006/customXml" ds:itemID="{8AFF27ED-0C79-4A0B-94FC-87897F5E24FA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2018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