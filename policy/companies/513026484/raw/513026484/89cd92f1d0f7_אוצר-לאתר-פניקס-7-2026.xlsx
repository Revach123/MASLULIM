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6D622E73-3602-4338-ADB4-921390B17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54" i="1" l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W351" i="1" s="1"/>
  <c r="W353" i="1" s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AP351" i="1" l="1"/>
  <c r="AP353" i="1" s="1"/>
  <c r="AR351" i="1"/>
  <c r="AR353" i="1" s="1"/>
  <c r="AT351" i="1"/>
  <c r="AT353" i="1" s="1"/>
  <c r="AS351" i="1"/>
  <c r="AS353" i="1" s="1"/>
  <c r="F351" i="1"/>
  <c r="F353" i="1" s="1"/>
  <c r="H351" i="1"/>
  <c r="H353" i="1" s="1"/>
  <c r="AC351" i="1"/>
  <c r="AC353" i="1" s="1"/>
  <c r="E351" i="1"/>
  <c r="E353" i="1" s="1"/>
  <c r="AE351" i="1"/>
  <c r="AE353" i="1" s="1"/>
  <c r="X351" i="1"/>
  <c r="X353" i="1" s="1"/>
  <c r="AO351" i="1"/>
  <c r="AO353" i="1" s="1"/>
  <c r="AB351" i="1"/>
  <c r="AB353" i="1" s="1"/>
  <c r="AP359" i="1"/>
  <c r="W356" i="1"/>
  <c r="AR359" i="1"/>
  <c r="AP360" i="1"/>
  <c r="W357" i="1"/>
  <c r="W360" i="1"/>
  <c r="AR356" i="1"/>
  <c r="AR358" i="1"/>
  <c r="AR360" i="1"/>
  <c r="AS358" i="1"/>
  <c r="AT358" i="1"/>
  <c r="AB356" i="1"/>
  <c r="AP357" i="1"/>
  <c r="F359" i="1"/>
  <c r="W358" i="1"/>
  <c r="H356" i="1"/>
  <c r="AR357" i="1"/>
  <c r="H359" i="1"/>
  <c r="X360" i="1"/>
  <c r="AT359" i="1"/>
  <c r="F357" i="1"/>
  <c r="F358" i="1"/>
  <c r="F360" i="1"/>
  <c r="W359" i="1"/>
  <c r="X356" i="1"/>
  <c r="X357" i="1"/>
  <c r="X359" i="1"/>
  <c r="H360" i="1"/>
  <c r="AS356" i="1"/>
  <c r="AS357" i="1"/>
  <c r="AC360" i="1"/>
  <c r="AE357" i="1"/>
  <c r="AE359" i="1"/>
  <c r="AE356" i="1"/>
  <c r="AE358" i="1"/>
  <c r="AE360" i="1"/>
  <c r="AF355" i="1"/>
  <c r="O357" i="1"/>
  <c r="X355" i="1"/>
  <c r="AA351" i="1"/>
  <c r="AA353" i="1" s="1"/>
  <c r="I351" i="1"/>
  <c r="I353" i="1" s="1"/>
  <c r="K351" i="1"/>
  <c r="K353" i="1" s="1"/>
  <c r="AY351" i="1"/>
  <c r="AY353" i="1" s="1"/>
  <c r="AE355" i="1"/>
  <c r="L351" i="1"/>
  <c r="L353" i="1" s="1"/>
  <c r="AF351" i="1"/>
  <c r="AF353" i="1" s="1"/>
  <c r="AZ351" i="1"/>
  <c r="AZ353" i="1" s="1"/>
  <c r="U351" i="1"/>
  <c r="U353" i="1" s="1"/>
  <c r="Y351" i="1"/>
  <c r="Y353" i="1" s="1"/>
  <c r="AS355" i="1"/>
  <c r="Z351" i="1"/>
  <c r="Z353" i="1" s="1"/>
  <c r="AT355" i="1"/>
  <c r="J351" i="1"/>
  <c r="J353" i="1" s="1"/>
  <c r="M351" i="1"/>
  <c r="M353" i="1" s="1"/>
  <c r="AG351" i="1"/>
  <c r="AG353" i="1" s="1"/>
  <c r="BA351" i="1"/>
  <c r="BA353" i="1" s="1"/>
  <c r="AV351" i="1"/>
  <c r="AV353" i="1" s="1"/>
  <c r="AD351" i="1"/>
  <c r="AD353" i="1" s="1"/>
  <c r="N351" i="1"/>
  <c r="N353" i="1" s="1"/>
  <c r="AH351" i="1"/>
  <c r="AH353" i="1" s="1"/>
  <c r="BB351" i="1"/>
  <c r="BB353" i="1" s="1"/>
  <c r="G351" i="1"/>
  <c r="G353" i="1" s="1"/>
  <c r="AQ351" i="1"/>
  <c r="AQ353" i="1" s="1"/>
  <c r="W355" i="1"/>
  <c r="AW351" i="1"/>
  <c r="AW353" i="1" s="1"/>
  <c r="AX351" i="1"/>
  <c r="AX353" i="1" s="1"/>
  <c r="O351" i="1"/>
  <c r="O353" i="1" s="1"/>
  <c r="AI351" i="1"/>
  <c r="AI353" i="1" s="1"/>
  <c r="BC351" i="1"/>
  <c r="BC353" i="1" s="1"/>
  <c r="P351" i="1"/>
  <c r="P353" i="1" s="1"/>
  <c r="AJ351" i="1"/>
  <c r="AJ353" i="1" s="1"/>
  <c r="BD351" i="1"/>
  <c r="BD353" i="1" s="1"/>
  <c r="AU351" i="1"/>
  <c r="AU353" i="1" s="1"/>
  <c r="Q351" i="1"/>
  <c r="Q353" i="1" s="1"/>
  <c r="AK351" i="1"/>
  <c r="AK353" i="1" s="1"/>
  <c r="BE351" i="1"/>
  <c r="BE353" i="1" s="1"/>
  <c r="V351" i="1"/>
  <c r="V353" i="1" s="1"/>
  <c r="F355" i="1"/>
  <c r="AP355" i="1"/>
  <c r="AR355" i="1"/>
  <c r="R351" i="1"/>
  <c r="R353" i="1" s="1"/>
  <c r="AL351" i="1"/>
  <c r="AL353" i="1" s="1"/>
  <c r="BF351" i="1"/>
  <c r="BF353" i="1" s="1"/>
  <c r="S351" i="1"/>
  <c r="S353" i="1" s="1"/>
  <c r="AM351" i="1"/>
  <c r="AM353" i="1" s="1"/>
  <c r="BG351" i="1"/>
  <c r="BG353" i="1" s="1"/>
  <c r="T351" i="1"/>
  <c r="T353" i="1" s="1"/>
  <c r="AN351" i="1"/>
  <c r="AN353" i="1" s="1"/>
  <c r="BH351" i="1"/>
  <c r="BH353" i="1" s="1"/>
  <c r="AC357" i="1" l="1"/>
  <c r="L355" i="1"/>
  <c r="BF357" i="1"/>
  <c r="AC355" i="1"/>
  <c r="AL357" i="1"/>
  <c r="AT360" i="1"/>
  <c r="R357" i="1"/>
  <c r="AO355" i="1"/>
  <c r="O359" i="1"/>
  <c r="AT356" i="1"/>
  <c r="H355" i="1"/>
  <c r="O358" i="1"/>
  <c r="AS360" i="1"/>
  <c r="F356" i="1"/>
  <c r="AY359" i="1"/>
  <c r="BE358" i="1"/>
  <c r="AN359" i="1"/>
  <c r="BD356" i="1"/>
  <c r="T359" i="1"/>
  <c r="BD355" i="1"/>
  <c r="K357" i="1"/>
  <c r="R358" i="1"/>
  <c r="O360" i="1"/>
  <c r="K360" i="1"/>
  <c r="K355" i="1"/>
  <c r="E360" i="1"/>
  <c r="AC358" i="1"/>
  <c r="K359" i="1"/>
  <c r="BE359" i="1"/>
  <c r="AZ355" i="1"/>
  <c r="AY357" i="1"/>
  <c r="AP358" i="1"/>
  <c r="AP356" i="1"/>
  <c r="AS359" i="1"/>
  <c r="V355" i="1"/>
  <c r="BE356" i="1"/>
  <c r="BB359" i="1"/>
  <c r="Y358" i="1"/>
  <c r="M358" i="1"/>
  <c r="BH358" i="1"/>
  <c r="P356" i="1"/>
  <c r="AJ356" i="1"/>
  <c r="BB358" i="1"/>
  <c r="AN358" i="1"/>
  <c r="M359" i="1"/>
  <c r="N358" i="1"/>
  <c r="J358" i="1"/>
  <c r="T358" i="1"/>
  <c r="BE360" i="1"/>
  <c r="AJ355" i="1"/>
  <c r="AZ356" i="1"/>
  <c r="J355" i="1"/>
  <c r="E357" i="1"/>
  <c r="H358" i="1"/>
  <c r="H357" i="1"/>
  <c r="BG355" i="1"/>
  <c r="P357" i="1"/>
  <c r="AC356" i="1"/>
  <c r="AC359" i="1"/>
  <c r="V356" i="1"/>
  <c r="AK359" i="1"/>
  <c r="BC360" i="1"/>
  <c r="T357" i="1"/>
  <c r="AI355" i="1"/>
  <c r="BH356" i="1"/>
  <c r="AI359" i="1"/>
  <c r="AK356" i="1"/>
  <c r="M355" i="1"/>
  <c r="E355" i="1"/>
  <c r="AN356" i="1"/>
  <c r="AI358" i="1"/>
  <c r="AK355" i="1"/>
  <c r="AY360" i="1"/>
  <c r="AB360" i="1"/>
  <c r="BA358" i="1"/>
  <c r="AB355" i="1"/>
  <c r="AN355" i="1"/>
  <c r="AI356" i="1"/>
  <c r="P360" i="1"/>
  <c r="N357" i="1"/>
  <c r="K358" i="1"/>
  <c r="AV358" i="1"/>
  <c r="AO358" i="1"/>
  <c r="AO360" i="1"/>
  <c r="E356" i="1"/>
  <c r="Q360" i="1"/>
  <c r="P355" i="1"/>
  <c r="AO359" i="1"/>
  <c r="T355" i="1"/>
  <c r="BC355" i="1"/>
  <c r="BD359" i="1"/>
  <c r="N356" i="1"/>
  <c r="AB358" i="1"/>
  <c r="AO357" i="1"/>
  <c r="E359" i="1"/>
  <c r="AA360" i="1"/>
  <c r="M356" i="1"/>
  <c r="AG355" i="1"/>
  <c r="AJ360" i="1"/>
  <c r="BG360" i="1"/>
  <c r="O355" i="1"/>
  <c r="AJ359" i="1"/>
  <c r="N355" i="1"/>
  <c r="AY356" i="1"/>
  <c r="AV357" i="1"/>
  <c r="AO356" i="1"/>
  <c r="U357" i="1"/>
  <c r="AT357" i="1"/>
  <c r="AV355" i="1"/>
  <c r="AI360" i="1"/>
  <c r="AK357" i="1"/>
  <c r="BC356" i="1"/>
  <c r="AB359" i="1"/>
  <c r="E358" i="1"/>
  <c r="BG359" i="1"/>
  <c r="BB360" i="1"/>
  <c r="P359" i="1"/>
  <c r="AF359" i="1"/>
  <c r="K356" i="1"/>
  <c r="AB357" i="1"/>
  <c r="BA356" i="1"/>
  <c r="U355" i="1"/>
  <c r="BA355" i="1"/>
  <c r="AK358" i="1"/>
  <c r="BC359" i="1"/>
  <c r="BD358" i="1"/>
  <c r="Y356" i="1"/>
  <c r="BG357" i="1"/>
  <c r="N360" i="1"/>
  <c r="AJ358" i="1"/>
  <c r="AF356" i="1"/>
  <c r="AD359" i="1"/>
  <c r="AA356" i="1"/>
  <c r="AG358" i="1"/>
  <c r="M357" i="1"/>
  <c r="AK360" i="1"/>
  <c r="BH357" i="1"/>
  <c r="AN357" i="1"/>
  <c r="BH355" i="1"/>
  <c r="BG358" i="1"/>
  <c r="AH360" i="1"/>
  <c r="AV356" i="1"/>
  <c r="AG356" i="1"/>
  <c r="BA357" i="1"/>
  <c r="BG356" i="1"/>
  <c r="AH357" i="1"/>
  <c r="P358" i="1"/>
  <c r="L356" i="1"/>
  <c r="J359" i="1"/>
  <c r="AA355" i="1"/>
  <c r="AV360" i="1"/>
  <c r="AG357" i="1"/>
  <c r="X358" i="1"/>
  <c r="AX355" i="1"/>
  <c r="AM358" i="1"/>
  <c r="S358" i="1"/>
  <c r="BF356" i="1"/>
  <c r="S357" i="1"/>
  <c r="AL356" i="1"/>
  <c r="AQ360" i="1"/>
  <c r="R356" i="1"/>
  <c r="Q359" i="1"/>
  <c r="I355" i="1"/>
  <c r="Y355" i="1"/>
  <c r="G359" i="1"/>
  <c r="AM356" i="1"/>
  <c r="BF355" i="1"/>
  <c r="AH359" i="1"/>
  <c r="AG359" i="1"/>
  <c r="I360" i="1"/>
  <c r="AQ357" i="1"/>
  <c r="S356" i="1"/>
  <c r="AL355" i="1"/>
  <c r="N359" i="1"/>
  <c r="BD357" i="1"/>
  <c r="AZ360" i="1"/>
  <c r="AX360" i="1"/>
  <c r="AW358" i="1"/>
  <c r="G360" i="1"/>
  <c r="U360" i="1"/>
  <c r="R355" i="1"/>
  <c r="AH358" i="1"/>
  <c r="Q358" i="1"/>
  <c r="AJ357" i="1"/>
  <c r="AF360" i="1"/>
  <c r="J360" i="1"/>
  <c r="AA358" i="1"/>
  <c r="T356" i="1"/>
  <c r="AM355" i="1"/>
  <c r="BB357" i="1"/>
  <c r="BE357" i="1"/>
  <c r="L360" i="1"/>
  <c r="AY358" i="1"/>
  <c r="AX359" i="1"/>
  <c r="I358" i="1"/>
  <c r="AA357" i="1"/>
  <c r="AQ358" i="1"/>
  <c r="AU359" i="1"/>
  <c r="V358" i="1"/>
  <c r="V357" i="1"/>
  <c r="Z355" i="1"/>
  <c r="AZ359" i="1"/>
  <c r="AX358" i="1"/>
  <c r="AU358" i="1"/>
  <c r="R360" i="1"/>
  <c r="AM360" i="1"/>
  <c r="AH355" i="1"/>
  <c r="AF358" i="1"/>
  <c r="AY355" i="1"/>
  <c r="AX357" i="1"/>
  <c r="Z358" i="1"/>
  <c r="AU357" i="1"/>
  <c r="V360" i="1"/>
  <c r="AU355" i="1"/>
  <c r="U359" i="1"/>
  <c r="BH360" i="1"/>
  <c r="S360" i="1"/>
  <c r="AL359" i="1"/>
  <c r="BC358" i="1"/>
  <c r="BA360" i="1"/>
  <c r="BE355" i="1"/>
  <c r="L358" i="1"/>
  <c r="AD360" i="1"/>
  <c r="AD357" i="1"/>
  <c r="I356" i="1"/>
  <c r="Z357" i="1"/>
  <c r="V359" i="1"/>
  <c r="U358" i="1"/>
  <c r="AW360" i="1"/>
  <c r="AM357" i="1"/>
  <c r="S355" i="1"/>
  <c r="AW357" i="1"/>
  <c r="G358" i="1"/>
  <c r="AQ359" i="1"/>
  <c r="AW359" i="1"/>
  <c r="BF360" i="1"/>
  <c r="BB356" i="1"/>
  <c r="Q357" i="1"/>
  <c r="G357" i="1"/>
  <c r="AU356" i="1"/>
  <c r="AL360" i="1"/>
  <c r="AH356" i="1"/>
  <c r="L359" i="1"/>
  <c r="I357" i="1"/>
  <c r="Z360" i="1"/>
  <c r="G356" i="1"/>
  <c r="AU360" i="1"/>
  <c r="AQ356" i="1"/>
  <c r="BB355" i="1"/>
  <c r="AZ358" i="1"/>
  <c r="AW356" i="1"/>
  <c r="Z359" i="1"/>
  <c r="G355" i="1"/>
  <c r="AA359" i="1"/>
  <c r="AQ355" i="1"/>
  <c r="BF359" i="1"/>
  <c r="Q356" i="1"/>
  <c r="AN360" i="1"/>
  <c r="R359" i="1"/>
  <c r="AG360" i="1"/>
  <c r="AZ357" i="1"/>
  <c r="AD358" i="1"/>
  <c r="AX356" i="1"/>
  <c r="AW355" i="1"/>
  <c r="Y357" i="1"/>
  <c r="T360" i="1"/>
  <c r="AM359" i="1"/>
  <c r="BF358" i="1"/>
  <c r="BC357" i="1"/>
  <c r="M360" i="1"/>
  <c r="Q355" i="1"/>
  <c r="AF357" i="1"/>
  <c r="J357" i="1"/>
  <c r="J356" i="1"/>
  <c r="Y360" i="1"/>
  <c r="U356" i="1"/>
  <c r="BH359" i="1"/>
  <c r="S359" i="1"/>
  <c r="AL358" i="1"/>
  <c r="AI357" i="1"/>
  <c r="BA359" i="1"/>
  <c r="BD360" i="1"/>
  <c r="O356" i="1"/>
  <c r="L357" i="1"/>
  <c r="AD356" i="1"/>
  <c r="AD355" i="1"/>
  <c r="AV359" i="1"/>
  <c r="Y359" i="1"/>
  <c r="Z356" i="1"/>
  <c r="I359" i="1"/>
</calcChain>
</file>

<file path=xl/sharedStrings.xml><?xml version="1.0" encoding="utf-8"?>
<sst xmlns="http://schemas.openxmlformats.org/spreadsheetml/2006/main" count="775" uniqueCount="706">
  <si>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</si>
  <si>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</si>
  <si>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</si>
  <si>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</si>
  <si>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</si>
  <si>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</si>
  <si>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</si>
  <si>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</si>
  <si>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</si>
  <si>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</si>
  <si>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</si>
  <si>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</si>
  <si>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</si>
  <si>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</si>
  <si>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</si>
  <si>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</si>
  <si>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</si>
  <si>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</si>
  <si>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</si>
  <si>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</si>
  <si>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</si>
  <si>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</si>
  <si>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</si>
  <si>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</si>
  <si>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</si>
  <si>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</si>
  <si>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</si>
  <si>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</si>
  <si>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</si>
  <si>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</si>
  <si>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</si>
  <si>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</si>
  <si>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</si>
  <si>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</si>
  <si>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</si>
  <si>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</si>
  <si>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</si>
  <si>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</si>
  <si>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</si>
  <si>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</si>
  <si>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</si>
  <si>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</si>
  <si>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</si>
  <si>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</si>
  <si>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</si>
  <si>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</si>
  <si>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</si>
  <si>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</si>
  <si>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</si>
  <si>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</si>
  <si>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</si>
  <si>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</si>
  <si>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</si>
  <si>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</si>
  <si>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</si>
  <si>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</si>
  <si>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</si>
  <si>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</si>
  <si>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</si>
  <si>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</si>
  <si>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</si>
  <si>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</si>
  <si>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</si>
  <si>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</si>
  <si>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</si>
  <si>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</si>
  <si>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</si>
  <si>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</si>
  <si>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</si>
  <si>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</si>
  <si>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</si>
  <si>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</si>
  <si>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</si>
  <si>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</si>
  <si>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</si>
  <si>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</si>
  <si>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</si>
  <si>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</si>
  <si>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</si>
  <si>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</si>
  <si>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</si>
  <si>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</si>
  <si>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</si>
  <si>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</si>
  <si>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</si>
  <si>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</si>
  <si>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</si>
  <si>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</si>
  <si>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</si>
  <si>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</si>
  <si>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</si>
  <si>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</si>
  <si>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</si>
  <si>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</si>
  <si>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</si>
  <si>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</si>
  <si>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</si>
  <si>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</si>
  <si>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</si>
  <si>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</si>
  <si>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</si>
  <si>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</si>
  <si>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</si>
  <si>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</si>
  <si>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</si>
  <si>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</si>
  <si>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</si>
  <si>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</si>
  <si>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</si>
  <si>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</si>
  <si>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</si>
  <si>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</si>
  <si>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</si>
  <si>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</si>
  <si>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</si>
  <si>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</si>
  <si>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</si>
  <si>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</si>
  <si>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</si>
  <si>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</si>
  <si>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</si>
  <si>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</si>
  <si>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</si>
  <si>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</si>
  <si>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</si>
  <si>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</si>
  <si>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</si>
  <si>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</si>
  <si>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</si>
  <si>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</si>
  <si>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</si>
  <si>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</si>
  <si>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</si>
  <si>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</si>
  <si>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</si>
  <si>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</si>
  <si>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</si>
  <si>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</si>
  <si>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</si>
  <si>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</si>
  <si>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</si>
  <si>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</si>
  <si>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</si>
  <si>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</si>
  <si>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</si>
  <si>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</si>
  <si>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</si>
  <si>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</si>
  <si>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</si>
  <si>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</si>
  <si>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</si>
  <si>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</si>
  <si>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</si>
  <si>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</si>
  <si>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</si>
  <si>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</si>
  <si>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</si>
  <si>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</si>
  <si>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</si>
  <si>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</si>
  <si>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</si>
  <si>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</si>
  <si>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</si>
  <si>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</si>
  <si>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</si>
  <si>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</si>
  <si>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</si>
  <si>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</si>
  <si>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</si>
  <si>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</si>
  <si>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</si>
  <si>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</si>
  <si>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</si>
  <si>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</si>
  <si>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</si>
  <si>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</si>
  <si>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</si>
  <si>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</si>
  <si>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</si>
  <si>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</si>
  <si>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</si>
  <si>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</si>
  <si>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</si>
  <si>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</si>
  <si>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</si>
  <si>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</si>
  <si>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</si>
  <si>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</si>
  <si>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</si>
  <si>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</si>
  <si>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</si>
  <si>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</si>
  <si>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</si>
  <si>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</si>
  <si>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</si>
  <si>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</si>
  <si>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</si>
  <si>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</si>
  <si>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</si>
  <si>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</si>
  <si>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</si>
  <si>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</si>
  <si>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</si>
  <si>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</si>
  <si>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</si>
  <si>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</si>
  <si>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</si>
  <si>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</si>
  <si>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</si>
  <si>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</si>
  <si>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</si>
  <si>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</si>
  <si>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</si>
  <si>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</si>
  <si>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</si>
  <si>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</si>
  <si>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</si>
  <si>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</si>
  <si>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</si>
  <si>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</si>
  <si>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</si>
  <si>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</si>
  <si>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</si>
  <si>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</si>
  <si>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</si>
  <si>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</si>
  <si>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</si>
  <si>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</si>
  <si>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</si>
  <si>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</si>
  <si>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</si>
  <si>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</si>
  <si>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</si>
  <si>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</si>
  <si>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</si>
  <si>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</si>
  <si>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</si>
  <si>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</si>
  <si>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</si>
  <si>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</si>
  <si>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</si>
  <si>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</si>
  <si>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</si>
  <si>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</si>
  <si>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</si>
  <si>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</si>
  <si>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</si>
  <si>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</si>
  <si>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</si>
  <si>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</si>
  <si>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</si>
  <si>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</si>
  <si>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</si>
  <si>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</si>
  <si>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</si>
  <si>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</si>
  <si>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</si>
  <si>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</si>
  <si>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</si>
  <si>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</si>
  <si>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</si>
  <si>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</si>
  <si>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</si>
  <si>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</si>
  <si>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</si>
  <si>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</si>
  <si>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</si>
  <si>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</si>
  <si>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</si>
  <si>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</si>
  <si>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</si>
  <si>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</si>
  <si>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</si>
  <si>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</si>
  <si>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</si>
  <si>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</si>
  <si>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</si>
  <si>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</si>
  <si>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</si>
  <si>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</si>
  <si>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</si>
  <si>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</si>
  <si>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</si>
  <si>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</si>
  <si>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</si>
  <si>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</si>
  <si>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</si>
  <si>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</si>
  <si>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</si>
  <si>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</si>
  <si>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</si>
  <si>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</si>
  <si>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</si>
  <si>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</si>
  <si>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</si>
  <si>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</si>
  <si>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</si>
  <si>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</si>
  <si>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</si>
  <si>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</si>
  <si>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</si>
  <si>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</si>
  <si>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</si>
  <si>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</si>
  <si>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</si>
  <si>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</si>
  <si>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</si>
  <si>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</si>
  <si>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</si>
  <si>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</si>
  <si>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</si>
  <si>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</si>
  <si>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</si>
  <si>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</si>
  <si>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</si>
  <si>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</si>
  <si>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</si>
  <si>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</si>
  <si>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</si>
  <si>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</si>
  <si>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</si>
  <si>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</si>
  <si>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</si>
  <si>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</si>
  <si>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</si>
  <si>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</si>
  <si>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</si>
  <si>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</si>
  <si>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</si>
  <si>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</si>
  <si>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</si>
  <si>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</si>
  <si>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</si>
  <si>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</si>
  <si>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</si>
  <si>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</si>
  <si>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</si>
  <si>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</si>
  <si>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</si>
  <si>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</si>
  <si>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</si>
  <si>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</si>
  <si>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</si>
  <si>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</si>
  <si>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</si>
  <si>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</si>
  <si>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</si>
  <si>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</si>
  <si>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</si>
  <si>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</si>
  <si>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</si>
  <si>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</si>
  <si>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</si>
  <si>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</si>
  <si>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</si>
  <si>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</si>
  <si>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</si>
  <si>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</si>
  <si>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</si>
  <si>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</si>
  <si>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</si>
  <si>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</si>
  <si>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</si>
  <si>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</si>
  <si>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</si>
  <si>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</si>
  <si>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</si>
  <si>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</si>
  <si>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</si>
  <si>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</si>
  <si>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</si>
  <si>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</si>
  <si>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</si>
  <si>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</si>
  <si>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</si>
  <si>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</si>
  <si>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</si>
  <si>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</si>
  <si>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</si>
  <si>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</si>
  <si>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</si>
  <si>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</si>
  <si>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</si>
  <si>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</si>
  <si>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</si>
  <si>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</si>
  <si>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</si>
  <si>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</si>
  <si>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</si>
  <si>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</si>
  <si>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</si>
  <si>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</si>
  <si>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</si>
  <si>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</si>
  <si>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</si>
  <si>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</si>
  <si>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</si>
  <si>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</si>
  <si>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</si>
  <si>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</si>
  <si>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</si>
  <si>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</si>
  <si>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</si>
  <si>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</si>
  <si>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</si>
  <si>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</si>
  <si>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</si>
  <si>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</si>
  <si>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</si>
  <si>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</si>
  <si>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</si>
  <si>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</si>
  <si>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</si>
  <si>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</si>
  <si>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</si>
  <si>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</si>
  <si>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</si>
  <si>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</si>
  <si>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</si>
  <si>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</si>
  <si>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</si>
  <si>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</si>
  <si>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</si>
  <si>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</si>
  <si>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</si>
  <si>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</si>
  <si>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</si>
  <si>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</si>
  <si>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</si>
  <si>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</si>
  <si>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</si>
  <si>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</si>
  <si>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</si>
  <si>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</si>
  <si>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</si>
  <si>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</si>
  <si>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</si>
  <si>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</si>
  <si>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</si>
  <si>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</si>
  <si>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</si>
  <si>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</si>
  <si>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</si>
  <si>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</si>
  <si>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</si>
  <si>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</si>
  <si>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</si>
  <si>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</si>
  <si>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</si>
  <si>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</si>
  <si>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</si>
  <si>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</si>
  <si>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</si>
  <si>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</si>
  <si>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</si>
  <si>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</si>
  <si>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</si>
  <si>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</si>
  <si>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</si>
  <si>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</si>
  <si>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</si>
  <si>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</si>
  <si>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</si>
  <si>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</si>
  <si>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</si>
  <si>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</si>
  <si>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</si>
  <si>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</si>
  <si>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</si>
  <si>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</si>
  <si>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</si>
  <si>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</si>
  <si>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</si>
  <si>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</si>
  <si>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</si>
  <si>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</si>
  <si>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</si>
  <si>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</si>
  <si>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</si>
  <si>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</si>
  <si>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</si>
  <si>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</si>
  <si>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</si>
  <si>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</si>
  <si>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</si>
  <si>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</si>
  <si>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</si>
  <si>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</si>
  <si>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</si>
  <si>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</si>
  <si>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</si>
  <si>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</si>
  <si>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</si>
  <si>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</si>
  <si>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</si>
  <si>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</si>
  <si>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</si>
  <si>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</si>
  <si>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</si>
  <si>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</si>
  <si>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</si>
  <si>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</si>
  <si>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</si>
  <si>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</si>
  <si>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</si>
  <si>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</si>
  <si>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</si>
  <si>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</si>
  <si>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</si>
  <si>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</si>
  <si>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</si>
  <si>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</si>
  <si>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</si>
  <si>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</si>
  <si>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</si>
  <si>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</si>
  <si>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</si>
  <si>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</si>
  <si>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</si>
  <si>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</si>
  <si>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</si>
  <si>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</si>
  <si>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</si>
  <si>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</si>
  <si>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</si>
  <si>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</si>
  <si>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</si>
  <si>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</si>
  <si>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</si>
  <si>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</si>
  <si>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</si>
  <si>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</si>
  <si>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</si>
  <si>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</si>
  <si>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</si>
  <si>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</si>
  <si>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</si>
  <si>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</si>
  <si>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</si>
  <si>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</si>
  <si>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</si>
  <si>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</si>
  <si>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</si>
  <si>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</si>
  <si>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</si>
  <si>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</si>
  <si>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</si>
  <si>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</si>
  <si>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</si>
  <si>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</si>
  <si>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</si>
  <si>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</si>
  <si>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</si>
  <si>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</si>
  <si>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</si>
  <si>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</si>
  <si>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</si>
  <si>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</si>
  <si>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</si>
  <si>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</si>
  <si>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</si>
  <si>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</si>
  <si>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</si>
  <si>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</si>
  <si>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</si>
  <si>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</si>
  <si>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</si>
  <si>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</si>
  <si>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</si>
  <si>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</si>
  <si>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</si>
  <si>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</si>
  <si>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</si>
  <si>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</si>
  <si>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</si>
  <si>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</si>
  <si>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</si>
  <si>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</si>
  <si>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</si>
  <si>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</si>
  <si>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</si>
  <si>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</si>
  <si>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</si>
  <si>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</si>
  <si>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</si>
  <si>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</si>
  <si>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</si>
  <si>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</si>
  <si>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</si>
  <si>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</si>
  <si>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</si>
  <si>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</si>
  <si>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</si>
  <si>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</si>
  <si>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</si>
  <si>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</si>
  <si>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</si>
  <si>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</si>
  <si>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</si>
  <si>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</si>
  <si>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</si>
  <si>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</si>
  <si>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</si>
  <si>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</si>
  <si>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</si>
  <si>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</si>
  <si>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</si>
  <si>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</si>
  <si>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</si>
  <si>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</si>
  <si>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</si>
  <si>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</si>
  <si>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</si>
  <si>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</si>
  <si>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</si>
  <si>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</si>
  <si>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</si>
  <si>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</si>
  <si>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</si>
  <si>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</si>
  <si>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</si>
  <si>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</si>
  <si>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</si>
  <si>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</si>
  <si>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</si>
  <si>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</si>
  <si>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</si>
  <si>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</si>
  <si>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</si>
  <si>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</si>
  <si>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</si>
  <si>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</si>
  <si>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</si>
  <si>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</si>
  <si>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</si>
  <si>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</si>
  <si>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</si>
  <si>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</si>
  <si>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</si>
  <si>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</si>
  <si>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</si>
  <si>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</si>
  <si>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</si>
  <si>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</si>
  <si>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</si>
  <si>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</si>
  <si>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</si>
  <si>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</si>
  <si>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</si>
  <si>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</si>
  <si>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</si>
  <si>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</si>
  <si>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</si>
  <si>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</si>
  <si>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</si>
  <si>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</si>
  <si>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</si>
  <si>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</si>
  <si>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</si>
  <si>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</si>
  <si>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הפניקס גמל אגח סחיר</t>
  </si>
  <si>
    <t>הפניקס גמל מניות סחיר</t>
  </si>
  <si>
    <t>הפניקס גמל עוקב מדדי מניות</t>
  </si>
  <si>
    <t>הפניקס השתלמות משולב סחיר</t>
  </si>
  <si>
    <t>הפניקס השתלמות אגח סחיר</t>
  </si>
  <si>
    <t>הפניקס גמל להשקעה משולב סחיר</t>
  </si>
  <si>
    <t>הפניקס גמל להשקעה מניות סחיר</t>
  </si>
  <si>
    <t xml:space="preserve">הפניקס גמל עוקב מדדים גמיש </t>
  </si>
  <si>
    <t>הפניקס גמל להשקעה אגח סחיר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</si>
  <si>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</si>
  <si>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</si>
  <si>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</si>
  <si>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</si>
  <si>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</si>
  <si>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</si>
  <si>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</si>
  <si>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</si>
  <si>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</si>
  <si>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</si>
  <si>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</si>
  <si>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</si>
  <si>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</si>
  <si>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</si>
  <si>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</si>
  <si>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</si>
  <si>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</si>
  <si>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</si>
  <si>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</si>
  <si>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</si>
  <si>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</si>
  <si>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</si>
  <si>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</si>
  <si>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</si>
  <si>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</si>
  <si>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</si>
  <si>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</si>
  <si>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</si>
  <si>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</si>
  <si>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</si>
  <si>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</si>
  <si>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</si>
  <si>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</si>
  <si>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</si>
  <si>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סיום מידע טבלה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</si>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</sst>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794192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327660</xdr:colOff>
      <xdr:row>1</xdr:row>
      <xdr:rowOff>140485</xdr:rowOff>
    </xdr:to>
    <xdr:pic>
      <xdr:nvPicPr>
        <xdr:cNvPr id="3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28E465B7-9829-48E9-8787-93DE8BF7D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445140" y="0"/>
          <a:ext cx="327660" cy="31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4"/>
      <sheetName val="גיליון226"/>
      <sheetName val="גיליון228"/>
      <sheetName val="גיליון230"/>
      <sheetName val="גיליון232"/>
      <sheetName val="גיליון23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I361"/>
  <sheetViews>
    <sheetView rightToLeft="1" tabSelected="1" workbookViewId="0">
      <selection activeCell="E1" sqref="E1"/>
    </sheetView>
  </sheetViews>
  <sheetFormatPr defaultRowHeight="13.8" x14ac:dyDescent="0.25"/>
  <sheetData>
    <row r="2" spans="1:61" x14ac:dyDescent="0.25">
      <c r="A2" s="21" t="s">
        <v>705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 t="s">
        <v>704</v>
      </c>
    </row>
    <row r="3" spans="1:61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9">
        <v>828</v>
      </c>
      <c r="AQ3" s="9">
        <v>844</v>
      </c>
      <c r="AR3" s="9">
        <v>839</v>
      </c>
      <c r="AS3" s="9">
        <v>857</v>
      </c>
      <c r="AT3" s="9">
        <v>608</v>
      </c>
      <c r="AU3" s="9">
        <v>849</v>
      </c>
      <c r="AV3" s="9">
        <v>846</v>
      </c>
      <c r="AW3" s="9">
        <v>834</v>
      </c>
      <c r="AX3" s="9">
        <v>506</v>
      </c>
      <c r="AY3" s="9">
        <v>521</v>
      </c>
      <c r="AZ3" s="9">
        <v>522</v>
      </c>
      <c r="BA3" s="9">
        <v>528</v>
      </c>
      <c r="BB3" s="9">
        <v>548</v>
      </c>
      <c r="BC3" s="9">
        <v>551</v>
      </c>
      <c r="BD3" s="9">
        <v>555</v>
      </c>
      <c r="BE3" s="9">
        <v>558</v>
      </c>
      <c r="BF3" s="9">
        <v>578</v>
      </c>
      <c r="BG3" s="9">
        <v>580</v>
      </c>
      <c r="BH3" s="9">
        <v>577</v>
      </c>
      <c r="BI3" s="21"/>
    </row>
    <row r="4" spans="1:61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715</v>
      </c>
      <c r="L4" s="10">
        <v>9916</v>
      </c>
      <c r="M4" s="10">
        <v>1100</v>
      </c>
      <c r="N4" s="10">
        <v>801</v>
      </c>
      <c r="O4" s="10">
        <v>804</v>
      </c>
      <c r="P4" s="10">
        <v>806</v>
      </c>
      <c r="Q4" s="10">
        <v>8765</v>
      </c>
      <c r="R4" s="10">
        <v>8766</v>
      </c>
      <c r="S4" s="10">
        <v>9418</v>
      </c>
      <c r="T4" s="10">
        <v>9475</v>
      </c>
      <c r="U4" s="10">
        <v>9906</v>
      </c>
      <c r="V4" s="10">
        <v>7905</v>
      </c>
      <c r="W4" s="10">
        <v>7906</v>
      </c>
      <c r="X4" s="10">
        <v>7907</v>
      </c>
      <c r="Y4" s="10">
        <v>7908</v>
      </c>
      <c r="Z4" s="10">
        <v>7909</v>
      </c>
      <c r="AA4" s="10">
        <v>11310</v>
      </c>
      <c r="AB4" s="10">
        <v>11311</v>
      </c>
      <c r="AC4" s="10">
        <v>11312</v>
      </c>
      <c r="AD4" s="10">
        <v>11335</v>
      </c>
      <c r="AE4" s="10">
        <v>9529</v>
      </c>
      <c r="AF4" s="10">
        <v>961</v>
      </c>
      <c r="AG4" s="10">
        <v>9528</v>
      </c>
      <c r="AH4" s="10">
        <v>964</v>
      </c>
      <c r="AI4" s="10">
        <v>968</v>
      </c>
      <c r="AJ4" s="10">
        <v>8629</v>
      </c>
      <c r="AK4" s="10">
        <v>13264</v>
      </c>
      <c r="AL4" s="10">
        <v>13263</v>
      </c>
      <c r="AM4" s="10">
        <v>13209</v>
      </c>
      <c r="AN4" s="10">
        <v>13250</v>
      </c>
      <c r="AO4" s="10">
        <v>14281</v>
      </c>
      <c r="AP4" s="11">
        <v>2049</v>
      </c>
      <c r="AQ4" s="12">
        <v>7975</v>
      </c>
      <c r="AR4" s="12">
        <v>8004</v>
      </c>
      <c r="AS4" s="11">
        <v>1008</v>
      </c>
      <c r="AT4" s="11">
        <v>9484</v>
      </c>
      <c r="AU4" s="11">
        <v>682</v>
      </c>
      <c r="AV4" s="11">
        <v>11352</v>
      </c>
      <c r="AW4" s="11">
        <v>2058</v>
      </c>
      <c r="AX4" s="11">
        <v>15007</v>
      </c>
      <c r="AY4" s="11">
        <v>15208</v>
      </c>
      <c r="AZ4" s="11">
        <v>15209</v>
      </c>
      <c r="BA4" s="11">
        <v>15210</v>
      </c>
      <c r="BB4" s="11">
        <v>15211</v>
      </c>
      <c r="BC4" s="11">
        <v>15212</v>
      </c>
      <c r="BD4" s="11">
        <v>15232</v>
      </c>
      <c r="BE4" s="11">
        <v>15214</v>
      </c>
      <c r="BF4" s="11">
        <v>15233</v>
      </c>
      <c r="BG4" s="11">
        <v>15234</v>
      </c>
      <c r="BH4" s="11">
        <v>15215</v>
      </c>
      <c r="BI4" s="21"/>
    </row>
    <row r="5" spans="1:61" ht="15.6" x14ac:dyDescent="0.3">
      <c r="A5" s="3">
        <v>46204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3" t="s">
        <v>651</v>
      </c>
      <c r="AQ5" s="14" t="s">
        <v>652</v>
      </c>
      <c r="AR5" s="13" t="s">
        <v>653</v>
      </c>
      <c r="AS5" s="13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t="s">
        <v>660</v>
      </c>
      <c r="AZ5" t="s">
        <v>661</v>
      </c>
      <c r="BA5" t="s">
        <v>662</v>
      </c>
      <c r="BB5" t="s">
        <v>663</v>
      </c>
      <c r="BC5" t="s">
        <v>664</v>
      </c>
      <c r="BD5" t="s">
        <v>664</v>
      </c>
      <c r="BE5" t="s">
        <v>665</v>
      </c>
      <c r="BF5" t="s">
        <v>666</v>
      </c>
      <c r="BG5" t="s">
        <v>667</v>
      </c>
      <c r="BH5" t="s">
        <v>668</v>
      </c>
      <c r="BI5" s="21"/>
    </row>
    <row r="6" spans="1:61" ht="15.6" x14ac:dyDescent="0.3">
      <c r="A6" s="4"/>
      <c r="B6" s="5"/>
      <c r="C6" s="5"/>
      <c r="D6" s="6" t="s">
        <v>0</v>
      </c>
      <c r="E6" s="15" t="s">
        <v>669</v>
      </c>
      <c r="F6" s="15" t="s">
        <v>670</v>
      </c>
      <c r="G6" s="15" t="s">
        <v>671</v>
      </c>
      <c r="H6" s="15" t="s">
        <v>672</v>
      </c>
      <c r="I6" s="15" t="s">
        <v>673</v>
      </c>
      <c r="J6" s="15" t="s">
        <v>674</v>
      </c>
      <c r="K6" s="15" t="s">
        <v>675</v>
      </c>
      <c r="L6" s="15" t="s">
        <v>676</v>
      </c>
      <c r="M6" s="15" t="s">
        <v>677</v>
      </c>
      <c r="N6" s="15" t="s">
        <v>678</v>
      </c>
      <c r="O6" s="15" t="s">
        <v>679</v>
      </c>
      <c r="P6" s="15" t="s">
        <v>680</v>
      </c>
      <c r="Q6" s="15" t="s">
        <v>681</v>
      </c>
      <c r="R6" s="15" t="s">
        <v>682</v>
      </c>
      <c r="S6" s="15" t="s">
        <v>683</v>
      </c>
      <c r="T6" s="15" t="s">
        <v>684</v>
      </c>
      <c r="U6" s="15" t="s">
        <v>685</v>
      </c>
      <c r="V6" s="15" t="s">
        <v>686</v>
      </c>
      <c r="W6" s="15" t="s">
        <v>687</v>
      </c>
      <c r="X6" s="15" t="s">
        <v>688</v>
      </c>
      <c r="Y6" s="15" t="s">
        <v>689</v>
      </c>
      <c r="Z6" s="15" t="s">
        <v>690</v>
      </c>
      <c r="AA6" s="15" t="s">
        <v>691</v>
      </c>
      <c r="AB6" s="15" t="s">
        <v>692</v>
      </c>
      <c r="AC6" s="15" t="s">
        <v>693</v>
      </c>
      <c r="AD6" s="15" t="s">
        <v>694</v>
      </c>
      <c r="AE6" s="15" t="s">
        <v>695</v>
      </c>
      <c r="AF6" s="15" t="s">
        <v>696</v>
      </c>
      <c r="AG6" s="15" t="s">
        <v>697</v>
      </c>
      <c r="AH6" s="15" t="s">
        <v>698</v>
      </c>
      <c r="AI6" s="15" t="s">
        <v>699</v>
      </c>
      <c r="AJ6" s="15" t="s">
        <v>700</v>
      </c>
      <c r="AK6" s="15" t="s">
        <v>701</v>
      </c>
      <c r="AL6" s="15" t="s">
        <v>702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21"/>
    </row>
    <row r="7" spans="1:61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212130.228</v>
      </c>
      <c r="F7" s="7">
        <v>22225.882000000001</v>
      </c>
      <c r="G7" s="7">
        <v>23045.919000000002</v>
      </c>
      <c r="H7" s="7">
        <v>8.6189999999999998</v>
      </c>
      <c r="I7" s="7">
        <v>2932.9279999999999</v>
      </c>
      <c r="J7" s="7">
        <v>14392.32</v>
      </c>
      <c r="K7" s="7">
        <v>7590.3379999999997</v>
      </c>
      <c r="L7" s="7">
        <v>220472.22399999999</v>
      </c>
      <c r="M7" s="7">
        <v>44354.326999999997</v>
      </c>
      <c r="N7" s="7">
        <v>3.016</v>
      </c>
      <c r="O7" s="7">
        <v>936.98699999999997</v>
      </c>
      <c r="P7" s="7">
        <v>119.738</v>
      </c>
      <c r="Q7" s="7">
        <v>556.55200000000002</v>
      </c>
      <c r="R7" s="7">
        <v>339.97899999999998</v>
      </c>
      <c r="S7" s="7">
        <v>6434.0259999999998</v>
      </c>
      <c r="T7" s="7">
        <v>2.5999999999999999E-2</v>
      </c>
      <c r="U7" s="7">
        <v>6039.7079999999996</v>
      </c>
      <c r="V7" s="7">
        <v>2659.1819999999998</v>
      </c>
      <c r="W7" s="7">
        <v>5540.674</v>
      </c>
      <c r="X7" s="7">
        <v>293.01499999999999</v>
      </c>
      <c r="Y7" s="7">
        <v>68027.175000000003</v>
      </c>
      <c r="Z7" s="7">
        <v>2433.6129999999998</v>
      </c>
      <c r="AA7" s="7">
        <v>32880.872000000003</v>
      </c>
      <c r="AB7" s="7">
        <v>30509.255000000001</v>
      </c>
      <c r="AC7" s="7">
        <v>4638.4989999999998</v>
      </c>
      <c r="AD7" s="7">
        <v>2154.6529999999998</v>
      </c>
      <c r="AE7" s="7">
        <v>222254.88200000001</v>
      </c>
      <c r="AF7" s="7">
        <v>88747.053</v>
      </c>
      <c r="AG7" s="7">
        <v>13302.828</v>
      </c>
      <c r="AH7" s="7">
        <v>495136.36599999998</v>
      </c>
      <c r="AI7" s="7">
        <v>128905.442</v>
      </c>
      <c r="AJ7" s="7">
        <v>11986.927</v>
      </c>
      <c r="AK7" s="7">
        <v>82429.180999999997</v>
      </c>
      <c r="AL7" s="7">
        <v>42132.328000000001</v>
      </c>
      <c r="AM7" s="7">
        <v>1586.02</v>
      </c>
      <c r="AN7" s="7">
        <v>27791.313999999998</v>
      </c>
      <c r="AO7" s="7">
        <v>5584.8370000000004</v>
      </c>
      <c r="AP7" s="7">
        <v>3476.2959999999998</v>
      </c>
      <c r="AQ7" s="7">
        <v>58112.057000000001</v>
      </c>
      <c r="AR7" s="7">
        <v>1487.36</v>
      </c>
      <c r="AS7" s="7">
        <v>114.313</v>
      </c>
      <c r="AT7" s="7">
        <v>0</v>
      </c>
      <c r="AU7" s="7">
        <v>6822.46</v>
      </c>
      <c r="AV7" s="7">
        <v>3047.45</v>
      </c>
      <c r="AW7" s="7">
        <v>7297.5590000000002</v>
      </c>
      <c r="AX7" s="7">
        <v>419.27800000000002</v>
      </c>
      <c r="AY7" s="7">
        <v>5825.9229999999998</v>
      </c>
      <c r="AZ7" s="7">
        <v>8045.527</v>
      </c>
      <c r="BA7" s="7">
        <v>2996.558</v>
      </c>
      <c r="BB7" s="7">
        <v>6482.8440000000001</v>
      </c>
      <c r="BC7" s="7">
        <v>2572.16</v>
      </c>
      <c r="BD7" s="7">
        <v>11852.205</v>
      </c>
      <c r="BE7" s="7">
        <v>1436.0609999999999</v>
      </c>
      <c r="BF7" s="7">
        <v>3753.85</v>
      </c>
      <c r="BG7" s="7">
        <v>8855.0830000000005</v>
      </c>
      <c r="BH7" s="7">
        <v>487.26799999999997</v>
      </c>
      <c r="BI7" s="21"/>
    </row>
    <row r="8" spans="1:61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81718.053</v>
      </c>
      <c r="F8" s="7">
        <v>13424.398999999999</v>
      </c>
      <c r="G8" s="7">
        <v>15061.856</v>
      </c>
      <c r="H8" s="7">
        <v>289.03699999999998</v>
      </c>
      <c r="I8" s="7">
        <v>4724.5950000000003</v>
      </c>
      <c r="J8" s="7">
        <v>6862.527</v>
      </c>
      <c r="K8" s="7">
        <v>0</v>
      </c>
      <c r="L8" s="7">
        <v>9929.5030000000006</v>
      </c>
      <c r="M8" s="7">
        <v>39736.417000000001</v>
      </c>
      <c r="N8" s="7">
        <v>0</v>
      </c>
      <c r="O8" s="7">
        <v>235.858</v>
      </c>
      <c r="P8" s="7">
        <v>715.63</v>
      </c>
      <c r="Q8" s="7">
        <v>155.42400000000001</v>
      </c>
      <c r="R8" s="7">
        <v>349.66800000000001</v>
      </c>
      <c r="S8" s="7">
        <v>650.25900000000001</v>
      </c>
      <c r="T8" s="7">
        <v>0</v>
      </c>
      <c r="U8" s="7">
        <v>0</v>
      </c>
      <c r="V8" s="7">
        <v>847.13099999999997</v>
      </c>
      <c r="W8" s="7">
        <v>2514.7640000000001</v>
      </c>
      <c r="X8" s="7">
        <v>3900.4450000000002</v>
      </c>
      <c r="Y8" s="7">
        <v>14834.064</v>
      </c>
      <c r="Z8" s="7">
        <v>2655.614</v>
      </c>
      <c r="AA8" s="7">
        <v>21229.931</v>
      </c>
      <c r="AB8" s="7">
        <v>6586.5290000000005</v>
      </c>
      <c r="AC8" s="7">
        <v>3238.127</v>
      </c>
      <c r="AD8" s="7">
        <v>1032.3679999999999</v>
      </c>
      <c r="AE8" s="7">
        <v>26668.722000000002</v>
      </c>
      <c r="AF8" s="7">
        <v>-17328.603999999999</v>
      </c>
      <c r="AG8" s="7">
        <v>5873.4610000000002</v>
      </c>
      <c r="AH8" s="7">
        <v>54951.864000000001</v>
      </c>
      <c r="AI8" s="7">
        <v>-22165.082999999999</v>
      </c>
      <c r="AJ8" s="7">
        <v>12338.436</v>
      </c>
      <c r="AK8" s="7">
        <v>55083.302000000003</v>
      </c>
      <c r="AL8" s="7">
        <v>26763.202000000001</v>
      </c>
      <c r="AM8" s="7">
        <v>0</v>
      </c>
      <c r="AN8" s="7">
        <v>18089.304</v>
      </c>
      <c r="AO8" s="7">
        <v>-135.55500000000001</v>
      </c>
      <c r="AP8" s="7">
        <v>11293.456</v>
      </c>
      <c r="AQ8" s="7">
        <v>-10239.41</v>
      </c>
      <c r="AR8" s="7">
        <v>2476.3429999999998</v>
      </c>
      <c r="AS8" s="7">
        <v>19.963000000000001</v>
      </c>
      <c r="AT8" s="7">
        <v>0</v>
      </c>
      <c r="AU8" s="7">
        <v>124.804</v>
      </c>
      <c r="AV8" s="7">
        <v>5727.9790000000003</v>
      </c>
      <c r="AW8" s="7">
        <v>15503.99</v>
      </c>
      <c r="AX8" s="7">
        <v>5596.3609999999999</v>
      </c>
      <c r="AY8" s="7">
        <v>403.00700000000001</v>
      </c>
      <c r="AZ8" s="7">
        <v>-993.21299999999997</v>
      </c>
      <c r="BA8" s="7">
        <v>4121.0330000000004</v>
      </c>
      <c r="BB8" s="7">
        <v>-129.26400000000001</v>
      </c>
      <c r="BC8" s="7">
        <v>297.185</v>
      </c>
      <c r="BD8" s="7">
        <v>-1325.8789999999999</v>
      </c>
      <c r="BE8" s="7">
        <v>-25.616</v>
      </c>
      <c r="BF8" s="7">
        <v>-451.815</v>
      </c>
      <c r="BG8" s="7">
        <v>8373.2870000000003</v>
      </c>
      <c r="BH8" s="7">
        <v>63.5</v>
      </c>
      <c r="BI8" s="21"/>
    </row>
    <row r="9" spans="1:61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141206.43299999999</v>
      </c>
      <c r="F9" s="7">
        <v>7246.2129999999997</v>
      </c>
      <c r="G9" s="7">
        <v>11066.886</v>
      </c>
      <c r="H9" s="7">
        <v>3485.067</v>
      </c>
      <c r="I9" s="7">
        <v>891.04</v>
      </c>
      <c r="J9" s="7">
        <v>6037.1189999999997</v>
      </c>
      <c r="K9" s="7">
        <v>2297.645</v>
      </c>
      <c r="L9" s="7">
        <v>144878.59099999999</v>
      </c>
      <c r="M9" s="7">
        <v>28217.592000000001</v>
      </c>
      <c r="N9" s="7">
        <v>31.856000000000002</v>
      </c>
      <c r="O9" s="7">
        <v>2020.393</v>
      </c>
      <c r="P9" s="7">
        <v>11.387</v>
      </c>
      <c r="Q9" s="7">
        <v>816.202</v>
      </c>
      <c r="R9" s="7">
        <v>1156.9259999999999</v>
      </c>
      <c r="S9" s="7">
        <v>3122.2179999999998</v>
      </c>
      <c r="T9" s="7">
        <v>8.9480000000000004</v>
      </c>
      <c r="U9" s="7">
        <v>2470.6</v>
      </c>
      <c r="V9" s="7">
        <v>7024.2129999999997</v>
      </c>
      <c r="W9" s="7">
        <v>8840.9459999999999</v>
      </c>
      <c r="X9" s="7">
        <v>7838.2160000000003</v>
      </c>
      <c r="Y9" s="7">
        <v>57983.233</v>
      </c>
      <c r="Z9" s="7">
        <v>3575.2429999999999</v>
      </c>
      <c r="AA9" s="7">
        <v>23656.335999999999</v>
      </c>
      <c r="AB9" s="7">
        <v>62925.389000000003</v>
      </c>
      <c r="AC9" s="7">
        <v>1883.115</v>
      </c>
      <c r="AD9" s="7">
        <v>3828.596</v>
      </c>
      <c r="AE9" s="7">
        <v>144877.67000000001</v>
      </c>
      <c r="AF9" s="7">
        <v>119008.724</v>
      </c>
      <c r="AG9" s="7">
        <v>23011.343000000001</v>
      </c>
      <c r="AH9" s="7">
        <v>262619.45199999999</v>
      </c>
      <c r="AI9" s="7">
        <v>104744.379</v>
      </c>
      <c r="AJ9" s="7">
        <v>17513.999</v>
      </c>
      <c r="AK9" s="7">
        <v>323716.16499999998</v>
      </c>
      <c r="AL9" s="7">
        <v>164505.21599999999</v>
      </c>
      <c r="AM9" s="7">
        <v>948.48099999999999</v>
      </c>
      <c r="AN9" s="7">
        <v>107147.655</v>
      </c>
      <c r="AO9" s="7">
        <v>6431.7039999999997</v>
      </c>
      <c r="AP9" s="7">
        <v>0</v>
      </c>
      <c r="AQ9" s="7">
        <v>19641.073</v>
      </c>
      <c r="AR9" s="7">
        <v>0</v>
      </c>
      <c r="AS9" s="7">
        <v>9.7829999999999995</v>
      </c>
      <c r="AT9" s="7">
        <v>0</v>
      </c>
      <c r="AU9" s="7">
        <v>157.45500000000001</v>
      </c>
      <c r="AV9" s="7">
        <v>0</v>
      </c>
      <c r="AW9" s="7">
        <v>0</v>
      </c>
      <c r="AX9" s="7">
        <v>13642.191000000001</v>
      </c>
      <c r="AY9" s="7">
        <v>380.84100000000001</v>
      </c>
      <c r="AZ9" s="7">
        <v>552.24900000000002</v>
      </c>
      <c r="BA9" s="7">
        <v>5715.5649999999996</v>
      </c>
      <c r="BB9" s="7">
        <v>348.56</v>
      </c>
      <c r="BC9" s="7">
        <v>176.72800000000001</v>
      </c>
      <c r="BD9" s="7">
        <v>727.92</v>
      </c>
      <c r="BE9" s="7">
        <v>101.479</v>
      </c>
      <c r="BF9" s="7">
        <v>250.46799999999999</v>
      </c>
      <c r="BG9" s="7">
        <v>7634.3819999999996</v>
      </c>
      <c r="BH9" s="7">
        <v>62.024000000000001</v>
      </c>
      <c r="BI9" s="21"/>
    </row>
    <row r="10" spans="1:61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723162.70200000005</v>
      </c>
      <c r="F10" s="7">
        <v>102988.82399999999</v>
      </c>
      <c r="G10" s="7">
        <v>0</v>
      </c>
      <c r="H10" s="7">
        <v>0</v>
      </c>
      <c r="I10" s="7">
        <v>2852.279</v>
      </c>
      <c r="J10" s="7">
        <v>0</v>
      </c>
      <c r="K10" s="7">
        <v>0</v>
      </c>
      <c r="L10" s="7">
        <v>1570242.5630000001</v>
      </c>
      <c r="M10" s="7">
        <v>36883.447999999997</v>
      </c>
      <c r="N10" s="7">
        <v>0</v>
      </c>
      <c r="O10" s="7">
        <v>9365.4830000000002</v>
      </c>
      <c r="P10" s="7">
        <v>0</v>
      </c>
      <c r="Q10" s="7">
        <v>5281.39</v>
      </c>
      <c r="R10" s="7">
        <v>1196.4380000000001</v>
      </c>
      <c r="S10" s="7">
        <v>33174.925000000003</v>
      </c>
      <c r="T10" s="7">
        <v>0</v>
      </c>
      <c r="U10" s="7">
        <v>0</v>
      </c>
      <c r="V10" s="7">
        <v>0</v>
      </c>
      <c r="W10" s="7">
        <v>12796.929</v>
      </c>
      <c r="X10" s="7">
        <v>77453.172000000006</v>
      </c>
      <c r="Y10" s="7">
        <v>367020.48700000002</v>
      </c>
      <c r="Z10" s="7">
        <v>29387.106</v>
      </c>
      <c r="AA10" s="7">
        <v>64272.563999999998</v>
      </c>
      <c r="AB10" s="7">
        <v>346352.20699999999</v>
      </c>
      <c r="AC10" s="7">
        <v>23289.183000000001</v>
      </c>
      <c r="AD10" s="7">
        <v>14486.186</v>
      </c>
      <c r="AE10" s="7">
        <v>1078281.5830000001</v>
      </c>
      <c r="AF10" s="7">
        <v>994643.05200000003</v>
      </c>
      <c r="AG10" s="7">
        <v>91978.047999999995</v>
      </c>
      <c r="AH10" s="7">
        <v>2660360.1069999998</v>
      </c>
      <c r="AI10" s="7">
        <v>1442354.5789999999</v>
      </c>
      <c r="AJ10" s="7">
        <v>145560.853</v>
      </c>
      <c r="AK10" s="7">
        <v>5645836.9869999997</v>
      </c>
      <c r="AL10" s="7">
        <v>2885677.4939999999</v>
      </c>
      <c r="AM10" s="7">
        <v>0</v>
      </c>
      <c r="AN10" s="7">
        <v>1903578.4909999999</v>
      </c>
      <c r="AO10" s="7">
        <v>33882.983</v>
      </c>
      <c r="AP10" s="7">
        <v>0</v>
      </c>
      <c r="AQ10" s="7">
        <v>411873.71299999999</v>
      </c>
      <c r="AR10" s="7">
        <v>0</v>
      </c>
      <c r="AS10" s="7">
        <v>335.82299999999998</v>
      </c>
      <c r="AT10" s="7">
        <v>0</v>
      </c>
      <c r="AU10" s="7">
        <v>2004.942</v>
      </c>
      <c r="AV10" s="7">
        <v>0</v>
      </c>
      <c r="AW10" s="7">
        <v>0</v>
      </c>
      <c r="AX10" s="7">
        <v>111979.724</v>
      </c>
      <c r="AY10" s="7">
        <v>0</v>
      </c>
      <c r="AZ10" s="7">
        <v>0</v>
      </c>
      <c r="BA10" s="7">
        <v>82887.997000000003</v>
      </c>
      <c r="BB10" s="7">
        <v>15636.939</v>
      </c>
      <c r="BC10" s="7">
        <v>0</v>
      </c>
      <c r="BD10" s="7">
        <v>0</v>
      </c>
      <c r="BE10" s="7">
        <v>4533.4059999999999</v>
      </c>
      <c r="BF10" s="7">
        <v>0</v>
      </c>
      <c r="BG10" s="7">
        <v>82592.346999999994</v>
      </c>
      <c r="BH10" s="7">
        <v>0</v>
      </c>
      <c r="BI10" s="21"/>
    </row>
    <row r="11" spans="1:61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21"/>
    </row>
    <row r="12" spans="1:61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21"/>
    </row>
    <row r="13" spans="1:61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123881.914</v>
      </c>
      <c r="F13" s="7">
        <v>14894.231</v>
      </c>
      <c r="G13" s="7">
        <v>2818.3919999999998</v>
      </c>
      <c r="H13" s="7">
        <v>0</v>
      </c>
      <c r="I13" s="7">
        <v>751.96</v>
      </c>
      <c r="J13" s="7">
        <v>2513.0859999999998</v>
      </c>
      <c r="K13" s="7">
        <v>0</v>
      </c>
      <c r="L13" s="7">
        <v>214542.53700000001</v>
      </c>
      <c r="M13" s="7">
        <v>10255.66</v>
      </c>
      <c r="N13" s="7">
        <v>0</v>
      </c>
      <c r="O13" s="7">
        <v>411.238</v>
      </c>
      <c r="P13" s="7">
        <v>26.588000000000001</v>
      </c>
      <c r="Q13" s="7">
        <v>208.131</v>
      </c>
      <c r="R13" s="7">
        <v>11.651999999999999</v>
      </c>
      <c r="S13" s="7">
        <v>5087.9579999999996</v>
      </c>
      <c r="T13" s="7">
        <v>0</v>
      </c>
      <c r="U13" s="7">
        <v>0</v>
      </c>
      <c r="V13" s="7">
        <v>510.24700000000001</v>
      </c>
      <c r="W13" s="7">
        <v>2163.4270000000001</v>
      </c>
      <c r="X13" s="7">
        <v>9973.4519999999993</v>
      </c>
      <c r="Y13" s="7">
        <v>47802.974999999999</v>
      </c>
      <c r="Z13" s="7">
        <v>1273.0250000000001</v>
      </c>
      <c r="AA13" s="7">
        <v>12607.864</v>
      </c>
      <c r="AB13" s="7">
        <v>16160.397000000001</v>
      </c>
      <c r="AC13" s="7">
        <v>3261.848</v>
      </c>
      <c r="AD13" s="7">
        <v>256.983</v>
      </c>
      <c r="AE13" s="7">
        <v>139329.204</v>
      </c>
      <c r="AF13" s="7">
        <v>114000.417</v>
      </c>
      <c r="AG13" s="7">
        <v>1859.8869999999999</v>
      </c>
      <c r="AH13" s="7">
        <v>353647.13900000002</v>
      </c>
      <c r="AI13" s="7">
        <v>165651.696</v>
      </c>
      <c r="AJ13" s="7">
        <v>6618.567</v>
      </c>
      <c r="AK13" s="7">
        <v>421073.42700000003</v>
      </c>
      <c r="AL13" s="7">
        <v>215217.35500000001</v>
      </c>
      <c r="AM13" s="7">
        <v>0</v>
      </c>
      <c r="AN13" s="7">
        <v>141971.21100000001</v>
      </c>
      <c r="AO13" s="7">
        <v>4654.7150000000001</v>
      </c>
      <c r="AP13" s="7">
        <v>0</v>
      </c>
      <c r="AQ13" s="7">
        <v>47055.196000000004</v>
      </c>
      <c r="AR13" s="7">
        <v>0</v>
      </c>
      <c r="AS13" s="7">
        <v>43.393000000000001</v>
      </c>
      <c r="AT13" s="7">
        <v>0</v>
      </c>
      <c r="AU13" s="7">
        <v>296.99400000000003</v>
      </c>
      <c r="AV13" s="7">
        <v>0</v>
      </c>
      <c r="AW13" s="7">
        <v>0</v>
      </c>
      <c r="AX13" s="7">
        <v>14419.351000000001</v>
      </c>
      <c r="AY13" s="7">
        <v>207.02699999999999</v>
      </c>
      <c r="AZ13" s="7">
        <v>1497.047</v>
      </c>
      <c r="BA13" s="7">
        <v>10673.281000000001</v>
      </c>
      <c r="BB13" s="7">
        <v>2151.5680000000002</v>
      </c>
      <c r="BC13" s="7">
        <v>79.158000000000001</v>
      </c>
      <c r="BD13" s="7">
        <v>1973.26</v>
      </c>
      <c r="BE13" s="7">
        <v>625.35799999999995</v>
      </c>
      <c r="BF13" s="7">
        <v>678.97400000000005</v>
      </c>
      <c r="BG13" s="7">
        <v>3589.5479999999998</v>
      </c>
      <c r="BH13" s="7">
        <v>27.67</v>
      </c>
      <c r="BI13" s="21"/>
    </row>
    <row r="14" spans="1:61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28.058</v>
      </c>
      <c r="F14" s="7">
        <v>3.8820000000000001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125.07899999999999</v>
      </c>
      <c r="M14" s="7">
        <v>9.2840000000000007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8.5690000000000008</v>
      </c>
      <c r="AF14" s="7">
        <v>1.276</v>
      </c>
      <c r="AG14" s="7">
        <v>0</v>
      </c>
      <c r="AH14" s="7">
        <v>80.313999999999993</v>
      </c>
      <c r="AI14" s="7">
        <v>0.86499999999999999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21"/>
    </row>
    <row r="15" spans="1:61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35464.557000000001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16216.066999999999</v>
      </c>
      <c r="M15" s="7">
        <v>23855.249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0.02</v>
      </c>
      <c r="Y15" s="7">
        <v>5506.7529999999997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23775.095000000001</v>
      </c>
      <c r="AF15" s="7">
        <v>16205.433999999999</v>
      </c>
      <c r="AG15" s="7">
        <v>0</v>
      </c>
      <c r="AH15" s="7">
        <v>54137.114999999998</v>
      </c>
      <c r="AI15" s="7">
        <v>57134.817000000003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6346.0649999999996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21"/>
    </row>
    <row r="16" spans="1:61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1127033.9569999999</v>
      </c>
      <c r="F16" s="7">
        <v>81760.854999999996</v>
      </c>
      <c r="G16" s="7">
        <v>193857.45499999999</v>
      </c>
      <c r="H16" s="7">
        <v>0</v>
      </c>
      <c r="I16" s="7">
        <v>24198.363000000001</v>
      </c>
      <c r="J16" s="7">
        <v>121415.716</v>
      </c>
      <c r="K16" s="7">
        <v>0</v>
      </c>
      <c r="L16" s="7">
        <v>399487.81</v>
      </c>
      <c r="M16" s="7">
        <v>282638.00699999998</v>
      </c>
      <c r="N16" s="7">
        <v>0</v>
      </c>
      <c r="O16" s="7">
        <v>0</v>
      </c>
      <c r="P16" s="7">
        <v>13187.983</v>
      </c>
      <c r="Q16" s="7">
        <v>903.00599999999997</v>
      </c>
      <c r="R16" s="7">
        <v>1303.48</v>
      </c>
      <c r="S16" s="7">
        <v>25316.397000000001</v>
      </c>
      <c r="T16" s="7">
        <v>0</v>
      </c>
      <c r="U16" s="7">
        <v>0</v>
      </c>
      <c r="V16" s="7">
        <v>18165.87</v>
      </c>
      <c r="W16" s="7">
        <v>25796.38</v>
      </c>
      <c r="X16" s="7">
        <v>0</v>
      </c>
      <c r="Y16" s="7">
        <v>247958.69</v>
      </c>
      <c r="Z16" s="7">
        <v>0</v>
      </c>
      <c r="AA16" s="7">
        <v>250845.095</v>
      </c>
      <c r="AB16" s="7">
        <v>0</v>
      </c>
      <c r="AC16" s="7">
        <v>11246.038</v>
      </c>
      <c r="AD16" s="7">
        <v>6585.7719999999999</v>
      </c>
      <c r="AE16" s="7">
        <v>698672.1</v>
      </c>
      <c r="AF16" s="7">
        <v>0</v>
      </c>
      <c r="AG16" s="7">
        <v>29558.664000000001</v>
      </c>
      <c r="AH16" s="7">
        <v>1372044.827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18039.841</v>
      </c>
      <c r="AP16" s="7">
        <v>0</v>
      </c>
      <c r="AQ16" s="7">
        <v>0</v>
      </c>
      <c r="AR16" s="7">
        <v>0</v>
      </c>
      <c r="AS16" s="7">
        <v>695.28899999999999</v>
      </c>
      <c r="AT16" s="7">
        <v>0</v>
      </c>
      <c r="AU16" s="7">
        <v>15477.085999999999</v>
      </c>
      <c r="AV16" s="7">
        <v>0</v>
      </c>
      <c r="AW16" s="7">
        <v>0</v>
      </c>
      <c r="AX16" s="7">
        <v>0</v>
      </c>
      <c r="AY16" s="7">
        <v>17664.042000000001</v>
      </c>
      <c r="AZ16" s="7">
        <v>0</v>
      </c>
      <c r="BA16" s="7">
        <v>0</v>
      </c>
      <c r="BB16" s="7">
        <v>9010.3469999999998</v>
      </c>
      <c r="BC16" s="7">
        <v>7368.4719999999998</v>
      </c>
      <c r="BD16" s="7">
        <v>0</v>
      </c>
      <c r="BE16" s="7">
        <v>2431.4929999999999</v>
      </c>
      <c r="BF16" s="7">
        <v>0</v>
      </c>
      <c r="BG16" s="7">
        <v>0</v>
      </c>
      <c r="BH16" s="7">
        <v>2485.1089999999999</v>
      </c>
      <c r="BI16" s="21"/>
    </row>
    <row r="17" spans="1:61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21"/>
    </row>
    <row r="18" spans="1:61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1020723.341</v>
      </c>
      <c r="F18" s="7">
        <v>75931.379000000001</v>
      </c>
      <c r="G18" s="7">
        <v>171300.94099999999</v>
      </c>
      <c r="H18" s="7">
        <v>0</v>
      </c>
      <c r="I18" s="7">
        <v>21484.758999999998</v>
      </c>
      <c r="J18" s="7">
        <v>107288.24800000001</v>
      </c>
      <c r="K18" s="7">
        <v>56572.54</v>
      </c>
      <c r="L18" s="7">
        <v>409172.42700000003</v>
      </c>
      <c r="M18" s="7">
        <v>251070.64600000001</v>
      </c>
      <c r="N18" s="7">
        <v>12544.677</v>
      </c>
      <c r="O18" s="7">
        <v>0</v>
      </c>
      <c r="P18" s="7">
        <v>0</v>
      </c>
      <c r="Q18" s="7">
        <v>1399.3</v>
      </c>
      <c r="R18" s="7">
        <v>2019.88</v>
      </c>
      <c r="S18" s="7">
        <v>23557.341</v>
      </c>
      <c r="T18" s="7">
        <v>0</v>
      </c>
      <c r="U18" s="7">
        <v>44992.987999999998</v>
      </c>
      <c r="V18" s="7">
        <v>16052.159</v>
      </c>
      <c r="W18" s="7">
        <v>23252.559000000001</v>
      </c>
      <c r="X18" s="7">
        <v>0</v>
      </c>
      <c r="Y18" s="7">
        <v>232057.48800000001</v>
      </c>
      <c r="Z18" s="7">
        <v>0</v>
      </c>
      <c r="AA18" s="7">
        <v>223936.929</v>
      </c>
      <c r="AB18" s="7">
        <v>0</v>
      </c>
      <c r="AC18" s="7">
        <v>10770.546</v>
      </c>
      <c r="AD18" s="7">
        <v>5819.4769999999999</v>
      </c>
      <c r="AE18" s="7">
        <v>654717.201</v>
      </c>
      <c r="AF18" s="7">
        <v>35578.307999999997</v>
      </c>
      <c r="AG18" s="7">
        <v>26119.330999999998</v>
      </c>
      <c r="AH18" s="7">
        <v>1307625.28</v>
      </c>
      <c r="AI18" s="7">
        <v>51592.947</v>
      </c>
      <c r="AJ18" s="7">
        <v>0</v>
      </c>
      <c r="AK18" s="7">
        <v>0</v>
      </c>
      <c r="AL18" s="7">
        <v>0</v>
      </c>
      <c r="AM18" s="7">
        <v>11820.678</v>
      </c>
      <c r="AN18" s="7">
        <v>0</v>
      </c>
      <c r="AO18" s="7">
        <v>17152.789000000001</v>
      </c>
      <c r="AP18" s="7">
        <v>0</v>
      </c>
      <c r="AQ18" s="7">
        <v>14732.700999999999</v>
      </c>
      <c r="AR18" s="7">
        <v>0</v>
      </c>
      <c r="AS18" s="7">
        <v>626.399</v>
      </c>
      <c r="AT18" s="7">
        <v>0</v>
      </c>
      <c r="AU18" s="7">
        <v>14502.829</v>
      </c>
      <c r="AV18" s="7">
        <v>0</v>
      </c>
      <c r="AW18" s="7">
        <v>0</v>
      </c>
      <c r="AX18" s="7">
        <v>0</v>
      </c>
      <c r="AY18" s="7">
        <v>15608.721</v>
      </c>
      <c r="AZ18" s="7">
        <v>0</v>
      </c>
      <c r="BA18" s="7">
        <v>0</v>
      </c>
      <c r="BB18" s="7">
        <v>8521.268</v>
      </c>
      <c r="BC18" s="7">
        <v>6511.1040000000003</v>
      </c>
      <c r="BD18" s="7">
        <v>0</v>
      </c>
      <c r="BE18" s="7">
        <v>2310.73</v>
      </c>
      <c r="BF18" s="7">
        <v>0</v>
      </c>
      <c r="BG18" s="7">
        <v>0</v>
      </c>
      <c r="BH18" s="7">
        <v>2195.9520000000002</v>
      </c>
      <c r="BI18" s="21"/>
    </row>
    <row r="19" spans="1:61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21"/>
    </row>
    <row r="20" spans="1:61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151498.89300000001</v>
      </c>
      <c r="F20" s="7">
        <v>22480.078000000001</v>
      </c>
      <c r="G20" s="7">
        <v>0</v>
      </c>
      <c r="H20" s="7">
        <v>0</v>
      </c>
      <c r="I20" s="7">
        <v>622.58600000000001</v>
      </c>
      <c r="J20" s="7">
        <v>0</v>
      </c>
      <c r="K20" s="7">
        <v>122466.79</v>
      </c>
      <c r="L20" s="7">
        <v>342747.65</v>
      </c>
      <c r="M20" s="7">
        <v>8050.8059999999996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7241.3190000000004</v>
      </c>
      <c r="T20" s="7">
        <v>1015.297</v>
      </c>
      <c r="U20" s="7">
        <v>97399.672000000006</v>
      </c>
      <c r="V20" s="7">
        <v>0</v>
      </c>
      <c r="W20" s="7">
        <v>2793.2739999999999</v>
      </c>
      <c r="X20" s="7">
        <v>31329.251</v>
      </c>
      <c r="Y20" s="7">
        <v>79026.031000000003</v>
      </c>
      <c r="Z20" s="7">
        <v>0</v>
      </c>
      <c r="AA20" s="7">
        <v>13908.317999999999</v>
      </c>
      <c r="AB20" s="7">
        <v>0</v>
      </c>
      <c r="AC20" s="7">
        <v>5083.491</v>
      </c>
      <c r="AD20" s="7">
        <v>0</v>
      </c>
      <c r="AE20" s="7">
        <v>227857.247</v>
      </c>
      <c r="AF20" s="7">
        <v>217107.45600000001</v>
      </c>
      <c r="AG20" s="7">
        <v>0</v>
      </c>
      <c r="AH20" s="7">
        <v>579847.00899999996</v>
      </c>
      <c r="AI20" s="7">
        <v>314832.65999999997</v>
      </c>
      <c r="AJ20" s="7">
        <v>0</v>
      </c>
      <c r="AK20" s="7">
        <v>0</v>
      </c>
      <c r="AL20" s="7">
        <v>0</v>
      </c>
      <c r="AM20" s="7">
        <v>25589.1</v>
      </c>
      <c r="AN20" s="7">
        <v>0</v>
      </c>
      <c r="AO20" s="7">
        <v>7395.8710000000001</v>
      </c>
      <c r="AP20" s="7">
        <v>0</v>
      </c>
      <c r="AQ20" s="7">
        <v>89902.51</v>
      </c>
      <c r="AR20" s="7">
        <v>0</v>
      </c>
      <c r="AS20" s="7">
        <v>73.304000000000002</v>
      </c>
      <c r="AT20" s="7">
        <v>0</v>
      </c>
      <c r="AU20" s="7">
        <v>521.21600000000001</v>
      </c>
      <c r="AV20" s="7">
        <v>0</v>
      </c>
      <c r="AW20" s="7">
        <v>0</v>
      </c>
      <c r="AX20" s="7">
        <v>45294.991999999998</v>
      </c>
      <c r="AY20" s="7">
        <v>0</v>
      </c>
      <c r="AZ20" s="7">
        <v>0</v>
      </c>
      <c r="BA20" s="7">
        <v>33527.599999999999</v>
      </c>
      <c r="BB20" s="7">
        <v>3413.1840000000002</v>
      </c>
      <c r="BC20" s="7">
        <v>0</v>
      </c>
      <c r="BD20" s="7">
        <v>0</v>
      </c>
      <c r="BE20" s="7">
        <v>989.53700000000003</v>
      </c>
      <c r="BF20" s="7">
        <v>0</v>
      </c>
      <c r="BG20" s="7">
        <v>0</v>
      </c>
      <c r="BH20" s="7">
        <v>0</v>
      </c>
      <c r="BI20" s="21"/>
    </row>
    <row r="21" spans="1:61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21"/>
    </row>
    <row r="22" spans="1:61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984103.77599999995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21"/>
    </row>
    <row r="23" spans="1:61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32776.124000000003</v>
      </c>
      <c r="F23" s="7">
        <v>2008.499</v>
      </c>
      <c r="G23" s="7">
        <v>6342.3879999999999</v>
      </c>
      <c r="H23" s="7">
        <v>0</v>
      </c>
      <c r="I23" s="7">
        <v>594.44600000000003</v>
      </c>
      <c r="J23" s="7">
        <v>4195.0680000000002</v>
      </c>
      <c r="K23" s="7">
        <v>0</v>
      </c>
      <c r="L23" s="7">
        <v>13669.261</v>
      </c>
      <c r="M23" s="7">
        <v>8763.0779999999995</v>
      </c>
      <c r="N23" s="7">
        <v>0</v>
      </c>
      <c r="O23" s="7">
        <v>0</v>
      </c>
      <c r="P23" s="7">
        <v>0</v>
      </c>
      <c r="Q23" s="7">
        <v>120.84099999999999</v>
      </c>
      <c r="R23" s="7">
        <v>311.84100000000001</v>
      </c>
      <c r="S23" s="7">
        <v>621.91099999999994</v>
      </c>
      <c r="T23" s="7">
        <v>0</v>
      </c>
      <c r="U23" s="7">
        <v>0</v>
      </c>
      <c r="V23" s="7">
        <v>446.25400000000002</v>
      </c>
      <c r="W23" s="7">
        <v>633.702</v>
      </c>
      <c r="X23" s="7">
        <v>0</v>
      </c>
      <c r="Y23" s="7">
        <v>6091.2380000000003</v>
      </c>
      <c r="Z23" s="7">
        <v>0</v>
      </c>
      <c r="AA23" s="7">
        <v>6162.1440000000002</v>
      </c>
      <c r="AB23" s="7">
        <v>0</v>
      </c>
      <c r="AC23" s="7">
        <v>276.26499999999999</v>
      </c>
      <c r="AD23" s="7">
        <v>161.78299999999999</v>
      </c>
      <c r="AE23" s="7">
        <v>17881.514999999999</v>
      </c>
      <c r="AF23" s="7">
        <v>0</v>
      </c>
      <c r="AG23" s="7">
        <v>726.12400000000002</v>
      </c>
      <c r="AH23" s="7">
        <v>37330.800000000003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443.15800000000002</v>
      </c>
      <c r="AP23" s="7">
        <v>0</v>
      </c>
      <c r="AQ23" s="7">
        <v>0</v>
      </c>
      <c r="AR23" s="7">
        <v>0</v>
      </c>
      <c r="AS23" s="7">
        <v>17.079999999999998</v>
      </c>
      <c r="AT23" s="7">
        <v>0</v>
      </c>
      <c r="AU23" s="7">
        <v>291.29000000000002</v>
      </c>
      <c r="AV23" s="7">
        <v>0</v>
      </c>
      <c r="AW23" s="7">
        <v>0</v>
      </c>
      <c r="AX23" s="7">
        <v>0</v>
      </c>
      <c r="AY23" s="7">
        <v>433.92700000000002</v>
      </c>
      <c r="AZ23" s="7">
        <v>0</v>
      </c>
      <c r="BA23" s="7">
        <v>0</v>
      </c>
      <c r="BB23" s="7">
        <v>221.34399999999999</v>
      </c>
      <c r="BC23" s="7">
        <v>181.01</v>
      </c>
      <c r="BD23" s="7">
        <v>0</v>
      </c>
      <c r="BE23" s="7">
        <v>59.731000000000002</v>
      </c>
      <c r="BF23" s="7">
        <v>0</v>
      </c>
      <c r="BG23" s="7">
        <v>7405.6760000000004</v>
      </c>
      <c r="BH23" s="7">
        <v>61.048000000000002</v>
      </c>
      <c r="BI23" s="21"/>
    </row>
    <row r="24" spans="1:61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88810.153999999995</v>
      </c>
      <c r="F24" s="7">
        <v>8892.7669999999998</v>
      </c>
      <c r="G24" s="7">
        <v>9099.2860000000001</v>
      </c>
      <c r="H24" s="7">
        <v>0</v>
      </c>
      <c r="I24" s="7">
        <v>1314.0070000000001</v>
      </c>
      <c r="J24" s="7">
        <v>6128.9440000000004</v>
      </c>
      <c r="K24" s="7">
        <v>0</v>
      </c>
      <c r="L24" s="7">
        <v>81053.804999999993</v>
      </c>
      <c r="M24" s="7">
        <v>16083.905000000001</v>
      </c>
      <c r="N24" s="7">
        <v>0</v>
      </c>
      <c r="O24" s="7">
        <v>151.77500000000001</v>
      </c>
      <c r="P24" s="7">
        <v>0</v>
      </c>
      <c r="Q24" s="7">
        <v>44.878999999999998</v>
      </c>
      <c r="R24" s="7">
        <v>0</v>
      </c>
      <c r="S24" s="7">
        <v>2835.5059999999999</v>
      </c>
      <c r="T24" s="7">
        <v>0</v>
      </c>
      <c r="U24" s="7">
        <v>0</v>
      </c>
      <c r="V24" s="7">
        <v>1214.778</v>
      </c>
      <c r="W24" s="7">
        <v>2704.6759999999999</v>
      </c>
      <c r="X24" s="7">
        <v>1077.953</v>
      </c>
      <c r="Y24" s="7">
        <v>33130.271000000001</v>
      </c>
      <c r="Z24" s="7">
        <v>335.41</v>
      </c>
      <c r="AA24" s="7">
        <v>8423.8860000000004</v>
      </c>
      <c r="AB24" s="7">
        <v>3826.63</v>
      </c>
      <c r="AC24" s="7">
        <v>1748.596</v>
      </c>
      <c r="AD24" s="7">
        <v>199.86099999999999</v>
      </c>
      <c r="AE24" s="7">
        <v>120524.19899999999</v>
      </c>
      <c r="AF24" s="7">
        <v>11648.772000000001</v>
      </c>
      <c r="AG24" s="7">
        <v>1561.5920000000001</v>
      </c>
      <c r="AH24" s="7">
        <v>214831.74100000001</v>
      </c>
      <c r="AI24" s="7">
        <v>16892.159</v>
      </c>
      <c r="AJ24" s="7">
        <v>1751.019</v>
      </c>
      <c r="AK24" s="7">
        <v>1250797.797</v>
      </c>
      <c r="AL24" s="7">
        <v>639302.73899999994</v>
      </c>
      <c r="AM24" s="7">
        <v>0</v>
      </c>
      <c r="AN24" s="7">
        <v>421725.20899999997</v>
      </c>
      <c r="AO24" s="7">
        <v>1442.7460000000001</v>
      </c>
      <c r="AP24" s="7">
        <v>0</v>
      </c>
      <c r="AQ24" s="7">
        <v>4823.6660000000002</v>
      </c>
      <c r="AR24" s="7">
        <v>0</v>
      </c>
      <c r="AS24" s="7">
        <v>9.8260000000000005</v>
      </c>
      <c r="AT24" s="7">
        <v>0</v>
      </c>
      <c r="AU24" s="7">
        <v>152.52000000000001</v>
      </c>
      <c r="AV24" s="7">
        <v>0</v>
      </c>
      <c r="AW24" s="7">
        <v>0</v>
      </c>
      <c r="AX24" s="7">
        <v>1558.4749999999999</v>
      </c>
      <c r="AY24" s="7">
        <v>61.463999999999999</v>
      </c>
      <c r="AZ24" s="7">
        <v>0</v>
      </c>
      <c r="BA24" s="7">
        <v>1153.5920000000001</v>
      </c>
      <c r="BB24" s="7">
        <v>691.44</v>
      </c>
      <c r="BC24" s="7">
        <v>25.638999999999999</v>
      </c>
      <c r="BD24" s="7">
        <v>0</v>
      </c>
      <c r="BE24" s="7">
        <v>224.952</v>
      </c>
      <c r="BF24" s="7">
        <v>0</v>
      </c>
      <c r="BG24" s="7">
        <v>7732.4970000000003</v>
      </c>
      <c r="BH24" s="7">
        <v>8.6470000000000002</v>
      </c>
      <c r="BI24" s="21"/>
    </row>
    <row r="25" spans="1:61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21"/>
    </row>
    <row r="26" spans="1:61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21"/>
    </row>
    <row r="27" spans="1:61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21"/>
    </row>
    <row r="28" spans="1:61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21"/>
    </row>
    <row r="29" spans="1:61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21"/>
    </row>
    <row r="30" spans="1:61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21"/>
    </row>
    <row r="31" spans="1:61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21"/>
    </row>
    <row r="32" spans="1:61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21"/>
    </row>
    <row r="33" spans="1:61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21"/>
    </row>
    <row r="34" spans="1:61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21"/>
    </row>
    <row r="35" spans="1:61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21"/>
    </row>
    <row r="36" spans="1:61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21"/>
    </row>
    <row r="37" spans="1:61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21"/>
    </row>
    <row r="38" spans="1:61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1955.384</v>
      </c>
      <c r="F38" s="7">
        <v>285.55700000000002</v>
      </c>
      <c r="G38" s="7">
        <v>465.80099999999999</v>
      </c>
      <c r="H38" s="7">
        <v>0</v>
      </c>
      <c r="I38" s="7">
        <v>40.506</v>
      </c>
      <c r="J38" s="7">
        <v>269.09800000000001</v>
      </c>
      <c r="K38" s="7">
        <v>3173.415</v>
      </c>
      <c r="L38" s="7">
        <v>669.58399999999995</v>
      </c>
      <c r="M38" s="7">
        <v>933.51599999999996</v>
      </c>
      <c r="N38" s="7">
        <v>0</v>
      </c>
      <c r="O38" s="7">
        <v>0</v>
      </c>
      <c r="P38" s="7">
        <v>2.5000000000000001E-2</v>
      </c>
      <c r="Q38" s="7">
        <v>0</v>
      </c>
      <c r="R38" s="7">
        <v>0</v>
      </c>
      <c r="S38" s="7">
        <v>133.459</v>
      </c>
      <c r="T38" s="7">
        <v>0</v>
      </c>
      <c r="U38" s="7">
        <v>2523.8649999999998</v>
      </c>
      <c r="V38" s="7">
        <v>69.926000000000002</v>
      </c>
      <c r="W38" s="7">
        <v>93.563000000000002</v>
      </c>
      <c r="X38" s="7">
        <v>0</v>
      </c>
      <c r="Y38" s="7">
        <v>304.80799999999999</v>
      </c>
      <c r="Z38" s="7">
        <v>0</v>
      </c>
      <c r="AA38" s="7">
        <v>546.87599999999998</v>
      </c>
      <c r="AB38" s="7">
        <v>0</v>
      </c>
      <c r="AC38" s="7">
        <v>45.771999999999998</v>
      </c>
      <c r="AD38" s="7">
        <v>0</v>
      </c>
      <c r="AE38" s="7">
        <v>312.24299999999999</v>
      </c>
      <c r="AF38" s="7">
        <v>0</v>
      </c>
      <c r="AG38" s="7">
        <v>0</v>
      </c>
      <c r="AH38" s="7">
        <v>1594.8420000000001</v>
      </c>
      <c r="AI38" s="7">
        <v>0</v>
      </c>
      <c r="AJ38" s="7">
        <v>0</v>
      </c>
      <c r="AK38" s="7">
        <v>0</v>
      </c>
      <c r="AL38" s="7">
        <v>0</v>
      </c>
      <c r="AM38" s="7">
        <v>663.07600000000002</v>
      </c>
      <c r="AN38" s="7">
        <v>0</v>
      </c>
      <c r="AO38" s="7">
        <v>61.033999999999999</v>
      </c>
      <c r="AP38" s="7">
        <v>0</v>
      </c>
      <c r="AQ38" s="7">
        <v>0</v>
      </c>
      <c r="AR38" s="7">
        <v>0</v>
      </c>
      <c r="AS38" s="7">
        <v>1.1990000000000001</v>
      </c>
      <c r="AT38" s="7">
        <v>0</v>
      </c>
      <c r="AU38" s="7">
        <v>32.009</v>
      </c>
      <c r="AV38" s="7">
        <v>0</v>
      </c>
      <c r="AW38" s="7">
        <v>0</v>
      </c>
      <c r="AX38" s="7">
        <v>0</v>
      </c>
      <c r="AY38" s="7">
        <v>79.207999999999998</v>
      </c>
      <c r="AZ38" s="7">
        <v>0</v>
      </c>
      <c r="BA38" s="7">
        <v>0</v>
      </c>
      <c r="BB38" s="7">
        <v>28.606999999999999</v>
      </c>
      <c r="BC38" s="7">
        <v>39.125999999999998</v>
      </c>
      <c r="BD38" s="7">
        <v>0</v>
      </c>
      <c r="BE38" s="7">
        <v>8.4120000000000008</v>
      </c>
      <c r="BF38" s="7">
        <v>0</v>
      </c>
      <c r="BG38" s="7">
        <v>0</v>
      </c>
      <c r="BH38" s="7">
        <v>13.72</v>
      </c>
      <c r="BI38" s="21"/>
    </row>
    <row r="39" spans="1:61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21"/>
    </row>
    <row r="40" spans="1:61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21"/>
    </row>
    <row r="41" spans="1:61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21"/>
    </row>
    <row r="42" spans="1:61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21"/>
    </row>
    <row r="43" spans="1:61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21"/>
    </row>
    <row r="44" spans="1:61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21"/>
    </row>
    <row r="45" spans="1:61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21"/>
    </row>
    <row r="46" spans="1:61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21"/>
    </row>
    <row r="47" spans="1:61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1464.944</v>
      </c>
      <c r="F47" s="7">
        <v>213.935</v>
      </c>
      <c r="G47" s="7">
        <v>348.971</v>
      </c>
      <c r="H47" s="7">
        <v>0</v>
      </c>
      <c r="I47" s="7">
        <v>30.347000000000001</v>
      </c>
      <c r="J47" s="7">
        <v>201.60499999999999</v>
      </c>
      <c r="K47" s="7">
        <v>8024.2089999999998</v>
      </c>
      <c r="L47" s="7">
        <v>501.64299999999997</v>
      </c>
      <c r="M47" s="7">
        <v>699.37699999999995</v>
      </c>
      <c r="N47" s="7">
        <v>0</v>
      </c>
      <c r="O47" s="7">
        <v>0</v>
      </c>
      <c r="P47" s="7">
        <v>1.7999999999999999E-2</v>
      </c>
      <c r="Q47" s="7">
        <v>0</v>
      </c>
      <c r="R47" s="7">
        <v>0</v>
      </c>
      <c r="S47" s="7">
        <v>99.984999999999999</v>
      </c>
      <c r="T47" s="7">
        <v>0</v>
      </c>
      <c r="U47" s="7">
        <v>6381.7730000000001</v>
      </c>
      <c r="V47" s="7">
        <v>52.387999999999998</v>
      </c>
      <c r="W47" s="7">
        <v>70.096000000000004</v>
      </c>
      <c r="X47" s="7">
        <v>0</v>
      </c>
      <c r="Y47" s="7">
        <v>228.358</v>
      </c>
      <c r="Z47" s="7">
        <v>0</v>
      </c>
      <c r="AA47" s="7">
        <v>409.71100000000001</v>
      </c>
      <c r="AB47" s="7">
        <v>0</v>
      </c>
      <c r="AC47" s="7">
        <v>34.292000000000002</v>
      </c>
      <c r="AD47" s="7">
        <v>0</v>
      </c>
      <c r="AE47" s="7">
        <v>233.928</v>
      </c>
      <c r="AF47" s="7">
        <v>0</v>
      </c>
      <c r="AG47" s="7">
        <v>0</v>
      </c>
      <c r="AH47" s="7">
        <v>1226.4490000000001</v>
      </c>
      <c r="AI47" s="7">
        <v>0</v>
      </c>
      <c r="AJ47" s="7">
        <v>0</v>
      </c>
      <c r="AK47" s="7">
        <v>0</v>
      </c>
      <c r="AL47" s="7">
        <v>0</v>
      </c>
      <c r="AM47" s="7">
        <v>1676.6369999999999</v>
      </c>
      <c r="AN47" s="7">
        <v>0</v>
      </c>
      <c r="AO47" s="7">
        <v>45.725999999999999</v>
      </c>
      <c r="AP47" s="7">
        <v>0</v>
      </c>
      <c r="AQ47" s="7">
        <v>0</v>
      </c>
      <c r="AR47" s="7">
        <v>0</v>
      </c>
      <c r="AS47" s="7">
        <v>0.89800000000000002</v>
      </c>
      <c r="AT47" s="7">
        <v>0</v>
      </c>
      <c r="AU47" s="7">
        <v>27.835000000000001</v>
      </c>
      <c r="AV47" s="7">
        <v>0</v>
      </c>
      <c r="AW47" s="7">
        <v>0</v>
      </c>
      <c r="AX47" s="7">
        <v>0</v>
      </c>
      <c r="AY47" s="7">
        <v>59.341999999999999</v>
      </c>
      <c r="AZ47" s="7">
        <v>0</v>
      </c>
      <c r="BA47" s="7">
        <v>0</v>
      </c>
      <c r="BB47" s="7">
        <v>21.431999999999999</v>
      </c>
      <c r="BC47" s="7">
        <v>29.312999999999999</v>
      </c>
      <c r="BD47" s="7">
        <v>0</v>
      </c>
      <c r="BE47" s="7">
        <v>6.3019999999999996</v>
      </c>
      <c r="BF47" s="7">
        <v>0</v>
      </c>
      <c r="BG47" s="7">
        <v>0</v>
      </c>
      <c r="BH47" s="7">
        <v>10.279</v>
      </c>
      <c r="BI47" s="21"/>
    </row>
    <row r="48" spans="1:61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21"/>
    </row>
    <row r="49" spans="1:61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21"/>
    </row>
    <row r="50" spans="1:61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21"/>
    </row>
    <row r="51" spans="1:61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21"/>
    </row>
    <row r="52" spans="1:61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21"/>
    </row>
    <row r="53" spans="1:61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21"/>
    </row>
    <row r="54" spans="1:61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21"/>
    </row>
    <row r="55" spans="1:61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21"/>
    </row>
    <row r="56" spans="1:61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21"/>
    </row>
    <row r="57" spans="1:61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21"/>
    </row>
    <row r="58" spans="1:61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21"/>
    </row>
    <row r="59" spans="1:61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21"/>
    </row>
    <row r="60" spans="1:61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21"/>
    </row>
    <row r="61" spans="1:61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21"/>
    </row>
    <row r="62" spans="1:61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1023875.379</v>
      </c>
      <c r="F62" s="7">
        <v>102805.185</v>
      </c>
      <c r="G62" s="7">
        <v>228719.9</v>
      </c>
      <c r="H62" s="7">
        <v>0</v>
      </c>
      <c r="I62" s="7">
        <v>18884.888999999999</v>
      </c>
      <c r="J62" s="7">
        <v>157228.652</v>
      </c>
      <c r="K62" s="7">
        <v>0</v>
      </c>
      <c r="L62" s="7">
        <v>430446.40899999999</v>
      </c>
      <c r="M62" s="7">
        <v>470616.22200000001</v>
      </c>
      <c r="N62" s="7">
        <v>0</v>
      </c>
      <c r="O62" s="7">
        <v>0</v>
      </c>
      <c r="P62" s="7">
        <v>19.556000000000001</v>
      </c>
      <c r="Q62" s="7">
        <v>1871.845</v>
      </c>
      <c r="R62" s="7">
        <v>4830.4440000000004</v>
      </c>
      <c r="S62" s="7">
        <v>42143.281000000003</v>
      </c>
      <c r="T62" s="7">
        <v>0</v>
      </c>
      <c r="U62" s="7">
        <v>0</v>
      </c>
      <c r="V62" s="7">
        <v>27861.080999999998</v>
      </c>
      <c r="W62" s="7">
        <v>53481.481</v>
      </c>
      <c r="X62" s="7">
        <v>0</v>
      </c>
      <c r="Y62" s="7">
        <v>216700.22200000001</v>
      </c>
      <c r="Z62" s="7">
        <v>0</v>
      </c>
      <c r="AA62" s="7">
        <v>249297.35200000001</v>
      </c>
      <c r="AB62" s="7">
        <v>0</v>
      </c>
      <c r="AC62" s="7">
        <v>18356.853999999999</v>
      </c>
      <c r="AD62" s="7">
        <v>192.911</v>
      </c>
      <c r="AE62" s="7">
        <v>625442.31000000006</v>
      </c>
      <c r="AF62" s="7">
        <v>0</v>
      </c>
      <c r="AG62" s="7">
        <v>4.8659999999999997</v>
      </c>
      <c r="AH62" s="7">
        <v>1266154.4609999999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25246.584999999999</v>
      </c>
      <c r="AP62" s="7">
        <v>0</v>
      </c>
      <c r="AQ62" s="7">
        <v>0</v>
      </c>
      <c r="AR62" s="7">
        <v>0</v>
      </c>
      <c r="AS62" s="7">
        <v>282.15300000000002</v>
      </c>
      <c r="AT62" s="7">
        <v>0</v>
      </c>
      <c r="AU62" s="7">
        <v>9317.8070000000007</v>
      </c>
      <c r="AV62" s="7">
        <v>0</v>
      </c>
      <c r="AW62" s="7">
        <v>0</v>
      </c>
      <c r="AX62" s="7">
        <v>0</v>
      </c>
      <c r="AY62" s="7">
        <v>32494.717000000001</v>
      </c>
      <c r="AZ62" s="7">
        <v>0</v>
      </c>
      <c r="BA62" s="7">
        <v>0</v>
      </c>
      <c r="BB62" s="7">
        <v>12069.897999999999</v>
      </c>
      <c r="BC62" s="7">
        <v>16110.644</v>
      </c>
      <c r="BD62" s="7">
        <v>0</v>
      </c>
      <c r="BE62" s="7">
        <v>3590.1120000000001</v>
      </c>
      <c r="BF62" s="7">
        <v>0</v>
      </c>
      <c r="BG62" s="7">
        <v>0</v>
      </c>
      <c r="BH62" s="7">
        <v>5699.5510000000004</v>
      </c>
      <c r="BI62" s="21"/>
    </row>
    <row r="63" spans="1:61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4941.2719999999999</v>
      </c>
      <c r="F63" s="7">
        <v>712.30399999999997</v>
      </c>
      <c r="G63" s="7">
        <v>1174.06</v>
      </c>
      <c r="H63" s="7">
        <v>0</v>
      </c>
      <c r="I63" s="7">
        <v>101.896</v>
      </c>
      <c r="J63" s="7">
        <v>683.26499999999999</v>
      </c>
      <c r="K63" s="7">
        <v>0</v>
      </c>
      <c r="L63" s="7">
        <v>1707.9390000000001</v>
      </c>
      <c r="M63" s="7">
        <v>2355.3829999999998</v>
      </c>
      <c r="N63" s="7">
        <v>0</v>
      </c>
      <c r="O63" s="7">
        <v>0</v>
      </c>
      <c r="P63" s="7">
        <v>6.4000000000000001E-2</v>
      </c>
      <c r="Q63" s="7">
        <v>7.859</v>
      </c>
      <c r="R63" s="7">
        <v>20.28</v>
      </c>
      <c r="S63" s="7">
        <v>331.73</v>
      </c>
      <c r="T63" s="7">
        <v>0</v>
      </c>
      <c r="U63" s="7">
        <v>0</v>
      </c>
      <c r="V63" s="7">
        <v>174.96199999999999</v>
      </c>
      <c r="W63" s="7">
        <v>237.328</v>
      </c>
      <c r="X63" s="7">
        <v>0</v>
      </c>
      <c r="Y63" s="7">
        <v>781.61900000000003</v>
      </c>
      <c r="Z63" s="7">
        <v>0</v>
      </c>
      <c r="AA63" s="7">
        <v>1374.5830000000001</v>
      </c>
      <c r="AB63" s="7">
        <v>0</v>
      </c>
      <c r="AC63" s="7">
        <v>114.55</v>
      </c>
      <c r="AD63" s="7">
        <v>0</v>
      </c>
      <c r="AE63" s="7">
        <v>880.99699999999996</v>
      </c>
      <c r="AF63" s="7">
        <v>0</v>
      </c>
      <c r="AG63" s="7">
        <v>0</v>
      </c>
      <c r="AH63" s="7">
        <v>4072.9349999999999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152.89699999999999</v>
      </c>
      <c r="AP63" s="7">
        <v>0</v>
      </c>
      <c r="AQ63" s="7">
        <v>0</v>
      </c>
      <c r="AR63" s="7">
        <v>0</v>
      </c>
      <c r="AS63" s="7">
        <v>2.9609999999999999</v>
      </c>
      <c r="AT63" s="7">
        <v>0</v>
      </c>
      <c r="AU63" s="7">
        <v>74.085999999999999</v>
      </c>
      <c r="AV63" s="7">
        <v>0</v>
      </c>
      <c r="AW63" s="7">
        <v>0</v>
      </c>
      <c r="AX63" s="7">
        <v>0</v>
      </c>
      <c r="AY63" s="7">
        <v>198.37200000000001</v>
      </c>
      <c r="AZ63" s="7">
        <v>0</v>
      </c>
      <c r="BA63" s="7">
        <v>0</v>
      </c>
      <c r="BB63" s="7">
        <v>71.710999999999999</v>
      </c>
      <c r="BC63" s="7">
        <v>98.001000000000005</v>
      </c>
      <c r="BD63" s="7">
        <v>0</v>
      </c>
      <c r="BE63" s="7">
        <v>21.094999999999999</v>
      </c>
      <c r="BF63" s="7">
        <v>0</v>
      </c>
      <c r="BG63" s="7">
        <v>0</v>
      </c>
      <c r="BH63" s="7">
        <v>34.375</v>
      </c>
      <c r="BI63" s="21"/>
    </row>
    <row r="64" spans="1:61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285431.01</v>
      </c>
      <c r="F64" s="7">
        <v>32668.629000000001</v>
      </c>
      <c r="G64" s="7">
        <v>65064.275000000001</v>
      </c>
      <c r="H64" s="7">
        <v>0</v>
      </c>
      <c r="I64" s="7">
        <v>5464.1459999999997</v>
      </c>
      <c r="J64" s="7">
        <v>42430.614000000001</v>
      </c>
      <c r="K64" s="7">
        <v>11330.454</v>
      </c>
      <c r="L64" s="7">
        <v>113146.291</v>
      </c>
      <c r="M64" s="7">
        <v>132757.12899999999</v>
      </c>
      <c r="N64" s="7">
        <v>0</v>
      </c>
      <c r="O64" s="7">
        <v>0</v>
      </c>
      <c r="P64" s="7">
        <v>4.8810000000000002</v>
      </c>
      <c r="Q64" s="7">
        <v>688.86400000000003</v>
      </c>
      <c r="R64" s="7">
        <v>1777.675</v>
      </c>
      <c r="S64" s="7">
        <v>14128.870999999999</v>
      </c>
      <c r="T64" s="7">
        <v>0</v>
      </c>
      <c r="U64" s="7">
        <v>9011.2790000000005</v>
      </c>
      <c r="V64" s="7">
        <v>8518.1759999999995</v>
      </c>
      <c r="W64" s="7">
        <v>14523.97</v>
      </c>
      <c r="X64" s="7">
        <v>0</v>
      </c>
      <c r="Y64" s="7">
        <v>55510.841999999997</v>
      </c>
      <c r="Z64" s="7">
        <v>0</v>
      </c>
      <c r="AA64" s="7">
        <v>72677.966</v>
      </c>
      <c r="AB64" s="7">
        <v>0</v>
      </c>
      <c r="AC64" s="7">
        <v>5598.893</v>
      </c>
      <c r="AD64" s="7">
        <v>0</v>
      </c>
      <c r="AE64" s="7">
        <v>134715.633</v>
      </c>
      <c r="AF64" s="7">
        <v>0</v>
      </c>
      <c r="AG64" s="7">
        <v>0</v>
      </c>
      <c r="AH64" s="7">
        <v>315245.23800000001</v>
      </c>
      <c r="AI64" s="7">
        <v>0</v>
      </c>
      <c r="AJ64" s="7">
        <v>0</v>
      </c>
      <c r="AK64" s="7">
        <v>0</v>
      </c>
      <c r="AL64" s="7">
        <v>0</v>
      </c>
      <c r="AM64" s="7">
        <v>2367.4659999999999</v>
      </c>
      <c r="AN64" s="7">
        <v>0</v>
      </c>
      <c r="AO64" s="7">
        <v>7614.1080000000002</v>
      </c>
      <c r="AP64" s="7">
        <v>0</v>
      </c>
      <c r="AQ64" s="7">
        <v>0</v>
      </c>
      <c r="AR64" s="7">
        <v>0</v>
      </c>
      <c r="AS64" s="7">
        <v>108.298</v>
      </c>
      <c r="AT64" s="7">
        <v>0</v>
      </c>
      <c r="AU64" s="7">
        <v>3152.9369999999999</v>
      </c>
      <c r="AV64" s="7">
        <v>0</v>
      </c>
      <c r="AW64" s="7">
        <v>0</v>
      </c>
      <c r="AX64" s="7">
        <v>0</v>
      </c>
      <c r="AY64" s="7">
        <v>9829.3559999999998</v>
      </c>
      <c r="AZ64" s="7">
        <v>0</v>
      </c>
      <c r="BA64" s="7">
        <v>0</v>
      </c>
      <c r="BB64" s="7">
        <v>3614.4340000000002</v>
      </c>
      <c r="BC64" s="7">
        <v>4866.8140000000003</v>
      </c>
      <c r="BD64" s="7">
        <v>0</v>
      </c>
      <c r="BE64" s="7">
        <v>1070.739</v>
      </c>
      <c r="BF64" s="7">
        <v>0</v>
      </c>
      <c r="BG64" s="7">
        <v>0</v>
      </c>
      <c r="BH64" s="7">
        <v>1716.2729999999999</v>
      </c>
      <c r="BI64" s="21"/>
    </row>
    <row r="65" spans="1:61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21"/>
    </row>
    <row r="66" spans="1:61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192616.86499999999</v>
      </c>
      <c r="F66" s="7">
        <v>28153.798999999999</v>
      </c>
      <c r="G66" s="7">
        <v>46119.957000000002</v>
      </c>
      <c r="H66" s="7">
        <v>673.19200000000001</v>
      </c>
      <c r="I66" s="7">
        <v>3960.2550000000001</v>
      </c>
      <c r="J66" s="7">
        <v>26805.918000000001</v>
      </c>
      <c r="K66" s="7">
        <v>0</v>
      </c>
      <c r="L66" s="7">
        <v>68967.668999999994</v>
      </c>
      <c r="M66" s="7">
        <v>92280.320999999996</v>
      </c>
      <c r="N66" s="7">
        <v>0</v>
      </c>
      <c r="O66" s="7">
        <v>0</v>
      </c>
      <c r="P66" s="7">
        <v>2.4089999999999998</v>
      </c>
      <c r="Q66" s="7">
        <v>559.02099999999996</v>
      </c>
      <c r="R66" s="7">
        <v>1442.5809999999999</v>
      </c>
      <c r="S66" s="7">
        <v>13048.18</v>
      </c>
      <c r="T66" s="7">
        <v>0</v>
      </c>
      <c r="U66" s="7">
        <v>0</v>
      </c>
      <c r="V66" s="7">
        <v>6836.6390000000001</v>
      </c>
      <c r="W66" s="7">
        <v>9147.5630000000001</v>
      </c>
      <c r="X66" s="7">
        <v>0</v>
      </c>
      <c r="Y66" s="7">
        <v>29940.008000000002</v>
      </c>
      <c r="Z66" s="7">
        <v>0</v>
      </c>
      <c r="AA66" s="7">
        <v>53558.046999999999</v>
      </c>
      <c r="AB66" s="7">
        <v>0</v>
      </c>
      <c r="AC66" s="7">
        <v>4475.1229999999996</v>
      </c>
      <c r="AD66" s="7">
        <v>0</v>
      </c>
      <c r="AE66" s="7">
        <v>31384.194</v>
      </c>
      <c r="AF66" s="7">
        <v>0</v>
      </c>
      <c r="AG66" s="7">
        <v>0</v>
      </c>
      <c r="AH66" s="7">
        <v>157140.43100000001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5967.2479999999996</v>
      </c>
      <c r="AP66" s="7">
        <v>0</v>
      </c>
      <c r="AQ66" s="7">
        <v>0</v>
      </c>
      <c r="AR66" s="7">
        <v>0</v>
      </c>
      <c r="AS66" s="7">
        <v>117.184</v>
      </c>
      <c r="AT66" s="7">
        <v>0</v>
      </c>
      <c r="AU66" s="7">
        <v>2932.7950000000001</v>
      </c>
      <c r="AV66" s="7">
        <v>0</v>
      </c>
      <c r="AW66" s="7">
        <v>0</v>
      </c>
      <c r="AX66" s="7">
        <v>0</v>
      </c>
      <c r="AY66" s="7">
        <v>7744.1260000000002</v>
      </c>
      <c r="AZ66" s="7">
        <v>0</v>
      </c>
      <c r="BA66" s="7">
        <v>0</v>
      </c>
      <c r="BB66" s="7">
        <v>2796.8679999999999</v>
      </c>
      <c r="BC66" s="7">
        <v>3825.31</v>
      </c>
      <c r="BD66" s="7">
        <v>0</v>
      </c>
      <c r="BE66" s="7">
        <v>822.43399999999997</v>
      </c>
      <c r="BF66" s="7">
        <v>0</v>
      </c>
      <c r="BG66" s="7">
        <v>0</v>
      </c>
      <c r="BH66" s="7">
        <v>1341.3589999999999</v>
      </c>
      <c r="BI66" s="21"/>
    </row>
    <row r="67" spans="1:61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4735.067</v>
      </c>
      <c r="F67" s="7">
        <v>691.49199999999996</v>
      </c>
      <c r="G67" s="7">
        <v>1127.961</v>
      </c>
      <c r="H67" s="7">
        <v>0</v>
      </c>
      <c r="I67" s="7">
        <v>98.087000000000003</v>
      </c>
      <c r="J67" s="7">
        <v>651.63699999999994</v>
      </c>
      <c r="K67" s="7">
        <v>0</v>
      </c>
      <c r="L67" s="7">
        <v>1621.4349999999999</v>
      </c>
      <c r="M67" s="7">
        <v>2260.5610000000001</v>
      </c>
      <c r="N67" s="7">
        <v>0</v>
      </c>
      <c r="O67" s="7">
        <v>0</v>
      </c>
      <c r="P67" s="7">
        <v>5.8999999999999997E-2</v>
      </c>
      <c r="Q67" s="7">
        <v>18.645</v>
      </c>
      <c r="R67" s="7">
        <v>48.116</v>
      </c>
      <c r="S67" s="7">
        <v>323.178</v>
      </c>
      <c r="T67" s="7">
        <v>0</v>
      </c>
      <c r="U67" s="7">
        <v>0</v>
      </c>
      <c r="V67" s="7">
        <v>169.33</v>
      </c>
      <c r="W67" s="7">
        <v>226.56700000000001</v>
      </c>
      <c r="X67" s="7">
        <v>0</v>
      </c>
      <c r="Y67" s="7">
        <v>738.11</v>
      </c>
      <c r="Z67" s="7">
        <v>0</v>
      </c>
      <c r="AA67" s="7">
        <v>1324.289</v>
      </c>
      <c r="AB67" s="7">
        <v>0</v>
      </c>
      <c r="AC67" s="7">
        <v>110.84</v>
      </c>
      <c r="AD67" s="7">
        <v>0</v>
      </c>
      <c r="AE67" s="7">
        <v>756.11300000000006</v>
      </c>
      <c r="AF67" s="7">
        <v>0</v>
      </c>
      <c r="AG67" s="7">
        <v>0</v>
      </c>
      <c r="AH67" s="7">
        <v>3818.9639999999999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147.797</v>
      </c>
      <c r="AP67" s="7">
        <v>0</v>
      </c>
      <c r="AQ67" s="7">
        <v>0</v>
      </c>
      <c r="AR67" s="7">
        <v>0</v>
      </c>
      <c r="AS67" s="7">
        <v>2.903</v>
      </c>
      <c r="AT67" s="7">
        <v>0</v>
      </c>
      <c r="AU67" s="7">
        <v>80.498000000000005</v>
      </c>
      <c r="AV67" s="7">
        <v>0</v>
      </c>
      <c r="AW67" s="7">
        <v>0</v>
      </c>
      <c r="AX67" s="7">
        <v>0</v>
      </c>
      <c r="AY67" s="7">
        <v>191.80699999999999</v>
      </c>
      <c r="AZ67" s="7">
        <v>0</v>
      </c>
      <c r="BA67" s="7">
        <v>0</v>
      </c>
      <c r="BB67" s="7">
        <v>69.272999999999996</v>
      </c>
      <c r="BC67" s="7">
        <v>94.745000000000005</v>
      </c>
      <c r="BD67" s="7">
        <v>0</v>
      </c>
      <c r="BE67" s="7">
        <v>20.37</v>
      </c>
      <c r="BF67" s="7">
        <v>0</v>
      </c>
      <c r="BG67" s="7">
        <v>0</v>
      </c>
      <c r="BH67" s="7">
        <v>33.222999999999999</v>
      </c>
      <c r="BI67" s="21"/>
    </row>
    <row r="68" spans="1:61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174099.427</v>
      </c>
      <c r="F68" s="7">
        <v>25424.813999999998</v>
      </c>
      <c r="G68" s="7">
        <v>41472.991999999998</v>
      </c>
      <c r="H68" s="7">
        <v>0</v>
      </c>
      <c r="I68" s="7">
        <v>3606.4989999999998</v>
      </c>
      <c r="J68" s="7">
        <v>23959.444</v>
      </c>
      <c r="K68" s="7">
        <v>459.04</v>
      </c>
      <c r="L68" s="7">
        <v>59617.082999999999</v>
      </c>
      <c r="M68" s="7">
        <v>83116.52</v>
      </c>
      <c r="N68" s="7">
        <v>0</v>
      </c>
      <c r="O68" s="7">
        <v>0</v>
      </c>
      <c r="P68" s="7">
        <v>2.1909999999999998</v>
      </c>
      <c r="Q68" s="7">
        <v>820.55200000000002</v>
      </c>
      <c r="R68" s="7">
        <v>2117.5160000000001</v>
      </c>
      <c r="S68" s="7">
        <v>11882.627</v>
      </c>
      <c r="T68" s="7">
        <v>0</v>
      </c>
      <c r="U68" s="7">
        <v>365.08100000000002</v>
      </c>
      <c r="V68" s="7">
        <v>6225.951</v>
      </c>
      <c r="W68" s="7">
        <v>8330.4410000000007</v>
      </c>
      <c r="X68" s="7">
        <v>0</v>
      </c>
      <c r="Y68" s="7">
        <v>27138.905999999999</v>
      </c>
      <c r="Z68" s="7">
        <v>0</v>
      </c>
      <c r="AA68" s="7">
        <v>48691.587</v>
      </c>
      <c r="AB68" s="7">
        <v>0</v>
      </c>
      <c r="AC68" s="7">
        <v>4075.38</v>
      </c>
      <c r="AD68" s="7">
        <v>0</v>
      </c>
      <c r="AE68" s="7">
        <v>27800.848999999998</v>
      </c>
      <c r="AF68" s="7">
        <v>0</v>
      </c>
      <c r="AG68" s="7">
        <v>0</v>
      </c>
      <c r="AH68" s="7">
        <v>140418.63699999999</v>
      </c>
      <c r="AI68" s="7">
        <v>0</v>
      </c>
      <c r="AJ68" s="7">
        <v>0</v>
      </c>
      <c r="AK68" s="7">
        <v>0</v>
      </c>
      <c r="AL68" s="7">
        <v>0</v>
      </c>
      <c r="AM68" s="7">
        <v>95.914000000000001</v>
      </c>
      <c r="AN68" s="7">
        <v>0</v>
      </c>
      <c r="AO68" s="7">
        <v>5434.2139999999999</v>
      </c>
      <c r="AP68" s="7">
        <v>0</v>
      </c>
      <c r="AQ68" s="7">
        <v>0</v>
      </c>
      <c r="AR68" s="7">
        <v>0</v>
      </c>
      <c r="AS68" s="7">
        <v>106.717</v>
      </c>
      <c r="AT68" s="7">
        <v>0</v>
      </c>
      <c r="AU68" s="7">
        <v>2700.6089999999999</v>
      </c>
      <c r="AV68" s="7">
        <v>0</v>
      </c>
      <c r="AW68" s="7">
        <v>0</v>
      </c>
      <c r="AX68" s="7">
        <v>0</v>
      </c>
      <c r="AY68" s="7">
        <v>7052.3729999999996</v>
      </c>
      <c r="AZ68" s="7">
        <v>0</v>
      </c>
      <c r="BA68" s="7">
        <v>0</v>
      </c>
      <c r="BB68" s="7">
        <v>2547.0349999999999</v>
      </c>
      <c r="BC68" s="7">
        <v>3483.605</v>
      </c>
      <c r="BD68" s="7">
        <v>0</v>
      </c>
      <c r="BE68" s="7">
        <v>748.97199999999998</v>
      </c>
      <c r="BF68" s="7">
        <v>0</v>
      </c>
      <c r="BG68" s="7">
        <v>0</v>
      </c>
      <c r="BH68" s="7">
        <v>1221.5409999999999</v>
      </c>
      <c r="BI68" s="21"/>
    </row>
    <row r="69" spans="1:61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21"/>
    </row>
    <row r="70" spans="1:61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81565.812999999995</v>
      </c>
      <c r="F70" s="7">
        <v>11911.558000000001</v>
      </c>
      <c r="G70" s="7">
        <v>19430.151000000002</v>
      </c>
      <c r="H70" s="7">
        <v>13661.59</v>
      </c>
      <c r="I70" s="7">
        <v>1689.65</v>
      </c>
      <c r="J70" s="7">
        <v>11225.029</v>
      </c>
      <c r="K70" s="7">
        <v>0</v>
      </c>
      <c r="L70" s="7">
        <v>27930.682000000001</v>
      </c>
      <c r="M70" s="7">
        <v>38940.201999999997</v>
      </c>
      <c r="N70" s="7">
        <v>0</v>
      </c>
      <c r="O70" s="7">
        <v>0</v>
      </c>
      <c r="P70" s="7">
        <v>1.028</v>
      </c>
      <c r="Q70" s="7">
        <v>40.707000000000001</v>
      </c>
      <c r="R70" s="7">
        <v>105.04600000000001</v>
      </c>
      <c r="S70" s="7">
        <v>5567.0290000000005</v>
      </c>
      <c r="T70" s="7">
        <v>0</v>
      </c>
      <c r="U70" s="7">
        <v>0</v>
      </c>
      <c r="V70" s="7">
        <v>2916.866</v>
      </c>
      <c r="W70" s="7">
        <v>3902.8240000000001</v>
      </c>
      <c r="X70" s="7">
        <v>0</v>
      </c>
      <c r="Y70" s="7">
        <v>12714.614</v>
      </c>
      <c r="Z70" s="7">
        <v>0</v>
      </c>
      <c r="AA70" s="7">
        <v>22812.072</v>
      </c>
      <c r="AB70" s="7">
        <v>0</v>
      </c>
      <c r="AC70" s="7">
        <v>1909.3209999999999</v>
      </c>
      <c r="AD70" s="7">
        <v>0</v>
      </c>
      <c r="AE70" s="7">
        <v>13024.735000000001</v>
      </c>
      <c r="AF70" s="7">
        <v>0</v>
      </c>
      <c r="AG70" s="7">
        <v>0</v>
      </c>
      <c r="AH70" s="7">
        <v>65785.111000000004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2545.9360000000001</v>
      </c>
      <c r="AP70" s="7">
        <v>0</v>
      </c>
      <c r="AQ70" s="7">
        <v>0</v>
      </c>
      <c r="AR70" s="7">
        <v>0</v>
      </c>
      <c r="AS70" s="7">
        <v>50</v>
      </c>
      <c r="AT70" s="7">
        <v>0</v>
      </c>
      <c r="AU70" s="7">
        <v>1244.8409999999999</v>
      </c>
      <c r="AV70" s="7">
        <v>0</v>
      </c>
      <c r="AW70" s="7">
        <v>0</v>
      </c>
      <c r="AX70" s="7">
        <v>0</v>
      </c>
      <c r="AY70" s="7">
        <v>3304.0439999999999</v>
      </c>
      <c r="AZ70" s="7">
        <v>0</v>
      </c>
      <c r="BA70" s="7">
        <v>0</v>
      </c>
      <c r="BB70" s="7">
        <v>1193.289</v>
      </c>
      <c r="BC70" s="7">
        <v>1632.076</v>
      </c>
      <c r="BD70" s="7">
        <v>0</v>
      </c>
      <c r="BE70" s="7">
        <v>350.89</v>
      </c>
      <c r="BF70" s="7">
        <v>0</v>
      </c>
      <c r="BG70" s="7">
        <v>0</v>
      </c>
      <c r="BH70" s="7">
        <v>572.29300000000001</v>
      </c>
      <c r="BI70" s="21"/>
    </row>
    <row r="71" spans="1:61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21"/>
    </row>
    <row r="72" spans="1:61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88900.521999999997</v>
      </c>
      <c r="F72" s="7">
        <v>12982.692999999999</v>
      </c>
      <c r="G72" s="7">
        <v>21177.385999999999</v>
      </c>
      <c r="H72" s="7">
        <v>26439.839</v>
      </c>
      <c r="I72" s="7">
        <v>1841.59</v>
      </c>
      <c r="J72" s="7">
        <v>12234.424000000001</v>
      </c>
      <c r="K72" s="7">
        <v>5186.5240000000003</v>
      </c>
      <c r="L72" s="7">
        <v>30442.315999999999</v>
      </c>
      <c r="M72" s="7">
        <v>42441.851000000002</v>
      </c>
      <c r="N72" s="7">
        <v>0</v>
      </c>
      <c r="O72" s="7">
        <v>0</v>
      </c>
      <c r="P72" s="7">
        <v>1.121</v>
      </c>
      <c r="Q72" s="7">
        <v>36.929000000000002</v>
      </c>
      <c r="R72" s="7">
        <v>95.3</v>
      </c>
      <c r="S72" s="7">
        <v>6067.6390000000001</v>
      </c>
      <c r="T72" s="7">
        <v>0</v>
      </c>
      <c r="U72" s="7">
        <v>4124.92</v>
      </c>
      <c r="V72" s="7">
        <v>3179.1619999999998</v>
      </c>
      <c r="W72" s="7">
        <v>4253.7849999999999</v>
      </c>
      <c r="X72" s="7">
        <v>0</v>
      </c>
      <c r="Y72" s="7">
        <v>13857.959000000001</v>
      </c>
      <c r="Z72" s="7">
        <v>0</v>
      </c>
      <c r="AA72" s="7">
        <v>24863.421999999999</v>
      </c>
      <c r="AB72" s="7">
        <v>0</v>
      </c>
      <c r="AC72" s="7">
        <v>2081.0149999999999</v>
      </c>
      <c r="AD72" s="7">
        <v>0</v>
      </c>
      <c r="AE72" s="7">
        <v>14195.968000000001</v>
      </c>
      <c r="AF72" s="7">
        <v>10.589</v>
      </c>
      <c r="AG72" s="7">
        <v>0</v>
      </c>
      <c r="AH72" s="7">
        <v>71729.801999999996</v>
      </c>
      <c r="AI72" s="7">
        <v>36.750999999999998</v>
      </c>
      <c r="AJ72" s="7">
        <v>0</v>
      </c>
      <c r="AK72" s="7">
        <v>0</v>
      </c>
      <c r="AL72" s="7">
        <v>0</v>
      </c>
      <c r="AM72" s="7">
        <v>1083.71</v>
      </c>
      <c r="AN72" s="7">
        <v>0</v>
      </c>
      <c r="AO72" s="7">
        <v>2774.8780000000002</v>
      </c>
      <c r="AP72" s="7">
        <v>0</v>
      </c>
      <c r="AQ72" s="7">
        <v>0</v>
      </c>
      <c r="AR72" s="7">
        <v>0</v>
      </c>
      <c r="AS72" s="7">
        <v>54.491999999999997</v>
      </c>
      <c r="AT72" s="7">
        <v>0</v>
      </c>
      <c r="AU72" s="7">
        <v>1360.32</v>
      </c>
      <c r="AV72" s="7">
        <v>0</v>
      </c>
      <c r="AW72" s="7">
        <v>0</v>
      </c>
      <c r="AX72" s="7">
        <v>0</v>
      </c>
      <c r="AY72" s="7">
        <v>3601.16</v>
      </c>
      <c r="AZ72" s="7">
        <v>0</v>
      </c>
      <c r="BA72" s="7">
        <v>0</v>
      </c>
      <c r="BB72" s="7">
        <v>1300.5909999999999</v>
      </c>
      <c r="BC72" s="7">
        <v>1778.837</v>
      </c>
      <c r="BD72" s="7">
        <v>0</v>
      </c>
      <c r="BE72" s="7">
        <v>382.44799999999998</v>
      </c>
      <c r="BF72" s="7">
        <v>0</v>
      </c>
      <c r="BG72" s="7">
        <v>0</v>
      </c>
      <c r="BH72" s="7">
        <v>623.75400000000002</v>
      </c>
      <c r="BI72" s="21"/>
    </row>
    <row r="73" spans="1:61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21"/>
    </row>
    <row r="74" spans="1:61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75464.762000000002</v>
      </c>
      <c r="F74" s="7">
        <v>6573.5379999999996</v>
      </c>
      <c r="G74" s="7">
        <v>16757.238000000001</v>
      </c>
      <c r="H74" s="7">
        <v>1834.45</v>
      </c>
      <c r="I74" s="7">
        <v>1295.5920000000001</v>
      </c>
      <c r="J74" s="7">
        <v>12577.218000000001</v>
      </c>
      <c r="K74" s="7">
        <v>0</v>
      </c>
      <c r="L74" s="7">
        <v>35908.597999999998</v>
      </c>
      <c r="M74" s="7">
        <v>34086.819000000003</v>
      </c>
      <c r="N74" s="7">
        <v>0</v>
      </c>
      <c r="O74" s="7">
        <v>0</v>
      </c>
      <c r="P74" s="7">
        <v>24.283999999999999</v>
      </c>
      <c r="Q74" s="7">
        <v>0</v>
      </c>
      <c r="R74" s="7">
        <v>120.76300000000001</v>
      </c>
      <c r="S74" s="7">
        <v>2115.0189999999998</v>
      </c>
      <c r="T74" s="7">
        <v>0</v>
      </c>
      <c r="U74" s="7">
        <v>0</v>
      </c>
      <c r="V74" s="7">
        <v>1682.2819999999999</v>
      </c>
      <c r="W74" s="7">
        <v>3776.0219999999999</v>
      </c>
      <c r="X74" s="7">
        <v>0</v>
      </c>
      <c r="Y74" s="7">
        <v>17011.397000000001</v>
      </c>
      <c r="Z74" s="7">
        <v>0</v>
      </c>
      <c r="AA74" s="7">
        <v>15891.041999999999</v>
      </c>
      <c r="AB74" s="7">
        <v>0</v>
      </c>
      <c r="AC74" s="7">
        <v>1158.768</v>
      </c>
      <c r="AD74" s="7">
        <v>0</v>
      </c>
      <c r="AE74" s="7">
        <v>61290.964999999997</v>
      </c>
      <c r="AF74" s="7">
        <v>0</v>
      </c>
      <c r="AG74" s="7">
        <v>0</v>
      </c>
      <c r="AH74" s="7">
        <v>109604.39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1483.5609999999999</v>
      </c>
      <c r="AP74" s="7">
        <v>0</v>
      </c>
      <c r="AQ74" s="7">
        <v>0</v>
      </c>
      <c r="AR74" s="7">
        <v>0</v>
      </c>
      <c r="AS74" s="7">
        <v>10.667999999999999</v>
      </c>
      <c r="AT74" s="7">
        <v>0</v>
      </c>
      <c r="AU74" s="7">
        <v>435.47500000000002</v>
      </c>
      <c r="AV74" s="7">
        <v>0</v>
      </c>
      <c r="AW74" s="7">
        <v>0</v>
      </c>
      <c r="AX74" s="7">
        <v>0</v>
      </c>
      <c r="AY74" s="7">
        <v>1902.02</v>
      </c>
      <c r="AZ74" s="7">
        <v>0</v>
      </c>
      <c r="BA74" s="7">
        <v>0</v>
      </c>
      <c r="BB74" s="7">
        <v>715.81100000000004</v>
      </c>
      <c r="BC74" s="7">
        <v>944.66700000000003</v>
      </c>
      <c r="BD74" s="7">
        <v>0</v>
      </c>
      <c r="BE74" s="7">
        <v>214.023</v>
      </c>
      <c r="BF74" s="7">
        <v>0</v>
      </c>
      <c r="BG74" s="7">
        <v>0</v>
      </c>
      <c r="BH74" s="7">
        <v>335.59899999999999</v>
      </c>
      <c r="BI74" s="21"/>
    </row>
    <row r="75" spans="1:61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21"/>
    </row>
    <row r="76" spans="1:61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7759.0379999999996</v>
      </c>
      <c r="F76" s="7">
        <v>1309.6559999999999</v>
      </c>
      <c r="G76" s="7">
        <v>1121.046</v>
      </c>
      <c r="H76" s="7">
        <v>0</v>
      </c>
      <c r="I76" s="7">
        <v>115.67100000000001</v>
      </c>
      <c r="J76" s="7">
        <v>1054.7080000000001</v>
      </c>
      <c r="K76" s="7">
        <v>0</v>
      </c>
      <c r="L76" s="7">
        <v>11349.638000000001</v>
      </c>
      <c r="M76" s="7">
        <v>3114.8760000000002</v>
      </c>
      <c r="N76" s="7">
        <v>0</v>
      </c>
      <c r="O76" s="7">
        <v>0</v>
      </c>
      <c r="P76" s="7">
        <v>6.6239999999999997</v>
      </c>
      <c r="Q76" s="7">
        <v>0</v>
      </c>
      <c r="R76" s="7">
        <v>140.09</v>
      </c>
      <c r="S76" s="7">
        <v>260.91300000000001</v>
      </c>
      <c r="T76" s="7">
        <v>0</v>
      </c>
      <c r="U76" s="7">
        <v>0</v>
      </c>
      <c r="V76" s="7">
        <v>158.12299999999999</v>
      </c>
      <c r="W76" s="7">
        <v>247.38800000000001</v>
      </c>
      <c r="X76" s="7">
        <v>0</v>
      </c>
      <c r="Y76" s="7">
        <v>1104.5999999999999</v>
      </c>
      <c r="Z76" s="7">
        <v>0</v>
      </c>
      <c r="AA76" s="7">
        <v>1242.415</v>
      </c>
      <c r="AB76" s="7">
        <v>0</v>
      </c>
      <c r="AC76" s="7">
        <v>117.084</v>
      </c>
      <c r="AD76" s="7">
        <v>0</v>
      </c>
      <c r="AE76" s="7">
        <v>3248.9360000000001</v>
      </c>
      <c r="AF76" s="7">
        <v>0</v>
      </c>
      <c r="AG76" s="7">
        <v>0</v>
      </c>
      <c r="AH76" s="7">
        <v>12446.174999999999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119.322</v>
      </c>
      <c r="AP76" s="7">
        <v>0</v>
      </c>
      <c r="AQ76" s="7">
        <v>0</v>
      </c>
      <c r="AR76" s="7">
        <v>0</v>
      </c>
      <c r="AS76" s="7">
        <v>2.343</v>
      </c>
      <c r="AT76" s="7">
        <v>0</v>
      </c>
      <c r="AU76" s="7">
        <v>58.341999999999999</v>
      </c>
      <c r="AV76" s="7">
        <v>0</v>
      </c>
      <c r="AW76" s="7">
        <v>0</v>
      </c>
      <c r="AX76" s="7">
        <v>0</v>
      </c>
      <c r="AY76" s="7">
        <v>154.852</v>
      </c>
      <c r="AZ76" s="7">
        <v>0</v>
      </c>
      <c r="BA76" s="7">
        <v>0</v>
      </c>
      <c r="BB76" s="7">
        <v>55.926000000000002</v>
      </c>
      <c r="BC76" s="7">
        <v>76.491</v>
      </c>
      <c r="BD76" s="7">
        <v>0</v>
      </c>
      <c r="BE76" s="7">
        <v>16.445</v>
      </c>
      <c r="BF76" s="7">
        <v>0</v>
      </c>
      <c r="BG76" s="7">
        <v>0</v>
      </c>
      <c r="BH76" s="7">
        <v>26.821999999999999</v>
      </c>
      <c r="BI76" s="21"/>
    </row>
    <row r="77" spans="1:61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21"/>
    </row>
    <row r="78" spans="1:61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8685.8590000000004</v>
      </c>
      <c r="F78" s="7">
        <v>1139.7760000000001</v>
      </c>
      <c r="G78" s="7">
        <v>1815.008</v>
      </c>
      <c r="H78" s="7">
        <v>5044.491</v>
      </c>
      <c r="I78" s="7">
        <v>181.03100000000001</v>
      </c>
      <c r="J78" s="7">
        <v>1056.576</v>
      </c>
      <c r="K78" s="7">
        <v>0</v>
      </c>
      <c r="L78" s="7">
        <v>3791.2220000000002</v>
      </c>
      <c r="M78" s="7">
        <v>3824.2570000000001</v>
      </c>
      <c r="N78" s="7">
        <v>0</v>
      </c>
      <c r="O78" s="7">
        <v>0</v>
      </c>
      <c r="P78" s="7">
        <v>8.4700000000000006</v>
      </c>
      <c r="Q78" s="7">
        <v>0</v>
      </c>
      <c r="R78" s="7">
        <v>0</v>
      </c>
      <c r="S78" s="7">
        <v>443.12400000000002</v>
      </c>
      <c r="T78" s="7">
        <v>0</v>
      </c>
      <c r="U78" s="7">
        <v>0</v>
      </c>
      <c r="V78" s="7">
        <v>259.49799999999999</v>
      </c>
      <c r="W78" s="7">
        <v>392.904</v>
      </c>
      <c r="X78" s="7">
        <v>0</v>
      </c>
      <c r="Y78" s="7">
        <v>1660.9949999999999</v>
      </c>
      <c r="Z78" s="7">
        <v>0</v>
      </c>
      <c r="AA78" s="7">
        <v>2036.8309999999999</v>
      </c>
      <c r="AB78" s="7">
        <v>0</v>
      </c>
      <c r="AC78" s="7">
        <v>187.185</v>
      </c>
      <c r="AD78" s="7">
        <v>0</v>
      </c>
      <c r="AE78" s="7">
        <v>3147.84</v>
      </c>
      <c r="AF78" s="7">
        <v>0</v>
      </c>
      <c r="AG78" s="7">
        <v>0</v>
      </c>
      <c r="AH78" s="7">
        <v>9839.7690000000002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202.65100000000001</v>
      </c>
      <c r="AP78" s="7">
        <v>0</v>
      </c>
      <c r="AQ78" s="7">
        <v>0</v>
      </c>
      <c r="AR78" s="7">
        <v>0</v>
      </c>
      <c r="AS78" s="7">
        <v>3.98</v>
      </c>
      <c r="AT78" s="7">
        <v>0</v>
      </c>
      <c r="AU78" s="7">
        <v>99.084999999999994</v>
      </c>
      <c r="AV78" s="7">
        <v>0</v>
      </c>
      <c r="AW78" s="7">
        <v>0</v>
      </c>
      <c r="AX78" s="7">
        <v>0</v>
      </c>
      <c r="AY78" s="7">
        <v>262.995</v>
      </c>
      <c r="AZ78" s="7">
        <v>0</v>
      </c>
      <c r="BA78" s="7">
        <v>0</v>
      </c>
      <c r="BB78" s="7">
        <v>94.983000000000004</v>
      </c>
      <c r="BC78" s="7">
        <v>129.90899999999999</v>
      </c>
      <c r="BD78" s="7">
        <v>0</v>
      </c>
      <c r="BE78" s="7">
        <v>27.931000000000001</v>
      </c>
      <c r="BF78" s="7">
        <v>0</v>
      </c>
      <c r="BG78" s="7">
        <v>0</v>
      </c>
      <c r="BH78" s="7">
        <v>45.552999999999997</v>
      </c>
      <c r="BI78" s="21"/>
    </row>
    <row r="79" spans="1:61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21"/>
    </row>
    <row r="80" spans="1:61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3838.5250000000001</v>
      </c>
      <c r="F80" s="7">
        <v>629.00099999999998</v>
      </c>
      <c r="G80" s="7">
        <v>998.14099999999996</v>
      </c>
      <c r="H80" s="7">
        <v>0</v>
      </c>
      <c r="I80" s="7">
        <v>52.636000000000003</v>
      </c>
      <c r="J80" s="7">
        <v>722.37800000000004</v>
      </c>
      <c r="K80" s="7">
        <v>0</v>
      </c>
      <c r="L80" s="7">
        <v>5172.7340000000004</v>
      </c>
      <c r="M80" s="7">
        <v>1536.5740000000001</v>
      </c>
      <c r="N80" s="7">
        <v>0</v>
      </c>
      <c r="O80" s="7">
        <v>0</v>
      </c>
      <c r="P80" s="7">
        <v>2.5950000000000002</v>
      </c>
      <c r="Q80" s="7">
        <v>0</v>
      </c>
      <c r="R80" s="7">
        <v>77.561000000000007</v>
      </c>
      <c r="S80" s="7">
        <v>126.41500000000001</v>
      </c>
      <c r="T80" s="7">
        <v>0</v>
      </c>
      <c r="U80" s="7">
        <v>0</v>
      </c>
      <c r="V80" s="7">
        <v>74.611999999999995</v>
      </c>
      <c r="W80" s="7">
        <v>113.84099999999999</v>
      </c>
      <c r="X80" s="7">
        <v>0</v>
      </c>
      <c r="Y80" s="7">
        <v>608.46699999999998</v>
      </c>
      <c r="Z80" s="7">
        <v>0</v>
      </c>
      <c r="AA80" s="7">
        <v>645.57799999999997</v>
      </c>
      <c r="AB80" s="7">
        <v>0</v>
      </c>
      <c r="AC80" s="7">
        <v>54.15</v>
      </c>
      <c r="AD80" s="7">
        <v>0</v>
      </c>
      <c r="AE80" s="7">
        <v>1715.875</v>
      </c>
      <c r="AF80" s="7">
        <v>0</v>
      </c>
      <c r="AG80" s="7">
        <v>0</v>
      </c>
      <c r="AH80" s="7">
        <v>6110.9189999999999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57.811999999999998</v>
      </c>
      <c r="AP80" s="7">
        <v>0</v>
      </c>
      <c r="AQ80" s="7">
        <v>0</v>
      </c>
      <c r="AR80" s="7">
        <v>0</v>
      </c>
      <c r="AS80" s="7">
        <v>1.135</v>
      </c>
      <c r="AT80" s="7">
        <v>0</v>
      </c>
      <c r="AU80" s="7">
        <v>28.265999999999998</v>
      </c>
      <c r="AV80" s="7">
        <v>0</v>
      </c>
      <c r="AW80" s="7">
        <v>0</v>
      </c>
      <c r="AX80" s="7">
        <v>0</v>
      </c>
      <c r="AY80" s="7">
        <v>75.028000000000006</v>
      </c>
      <c r="AZ80" s="7">
        <v>0</v>
      </c>
      <c r="BA80" s="7">
        <v>0</v>
      </c>
      <c r="BB80" s="7">
        <v>27.097000000000001</v>
      </c>
      <c r="BC80" s="7">
        <v>37.06</v>
      </c>
      <c r="BD80" s="7">
        <v>0</v>
      </c>
      <c r="BE80" s="7">
        <v>7.968</v>
      </c>
      <c r="BF80" s="7">
        <v>0</v>
      </c>
      <c r="BG80" s="7">
        <v>0</v>
      </c>
      <c r="BH80" s="7">
        <v>12.994999999999999</v>
      </c>
      <c r="BI80" s="21"/>
    </row>
    <row r="81" spans="1:61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21"/>
    </row>
    <row r="82" spans="1:61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21"/>
    </row>
    <row r="83" spans="1:61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21"/>
    </row>
    <row r="84" spans="1:61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21"/>
    </row>
    <row r="85" spans="1:61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21"/>
    </row>
    <row r="86" spans="1:61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15420.071</v>
      </c>
      <c r="F86" s="7">
        <v>2645.3330000000001</v>
      </c>
      <c r="G86" s="7">
        <v>3183.4870000000001</v>
      </c>
      <c r="H86" s="7">
        <v>2107.098</v>
      </c>
      <c r="I86" s="7">
        <v>461.62599999999998</v>
      </c>
      <c r="J86" s="7">
        <v>2063.1840000000002</v>
      </c>
      <c r="K86" s="7">
        <v>0</v>
      </c>
      <c r="L86" s="7">
        <v>15275.793</v>
      </c>
      <c r="M86" s="7">
        <v>6631.9840000000004</v>
      </c>
      <c r="N86" s="7">
        <v>0</v>
      </c>
      <c r="O86" s="7">
        <v>0</v>
      </c>
      <c r="P86" s="7">
        <v>66.622</v>
      </c>
      <c r="Q86" s="7">
        <v>0</v>
      </c>
      <c r="R86" s="7">
        <v>107.98099999999999</v>
      </c>
      <c r="S86" s="7">
        <v>810.24400000000003</v>
      </c>
      <c r="T86" s="7">
        <v>0</v>
      </c>
      <c r="U86" s="7">
        <v>0</v>
      </c>
      <c r="V86" s="7">
        <v>424.517</v>
      </c>
      <c r="W86" s="7">
        <v>567.97199999999998</v>
      </c>
      <c r="X86" s="7">
        <v>0</v>
      </c>
      <c r="Y86" s="7">
        <v>1850.3409999999999</v>
      </c>
      <c r="Z86" s="7">
        <v>0</v>
      </c>
      <c r="AA86" s="7">
        <v>3320.3310000000001</v>
      </c>
      <c r="AB86" s="7">
        <v>0</v>
      </c>
      <c r="AC86" s="7">
        <v>277.90899999999999</v>
      </c>
      <c r="AD86" s="7">
        <v>0</v>
      </c>
      <c r="AE86" s="7">
        <v>2780.9789999999998</v>
      </c>
      <c r="AF86" s="7">
        <v>6.0000000000000001E-3</v>
      </c>
      <c r="AG86" s="7">
        <v>0</v>
      </c>
      <c r="AH86" s="7">
        <v>20622.870999999999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370.637</v>
      </c>
      <c r="AP86" s="7">
        <v>0</v>
      </c>
      <c r="AQ86" s="7">
        <v>1E-3</v>
      </c>
      <c r="AR86" s="7">
        <v>0</v>
      </c>
      <c r="AS86" s="7">
        <v>7.2759999999999998</v>
      </c>
      <c r="AT86" s="7">
        <v>0</v>
      </c>
      <c r="AU86" s="7">
        <v>181.15100000000001</v>
      </c>
      <c r="AV86" s="7">
        <v>0</v>
      </c>
      <c r="AW86" s="7">
        <v>0</v>
      </c>
      <c r="AX86" s="7">
        <v>0</v>
      </c>
      <c r="AY86" s="7">
        <v>480.79899999999998</v>
      </c>
      <c r="AZ86" s="7">
        <v>0</v>
      </c>
      <c r="BA86" s="7">
        <v>0</v>
      </c>
      <c r="BB86" s="7">
        <v>173.71799999999999</v>
      </c>
      <c r="BC86" s="7">
        <v>237.49700000000001</v>
      </c>
      <c r="BD86" s="7">
        <v>0</v>
      </c>
      <c r="BE86" s="7">
        <v>51.082000000000001</v>
      </c>
      <c r="BF86" s="7">
        <v>0</v>
      </c>
      <c r="BG86" s="7">
        <v>0</v>
      </c>
      <c r="BH86" s="7">
        <v>83.278999999999996</v>
      </c>
      <c r="BI86" s="21"/>
    </row>
    <row r="87" spans="1:61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21"/>
    </row>
    <row r="88" spans="1:61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29669.463</v>
      </c>
      <c r="F88" s="7">
        <v>4292.9399999999996</v>
      </c>
      <c r="G88" s="7">
        <v>6993.2039999999997</v>
      </c>
      <c r="H88" s="7">
        <v>1234.93</v>
      </c>
      <c r="I88" s="7">
        <v>613.08900000000006</v>
      </c>
      <c r="J88" s="7">
        <v>4041.7710000000002</v>
      </c>
      <c r="K88" s="7">
        <v>0</v>
      </c>
      <c r="L88" s="7">
        <v>10538.634</v>
      </c>
      <c r="M88" s="7">
        <v>14065.679</v>
      </c>
      <c r="N88" s="7">
        <v>0</v>
      </c>
      <c r="O88" s="7">
        <v>0</v>
      </c>
      <c r="P88" s="7">
        <v>2.1589999999999998</v>
      </c>
      <c r="Q88" s="7">
        <v>0</v>
      </c>
      <c r="R88" s="7">
        <v>0</v>
      </c>
      <c r="S88" s="7">
        <v>1987.2180000000001</v>
      </c>
      <c r="T88" s="7">
        <v>0</v>
      </c>
      <c r="U88" s="7">
        <v>0</v>
      </c>
      <c r="V88" s="7">
        <v>1047.0509999999999</v>
      </c>
      <c r="W88" s="7">
        <v>1410.7429999999999</v>
      </c>
      <c r="X88" s="7">
        <v>0</v>
      </c>
      <c r="Y88" s="7">
        <v>4783.5839999999998</v>
      </c>
      <c r="Z88" s="7">
        <v>0</v>
      </c>
      <c r="AA88" s="7">
        <v>8190.2979999999998</v>
      </c>
      <c r="AB88" s="7">
        <v>0</v>
      </c>
      <c r="AC88" s="7">
        <v>689.08100000000002</v>
      </c>
      <c r="AD88" s="7">
        <v>0</v>
      </c>
      <c r="AE88" s="7">
        <v>5312.7039999999997</v>
      </c>
      <c r="AF88" s="7">
        <v>0</v>
      </c>
      <c r="AG88" s="7">
        <v>0</v>
      </c>
      <c r="AH88" s="7">
        <v>24912.563999999998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908.80200000000002</v>
      </c>
      <c r="AP88" s="7">
        <v>0</v>
      </c>
      <c r="AQ88" s="7">
        <v>0</v>
      </c>
      <c r="AR88" s="7">
        <v>0</v>
      </c>
      <c r="AS88" s="7">
        <v>17.847000000000001</v>
      </c>
      <c r="AT88" s="7">
        <v>0</v>
      </c>
      <c r="AU88" s="7">
        <v>444.358</v>
      </c>
      <c r="AV88" s="7">
        <v>0</v>
      </c>
      <c r="AW88" s="7">
        <v>0</v>
      </c>
      <c r="AX88" s="7">
        <v>0</v>
      </c>
      <c r="AY88" s="7">
        <v>1179.4179999999999</v>
      </c>
      <c r="AZ88" s="7">
        <v>0</v>
      </c>
      <c r="BA88" s="7">
        <v>0</v>
      </c>
      <c r="BB88" s="7">
        <v>425.95699999999999</v>
      </c>
      <c r="BC88" s="7">
        <v>582.58799999999997</v>
      </c>
      <c r="BD88" s="7">
        <v>0</v>
      </c>
      <c r="BE88" s="7">
        <v>125.255</v>
      </c>
      <c r="BF88" s="7">
        <v>0</v>
      </c>
      <c r="BG88" s="7">
        <v>0</v>
      </c>
      <c r="BH88" s="7">
        <v>204.28800000000001</v>
      </c>
      <c r="BI88" s="21"/>
    </row>
    <row r="89" spans="1:61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21"/>
    </row>
    <row r="90" spans="1:61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21668.717000000001</v>
      </c>
      <c r="F90" s="7">
        <v>3164.4160000000002</v>
      </c>
      <c r="G90" s="7">
        <v>5161.8010000000004</v>
      </c>
      <c r="H90" s="7">
        <v>0</v>
      </c>
      <c r="I90" s="7">
        <v>448.87099999999998</v>
      </c>
      <c r="J90" s="7">
        <v>2982.0329999999999</v>
      </c>
      <c r="K90" s="7">
        <v>0</v>
      </c>
      <c r="L90" s="7">
        <v>7420.0460000000003</v>
      </c>
      <c r="M90" s="7">
        <v>10344.825999999999</v>
      </c>
      <c r="N90" s="7">
        <v>0</v>
      </c>
      <c r="O90" s="7">
        <v>0</v>
      </c>
      <c r="P90" s="7">
        <v>0.27300000000000002</v>
      </c>
      <c r="Q90" s="7">
        <v>0</v>
      </c>
      <c r="R90" s="7">
        <v>0</v>
      </c>
      <c r="S90" s="7">
        <v>1478.933</v>
      </c>
      <c r="T90" s="7">
        <v>0</v>
      </c>
      <c r="U90" s="7">
        <v>0</v>
      </c>
      <c r="V90" s="7">
        <v>774.89200000000005</v>
      </c>
      <c r="W90" s="7">
        <v>1036.8219999999999</v>
      </c>
      <c r="X90" s="7">
        <v>0</v>
      </c>
      <c r="Y90" s="7">
        <v>3377.7550000000001</v>
      </c>
      <c r="Z90" s="7">
        <v>0</v>
      </c>
      <c r="AA90" s="7">
        <v>6060.2389999999996</v>
      </c>
      <c r="AB90" s="7">
        <v>0</v>
      </c>
      <c r="AC90" s="7">
        <v>507.22899999999998</v>
      </c>
      <c r="AD90" s="7">
        <v>0</v>
      </c>
      <c r="AE90" s="7">
        <v>3460.1419999999998</v>
      </c>
      <c r="AF90" s="7">
        <v>0</v>
      </c>
      <c r="AG90" s="7">
        <v>0</v>
      </c>
      <c r="AH90" s="7">
        <v>17476.425999999999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676.35199999999998</v>
      </c>
      <c r="AP90" s="7">
        <v>0</v>
      </c>
      <c r="AQ90" s="7">
        <v>0</v>
      </c>
      <c r="AR90" s="7">
        <v>0</v>
      </c>
      <c r="AS90" s="7">
        <v>13.282</v>
      </c>
      <c r="AT90" s="7">
        <v>0</v>
      </c>
      <c r="AU90" s="7">
        <v>330.70800000000003</v>
      </c>
      <c r="AV90" s="7">
        <v>0</v>
      </c>
      <c r="AW90" s="7">
        <v>0</v>
      </c>
      <c r="AX90" s="7">
        <v>0</v>
      </c>
      <c r="AY90" s="7">
        <v>877.75</v>
      </c>
      <c r="AZ90" s="7">
        <v>0</v>
      </c>
      <c r="BA90" s="7">
        <v>0</v>
      </c>
      <c r="BB90" s="7">
        <v>317.00799999999998</v>
      </c>
      <c r="BC90" s="7">
        <v>433.57600000000002</v>
      </c>
      <c r="BD90" s="7">
        <v>0</v>
      </c>
      <c r="BE90" s="7">
        <v>93.218000000000004</v>
      </c>
      <c r="BF90" s="7">
        <v>0</v>
      </c>
      <c r="BG90" s="7">
        <v>0</v>
      </c>
      <c r="BH90" s="7">
        <v>152.035</v>
      </c>
      <c r="BI90" s="21"/>
    </row>
    <row r="91" spans="1:61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64386.747000000003</v>
      </c>
      <c r="F91" s="7">
        <v>6794.7929999999997</v>
      </c>
      <c r="G91" s="7">
        <v>15335.06</v>
      </c>
      <c r="H91" s="7">
        <v>0</v>
      </c>
      <c r="I91" s="7">
        <v>1167.0239999999999</v>
      </c>
      <c r="J91" s="7">
        <v>10817.046</v>
      </c>
      <c r="K91" s="7">
        <v>0</v>
      </c>
      <c r="L91" s="7">
        <v>26504.830999999998</v>
      </c>
      <c r="M91" s="7">
        <v>30389.776999999998</v>
      </c>
      <c r="N91" s="7">
        <v>0</v>
      </c>
      <c r="O91" s="7">
        <v>0</v>
      </c>
      <c r="P91" s="7">
        <v>1.1439999999999999</v>
      </c>
      <c r="Q91" s="7">
        <v>0</v>
      </c>
      <c r="R91" s="7">
        <v>117.425</v>
      </c>
      <c r="S91" s="7">
        <v>2762.0390000000002</v>
      </c>
      <c r="T91" s="7">
        <v>0</v>
      </c>
      <c r="U91" s="7">
        <v>0</v>
      </c>
      <c r="V91" s="7">
        <v>1758.96</v>
      </c>
      <c r="W91" s="7">
        <v>3227.5230000000001</v>
      </c>
      <c r="X91" s="7">
        <v>0</v>
      </c>
      <c r="Y91" s="7">
        <v>12805.419</v>
      </c>
      <c r="Z91" s="7">
        <v>0</v>
      </c>
      <c r="AA91" s="7">
        <v>15450.284</v>
      </c>
      <c r="AB91" s="7">
        <v>0</v>
      </c>
      <c r="AC91" s="7">
        <v>1157.826</v>
      </c>
      <c r="AD91" s="7">
        <v>0</v>
      </c>
      <c r="AE91" s="7">
        <v>38540.499000000003</v>
      </c>
      <c r="AF91" s="7">
        <v>0</v>
      </c>
      <c r="AG91" s="7">
        <v>0</v>
      </c>
      <c r="AH91" s="7">
        <v>77988.040999999997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1585.364</v>
      </c>
      <c r="AP91" s="7">
        <v>0</v>
      </c>
      <c r="AQ91" s="7">
        <v>0</v>
      </c>
      <c r="AR91" s="7">
        <v>0</v>
      </c>
      <c r="AS91" s="7">
        <v>19.608000000000001</v>
      </c>
      <c r="AT91" s="7">
        <v>0</v>
      </c>
      <c r="AU91" s="7">
        <v>594.24199999999996</v>
      </c>
      <c r="AV91" s="7">
        <v>0</v>
      </c>
      <c r="AW91" s="7">
        <v>0</v>
      </c>
      <c r="AX91" s="7">
        <v>0</v>
      </c>
      <c r="AY91" s="7">
        <v>2042.8979999999999</v>
      </c>
      <c r="AZ91" s="7">
        <v>0</v>
      </c>
      <c r="BA91" s="7">
        <v>0</v>
      </c>
      <c r="BB91" s="7">
        <v>755.83500000000004</v>
      </c>
      <c r="BC91" s="7">
        <v>1012.322</v>
      </c>
      <c r="BD91" s="7">
        <v>0</v>
      </c>
      <c r="BE91" s="7">
        <v>224.46199999999999</v>
      </c>
      <c r="BF91" s="7">
        <v>0</v>
      </c>
      <c r="BG91" s="7">
        <v>0</v>
      </c>
      <c r="BH91" s="7">
        <v>357.68700000000001</v>
      </c>
      <c r="BI91" s="21"/>
    </row>
    <row r="92" spans="1:61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58153.883000000002</v>
      </c>
      <c r="F92" s="7">
        <v>8492.5709999999999</v>
      </c>
      <c r="G92" s="7">
        <v>13853.093999999999</v>
      </c>
      <c r="H92" s="7">
        <v>0</v>
      </c>
      <c r="I92" s="7">
        <v>1204.6669999999999</v>
      </c>
      <c r="J92" s="7">
        <v>8003.0959999999995</v>
      </c>
      <c r="K92" s="7">
        <v>0</v>
      </c>
      <c r="L92" s="7">
        <v>19913.705999999998</v>
      </c>
      <c r="M92" s="7">
        <v>27763.149000000001</v>
      </c>
      <c r="N92" s="7">
        <v>0</v>
      </c>
      <c r="O92" s="7">
        <v>0</v>
      </c>
      <c r="P92" s="7">
        <v>0.73099999999999998</v>
      </c>
      <c r="Q92" s="7">
        <v>0</v>
      </c>
      <c r="R92" s="7">
        <v>0</v>
      </c>
      <c r="S92" s="7">
        <v>3969.1190000000001</v>
      </c>
      <c r="T92" s="7">
        <v>0</v>
      </c>
      <c r="U92" s="7">
        <v>0</v>
      </c>
      <c r="V92" s="7">
        <v>2079.6350000000002</v>
      </c>
      <c r="W92" s="7">
        <v>2782.5929999999998</v>
      </c>
      <c r="X92" s="7">
        <v>0</v>
      </c>
      <c r="Y92" s="7">
        <v>9065.1229999999996</v>
      </c>
      <c r="Z92" s="7">
        <v>0</v>
      </c>
      <c r="AA92" s="7">
        <v>16264.297</v>
      </c>
      <c r="AB92" s="7">
        <v>0</v>
      </c>
      <c r="AC92" s="7">
        <v>1361.2850000000001</v>
      </c>
      <c r="AD92" s="7">
        <v>0</v>
      </c>
      <c r="AE92" s="7">
        <v>9286.23</v>
      </c>
      <c r="AF92" s="7">
        <v>0</v>
      </c>
      <c r="AG92" s="7">
        <v>0</v>
      </c>
      <c r="AH92" s="7">
        <v>46902.735999999997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1815.174</v>
      </c>
      <c r="AP92" s="7">
        <v>0</v>
      </c>
      <c r="AQ92" s="7">
        <v>0</v>
      </c>
      <c r="AR92" s="7">
        <v>0</v>
      </c>
      <c r="AS92" s="7">
        <v>35.646999999999998</v>
      </c>
      <c r="AT92" s="7">
        <v>0</v>
      </c>
      <c r="AU92" s="7">
        <v>887.53800000000001</v>
      </c>
      <c r="AV92" s="7">
        <v>0</v>
      </c>
      <c r="AW92" s="7">
        <v>0</v>
      </c>
      <c r="AX92" s="7">
        <v>0</v>
      </c>
      <c r="AY92" s="7">
        <v>2355.683</v>
      </c>
      <c r="AZ92" s="7">
        <v>0</v>
      </c>
      <c r="BA92" s="7">
        <v>0</v>
      </c>
      <c r="BB92" s="7">
        <v>850.77800000000002</v>
      </c>
      <c r="BC92" s="7">
        <v>1163.6179999999999</v>
      </c>
      <c r="BD92" s="7">
        <v>0</v>
      </c>
      <c r="BE92" s="7">
        <v>250.17599999999999</v>
      </c>
      <c r="BF92" s="7">
        <v>0</v>
      </c>
      <c r="BG92" s="7">
        <v>0</v>
      </c>
      <c r="BH92" s="7">
        <v>408.02600000000001</v>
      </c>
      <c r="BI92" s="21"/>
    </row>
    <row r="93" spans="1:61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25403.159</v>
      </c>
      <c r="F93" s="7">
        <v>2019.14</v>
      </c>
      <c r="G93" s="7">
        <v>5746.7860000000001</v>
      </c>
      <c r="H93" s="7">
        <v>0</v>
      </c>
      <c r="I93" s="7">
        <v>34.475999999999999</v>
      </c>
      <c r="J93" s="7">
        <v>1627.444</v>
      </c>
      <c r="K93" s="7">
        <v>0</v>
      </c>
      <c r="L93" s="7">
        <v>26526.76</v>
      </c>
      <c r="M93" s="7">
        <v>3537.451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833.52499999999998</v>
      </c>
      <c r="T93" s="7">
        <v>0</v>
      </c>
      <c r="U93" s="7">
        <v>0</v>
      </c>
      <c r="V93" s="7">
        <v>493.24299999999999</v>
      </c>
      <c r="W93" s="7">
        <v>180.667</v>
      </c>
      <c r="X93" s="7">
        <v>0</v>
      </c>
      <c r="Y93" s="7">
        <v>6791.9489999999996</v>
      </c>
      <c r="Z93" s="7">
        <v>0</v>
      </c>
      <c r="AA93" s="7">
        <v>2919.2809999999999</v>
      </c>
      <c r="AB93" s="7">
        <v>0</v>
      </c>
      <c r="AC93" s="7">
        <v>928.12699999999995</v>
      </c>
      <c r="AD93" s="7">
        <v>0</v>
      </c>
      <c r="AE93" s="7">
        <v>69081.820999999996</v>
      </c>
      <c r="AF93" s="7">
        <v>9.6000000000000002E-2</v>
      </c>
      <c r="AG93" s="7">
        <v>0</v>
      </c>
      <c r="AH93" s="7">
        <v>95263.713000000003</v>
      </c>
      <c r="AI93" s="7">
        <v>0.16400000000000001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1165.806</v>
      </c>
      <c r="AP93" s="7">
        <v>0</v>
      </c>
      <c r="AQ93" s="7">
        <v>1.2E-2</v>
      </c>
      <c r="AR93" s="7">
        <v>0</v>
      </c>
      <c r="AS93" s="7">
        <v>2.544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540.93299999999999</v>
      </c>
      <c r="BC93" s="7">
        <v>0</v>
      </c>
      <c r="BD93" s="7">
        <v>0</v>
      </c>
      <c r="BE93" s="7">
        <v>157.947</v>
      </c>
      <c r="BF93" s="7">
        <v>0</v>
      </c>
      <c r="BG93" s="7">
        <v>0</v>
      </c>
      <c r="BH93" s="7">
        <v>0</v>
      </c>
      <c r="BI93" s="21"/>
    </row>
    <row r="94" spans="1:61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101331.984</v>
      </c>
      <c r="F94" s="7">
        <v>15611.868</v>
      </c>
      <c r="G94" s="7">
        <v>19887.309000000001</v>
      </c>
      <c r="H94" s="7">
        <v>0</v>
      </c>
      <c r="I94" s="7">
        <v>722.95</v>
      </c>
      <c r="J94" s="7">
        <v>12007.487999999999</v>
      </c>
      <c r="K94" s="7">
        <v>0</v>
      </c>
      <c r="L94" s="7">
        <v>114673.621</v>
      </c>
      <c r="M94" s="7">
        <v>15025.45</v>
      </c>
      <c r="N94" s="7">
        <v>0</v>
      </c>
      <c r="O94" s="7">
        <v>0</v>
      </c>
      <c r="P94" s="7">
        <v>0.22500000000000001</v>
      </c>
      <c r="Q94" s="7">
        <v>0</v>
      </c>
      <c r="R94" s="7">
        <v>0</v>
      </c>
      <c r="S94" s="7">
        <v>6514.9679999999998</v>
      </c>
      <c r="T94" s="7">
        <v>0</v>
      </c>
      <c r="U94" s="7">
        <v>0</v>
      </c>
      <c r="V94" s="7">
        <v>2935.0259999999998</v>
      </c>
      <c r="W94" s="7">
        <v>789.40200000000004</v>
      </c>
      <c r="X94" s="7">
        <v>0</v>
      </c>
      <c r="Y94" s="7">
        <v>25252.381000000001</v>
      </c>
      <c r="Z94" s="7">
        <v>0</v>
      </c>
      <c r="AA94" s="7">
        <v>26612.812000000002</v>
      </c>
      <c r="AB94" s="7">
        <v>0</v>
      </c>
      <c r="AC94" s="7">
        <v>4596.683</v>
      </c>
      <c r="AD94" s="7">
        <v>0</v>
      </c>
      <c r="AE94" s="7">
        <v>238480.321</v>
      </c>
      <c r="AF94" s="7">
        <v>5811.78</v>
      </c>
      <c r="AG94" s="7">
        <v>0</v>
      </c>
      <c r="AH94" s="7">
        <v>359470.495</v>
      </c>
      <c r="AI94" s="7">
        <v>8872.3040000000001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7977.9179999999997</v>
      </c>
      <c r="AP94" s="7">
        <v>0</v>
      </c>
      <c r="AQ94" s="7">
        <v>2321.5</v>
      </c>
      <c r="AR94" s="7">
        <v>0</v>
      </c>
      <c r="AS94" s="7">
        <v>23.283000000000001</v>
      </c>
      <c r="AT94" s="7">
        <v>0</v>
      </c>
      <c r="AU94" s="7">
        <v>29.69</v>
      </c>
      <c r="AV94" s="7">
        <v>0</v>
      </c>
      <c r="AW94" s="7">
        <v>0</v>
      </c>
      <c r="AX94" s="7">
        <v>0</v>
      </c>
      <c r="AY94" s="7">
        <v>163.53899999999999</v>
      </c>
      <c r="AZ94" s="7">
        <v>3849.8670000000002</v>
      </c>
      <c r="BA94" s="7">
        <v>0</v>
      </c>
      <c r="BB94" s="7">
        <v>3694.7440000000001</v>
      </c>
      <c r="BC94" s="7">
        <v>27.459</v>
      </c>
      <c r="BD94" s="7">
        <v>5074.5140000000001</v>
      </c>
      <c r="BE94" s="7">
        <v>1082.289</v>
      </c>
      <c r="BF94" s="7">
        <v>1746.077</v>
      </c>
      <c r="BG94" s="7">
        <v>0</v>
      </c>
      <c r="BH94" s="7">
        <v>9.7780000000000005</v>
      </c>
      <c r="BI94" s="21"/>
    </row>
    <row r="95" spans="1:61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62750.222000000002</v>
      </c>
      <c r="F95" s="7">
        <v>28513.030999999999</v>
      </c>
      <c r="G95" s="7">
        <v>3702.1950000000002</v>
      </c>
      <c r="H95" s="7">
        <v>262.745</v>
      </c>
      <c r="I95" s="7">
        <v>1861.1379999999999</v>
      </c>
      <c r="J95" s="7">
        <v>19727.781999999999</v>
      </c>
      <c r="K95" s="7">
        <v>0</v>
      </c>
      <c r="L95" s="7">
        <v>99183.244999999995</v>
      </c>
      <c r="M95" s="7">
        <v>10318.641</v>
      </c>
      <c r="N95" s="7">
        <v>0</v>
      </c>
      <c r="O95" s="7">
        <v>0</v>
      </c>
      <c r="P95" s="7">
        <v>0.89500000000000002</v>
      </c>
      <c r="Q95" s="7">
        <v>0</v>
      </c>
      <c r="R95" s="7">
        <v>0</v>
      </c>
      <c r="S95" s="7">
        <v>11943.877</v>
      </c>
      <c r="T95" s="7">
        <v>0</v>
      </c>
      <c r="U95" s="7">
        <v>0</v>
      </c>
      <c r="V95" s="7">
        <v>4016.433</v>
      </c>
      <c r="W95" s="7">
        <v>710.04700000000003</v>
      </c>
      <c r="X95" s="7">
        <v>0</v>
      </c>
      <c r="Y95" s="7">
        <v>12440.212</v>
      </c>
      <c r="Z95" s="7">
        <v>0</v>
      </c>
      <c r="AA95" s="7">
        <v>51453.385999999999</v>
      </c>
      <c r="AB95" s="7">
        <v>0</v>
      </c>
      <c r="AC95" s="7">
        <v>4964.2690000000002</v>
      </c>
      <c r="AD95" s="7">
        <v>0</v>
      </c>
      <c r="AE95" s="7">
        <v>46554.919000000002</v>
      </c>
      <c r="AF95" s="7">
        <v>27391.916000000001</v>
      </c>
      <c r="AG95" s="7">
        <v>0</v>
      </c>
      <c r="AH95" s="7">
        <v>169327.77499999999</v>
      </c>
      <c r="AI95" s="7">
        <v>42235.207999999999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12772.055</v>
      </c>
      <c r="AP95" s="7">
        <v>0</v>
      </c>
      <c r="AQ95" s="7">
        <v>11010.767</v>
      </c>
      <c r="AR95" s="7">
        <v>0</v>
      </c>
      <c r="AS95" s="7">
        <v>51.780999999999999</v>
      </c>
      <c r="AT95" s="7">
        <v>0</v>
      </c>
      <c r="AU95" s="7">
        <v>182.87100000000001</v>
      </c>
      <c r="AV95" s="7">
        <v>0</v>
      </c>
      <c r="AW95" s="7">
        <v>0</v>
      </c>
      <c r="AX95" s="7">
        <v>0</v>
      </c>
      <c r="AY95" s="7">
        <v>774.35699999999997</v>
      </c>
      <c r="AZ95" s="7">
        <v>18326.706999999999</v>
      </c>
      <c r="BA95" s="7">
        <v>0</v>
      </c>
      <c r="BB95" s="7">
        <v>5903.35</v>
      </c>
      <c r="BC95" s="7">
        <v>127.834</v>
      </c>
      <c r="BD95" s="7">
        <v>24156.453000000001</v>
      </c>
      <c r="BE95" s="7">
        <v>1733.1780000000001</v>
      </c>
      <c r="BF95" s="7">
        <v>8311.9320000000007</v>
      </c>
      <c r="BG95" s="7">
        <v>0</v>
      </c>
      <c r="BH95" s="7">
        <v>44.826000000000001</v>
      </c>
      <c r="BI95" s="21"/>
    </row>
    <row r="96" spans="1:61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21"/>
    </row>
    <row r="97" spans="1:61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21"/>
    </row>
    <row r="98" spans="1:61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21"/>
    </row>
    <row r="99" spans="1:61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21"/>
    </row>
    <row r="100" spans="1:61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21"/>
    </row>
    <row r="101" spans="1:61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21"/>
    </row>
    <row r="102" spans="1:61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21"/>
    </row>
    <row r="103" spans="1:61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29321.672999999999</v>
      </c>
      <c r="F103" s="7">
        <v>0</v>
      </c>
      <c r="G103" s="7">
        <v>0</v>
      </c>
      <c r="H103" s="7">
        <v>1569.5129999999999</v>
      </c>
      <c r="I103" s="7">
        <v>0</v>
      </c>
      <c r="J103" s="7">
        <v>0</v>
      </c>
      <c r="K103" s="7">
        <v>0</v>
      </c>
      <c r="L103" s="7">
        <v>21677.072</v>
      </c>
      <c r="M103" s="7">
        <v>19249.414000000001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363.28399999999999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4403.8779999999997</v>
      </c>
      <c r="AF103" s="7">
        <v>0</v>
      </c>
      <c r="AG103" s="7">
        <v>0</v>
      </c>
      <c r="AH103" s="7">
        <v>25561.345000000001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21"/>
    </row>
    <row r="104" spans="1:61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520983.391</v>
      </c>
      <c r="F104" s="7">
        <v>100717.534</v>
      </c>
      <c r="G104" s="7">
        <v>714.68399999999997</v>
      </c>
      <c r="H104" s="7">
        <v>12718.269</v>
      </c>
      <c r="I104" s="7">
        <v>2043.027</v>
      </c>
      <c r="J104" s="7">
        <v>412.88099999999997</v>
      </c>
      <c r="K104" s="7">
        <v>0</v>
      </c>
      <c r="L104" s="7">
        <v>1144544.352</v>
      </c>
      <c r="M104" s="7">
        <v>50769.351999999999</v>
      </c>
      <c r="N104" s="7">
        <v>0</v>
      </c>
      <c r="O104" s="7">
        <v>312.524</v>
      </c>
      <c r="P104" s="7">
        <v>19.754999999999999</v>
      </c>
      <c r="Q104" s="7">
        <v>278.48099999999999</v>
      </c>
      <c r="R104" s="7">
        <v>0</v>
      </c>
      <c r="S104" s="7">
        <v>31410.213</v>
      </c>
      <c r="T104" s="7">
        <v>0</v>
      </c>
      <c r="U104" s="7">
        <v>0</v>
      </c>
      <c r="V104" s="7">
        <v>107.288</v>
      </c>
      <c r="W104" s="7">
        <v>9553.8539999999994</v>
      </c>
      <c r="X104" s="7">
        <v>0</v>
      </c>
      <c r="Y104" s="7">
        <v>252383.81200000001</v>
      </c>
      <c r="Z104" s="7">
        <v>0</v>
      </c>
      <c r="AA104" s="7">
        <v>34840.872000000003</v>
      </c>
      <c r="AB104" s="7">
        <v>21130.291000000001</v>
      </c>
      <c r="AC104" s="7">
        <v>17878.725999999999</v>
      </c>
      <c r="AD104" s="7">
        <v>0</v>
      </c>
      <c r="AE104" s="7">
        <v>739600.48100000003</v>
      </c>
      <c r="AF104" s="7">
        <v>713623.076</v>
      </c>
      <c r="AG104" s="7">
        <v>0</v>
      </c>
      <c r="AH104" s="7">
        <v>1924346.0430000001</v>
      </c>
      <c r="AI104" s="7">
        <v>1118622.3999999999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24501.095000000001</v>
      </c>
      <c r="AP104" s="7">
        <v>0</v>
      </c>
      <c r="AQ104" s="7">
        <v>289880.27</v>
      </c>
      <c r="AR104" s="7">
        <v>0</v>
      </c>
      <c r="AS104" s="7">
        <v>295.67200000000003</v>
      </c>
      <c r="AT104" s="7">
        <v>0</v>
      </c>
      <c r="AU104" s="7">
        <v>2191.143</v>
      </c>
      <c r="AV104" s="7">
        <v>0</v>
      </c>
      <c r="AW104" s="7">
        <v>0</v>
      </c>
      <c r="AX104" s="7">
        <v>0</v>
      </c>
      <c r="AY104" s="7">
        <v>13776.695</v>
      </c>
      <c r="AZ104" s="7">
        <v>485398.42</v>
      </c>
      <c r="BA104" s="7">
        <v>0</v>
      </c>
      <c r="BB104" s="7">
        <v>11334.790999999999</v>
      </c>
      <c r="BC104" s="7">
        <v>60.030999999999999</v>
      </c>
      <c r="BD104" s="7">
        <v>639804.20700000005</v>
      </c>
      <c r="BE104" s="7">
        <v>3277.759</v>
      </c>
      <c r="BF104" s="7">
        <v>220148.595</v>
      </c>
      <c r="BG104" s="7">
        <v>0</v>
      </c>
      <c r="BH104" s="7">
        <v>21.050999999999998</v>
      </c>
      <c r="BI104" s="21"/>
    </row>
    <row r="105" spans="1:61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225384.81899999999</v>
      </c>
      <c r="F105" s="7">
        <v>41347.266000000003</v>
      </c>
      <c r="G105" s="7">
        <v>240.785</v>
      </c>
      <c r="H105" s="7">
        <v>29088.162</v>
      </c>
      <c r="I105" s="7">
        <v>885.71100000000001</v>
      </c>
      <c r="J105" s="7">
        <v>139.10400000000001</v>
      </c>
      <c r="K105" s="7">
        <v>0</v>
      </c>
      <c r="L105" s="7">
        <v>492789.962</v>
      </c>
      <c r="M105" s="7">
        <v>22021.213</v>
      </c>
      <c r="N105" s="7">
        <v>0</v>
      </c>
      <c r="O105" s="7">
        <v>91.822999999999993</v>
      </c>
      <c r="P105" s="7">
        <v>8.6219999999999999</v>
      </c>
      <c r="Q105" s="7">
        <v>81.834000000000003</v>
      </c>
      <c r="R105" s="7">
        <v>0</v>
      </c>
      <c r="S105" s="7">
        <v>13692.083000000001</v>
      </c>
      <c r="T105" s="7">
        <v>0</v>
      </c>
      <c r="U105" s="7">
        <v>0</v>
      </c>
      <c r="V105" s="7">
        <v>36.146999999999998</v>
      </c>
      <c r="W105" s="7">
        <v>4156.5389999999998</v>
      </c>
      <c r="X105" s="7">
        <v>0</v>
      </c>
      <c r="Y105" s="7">
        <v>110134.428</v>
      </c>
      <c r="Z105" s="7">
        <v>0</v>
      </c>
      <c r="AA105" s="7">
        <v>15126.566999999999</v>
      </c>
      <c r="AB105" s="7">
        <v>6208.64</v>
      </c>
      <c r="AC105" s="7">
        <v>7798.165</v>
      </c>
      <c r="AD105" s="7">
        <v>0</v>
      </c>
      <c r="AE105" s="7">
        <v>322452.17099999997</v>
      </c>
      <c r="AF105" s="7">
        <v>311540.29800000001</v>
      </c>
      <c r="AG105" s="7">
        <v>0</v>
      </c>
      <c r="AH105" s="7">
        <v>832621.21699999995</v>
      </c>
      <c r="AI105" s="7">
        <v>488347.38099999999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10686.898999999999</v>
      </c>
      <c r="AP105" s="7">
        <v>0</v>
      </c>
      <c r="AQ105" s="7">
        <v>126550.539</v>
      </c>
      <c r="AR105" s="7">
        <v>0</v>
      </c>
      <c r="AS105" s="7">
        <v>128.89500000000001</v>
      </c>
      <c r="AT105" s="7">
        <v>0</v>
      </c>
      <c r="AU105" s="7">
        <v>951.97900000000004</v>
      </c>
      <c r="AV105" s="7">
        <v>0</v>
      </c>
      <c r="AW105" s="7">
        <v>0</v>
      </c>
      <c r="AX105" s="7">
        <v>0</v>
      </c>
      <c r="AY105" s="7">
        <v>6002.2650000000003</v>
      </c>
      <c r="AZ105" s="7">
        <v>211906.22</v>
      </c>
      <c r="BA105" s="7">
        <v>0</v>
      </c>
      <c r="BB105" s="7">
        <v>4943.9589999999998</v>
      </c>
      <c r="BC105" s="7">
        <v>20.225000000000001</v>
      </c>
      <c r="BD105" s="7">
        <v>279313.82699999999</v>
      </c>
      <c r="BE105" s="7">
        <v>1429.6569999999999</v>
      </c>
      <c r="BF105" s="7">
        <v>96108.383000000002</v>
      </c>
      <c r="BG105" s="7">
        <v>0</v>
      </c>
      <c r="BH105" s="7">
        <v>7.0919999999999996</v>
      </c>
      <c r="BI105" s="21"/>
    </row>
    <row r="106" spans="1:61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115586.565</v>
      </c>
      <c r="F106" s="7">
        <v>21174.214</v>
      </c>
      <c r="G106" s="7">
        <v>671.00900000000001</v>
      </c>
      <c r="H106" s="7">
        <v>8794.1049999999996</v>
      </c>
      <c r="I106" s="7">
        <v>488.74200000000002</v>
      </c>
      <c r="J106" s="7">
        <v>387.65</v>
      </c>
      <c r="K106" s="7">
        <v>0</v>
      </c>
      <c r="L106" s="7">
        <v>247723.74400000001</v>
      </c>
      <c r="M106" s="7">
        <v>12803.019</v>
      </c>
      <c r="N106" s="7">
        <v>0</v>
      </c>
      <c r="O106" s="7">
        <v>123.44199999999999</v>
      </c>
      <c r="P106" s="7">
        <v>4.3170000000000002</v>
      </c>
      <c r="Q106" s="7">
        <v>109.995</v>
      </c>
      <c r="R106" s="7">
        <v>0</v>
      </c>
      <c r="S106" s="7">
        <v>6972.2860000000001</v>
      </c>
      <c r="T106" s="7">
        <v>0</v>
      </c>
      <c r="U106" s="7">
        <v>0</v>
      </c>
      <c r="V106" s="7">
        <v>100.732</v>
      </c>
      <c r="W106" s="7">
        <v>2179.366</v>
      </c>
      <c r="X106" s="7">
        <v>0</v>
      </c>
      <c r="Y106" s="7">
        <v>55173.135000000002</v>
      </c>
      <c r="Z106" s="7">
        <v>0</v>
      </c>
      <c r="AA106" s="7">
        <v>8175.4030000000002</v>
      </c>
      <c r="AB106" s="7">
        <v>8346.0229999999992</v>
      </c>
      <c r="AC106" s="7">
        <v>3935.203</v>
      </c>
      <c r="AD106" s="7">
        <v>0</v>
      </c>
      <c r="AE106" s="7">
        <v>161513.87400000001</v>
      </c>
      <c r="AF106" s="7">
        <v>155056.87299999999</v>
      </c>
      <c r="AG106" s="7">
        <v>0</v>
      </c>
      <c r="AH106" s="7">
        <v>418487.11099999998</v>
      </c>
      <c r="AI106" s="7">
        <v>243069.601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5390.9539999999997</v>
      </c>
      <c r="AP106" s="7">
        <v>0</v>
      </c>
      <c r="AQ106" s="7">
        <v>62982.546999999999</v>
      </c>
      <c r="AR106" s="7">
        <v>0</v>
      </c>
      <c r="AS106" s="7">
        <v>65.575000000000003</v>
      </c>
      <c r="AT106" s="7">
        <v>0</v>
      </c>
      <c r="AU106" s="7">
        <v>509.07900000000001</v>
      </c>
      <c r="AV106" s="7">
        <v>0</v>
      </c>
      <c r="AW106" s="7">
        <v>0</v>
      </c>
      <c r="AX106" s="7">
        <v>0</v>
      </c>
      <c r="AY106" s="7">
        <v>3080.9760000000001</v>
      </c>
      <c r="AZ106" s="7">
        <v>105462.954</v>
      </c>
      <c r="BA106" s="7">
        <v>0</v>
      </c>
      <c r="BB106" s="7">
        <v>2494.3939999999998</v>
      </c>
      <c r="BC106" s="7">
        <v>56.363</v>
      </c>
      <c r="BD106" s="7">
        <v>139010.834</v>
      </c>
      <c r="BE106" s="7">
        <v>721.47699999999998</v>
      </c>
      <c r="BF106" s="7">
        <v>47831.881000000001</v>
      </c>
      <c r="BG106" s="7">
        <v>0</v>
      </c>
      <c r="BH106" s="7">
        <v>19.763000000000002</v>
      </c>
      <c r="BI106" s="21"/>
    </row>
    <row r="107" spans="1:61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21"/>
    </row>
    <row r="108" spans="1:61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21"/>
    </row>
    <row r="109" spans="1:61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21"/>
    </row>
    <row r="110" spans="1:61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131155.36799999999</v>
      </c>
      <c r="F110" s="7">
        <v>427.96899999999999</v>
      </c>
      <c r="G110" s="7">
        <v>0</v>
      </c>
      <c r="H110" s="7">
        <v>7857.4260000000004</v>
      </c>
      <c r="I110" s="7">
        <v>2.1000000000000001E-2</v>
      </c>
      <c r="J110" s="7">
        <v>0</v>
      </c>
      <c r="K110" s="7">
        <v>0</v>
      </c>
      <c r="L110" s="7">
        <v>176610.29800000001</v>
      </c>
      <c r="M110" s="7">
        <v>26367.013999999999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0.32700000000000001</v>
      </c>
      <c r="T110" s="7">
        <v>0</v>
      </c>
      <c r="U110" s="7">
        <v>0</v>
      </c>
      <c r="V110" s="7">
        <v>0</v>
      </c>
      <c r="W110" s="7">
        <v>9.8000000000000004E-2</v>
      </c>
      <c r="X110" s="7">
        <v>0</v>
      </c>
      <c r="Y110" s="7">
        <v>50368.7</v>
      </c>
      <c r="Z110" s="7">
        <v>0</v>
      </c>
      <c r="AA110" s="7">
        <v>0.35699999999999998</v>
      </c>
      <c r="AB110" s="7">
        <v>0</v>
      </c>
      <c r="AC110" s="7">
        <v>0.187</v>
      </c>
      <c r="AD110" s="7">
        <v>0</v>
      </c>
      <c r="AE110" s="7">
        <v>163820.432</v>
      </c>
      <c r="AF110" s="7">
        <v>12502.735000000001</v>
      </c>
      <c r="AG110" s="7">
        <v>0</v>
      </c>
      <c r="AH110" s="7">
        <v>422496.55</v>
      </c>
      <c r="AI110" s="7">
        <v>14813.989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0.25700000000000001</v>
      </c>
      <c r="AP110" s="7">
        <v>0</v>
      </c>
      <c r="AQ110" s="7">
        <v>3.0449999999999999</v>
      </c>
      <c r="AR110" s="7">
        <v>0</v>
      </c>
      <c r="AS110" s="7">
        <v>8.0000000000000002E-3</v>
      </c>
      <c r="AT110" s="7">
        <v>0</v>
      </c>
      <c r="AU110" s="7">
        <v>1.4999999999999999E-2</v>
      </c>
      <c r="AV110" s="7">
        <v>0</v>
      </c>
      <c r="AW110" s="7">
        <v>0</v>
      </c>
      <c r="AX110" s="7">
        <v>0</v>
      </c>
      <c r="AY110" s="7">
        <v>0.14299999999999999</v>
      </c>
      <c r="AZ110" s="7">
        <v>5.0979999999999999</v>
      </c>
      <c r="BA110" s="7">
        <v>0</v>
      </c>
      <c r="BB110" s="7">
        <v>0.11899999999999999</v>
      </c>
      <c r="BC110" s="7">
        <v>0</v>
      </c>
      <c r="BD110" s="7">
        <v>6.72</v>
      </c>
      <c r="BE110" s="7">
        <v>3.5000000000000003E-2</v>
      </c>
      <c r="BF110" s="7">
        <v>2.3130000000000002</v>
      </c>
      <c r="BG110" s="7">
        <v>0</v>
      </c>
      <c r="BH110" s="7">
        <v>0</v>
      </c>
      <c r="BI110" s="21"/>
    </row>
    <row r="111" spans="1:61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169420.85</v>
      </c>
      <c r="F111" s="7">
        <v>31171.844000000001</v>
      </c>
      <c r="G111" s="7">
        <v>0</v>
      </c>
      <c r="H111" s="7">
        <v>0</v>
      </c>
      <c r="I111" s="7">
        <v>653.52499999999998</v>
      </c>
      <c r="J111" s="7">
        <v>0</v>
      </c>
      <c r="K111" s="7">
        <v>0</v>
      </c>
      <c r="L111" s="7">
        <v>372977.70899999997</v>
      </c>
      <c r="M111" s="7">
        <v>16289.444</v>
      </c>
      <c r="N111" s="7">
        <v>0</v>
      </c>
      <c r="O111" s="7">
        <v>0</v>
      </c>
      <c r="P111" s="7">
        <v>6.5030000000000001</v>
      </c>
      <c r="Q111" s="7">
        <v>0</v>
      </c>
      <c r="R111" s="7">
        <v>0</v>
      </c>
      <c r="S111" s="7">
        <v>10294.971</v>
      </c>
      <c r="T111" s="7">
        <v>0</v>
      </c>
      <c r="U111" s="7">
        <v>0</v>
      </c>
      <c r="V111" s="7">
        <v>0</v>
      </c>
      <c r="W111" s="7">
        <v>3104.55</v>
      </c>
      <c r="X111" s="7">
        <v>0</v>
      </c>
      <c r="Y111" s="7">
        <v>83146.141000000003</v>
      </c>
      <c r="Z111" s="7">
        <v>0</v>
      </c>
      <c r="AA111" s="7">
        <v>11217.429</v>
      </c>
      <c r="AB111" s="7">
        <v>6.2039999999999997</v>
      </c>
      <c r="AC111" s="7">
        <v>5875.1840000000002</v>
      </c>
      <c r="AD111" s="7">
        <v>0</v>
      </c>
      <c r="AE111" s="7">
        <v>243134.16200000001</v>
      </c>
      <c r="AF111" s="7">
        <v>235491.856</v>
      </c>
      <c r="AG111" s="7">
        <v>0</v>
      </c>
      <c r="AH111" s="7">
        <v>630073.321</v>
      </c>
      <c r="AI111" s="7">
        <v>369104.36200000002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8052.1880000000001</v>
      </c>
      <c r="AP111" s="7">
        <v>0</v>
      </c>
      <c r="AQ111" s="7">
        <v>95639.811000000002</v>
      </c>
      <c r="AR111" s="7">
        <v>0</v>
      </c>
      <c r="AS111" s="7">
        <v>96.938999999999993</v>
      </c>
      <c r="AT111" s="7">
        <v>0</v>
      </c>
      <c r="AU111" s="7">
        <v>909.90899999999999</v>
      </c>
      <c r="AV111" s="7">
        <v>0</v>
      </c>
      <c r="AW111" s="7">
        <v>0</v>
      </c>
      <c r="AX111" s="7">
        <v>0</v>
      </c>
      <c r="AY111" s="7">
        <v>4504.933</v>
      </c>
      <c r="AZ111" s="7">
        <v>160136.35</v>
      </c>
      <c r="BA111" s="7">
        <v>0</v>
      </c>
      <c r="BB111" s="7">
        <v>3724.9470000000001</v>
      </c>
      <c r="BC111" s="7">
        <v>0</v>
      </c>
      <c r="BD111" s="7">
        <v>211075.908</v>
      </c>
      <c r="BE111" s="7">
        <v>1077.0989999999999</v>
      </c>
      <c r="BF111" s="7">
        <v>72628.570999999996</v>
      </c>
      <c r="BG111" s="7">
        <v>0</v>
      </c>
      <c r="BH111" s="7">
        <v>0</v>
      </c>
      <c r="BI111" s="21"/>
    </row>
    <row r="112" spans="1:61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281168.79700000002</v>
      </c>
      <c r="F112" s="7">
        <v>43171.981</v>
      </c>
      <c r="G112" s="7">
        <v>14.67</v>
      </c>
      <c r="H112" s="7">
        <v>0</v>
      </c>
      <c r="I112" s="7">
        <v>1318.5519999999999</v>
      </c>
      <c r="J112" s="7">
        <v>157.13999999999999</v>
      </c>
      <c r="K112" s="7">
        <v>0</v>
      </c>
      <c r="L112" s="7">
        <v>621291.20700000005</v>
      </c>
      <c r="M112" s="7">
        <v>28112.474999999999</v>
      </c>
      <c r="N112" s="7">
        <v>0</v>
      </c>
      <c r="O112" s="7">
        <v>0</v>
      </c>
      <c r="P112" s="7">
        <v>0.64700000000000002</v>
      </c>
      <c r="Q112" s="7">
        <v>0</v>
      </c>
      <c r="R112" s="7">
        <v>0</v>
      </c>
      <c r="S112" s="7">
        <v>13848.531000000001</v>
      </c>
      <c r="T112" s="7">
        <v>0</v>
      </c>
      <c r="U112" s="7">
        <v>0</v>
      </c>
      <c r="V112" s="7">
        <v>31.475000000000001</v>
      </c>
      <c r="W112" s="7">
        <v>5192.8760000000002</v>
      </c>
      <c r="X112" s="7">
        <v>41035.716</v>
      </c>
      <c r="Y112" s="7">
        <v>140694.834</v>
      </c>
      <c r="Z112" s="7">
        <v>0</v>
      </c>
      <c r="AA112" s="7">
        <v>24110.437999999998</v>
      </c>
      <c r="AB112" s="7">
        <v>0</v>
      </c>
      <c r="AC112" s="7">
        <v>9348.9930000000004</v>
      </c>
      <c r="AD112" s="7">
        <v>0</v>
      </c>
      <c r="AE112" s="7">
        <v>408086.90500000003</v>
      </c>
      <c r="AF112" s="7">
        <v>383037.17099999997</v>
      </c>
      <c r="AG112" s="7">
        <v>0</v>
      </c>
      <c r="AH112" s="7">
        <v>1165966.594</v>
      </c>
      <c r="AI112" s="7">
        <v>561233.62199999997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12910.33</v>
      </c>
      <c r="AP112" s="7">
        <v>124863.323</v>
      </c>
      <c r="AQ112" s="7">
        <v>156400.334</v>
      </c>
      <c r="AR112" s="7">
        <v>30962.26</v>
      </c>
      <c r="AS112" s="7">
        <v>129.00399999999999</v>
      </c>
      <c r="AT112" s="7">
        <v>0</v>
      </c>
      <c r="AU112" s="7">
        <v>781.17600000000004</v>
      </c>
      <c r="AV112" s="7">
        <v>78191.801000000007</v>
      </c>
      <c r="AW112" s="7">
        <v>181831.23300000001</v>
      </c>
      <c r="AX112" s="7">
        <v>59328.345999999998</v>
      </c>
      <c r="AY112" s="7">
        <v>447.37599999999998</v>
      </c>
      <c r="AZ112" s="7">
        <v>15902.806</v>
      </c>
      <c r="BA112" s="7">
        <v>43915.16</v>
      </c>
      <c r="BB112" s="7">
        <v>5959.0320000000002</v>
      </c>
      <c r="BC112" s="7">
        <v>0</v>
      </c>
      <c r="BD112" s="7">
        <v>20961.507000000001</v>
      </c>
      <c r="BE112" s="7">
        <v>1727.521</v>
      </c>
      <c r="BF112" s="7">
        <v>7212.5919999999996</v>
      </c>
      <c r="BG112" s="7">
        <v>0</v>
      </c>
      <c r="BH112" s="7">
        <v>0</v>
      </c>
      <c r="BI112" s="21"/>
    </row>
    <row r="113" spans="1:61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21"/>
    </row>
    <row r="114" spans="1:61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</v>
      </c>
      <c r="F114" s="7">
        <v>0.17799999999999999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1.4930000000000001</v>
      </c>
      <c r="AF114" s="7">
        <v>0.1</v>
      </c>
      <c r="AG114" s="7">
        <v>0</v>
      </c>
      <c r="AH114" s="7">
        <v>1.2470000000000001</v>
      </c>
      <c r="AI114" s="7">
        <v>5.1999999999999998E-2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21"/>
    </row>
    <row r="115" spans="1:61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71229.585999999996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162184.77799999999</v>
      </c>
      <c r="M115" s="7">
        <v>32866.413999999997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17105.065999999999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51188.122000000003</v>
      </c>
      <c r="AF115" s="7">
        <v>7.0000000000000001E-3</v>
      </c>
      <c r="AG115" s="7">
        <v>0</v>
      </c>
      <c r="AH115" s="7">
        <v>237218.82500000001</v>
      </c>
      <c r="AI115" s="7">
        <v>1.0999999999999999E-2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21"/>
    </row>
    <row r="116" spans="1:61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44126.334999999999</v>
      </c>
      <c r="F116" s="7">
        <v>8116.1970000000001</v>
      </c>
      <c r="G116" s="7">
        <v>0</v>
      </c>
      <c r="H116" s="7">
        <v>18444.511999999999</v>
      </c>
      <c r="I116" s="7">
        <v>170.35900000000001</v>
      </c>
      <c r="J116" s="7">
        <v>0</v>
      </c>
      <c r="K116" s="7">
        <v>0</v>
      </c>
      <c r="L116" s="7">
        <v>97009.834000000003</v>
      </c>
      <c r="M116" s="7">
        <v>4243.0450000000001</v>
      </c>
      <c r="N116" s="7">
        <v>0</v>
      </c>
      <c r="O116" s="7">
        <v>0</v>
      </c>
      <c r="P116" s="7">
        <v>1.696</v>
      </c>
      <c r="Q116" s="7">
        <v>0</v>
      </c>
      <c r="R116" s="7">
        <v>0</v>
      </c>
      <c r="S116" s="7">
        <v>2683.7049999999999</v>
      </c>
      <c r="T116" s="7">
        <v>0</v>
      </c>
      <c r="U116" s="7">
        <v>0</v>
      </c>
      <c r="V116" s="7">
        <v>0</v>
      </c>
      <c r="W116" s="7">
        <v>809.29700000000003</v>
      </c>
      <c r="X116" s="7">
        <v>0</v>
      </c>
      <c r="Y116" s="7">
        <v>21665.084999999999</v>
      </c>
      <c r="Z116" s="7">
        <v>0</v>
      </c>
      <c r="AA116" s="7">
        <v>2924.194</v>
      </c>
      <c r="AB116" s="7">
        <v>0</v>
      </c>
      <c r="AC116" s="7">
        <v>1531.5519999999999</v>
      </c>
      <c r="AD116" s="7">
        <v>14777.545</v>
      </c>
      <c r="AE116" s="7">
        <v>63335.68</v>
      </c>
      <c r="AF116" s="7">
        <v>61372.427000000003</v>
      </c>
      <c r="AG116" s="7">
        <v>68680.948000000004</v>
      </c>
      <c r="AH116" s="7">
        <v>163863.07500000001</v>
      </c>
      <c r="AI116" s="7">
        <v>96202.846999999994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2099.069</v>
      </c>
      <c r="AP116" s="7">
        <v>0</v>
      </c>
      <c r="AQ116" s="7">
        <v>24930.044999999998</v>
      </c>
      <c r="AR116" s="7">
        <v>0</v>
      </c>
      <c r="AS116" s="7">
        <v>25.27</v>
      </c>
      <c r="AT116" s="7">
        <v>0</v>
      </c>
      <c r="AU116" s="7">
        <v>3108.0369999999998</v>
      </c>
      <c r="AV116" s="7">
        <v>0</v>
      </c>
      <c r="AW116" s="7">
        <v>0</v>
      </c>
      <c r="AX116" s="7">
        <v>0</v>
      </c>
      <c r="AY116" s="7">
        <v>1174.3610000000001</v>
      </c>
      <c r="AZ116" s="7">
        <v>67376.167000000001</v>
      </c>
      <c r="BA116" s="7">
        <v>0</v>
      </c>
      <c r="BB116" s="7">
        <v>971.03099999999995</v>
      </c>
      <c r="BC116" s="7">
        <v>0</v>
      </c>
      <c r="BD116" s="7">
        <v>55023.917000000001</v>
      </c>
      <c r="BE116" s="7">
        <v>280.78100000000001</v>
      </c>
      <c r="BF116" s="7">
        <v>18933.039000000001</v>
      </c>
      <c r="BG116" s="7">
        <v>0</v>
      </c>
      <c r="BH116" s="7">
        <v>0</v>
      </c>
      <c r="BI116" s="21"/>
    </row>
    <row r="117" spans="1:61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249.65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709210.07200000004</v>
      </c>
      <c r="AL117" s="7">
        <v>362488.59899999999</v>
      </c>
      <c r="AM117" s="7">
        <v>0</v>
      </c>
      <c r="AN117" s="7">
        <v>239120.796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764.46199999999999</v>
      </c>
      <c r="AV117" s="7">
        <v>0</v>
      </c>
      <c r="AW117" s="7">
        <v>0</v>
      </c>
      <c r="AX117" s="7">
        <v>360.93700000000001</v>
      </c>
      <c r="AY117" s="7">
        <v>0</v>
      </c>
      <c r="AZ117" s="7">
        <v>0</v>
      </c>
      <c r="BA117" s="7">
        <v>267.16800000000001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21"/>
    </row>
    <row r="118" spans="1:61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8911.8809999999994</v>
      </c>
      <c r="F118" s="7">
        <v>1300.6500000000001</v>
      </c>
      <c r="G118" s="7">
        <v>2122.6759999999999</v>
      </c>
      <c r="H118" s="7">
        <v>0</v>
      </c>
      <c r="I118" s="7">
        <v>184.572</v>
      </c>
      <c r="J118" s="7">
        <v>1226.73</v>
      </c>
      <c r="K118" s="7">
        <v>11135.137000000001</v>
      </c>
      <c r="L118" s="7">
        <v>3053.0839999999998</v>
      </c>
      <c r="M118" s="7">
        <v>4254.2920000000004</v>
      </c>
      <c r="N118" s="7">
        <v>2995.6860000000001</v>
      </c>
      <c r="O118" s="7">
        <v>0</v>
      </c>
      <c r="P118" s="7">
        <v>0.112</v>
      </c>
      <c r="Q118" s="7">
        <v>0</v>
      </c>
      <c r="R118" s="7">
        <v>0</v>
      </c>
      <c r="S118" s="7">
        <v>607.77599999999995</v>
      </c>
      <c r="T118" s="7">
        <v>0</v>
      </c>
      <c r="U118" s="7">
        <v>8855.9410000000007</v>
      </c>
      <c r="V118" s="7">
        <v>318.54500000000002</v>
      </c>
      <c r="W118" s="7">
        <v>426.50099999999998</v>
      </c>
      <c r="X118" s="7">
        <v>0</v>
      </c>
      <c r="Y118" s="7">
        <v>1390.183</v>
      </c>
      <c r="Z118" s="7">
        <v>0</v>
      </c>
      <c r="AA118" s="7">
        <v>2491.808</v>
      </c>
      <c r="AB118" s="7">
        <v>0</v>
      </c>
      <c r="AC118" s="7">
        <v>208.51499999999999</v>
      </c>
      <c r="AD118" s="7">
        <v>12100.210999999999</v>
      </c>
      <c r="AE118" s="7">
        <v>1431.046</v>
      </c>
      <c r="AF118" s="7">
        <v>0</v>
      </c>
      <c r="AG118" s="7">
        <v>50249.26</v>
      </c>
      <c r="AH118" s="7">
        <v>7257.6239999999998</v>
      </c>
      <c r="AI118" s="7">
        <v>0</v>
      </c>
      <c r="AJ118" s="7">
        <v>0</v>
      </c>
      <c r="AK118" s="7">
        <v>0</v>
      </c>
      <c r="AL118" s="7">
        <v>0</v>
      </c>
      <c r="AM118" s="7">
        <v>2326.6559999999999</v>
      </c>
      <c r="AN118" s="7">
        <v>0</v>
      </c>
      <c r="AO118" s="7">
        <v>278.05399999999997</v>
      </c>
      <c r="AP118" s="7">
        <v>0</v>
      </c>
      <c r="AQ118" s="7">
        <v>0</v>
      </c>
      <c r="AR118" s="7">
        <v>0</v>
      </c>
      <c r="AS118" s="7">
        <v>53.325000000000003</v>
      </c>
      <c r="AT118" s="7">
        <v>0</v>
      </c>
      <c r="AU118" s="7">
        <v>2490.915</v>
      </c>
      <c r="AV118" s="7">
        <v>0</v>
      </c>
      <c r="AW118" s="7">
        <v>0</v>
      </c>
      <c r="AX118" s="7">
        <v>0</v>
      </c>
      <c r="AY118" s="7">
        <v>360.84399999999999</v>
      </c>
      <c r="AZ118" s="7">
        <v>0</v>
      </c>
      <c r="BA118" s="7">
        <v>0</v>
      </c>
      <c r="BB118" s="7">
        <v>130.328</v>
      </c>
      <c r="BC118" s="7">
        <v>178.244</v>
      </c>
      <c r="BD118" s="7">
        <v>0</v>
      </c>
      <c r="BE118" s="7">
        <v>38.323999999999998</v>
      </c>
      <c r="BF118" s="7">
        <v>0</v>
      </c>
      <c r="BG118" s="7">
        <v>0</v>
      </c>
      <c r="BH118" s="7">
        <v>62.503999999999998</v>
      </c>
      <c r="BI118" s="21"/>
    </row>
    <row r="119" spans="1:61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21"/>
    </row>
    <row r="120" spans="1:61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21"/>
    </row>
    <row r="121" spans="1:61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21"/>
    </row>
    <row r="122" spans="1:61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561131.48300000001</v>
      </c>
      <c r="F122" s="7">
        <v>83336.066000000006</v>
      </c>
      <c r="G122" s="7">
        <v>0</v>
      </c>
      <c r="H122" s="7">
        <v>0</v>
      </c>
      <c r="I122" s="7">
        <v>2310.931</v>
      </c>
      <c r="J122" s="7">
        <v>0</v>
      </c>
      <c r="K122" s="7">
        <v>0</v>
      </c>
      <c r="L122" s="7">
        <v>1269496.635</v>
      </c>
      <c r="M122" s="7">
        <v>29925.058000000001</v>
      </c>
      <c r="N122" s="7">
        <v>0</v>
      </c>
      <c r="O122" s="7">
        <v>3098.8969999999999</v>
      </c>
      <c r="P122" s="7">
        <v>0</v>
      </c>
      <c r="Q122" s="7">
        <v>713.33199999999999</v>
      </c>
      <c r="R122" s="7">
        <v>0</v>
      </c>
      <c r="S122" s="7">
        <v>26842.044999999998</v>
      </c>
      <c r="T122" s="7">
        <v>0</v>
      </c>
      <c r="U122" s="7">
        <v>0</v>
      </c>
      <c r="V122" s="7">
        <v>0</v>
      </c>
      <c r="W122" s="7">
        <v>10353.418</v>
      </c>
      <c r="X122" s="7">
        <v>47672.667000000001</v>
      </c>
      <c r="Y122" s="7">
        <v>292701.06800000003</v>
      </c>
      <c r="Z122" s="7">
        <v>32666.688999999998</v>
      </c>
      <c r="AA122" s="7">
        <v>51514.381999999998</v>
      </c>
      <c r="AB122" s="7">
        <v>70621.642999999996</v>
      </c>
      <c r="AC122" s="7">
        <v>18838.810000000001</v>
      </c>
      <c r="AD122" s="7">
        <v>8038.4790000000003</v>
      </c>
      <c r="AE122" s="7">
        <v>861045.97199999995</v>
      </c>
      <c r="AF122" s="7">
        <v>804286.39300000004</v>
      </c>
      <c r="AG122" s="7">
        <v>34935.264999999999</v>
      </c>
      <c r="AH122" s="7">
        <v>2147580.8029999998</v>
      </c>
      <c r="AI122" s="7">
        <v>1166352.6599999999</v>
      </c>
      <c r="AJ122" s="7">
        <v>172226.709</v>
      </c>
      <c r="AK122" s="7">
        <v>1360277.4339999999</v>
      </c>
      <c r="AL122" s="7">
        <v>695259.53099999996</v>
      </c>
      <c r="AM122" s="7">
        <v>0</v>
      </c>
      <c r="AN122" s="7">
        <v>458637.90600000002</v>
      </c>
      <c r="AO122" s="7">
        <v>27393.236000000001</v>
      </c>
      <c r="AP122" s="7">
        <v>0</v>
      </c>
      <c r="AQ122" s="7">
        <v>333004.68</v>
      </c>
      <c r="AR122" s="7">
        <v>0</v>
      </c>
      <c r="AS122" s="7">
        <v>271.50299999999999</v>
      </c>
      <c r="AT122" s="7">
        <v>0</v>
      </c>
      <c r="AU122" s="7">
        <v>1620.9079999999999</v>
      </c>
      <c r="AV122" s="7">
        <v>0</v>
      </c>
      <c r="AW122" s="7">
        <v>0</v>
      </c>
      <c r="AX122" s="7">
        <v>68923.865000000005</v>
      </c>
      <c r="AY122" s="7">
        <v>0</v>
      </c>
      <c r="AZ122" s="7">
        <v>0</v>
      </c>
      <c r="BA122" s="7">
        <v>51017.819000000003</v>
      </c>
      <c r="BB122" s="7">
        <v>12641.933999999999</v>
      </c>
      <c r="BC122" s="7">
        <v>0</v>
      </c>
      <c r="BD122" s="7">
        <v>0</v>
      </c>
      <c r="BE122" s="7">
        <v>3665.1019999999999</v>
      </c>
      <c r="BF122" s="7">
        <v>0</v>
      </c>
      <c r="BG122" s="7">
        <v>67137.135999999999</v>
      </c>
      <c r="BH122" s="7">
        <v>0</v>
      </c>
      <c r="BI122" s="21"/>
    </row>
    <row r="123" spans="1:61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5437.7690000000002</v>
      </c>
      <c r="F123" s="7">
        <v>964.91700000000003</v>
      </c>
      <c r="G123" s="7">
        <v>1073.7619999999999</v>
      </c>
      <c r="H123" s="7">
        <v>0</v>
      </c>
      <c r="I123" s="7">
        <v>47.914999999999999</v>
      </c>
      <c r="J123" s="7">
        <v>764.86800000000005</v>
      </c>
      <c r="K123" s="7">
        <v>0</v>
      </c>
      <c r="L123" s="7">
        <v>6077.1509999999998</v>
      </c>
      <c r="M123" s="7">
        <v>704.505</v>
      </c>
      <c r="N123" s="7">
        <v>0</v>
      </c>
      <c r="O123" s="7">
        <v>0</v>
      </c>
      <c r="P123" s="7">
        <v>2E-3</v>
      </c>
      <c r="Q123" s="7">
        <v>294.654</v>
      </c>
      <c r="R123" s="7">
        <v>366.34800000000001</v>
      </c>
      <c r="S123" s="7">
        <v>408.82400000000001</v>
      </c>
      <c r="T123" s="7">
        <v>0</v>
      </c>
      <c r="U123" s="7">
        <v>0</v>
      </c>
      <c r="V123" s="7">
        <v>183.17099999999999</v>
      </c>
      <c r="W123" s="7">
        <v>33.262999999999998</v>
      </c>
      <c r="X123" s="7">
        <v>0</v>
      </c>
      <c r="Y123" s="7">
        <v>1252.7739999999999</v>
      </c>
      <c r="Z123" s="7">
        <v>4495.2860000000001</v>
      </c>
      <c r="AA123" s="7">
        <v>1740.326</v>
      </c>
      <c r="AB123" s="7">
        <v>0</v>
      </c>
      <c r="AC123" s="7">
        <v>269.21199999999999</v>
      </c>
      <c r="AD123" s="7">
        <v>1980.2729999999999</v>
      </c>
      <c r="AE123" s="7">
        <v>12693.306</v>
      </c>
      <c r="AF123" s="7">
        <v>11.33</v>
      </c>
      <c r="AG123" s="7">
        <v>7999.5150000000003</v>
      </c>
      <c r="AH123" s="7">
        <v>19217.048999999999</v>
      </c>
      <c r="AI123" s="7">
        <v>8.0000000000000002E-3</v>
      </c>
      <c r="AJ123" s="7">
        <v>21069.532999999999</v>
      </c>
      <c r="AK123" s="7">
        <v>0</v>
      </c>
      <c r="AL123" s="7">
        <v>0</v>
      </c>
      <c r="AM123" s="7">
        <v>0</v>
      </c>
      <c r="AN123" s="7">
        <v>0</v>
      </c>
      <c r="AO123" s="7">
        <v>501.12599999999998</v>
      </c>
      <c r="AP123" s="7">
        <v>0</v>
      </c>
      <c r="AQ123" s="7">
        <v>1.669</v>
      </c>
      <c r="AR123" s="7">
        <v>0</v>
      </c>
      <c r="AS123" s="7">
        <v>1.381</v>
      </c>
      <c r="AT123" s="7">
        <v>0</v>
      </c>
      <c r="AU123" s="7">
        <v>41.314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231.952</v>
      </c>
      <c r="BC123" s="7">
        <v>0</v>
      </c>
      <c r="BD123" s="7">
        <v>0</v>
      </c>
      <c r="BE123" s="7">
        <v>67.992000000000004</v>
      </c>
      <c r="BF123" s="7">
        <v>0</v>
      </c>
      <c r="BG123" s="7">
        <v>12957.504000000001</v>
      </c>
      <c r="BH123" s="7">
        <v>0</v>
      </c>
      <c r="BI123" s="21"/>
    </row>
    <row r="124" spans="1:61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21"/>
    </row>
    <row r="125" spans="1:61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21"/>
    </row>
    <row r="126" spans="1:61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0</v>
      </c>
      <c r="F126" s="7">
        <v>0</v>
      </c>
      <c r="G126" s="7">
        <v>0</v>
      </c>
      <c r="H126" s="7">
        <v>4432.8919999999998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0.88800000000000001</v>
      </c>
      <c r="R126" s="7">
        <v>93.47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21"/>
    </row>
    <row r="127" spans="1:61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2232.924</v>
      </c>
      <c r="F127" s="7">
        <v>1519.0920000000001</v>
      </c>
      <c r="G127" s="7">
        <v>111.282</v>
      </c>
      <c r="H127" s="7">
        <v>0</v>
      </c>
      <c r="I127" s="7">
        <v>105.117</v>
      </c>
      <c r="J127" s="7">
        <v>1191.9880000000001</v>
      </c>
      <c r="K127" s="7">
        <v>0</v>
      </c>
      <c r="L127" s="7">
        <v>3336.2179999999998</v>
      </c>
      <c r="M127" s="7">
        <v>179.04599999999999</v>
      </c>
      <c r="N127" s="7">
        <v>0</v>
      </c>
      <c r="O127" s="7">
        <v>0</v>
      </c>
      <c r="P127" s="7">
        <v>4.0000000000000001E-3</v>
      </c>
      <c r="Q127" s="7">
        <v>0</v>
      </c>
      <c r="R127" s="7">
        <v>0</v>
      </c>
      <c r="S127" s="7">
        <v>653.52800000000002</v>
      </c>
      <c r="T127" s="7">
        <v>0</v>
      </c>
      <c r="U127" s="7">
        <v>0</v>
      </c>
      <c r="V127" s="7">
        <v>238.756</v>
      </c>
      <c r="W127" s="7">
        <v>2.258</v>
      </c>
      <c r="X127" s="7">
        <v>0</v>
      </c>
      <c r="Y127" s="7">
        <v>90.537000000000006</v>
      </c>
      <c r="Z127" s="7">
        <v>0</v>
      </c>
      <c r="AA127" s="7">
        <v>3065.7620000000002</v>
      </c>
      <c r="AB127" s="7">
        <v>0</v>
      </c>
      <c r="AC127" s="7">
        <v>259.233</v>
      </c>
      <c r="AD127" s="7">
        <v>0</v>
      </c>
      <c r="AE127" s="7">
        <v>797.93600000000004</v>
      </c>
      <c r="AF127" s="7">
        <v>28.533000000000001</v>
      </c>
      <c r="AG127" s="7">
        <v>0</v>
      </c>
      <c r="AH127" s="7">
        <v>5415.18</v>
      </c>
      <c r="AI127" s="7">
        <v>2.1000000000000001E-2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736.05399999999997</v>
      </c>
      <c r="AP127" s="7">
        <v>0</v>
      </c>
      <c r="AQ127" s="7">
        <v>4.2030000000000003</v>
      </c>
      <c r="AR127" s="7">
        <v>0</v>
      </c>
      <c r="AS127" s="7">
        <v>2.3290000000000002</v>
      </c>
      <c r="AT127" s="7">
        <v>0</v>
      </c>
      <c r="AU127" s="7">
        <v>0.28199999999999997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340.09500000000003</v>
      </c>
      <c r="BC127" s="7">
        <v>0</v>
      </c>
      <c r="BD127" s="7">
        <v>0</v>
      </c>
      <c r="BE127" s="7">
        <v>99.971000000000004</v>
      </c>
      <c r="BF127" s="7">
        <v>0</v>
      </c>
      <c r="BG127" s="7">
        <v>0</v>
      </c>
      <c r="BH127" s="7">
        <v>0</v>
      </c>
      <c r="BI127" s="21"/>
    </row>
    <row r="128" spans="1:61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106918.496</v>
      </c>
      <c r="F128" s="7">
        <v>10463.147000000001</v>
      </c>
      <c r="G128" s="7">
        <v>10684.978999999999</v>
      </c>
      <c r="H128" s="7">
        <v>0</v>
      </c>
      <c r="I128" s="7">
        <v>1794.7139999999999</v>
      </c>
      <c r="J128" s="7">
        <v>8041.1310000000003</v>
      </c>
      <c r="K128" s="7">
        <v>0</v>
      </c>
      <c r="L128" s="7">
        <v>83130.839000000007</v>
      </c>
      <c r="M128" s="7">
        <v>20899.613000000001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3266.92</v>
      </c>
      <c r="T128" s="7">
        <v>0</v>
      </c>
      <c r="U128" s="7">
        <v>0</v>
      </c>
      <c r="V128" s="7">
        <v>1564.2249999999999</v>
      </c>
      <c r="W128" s="7">
        <v>3658.9</v>
      </c>
      <c r="X128" s="7">
        <v>0</v>
      </c>
      <c r="Y128" s="7">
        <v>39920.373</v>
      </c>
      <c r="Z128" s="7">
        <v>0</v>
      </c>
      <c r="AA128" s="7">
        <v>9241.6090000000004</v>
      </c>
      <c r="AB128" s="7">
        <v>0</v>
      </c>
      <c r="AC128" s="7">
        <v>1840.578</v>
      </c>
      <c r="AD128" s="7">
        <v>0</v>
      </c>
      <c r="AE128" s="7">
        <v>134961.041</v>
      </c>
      <c r="AF128" s="7">
        <v>0</v>
      </c>
      <c r="AG128" s="7">
        <v>0</v>
      </c>
      <c r="AH128" s="7">
        <v>236520.674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1071.2270000000001</v>
      </c>
      <c r="AP128" s="7">
        <v>0</v>
      </c>
      <c r="AQ128" s="7">
        <v>0</v>
      </c>
      <c r="AR128" s="7">
        <v>0</v>
      </c>
      <c r="AS128" s="7">
        <v>4.3470000000000004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528.42399999999998</v>
      </c>
      <c r="BC128" s="7">
        <v>0</v>
      </c>
      <c r="BD128" s="7">
        <v>0</v>
      </c>
      <c r="BE128" s="7">
        <v>190.74</v>
      </c>
      <c r="BF128" s="7">
        <v>0</v>
      </c>
      <c r="BG128" s="7">
        <v>0</v>
      </c>
      <c r="BH128" s="7">
        <v>0</v>
      </c>
      <c r="BI128" s="21"/>
    </row>
    <row r="129" spans="1:61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39611.192999999999</v>
      </c>
      <c r="F129" s="7">
        <v>5896.817</v>
      </c>
      <c r="G129" s="7">
        <v>0</v>
      </c>
      <c r="H129" s="7">
        <v>0</v>
      </c>
      <c r="I129" s="7">
        <v>162.649</v>
      </c>
      <c r="J129" s="7">
        <v>0</v>
      </c>
      <c r="K129" s="7">
        <v>0</v>
      </c>
      <c r="L129" s="7">
        <v>89581.062000000005</v>
      </c>
      <c r="M129" s="7">
        <v>2128.13</v>
      </c>
      <c r="N129" s="7">
        <v>0</v>
      </c>
      <c r="O129" s="7">
        <v>0</v>
      </c>
      <c r="P129" s="7">
        <v>2.1000000000000001E-2</v>
      </c>
      <c r="Q129" s="7">
        <v>0</v>
      </c>
      <c r="R129" s="7">
        <v>0</v>
      </c>
      <c r="S129" s="7">
        <v>1900.337</v>
      </c>
      <c r="T129" s="7">
        <v>0</v>
      </c>
      <c r="U129" s="7">
        <v>0</v>
      </c>
      <c r="V129" s="7">
        <v>0</v>
      </c>
      <c r="W129" s="7">
        <v>730.28200000000004</v>
      </c>
      <c r="X129" s="7">
        <v>0</v>
      </c>
      <c r="Y129" s="7">
        <v>20645.804</v>
      </c>
      <c r="Z129" s="7">
        <v>0</v>
      </c>
      <c r="AA129" s="7">
        <v>3622.752</v>
      </c>
      <c r="AB129" s="7">
        <v>0</v>
      </c>
      <c r="AC129" s="7">
        <v>1329.761</v>
      </c>
      <c r="AD129" s="7">
        <v>0</v>
      </c>
      <c r="AE129" s="7">
        <v>59539.025000000001</v>
      </c>
      <c r="AF129" s="7">
        <v>56742.608999999997</v>
      </c>
      <c r="AG129" s="7">
        <v>0</v>
      </c>
      <c r="AH129" s="7">
        <v>151369.75700000001</v>
      </c>
      <c r="AI129" s="7">
        <v>82371.679000000004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1933.067</v>
      </c>
      <c r="AP129" s="7">
        <v>0</v>
      </c>
      <c r="AQ129" s="7">
        <v>23490.774000000001</v>
      </c>
      <c r="AR129" s="7">
        <v>0</v>
      </c>
      <c r="AS129" s="7">
        <v>19.212</v>
      </c>
      <c r="AT129" s="7">
        <v>0</v>
      </c>
      <c r="AU129" s="7">
        <v>115.11499999999999</v>
      </c>
      <c r="AV129" s="7">
        <v>0</v>
      </c>
      <c r="AW129" s="7">
        <v>0</v>
      </c>
      <c r="AX129" s="7">
        <v>0</v>
      </c>
      <c r="AY129" s="7">
        <v>14.323</v>
      </c>
      <c r="AZ129" s="7">
        <v>509.149</v>
      </c>
      <c r="BA129" s="7">
        <v>0</v>
      </c>
      <c r="BB129" s="7">
        <v>892.13499999999999</v>
      </c>
      <c r="BC129" s="7">
        <v>0</v>
      </c>
      <c r="BD129" s="7">
        <v>671.11</v>
      </c>
      <c r="BE129" s="7">
        <v>258.63600000000002</v>
      </c>
      <c r="BF129" s="7">
        <v>230.92</v>
      </c>
      <c r="BG129" s="7">
        <v>0</v>
      </c>
      <c r="BH129" s="7">
        <v>0</v>
      </c>
      <c r="BI129" s="21"/>
    </row>
    <row r="130" spans="1:61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19.399999999999999</v>
      </c>
      <c r="F130" s="7">
        <v>13.198</v>
      </c>
      <c r="G130" s="7">
        <v>0.96699999999999997</v>
      </c>
      <c r="H130" s="7">
        <v>0</v>
      </c>
      <c r="I130" s="7">
        <v>0.91300000000000003</v>
      </c>
      <c r="J130" s="7">
        <v>10.356</v>
      </c>
      <c r="K130" s="7">
        <v>0</v>
      </c>
      <c r="L130" s="7">
        <v>28.984999999999999</v>
      </c>
      <c r="M130" s="7">
        <v>1.556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5.6779999999999999</v>
      </c>
      <c r="T130" s="7">
        <v>0</v>
      </c>
      <c r="U130" s="7">
        <v>0</v>
      </c>
      <c r="V130" s="7">
        <v>2.0739999999999998</v>
      </c>
      <c r="W130" s="7">
        <v>0.02</v>
      </c>
      <c r="X130" s="7">
        <v>0</v>
      </c>
      <c r="Y130" s="7">
        <v>0.78700000000000003</v>
      </c>
      <c r="Z130" s="7">
        <v>0</v>
      </c>
      <c r="AA130" s="7">
        <v>26.635000000000002</v>
      </c>
      <c r="AB130" s="7">
        <v>0</v>
      </c>
      <c r="AC130" s="7">
        <v>2.2519999999999998</v>
      </c>
      <c r="AD130" s="7">
        <v>0</v>
      </c>
      <c r="AE130" s="7">
        <v>6.9320000000000004</v>
      </c>
      <c r="AF130" s="7">
        <v>0.248</v>
      </c>
      <c r="AG130" s="7">
        <v>0</v>
      </c>
      <c r="AH130" s="7">
        <v>47.046999999999997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6.3949999999999996</v>
      </c>
      <c r="AP130" s="7">
        <v>0</v>
      </c>
      <c r="AQ130" s="7">
        <v>3.6999999999999998E-2</v>
      </c>
      <c r="AR130" s="7">
        <v>0</v>
      </c>
      <c r="AS130" s="7">
        <v>0.02</v>
      </c>
      <c r="AT130" s="7">
        <v>0</v>
      </c>
      <c r="AU130" s="7">
        <v>1E-3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2.9550000000000001</v>
      </c>
      <c r="BC130" s="7">
        <v>0</v>
      </c>
      <c r="BD130" s="7">
        <v>0</v>
      </c>
      <c r="BE130" s="7">
        <v>0.86899999999999999</v>
      </c>
      <c r="BF130" s="7">
        <v>0</v>
      </c>
      <c r="BG130" s="7">
        <v>0</v>
      </c>
      <c r="BH130" s="7">
        <v>0</v>
      </c>
      <c r="BI130" s="21"/>
    </row>
    <row r="131" spans="1:61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60593.523000000001</v>
      </c>
      <c r="F131" s="7">
        <v>212.80699999999999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81810.081000000006</v>
      </c>
      <c r="M131" s="7">
        <v>13136.092000000001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7104.05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31763.030999999999</v>
      </c>
      <c r="AF131" s="7">
        <v>245.471</v>
      </c>
      <c r="AG131" s="7">
        <v>0</v>
      </c>
      <c r="AH131" s="7">
        <v>161966.277</v>
      </c>
      <c r="AI131" s="7">
        <v>573.05700000000002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21"/>
    </row>
    <row r="132" spans="1:61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7083.6450000000004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17238.187999999998</v>
      </c>
      <c r="M132" s="7">
        <v>590.26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1053.7449999999999</v>
      </c>
      <c r="AF132" s="7">
        <v>0</v>
      </c>
      <c r="AG132" s="7">
        <v>0</v>
      </c>
      <c r="AH132" s="7">
        <v>7416.0320000000002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21"/>
    </row>
    <row r="133" spans="1:61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18834.439999999999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105941.742</v>
      </c>
      <c r="M133" s="7">
        <v>2333.0140000000001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270.471</v>
      </c>
      <c r="AB133" s="7">
        <v>0</v>
      </c>
      <c r="AC133" s="7">
        <v>0</v>
      </c>
      <c r="AD133" s="7">
        <v>0</v>
      </c>
      <c r="AE133" s="7">
        <v>22629.937999999998</v>
      </c>
      <c r="AF133" s="7">
        <v>0</v>
      </c>
      <c r="AG133" s="7">
        <v>0</v>
      </c>
      <c r="AH133" s="7">
        <v>144515.992</v>
      </c>
      <c r="AI133" s="7">
        <v>25299.866999999998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21"/>
    </row>
    <row r="134" spans="1:61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281816.80800000002</v>
      </c>
      <c r="F134" s="7">
        <v>13892.235000000001</v>
      </c>
      <c r="G134" s="7">
        <v>11978.662</v>
      </c>
      <c r="H134" s="7">
        <v>3925.5430000000001</v>
      </c>
      <c r="I134" s="7">
        <v>2104.8870000000002</v>
      </c>
      <c r="J134" s="7">
        <v>7696.3819999999996</v>
      </c>
      <c r="K134" s="7">
        <v>0</v>
      </c>
      <c r="L134" s="7">
        <v>324589.00699999998</v>
      </c>
      <c r="M134" s="7">
        <v>68479.372000000003</v>
      </c>
      <c r="N134" s="7">
        <v>0</v>
      </c>
      <c r="O134" s="7">
        <v>0</v>
      </c>
      <c r="P134" s="7">
        <v>284.08100000000002</v>
      </c>
      <c r="Q134" s="7">
        <v>0</v>
      </c>
      <c r="R134" s="7">
        <v>79.855999999999995</v>
      </c>
      <c r="S134" s="7">
        <v>3439.4569999999999</v>
      </c>
      <c r="T134" s="7">
        <v>0</v>
      </c>
      <c r="U134" s="7">
        <v>0</v>
      </c>
      <c r="V134" s="7">
        <v>1330.5239999999999</v>
      </c>
      <c r="W134" s="7">
        <v>3758.2049999999999</v>
      </c>
      <c r="X134" s="7">
        <v>0</v>
      </c>
      <c r="Y134" s="7">
        <v>56188.720999999998</v>
      </c>
      <c r="Z134" s="7">
        <v>0</v>
      </c>
      <c r="AA134" s="7">
        <v>11840.087</v>
      </c>
      <c r="AB134" s="7">
        <v>0</v>
      </c>
      <c r="AC134" s="7">
        <v>2021.002</v>
      </c>
      <c r="AD134" s="7">
        <v>0</v>
      </c>
      <c r="AE134" s="7">
        <v>200271.92199999999</v>
      </c>
      <c r="AF134" s="7">
        <v>12318.32</v>
      </c>
      <c r="AG134" s="7">
        <v>0</v>
      </c>
      <c r="AH134" s="7">
        <v>634514.44400000002</v>
      </c>
      <c r="AI134" s="7">
        <v>15288.753000000001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32.433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21"/>
    </row>
    <row r="135" spans="1:61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17488.212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13546.145</v>
      </c>
      <c r="M135" s="7">
        <v>1578.4939999999999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2202.2660000000001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9623.0049999999992</v>
      </c>
      <c r="AF135" s="7">
        <v>1222.992</v>
      </c>
      <c r="AG135" s="7">
        <v>0</v>
      </c>
      <c r="AH135" s="7">
        <v>34321.258000000002</v>
      </c>
      <c r="AI135" s="7">
        <v>4037.4879999999998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21"/>
    </row>
    <row r="136" spans="1:61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102876.245</v>
      </c>
      <c r="F136" s="7">
        <v>5012.7269999999999</v>
      </c>
      <c r="G136" s="7">
        <v>4646.7969999999996</v>
      </c>
      <c r="H136" s="7">
        <v>0</v>
      </c>
      <c r="I136" s="7">
        <v>823.40499999999997</v>
      </c>
      <c r="J136" s="7">
        <v>2824.4749999999999</v>
      </c>
      <c r="K136" s="7">
        <v>0</v>
      </c>
      <c r="L136" s="7">
        <v>112560.745</v>
      </c>
      <c r="M136" s="7">
        <v>36697.455999999998</v>
      </c>
      <c r="N136" s="7">
        <v>0</v>
      </c>
      <c r="O136" s="7">
        <v>0</v>
      </c>
      <c r="P136" s="7">
        <v>131.19800000000001</v>
      </c>
      <c r="Q136" s="7">
        <v>0</v>
      </c>
      <c r="R136" s="7">
        <v>1.4999999999999999E-2</v>
      </c>
      <c r="S136" s="7">
        <v>0</v>
      </c>
      <c r="T136" s="7">
        <v>0</v>
      </c>
      <c r="U136" s="7">
        <v>0</v>
      </c>
      <c r="V136" s="7">
        <v>518.64200000000005</v>
      </c>
      <c r="W136" s="7">
        <v>1505.6030000000001</v>
      </c>
      <c r="X136" s="7">
        <v>0</v>
      </c>
      <c r="Y136" s="7">
        <v>15980.634</v>
      </c>
      <c r="Z136" s="7">
        <v>0</v>
      </c>
      <c r="AA136" s="7">
        <v>4372.7709999999997</v>
      </c>
      <c r="AB136" s="7">
        <v>0</v>
      </c>
      <c r="AC136" s="7">
        <v>737.36</v>
      </c>
      <c r="AD136" s="7">
        <v>0</v>
      </c>
      <c r="AE136" s="7">
        <v>92616.581000000006</v>
      </c>
      <c r="AF136" s="7">
        <v>1414.2090000000001</v>
      </c>
      <c r="AG136" s="7">
        <v>0</v>
      </c>
      <c r="AH136" s="7">
        <v>267676.68599999999</v>
      </c>
      <c r="AI136" s="7">
        <v>1883.646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21"/>
    </row>
    <row r="137" spans="1:61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14776.315000000001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37724.313999999998</v>
      </c>
      <c r="M137" s="7">
        <v>2493.3710000000001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5082.1490000000003</v>
      </c>
      <c r="AF137" s="7">
        <v>0</v>
      </c>
      <c r="AG137" s="7">
        <v>0</v>
      </c>
      <c r="AH137" s="7">
        <v>65752.687000000005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21"/>
    </row>
    <row r="138" spans="1:61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914115.52300000004</v>
      </c>
      <c r="F138" s="7">
        <v>15010.035</v>
      </c>
      <c r="G138" s="7">
        <v>16043.281000000001</v>
      </c>
      <c r="H138" s="7">
        <v>559.75599999999997</v>
      </c>
      <c r="I138" s="7">
        <v>3401.277</v>
      </c>
      <c r="J138" s="7">
        <v>9602.3880000000008</v>
      </c>
      <c r="K138" s="7">
        <v>0</v>
      </c>
      <c r="L138" s="7">
        <v>859699.43</v>
      </c>
      <c r="M138" s="7">
        <v>220993.28599999999</v>
      </c>
      <c r="N138" s="7">
        <v>0</v>
      </c>
      <c r="O138" s="7">
        <v>0</v>
      </c>
      <c r="P138" s="7">
        <v>783.92700000000002</v>
      </c>
      <c r="Q138" s="7">
        <v>0</v>
      </c>
      <c r="R138" s="7">
        <v>7.2999999999999995E-2</v>
      </c>
      <c r="S138" s="7">
        <v>0</v>
      </c>
      <c r="T138" s="7">
        <v>0</v>
      </c>
      <c r="U138" s="7">
        <v>0</v>
      </c>
      <c r="V138" s="7">
        <v>1532.6489999999999</v>
      </c>
      <c r="W138" s="7">
        <v>4749.8419999999996</v>
      </c>
      <c r="X138" s="7">
        <v>0</v>
      </c>
      <c r="Y138" s="7">
        <v>182727.43299999999</v>
      </c>
      <c r="Z138" s="7">
        <v>0</v>
      </c>
      <c r="AA138" s="7">
        <v>33392.510999999999</v>
      </c>
      <c r="AB138" s="7">
        <v>0</v>
      </c>
      <c r="AC138" s="7">
        <v>2303.5729999999999</v>
      </c>
      <c r="AD138" s="7">
        <v>0</v>
      </c>
      <c r="AE138" s="7">
        <v>617320.59699999995</v>
      </c>
      <c r="AF138" s="7">
        <v>26102.197</v>
      </c>
      <c r="AG138" s="7">
        <v>0</v>
      </c>
      <c r="AH138" s="7">
        <v>2098492.0040000002</v>
      </c>
      <c r="AI138" s="7">
        <v>74733.263000000006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61.735999999999997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21"/>
    </row>
    <row r="139" spans="1:61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4539.3010000000004</v>
      </c>
      <c r="F139" s="7">
        <v>712.577</v>
      </c>
      <c r="G139" s="7">
        <v>769.06500000000005</v>
      </c>
      <c r="H139" s="7">
        <v>654.125</v>
      </c>
      <c r="I139" s="7">
        <v>71.935000000000002</v>
      </c>
      <c r="J139" s="7">
        <v>444.29700000000003</v>
      </c>
      <c r="K139" s="7">
        <v>0</v>
      </c>
      <c r="L139" s="7">
        <v>3987.357</v>
      </c>
      <c r="M139" s="7">
        <v>1667.3389999999999</v>
      </c>
      <c r="N139" s="7">
        <v>0</v>
      </c>
      <c r="O139" s="7">
        <v>0</v>
      </c>
      <c r="P139" s="7">
        <v>0.09</v>
      </c>
      <c r="Q139" s="7">
        <v>0</v>
      </c>
      <c r="R139" s="7">
        <v>0</v>
      </c>
      <c r="S139" s="7">
        <v>300.07400000000001</v>
      </c>
      <c r="T139" s="7">
        <v>0</v>
      </c>
      <c r="U139" s="7">
        <v>0</v>
      </c>
      <c r="V139" s="7">
        <v>115.452</v>
      </c>
      <c r="W139" s="7">
        <v>178.52199999999999</v>
      </c>
      <c r="X139" s="7">
        <v>0</v>
      </c>
      <c r="Y139" s="7">
        <v>1146.855</v>
      </c>
      <c r="Z139" s="7">
        <v>0</v>
      </c>
      <c r="AA139" s="7">
        <v>989.79200000000003</v>
      </c>
      <c r="AB139" s="7">
        <v>0</v>
      </c>
      <c r="AC139" s="7">
        <v>121.07</v>
      </c>
      <c r="AD139" s="7">
        <v>0</v>
      </c>
      <c r="AE139" s="7">
        <v>2397.02</v>
      </c>
      <c r="AF139" s="7">
        <v>1824.3989999999999</v>
      </c>
      <c r="AG139" s="7">
        <v>0</v>
      </c>
      <c r="AH139" s="7">
        <v>7471.6549999999997</v>
      </c>
      <c r="AI139" s="7">
        <v>2862.1370000000002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163.124</v>
      </c>
      <c r="AP139" s="7">
        <v>0</v>
      </c>
      <c r="AQ139" s="7">
        <v>740.58699999999999</v>
      </c>
      <c r="AR139" s="7">
        <v>0</v>
      </c>
      <c r="AS139" s="7">
        <v>2.7309999999999999</v>
      </c>
      <c r="AT139" s="7">
        <v>0</v>
      </c>
      <c r="AU139" s="7">
        <v>54.749000000000002</v>
      </c>
      <c r="AV139" s="7">
        <v>0</v>
      </c>
      <c r="AW139" s="7">
        <v>0</v>
      </c>
      <c r="AX139" s="7">
        <v>0</v>
      </c>
      <c r="AY139" s="7">
        <v>165.661</v>
      </c>
      <c r="AZ139" s="7">
        <v>1240.097</v>
      </c>
      <c r="BA139" s="7">
        <v>0</v>
      </c>
      <c r="BB139" s="7">
        <v>76.08</v>
      </c>
      <c r="BC139" s="7">
        <v>64.597999999999999</v>
      </c>
      <c r="BD139" s="7">
        <v>1634.576</v>
      </c>
      <c r="BE139" s="7">
        <v>22.228999999999999</v>
      </c>
      <c r="BF139" s="7">
        <v>562.43700000000001</v>
      </c>
      <c r="BG139" s="7">
        <v>0</v>
      </c>
      <c r="BH139" s="7">
        <v>22.652000000000001</v>
      </c>
      <c r="BI139" s="21"/>
    </row>
    <row r="140" spans="1:61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3763.6559999999999</v>
      </c>
      <c r="F140" s="7">
        <v>0</v>
      </c>
      <c r="G140" s="7">
        <v>0</v>
      </c>
      <c r="H140" s="7">
        <v>1.0999999999999999E-2</v>
      </c>
      <c r="I140" s="7">
        <v>0</v>
      </c>
      <c r="J140" s="7">
        <v>0</v>
      </c>
      <c r="K140" s="7">
        <v>0</v>
      </c>
      <c r="L140" s="7">
        <v>6093.5119999999997</v>
      </c>
      <c r="M140" s="7">
        <v>1179.0450000000001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1012.958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4310.7</v>
      </c>
      <c r="AF140" s="7">
        <v>6.0000000000000001E-3</v>
      </c>
      <c r="AG140" s="7">
        <v>0</v>
      </c>
      <c r="AH140" s="7">
        <v>14019.933999999999</v>
      </c>
      <c r="AI140" s="7">
        <v>8.9999999999999993E-3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21"/>
    </row>
    <row r="141" spans="1:61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3.5999999999999997E-2</v>
      </c>
      <c r="F141" s="7">
        <v>5.0000000000000001E-3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8.4000000000000005E-2</v>
      </c>
      <c r="M141" s="7">
        <v>2E-3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1E-3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1.9E-2</v>
      </c>
      <c r="Z141" s="7">
        <v>0</v>
      </c>
      <c r="AA141" s="7">
        <v>3.0000000000000001E-3</v>
      </c>
      <c r="AB141" s="7">
        <v>0</v>
      </c>
      <c r="AC141" s="7">
        <v>1E-3</v>
      </c>
      <c r="AD141" s="7">
        <v>0</v>
      </c>
      <c r="AE141" s="7">
        <v>5.5E-2</v>
      </c>
      <c r="AF141" s="7">
        <v>5.1999999999999998E-2</v>
      </c>
      <c r="AG141" s="7">
        <v>0</v>
      </c>
      <c r="AH141" s="7">
        <v>0.14000000000000001</v>
      </c>
      <c r="AI141" s="7">
        <v>7.6999999999999999E-2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2E-3</v>
      </c>
      <c r="AP141" s="7">
        <v>0</v>
      </c>
      <c r="AQ141" s="7">
        <v>2.1999999999999999E-2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21"/>
    </row>
    <row r="142" spans="1:61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1351.6410000000001</v>
      </c>
      <c r="F142" s="7">
        <v>11.391999999999999</v>
      </c>
      <c r="G142" s="7">
        <v>15.955</v>
      </c>
      <c r="H142" s="7">
        <v>0</v>
      </c>
      <c r="I142" s="7">
        <v>2.766</v>
      </c>
      <c r="J142" s="7">
        <v>9.6940000000000008</v>
      </c>
      <c r="K142" s="7">
        <v>0</v>
      </c>
      <c r="L142" s="7">
        <v>2019.701</v>
      </c>
      <c r="M142" s="7">
        <v>445.57799999999997</v>
      </c>
      <c r="N142" s="7">
        <v>0</v>
      </c>
      <c r="O142" s="7">
        <v>0</v>
      </c>
      <c r="P142" s="7">
        <v>0.499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1.6240000000000001</v>
      </c>
      <c r="W142" s="7">
        <v>4.8890000000000002</v>
      </c>
      <c r="X142" s="7">
        <v>0</v>
      </c>
      <c r="Y142" s="7">
        <v>406.67200000000003</v>
      </c>
      <c r="Z142" s="7">
        <v>0</v>
      </c>
      <c r="AA142" s="7">
        <v>13.138999999999999</v>
      </c>
      <c r="AB142" s="7">
        <v>0</v>
      </c>
      <c r="AC142" s="7">
        <v>2.093</v>
      </c>
      <c r="AD142" s="7">
        <v>0</v>
      </c>
      <c r="AE142" s="7">
        <v>1587.5609999999999</v>
      </c>
      <c r="AF142" s="7">
        <v>0</v>
      </c>
      <c r="AG142" s="7">
        <v>0</v>
      </c>
      <c r="AH142" s="7">
        <v>4274.5569999999998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21"/>
    </row>
    <row r="143" spans="1:61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21"/>
    </row>
    <row r="144" spans="1:61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-2045.6469999999999</v>
      </c>
      <c r="F144" s="7">
        <v>-292.51299999999998</v>
      </c>
      <c r="G144" s="7">
        <v>0</v>
      </c>
      <c r="H144" s="7">
        <v>0</v>
      </c>
      <c r="I144" s="7">
        <v>-6.141</v>
      </c>
      <c r="J144" s="7">
        <v>0</v>
      </c>
      <c r="K144" s="7">
        <v>0</v>
      </c>
      <c r="L144" s="7">
        <v>-3496.3139999999999</v>
      </c>
      <c r="M144" s="7">
        <v>-152.923</v>
      </c>
      <c r="N144" s="7">
        <v>0</v>
      </c>
      <c r="O144" s="7">
        <v>-110.374</v>
      </c>
      <c r="P144" s="7">
        <v>-6.2E-2</v>
      </c>
      <c r="Q144" s="7">
        <v>-98.350999999999999</v>
      </c>
      <c r="R144" s="7">
        <v>0</v>
      </c>
      <c r="S144" s="7">
        <v>-96.722999999999999</v>
      </c>
      <c r="T144" s="7">
        <v>0</v>
      </c>
      <c r="U144" s="7">
        <v>0</v>
      </c>
      <c r="V144" s="7">
        <v>0</v>
      </c>
      <c r="W144" s="7">
        <v>-29.167999999999999</v>
      </c>
      <c r="X144" s="7">
        <v>0</v>
      </c>
      <c r="Y144" s="7">
        <v>-780.827</v>
      </c>
      <c r="Z144" s="7">
        <v>0</v>
      </c>
      <c r="AA144" s="7">
        <v>-105.39100000000001</v>
      </c>
      <c r="AB144" s="7">
        <v>-7462.5919999999996</v>
      </c>
      <c r="AC144" s="7">
        <v>-55.198</v>
      </c>
      <c r="AD144" s="7">
        <v>0</v>
      </c>
      <c r="AE144" s="7">
        <v>-3225.6750000000002</v>
      </c>
      <c r="AF144" s="7">
        <v>-2211.915</v>
      </c>
      <c r="AG144" s="7">
        <v>0</v>
      </c>
      <c r="AH144" s="7">
        <v>-5905.7650000000003</v>
      </c>
      <c r="AI144" s="7">
        <v>-3467.2330000000002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-75.653000000000006</v>
      </c>
      <c r="AP144" s="7">
        <v>0</v>
      </c>
      <c r="AQ144" s="7">
        <v>-898.5</v>
      </c>
      <c r="AR144" s="7">
        <v>0</v>
      </c>
      <c r="AS144" s="7">
        <v>-0.91200000000000003</v>
      </c>
      <c r="AT144" s="7">
        <v>0</v>
      </c>
      <c r="AU144" s="7">
        <v>-6.6550000000000002</v>
      </c>
      <c r="AV144" s="7">
        <v>0</v>
      </c>
      <c r="AW144" s="7">
        <v>0</v>
      </c>
      <c r="AX144" s="7">
        <v>0</v>
      </c>
      <c r="AY144" s="7">
        <v>-42.325000000000003</v>
      </c>
      <c r="AZ144" s="7">
        <v>-1504.52</v>
      </c>
      <c r="BA144" s="7">
        <v>0</v>
      </c>
      <c r="BB144" s="7">
        <v>-34.994999999999997</v>
      </c>
      <c r="BC144" s="7">
        <v>0</v>
      </c>
      <c r="BD144" s="7">
        <v>-1983.1089999999999</v>
      </c>
      <c r="BE144" s="7">
        <v>-10.119</v>
      </c>
      <c r="BF144" s="7">
        <v>-682.36300000000006</v>
      </c>
      <c r="BG144" s="7">
        <v>0</v>
      </c>
      <c r="BH144" s="7">
        <v>0</v>
      </c>
      <c r="BI144" s="21"/>
    </row>
    <row r="145" spans="1:61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-29399.477999999999</v>
      </c>
      <c r="F145" s="7">
        <v>873.13900000000001</v>
      </c>
      <c r="G145" s="7">
        <v>1094.0160000000001</v>
      </c>
      <c r="H145" s="7">
        <v>0</v>
      </c>
      <c r="I145" s="7">
        <v>88.117000000000004</v>
      </c>
      <c r="J145" s="7">
        <v>568.58799999999997</v>
      </c>
      <c r="K145" s="7">
        <v>0</v>
      </c>
      <c r="L145" s="7">
        <v>-32806.542000000001</v>
      </c>
      <c r="M145" s="7">
        <v>-94.724999999999994</v>
      </c>
      <c r="N145" s="7">
        <v>0</v>
      </c>
      <c r="O145" s="7">
        <v>83.382000000000005</v>
      </c>
      <c r="P145" s="7">
        <v>14.683</v>
      </c>
      <c r="Q145" s="7">
        <v>63.718000000000004</v>
      </c>
      <c r="R145" s="7">
        <v>56.941000000000003</v>
      </c>
      <c r="S145" s="7">
        <v>-272.74</v>
      </c>
      <c r="T145" s="7">
        <v>0</v>
      </c>
      <c r="U145" s="7">
        <v>0</v>
      </c>
      <c r="V145" s="7">
        <v>-52.457999999999998</v>
      </c>
      <c r="W145" s="7">
        <v>394.92899999999997</v>
      </c>
      <c r="X145" s="7">
        <v>6520.3429999999998</v>
      </c>
      <c r="Y145" s="7">
        <v>-2778.7710000000002</v>
      </c>
      <c r="Z145" s="7">
        <v>1285.6189999999999</v>
      </c>
      <c r="AA145" s="7">
        <v>-398.99799999999999</v>
      </c>
      <c r="AB145" s="7">
        <v>1842.777</v>
      </c>
      <c r="AC145" s="7">
        <v>-125.833</v>
      </c>
      <c r="AD145" s="7">
        <v>216.666</v>
      </c>
      <c r="AE145" s="7">
        <v>-4935.1670000000004</v>
      </c>
      <c r="AF145" s="7">
        <v>1085.559</v>
      </c>
      <c r="AG145" s="7">
        <v>886.71900000000005</v>
      </c>
      <c r="AH145" s="7">
        <v>-9553.1730000000007</v>
      </c>
      <c r="AI145" s="7">
        <v>2455.2919999999999</v>
      </c>
      <c r="AJ145" s="7">
        <v>6375.174</v>
      </c>
      <c r="AK145" s="7">
        <v>205088.598</v>
      </c>
      <c r="AL145" s="7">
        <v>104824.06299999999</v>
      </c>
      <c r="AM145" s="7">
        <v>0</v>
      </c>
      <c r="AN145" s="7">
        <v>69148.694000000003</v>
      </c>
      <c r="AO145" s="7">
        <v>-318.14299999999997</v>
      </c>
      <c r="AP145" s="7">
        <v>0</v>
      </c>
      <c r="AQ145" s="7">
        <v>547.904</v>
      </c>
      <c r="AR145" s="7">
        <v>0</v>
      </c>
      <c r="AS145" s="7">
        <v>8.7729999999999997</v>
      </c>
      <c r="AT145" s="7">
        <v>0</v>
      </c>
      <c r="AU145" s="7">
        <v>3.2120000000000002</v>
      </c>
      <c r="AV145" s="7">
        <v>0</v>
      </c>
      <c r="AW145" s="7">
        <v>0</v>
      </c>
      <c r="AX145" s="7">
        <v>9426.9380000000001</v>
      </c>
      <c r="AY145" s="7">
        <v>224.649</v>
      </c>
      <c r="AZ145" s="7">
        <v>-445.69299999999998</v>
      </c>
      <c r="BA145" s="7">
        <v>6997.5079999999998</v>
      </c>
      <c r="BB145" s="7">
        <v>-104.56</v>
      </c>
      <c r="BC145" s="7">
        <v>122.126</v>
      </c>
      <c r="BD145" s="7">
        <v>1228.3589999999999</v>
      </c>
      <c r="BE145" s="7">
        <v>-33.716999999999999</v>
      </c>
      <c r="BF145" s="7">
        <v>132.92699999999999</v>
      </c>
      <c r="BG145" s="7">
        <v>3682.1469999999999</v>
      </c>
      <c r="BH145" s="7">
        <v>48.207999999999998</v>
      </c>
      <c r="BI145" s="21"/>
    </row>
    <row r="146" spans="1:61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5351.1620000000003</v>
      </c>
      <c r="F146" s="7">
        <v>555.34500000000003</v>
      </c>
      <c r="G146" s="7">
        <v>366.18900000000002</v>
      </c>
      <c r="H146" s="7">
        <v>0</v>
      </c>
      <c r="I146" s="7">
        <v>73.006</v>
      </c>
      <c r="J146" s="7">
        <v>359.55700000000002</v>
      </c>
      <c r="K146" s="7">
        <v>0</v>
      </c>
      <c r="L146" s="7">
        <v>5381.0429999999997</v>
      </c>
      <c r="M146" s="7">
        <v>759.82299999999998</v>
      </c>
      <c r="N146" s="7">
        <v>0</v>
      </c>
      <c r="O146" s="7">
        <v>0</v>
      </c>
      <c r="P146" s="7">
        <v>8.6379999999999999</v>
      </c>
      <c r="Q146" s="7">
        <v>0</v>
      </c>
      <c r="R146" s="7">
        <v>3.0000000000000001E-3</v>
      </c>
      <c r="S146" s="7">
        <v>134.02500000000001</v>
      </c>
      <c r="T146" s="7">
        <v>0</v>
      </c>
      <c r="U146" s="7">
        <v>0</v>
      </c>
      <c r="V146" s="7">
        <v>81.313999999999993</v>
      </c>
      <c r="W146" s="7">
        <v>125.866</v>
      </c>
      <c r="X146" s="7">
        <v>0</v>
      </c>
      <c r="Y146" s="7">
        <v>1510.559</v>
      </c>
      <c r="Z146" s="7">
        <v>0</v>
      </c>
      <c r="AA146" s="7">
        <v>932.28200000000004</v>
      </c>
      <c r="AB146" s="7">
        <v>0</v>
      </c>
      <c r="AC146" s="7">
        <v>136.054</v>
      </c>
      <c r="AD146" s="7">
        <v>0</v>
      </c>
      <c r="AE146" s="7">
        <v>4879.4399999999996</v>
      </c>
      <c r="AF146" s="7">
        <v>1185.8230000000001</v>
      </c>
      <c r="AG146" s="7">
        <v>0</v>
      </c>
      <c r="AH146" s="7">
        <v>12457.699000000001</v>
      </c>
      <c r="AI146" s="7">
        <v>1776.579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159.35</v>
      </c>
      <c r="AP146" s="7">
        <v>0</v>
      </c>
      <c r="AQ146" s="7">
        <v>440.37799999999999</v>
      </c>
      <c r="AR146" s="7">
        <v>0</v>
      </c>
      <c r="AS146" s="7">
        <v>0.91100000000000003</v>
      </c>
      <c r="AT146" s="7">
        <v>0</v>
      </c>
      <c r="AU146" s="7">
        <v>3.0179999999999998</v>
      </c>
      <c r="AV146" s="7">
        <v>0</v>
      </c>
      <c r="AW146" s="7">
        <v>0</v>
      </c>
      <c r="AX146" s="7">
        <v>0</v>
      </c>
      <c r="AY146" s="7">
        <v>1.2190000000000001</v>
      </c>
      <c r="AZ146" s="7">
        <v>-0.26900000000000002</v>
      </c>
      <c r="BA146" s="7">
        <v>0</v>
      </c>
      <c r="BB146" s="7">
        <v>73.852000000000004</v>
      </c>
      <c r="BC146" s="7">
        <v>0.71899999999999997</v>
      </c>
      <c r="BD146" s="7">
        <v>-0.16900000000000001</v>
      </c>
      <c r="BE146" s="7">
        <v>21.707000000000001</v>
      </c>
      <c r="BF146" s="7">
        <v>-8.9999999999999993E-3</v>
      </c>
      <c r="BG146" s="7">
        <v>0</v>
      </c>
      <c r="BH146" s="7">
        <v>0.27400000000000002</v>
      </c>
      <c r="BI146" s="21"/>
    </row>
    <row r="147" spans="1:61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1380.4369999999999</v>
      </c>
      <c r="F147" s="7">
        <v>96.396000000000001</v>
      </c>
      <c r="G147" s="7">
        <v>248.11</v>
      </c>
      <c r="H147" s="7">
        <v>0</v>
      </c>
      <c r="I147" s="7">
        <v>30.334</v>
      </c>
      <c r="J147" s="7">
        <v>153.52500000000001</v>
      </c>
      <c r="K147" s="7">
        <v>0</v>
      </c>
      <c r="L147" s="7">
        <v>426.71300000000002</v>
      </c>
      <c r="M147" s="7">
        <v>354.37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29.81</v>
      </c>
      <c r="T147" s="7">
        <v>0</v>
      </c>
      <c r="U147" s="7">
        <v>0</v>
      </c>
      <c r="V147" s="7">
        <v>22.472000000000001</v>
      </c>
      <c r="W147" s="7">
        <v>29.922000000000001</v>
      </c>
      <c r="X147" s="7">
        <v>0</v>
      </c>
      <c r="Y147" s="7">
        <v>281.02</v>
      </c>
      <c r="Z147" s="7">
        <v>0</v>
      </c>
      <c r="AA147" s="7">
        <v>327.38900000000001</v>
      </c>
      <c r="AB147" s="7">
        <v>0</v>
      </c>
      <c r="AC147" s="7">
        <v>12.702999999999999</v>
      </c>
      <c r="AD147" s="7">
        <v>8.9339999999999993</v>
      </c>
      <c r="AE147" s="7">
        <v>760.71500000000003</v>
      </c>
      <c r="AF147" s="7">
        <v>0</v>
      </c>
      <c r="AG147" s="7">
        <v>40.082000000000001</v>
      </c>
      <c r="AH147" s="7">
        <v>1533.347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22.981000000000002</v>
      </c>
      <c r="AP147" s="7">
        <v>0</v>
      </c>
      <c r="AQ147" s="7">
        <v>0</v>
      </c>
      <c r="AR147" s="7">
        <v>0</v>
      </c>
      <c r="AS147" s="7">
        <v>0.93600000000000005</v>
      </c>
      <c r="AT147" s="7">
        <v>0</v>
      </c>
      <c r="AU147" s="7">
        <v>16.077999999999999</v>
      </c>
      <c r="AV147" s="7">
        <v>0</v>
      </c>
      <c r="AW147" s="7">
        <v>0</v>
      </c>
      <c r="AX147" s="7">
        <v>0</v>
      </c>
      <c r="AY147" s="7">
        <v>23.952000000000002</v>
      </c>
      <c r="AZ147" s="7">
        <v>0</v>
      </c>
      <c r="BA147" s="7">
        <v>0</v>
      </c>
      <c r="BB147" s="7">
        <v>11.49</v>
      </c>
      <c r="BC147" s="7">
        <v>9.9920000000000009</v>
      </c>
      <c r="BD147" s="7">
        <v>0</v>
      </c>
      <c r="BE147" s="7">
        <v>3.0339999999999998</v>
      </c>
      <c r="BF147" s="7">
        <v>0</v>
      </c>
      <c r="BG147" s="7">
        <v>0</v>
      </c>
      <c r="BH147" s="7">
        <v>3.367</v>
      </c>
      <c r="BI147" s="21"/>
    </row>
    <row r="148" spans="1:61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393.48899999999998</v>
      </c>
      <c r="F148" s="7">
        <v>28.547000000000001</v>
      </c>
      <c r="G148" s="7">
        <v>367.101</v>
      </c>
      <c r="H148" s="7">
        <v>0</v>
      </c>
      <c r="I148" s="7">
        <v>8.4489999999999998</v>
      </c>
      <c r="J148" s="7">
        <v>272.125</v>
      </c>
      <c r="K148" s="7">
        <v>0</v>
      </c>
      <c r="L148" s="7">
        <v>261.96300000000002</v>
      </c>
      <c r="M148" s="7">
        <v>317.52499999999998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8.8390000000000004</v>
      </c>
      <c r="T148" s="7">
        <v>0</v>
      </c>
      <c r="U148" s="7">
        <v>0</v>
      </c>
      <c r="V148" s="7">
        <v>6.343</v>
      </c>
      <c r="W148" s="7">
        <v>9.0069999999999997</v>
      </c>
      <c r="X148" s="7">
        <v>0</v>
      </c>
      <c r="Y148" s="7">
        <v>86.572000000000003</v>
      </c>
      <c r="Z148" s="7">
        <v>0</v>
      </c>
      <c r="AA148" s="7">
        <v>87.58</v>
      </c>
      <c r="AB148" s="7">
        <v>0</v>
      </c>
      <c r="AC148" s="7">
        <v>3.9279999999999999</v>
      </c>
      <c r="AD148" s="7">
        <v>2.2999999999999998</v>
      </c>
      <c r="AE148" s="7">
        <v>380.029</v>
      </c>
      <c r="AF148" s="7">
        <v>0</v>
      </c>
      <c r="AG148" s="7">
        <v>10.319000000000001</v>
      </c>
      <c r="AH148" s="7">
        <v>479.03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6.298</v>
      </c>
      <c r="AP148" s="7">
        <v>0</v>
      </c>
      <c r="AQ148" s="7">
        <v>0</v>
      </c>
      <c r="AR148" s="7">
        <v>0</v>
      </c>
      <c r="AS148" s="7">
        <v>0.24199999999999999</v>
      </c>
      <c r="AT148" s="7">
        <v>0</v>
      </c>
      <c r="AU148" s="7">
        <v>4.1369999999999996</v>
      </c>
      <c r="AV148" s="7">
        <v>0</v>
      </c>
      <c r="AW148" s="7">
        <v>0</v>
      </c>
      <c r="AX148" s="7">
        <v>0</v>
      </c>
      <c r="AY148" s="7">
        <v>6.1680000000000001</v>
      </c>
      <c r="AZ148" s="7">
        <v>0</v>
      </c>
      <c r="BA148" s="7">
        <v>0</v>
      </c>
      <c r="BB148" s="7">
        <v>3.145</v>
      </c>
      <c r="BC148" s="7">
        <v>2.5720000000000001</v>
      </c>
      <c r="BD148" s="7">
        <v>0</v>
      </c>
      <c r="BE148" s="7">
        <v>0.84899999999999998</v>
      </c>
      <c r="BF148" s="7">
        <v>0</v>
      </c>
      <c r="BG148" s="7">
        <v>0</v>
      </c>
      <c r="BH148" s="7">
        <v>0.86699999999999999</v>
      </c>
      <c r="BI148" s="21"/>
    </row>
    <row r="149" spans="1:61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-22255.474999999999</v>
      </c>
      <c r="F149" s="7">
        <v>-2435.5279999999998</v>
      </c>
      <c r="G149" s="7">
        <v>-363.67700000000002</v>
      </c>
      <c r="H149" s="7">
        <v>0</v>
      </c>
      <c r="I149" s="7">
        <v>-108.994</v>
      </c>
      <c r="J149" s="7">
        <v>-229.67</v>
      </c>
      <c r="K149" s="7">
        <v>0</v>
      </c>
      <c r="L149" s="7">
        <v>-38906.061999999998</v>
      </c>
      <c r="M149" s="7">
        <v>-3170.5369999999998</v>
      </c>
      <c r="N149" s="7">
        <v>0</v>
      </c>
      <c r="O149" s="7">
        <v>-42.642000000000003</v>
      </c>
      <c r="P149" s="7">
        <v>0</v>
      </c>
      <c r="Q149" s="7">
        <v>-14.005000000000001</v>
      </c>
      <c r="R149" s="7">
        <v>0</v>
      </c>
      <c r="S149" s="7">
        <v>-782.57</v>
      </c>
      <c r="T149" s="7">
        <v>0</v>
      </c>
      <c r="U149" s="7">
        <v>0</v>
      </c>
      <c r="V149" s="7">
        <v>-34.869</v>
      </c>
      <c r="W149" s="7">
        <v>-334.077</v>
      </c>
      <c r="X149" s="7">
        <v>-154.738</v>
      </c>
      <c r="Y149" s="7">
        <v>-9118.6350000000002</v>
      </c>
      <c r="Z149" s="7">
        <v>-7.45</v>
      </c>
      <c r="AA149" s="7">
        <v>-1871.2660000000001</v>
      </c>
      <c r="AB149" s="7">
        <v>-1126.7249999999999</v>
      </c>
      <c r="AC149" s="7">
        <v>-537.03599999999994</v>
      </c>
      <c r="AD149" s="7">
        <v>-83.552000000000007</v>
      </c>
      <c r="AE149" s="7">
        <v>-27221.575000000001</v>
      </c>
      <c r="AF149" s="7">
        <v>-22663.116000000002</v>
      </c>
      <c r="AG149" s="7">
        <v>-636.56700000000001</v>
      </c>
      <c r="AH149" s="7">
        <v>-66435.865999999995</v>
      </c>
      <c r="AI149" s="7">
        <v>-33480.303</v>
      </c>
      <c r="AJ149" s="7">
        <v>-31.029</v>
      </c>
      <c r="AK149" s="7">
        <v>2254.8960000000002</v>
      </c>
      <c r="AL149" s="7">
        <v>1152.5129999999999</v>
      </c>
      <c r="AM149" s="7">
        <v>0</v>
      </c>
      <c r="AN149" s="7">
        <v>760.27200000000005</v>
      </c>
      <c r="AO149" s="7">
        <v>-782.19600000000003</v>
      </c>
      <c r="AP149" s="7">
        <v>0</v>
      </c>
      <c r="AQ149" s="7">
        <v>-9351.9230000000007</v>
      </c>
      <c r="AR149" s="7">
        <v>0</v>
      </c>
      <c r="AS149" s="7">
        <v>-8.673</v>
      </c>
      <c r="AT149" s="7">
        <v>0</v>
      </c>
      <c r="AU149" s="7">
        <v>-65.608999999999995</v>
      </c>
      <c r="AV149" s="7">
        <v>0</v>
      </c>
      <c r="AW149" s="7">
        <v>0</v>
      </c>
      <c r="AX149" s="7">
        <v>-223.71600000000001</v>
      </c>
      <c r="AY149" s="7">
        <v>-31.771000000000001</v>
      </c>
      <c r="AZ149" s="7">
        <v>0</v>
      </c>
      <c r="BA149" s="7">
        <v>-165.596</v>
      </c>
      <c r="BB149" s="7">
        <v>-362.26299999999998</v>
      </c>
      <c r="BC149" s="7">
        <v>-13.253</v>
      </c>
      <c r="BD149" s="7">
        <v>0</v>
      </c>
      <c r="BE149" s="7">
        <v>-104.754</v>
      </c>
      <c r="BF149" s="7">
        <v>0</v>
      </c>
      <c r="BG149" s="7">
        <v>-7.6050000000000004</v>
      </c>
      <c r="BH149" s="7">
        <v>-4.47</v>
      </c>
      <c r="BI149" s="21"/>
    </row>
    <row r="150" spans="1:61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-3382.4360000000001</v>
      </c>
      <c r="F150" s="7">
        <v>-482.529</v>
      </c>
      <c r="G150" s="7">
        <v>0</v>
      </c>
      <c r="H150" s="7">
        <v>0</v>
      </c>
      <c r="I150" s="7">
        <v>-13.365</v>
      </c>
      <c r="J150" s="7">
        <v>0</v>
      </c>
      <c r="K150" s="7">
        <v>0</v>
      </c>
      <c r="L150" s="7">
        <v>-7356.9880000000003</v>
      </c>
      <c r="M150" s="7">
        <v>-172.809</v>
      </c>
      <c r="N150" s="7">
        <v>0</v>
      </c>
      <c r="O150" s="7">
        <v>-161.15</v>
      </c>
      <c r="P150" s="7">
        <v>0</v>
      </c>
      <c r="Q150" s="7">
        <v>-61.616</v>
      </c>
      <c r="R150" s="7">
        <v>0</v>
      </c>
      <c r="S150" s="7">
        <v>-155.43199999999999</v>
      </c>
      <c r="T150" s="7">
        <v>0</v>
      </c>
      <c r="U150" s="7">
        <v>0</v>
      </c>
      <c r="V150" s="7">
        <v>0</v>
      </c>
      <c r="W150" s="7">
        <v>-59.957999999999998</v>
      </c>
      <c r="X150" s="7">
        <v>-4273.4790000000003</v>
      </c>
      <c r="Y150" s="7">
        <v>-1696.2739999999999</v>
      </c>
      <c r="Z150" s="7">
        <v>-589.72199999999998</v>
      </c>
      <c r="AA150" s="7">
        <v>-298.53899999999999</v>
      </c>
      <c r="AB150" s="7">
        <v>-5224.4610000000002</v>
      </c>
      <c r="AC150" s="7">
        <v>-109.11499999999999</v>
      </c>
      <c r="AD150" s="7">
        <v>-74.066000000000003</v>
      </c>
      <c r="AE150" s="7">
        <v>-5673.174</v>
      </c>
      <c r="AF150" s="7">
        <v>-4660.1549999999997</v>
      </c>
      <c r="AG150" s="7">
        <v>-637.69500000000005</v>
      </c>
      <c r="AH150" s="7">
        <v>-12431.545</v>
      </c>
      <c r="AI150" s="7">
        <v>-6757.7979999999998</v>
      </c>
      <c r="AJ150" s="7">
        <v>-3106.1590000000001</v>
      </c>
      <c r="AK150" s="7">
        <v>-97909.717000000004</v>
      </c>
      <c r="AL150" s="7">
        <v>-50043.222000000002</v>
      </c>
      <c r="AM150" s="7">
        <v>0</v>
      </c>
      <c r="AN150" s="7">
        <v>-33011.728999999999</v>
      </c>
      <c r="AO150" s="7">
        <v>-158.751</v>
      </c>
      <c r="AP150" s="7">
        <v>0</v>
      </c>
      <c r="AQ150" s="7">
        <v>-1929.7329999999999</v>
      </c>
      <c r="AR150" s="7">
        <v>0</v>
      </c>
      <c r="AS150" s="7">
        <v>-1.5760000000000001</v>
      </c>
      <c r="AT150" s="7">
        <v>0</v>
      </c>
      <c r="AU150" s="7">
        <v>-9.3840000000000003</v>
      </c>
      <c r="AV150" s="7">
        <v>0</v>
      </c>
      <c r="AW150" s="7">
        <v>0</v>
      </c>
      <c r="AX150" s="7">
        <v>-6178.482</v>
      </c>
      <c r="AY150" s="7">
        <v>0</v>
      </c>
      <c r="AZ150" s="7">
        <v>0</v>
      </c>
      <c r="BA150" s="7">
        <v>-4573.3450000000003</v>
      </c>
      <c r="BB150" s="7">
        <v>-73.260999999999996</v>
      </c>
      <c r="BC150" s="7">
        <v>0</v>
      </c>
      <c r="BD150" s="7">
        <v>0</v>
      </c>
      <c r="BE150" s="7">
        <v>-21.236000000000001</v>
      </c>
      <c r="BF150" s="7">
        <v>0</v>
      </c>
      <c r="BG150" s="7">
        <v>-1661.37</v>
      </c>
      <c r="BH150" s="7">
        <v>0</v>
      </c>
      <c r="BI150" s="21"/>
    </row>
    <row r="151" spans="1:61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21"/>
    </row>
    <row r="152" spans="1:61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-137.12100000000001</v>
      </c>
      <c r="F152" s="7">
        <v>3.9740000000000002</v>
      </c>
      <c r="G152" s="7">
        <v>-35.387999999999998</v>
      </c>
      <c r="H152" s="7">
        <v>0</v>
      </c>
      <c r="I152" s="7">
        <v>0.94599999999999995</v>
      </c>
      <c r="J152" s="7">
        <v>2.8439999999999999</v>
      </c>
      <c r="K152" s="7">
        <v>0</v>
      </c>
      <c r="L152" s="7">
        <v>-132.04900000000001</v>
      </c>
      <c r="M152" s="7">
        <v>-20.542999999999999</v>
      </c>
      <c r="N152" s="7">
        <v>0</v>
      </c>
      <c r="O152" s="7">
        <v>0</v>
      </c>
      <c r="P152" s="7">
        <v>0</v>
      </c>
      <c r="Q152" s="7">
        <v>5.7750000000000004</v>
      </c>
      <c r="R152" s="7">
        <v>7.18</v>
      </c>
      <c r="S152" s="7">
        <v>1.9339999999999999</v>
      </c>
      <c r="T152" s="7">
        <v>0</v>
      </c>
      <c r="U152" s="7">
        <v>0</v>
      </c>
      <c r="V152" s="7">
        <v>-0.495</v>
      </c>
      <c r="W152" s="7">
        <v>-1.1259999999999999</v>
      </c>
      <c r="X152" s="7">
        <v>0</v>
      </c>
      <c r="Y152" s="7">
        <v>-42.277999999999999</v>
      </c>
      <c r="Z152" s="7">
        <v>88.093999999999994</v>
      </c>
      <c r="AA152" s="7">
        <v>15.39</v>
      </c>
      <c r="AB152" s="7">
        <v>0</v>
      </c>
      <c r="AC152" s="7">
        <v>-3.0409999999999999</v>
      </c>
      <c r="AD152" s="7">
        <v>-35.110999999999997</v>
      </c>
      <c r="AE152" s="7">
        <v>-431.37099999999998</v>
      </c>
      <c r="AF152" s="7">
        <v>0.316</v>
      </c>
      <c r="AG152" s="7">
        <v>-177.72499999999999</v>
      </c>
      <c r="AH152" s="7">
        <v>-547.01</v>
      </c>
      <c r="AI152" s="7">
        <v>0</v>
      </c>
      <c r="AJ152" s="7">
        <v>412.89699999999999</v>
      </c>
      <c r="AK152" s="7">
        <v>0</v>
      </c>
      <c r="AL152" s="7">
        <v>0</v>
      </c>
      <c r="AM152" s="7">
        <v>0</v>
      </c>
      <c r="AN152" s="7">
        <v>0</v>
      </c>
      <c r="AO152" s="7">
        <v>0.73199999999999998</v>
      </c>
      <c r="AP152" s="7">
        <v>0</v>
      </c>
      <c r="AQ152" s="7">
        <v>4.7E-2</v>
      </c>
      <c r="AR152" s="7">
        <v>0</v>
      </c>
      <c r="AS152" s="7">
        <v>0.01</v>
      </c>
      <c r="AT152" s="7">
        <v>0</v>
      </c>
      <c r="AU152" s="7">
        <v>4.0000000000000001E-3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0.32400000000000001</v>
      </c>
      <c r="BC152" s="7">
        <v>0</v>
      </c>
      <c r="BD152" s="7">
        <v>0</v>
      </c>
      <c r="BE152" s="7">
        <v>0.10199999999999999</v>
      </c>
      <c r="BF152" s="7">
        <v>0</v>
      </c>
      <c r="BG152" s="7">
        <v>253.92699999999999</v>
      </c>
      <c r="BH152" s="7">
        <v>0</v>
      </c>
      <c r="BI152" s="21"/>
    </row>
    <row r="153" spans="1:61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21"/>
    </row>
    <row r="154" spans="1:61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7798.4350000000004</v>
      </c>
      <c r="F154" s="7">
        <v>1434.374</v>
      </c>
      <c r="G154" s="7">
        <v>0</v>
      </c>
      <c r="H154" s="7">
        <v>0</v>
      </c>
      <c r="I154" s="7">
        <v>30.108000000000001</v>
      </c>
      <c r="J154" s="7">
        <v>0</v>
      </c>
      <c r="K154" s="7">
        <v>0</v>
      </c>
      <c r="L154" s="7">
        <v>17144.522000000001</v>
      </c>
      <c r="M154" s="7">
        <v>749.87099999999998</v>
      </c>
      <c r="N154" s="7">
        <v>0</v>
      </c>
      <c r="O154" s="7">
        <v>0</v>
      </c>
      <c r="P154" s="7">
        <v>0.3</v>
      </c>
      <c r="Q154" s="7">
        <v>0</v>
      </c>
      <c r="R154" s="7">
        <v>0</v>
      </c>
      <c r="S154" s="7">
        <v>474.29</v>
      </c>
      <c r="T154" s="7">
        <v>0</v>
      </c>
      <c r="U154" s="7">
        <v>0</v>
      </c>
      <c r="V154" s="7">
        <v>0</v>
      </c>
      <c r="W154" s="7">
        <v>143.02799999999999</v>
      </c>
      <c r="X154" s="7">
        <v>0</v>
      </c>
      <c r="Y154" s="7">
        <v>3828.8649999999998</v>
      </c>
      <c r="Z154" s="7">
        <v>0</v>
      </c>
      <c r="AA154" s="7">
        <v>516.79100000000005</v>
      </c>
      <c r="AB154" s="7">
        <v>0</v>
      </c>
      <c r="AC154" s="7">
        <v>270.67099999999999</v>
      </c>
      <c r="AD154" s="7">
        <v>0</v>
      </c>
      <c r="AE154" s="7">
        <v>11193.3</v>
      </c>
      <c r="AF154" s="7">
        <v>10846.334000000001</v>
      </c>
      <c r="AG154" s="7">
        <v>0</v>
      </c>
      <c r="AH154" s="7">
        <v>28959.478999999999</v>
      </c>
      <c r="AI154" s="7">
        <v>17001.901999999998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370.96899999999999</v>
      </c>
      <c r="AP154" s="7">
        <v>0</v>
      </c>
      <c r="AQ154" s="7">
        <v>4405.88</v>
      </c>
      <c r="AR154" s="7">
        <v>0</v>
      </c>
      <c r="AS154" s="7">
        <v>4.4660000000000002</v>
      </c>
      <c r="AT154" s="7">
        <v>0</v>
      </c>
      <c r="AU154" s="7">
        <v>32.600999999999999</v>
      </c>
      <c r="AV154" s="7">
        <v>0</v>
      </c>
      <c r="AW154" s="7">
        <v>0</v>
      </c>
      <c r="AX154" s="7">
        <v>0</v>
      </c>
      <c r="AY154" s="7">
        <v>207.54499999999999</v>
      </c>
      <c r="AZ154" s="7">
        <v>7377.5540000000001</v>
      </c>
      <c r="BA154" s="7">
        <v>0</v>
      </c>
      <c r="BB154" s="7">
        <v>171.60900000000001</v>
      </c>
      <c r="BC154" s="7">
        <v>0</v>
      </c>
      <c r="BD154" s="7">
        <v>9724.3619999999992</v>
      </c>
      <c r="BE154" s="7">
        <v>49.624000000000002</v>
      </c>
      <c r="BF154" s="7">
        <v>3346.0320000000002</v>
      </c>
      <c r="BG154" s="7">
        <v>0</v>
      </c>
      <c r="BH154" s="7">
        <v>0</v>
      </c>
      <c r="BI154" s="21"/>
    </row>
    <row r="155" spans="1:61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21"/>
    </row>
    <row r="156" spans="1:61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21"/>
    </row>
    <row r="157" spans="1:61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21"/>
    </row>
    <row r="158" spans="1:61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-0.61</v>
      </c>
      <c r="F158" s="7">
        <v>-0.111</v>
      </c>
      <c r="G158" s="7">
        <v>0</v>
      </c>
      <c r="H158" s="7">
        <v>0</v>
      </c>
      <c r="I158" s="7">
        <v>-2E-3</v>
      </c>
      <c r="J158" s="7">
        <v>0</v>
      </c>
      <c r="K158" s="7">
        <v>0</v>
      </c>
      <c r="L158" s="7">
        <v>-1.34</v>
      </c>
      <c r="M158" s="7">
        <v>-5.8000000000000003E-2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-3.6999999999999998E-2</v>
      </c>
      <c r="T158" s="7">
        <v>0</v>
      </c>
      <c r="U158" s="7">
        <v>0</v>
      </c>
      <c r="V158" s="7">
        <v>0</v>
      </c>
      <c r="W158" s="7">
        <v>-1.2E-2</v>
      </c>
      <c r="X158" s="7">
        <v>0</v>
      </c>
      <c r="Y158" s="7">
        <v>-0.3</v>
      </c>
      <c r="Z158" s="7">
        <v>0</v>
      </c>
      <c r="AA158" s="7">
        <v>-4.1000000000000002E-2</v>
      </c>
      <c r="AB158" s="7">
        <v>0</v>
      </c>
      <c r="AC158" s="7">
        <v>-2.1000000000000001E-2</v>
      </c>
      <c r="AD158" s="7">
        <v>0</v>
      </c>
      <c r="AE158" s="7">
        <v>-0.876</v>
      </c>
      <c r="AF158" s="7">
        <v>-0.84799999999999998</v>
      </c>
      <c r="AG158" s="7">
        <v>0</v>
      </c>
      <c r="AH158" s="7">
        <v>-2.2639999999999998</v>
      </c>
      <c r="AI158" s="7">
        <v>-1.33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-0.03</v>
      </c>
      <c r="AP158" s="7">
        <v>0</v>
      </c>
      <c r="AQ158" s="7">
        <v>-0.34399999999999997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-1.6E-2</v>
      </c>
      <c r="AZ158" s="7">
        <v>-0.57699999999999996</v>
      </c>
      <c r="BA158" s="7">
        <v>0</v>
      </c>
      <c r="BB158" s="7">
        <v>-1.4E-2</v>
      </c>
      <c r="BC158" s="7">
        <v>0</v>
      </c>
      <c r="BD158" s="7">
        <v>-0.76100000000000001</v>
      </c>
      <c r="BE158" s="7">
        <v>-3.0000000000000001E-3</v>
      </c>
      <c r="BF158" s="7">
        <v>-0.26200000000000001</v>
      </c>
      <c r="BG158" s="7">
        <v>0</v>
      </c>
      <c r="BH158" s="7">
        <v>0</v>
      </c>
      <c r="BI158" s="21"/>
    </row>
    <row r="159" spans="1:61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21"/>
    </row>
    <row r="160" spans="1:61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21"/>
    </row>
    <row r="161" spans="1:61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21"/>
    </row>
    <row r="162" spans="1:61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21"/>
    </row>
    <row r="163" spans="1:61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21"/>
    </row>
    <row r="164" spans="1:61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161.136</v>
      </c>
      <c r="F164" s="7">
        <v>21.045999999999999</v>
      </c>
      <c r="G164" s="7">
        <v>5.665</v>
      </c>
      <c r="H164" s="7">
        <v>0</v>
      </c>
      <c r="I164" s="7">
        <v>1.381</v>
      </c>
      <c r="J164" s="7">
        <v>4.2629999999999999</v>
      </c>
      <c r="K164" s="7">
        <v>0</v>
      </c>
      <c r="L164" s="7">
        <v>280.387</v>
      </c>
      <c r="M164" s="7">
        <v>16.631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6.7249999999999996</v>
      </c>
      <c r="T164" s="7">
        <v>0</v>
      </c>
      <c r="U164" s="7">
        <v>0</v>
      </c>
      <c r="V164" s="7">
        <v>0.83</v>
      </c>
      <c r="W164" s="7">
        <v>3.8660000000000001</v>
      </c>
      <c r="X164" s="7">
        <v>0</v>
      </c>
      <c r="Y164" s="7">
        <v>75.649000000000001</v>
      </c>
      <c r="Z164" s="7">
        <v>0</v>
      </c>
      <c r="AA164" s="7">
        <v>14.488</v>
      </c>
      <c r="AB164" s="7">
        <v>0</v>
      </c>
      <c r="AC164" s="7">
        <v>4.4809999999999999</v>
      </c>
      <c r="AD164" s="7">
        <v>0</v>
      </c>
      <c r="AE164" s="7">
        <v>228.649</v>
      </c>
      <c r="AF164" s="7">
        <v>149.69</v>
      </c>
      <c r="AG164" s="7">
        <v>0</v>
      </c>
      <c r="AH164" s="7">
        <v>524.70500000000004</v>
      </c>
      <c r="AI164" s="7">
        <v>217.06899999999999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5.6669999999999998</v>
      </c>
      <c r="AP164" s="7">
        <v>0</v>
      </c>
      <c r="AQ164" s="7">
        <v>61.984999999999999</v>
      </c>
      <c r="AR164" s="7">
        <v>0</v>
      </c>
      <c r="AS164" s="7">
        <v>5.2999999999999999E-2</v>
      </c>
      <c r="AT164" s="7">
        <v>0</v>
      </c>
      <c r="AU164" s="7">
        <v>0.30099999999999999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2.633</v>
      </c>
      <c r="BC164" s="7">
        <v>0</v>
      </c>
      <c r="BD164" s="7">
        <v>0</v>
      </c>
      <c r="BE164" s="7">
        <v>0.78300000000000003</v>
      </c>
      <c r="BF164" s="7">
        <v>0</v>
      </c>
      <c r="BG164" s="7">
        <v>0</v>
      </c>
      <c r="BH164" s="7">
        <v>0</v>
      </c>
      <c r="BI164" s="21"/>
    </row>
    <row r="165" spans="1:61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21"/>
    </row>
    <row r="166" spans="1:61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1354.654</v>
      </c>
      <c r="F166" s="7">
        <v>118.358</v>
      </c>
      <c r="G166" s="7">
        <v>165.77099999999999</v>
      </c>
      <c r="H166" s="7">
        <v>3381.0740000000001</v>
      </c>
      <c r="I166" s="7">
        <v>28.742000000000001</v>
      </c>
      <c r="J166" s="7">
        <v>100.724</v>
      </c>
      <c r="K166" s="7">
        <v>0</v>
      </c>
      <c r="L166" s="7">
        <v>968.40499999999997</v>
      </c>
      <c r="M166" s="7">
        <v>447.57900000000001</v>
      </c>
      <c r="N166" s="7">
        <v>0</v>
      </c>
      <c r="O166" s="7">
        <v>0</v>
      </c>
      <c r="P166" s="7">
        <v>5.1790000000000003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16.875</v>
      </c>
      <c r="W166" s="7">
        <v>50.796999999999997</v>
      </c>
      <c r="X166" s="7">
        <v>0</v>
      </c>
      <c r="Y166" s="7">
        <v>400.78899999999999</v>
      </c>
      <c r="Z166" s="7">
        <v>0</v>
      </c>
      <c r="AA166" s="7">
        <v>136.51499999999999</v>
      </c>
      <c r="AB166" s="7">
        <v>0</v>
      </c>
      <c r="AC166" s="7">
        <v>21.744</v>
      </c>
      <c r="AD166" s="7">
        <v>0</v>
      </c>
      <c r="AE166" s="7">
        <v>1303.829</v>
      </c>
      <c r="AF166" s="7">
        <v>0</v>
      </c>
      <c r="AG166" s="7">
        <v>0</v>
      </c>
      <c r="AH166" s="7">
        <v>2843.1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21"/>
    </row>
    <row r="167" spans="1:61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650.45100000000002</v>
      </c>
      <c r="F167" s="7">
        <v>118.322</v>
      </c>
      <c r="G167" s="7">
        <v>8.2769999999999992</v>
      </c>
      <c r="H167" s="7">
        <v>0</v>
      </c>
      <c r="I167" s="7">
        <v>3.097</v>
      </c>
      <c r="J167" s="7">
        <v>4.7809999999999997</v>
      </c>
      <c r="K167" s="7">
        <v>0</v>
      </c>
      <c r="L167" s="7">
        <v>1365.502</v>
      </c>
      <c r="M167" s="7">
        <v>75.793000000000006</v>
      </c>
      <c r="N167" s="7">
        <v>0</v>
      </c>
      <c r="O167" s="7">
        <v>0</v>
      </c>
      <c r="P167" s="7">
        <v>2.4E-2</v>
      </c>
      <c r="Q167" s="7">
        <v>0</v>
      </c>
      <c r="R167" s="7">
        <v>0</v>
      </c>
      <c r="S167" s="7">
        <v>39.817999999999998</v>
      </c>
      <c r="T167" s="7">
        <v>0</v>
      </c>
      <c r="U167" s="7">
        <v>0</v>
      </c>
      <c r="V167" s="7">
        <v>1.242</v>
      </c>
      <c r="W167" s="7">
        <v>12.954000000000001</v>
      </c>
      <c r="X167" s="7">
        <v>0</v>
      </c>
      <c r="Y167" s="7">
        <v>307.71499999999997</v>
      </c>
      <c r="Z167" s="7">
        <v>0</v>
      </c>
      <c r="AA167" s="7">
        <v>50.518999999999998</v>
      </c>
      <c r="AB167" s="7">
        <v>0</v>
      </c>
      <c r="AC167" s="7">
        <v>22.183</v>
      </c>
      <c r="AD167" s="7">
        <v>0</v>
      </c>
      <c r="AE167" s="7">
        <v>889.28800000000001</v>
      </c>
      <c r="AF167" s="7">
        <v>856.346</v>
      </c>
      <c r="AG167" s="7">
        <v>0</v>
      </c>
      <c r="AH167" s="7">
        <v>2314.4459999999999</v>
      </c>
      <c r="AI167" s="7">
        <v>1342.3440000000001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30.372</v>
      </c>
      <c r="AP167" s="7">
        <v>0</v>
      </c>
      <c r="AQ167" s="7">
        <v>347.85500000000002</v>
      </c>
      <c r="AR167" s="7">
        <v>0</v>
      </c>
      <c r="AS167" s="7">
        <v>0.373</v>
      </c>
      <c r="AT167" s="7">
        <v>0</v>
      </c>
      <c r="AU167" s="7">
        <v>3.0960000000000001</v>
      </c>
      <c r="AV167" s="7">
        <v>0</v>
      </c>
      <c r="AW167" s="7">
        <v>0</v>
      </c>
      <c r="AX167" s="7">
        <v>0</v>
      </c>
      <c r="AY167" s="7">
        <v>17.795000000000002</v>
      </c>
      <c r="AZ167" s="7">
        <v>582.47799999999995</v>
      </c>
      <c r="BA167" s="7">
        <v>0</v>
      </c>
      <c r="BB167" s="7">
        <v>14.058</v>
      </c>
      <c r="BC167" s="7">
        <v>0.69499999999999995</v>
      </c>
      <c r="BD167" s="7">
        <v>767.76499999999999</v>
      </c>
      <c r="BE167" s="7">
        <v>4.0679999999999996</v>
      </c>
      <c r="BF167" s="7">
        <v>264.178</v>
      </c>
      <c r="BG167" s="7">
        <v>0</v>
      </c>
      <c r="BH167" s="7">
        <v>0.24399999999999999</v>
      </c>
      <c r="BI167" s="21"/>
    </row>
    <row r="168" spans="1:61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21"/>
    </row>
    <row r="169" spans="1:61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-189.304</v>
      </c>
      <c r="F169" s="7">
        <v>-24.79</v>
      </c>
      <c r="G169" s="7">
        <v>-6.5270000000000001</v>
      </c>
      <c r="H169" s="7">
        <v>0</v>
      </c>
      <c r="I169" s="7">
        <v>-1.6060000000000001</v>
      </c>
      <c r="J169" s="7">
        <v>-4.9109999999999996</v>
      </c>
      <c r="K169" s="7">
        <v>0</v>
      </c>
      <c r="L169" s="7">
        <v>-331.303</v>
      </c>
      <c r="M169" s="7">
        <v>-19.356999999999999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-7.9240000000000004</v>
      </c>
      <c r="T169" s="7">
        <v>0</v>
      </c>
      <c r="U169" s="7">
        <v>0</v>
      </c>
      <c r="V169" s="7">
        <v>-0.95499999999999996</v>
      </c>
      <c r="W169" s="7">
        <v>-4.5220000000000002</v>
      </c>
      <c r="X169" s="7">
        <v>0</v>
      </c>
      <c r="Y169" s="7">
        <v>-89.063000000000002</v>
      </c>
      <c r="Z169" s="7">
        <v>0</v>
      </c>
      <c r="AA169" s="7">
        <v>-17.027999999999999</v>
      </c>
      <c r="AB169" s="7">
        <v>0</v>
      </c>
      <c r="AC169" s="7">
        <v>-5.2850000000000001</v>
      </c>
      <c r="AD169" s="7">
        <v>0</v>
      </c>
      <c r="AE169" s="7">
        <v>-268.93099999999998</v>
      </c>
      <c r="AF169" s="7">
        <v>-177.69300000000001</v>
      </c>
      <c r="AG169" s="7">
        <v>0</v>
      </c>
      <c r="AH169" s="7">
        <v>-618.495</v>
      </c>
      <c r="AI169" s="7">
        <v>-257.67700000000002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-6.7069999999999999</v>
      </c>
      <c r="AP169" s="7">
        <v>0</v>
      </c>
      <c r="AQ169" s="7">
        <v>-73.581000000000003</v>
      </c>
      <c r="AR169" s="7">
        <v>0</v>
      </c>
      <c r="AS169" s="7">
        <v>-6.3E-2</v>
      </c>
      <c r="AT169" s="7">
        <v>0</v>
      </c>
      <c r="AU169" s="7">
        <v>-0.35299999999999998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-3.1150000000000002</v>
      </c>
      <c r="BC169" s="7">
        <v>0</v>
      </c>
      <c r="BD169" s="7">
        <v>0</v>
      </c>
      <c r="BE169" s="7">
        <v>-0.92600000000000005</v>
      </c>
      <c r="BF169" s="7">
        <v>0</v>
      </c>
      <c r="BG169" s="7">
        <v>0</v>
      </c>
      <c r="BH169" s="7">
        <v>0</v>
      </c>
      <c r="BI169" s="21"/>
    </row>
    <row r="170" spans="1:61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21"/>
    </row>
    <row r="171" spans="1:61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21"/>
    </row>
    <row r="172" spans="1:61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1485.4839999999999</v>
      </c>
      <c r="F172" s="7">
        <v>30.39</v>
      </c>
      <c r="G172" s="7">
        <v>0</v>
      </c>
      <c r="H172" s="7">
        <v>0</v>
      </c>
      <c r="I172" s="7">
        <v>1.4339999999999999</v>
      </c>
      <c r="J172" s="7">
        <v>0</v>
      </c>
      <c r="K172" s="7">
        <v>0</v>
      </c>
      <c r="L172" s="7">
        <v>2333.6170000000002</v>
      </c>
      <c r="M172" s="7">
        <v>780.90899999999999</v>
      </c>
      <c r="N172" s="7">
        <v>0</v>
      </c>
      <c r="O172" s="7">
        <v>0</v>
      </c>
      <c r="P172" s="7">
        <v>3.0000000000000001E-3</v>
      </c>
      <c r="Q172" s="7">
        <v>0</v>
      </c>
      <c r="R172" s="7">
        <v>0</v>
      </c>
      <c r="S172" s="7">
        <v>9.3699999999999992</v>
      </c>
      <c r="T172" s="7">
        <v>0</v>
      </c>
      <c r="U172" s="7">
        <v>0</v>
      </c>
      <c r="V172" s="7">
        <v>0</v>
      </c>
      <c r="W172" s="7">
        <v>3.0910000000000002</v>
      </c>
      <c r="X172" s="7">
        <v>0</v>
      </c>
      <c r="Y172" s="7">
        <v>266.42599999999999</v>
      </c>
      <c r="Z172" s="7">
        <v>0</v>
      </c>
      <c r="AA172" s="7">
        <v>4.8380000000000001</v>
      </c>
      <c r="AB172" s="7">
        <v>0</v>
      </c>
      <c r="AC172" s="7">
        <v>4.9240000000000004</v>
      </c>
      <c r="AD172" s="7">
        <v>0</v>
      </c>
      <c r="AE172" s="7">
        <v>104.863</v>
      </c>
      <c r="AF172" s="7">
        <v>136.786</v>
      </c>
      <c r="AG172" s="7">
        <v>0</v>
      </c>
      <c r="AH172" s="7">
        <v>4010.0079999999998</v>
      </c>
      <c r="AI172" s="7">
        <v>219.078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3.4729999999999999</v>
      </c>
      <c r="AP172" s="7">
        <v>0</v>
      </c>
      <c r="AQ172" s="7">
        <v>45.616999999999997</v>
      </c>
      <c r="AR172" s="7">
        <v>0</v>
      </c>
      <c r="AS172" s="7">
        <v>4.2000000000000003E-2</v>
      </c>
      <c r="AT172" s="7">
        <v>0</v>
      </c>
      <c r="AU172" s="7">
        <v>0.30499999999999999</v>
      </c>
      <c r="AV172" s="7">
        <v>0</v>
      </c>
      <c r="AW172" s="7">
        <v>0</v>
      </c>
      <c r="AX172" s="7">
        <v>0</v>
      </c>
      <c r="AY172" s="7">
        <v>1.9430000000000001</v>
      </c>
      <c r="AZ172" s="7">
        <v>69.06</v>
      </c>
      <c r="BA172" s="7">
        <v>0</v>
      </c>
      <c r="BB172" s="7">
        <v>1.6060000000000001</v>
      </c>
      <c r="BC172" s="7">
        <v>0</v>
      </c>
      <c r="BD172" s="7">
        <v>91.028000000000006</v>
      </c>
      <c r="BE172" s="7">
        <v>0.46500000000000002</v>
      </c>
      <c r="BF172" s="7">
        <v>31.321999999999999</v>
      </c>
      <c r="BG172" s="7">
        <v>0</v>
      </c>
      <c r="BH172" s="7">
        <v>0</v>
      </c>
      <c r="BI172" s="21"/>
    </row>
    <row r="173" spans="1:61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21"/>
    </row>
    <row r="174" spans="1:61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21"/>
    </row>
    <row r="175" spans="1:61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21"/>
    </row>
    <row r="176" spans="1:61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21"/>
    </row>
    <row r="177" spans="1:61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-682.27099999999996</v>
      </c>
      <c r="F177" s="7">
        <v>-22.082999999999998</v>
      </c>
      <c r="G177" s="7">
        <v>0</v>
      </c>
      <c r="H177" s="7">
        <v>0</v>
      </c>
      <c r="I177" s="7">
        <v>-1.486</v>
      </c>
      <c r="J177" s="7">
        <v>0</v>
      </c>
      <c r="K177" s="7">
        <v>0</v>
      </c>
      <c r="L177" s="7">
        <v>-1052.2080000000001</v>
      </c>
      <c r="M177" s="7">
        <v>-392.452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-6.4370000000000003</v>
      </c>
      <c r="T177" s="7">
        <v>0</v>
      </c>
      <c r="U177" s="7">
        <v>0</v>
      </c>
      <c r="V177" s="7">
        <v>0</v>
      </c>
      <c r="W177" s="7">
        <v>-2.2799999999999998</v>
      </c>
      <c r="X177" s="7">
        <v>0</v>
      </c>
      <c r="Y177" s="7">
        <v>-111.983</v>
      </c>
      <c r="Z177" s="7">
        <v>0</v>
      </c>
      <c r="AA177" s="7">
        <v>-0.128</v>
      </c>
      <c r="AB177" s="7">
        <v>0</v>
      </c>
      <c r="AC177" s="7">
        <v>-3.1259999999999999</v>
      </c>
      <c r="AD177" s="7">
        <v>0</v>
      </c>
      <c r="AE177" s="7">
        <v>-2.8860000000000001</v>
      </c>
      <c r="AF177" s="7">
        <v>-47.856999999999999</v>
      </c>
      <c r="AG177" s="7">
        <v>0</v>
      </c>
      <c r="AH177" s="7">
        <v>-2262.1640000000002</v>
      </c>
      <c r="AI177" s="7">
        <v>-80.989000000000004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-9.1999999999999998E-2</v>
      </c>
      <c r="AP177" s="7">
        <v>0</v>
      </c>
      <c r="AQ177" s="7">
        <v>-6.6970000000000001</v>
      </c>
      <c r="AR177" s="7">
        <v>0</v>
      </c>
      <c r="AS177" s="7">
        <v>-2E-3</v>
      </c>
      <c r="AT177" s="7">
        <v>0</v>
      </c>
      <c r="AU177" s="7">
        <v>-4.0000000000000001E-3</v>
      </c>
      <c r="AV177" s="7">
        <v>0</v>
      </c>
      <c r="AW177" s="7">
        <v>0</v>
      </c>
      <c r="AX177" s="7">
        <v>0</v>
      </c>
      <c r="AY177" s="7">
        <v>-5.0999999999999997E-2</v>
      </c>
      <c r="AZ177" s="7">
        <v>-1.831</v>
      </c>
      <c r="BA177" s="7">
        <v>0</v>
      </c>
      <c r="BB177" s="7">
        <v>-4.2999999999999997E-2</v>
      </c>
      <c r="BC177" s="7">
        <v>0</v>
      </c>
      <c r="BD177" s="7">
        <v>-2.4129999999999998</v>
      </c>
      <c r="BE177" s="7">
        <v>-1.2999999999999999E-2</v>
      </c>
      <c r="BF177" s="7">
        <v>-0.83</v>
      </c>
      <c r="BG177" s="7">
        <v>0</v>
      </c>
      <c r="BH177" s="7">
        <v>0</v>
      </c>
      <c r="BI177" s="21"/>
    </row>
    <row r="178" spans="1:61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21"/>
    </row>
    <row r="179" spans="1:61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21"/>
    </row>
    <row r="180" spans="1:61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21"/>
    </row>
    <row r="181" spans="1:61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21"/>
    </row>
    <row r="182" spans="1:61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2.1999999999999999E-2</v>
      </c>
      <c r="F182" s="7">
        <v>4.0000000000000001E-3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4.9000000000000002E-2</v>
      </c>
      <c r="M182" s="7">
        <v>2E-3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1E-3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1.0999999999999999E-2</v>
      </c>
      <c r="Z182" s="7">
        <v>0</v>
      </c>
      <c r="AA182" s="7">
        <v>1E-3</v>
      </c>
      <c r="AB182" s="7">
        <v>0</v>
      </c>
      <c r="AC182" s="7">
        <v>1E-3</v>
      </c>
      <c r="AD182" s="7">
        <v>0</v>
      </c>
      <c r="AE182" s="7">
        <v>3.2000000000000001E-2</v>
      </c>
      <c r="AF182" s="7">
        <v>3.1E-2</v>
      </c>
      <c r="AG182" s="7">
        <v>0</v>
      </c>
      <c r="AH182" s="7">
        <v>8.3000000000000004E-2</v>
      </c>
      <c r="AI182" s="7">
        <v>4.9000000000000002E-2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1E-3</v>
      </c>
      <c r="AP182" s="7">
        <v>0</v>
      </c>
      <c r="AQ182" s="7">
        <v>1.2999999999999999E-2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1E-3</v>
      </c>
      <c r="AZ182" s="7">
        <v>2.1000000000000001E-2</v>
      </c>
      <c r="BA182" s="7">
        <v>0</v>
      </c>
      <c r="BB182" s="7">
        <v>0</v>
      </c>
      <c r="BC182" s="7">
        <v>0</v>
      </c>
      <c r="BD182" s="7">
        <v>2.8000000000000001E-2</v>
      </c>
      <c r="BE182" s="7">
        <v>0</v>
      </c>
      <c r="BF182" s="7">
        <v>0.01</v>
      </c>
      <c r="BG182" s="7">
        <v>0</v>
      </c>
      <c r="BH182" s="7">
        <v>0</v>
      </c>
      <c r="BI182" s="21"/>
    </row>
    <row r="183" spans="1:61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21"/>
    </row>
    <row r="184" spans="1:61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21"/>
    </row>
    <row r="185" spans="1:61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21"/>
    </row>
    <row r="186" spans="1:61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94.501000000000005</v>
      </c>
      <c r="F186" s="7">
        <v>8.2569999999999997</v>
      </c>
      <c r="G186" s="7">
        <v>11.564</v>
      </c>
      <c r="H186" s="7">
        <v>0</v>
      </c>
      <c r="I186" s="7">
        <v>2.0049999999999999</v>
      </c>
      <c r="J186" s="7">
        <v>7.0270000000000001</v>
      </c>
      <c r="K186" s="7">
        <v>0</v>
      </c>
      <c r="L186" s="7">
        <v>67.555999999999997</v>
      </c>
      <c r="M186" s="7">
        <v>31.222999999999999</v>
      </c>
      <c r="N186" s="7">
        <v>0</v>
      </c>
      <c r="O186" s="7">
        <v>0</v>
      </c>
      <c r="P186" s="7">
        <v>0.36099999999999999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1.177</v>
      </c>
      <c r="W186" s="7">
        <v>3.544</v>
      </c>
      <c r="X186" s="7">
        <v>0</v>
      </c>
      <c r="Y186" s="7">
        <v>27.959</v>
      </c>
      <c r="Z186" s="7">
        <v>0</v>
      </c>
      <c r="AA186" s="7">
        <v>9.5229999999999997</v>
      </c>
      <c r="AB186" s="7">
        <v>0</v>
      </c>
      <c r="AC186" s="7">
        <v>1.5169999999999999</v>
      </c>
      <c r="AD186" s="7">
        <v>0</v>
      </c>
      <c r="AE186" s="7">
        <v>90.956000000000003</v>
      </c>
      <c r="AF186" s="7">
        <v>0</v>
      </c>
      <c r="AG186" s="7">
        <v>0</v>
      </c>
      <c r="AH186" s="7">
        <v>198.33600000000001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21"/>
    </row>
    <row r="187" spans="1:61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21"/>
    </row>
    <row r="188" spans="1:61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21"/>
    </row>
    <row r="189" spans="1:61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21"/>
    </row>
    <row r="190" spans="1:61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21"/>
    </row>
    <row r="191" spans="1:61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21"/>
    </row>
    <row r="192" spans="1:61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21"/>
    </row>
    <row r="193" spans="1:61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21"/>
    </row>
    <row r="194" spans="1:61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21"/>
    </row>
    <row r="195" spans="1:61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21"/>
    </row>
    <row r="196" spans="1:61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21"/>
    </row>
    <row r="197" spans="1:61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21"/>
    </row>
    <row r="198" spans="1:61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21"/>
    </row>
    <row r="199" spans="1:61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21"/>
    </row>
    <row r="200" spans="1:61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21"/>
    </row>
    <row r="201" spans="1:61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21"/>
    </row>
    <row r="202" spans="1:61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21"/>
    </row>
    <row r="203" spans="1:61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21"/>
    </row>
    <row r="204" spans="1:61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21"/>
    </row>
    <row r="205" spans="1:61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21"/>
    </row>
    <row r="206" spans="1:61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21"/>
    </row>
    <row r="207" spans="1:61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21"/>
    </row>
    <row r="208" spans="1:61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21"/>
    </row>
    <row r="209" spans="1:61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21"/>
    </row>
    <row r="210" spans="1:61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156.595</v>
      </c>
      <c r="F210" s="7">
        <v>2.2650000000000001</v>
      </c>
      <c r="G210" s="7">
        <v>37.328000000000003</v>
      </c>
      <c r="H210" s="7">
        <v>0</v>
      </c>
      <c r="I210" s="7">
        <v>0.505</v>
      </c>
      <c r="J210" s="7">
        <v>58.680999999999997</v>
      </c>
      <c r="K210" s="7">
        <v>0</v>
      </c>
      <c r="L210" s="7">
        <v>471.70800000000003</v>
      </c>
      <c r="M210" s="7">
        <v>79.605999999999995</v>
      </c>
      <c r="N210" s="7">
        <v>0</v>
      </c>
      <c r="O210" s="7">
        <v>0</v>
      </c>
      <c r="P210" s="7">
        <v>1E-3</v>
      </c>
      <c r="Q210" s="7">
        <v>3.242</v>
      </c>
      <c r="R210" s="7">
        <v>8.3659999999999997</v>
      </c>
      <c r="S210" s="7">
        <v>0.80600000000000005</v>
      </c>
      <c r="T210" s="7">
        <v>0</v>
      </c>
      <c r="U210" s="7">
        <v>0</v>
      </c>
      <c r="V210" s="7">
        <v>0.66900000000000004</v>
      </c>
      <c r="W210" s="7">
        <v>1.5880000000000001</v>
      </c>
      <c r="X210" s="7">
        <v>0</v>
      </c>
      <c r="Y210" s="7">
        <v>6.9870000000000001</v>
      </c>
      <c r="Z210" s="7">
        <v>0</v>
      </c>
      <c r="AA210" s="7">
        <v>6.5759999999999996</v>
      </c>
      <c r="AB210" s="7">
        <v>0</v>
      </c>
      <c r="AC210" s="7">
        <v>0.443</v>
      </c>
      <c r="AD210" s="7">
        <v>0</v>
      </c>
      <c r="AE210" s="7">
        <v>24.390999999999998</v>
      </c>
      <c r="AF210" s="7">
        <v>0</v>
      </c>
      <c r="AG210" s="7">
        <v>0</v>
      </c>
      <c r="AH210" s="7">
        <v>435.21899999999999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0.624</v>
      </c>
      <c r="AP210" s="7">
        <v>0</v>
      </c>
      <c r="AQ210" s="7">
        <v>0</v>
      </c>
      <c r="AR210" s="7">
        <v>0</v>
      </c>
      <c r="AS210" s="7">
        <v>3.0000000000000001E-3</v>
      </c>
      <c r="AT210" s="7">
        <v>0</v>
      </c>
      <c r="AU210" s="7">
        <v>0.16200000000000001</v>
      </c>
      <c r="AV210" s="7">
        <v>0</v>
      </c>
      <c r="AW210" s="7">
        <v>0</v>
      </c>
      <c r="AX210" s="7">
        <v>0</v>
      </c>
      <c r="AY210" s="7">
        <v>0.79800000000000004</v>
      </c>
      <c r="AZ210" s="7">
        <v>0</v>
      </c>
      <c r="BA210" s="7">
        <v>0</v>
      </c>
      <c r="BB210" s="7">
        <v>0.30299999999999999</v>
      </c>
      <c r="BC210" s="7">
        <v>0.39700000000000002</v>
      </c>
      <c r="BD210" s="7">
        <v>0</v>
      </c>
      <c r="BE210" s="7">
        <v>9.0999999999999998E-2</v>
      </c>
      <c r="BF210" s="7">
        <v>0</v>
      </c>
      <c r="BG210" s="7">
        <v>0</v>
      </c>
      <c r="BH210" s="7">
        <v>0.14099999999999999</v>
      </c>
      <c r="BI210" s="21"/>
    </row>
    <row r="211" spans="1:61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21"/>
    </row>
    <row r="212" spans="1:61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21"/>
    </row>
    <row r="213" spans="1:61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21"/>
    </row>
    <row r="214" spans="1:61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1023.588</v>
      </c>
      <c r="F214" s="7">
        <v>89.433000000000007</v>
      </c>
      <c r="G214" s="7">
        <v>125.258</v>
      </c>
      <c r="H214" s="7">
        <v>4.0000000000000001E-3</v>
      </c>
      <c r="I214" s="7">
        <v>21.718</v>
      </c>
      <c r="J214" s="7">
        <v>76.106999999999999</v>
      </c>
      <c r="K214" s="7">
        <v>0</v>
      </c>
      <c r="L214" s="7">
        <v>731.73599999999999</v>
      </c>
      <c r="M214" s="7">
        <v>338.19600000000003</v>
      </c>
      <c r="N214" s="7">
        <v>0</v>
      </c>
      <c r="O214" s="7">
        <v>0</v>
      </c>
      <c r="P214" s="7">
        <v>3.9140000000000001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12.750999999999999</v>
      </c>
      <c r="W214" s="7">
        <v>38.381999999999998</v>
      </c>
      <c r="X214" s="7">
        <v>0</v>
      </c>
      <c r="Y214" s="7">
        <v>302.839</v>
      </c>
      <c r="Z214" s="7">
        <v>0</v>
      </c>
      <c r="AA214" s="7">
        <v>103.151</v>
      </c>
      <c r="AB214" s="7">
        <v>0</v>
      </c>
      <c r="AC214" s="7">
        <v>16.43</v>
      </c>
      <c r="AD214" s="7">
        <v>0</v>
      </c>
      <c r="AE214" s="7">
        <v>985.18299999999999</v>
      </c>
      <c r="AF214" s="7">
        <v>0</v>
      </c>
      <c r="AG214" s="7">
        <v>0</v>
      </c>
      <c r="AH214" s="7">
        <v>2148.2689999999998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21"/>
    </row>
    <row r="215" spans="1:61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21"/>
    </row>
    <row r="216" spans="1:61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21"/>
    </row>
    <row r="217" spans="1:61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21"/>
    </row>
    <row r="218" spans="1:61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21"/>
    </row>
    <row r="219" spans="1:61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-1E-3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-1E-3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21"/>
    </row>
    <row r="220" spans="1:61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21"/>
    </row>
    <row r="221" spans="1:61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84569.297000000006</v>
      </c>
      <c r="F221" s="7">
        <v>15554.909</v>
      </c>
      <c r="G221" s="7">
        <v>0</v>
      </c>
      <c r="H221" s="7">
        <v>0</v>
      </c>
      <c r="I221" s="7">
        <v>326.49799999999999</v>
      </c>
      <c r="J221" s="7">
        <v>0</v>
      </c>
      <c r="K221" s="7">
        <v>0</v>
      </c>
      <c r="L221" s="7">
        <v>185921.93799999999</v>
      </c>
      <c r="M221" s="7">
        <v>8131.9070000000002</v>
      </c>
      <c r="N221" s="7">
        <v>0</v>
      </c>
      <c r="O221" s="7">
        <v>0</v>
      </c>
      <c r="P221" s="7">
        <v>3.2469999999999999</v>
      </c>
      <c r="Q221" s="7">
        <v>0</v>
      </c>
      <c r="R221" s="7">
        <v>0</v>
      </c>
      <c r="S221" s="7">
        <v>5143.3940000000002</v>
      </c>
      <c r="T221" s="7">
        <v>0</v>
      </c>
      <c r="U221" s="7">
        <v>0</v>
      </c>
      <c r="V221" s="7">
        <v>0</v>
      </c>
      <c r="W221" s="7">
        <v>1551.039</v>
      </c>
      <c r="X221" s="7">
        <v>0</v>
      </c>
      <c r="Y221" s="7">
        <v>41521.714999999997</v>
      </c>
      <c r="Z221" s="7">
        <v>0</v>
      </c>
      <c r="AA221" s="7">
        <v>5604.2939999999999</v>
      </c>
      <c r="AB221" s="7">
        <v>0</v>
      </c>
      <c r="AC221" s="7">
        <v>2935.261</v>
      </c>
      <c r="AD221" s="7">
        <v>0</v>
      </c>
      <c r="AE221" s="7">
        <v>121384.522</v>
      </c>
      <c r="AF221" s="7">
        <v>117621.89200000001</v>
      </c>
      <c r="AG221" s="7">
        <v>0</v>
      </c>
      <c r="AH221" s="7">
        <v>314047.96100000001</v>
      </c>
      <c r="AI221" s="7">
        <v>184375.32199999999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4022.9229999999998</v>
      </c>
      <c r="AP221" s="7">
        <v>0</v>
      </c>
      <c r="AQ221" s="7">
        <v>47779.093000000001</v>
      </c>
      <c r="AR221" s="7">
        <v>0</v>
      </c>
      <c r="AS221" s="7">
        <v>48.432000000000002</v>
      </c>
      <c r="AT221" s="7">
        <v>0</v>
      </c>
      <c r="AU221" s="7">
        <v>353.601</v>
      </c>
      <c r="AV221" s="7">
        <v>0</v>
      </c>
      <c r="AW221" s="7">
        <v>0</v>
      </c>
      <c r="AX221" s="7">
        <v>0</v>
      </c>
      <c r="AY221" s="7">
        <v>2250.694</v>
      </c>
      <c r="AZ221" s="7">
        <v>80005.092999999993</v>
      </c>
      <c r="BA221" s="7">
        <v>0</v>
      </c>
      <c r="BB221" s="7">
        <v>1861.0050000000001</v>
      </c>
      <c r="BC221" s="7">
        <v>0</v>
      </c>
      <c r="BD221" s="7">
        <v>105454.804</v>
      </c>
      <c r="BE221" s="7">
        <v>538.125</v>
      </c>
      <c r="BF221" s="7">
        <v>36285.675000000003</v>
      </c>
      <c r="BG221" s="7">
        <v>0</v>
      </c>
      <c r="BH221" s="7">
        <v>0</v>
      </c>
      <c r="BI221" s="21"/>
    </row>
    <row r="222" spans="1:61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21"/>
    </row>
    <row r="223" spans="1:61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21"/>
    </row>
    <row r="224" spans="1:61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21"/>
    </row>
    <row r="225" spans="1:61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21"/>
    </row>
    <row r="226" spans="1:61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21"/>
    </row>
    <row r="227" spans="1:61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21"/>
    </row>
    <row r="228" spans="1:61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21"/>
    </row>
    <row r="229" spans="1:61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21"/>
    </row>
    <row r="230" spans="1:61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21"/>
    </row>
    <row r="231" spans="1:61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21"/>
    </row>
    <row r="232" spans="1:61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21"/>
    </row>
    <row r="233" spans="1:61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21"/>
    </row>
    <row r="234" spans="1:61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21"/>
    </row>
    <row r="235" spans="1:61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21"/>
    </row>
    <row r="236" spans="1:61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21"/>
    </row>
    <row r="237" spans="1:61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21"/>
    </row>
    <row r="238" spans="1:61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21"/>
    </row>
    <row r="239" spans="1:61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21"/>
    </row>
    <row r="240" spans="1:61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21"/>
    </row>
    <row r="241" spans="1:61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21"/>
    </row>
    <row r="242" spans="1:61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21"/>
    </row>
    <row r="243" spans="1:61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21"/>
    </row>
    <row r="244" spans="1:61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21"/>
    </row>
    <row r="245" spans="1:61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21"/>
    </row>
    <row r="246" spans="1:61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21"/>
    </row>
    <row r="247" spans="1:61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21"/>
    </row>
    <row r="248" spans="1:61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21"/>
    </row>
    <row r="249" spans="1:61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21"/>
    </row>
    <row r="250" spans="1:61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21"/>
    </row>
    <row r="251" spans="1:61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21"/>
    </row>
    <row r="252" spans="1:61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21"/>
    </row>
    <row r="253" spans="1:61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21"/>
    </row>
    <row r="254" spans="1:61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241.88200000000001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21"/>
    </row>
    <row r="255" spans="1:61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6876.4030000000002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21"/>
    </row>
    <row r="256" spans="1:61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21"/>
    </row>
    <row r="257" spans="1:61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435.70400000000001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341.86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21"/>
    </row>
    <row r="258" spans="1:61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3.3000000000000002E-2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3.7999999999999999E-2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21"/>
    </row>
    <row r="259" spans="1:61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21"/>
    </row>
    <row r="260" spans="1:61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21"/>
    </row>
    <row r="261" spans="1:61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21"/>
    </row>
    <row r="262" spans="1:61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21"/>
    </row>
    <row r="263" spans="1:61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21"/>
    </row>
    <row r="264" spans="1:61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21"/>
    </row>
    <row r="265" spans="1:61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21"/>
    </row>
    <row r="266" spans="1:61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21"/>
    </row>
    <row r="267" spans="1:61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21"/>
    </row>
    <row r="268" spans="1:61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21"/>
    </row>
    <row r="269" spans="1:61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21"/>
    </row>
    <row r="270" spans="1:61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21"/>
    </row>
    <row r="271" spans="1:61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21"/>
    </row>
    <row r="272" spans="1:61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21"/>
    </row>
    <row r="273" spans="1:61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21"/>
    </row>
    <row r="274" spans="1:61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21"/>
    </row>
    <row r="275" spans="1:61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21"/>
    </row>
    <row r="276" spans="1:61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21"/>
    </row>
    <row r="277" spans="1:61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21"/>
    </row>
    <row r="278" spans="1:61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2597.4960000000001</v>
      </c>
      <c r="F278" s="7">
        <v>1767.116</v>
      </c>
      <c r="G278" s="7">
        <v>129.45099999999999</v>
      </c>
      <c r="H278" s="7">
        <v>0</v>
      </c>
      <c r="I278" s="7">
        <v>122.28</v>
      </c>
      <c r="J278" s="7">
        <v>1386.605</v>
      </c>
      <c r="K278" s="7">
        <v>0</v>
      </c>
      <c r="L278" s="7">
        <v>3880.9259999999999</v>
      </c>
      <c r="M278" s="7">
        <v>208.279</v>
      </c>
      <c r="N278" s="7">
        <v>0</v>
      </c>
      <c r="O278" s="7">
        <v>0</v>
      </c>
      <c r="P278" s="7">
        <v>5.0000000000000001E-3</v>
      </c>
      <c r="Q278" s="7">
        <v>0</v>
      </c>
      <c r="R278" s="7">
        <v>0</v>
      </c>
      <c r="S278" s="7">
        <v>760.23</v>
      </c>
      <c r="T278" s="7">
        <v>0</v>
      </c>
      <c r="U278" s="7">
        <v>0</v>
      </c>
      <c r="V278" s="7">
        <v>277.73899999999998</v>
      </c>
      <c r="W278" s="7">
        <v>2.6269999999999998</v>
      </c>
      <c r="X278" s="7">
        <v>0</v>
      </c>
      <c r="Y278" s="7">
        <v>105.32</v>
      </c>
      <c r="Z278" s="7">
        <v>0</v>
      </c>
      <c r="AA278" s="7">
        <v>3566.3119999999999</v>
      </c>
      <c r="AB278" s="7">
        <v>0</v>
      </c>
      <c r="AC278" s="7">
        <v>301.55799999999999</v>
      </c>
      <c r="AD278" s="7">
        <v>0</v>
      </c>
      <c r="AE278" s="7">
        <v>928.21600000000001</v>
      </c>
      <c r="AF278" s="7">
        <v>33.192</v>
      </c>
      <c r="AG278" s="7">
        <v>0</v>
      </c>
      <c r="AH278" s="7">
        <v>6299.3230000000003</v>
      </c>
      <c r="AI278" s="7">
        <v>2.5000000000000001E-2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856.23</v>
      </c>
      <c r="AP278" s="7">
        <v>0</v>
      </c>
      <c r="AQ278" s="7">
        <v>4.8899999999999997</v>
      </c>
      <c r="AR278" s="7">
        <v>0</v>
      </c>
      <c r="AS278" s="7">
        <v>2.71</v>
      </c>
      <c r="AT278" s="7">
        <v>0</v>
      </c>
      <c r="AU278" s="7">
        <v>0.32600000000000001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395.62200000000001</v>
      </c>
      <c r="BC278" s="7">
        <v>0</v>
      </c>
      <c r="BD278" s="7">
        <v>0</v>
      </c>
      <c r="BE278" s="7">
        <v>116.29300000000001</v>
      </c>
      <c r="BF278" s="7">
        <v>0</v>
      </c>
      <c r="BG278" s="7">
        <v>0</v>
      </c>
      <c r="BH278" s="7">
        <v>0</v>
      </c>
      <c r="BI278" s="21"/>
    </row>
    <row r="279" spans="1:61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21"/>
    </row>
    <row r="280" spans="1:61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174891.242</v>
      </c>
      <c r="F280" s="7">
        <v>5.2999999999999999E-2</v>
      </c>
      <c r="G280" s="7">
        <v>13349.749</v>
      </c>
      <c r="H280" s="7">
        <v>6.8840000000000003</v>
      </c>
      <c r="I280" s="7">
        <v>6.0000000000000001E-3</v>
      </c>
      <c r="J280" s="7">
        <v>45640.995999999999</v>
      </c>
      <c r="K280" s="7">
        <v>9500.4979999999996</v>
      </c>
      <c r="L280" s="7">
        <v>94851.785000000003</v>
      </c>
      <c r="M280" s="7">
        <v>199357.14499999999</v>
      </c>
      <c r="N280" s="7">
        <v>0</v>
      </c>
      <c r="O280" s="7">
        <v>0</v>
      </c>
      <c r="P280" s="7">
        <v>0.217</v>
      </c>
      <c r="Q280" s="7">
        <v>0</v>
      </c>
      <c r="R280" s="7">
        <v>0</v>
      </c>
      <c r="S280" s="7">
        <v>2.7E-2</v>
      </c>
      <c r="T280" s="7">
        <v>0</v>
      </c>
      <c r="U280" s="7">
        <v>3146.4879999999998</v>
      </c>
      <c r="V280" s="7">
        <v>10837.674999999999</v>
      </c>
      <c r="W280" s="7">
        <v>7946.3680000000004</v>
      </c>
      <c r="X280" s="7">
        <v>0</v>
      </c>
      <c r="Y280" s="7">
        <v>39629.527999999998</v>
      </c>
      <c r="Z280" s="7">
        <v>0</v>
      </c>
      <c r="AA280" s="7">
        <v>0.123</v>
      </c>
      <c r="AB280" s="7">
        <v>0</v>
      </c>
      <c r="AC280" s="7">
        <v>7.0000000000000001E-3</v>
      </c>
      <c r="AD280" s="7">
        <v>0</v>
      </c>
      <c r="AE280" s="7">
        <v>70025.078999999998</v>
      </c>
      <c r="AF280" s="7">
        <v>6936.0020000000004</v>
      </c>
      <c r="AG280" s="7">
        <v>26206.457999999999</v>
      </c>
      <c r="AH280" s="7">
        <v>539623.37600000005</v>
      </c>
      <c r="AI280" s="7">
        <v>150688.04199999999</v>
      </c>
      <c r="AJ280" s="7">
        <v>0</v>
      </c>
      <c r="AK280" s="7">
        <v>250.006</v>
      </c>
      <c r="AL280" s="7">
        <v>110.529</v>
      </c>
      <c r="AM280" s="7">
        <v>796.85199999999998</v>
      </c>
      <c r="AN280" s="7">
        <v>106.923</v>
      </c>
      <c r="AO280" s="7">
        <v>7.0000000000000001E-3</v>
      </c>
      <c r="AP280" s="7">
        <v>0</v>
      </c>
      <c r="AQ280" s="7">
        <v>18528.763999999999</v>
      </c>
      <c r="AR280" s="7">
        <v>0</v>
      </c>
      <c r="AS280" s="7">
        <v>0</v>
      </c>
      <c r="AT280" s="7">
        <v>0</v>
      </c>
      <c r="AU280" s="7">
        <v>8.9999999999999993E-3</v>
      </c>
      <c r="AV280" s="7">
        <v>0</v>
      </c>
      <c r="AW280" s="7">
        <v>0</v>
      </c>
      <c r="AX280" s="7">
        <v>0</v>
      </c>
      <c r="AY280" s="7">
        <v>1.6E-2</v>
      </c>
      <c r="AZ280" s="7">
        <v>0</v>
      </c>
      <c r="BA280" s="7">
        <v>0</v>
      </c>
      <c r="BB280" s="7">
        <v>6.0000000000000001E-3</v>
      </c>
      <c r="BC280" s="7">
        <v>7.0000000000000001E-3</v>
      </c>
      <c r="BD280" s="7">
        <v>0</v>
      </c>
      <c r="BE280" s="7">
        <v>0</v>
      </c>
      <c r="BF280" s="7">
        <v>0</v>
      </c>
      <c r="BG280" s="7">
        <v>0</v>
      </c>
      <c r="BH280" s="7">
        <v>5.0000000000000001E-3</v>
      </c>
      <c r="BI280" s="21"/>
    </row>
    <row r="281" spans="1:61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12253.858</v>
      </c>
      <c r="F281" s="7">
        <v>1070.643</v>
      </c>
      <c r="G281" s="7">
        <v>1499.5229999999999</v>
      </c>
      <c r="H281" s="7">
        <v>0</v>
      </c>
      <c r="I281" s="7">
        <v>259.99400000000003</v>
      </c>
      <c r="J281" s="7">
        <v>911.11900000000003</v>
      </c>
      <c r="K281" s="7">
        <v>0</v>
      </c>
      <c r="L281" s="7">
        <v>8759.9619999999995</v>
      </c>
      <c r="M281" s="7">
        <v>4048.694</v>
      </c>
      <c r="N281" s="7">
        <v>0</v>
      </c>
      <c r="O281" s="7">
        <v>0</v>
      </c>
      <c r="P281" s="7">
        <v>46.859000000000002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152.64400000000001</v>
      </c>
      <c r="W281" s="7">
        <v>459.49400000000003</v>
      </c>
      <c r="X281" s="7">
        <v>0</v>
      </c>
      <c r="Y281" s="7">
        <v>3625.4360000000001</v>
      </c>
      <c r="Z281" s="7">
        <v>0</v>
      </c>
      <c r="AA281" s="7">
        <v>1234.875</v>
      </c>
      <c r="AB281" s="7">
        <v>0</v>
      </c>
      <c r="AC281" s="7">
        <v>196.69300000000001</v>
      </c>
      <c r="AD281" s="7">
        <v>0</v>
      </c>
      <c r="AE281" s="7">
        <v>11794.111999999999</v>
      </c>
      <c r="AF281" s="7">
        <v>0</v>
      </c>
      <c r="AG281" s="7">
        <v>0</v>
      </c>
      <c r="AH281" s="7">
        <v>25717.965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21"/>
    </row>
    <row r="282" spans="1:61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2460.9229999999998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21"/>
    </row>
    <row r="283" spans="1:61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21"/>
    </row>
    <row r="284" spans="1:61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21"/>
    </row>
    <row r="285" spans="1:61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21"/>
    </row>
    <row r="286" spans="1:61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44245.512000000002</v>
      </c>
      <c r="F286" s="7">
        <v>3865.8090000000002</v>
      </c>
      <c r="G286" s="7">
        <v>5414.3919999999998</v>
      </c>
      <c r="H286" s="7">
        <v>0</v>
      </c>
      <c r="I286" s="7">
        <v>938.77099999999996</v>
      </c>
      <c r="J286" s="7">
        <v>3289.82</v>
      </c>
      <c r="K286" s="7">
        <v>0</v>
      </c>
      <c r="L286" s="7">
        <v>38579.495999999999</v>
      </c>
      <c r="M286" s="7">
        <v>14618.777</v>
      </c>
      <c r="N286" s="7">
        <v>0</v>
      </c>
      <c r="O286" s="7">
        <v>0</v>
      </c>
      <c r="P286" s="7">
        <v>169.19399999999999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551.15300000000002</v>
      </c>
      <c r="W286" s="7">
        <v>1659.115</v>
      </c>
      <c r="X286" s="7">
        <v>0</v>
      </c>
      <c r="Y286" s="7">
        <v>13090.501</v>
      </c>
      <c r="Z286" s="7">
        <v>0</v>
      </c>
      <c r="AA286" s="7">
        <v>4458.8180000000002</v>
      </c>
      <c r="AB286" s="7">
        <v>0</v>
      </c>
      <c r="AC286" s="7">
        <v>710.20600000000002</v>
      </c>
      <c r="AD286" s="7">
        <v>0</v>
      </c>
      <c r="AE286" s="7">
        <v>42585.485000000001</v>
      </c>
      <c r="AF286" s="7">
        <v>0</v>
      </c>
      <c r="AG286" s="7">
        <v>0</v>
      </c>
      <c r="AH286" s="7">
        <v>104829.436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21"/>
    </row>
    <row r="287" spans="1:61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204694.769</v>
      </c>
      <c r="F287" s="7">
        <v>18908.571</v>
      </c>
      <c r="G287" s="7">
        <v>28334.974999999999</v>
      </c>
      <c r="H287" s="7">
        <v>0</v>
      </c>
      <c r="I287" s="7">
        <v>4930.7950000000001</v>
      </c>
      <c r="J287" s="7">
        <v>16689.975999999999</v>
      </c>
      <c r="K287" s="7">
        <v>0</v>
      </c>
      <c r="L287" s="7">
        <v>152457.29800000001</v>
      </c>
      <c r="M287" s="7">
        <v>75506.551000000007</v>
      </c>
      <c r="N287" s="7">
        <v>0</v>
      </c>
      <c r="O287" s="7">
        <v>0</v>
      </c>
      <c r="P287" s="7">
        <v>890.65200000000004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2359.0880000000002</v>
      </c>
      <c r="W287" s="7">
        <v>7184.6859999999997</v>
      </c>
      <c r="X287" s="7">
        <v>0</v>
      </c>
      <c r="Y287" s="7">
        <v>56363.851999999999</v>
      </c>
      <c r="Z287" s="7">
        <v>0</v>
      </c>
      <c r="AA287" s="7">
        <v>19349.001</v>
      </c>
      <c r="AB287" s="7">
        <v>0</v>
      </c>
      <c r="AC287" s="7">
        <v>3039.8710000000001</v>
      </c>
      <c r="AD287" s="7">
        <v>0</v>
      </c>
      <c r="AE287" s="7">
        <v>183257.67300000001</v>
      </c>
      <c r="AF287" s="7">
        <v>0</v>
      </c>
      <c r="AG287" s="7">
        <v>0</v>
      </c>
      <c r="AH287" s="7">
        <v>428415.95799999998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3.0000000000000001E-3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21"/>
    </row>
    <row r="288" spans="1:61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1041.626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3131.5540000000001</v>
      </c>
      <c r="M288" s="7">
        <v>153.12299999999999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1074.097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2260.1219999999998</v>
      </c>
      <c r="AF288" s="7">
        <v>0</v>
      </c>
      <c r="AG288" s="7">
        <v>0</v>
      </c>
      <c r="AH288" s="7">
        <v>6513.5929999999998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21"/>
    </row>
    <row r="289" spans="1:61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47249.654000000002</v>
      </c>
      <c r="F289" s="7">
        <v>4037.4560000000001</v>
      </c>
      <c r="G289" s="7">
        <v>5654.8040000000001</v>
      </c>
      <c r="H289" s="7">
        <v>0</v>
      </c>
      <c r="I289" s="7">
        <v>980.45399999999995</v>
      </c>
      <c r="J289" s="7">
        <v>3435.8870000000002</v>
      </c>
      <c r="K289" s="7">
        <v>0</v>
      </c>
      <c r="L289" s="7">
        <v>34211.758999999998</v>
      </c>
      <c r="M289" s="7">
        <v>15967.129000000001</v>
      </c>
      <c r="N289" s="7">
        <v>0</v>
      </c>
      <c r="O289" s="7">
        <v>0</v>
      </c>
      <c r="P289" s="7">
        <v>176.703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575.625</v>
      </c>
      <c r="W289" s="7">
        <v>1732.7840000000001</v>
      </c>
      <c r="X289" s="7">
        <v>0</v>
      </c>
      <c r="Y289" s="7">
        <v>13671.743</v>
      </c>
      <c r="Z289" s="7">
        <v>0</v>
      </c>
      <c r="AA289" s="7">
        <v>4656.7969999999996</v>
      </c>
      <c r="AB289" s="7">
        <v>0</v>
      </c>
      <c r="AC289" s="7">
        <v>741.73900000000003</v>
      </c>
      <c r="AD289" s="7">
        <v>0</v>
      </c>
      <c r="AE289" s="7">
        <v>44476.355000000003</v>
      </c>
      <c r="AF289" s="7">
        <v>0</v>
      </c>
      <c r="AG289" s="7">
        <v>0</v>
      </c>
      <c r="AH289" s="7">
        <v>97801.157000000007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21"/>
    </row>
    <row r="290" spans="1:61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44224.77</v>
      </c>
      <c r="F290" s="7">
        <v>686.529</v>
      </c>
      <c r="G290" s="7">
        <v>961.54100000000005</v>
      </c>
      <c r="H290" s="7">
        <v>9956.5010000000002</v>
      </c>
      <c r="I290" s="7">
        <v>166.71700000000001</v>
      </c>
      <c r="J290" s="7">
        <v>584.23800000000006</v>
      </c>
      <c r="K290" s="7">
        <v>0</v>
      </c>
      <c r="L290" s="7">
        <v>65850.085999999996</v>
      </c>
      <c r="M290" s="7">
        <v>10174.277</v>
      </c>
      <c r="N290" s="7">
        <v>0</v>
      </c>
      <c r="O290" s="7">
        <v>0</v>
      </c>
      <c r="P290" s="7">
        <v>30.047000000000001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97.878</v>
      </c>
      <c r="W290" s="7">
        <v>294.64299999999997</v>
      </c>
      <c r="X290" s="7">
        <v>0</v>
      </c>
      <c r="Y290" s="7">
        <v>22531.994999999999</v>
      </c>
      <c r="Z290" s="7">
        <v>0</v>
      </c>
      <c r="AA290" s="7">
        <v>824.34</v>
      </c>
      <c r="AB290" s="7">
        <v>0</v>
      </c>
      <c r="AC290" s="7">
        <v>126.126</v>
      </c>
      <c r="AD290" s="7">
        <v>0</v>
      </c>
      <c r="AE290" s="7">
        <v>65214.207000000002</v>
      </c>
      <c r="AF290" s="7">
        <v>0</v>
      </c>
      <c r="AG290" s="7">
        <v>0</v>
      </c>
      <c r="AH290" s="7">
        <v>147149.44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21"/>
    </row>
    <row r="291" spans="1:61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21"/>
    </row>
    <row r="292" spans="1:61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21"/>
    </row>
    <row r="293" spans="1:61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179681.85800000001</v>
      </c>
      <c r="F293" s="7">
        <v>10996.075000000001</v>
      </c>
      <c r="G293" s="7">
        <v>10956.476000000001</v>
      </c>
      <c r="H293" s="7">
        <v>0</v>
      </c>
      <c r="I293" s="7">
        <v>2217.1280000000002</v>
      </c>
      <c r="J293" s="7">
        <v>6676.0550000000003</v>
      </c>
      <c r="K293" s="7">
        <v>0</v>
      </c>
      <c r="L293" s="7">
        <v>99825.538</v>
      </c>
      <c r="M293" s="7">
        <v>28672.427</v>
      </c>
      <c r="N293" s="7">
        <v>0</v>
      </c>
      <c r="O293" s="7">
        <v>0</v>
      </c>
      <c r="P293" s="7">
        <v>91.418000000000006</v>
      </c>
      <c r="Q293" s="7">
        <v>0</v>
      </c>
      <c r="R293" s="7">
        <v>0.25800000000000001</v>
      </c>
      <c r="S293" s="7">
        <v>0</v>
      </c>
      <c r="T293" s="7">
        <v>0</v>
      </c>
      <c r="U293" s="7">
        <v>0</v>
      </c>
      <c r="V293" s="7">
        <v>1932.6020000000001</v>
      </c>
      <c r="W293" s="7">
        <v>4820.82</v>
      </c>
      <c r="X293" s="7">
        <v>0</v>
      </c>
      <c r="Y293" s="7">
        <v>38568.207999999999</v>
      </c>
      <c r="Z293" s="7">
        <v>0</v>
      </c>
      <c r="AA293" s="7">
        <v>19977.259999999998</v>
      </c>
      <c r="AB293" s="7">
        <v>0</v>
      </c>
      <c r="AC293" s="7">
        <v>3727.172</v>
      </c>
      <c r="AD293" s="7">
        <v>0</v>
      </c>
      <c r="AE293" s="7">
        <v>106960.539</v>
      </c>
      <c r="AF293" s="7">
        <v>0</v>
      </c>
      <c r="AG293" s="7">
        <v>0</v>
      </c>
      <c r="AH293" s="7">
        <v>360538.18599999999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21"/>
    </row>
    <row r="294" spans="1:61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177612.32199999999</v>
      </c>
      <c r="F294" s="7">
        <v>9787.7049999999999</v>
      </c>
      <c r="G294" s="7">
        <v>9327.4719999999998</v>
      </c>
      <c r="H294" s="7">
        <v>0</v>
      </c>
      <c r="I294" s="7">
        <v>1930.1510000000001</v>
      </c>
      <c r="J294" s="7">
        <v>5685.9960000000001</v>
      </c>
      <c r="K294" s="7">
        <v>0</v>
      </c>
      <c r="L294" s="7">
        <v>108874.06200000001</v>
      </c>
      <c r="M294" s="7">
        <v>28117.32</v>
      </c>
      <c r="N294" s="7">
        <v>0</v>
      </c>
      <c r="O294" s="7">
        <v>0</v>
      </c>
      <c r="P294" s="7">
        <v>44.094000000000001</v>
      </c>
      <c r="Q294" s="7">
        <v>0</v>
      </c>
      <c r="R294" s="7">
        <v>0.25900000000000001</v>
      </c>
      <c r="S294" s="7">
        <v>0</v>
      </c>
      <c r="T294" s="7">
        <v>0</v>
      </c>
      <c r="U294" s="7">
        <v>0</v>
      </c>
      <c r="V294" s="7">
        <v>1755.1079999999999</v>
      </c>
      <c r="W294" s="7">
        <v>4300.7669999999998</v>
      </c>
      <c r="X294" s="7">
        <v>0</v>
      </c>
      <c r="Y294" s="7">
        <v>34580.368999999999</v>
      </c>
      <c r="Z294" s="7">
        <v>0</v>
      </c>
      <c r="AA294" s="7">
        <v>18479.455999999998</v>
      </c>
      <c r="AB294" s="7">
        <v>0</v>
      </c>
      <c r="AC294" s="7">
        <v>3480.8229999999999</v>
      </c>
      <c r="AD294" s="7">
        <v>0</v>
      </c>
      <c r="AE294" s="7">
        <v>98659.312000000005</v>
      </c>
      <c r="AF294" s="7">
        <v>0</v>
      </c>
      <c r="AG294" s="7">
        <v>0</v>
      </c>
      <c r="AH294" s="7">
        <v>355821.27899999998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21"/>
    </row>
    <row r="295" spans="1:61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21"/>
    </row>
    <row r="296" spans="1:61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21"/>
    </row>
    <row r="297" spans="1:61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21"/>
    </row>
    <row r="298" spans="1:61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21"/>
    </row>
    <row r="299" spans="1:61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21"/>
    </row>
    <row r="300" spans="1:61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21"/>
    </row>
    <row r="301" spans="1:61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21"/>
    </row>
    <row r="302" spans="1:61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21"/>
    </row>
    <row r="303" spans="1:61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21"/>
    </row>
    <row r="304" spans="1:61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21"/>
    </row>
    <row r="305" spans="1:61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21"/>
    </row>
    <row r="306" spans="1:61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21"/>
    </row>
    <row r="307" spans="1:61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21"/>
    </row>
    <row r="308" spans="1:61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21"/>
    </row>
    <row r="309" spans="1:61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21"/>
    </row>
    <row r="310" spans="1:61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21"/>
    </row>
    <row r="311" spans="1:61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21"/>
    </row>
    <row r="312" spans="1:61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21"/>
    </row>
    <row r="313" spans="1:61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21"/>
    </row>
    <row r="314" spans="1:61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21"/>
    </row>
    <row r="315" spans="1:61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21"/>
    </row>
    <row r="316" spans="1:61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21"/>
    </row>
    <row r="317" spans="1:61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21"/>
    </row>
    <row r="318" spans="1:61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21"/>
    </row>
    <row r="319" spans="1:61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21"/>
    </row>
    <row r="320" spans="1:61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21"/>
    </row>
    <row r="321" spans="1:61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21"/>
    </row>
    <row r="322" spans="1:61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-39773.241000000002</v>
      </c>
      <c r="F322" s="7">
        <v>-5901.7309999999998</v>
      </c>
      <c r="G322" s="7">
        <v>0</v>
      </c>
      <c r="H322" s="7">
        <v>0</v>
      </c>
      <c r="I322" s="7">
        <v>-163.44900000000001</v>
      </c>
      <c r="J322" s="7">
        <v>0</v>
      </c>
      <c r="K322" s="7">
        <v>0</v>
      </c>
      <c r="L322" s="7">
        <v>-89982.077999999994</v>
      </c>
      <c r="M322" s="7">
        <v>-2113.59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-1901.075</v>
      </c>
      <c r="T322" s="7">
        <v>0</v>
      </c>
      <c r="U322" s="7">
        <v>0</v>
      </c>
      <c r="V322" s="7">
        <v>0</v>
      </c>
      <c r="W322" s="7">
        <v>-733.322</v>
      </c>
      <c r="X322" s="7">
        <v>0</v>
      </c>
      <c r="Y322" s="7">
        <v>-20746.828000000001</v>
      </c>
      <c r="Z322" s="7">
        <v>0</v>
      </c>
      <c r="AA322" s="7">
        <v>-3651.3719999999998</v>
      </c>
      <c r="AB322" s="7">
        <v>0</v>
      </c>
      <c r="AC322" s="7">
        <v>-1334.576</v>
      </c>
      <c r="AD322" s="7">
        <v>0</v>
      </c>
      <c r="AE322" s="7">
        <v>-59819.718000000001</v>
      </c>
      <c r="AF322" s="7">
        <v>-56997.56</v>
      </c>
      <c r="AG322" s="7">
        <v>0</v>
      </c>
      <c r="AH322" s="7">
        <v>-152048.111</v>
      </c>
      <c r="AI322" s="7">
        <v>-82653.512000000002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-1941.65</v>
      </c>
      <c r="AP322" s="7">
        <v>0</v>
      </c>
      <c r="AQ322" s="7">
        <v>-23602.248</v>
      </c>
      <c r="AR322" s="7">
        <v>0</v>
      </c>
      <c r="AS322" s="7">
        <v>-19.245000000000001</v>
      </c>
      <c r="AT322" s="7">
        <v>0</v>
      </c>
      <c r="AU322" s="7">
        <v>-114.896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-896.06700000000001</v>
      </c>
      <c r="BC322" s="7">
        <v>0</v>
      </c>
      <c r="BD322" s="7">
        <v>0</v>
      </c>
      <c r="BE322" s="7">
        <v>-259.78500000000003</v>
      </c>
      <c r="BF322" s="7">
        <v>0</v>
      </c>
      <c r="BG322" s="7">
        <v>0</v>
      </c>
      <c r="BH322" s="7">
        <v>0</v>
      </c>
      <c r="BI322" s="21"/>
    </row>
    <row r="323" spans="1:61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21"/>
    </row>
    <row r="324" spans="1:61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-39151.209000000003</v>
      </c>
      <c r="F324" s="7">
        <v>-5809.43</v>
      </c>
      <c r="G324" s="7">
        <v>0</v>
      </c>
      <c r="H324" s="7">
        <v>0</v>
      </c>
      <c r="I324" s="7">
        <v>-160.893</v>
      </c>
      <c r="J324" s="7">
        <v>0</v>
      </c>
      <c r="K324" s="7">
        <v>0</v>
      </c>
      <c r="L324" s="7">
        <v>-88574.804000000004</v>
      </c>
      <c r="M324" s="7">
        <v>-2080.5360000000001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-1871.3420000000001</v>
      </c>
      <c r="T324" s="7">
        <v>0</v>
      </c>
      <c r="U324" s="7">
        <v>0</v>
      </c>
      <c r="V324" s="7">
        <v>0</v>
      </c>
      <c r="W324" s="7">
        <v>-721.85299999999995</v>
      </c>
      <c r="X324" s="7">
        <v>0</v>
      </c>
      <c r="Y324" s="7">
        <v>-20422.358</v>
      </c>
      <c r="Z324" s="7">
        <v>0</v>
      </c>
      <c r="AA324" s="7">
        <v>-3594.268</v>
      </c>
      <c r="AB324" s="7">
        <v>0</v>
      </c>
      <c r="AC324" s="7">
        <v>-1313.704</v>
      </c>
      <c r="AD324" s="7">
        <v>0</v>
      </c>
      <c r="AE324" s="7">
        <v>-58884.171999999999</v>
      </c>
      <c r="AF324" s="7">
        <v>-56106.148999999998</v>
      </c>
      <c r="AG324" s="7">
        <v>0</v>
      </c>
      <c r="AH324" s="7">
        <v>-149670.15900000001</v>
      </c>
      <c r="AI324" s="7">
        <v>-81360.854999999996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-1911.2840000000001</v>
      </c>
      <c r="AP324" s="7">
        <v>0</v>
      </c>
      <c r="AQ324" s="7">
        <v>-23233.119999999999</v>
      </c>
      <c r="AR324" s="7">
        <v>0</v>
      </c>
      <c r="AS324" s="7">
        <v>-18.943000000000001</v>
      </c>
      <c r="AT324" s="7">
        <v>0</v>
      </c>
      <c r="AU324" s="7">
        <v>-113.102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-882.05399999999997</v>
      </c>
      <c r="BC324" s="7">
        <v>0</v>
      </c>
      <c r="BD324" s="7">
        <v>0</v>
      </c>
      <c r="BE324" s="7">
        <v>-255.72200000000001</v>
      </c>
      <c r="BF324" s="7">
        <v>0</v>
      </c>
      <c r="BG324" s="7">
        <v>0</v>
      </c>
      <c r="BH324" s="7">
        <v>0</v>
      </c>
      <c r="BI324" s="21"/>
    </row>
    <row r="325" spans="1:61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54.408000000000001</v>
      </c>
      <c r="F325" s="7">
        <v>0</v>
      </c>
      <c r="G325" s="7">
        <v>0</v>
      </c>
      <c r="H325" s="7">
        <v>0</v>
      </c>
      <c r="I325" s="7">
        <v>76.768000000000001</v>
      </c>
      <c r="J325" s="7">
        <v>0</v>
      </c>
      <c r="K325" s="7">
        <v>0</v>
      </c>
      <c r="L325" s="7">
        <v>16125.305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21"/>
    </row>
    <row r="326" spans="1:61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21"/>
    </row>
    <row r="327" spans="1:61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21"/>
    </row>
    <row r="328" spans="1:61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21"/>
    </row>
    <row r="329" spans="1:61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21"/>
    </row>
    <row r="330" spans="1:61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21"/>
    </row>
    <row r="331" spans="1:61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21"/>
    </row>
    <row r="332" spans="1:61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21"/>
    </row>
    <row r="333" spans="1:61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21"/>
    </row>
    <row r="334" spans="1:61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21"/>
    </row>
    <row r="335" spans="1:61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53234.713000000003</v>
      </c>
      <c r="F335" s="7">
        <v>3451.6709999999998</v>
      </c>
      <c r="G335" s="7">
        <v>3029.0369999999998</v>
      </c>
      <c r="H335" s="7">
        <v>1567.97</v>
      </c>
      <c r="I335" s="7">
        <v>632.84400000000005</v>
      </c>
      <c r="J335" s="7">
        <v>1896.827</v>
      </c>
      <c r="K335" s="7">
        <v>0</v>
      </c>
      <c r="L335" s="7">
        <v>29778.17</v>
      </c>
      <c r="M335" s="7">
        <v>7974.1310000000003</v>
      </c>
      <c r="N335" s="7">
        <v>0</v>
      </c>
      <c r="O335" s="7">
        <v>0</v>
      </c>
      <c r="P335" s="7">
        <v>17.170999999999999</v>
      </c>
      <c r="Q335" s="7">
        <v>0</v>
      </c>
      <c r="R335" s="7">
        <v>8.0890000000000004</v>
      </c>
      <c r="S335" s="7">
        <v>3.8690000000000002</v>
      </c>
      <c r="T335" s="7">
        <v>0</v>
      </c>
      <c r="U335" s="7">
        <v>0</v>
      </c>
      <c r="V335" s="7">
        <v>557.74</v>
      </c>
      <c r="W335" s="7">
        <v>1373.671</v>
      </c>
      <c r="X335" s="7">
        <v>5.1999999999999998E-2</v>
      </c>
      <c r="Y335" s="7">
        <v>11296.050999999999</v>
      </c>
      <c r="Z335" s="7">
        <v>0</v>
      </c>
      <c r="AA335" s="7">
        <v>5898.4390000000003</v>
      </c>
      <c r="AB335" s="7">
        <v>0.47899999999999998</v>
      </c>
      <c r="AC335" s="7">
        <v>1099.1389999999999</v>
      </c>
      <c r="AD335" s="7">
        <v>9.3249999999999993</v>
      </c>
      <c r="AE335" s="7">
        <v>30273.087</v>
      </c>
      <c r="AF335" s="7">
        <v>269.53199999999998</v>
      </c>
      <c r="AG335" s="7">
        <v>38.500999999999998</v>
      </c>
      <c r="AH335" s="7">
        <v>106242.443</v>
      </c>
      <c r="AI335" s="7">
        <v>126.843</v>
      </c>
      <c r="AJ335" s="7">
        <v>0</v>
      </c>
      <c r="AK335" s="7">
        <v>4.4939999999999998</v>
      </c>
      <c r="AL335" s="7">
        <v>11.792999999999999</v>
      </c>
      <c r="AM335" s="7">
        <v>0</v>
      </c>
      <c r="AN335" s="7">
        <v>10.425000000000001</v>
      </c>
      <c r="AO335" s="7">
        <v>2.782</v>
      </c>
      <c r="AP335" s="7">
        <v>30.164999999999999</v>
      </c>
      <c r="AQ335" s="7">
        <v>30.946000000000002</v>
      </c>
      <c r="AR335" s="7">
        <v>7.3380000000000001</v>
      </c>
      <c r="AS335" s="7">
        <v>3.2000000000000001E-2</v>
      </c>
      <c r="AT335" s="7">
        <v>0</v>
      </c>
      <c r="AU335" s="7">
        <v>0.23</v>
      </c>
      <c r="AV335" s="7">
        <v>18.914000000000001</v>
      </c>
      <c r="AW335" s="7">
        <v>43.677</v>
      </c>
      <c r="AX335" s="7">
        <v>0.27500000000000002</v>
      </c>
      <c r="AY335" s="7">
        <v>6.3920000000000003</v>
      </c>
      <c r="AZ335" s="7">
        <v>51.817999999999998</v>
      </c>
      <c r="BA335" s="7">
        <v>0</v>
      </c>
      <c r="BB335" s="7">
        <v>1.292</v>
      </c>
      <c r="BC335" s="7">
        <v>0</v>
      </c>
      <c r="BD335" s="7">
        <v>68.301000000000002</v>
      </c>
      <c r="BE335" s="7">
        <v>0.38</v>
      </c>
      <c r="BF335" s="7">
        <v>23.501999999999999</v>
      </c>
      <c r="BG335" s="7">
        <v>984.30200000000002</v>
      </c>
      <c r="BH335" s="7">
        <v>0</v>
      </c>
      <c r="BI335" s="21"/>
    </row>
    <row r="336" spans="1:61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-9327.8919999999998</v>
      </c>
      <c r="F336" s="7">
        <v>-1745.2919999999999</v>
      </c>
      <c r="G336" s="7">
        <v>-673.64499999999998</v>
      </c>
      <c r="H336" s="7">
        <v>-5270.5510000000004</v>
      </c>
      <c r="I336" s="7">
        <v>-277.00099999999998</v>
      </c>
      <c r="J336" s="7">
        <v>-621.03700000000003</v>
      </c>
      <c r="K336" s="7">
        <v>-0.26900000000000002</v>
      </c>
      <c r="L336" s="7">
        <v>-17930.276999999998</v>
      </c>
      <c r="M336" s="7">
        <v>-2732.84</v>
      </c>
      <c r="N336" s="7">
        <v>-0.33300000000000002</v>
      </c>
      <c r="O336" s="7">
        <v>-8.6999999999999994E-2</v>
      </c>
      <c r="P336" s="7">
        <v>-64.39</v>
      </c>
      <c r="Q336" s="7">
        <v>0</v>
      </c>
      <c r="R336" s="7">
        <v>-128.45400000000001</v>
      </c>
      <c r="S336" s="7">
        <v>-27.236999999999998</v>
      </c>
      <c r="T336" s="7">
        <v>0</v>
      </c>
      <c r="U336" s="7">
        <v>0</v>
      </c>
      <c r="V336" s="7">
        <v>-46.463999999999999</v>
      </c>
      <c r="W336" s="7">
        <v>-127.729</v>
      </c>
      <c r="X336" s="7">
        <v>-9.4710000000000001</v>
      </c>
      <c r="Y336" s="7">
        <v>-3152.848</v>
      </c>
      <c r="Z336" s="7">
        <v>-0.71599999999999997</v>
      </c>
      <c r="AA336" s="7">
        <v>-1076.518</v>
      </c>
      <c r="AB336" s="7">
        <v>-19.12</v>
      </c>
      <c r="AC336" s="7">
        <v>-84.846999999999994</v>
      </c>
      <c r="AD336" s="7">
        <v>0</v>
      </c>
      <c r="AE336" s="7">
        <v>-4262.8590000000004</v>
      </c>
      <c r="AF336" s="7">
        <v>-258.12</v>
      </c>
      <c r="AG336" s="7">
        <v>-0.81200000000000006</v>
      </c>
      <c r="AH336" s="7">
        <v>-24344.494999999999</v>
      </c>
      <c r="AI336" s="7">
        <v>-741.94899999999996</v>
      </c>
      <c r="AJ336" s="7">
        <v>-2.4910000000000001</v>
      </c>
      <c r="AK336" s="7">
        <v>-20.501999999999999</v>
      </c>
      <c r="AL336" s="7">
        <v>-0.76</v>
      </c>
      <c r="AM336" s="7">
        <v>0</v>
      </c>
      <c r="AN336" s="7">
        <v>-57.707999999999998</v>
      </c>
      <c r="AO336" s="7">
        <v>-7.8360000000000003</v>
      </c>
      <c r="AP336" s="7">
        <v>0</v>
      </c>
      <c r="AQ336" s="7">
        <v>-93.094999999999999</v>
      </c>
      <c r="AR336" s="7">
        <v>0</v>
      </c>
      <c r="AS336" s="7">
        <v>-3.6960000000000002</v>
      </c>
      <c r="AT336" s="7">
        <v>0</v>
      </c>
      <c r="AU336" s="7">
        <v>-0.83799999999999997</v>
      </c>
      <c r="AV336" s="7">
        <v>0</v>
      </c>
      <c r="AW336" s="7">
        <v>0</v>
      </c>
      <c r="AX336" s="7">
        <v>-77.543999999999997</v>
      </c>
      <c r="AY336" s="7">
        <v>-3.573</v>
      </c>
      <c r="AZ336" s="7">
        <v>-127.041</v>
      </c>
      <c r="BA336" s="7">
        <v>0</v>
      </c>
      <c r="BB336" s="7">
        <v>-8.5579999999999998</v>
      </c>
      <c r="BC336" s="7">
        <v>0</v>
      </c>
      <c r="BD336" s="7">
        <v>-167.45</v>
      </c>
      <c r="BE336" s="7">
        <v>-1.1080000000000001</v>
      </c>
      <c r="BF336" s="7">
        <v>-1041.623</v>
      </c>
      <c r="BG336" s="7">
        <v>-76.088999999999999</v>
      </c>
      <c r="BH336" s="7">
        <v>0</v>
      </c>
      <c r="BI336" s="21"/>
    </row>
    <row r="337" spans="1:61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-1079.829</v>
      </c>
      <c r="F337" s="7">
        <v>-245.55699999999999</v>
      </c>
      <c r="G337" s="7">
        <v>-201.05</v>
      </c>
      <c r="H337" s="7">
        <v>-10.946999999999999</v>
      </c>
      <c r="I337" s="7">
        <v>32.99</v>
      </c>
      <c r="J337" s="7">
        <v>-13.212999999999999</v>
      </c>
      <c r="K337" s="7">
        <v>-47.323999999999998</v>
      </c>
      <c r="L337" s="7">
        <v>-1918.9549999999999</v>
      </c>
      <c r="M337" s="7">
        <v>-101.432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-126.041</v>
      </c>
      <c r="V337" s="7">
        <v>-16.823</v>
      </c>
      <c r="W337" s="7">
        <v>-62.301000000000002</v>
      </c>
      <c r="X337" s="7">
        <v>-24.844999999999999</v>
      </c>
      <c r="Y337" s="7">
        <v>-621.29600000000005</v>
      </c>
      <c r="Z337" s="7">
        <v>-2.5920000000000001</v>
      </c>
      <c r="AA337" s="7">
        <v>-139.608</v>
      </c>
      <c r="AB337" s="7">
        <v>-75.465000000000003</v>
      </c>
      <c r="AC337" s="7">
        <v>-62.383000000000003</v>
      </c>
      <c r="AD337" s="7">
        <v>-16.497</v>
      </c>
      <c r="AE337" s="7">
        <v>-838.16899999999998</v>
      </c>
      <c r="AF337" s="7">
        <v>-319.96699999999998</v>
      </c>
      <c r="AG337" s="7">
        <v>-1.3620000000000001</v>
      </c>
      <c r="AH337" s="7">
        <v>-2070.0039999999999</v>
      </c>
      <c r="AI337" s="7">
        <v>-336.86799999999999</v>
      </c>
      <c r="AJ337" s="7">
        <v>-44.636000000000003</v>
      </c>
      <c r="AK337" s="7">
        <v>-697.76900000000001</v>
      </c>
      <c r="AL337" s="7">
        <v>-583.47199999999998</v>
      </c>
      <c r="AM337" s="7">
        <v>-65.679000000000002</v>
      </c>
      <c r="AN337" s="7">
        <v>-654.63</v>
      </c>
      <c r="AO337" s="7">
        <v>-0.78400000000000003</v>
      </c>
      <c r="AP337" s="7">
        <v>-53.579000000000001</v>
      </c>
      <c r="AQ337" s="7">
        <v>-471.40600000000001</v>
      </c>
      <c r="AR337" s="7">
        <v>-7.9050000000000002</v>
      </c>
      <c r="AS337" s="7">
        <v>0</v>
      </c>
      <c r="AT337" s="7">
        <v>0</v>
      </c>
      <c r="AU337" s="7">
        <v>-322.87400000000002</v>
      </c>
      <c r="AV337" s="7">
        <v>-26.968</v>
      </c>
      <c r="AW337" s="7">
        <v>-90.965999999999994</v>
      </c>
      <c r="AX337" s="7">
        <v>-4.2489999999999997</v>
      </c>
      <c r="AY337" s="7">
        <v>-55.302</v>
      </c>
      <c r="AZ337" s="7">
        <v>-97.343999999999994</v>
      </c>
      <c r="BA337" s="7">
        <v>-11.129</v>
      </c>
      <c r="BB337" s="7">
        <v>-9.9659999999999993</v>
      </c>
      <c r="BC337" s="7">
        <v>-5.4089999999999998</v>
      </c>
      <c r="BD337" s="7">
        <v>-69.33</v>
      </c>
      <c r="BE337" s="7">
        <v>-9.5340000000000007</v>
      </c>
      <c r="BF337" s="7">
        <v>-82.394999999999996</v>
      </c>
      <c r="BG337" s="7">
        <v>26.617999999999999</v>
      </c>
      <c r="BH337" s="7">
        <v>-0.877</v>
      </c>
      <c r="BI337" s="21"/>
    </row>
    <row r="338" spans="1:61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21"/>
    </row>
    <row r="339" spans="1:61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 s="21"/>
    </row>
    <row r="340" spans="1:61" ht="15.6" x14ac:dyDescent="0.3">
      <c r="A340" s="5" t="s">
        <v>605</v>
      </c>
      <c r="B340" s="5" t="s">
        <v>606</v>
      </c>
      <c r="C340" s="5"/>
      <c r="D340" s="5"/>
      <c r="E340">
        <v>10711209.368000001</v>
      </c>
      <c r="F340">
        <v>1089912.709</v>
      </c>
      <c r="G340">
        <v>1081143.932</v>
      </c>
      <c r="H340">
        <v>1139281.0060000001</v>
      </c>
      <c r="I340">
        <v>132986.924</v>
      </c>
      <c r="J340">
        <v>741049.43200000003</v>
      </c>
      <c r="K340">
        <v>237688.997</v>
      </c>
      <c r="L340">
        <v>11480198.528000001</v>
      </c>
      <c r="M340">
        <v>2790313.6540000001</v>
      </c>
      <c r="N340">
        <v>15574.902</v>
      </c>
      <c r="O340">
        <v>16517.548999999999</v>
      </c>
      <c r="P340">
        <v>16886.432000000001</v>
      </c>
      <c r="Q340">
        <v>14908.093999999999</v>
      </c>
      <c r="R340">
        <v>18183.045999999998</v>
      </c>
      <c r="S340">
        <v>352831.61</v>
      </c>
      <c r="T340">
        <v>1024.271</v>
      </c>
      <c r="U340">
        <v>185186.274</v>
      </c>
      <c r="V340">
        <v>143798.75200000001</v>
      </c>
      <c r="W340">
        <v>277005.79599999997</v>
      </c>
      <c r="X340">
        <v>222881.41899999999</v>
      </c>
      <c r="Y340">
        <v>3191504.4380000001</v>
      </c>
      <c r="Z340">
        <v>77595.218999999997</v>
      </c>
      <c r="AA340">
        <v>1577645.547</v>
      </c>
      <c r="AB340">
        <v>560608.10100000002</v>
      </c>
      <c r="AC340">
        <v>205758.323</v>
      </c>
      <c r="AD340">
        <v>71643.096999999994</v>
      </c>
      <c r="AE340">
        <v>9536259.7589999996</v>
      </c>
      <c r="AF340">
        <v>4385325.7</v>
      </c>
      <c r="AG340">
        <v>381589.05</v>
      </c>
      <c r="AH340">
        <v>24321586.57</v>
      </c>
      <c r="AI340">
        <v>6724949.8490000004</v>
      </c>
      <c r="AJ340">
        <v>392669.799</v>
      </c>
      <c r="AK340">
        <v>9957394.3709999993</v>
      </c>
      <c r="AL340">
        <v>5086817.9079999998</v>
      </c>
      <c r="AM340">
        <v>48888.911</v>
      </c>
      <c r="AN340">
        <v>3354364.1329999999</v>
      </c>
      <c r="AO340">
        <v>270021.326</v>
      </c>
      <c r="AP340">
        <v>139609.66099999999</v>
      </c>
      <c r="AQ340">
        <v>1781741.139</v>
      </c>
      <c r="AR340">
        <v>34925.396000000001</v>
      </c>
      <c r="AS340">
        <v>4003.8890000000001</v>
      </c>
      <c r="AT340">
        <v>0</v>
      </c>
      <c r="AU340">
        <v>77931.247000000003</v>
      </c>
      <c r="AV340">
        <v>86959.176000000007</v>
      </c>
      <c r="AW340">
        <v>204585.49299999999</v>
      </c>
      <c r="AX340">
        <v>324466.74200000003</v>
      </c>
      <c r="AY340">
        <v>147544.50700000001</v>
      </c>
      <c r="AZ340">
        <v>1165124.1939999999</v>
      </c>
      <c r="BA340">
        <v>238523.21100000001</v>
      </c>
      <c r="BB340">
        <v>128051.73299999999</v>
      </c>
      <c r="BC340">
        <v>54440.254999999997</v>
      </c>
      <c r="BD340">
        <v>1505072.4939999999</v>
      </c>
      <c r="BE340">
        <v>36589.675000000003</v>
      </c>
      <c r="BF340">
        <v>516224.38099999999</v>
      </c>
      <c r="BG340">
        <v>209479.39</v>
      </c>
      <c r="BH340">
        <v>18519.294999999998</v>
      </c>
      <c r="BI340" s="21"/>
    </row>
    <row r="341" spans="1:61" x14ac:dyDescent="0.25">
      <c r="BI341" s="21"/>
    </row>
    <row r="342" spans="1:61" ht="15.6" x14ac:dyDescent="0.3">
      <c r="A342" s="5" t="s">
        <v>607</v>
      </c>
      <c r="E342">
        <f t="shared" ref="E342:AW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>SUM(AM7:AM339)-AM340</f>
        <v>0</v>
      </c>
      <c r="AN342">
        <f>SUM(AN7:AN339)-AN340</f>
        <v>0</v>
      </c>
      <c r="AO342">
        <f>SUM(AO7:AO339)-AO340</f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 t="shared" si="0"/>
        <v>0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>SUM(AX7:AX339)-AX340</f>
        <v>0</v>
      </c>
      <c r="AY342">
        <f t="shared" ref="AY342:BH342" si="1">SUM(AY7:AY339)-AY340</f>
        <v>0</v>
      </c>
      <c r="AZ342">
        <f t="shared" si="1"/>
        <v>0</v>
      </c>
      <c r="BA342">
        <f t="shared" si="1"/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0</v>
      </c>
      <c r="BF342">
        <f t="shared" si="1"/>
        <v>0</v>
      </c>
      <c r="BG342">
        <f t="shared" si="1"/>
        <v>0</v>
      </c>
      <c r="BH342">
        <f t="shared" si="1"/>
        <v>0</v>
      </c>
      <c r="BI342" s="21"/>
    </row>
    <row r="343" spans="1:61" x14ac:dyDescent="0.25">
      <c r="BI343" s="21"/>
    </row>
    <row r="344" spans="1:61" x14ac:dyDescent="0.25">
      <c r="A344" t="s">
        <v>608</v>
      </c>
      <c r="D344">
        <v>1</v>
      </c>
      <c r="E344" s="16">
        <f t="shared" ref="E344:AW344" si="2">SUMIF($D$6:$D$338,$D$344,E6:E338)</f>
        <v>1317591.9450000003</v>
      </c>
      <c r="F344" s="16">
        <f t="shared" si="2"/>
        <v>160783.43100000001</v>
      </c>
      <c r="G344" s="16">
        <f t="shared" si="2"/>
        <v>51993.053</v>
      </c>
      <c r="H344" s="16">
        <f t="shared" si="2"/>
        <v>3782.723</v>
      </c>
      <c r="I344" s="16">
        <f t="shared" si="2"/>
        <v>12152.802</v>
      </c>
      <c r="J344" s="16">
        <f t="shared" si="2"/>
        <v>29805.052</v>
      </c>
      <c r="K344" s="16">
        <f t="shared" si="2"/>
        <v>9887.9830000000002</v>
      </c>
      <c r="L344" s="16">
        <f t="shared" si="2"/>
        <v>2176406.5639999998</v>
      </c>
      <c r="M344" s="16">
        <f t="shared" si="2"/>
        <v>183311.97700000004</v>
      </c>
      <c r="N344" s="16">
        <f>SUMIF($D$6:$D$338,$D$344,N6:N338)</f>
        <v>34.872</v>
      </c>
      <c r="O344" s="16">
        <f t="shared" si="2"/>
        <v>12969.959000000001</v>
      </c>
      <c r="P344" s="16">
        <f t="shared" si="2"/>
        <v>873.34299999999985</v>
      </c>
      <c r="Q344" s="16">
        <f t="shared" si="2"/>
        <v>7017.6990000000005</v>
      </c>
      <c r="R344" s="16">
        <f t="shared" si="2"/>
        <v>3054.663</v>
      </c>
      <c r="S344" s="16">
        <f t="shared" si="2"/>
        <v>48469.385999999999</v>
      </c>
      <c r="T344" s="16">
        <f t="shared" si="2"/>
        <v>8.9740000000000002</v>
      </c>
      <c r="U344" s="16">
        <f t="shared" si="2"/>
        <v>8510.3079999999991</v>
      </c>
      <c r="V344" s="16">
        <f t="shared" si="2"/>
        <v>11040.772999999999</v>
      </c>
      <c r="W344" s="16">
        <f t="shared" si="2"/>
        <v>31856.739999999998</v>
      </c>
      <c r="X344" s="16">
        <f t="shared" si="2"/>
        <v>99458.32</v>
      </c>
      <c r="Y344" s="16">
        <f t="shared" si="2"/>
        <v>561174.68700000003</v>
      </c>
      <c r="Z344" s="16">
        <f t="shared" si="2"/>
        <v>39324.601000000002</v>
      </c>
      <c r="AA344" s="16">
        <f t="shared" si="2"/>
        <v>154647.56699999998</v>
      </c>
      <c r="AB344" s="16">
        <f t="shared" si="2"/>
        <v>462533.777</v>
      </c>
      <c r="AC344" s="16">
        <f t="shared" si="2"/>
        <v>36310.771999999997</v>
      </c>
      <c r="AD344" s="16">
        <f t="shared" si="2"/>
        <v>21758.786</v>
      </c>
      <c r="AE344" s="16">
        <f t="shared" si="2"/>
        <v>1635195.7249999999</v>
      </c>
      <c r="AF344" s="16">
        <f t="shared" si="2"/>
        <v>1315277.352</v>
      </c>
      <c r="AG344" s="16">
        <f t="shared" si="2"/>
        <v>136025.56699999998</v>
      </c>
      <c r="AH344" s="16">
        <f t="shared" si="2"/>
        <v>3880932.3569999998</v>
      </c>
      <c r="AI344" s="16">
        <f t="shared" si="2"/>
        <v>1876626.6949999998</v>
      </c>
      <c r="AJ344" s="16">
        <f t="shared" si="2"/>
        <v>194018.78200000001</v>
      </c>
      <c r="AK344" s="16">
        <f t="shared" si="2"/>
        <v>6528139.0619999999</v>
      </c>
      <c r="AL344" s="16">
        <f t="shared" si="2"/>
        <v>3334295.5949999997</v>
      </c>
      <c r="AM344" s="16">
        <f>SUMIF($D$6:$D$338,$D$344,AM6:AM338)</f>
        <v>2534.5010000000002</v>
      </c>
      <c r="AN344" s="16">
        <f>SUMIF($D$6:$D$338,$D$344,AN6:AN338)</f>
        <v>2198577.9750000001</v>
      </c>
      <c r="AO344" s="16">
        <f>SUMIF($D$6:$D$338,$D$344,AO6:AO338)</f>
        <v>50418.683999999994</v>
      </c>
      <c r="AP344" s="16">
        <f t="shared" si="2"/>
        <v>14769.752</v>
      </c>
      <c r="AQ344" s="16">
        <f t="shared" si="2"/>
        <v>532788.6939999999</v>
      </c>
      <c r="AR344" s="16">
        <f t="shared" si="2"/>
        <v>3963.7029999999995</v>
      </c>
      <c r="AS344" s="16">
        <f t="shared" si="2"/>
        <v>523.27499999999998</v>
      </c>
      <c r="AT344" s="16">
        <f t="shared" si="2"/>
        <v>0</v>
      </c>
      <c r="AU344" s="16">
        <f t="shared" si="2"/>
        <v>9406.6550000000007</v>
      </c>
      <c r="AV344" s="16">
        <f t="shared" si="2"/>
        <v>8775.4290000000001</v>
      </c>
      <c r="AW344" s="16">
        <f t="shared" si="2"/>
        <v>22801.548999999999</v>
      </c>
      <c r="AX344" s="16">
        <f>SUMIF($D$6:$D$338,$D$344,AX6:AX338)</f>
        <v>146056.905</v>
      </c>
      <c r="AY344" s="16">
        <f t="shared" ref="AY344:BH344" si="3">SUMIF($D$6:$D$338,$D$344,AY6:AY338)</f>
        <v>6816.7979999999998</v>
      </c>
      <c r="AZ344" s="16">
        <f t="shared" si="3"/>
        <v>9101.61</v>
      </c>
      <c r="BA344" s="16">
        <f t="shared" si="3"/>
        <v>106394.43400000001</v>
      </c>
      <c r="BB344" s="16">
        <f t="shared" si="3"/>
        <v>24490.647000000001</v>
      </c>
      <c r="BC344" s="16">
        <f t="shared" si="3"/>
        <v>3125.2309999999998</v>
      </c>
      <c r="BD344" s="16">
        <f t="shared" si="3"/>
        <v>13227.506000000001</v>
      </c>
      <c r="BE344" s="16">
        <f t="shared" si="3"/>
        <v>6670.6880000000001</v>
      </c>
      <c r="BF344" s="16">
        <f t="shared" si="3"/>
        <v>4231.4769999999999</v>
      </c>
      <c r="BG344" s="16">
        <f t="shared" si="3"/>
        <v>111044.64699999998</v>
      </c>
      <c r="BH344" s="16">
        <f t="shared" si="3"/>
        <v>640.46199999999999</v>
      </c>
      <c r="BI344" s="21"/>
    </row>
    <row r="345" spans="1:61" x14ac:dyDescent="0.25">
      <c r="A345" t="s">
        <v>609</v>
      </c>
      <c r="D345">
        <v>2</v>
      </c>
      <c r="E345" s="16">
        <f t="shared" ref="E345:AW345" si="4">SUMIF($D$6:$D$338,$D$345,E6:E338)</f>
        <v>2527760.9649999999</v>
      </c>
      <c r="F345" s="16">
        <f t="shared" si="4"/>
        <v>201536.72500000001</v>
      </c>
      <c r="G345" s="16">
        <f t="shared" si="4"/>
        <v>391285.04899999994</v>
      </c>
      <c r="H345" s="16">
        <f t="shared" si="4"/>
        <v>0</v>
      </c>
      <c r="I345" s="16">
        <f t="shared" si="4"/>
        <v>50008.875000000007</v>
      </c>
      <c r="J345" s="16">
        <f t="shared" si="4"/>
        <v>247069.10699999999</v>
      </c>
      <c r="K345" s="16">
        <f t="shared" si="4"/>
        <v>179039.33</v>
      </c>
      <c r="L345" s="16">
        <f t="shared" si="4"/>
        <v>1329261.7919999999</v>
      </c>
      <c r="M345" s="16">
        <f t="shared" si="4"/>
        <v>587506.05499999993</v>
      </c>
      <c r="N345" s="16">
        <f>SUMIF($D$6:$D$338,$D$345,N6:N338)</f>
        <v>12544.677</v>
      </c>
      <c r="O345" s="16">
        <f t="shared" si="4"/>
        <v>151.77500000000001</v>
      </c>
      <c r="P345" s="16">
        <f t="shared" si="4"/>
        <v>13187.983</v>
      </c>
      <c r="Q345" s="16">
        <f t="shared" si="4"/>
        <v>2468.0259999999998</v>
      </c>
      <c r="R345" s="16">
        <f t="shared" si="4"/>
        <v>3635.201</v>
      </c>
      <c r="S345" s="16">
        <f t="shared" si="4"/>
        <v>62839.394</v>
      </c>
      <c r="T345" s="16">
        <f t="shared" si="4"/>
        <v>1015.297</v>
      </c>
      <c r="U345" s="16">
        <f t="shared" si="4"/>
        <v>142392.66</v>
      </c>
      <c r="V345" s="16">
        <f t="shared" si="4"/>
        <v>37443.285999999993</v>
      </c>
      <c r="W345" s="16">
        <f t="shared" si="4"/>
        <v>58839.490999999995</v>
      </c>
      <c r="X345" s="16">
        <f t="shared" si="4"/>
        <v>32407.204000000002</v>
      </c>
      <c r="Y345" s="16">
        <f t="shared" si="4"/>
        <v>638184.09100000001</v>
      </c>
      <c r="Z345" s="16">
        <f t="shared" si="4"/>
        <v>335.41</v>
      </c>
      <c r="AA345" s="16">
        <f t="shared" si="4"/>
        <v>512517.98099999991</v>
      </c>
      <c r="AB345" s="16">
        <f t="shared" si="4"/>
        <v>3826.63</v>
      </c>
      <c r="AC345" s="16">
        <f t="shared" si="4"/>
        <v>30965.514000000006</v>
      </c>
      <c r="AD345" s="16">
        <f t="shared" si="4"/>
        <v>12766.893</v>
      </c>
      <c r="AE345" s="16">
        <f t="shared" si="4"/>
        <v>1854613.3029999998</v>
      </c>
      <c r="AF345" s="16">
        <f t="shared" si="4"/>
        <v>264334.53600000002</v>
      </c>
      <c r="AG345" s="16">
        <f t="shared" si="4"/>
        <v>57965.710999999996</v>
      </c>
      <c r="AH345" s="16">
        <f t="shared" si="4"/>
        <v>3748200.3309999998</v>
      </c>
      <c r="AI345" s="16">
        <f t="shared" si="4"/>
        <v>383317.76599999995</v>
      </c>
      <c r="AJ345" s="16">
        <f t="shared" si="4"/>
        <v>1751.019</v>
      </c>
      <c r="AK345" s="16">
        <f t="shared" si="4"/>
        <v>1250797.797</v>
      </c>
      <c r="AL345" s="16">
        <f t="shared" si="4"/>
        <v>639302.73899999994</v>
      </c>
      <c r="AM345" s="16">
        <f>SUMIF($D$6:$D$338,$D$345,AM6:AM338)</f>
        <v>37409.777999999998</v>
      </c>
      <c r="AN345" s="16">
        <f>SUMIF($D$6:$D$338,$D$345,AN6:AN338)</f>
        <v>421725.20899999997</v>
      </c>
      <c r="AO345" s="16">
        <f>SUMIF($D$6:$D$338,$D$345,AO6:AO338)</f>
        <v>45545.632000000005</v>
      </c>
      <c r="AP345" s="16">
        <f t="shared" si="4"/>
        <v>0</v>
      </c>
      <c r="AQ345" s="16">
        <f t="shared" si="4"/>
        <v>109458.87699999999</v>
      </c>
      <c r="AR345" s="16">
        <f t="shared" si="4"/>
        <v>0</v>
      </c>
      <c r="AS345" s="16">
        <f t="shared" si="4"/>
        <v>1426.2450000000001</v>
      </c>
      <c r="AT345" s="16">
        <f t="shared" si="4"/>
        <v>0</v>
      </c>
      <c r="AU345" s="16">
        <f t="shared" si="4"/>
        <v>30944.941000000003</v>
      </c>
      <c r="AV345" s="16">
        <f t="shared" si="4"/>
        <v>0</v>
      </c>
      <c r="AW345" s="16">
        <f t="shared" si="4"/>
        <v>0</v>
      </c>
      <c r="AX345" s="16">
        <f>SUMIF($D$6:$D$338,$D$345,AX6:AX338)</f>
        <v>46853.466999999997</v>
      </c>
      <c r="AY345" s="16">
        <f t="shared" ref="AY345:BH345" si="5">SUMIF($D$6:$D$338,$D$345,AY6:AY338)</f>
        <v>33768.154000000002</v>
      </c>
      <c r="AZ345" s="16">
        <f t="shared" si="5"/>
        <v>0</v>
      </c>
      <c r="BA345" s="16">
        <f t="shared" si="5"/>
        <v>34681.191999999995</v>
      </c>
      <c r="BB345" s="16">
        <f t="shared" si="5"/>
        <v>22386.006999999998</v>
      </c>
      <c r="BC345" s="16">
        <f t="shared" si="5"/>
        <v>14086.225</v>
      </c>
      <c r="BD345" s="16">
        <f t="shared" si="5"/>
        <v>0</v>
      </c>
      <c r="BE345" s="16">
        <f t="shared" si="5"/>
        <v>6207.183</v>
      </c>
      <c r="BF345" s="16">
        <f t="shared" si="5"/>
        <v>0</v>
      </c>
      <c r="BG345" s="16">
        <f t="shared" si="5"/>
        <v>15138.173000000001</v>
      </c>
      <c r="BH345" s="16">
        <f t="shared" si="5"/>
        <v>4750.7559999999994</v>
      </c>
      <c r="BI345" s="21"/>
    </row>
    <row r="346" spans="1:61" x14ac:dyDescent="0.25">
      <c r="A346" t="s">
        <v>610</v>
      </c>
      <c r="D346">
        <v>3</v>
      </c>
      <c r="E346" s="16">
        <f t="shared" ref="E346:AW346" si="6">SUMIF($D$6:$D$338,$D$346,E6:E338)</f>
        <v>2206442.6409999998</v>
      </c>
      <c r="F346" s="16">
        <f t="shared" si="6"/>
        <v>283730.95200000005</v>
      </c>
      <c r="G346" s="16">
        <f t="shared" si="6"/>
        <v>491280.647</v>
      </c>
      <c r="H346" s="16">
        <f t="shared" si="6"/>
        <v>41037.366000000002</v>
      </c>
      <c r="I346" s="16">
        <f t="shared" si="6"/>
        <v>41423.741999999991</v>
      </c>
      <c r="J346" s="16">
        <f t="shared" si="6"/>
        <v>333567.45800000004</v>
      </c>
      <c r="K346" s="16">
        <f t="shared" si="6"/>
        <v>28111.154999999999</v>
      </c>
      <c r="L346" s="16">
        <f t="shared" si="6"/>
        <v>1040568.486</v>
      </c>
      <c r="M346" s="16">
        <f t="shared" si="6"/>
        <v>967285.32599999988</v>
      </c>
      <c r="N346" s="16">
        <f>SUMIF($D$6:$D$338,$D$346,N6:N338)</f>
        <v>2995.6860000000001</v>
      </c>
      <c r="O346" s="16">
        <f t="shared" si="6"/>
        <v>0</v>
      </c>
      <c r="P346" s="16">
        <f t="shared" si="6"/>
        <v>34.695000000000007</v>
      </c>
      <c r="Q346" s="16">
        <f t="shared" si="6"/>
        <v>4339.076</v>
      </c>
      <c r="R346" s="16">
        <f t="shared" si="6"/>
        <v>10920.731</v>
      </c>
      <c r="S346" s="16">
        <f t="shared" si="6"/>
        <v>122665.12399999998</v>
      </c>
      <c r="T346" s="16">
        <f t="shared" si="6"/>
        <v>0</v>
      </c>
      <c r="U346" s="16">
        <f t="shared" si="6"/>
        <v>22357.221000000001</v>
      </c>
      <c r="V346" s="16">
        <f t="shared" si="6"/>
        <v>68680.827999999994</v>
      </c>
      <c r="W346" s="16">
        <f t="shared" si="6"/>
        <v>103293.035</v>
      </c>
      <c r="X346" s="16">
        <f t="shared" si="6"/>
        <v>0</v>
      </c>
      <c r="Y346" s="16">
        <f t="shared" si="6"/>
        <v>429848.61300000001</v>
      </c>
      <c r="Z346" s="16">
        <f t="shared" si="6"/>
        <v>4495.2860000000001</v>
      </c>
      <c r="AA346" s="16">
        <f t="shared" si="6"/>
        <v>600657.51300000004</v>
      </c>
      <c r="AB346" s="16">
        <f t="shared" si="6"/>
        <v>0</v>
      </c>
      <c r="AC346" s="16">
        <f t="shared" si="6"/>
        <v>50974.354999999996</v>
      </c>
      <c r="AD346" s="16">
        <f t="shared" si="6"/>
        <v>14273.394999999999</v>
      </c>
      <c r="AE346" s="16">
        <f t="shared" si="6"/>
        <v>1268527.0190000001</v>
      </c>
      <c r="AF346" s="16">
        <f t="shared" si="6"/>
        <v>33254.244000000006</v>
      </c>
      <c r="AG346" s="16">
        <f t="shared" si="6"/>
        <v>58253.641000000003</v>
      </c>
      <c r="AH346" s="16">
        <f t="shared" si="6"/>
        <v>2822684.6180000002</v>
      </c>
      <c r="AI346" s="16">
        <f t="shared" si="6"/>
        <v>51144.455999999998</v>
      </c>
      <c r="AJ346" s="16">
        <f t="shared" si="6"/>
        <v>21069.532999999999</v>
      </c>
      <c r="AK346" s="16">
        <f t="shared" si="6"/>
        <v>0</v>
      </c>
      <c r="AL346" s="16">
        <f t="shared" si="6"/>
        <v>0</v>
      </c>
      <c r="AM346" s="16">
        <f>SUMIF($D$6:$D$338,$D$346,AM6:AM338)</f>
        <v>5873.7460000000001</v>
      </c>
      <c r="AN346" s="16">
        <f>SUMIF($D$6:$D$338,$D$346,AN6:AN338)</f>
        <v>0</v>
      </c>
      <c r="AO346" s="16">
        <f>SUMIF($D$6:$D$338,$D$346,AO6:AO338)</f>
        <v>77391.566000000006</v>
      </c>
      <c r="AP346" s="16">
        <f t="shared" si="6"/>
        <v>0</v>
      </c>
      <c r="AQ346" s="16">
        <f t="shared" si="6"/>
        <v>13338.151</v>
      </c>
      <c r="AR346" s="16">
        <f t="shared" si="6"/>
        <v>0</v>
      </c>
      <c r="AS346" s="16">
        <f t="shared" si="6"/>
        <v>927.88799999999992</v>
      </c>
      <c r="AT346" s="16">
        <f t="shared" si="6"/>
        <v>0</v>
      </c>
      <c r="AU346" s="16">
        <f t="shared" si="6"/>
        <v>25421.452999999994</v>
      </c>
      <c r="AV346" s="16">
        <f t="shared" si="6"/>
        <v>0</v>
      </c>
      <c r="AW346" s="16">
        <f t="shared" si="6"/>
        <v>0</v>
      </c>
      <c r="AX346" s="16">
        <f>SUMIF($D$6:$D$338,$D$346,AX6:AX338)</f>
        <v>0</v>
      </c>
      <c r="AY346" s="16">
        <f t="shared" ref="AY346:BH346" si="7">SUMIF($D$6:$D$338,$D$346,AY6:AY338)</f>
        <v>70991.026000000013</v>
      </c>
      <c r="AZ346" s="16">
        <f t="shared" si="7"/>
        <v>22176.574000000001</v>
      </c>
      <c r="BA346" s="16">
        <f t="shared" si="7"/>
        <v>0</v>
      </c>
      <c r="BB346" s="16">
        <f t="shared" si="7"/>
        <v>36428.121999999996</v>
      </c>
      <c r="BC346" s="16">
        <f t="shared" si="7"/>
        <v>34833.085000000006</v>
      </c>
      <c r="BD346" s="16">
        <f t="shared" si="7"/>
        <v>29230.967000000001</v>
      </c>
      <c r="BE346" s="16">
        <f t="shared" si="7"/>
        <v>10754.617</v>
      </c>
      <c r="BF346" s="16">
        <f t="shared" si="7"/>
        <v>10058.009</v>
      </c>
      <c r="BG346" s="16">
        <f t="shared" si="7"/>
        <v>12957.504000000001</v>
      </c>
      <c r="BH346" s="16">
        <f t="shared" si="7"/>
        <v>12277.225</v>
      </c>
      <c r="BI346" s="21"/>
    </row>
    <row r="347" spans="1:61" x14ac:dyDescent="0.25">
      <c r="A347" t="s">
        <v>611</v>
      </c>
      <c r="B347">
        <v>7</v>
      </c>
      <c r="D347">
        <v>4</v>
      </c>
      <c r="E347" s="16">
        <f t="shared" ref="E347:AW347" si="8">SUMIF($D$6:$D$338,$D$347,E6:E338)</f>
        <v>1948298.3329999996</v>
      </c>
      <c r="F347" s="16">
        <f t="shared" si="8"/>
        <v>334651.54300000006</v>
      </c>
      <c r="G347" s="16">
        <f t="shared" si="8"/>
        <v>2046.5360000000001</v>
      </c>
      <c r="H347" s="16">
        <f t="shared" si="8"/>
        <v>74132.065000000002</v>
      </c>
      <c r="I347" s="16">
        <f t="shared" si="8"/>
        <v>8026.4910000000027</v>
      </c>
      <c r="J347" s="16">
        <f t="shared" si="8"/>
        <v>1311.402</v>
      </c>
      <c r="K347" s="16">
        <f t="shared" si="8"/>
        <v>0</v>
      </c>
      <c r="L347" s="16">
        <f t="shared" si="8"/>
        <v>4318920.4749999996</v>
      </c>
      <c r="M347" s="16">
        <f t="shared" si="8"/>
        <v>165926.81000000006</v>
      </c>
      <c r="N347" s="16">
        <f>SUMIF($D$6:$D$338,$D$347,N6:N338)</f>
        <v>0</v>
      </c>
      <c r="O347" s="16">
        <f t="shared" si="8"/>
        <v>3584.0439999999999</v>
      </c>
      <c r="P347" s="16">
        <f t="shared" si="8"/>
        <v>41.954000000000001</v>
      </c>
      <c r="Q347" s="16">
        <f t="shared" si="8"/>
        <v>1170.5249999999999</v>
      </c>
      <c r="R347" s="16">
        <f t="shared" si="8"/>
        <v>93.47</v>
      </c>
      <c r="S347" s="16">
        <f t="shared" si="8"/>
        <v>107638.86199999998</v>
      </c>
      <c r="T347" s="16">
        <f t="shared" si="8"/>
        <v>0</v>
      </c>
      <c r="U347" s="16">
        <f t="shared" si="8"/>
        <v>0</v>
      </c>
      <c r="V347" s="16">
        <f t="shared" si="8"/>
        <v>356.22500000000002</v>
      </c>
      <c r="W347" s="16">
        <f t="shared" si="8"/>
        <v>36068.453999999998</v>
      </c>
      <c r="X347" s="16">
        <f t="shared" si="8"/>
        <v>88803.294999999998</v>
      </c>
      <c r="Y347" s="16">
        <f t="shared" si="8"/>
        <v>972555.55399999989</v>
      </c>
      <c r="Z347" s="16">
        <f t="shared" si="8"/>
        <v>32659.238999999998</v>
      </c>
      <c r="AA347" s="16">
        <f t="shared" si="8"/>
        <v>151172.02599999995</v>
      </c>
      <c r="AB347" s="16">
        <f t="shared" si="8"/>
        <v>105186.07599999999</v>
      </c>
      <c r="AC347" s="16">
        <f t="shared" si="8"/>
        <v>66392.877000000022</v>
      </c>
      <c r="AD347" s="16">
        <f t="shared" si="8"/>
        <v>22732.472000000002</v>
      </c>
      <c r="AE347" s="16">
        <f t="shared" si="8"/>
        <v>2845178.1709999996</v>
      </c>
      <c r="AF347" s="16">
        <f t="shared" si="8"/>
        <v>2711246.4529999997</v>
      </c>
      <c r="AG347" s="16">
        <f t="shared" si="8"/>
        <v>102979.64600000001</v>
      </c>
      <c r="AH347" s="16">
        <f t="shared" si="8"/>
        <v>7406048.9090000009</v>
      </c>
      <c r="AI347" s="16">
        <f t="shared" si="8"/>
        <v>4111825.1239999998</v>
      </c>
      <c r="AJ347" s="16">
        <f t="shared" si="8"/>
        <v>172195.68</v>
      </c>
      <c r="AK347" s="16">
        <f t="shared" si="8"/>
        <v>2071742.402</v>
      </c>
      <c r="AL347" s="16">
        <f t="shared" si="8"/>
        <v>1058900.6429999999</v>
      </c>
      <c r="AM347" s="16">
        <f>SUMIF($D$6:$D$338,$D$347,AM6:AM338)</f>
        <v>0</v>
      </c>
      <c r="AN347" s="16">
        <f>SUMIF($D$6:$D$338,$D$347,AN6:AN338)</f>
        <v>698518.97400000005</v>
      </c>
      <c r="AO347" s="16">
        <f>SUMIF($D$6:$D$338,$D$347,AO6:AO338)</f>
        <v>92722.087999999989</v>
      </c>
      <c r="AP347" s="16">
        <f t="shared" si="8"/>
        <v>124863.323</v>
      </c>
      <c r="AQ347" s="16">
        <f t="shared" si="8"/>
        <v>1108712.1420000002</v>
      </c>
      <c r="AR347" s="16">
        <f t="shared" si="8"/>
        <v>30962.26</v>
      </c>
      <c r="AS347" s="16">
        <f t="shared" si="8"/>
        <v>1030.6339999999998</v>
      </c>
      <c r="AT347" s="16">
        <f t="shared" si="8"/>
        <v>0</v>
      </c>
      <c r="AU347" s="16">
        <f t="shared" si="8"/>
        <v>10973.849999999999</v>
      </c>
      <c r="AV347" s="16">
        <f t="shared" si="8"/>
        <v>78191.801000000007</v>
      </c>
      <c r="AW347" s="16">
        <f t="shared" si="8"/>
        <v>181831.23300000001</v>
      </c>
      <c r="AX347" s="16">
        <f>SUMIF($D$6:$D$338,$D$347,AX6:AX338)</f>
        <v>128389.432</v>
      </c>
      <c r="AY347" s="16">
        <f t="shared" ref="AY347:BH347" si="9">SUMIF($D$6:$D$338,$D$347,AY6:AY338)</f>
        <v>29344.239999999998</v>
      </c>
      <c r="AZ347" s="16">
        <f t="shared" si="9"/>
        <v>1055376.3689999999</v>
      </c>
      <c r="BA347" s="16">
        <f t="shared" si="9"/>
        <v>95034.550999999992</v>
      </c>
      <c r="BB347" s="16">
        <f t="shared" si="9"/>
        <v>42849.197999999997</v>
      </c>
      <c r="BC347" s="16">
        <f t="shared" si="9"/>
        <v>187.964</v>
      </c>
      <c r="BD347" s="16">
        <f t="shared" si="9"/>
        <v>1357308.102</v>
      </c>
      <c r="BE347" s="16">
        <f t="shared" si="9"/>
        <v>12405.579999999998</v>
      </c>
      <c r="BF347" s="16">
        <f t="shared" si="9"/>
        <v>467032.67999999993</v>
      </c>
      <c r="BG347" s="16">
        <f t="shared" si="9"/>
        <v>67129.531000000003</v>
      </c>
      <c r="BH347" s="16">
        <f t="shared" si="9"/>
        <v>66.087999999999994</v>
      </c>
      <c r="BI347" s="21"/>
    </row>
    <row r="348" spans="1:61" x14ac:dyDescent="0.25">
      <c r="A348" t="s">
        <v>612</v>
      </c>
      <c r="D348">
        <v>5</v>
      </c>
      <c r="E348" s="16">
        <f t="shared" ref="E348:AW348" si="10">SUMIF($D$6:$D$338,$D$348,E6:E338)</f>
        <v>806971.16099999996</v>
      </c>
      <c r="F348" s="16">
        <f t="shared" si="10"/>
        <v>37641.68</v>
      </c>
      <c r="G348" s="16">
        <f t="shared" si="10"/>
        <v>75498.931999999986</v>
      </c>
      <c r="H348" s="16">
        <f t="shared" si="10"/>
        <v>996528.08399999992</v>
      </c>
      <c r="I348" s="16">
        <f t="shared" si="10"/>
        <v>11099.673999999999</v>
      </c>
      <c r="J348" s="16">
        <f t="shared" si="10"/>
        <v>82914.086999999985</v>
      </c>
      <c r="K348" s="16">
        <f t="shared" si="10"/>
        <v>9500.4979999999996</v>
      </c>
      <c r="L348" s="16">
        <f t="shared" si="10"/>
        <v>427984.65800000005</v>
      </c>
      <c r="M348" s="16">
        <f t="shared" si="10"/>
        <v>372421.31700000004</v>
      </c>
      <c r="N348" s="16">
        <f>SUMIF($D$6:$D$338,$D$348,N6:N338)</f>
        <v>0</v>
      </c>
      <c r="O348" s="16">
        <f t="shared" si="10"/>
        <v>0</v>
      </c>
      <c r="P348" s="16">
        <f t="shared" si="10"/>
        <v>1449.1840000000002</v>
      </c>
      <c r="Q348" s="16">
        <f t="shared" si="10"/>
        <v>0</v>
      </c>
      <c r="R348" s="16">
        <f t="shared" si="10"/>
        <v>0.51700000000000002</v>
      </c>
      <c r="S348" s="16">
        <f t="shared" si="10"/>
        <v>-3772.3900000000003</v>
      </c>
      <c r="T348" s="16">
        <f t="shared" si="10"/>
        <v>0</v>
      </c>
      <c r="U348" s="16">
        <f t="shared" si="10"/>
        <v>3146.4879999999998</v>
      </c>
      <c r="V348" s="16">
        <f t="shared" si="10"/>
        <v>18261.773000000001</v>
      </c>
      <c r="W348" s="16">
        <f t="shared" si="10"/>
        <v>26943.502</v>
      </c>
      <c r="X348" s="16">
        <f t="shared" si="10"/>
        <v>0</v>
      </c>
      <c r="Y348" s="16">
        <f t="shared" si="10"/>
        <v>181966.54299999998</v>
      </c>
      <c r="Z348" s="16">
        <f t="shared" si="10"/>
        <v>0</v>
      </c>
      <c r="AA348" s="16">
        <f t="shared" si="10"/>
        <v>61735.03</v>
      </c>
      <c r="AB348" s="16">
        <f t="shared" si="10"/>
        <v>0</v>
      </c>
      <c r="AC348" s="16">
        <f t="shared" si="10"/>
        <v>9374.3570000000018</v>
      </c>
      <c r="AD348" s="16">
        <f t="shared" si="10"/>
        <v>0</v>
      </c>
      <c r="AE348" s="16">
        <f t="shared" si="10"/>
        <v>506528.99399999995</v>
      </c>
      <c r="AF348" s="16">
        <f t="shared" si="10"/>
        <v>-106167.70699999999</v>
      </c>
      <c r="AG348" s="16">
        <f t="shared" si="10"/>
        <v>26206.457999999999</v>
      </c>
      <c r="AH348" s="16">
        <f t="shared" si="10"/>
        <v>1764692.1199999996</v>
      </c>
      <c r="AI348" s="16">
        <f t="shared" si="10"/>
        <v>-13326.325000000012</v>
      </c>
      <c r="AJ348" s="16">
        <f t="shared" si="10"/>
        <v>0</v>
      </c>
      <c r="AK348" s="16">
        <f t="shared" si="10"/>
        <v>250.006</v>
      </c>
      <c r="AL348" s="16">
        <f t="shared" si="10"/>
        <v>110.529</v>
      </c>
      <c r="AM348" s="16">
        <f>SUMIF($D$6:$D$338,$D$348,AM6:AM338)</f>
        <v>796.85199999999998</v>
      </c>
      <c r="AN348" s="16">
        <f>SUMIF($D$6:$D$338,$D$348,AN6:AN338)</f>
        <v>106.923</v>
      </c>
      <c r="AO348" s="16">
        <f>SUMIF($D$6:$D$338,$D$348,AO6:AO338)</f>
        <v>-3852.9270000000001</v>
      </c>
      <c r="AP348" s="16">
        <f t="shared" si="10"/>
        <v>0</v>
      </c>
      <c r="AQ348" s="16">
        <f t="shared" si="10"/>
        <v>-28306.603999999999</v>
      </c>
      <c r="AR348" s="16">
        <f t="shared" si="10"/>
        <v>0</v>
      </c>
      <c r="AS348" s="16">
        <f t="shared" si="10"/>
        <v>-38.188000000000002</v>
      </c>
      <c r="AT348" s="16">
        <f t="shared" si="10"/>
        <v>0</v>
      </c>
      <c r="AU348" s="16">
        <f t="shared" si="10"/>
        <v>-227.98599999999999</v>
      </c>
      <c r="AV348" s="16">
        <f t="shared" si="10"/>
        <v>0</v>
      </c>
      <c r="AW348" s="16">
        <f t="shared" si="10"/>
        <v>0</v>
      </c>
      <c r="AX348" s="16">
        <f>SUMIF($D$6:$D$338,$D$348,AX6:AX338)</f>
        <v>0</v>
      </c>
      <c r="AY348" s="16">
        <f t="shared" ref="AY348:BH348" si="11">SUMIF($D$6:$D$338,$D$348,AY6:AY338)</f>
        <v>1.6E-2</v>
      </c>
      <c r="AZ348" s="16">
        <f t="shared" si="11"/>
        <v>0</v>
      </c>
      <c r="BA348" s="16">
        <f t="shared" si="11"/>
        <v>0</v>
      </c>
      <c r="BB348" s="16">
        <f t="shared" si="11"/>
        <v>-1778.115</v>
      </c>
      <c r="BC348" s="16">
        <f t="shared" si="11"/>
        <v>7.0000000000000001E-3</v>
      </c>
      <c r="BD348" s="16">
        <f t="shared" si="11"/>
        <v>0</v>
      </c>
      <c r="BE348" s="16">
        <f t="shared" si="11"/>
        <v>-515.50700000000006</v>
      </c>
      <c r="BF348" s="16">
        <f t="shared" si="11"/>
        <v>0</v>
      </c>
      <c r="BG348" s="16">
        <f t="shared" si="11"/>
        <v>0</v>
      </c>
      <c r="BH348" s="16">
        <f t="shared" si="11"/>
        <v>5.0000000000000001E-3</v>
      </c>
      <c r="BI348" s="21"/>
    </row>
    <row r="349" spans="1:61" x14ac:dyDescent="0.25">
      <c r="A349" t="s">
        <v>613</v>
      </c>
      <c r="B349">
        <v>7</v>
      </c>
      <c r="D349">
        <v>6</v>
      </c>
      <c r="E349" s="16">
        <f t="shared" ref="E349:AW349" si="12">SUMIF($D$6:$D$338,$D$349,E6:E338)+SUMIF($D$6:$D$338,$B$349,E6:E338)</f>
        <v>1904144.3230000001</v>
      </c>
      <c r="F349" s="16">
        <f t="shared" si="12"/>
        <v>71568.377999999997</v>
      </c>
      <c r="G349" s="16">
        <f t="shared" si="12"/>
        <v>69039.714999999967</v>
      </c>
      <c r="H349" s="16">
        <f t="shared" si="12"/>
        <v>23800.768000000004</v>
      </c>
      <c r="I349" s="16">
        <f t="shared" si="12"/>
        <v>10275.339999999998</v>
      </c>
      <c r="J349" s="16">
        <f t="shared" si="12"/>
        <v>46382.326000000015</v>
      </c>
      <c r="K349" s="16">
        <f t="shared" si="12"/>
        <v>11150.030999999999</v>
      </c>
      <c r="L349" s="16">
        <f t="shared" si="12"/>
        <v>2187056.5530000008</v>
      </c>
      <c r="M349" s="16">
        <f t="shared" si="12"/>
        <v>513862.16899999988</v>
      </c>
      <c r="N349" s="16">
        <f>SUMIF($D$6:$D$338,$D$349,N6:N338)+SUMIF($D$6:$D$338,$B$349,N6:N338)</f>
        <v>-0.33300000000000002</v>
      </c>
      <c r="O349" s="16">
        <f t="shared" si="12"/>
        <v>-188.22899999999998</v>
      </c>
      <c r="P349" s="16">
        <f t="shared" si="12"/>
        <v>1299.2730000000004</v>
      </c>
      <c r="Q349" s="16">
        <f t="shared" si="12"/>
        <v>-87.231999999999985</v>
      </c>
      <c r="R349" s="16">
        <f t="shared" si="12"/>
        <v>478.464</v>
      </c>
      <c r="S349" s="16">
        <f t="shared" si="12"/>
        <v>14991.233999999999</v>
      </c>
      <c r="T349" s="16">
        <f t="shared" si="12"/>
        <v>0</v>
      </c>
      <c r="U349" s="16">
        <f t="shared" si="12"/>
        <v>8779.5969999999998</v>
      </c>
      <c r="V349" s="16">
        <f t="shared" si="12"/>
        <v>8015.8669999999993</v>
      </c>
      <c r="W349" s="16">
        <f t="shared" si="12"/>
        <v>20004.574000000008</v>
      </c>
      <c r="X349" s="16">
        <f t="shared" si="12"/>
        <v>2212.6</v>
      </c>
      <c r="Y349" s="16">
        <f t="shared" si="12"/>
        <v>407774.95</v>
      </c>
      <c r="Z349" s="16">
        <f t="shared" si="12"/>
        <v>780.68299999999999</v>
      </c>
      <c r="AA349" s="16">
        <f t="shared" si="12"/>
        <v>96915.429999999978</v>
      </c>
      <c r="AB349" s="16">
        <f t="shared" si="12"/>
        <v>-10938.382000000001</v>
      </c>
      <c r="AC349" s="16">
        <f t="shared" si="12"/>
        <v>11740.448</v>
      </c>
      <c r="AD349" s="16">
        <f t="shared" si="12"/>
        <v>111.551</v>
      </c>
      <c r="AE349" s="16">
        <f t="shared" si="12"/>
        <v>1426216.5469999996</v>
      </c>
      <c r="AF349" s="16">
        <f t="shared" si="12"/>
        <v>167380.82200000001</v>
      </c>
      <c r="AG349" s="16">
        <f t="shared" si="12"/>
        <v>158.02699999999996</v>
      </c>
      <c r="AH349" s="16">
        <f t="shared" si="12"/>
        <v>4699028.2350000003</v>
      </c>
      <c r="AI349" s="16">
        <f t="shared" si="12"/>
        <v>315362.13299999991</v>
      </c>
      <c r="AJ349" s="16">
        <f t="shared" si="12"/>
        <v>3634.7849999999999</v>
      </c>
      <c r="AK349" s="16">
        <f t="shared" si="12"/>
        <v>106465.10400000001</v>
      </c>
      <c r="AL349" s="16">
        <f t="shared" si="12"/>
        <v>54208.401999999987</v>
      </c>
      <c r="AM349" s="16">
        <f>SUMIF($D$6:$D$338,$D$349,AM6:AM338)+SUMIF($D$6:$D$338,$B$349,AM6:AM338)</f>
        <v>2274.0339999999997</v>
      </c>
      <c r="AN349" s="16">
        <f>SUMIF($D$6:$D$338,$D$349,AN6:AN338)+SUMIF($D$6:$D$338,$B$349,AN6:AN338)</f>
        <v>35435.052000000011</v>
      </c>
      <c r="AO349" s="16">
        <f>SUMIF($D$6:$D$338,$D$349,AO6:AO338)+SUMIF($D$6:$D$338,$B$349,AO6:AO338)</f>
        <v>7796.2829999999994</v>
      </c>
      <c r="AP349" s="16">
        <f t="shared" si="12"/>
        <v>-23.414000000000001</v>
      </c>
      <c r="AQ349" s="16">
        <f t="shared" si="12"/>
        <v>45749.879000000001</v>
      </c>
      <c r="AR349" s="16">
        <f t="shared" si="12"/>
        <v>-0.56700000000000017</v>
      </c>
      <c r="AS349" s="16">
        <f t="shared" si="12"/>
        <v>134.03500000000005</v>
      </c>
      <c r="AT349" s="16">
        <f t="shared" si="12"/>
        <v>0</v>
      </c>
      <c r="AU349" s="16">
        <f t="shared" si="12"/>
        <v>1412.3339999999998</v>
      </c>
      <c r="AV349" s="16">
        <f t="shared" si="12"/>
        <v>-8.0539999999999985</v>
      </c>
      <c r="AW349" s="16">
        <f t="shared" si="12"/>
        <v>-47.288999999999994</v>
      </c>
      <c r="AX349" s="16">
        <f>SUMIF($D$6:$D$338,$D$349,AX6:AX338)+SUMIF($D$6:$D$338,$B$349,AX6:AX338)</f>
        <v>3166.9380000000006</v>
      </c>
      <c r="AY349" s="16">
        <f t="shared" ref="AY349:BH349" si="13">SUMIF($D$6:$D$338,$D$349,AY6:AY338)+SUMIF($D$6:$D$338,$B$349,AY6:AY338)</f>
        <v>6624.2729999999992</v>
      </c>
      <c r="AZ349" s="16">
        <f t="shared" si="13"/>
        <v>78469.641000000003</v>
      </c>
      <c r="BA349" s="16">
        <f t="shared" si="13"/>
        <v>2413.0339999999997</v>
      </c>
      <c r="BB349" s="16">
        <f t="shared" si="13"/>
        <v>3675.8740000000003</v>
      </c>
      <c r="BC349" s="16">
        <f t="shared" si="13"/>
        <v>2207.7430000000004</v>
      </c>
      <c r="BD349" s="16">
        <f t="shared" si="13"/>
        <v>105305.91900000001</v>
      </c>
      <c r="BE349" s="16">
        <f t="shared" si="13"/>
        <v>1067.1140000000003</v>
      </c>
      <c r="BF349" s="16">
        <f t="shared" si="13"/>
        <v>34902.215000000004</v>
      </c>
      <c r="BG349" s="16">
        <f t="shared" si="13"/>
        <v>3209.5350000000003</v>
      </c>
      <c r="BH349" s="16">
        <f t="shared" si="13"/>
        <v>784.75900000000001</v>
      </c>
      <c r="BI349" s="21"/>
    </row>
    <row r="350" spans="1:61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21"/>
    </row>
    <row r="351" spans="1:61" x14ac:dyDescent="0.25">
      <c r="E351">
        <f t="shared" ref="E351:M351" si="14">SUM(E344:E350)</f>
        <v>10711209.368000001</v>
      </c>
      <c r="F351">
        <f t="shared" si="14"/>
        <v>1089912.709</v>
      </c>
      <c r="G351">
        <f t="shared" si="14"/>
        <v>1081143.932</v>
      </c>
      <c r="H351">
        <f t="shared" si="14"/>
        <v>1139281.0059999998</v>
      </c>
      <c r="I351">
        <f t="shared" si="14"/>
        <v>132986.924</v>
      </c>
      <c r="J351">
        <f t="shared" si="14"/>
        <v>741049.43200000003</v>
      </c>
      <c r="K351">
        <f t="shared" si="14"/>
        <v>237688.99699999997</v>
      </c>
      <c r="L351" s="17">
        <f t="shared" si="14"/>
        <v>11480198.528000001</v>
      </c>
      <c r="M351">
        <f t="shared" si="14"/>
        <v>2790313.6540000001</v>
      </c>
      <c r="N351">
        <f>SUM(N344:N350)</f>
        <v>15574.901999999998</v>
      </c>
      <c r="O351">
        <f t="shared" ref="O351:AL351" si="15">SUM(O344:O350)</f>
        <v>16517.548999999999</v>
      </c>
      <c r="P351">
        <f t="shared" si="15"/>
        <v>16886.432000000001</v>
      </c>
      <c r="Q351">
        <f t="shared" si="15"/>
        <v>14908.093999999999</v>
      </c>
      <c r="R351">
        <f t="shared" si="15"/>
        <v>18183.046000000002</v>
      </c>
      <c r="S351">
        <f t="shared" si="15"/>
        <v>352831.60999999993</v>
      </c>
      <c r="T351">
        <f t="shared" si="15"/>
        <v>1024.271</v>
      </c>
      <c r="U351">
        <f t="shared" si="15"/>
        <v>185186.274</v>
      </c>
      <c r="V351">
        <f t="shared" si="15"/>
        <v>143798.75200000001</v>
      </c>
      <c r="W351">
        <f t="shared" si="15"/>
        <v>277005.79600000003</v>
      </c>
      <c r="X351">
        <f t="shared" si="15"/>
        <v>222881.41900000002</v>
      </c>
      <c r="Y351">
        <f t="shared" si="15"/>
        <v>3191504.4380000001</v>
      </c>
      <c r="Z351">
        <f t="shared" si="15"/>
        <v>77595.219000000012</v>
      </c>
      <c r="AA351">
        <f t="shared" si="15"/>
        <v>1577645.5469999998</v>
      </c>
      <c r="AB351">
        <f t="shared" si="15"/>
        <v>560608.10100000002</v>
      </c>
      <c r="AC351">
        <f t="shared" si="15"/>
        <v>205758.32300000003</v>
      </c>
      <c r="AD351">
        <f t="shared" si="15"/>
        <v>71643.097000000009</v>
      </c>
      <c r="AE351">
        <f t="shared" si="15"/>
        <v>9536259.7589999996</v>
      </c>
      <c r="AF351">
        <f t="shared" si="15"/>
        <v>4385325.6999999993</v>
      </c>
      <c r="AG351">
        <f t="shared" si="15"/>
        <v>381589.05</v>
      </c>
      <c r="AH351">
        <f t="shared" si="15"/>
        <v>24321586.57</v>
      </c>
      <c r="AI351">
        <f t="shared" si="15"/>
        <v>6724949.8489999995</v>
      </c>
      <c r="AJ351">
        <f t="shared" si="15"/>
        <v>392669.79899999994</v>
      </c>
      <c r="AK351">
        <f t="shared" si="15"/>
        <v>9957394.3709999993</v>
      </c>
      <c r="AL351">
        <f t="shared" si="15"/>
        <v>5086817.9079999998</v>
      </c>
      <c r="AM351">
        <f>SUM(AM344:AM350)</f>
        <v>48888.910999999993</v>
      </c>
      <c r="AN351">
        <f>SUM(AN344:AN350)</f>
        <v>3354364.1329999999</v>
      </c>
      <c r="AO351">
        <f>SUM(AO344:AO350)</f>
        <v>270021.32599999994</v>
      </c>
      <c r="AP351">
        <f>SUM(AP344:AP350)</f>
        <v>139609.66100000002</v>
      </c>
      <c r="AQ351">
        <f t="shared" ref="AQ351:AW351" si="16">SUM(AQ344:AQ350)</f>
        <v>1781741.139</v>
      </c>
      <c r="AR351">
        <f t="shared" si="16"/>
        <v>34925.395999999993</v>
      </c>
      <c r="AS351">
        <f t="shared" si="16"/>
        <v>4003.8889999999992</v>
      </c>
      <c r="AT351">
        <f t="shared" si="16"/>
        <v>0</v>
      </c>
      <c r="AU351">
        <f t="shared" si="16"/>
        <v>77931.247000000003</v>
      </c>
      <c r="AV351">
        <f t="shared" si="16"/>
        <v>86959.176000000007</v>
      </c>
      <c r="AW351">
        <f t="shared" si="16"/>
        <v>204585.49300000002</v>
      </c>
      <c r="AX351">
        <f>SUM(AX344:AX350)</f>
        <v>324466.74200000003</v>
      </c>
      <c r="AY351">
        <f t="shared" ref="AY351:BH351" si="17">SUM(AY344:AY350)</f>
        <v>147544.50700000001</v>
      </c>
      <c r="AZ351">
        <f t="shared" si="17"/>
        <v>1165124.1939999999</v>
      </c>
      <c r="BA351">
        <f t="shared" si="17"/>
        <v>238523.21099999995</v>
      </c>
      <c r="BB351">
        <f t="shared" si="17"/>
        <v>128051.73299999998</v>
      </c>
      <c r="BC351">
        <f t="shared" si="17"/>
        <v>54440.255000000005</v>
      </c>
      <c r="BD351">
        <f t="shared" si="17"/>
        <v>1505072.4939999999</v>
      </c>
      <c r="BE351">
        <f t="shared" si="17"/>
        <v>36589.675000000003</v>
      </c>
      <c r="BF351">
        <f t="shared" si="17"/>
        <v>516224.38099999994</v>
      </c>
      <c r="BG351">
        <f t="shared" si="17"/>
        <v>209479.38999999998</v>
      </c>
      <c r="BH351">
        <f t="shared" si="17"/>
        <v>18519.294999999998</v>
      </c>
      <c r="BI351" s="21"/>
    </row>
    <row r="352" spans="1:61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21"/>
    </row>
    <row r="353" spans="1:61" x14ac:dyDescent="0.25">
      <c r="A353" s="8"/>
      <c r="B353" s="8"/>
      <c r="C353" s="8"/>
      <c r="D353" s="8"/>
      <c r="E353" s="8">
        <f t="shared" ref="E353:AJ353" si="18">E351-E339</f>
        <v>10711209.368000001</v>
      </c>
      <c r="F353" s="8">
        <f t="shared" si="18"/>
        <v>1089912.709</v>
      </c>
      <c r="G353" s="8">
        <f t="shared" si="18"/>
        <v>1081143.932</v>
      </c>
      <c r="H353" s="8">
        <f t="shared" si="18"/>
        <v>1139281.0059999998</v>
      </c>
      <c r="I353" s="8">
        <f t="shared" si="18"/>
        <v>132986.924</v>
      </c>
      <c r="J353" s="8">
        <f t="shared" si="18"/>
        <v>741049.43200000003</v>
      </c>
      <c r="K353" s="8">
        <f t="shared" si="18"/>
        <v>237688.99699999997</v>
      </c>
      <c r="L353" s="18">
        <f t="shared" si="18"/>
        <v>11480198.528000001</v>
      </c>
      <c r="M353" s="8">
        <f t="shared" si="18"/>
        <v>2790313.6540000001</v>
      </c>
      <c r="N353" s="8">
        <f>N351-N339</f>
        <v>15574.901999999998</v>
      </c>
      <c r="O353" s="8">
        <f t="shared" si="18"/>
        <v>16517.548999999999</v>
      </c>
      <c r="P353" s="8">
        <f t="shared" si="18"/>
        <v>16886.432000000001</v>
      </c>
      <c r="Q353" s="8">
        <f t="shared" si="18"/>
        <v>14908.093999999999</v>
      </c>
      <c r="R353" s="8">
        <f t="shared" si="18"/>
        <v>18183.046000000002</v>
      </c>
      <c r="S353" s="8">
        <f t="shared" si="18"/>
        <v>352831.60999999993</v>
      </c>
      <c r="T353" s="8">
        <f t="shared" si="18"/>
        <v>1024.271</v>
      </c>
      <c r="U353" s="8">
        <f t="shared" si="18"/>
        <v>185186.274</v>
      </c>
      <c r="V353" s="8">
        <f t="shared" si="18"/>
        <v>143798.75200000001</v>
      </c>
      <c r="W353" s="8">
        <f t="shared" si="18"/>
        <v>277005.79600000003</v>
      </c>
      <c r="X353" s="8">
        <f t="shared" si="18"/>
        <v>222881.41900000002</v>
      </c>
      <c r="Y353" s="8">
        <f t="shared" si="18"/>
        <v>3191504.4380000001</v>
      </c>
      <c r="Z353" s="8">
        <f t="shared" si="18"/>
        <v>77595.219000000012</v>
      </c>
      <c r="AA353" s="8">
        <f t="shared" si="18"/>
        <v>1577645.5469999998</v>
      </c>
      <c r="AB353" s="8">
        <f t="shared" si="18"/>
        <v>560608.10100000002</v>
      </c>
      <c r="AC353" s="8">
        <f t="shared" si="18"/>
        <v>205758.32300000003</v>
      </c>
      <c r="AD353" s="8">
        <f t="shared" si="18"/>
        <v>71643.097000000009</v>
      </c>
      <c r="AE353" s="8">
        <f t="shared" si="18"/>
        <v>9536259.7589999996</v>
      </c>
      <c r="AF353" s="8">
        <f t="shared" si="18"/>
        <v>4385325.6999999993</v>
      </c>
      <c r="AG353" s="8">
        <f t="shared" si="18"/>
        <v>381589.05</v>
      </c>
      <c r="AH353" s="8">
        <f t="shared" si="18"/>
        <v>24321586.57</v>
      </c>
      <c r="AI353" s="8">
        <f t="shared" si="18"/>
        <v>6724949.8489999995</v>
      </c>
      <c r="AJ353" s="8">
        <f t="shared" si="18"/>
        <v>392669.79899999994</v>
      </c>
      <c r="AK353" s="8">
        <f>AK351-AK339</f>
        <v>9957394.3709999993</v>
      </c>
      <c r="AL353" s="8">
        <f>AL351-AL339</f>
        <v>5086817.9079999998</v>
      </c>
      <c r="AM353" s="8">
        <f>AM351-AM339</f>
        <v>48888.910999999993</v>
      </c>
      <c r="AN353" s="8">
        <f>AN351-AN339</f>
        <v>3354364.1329999999</v>
      </c>
      <c r="AO353" s="8">
        <f>AO351-AO339</f>
        <v>270021.32599999994</v>
      </c>
      <c r="AP353" s="8">
        <f t="shared" ref="AP353:AW353" si="19">AP351-AP339</f>
        <v>139609.66100000002</v>
      </c>
      <c r="AQ353" s="8">
        <f t="shared" si="19"/>
        <v>1781741.139</v>
      </c>
      <c r="AR353" s="8">
        <f t="shared" si="19"/>
        <v>34925.395999999993</v>
      </c>
      <c r="AS353" s="8">
        <f t="shared" si="19"/>
        <v>4003.8889999999992</v>
      </c>
      <c r="AT353" s="8">
        <f t="shared" si="19"/>
        <v>0</v>
      </c>
      <c r="AU353" s="8">
        <f t="shared" si="19"/>
        <v>77931.247000000003</v>
      </c>
      <c r="AV353" s="8">
        <f t="shared" si="19"/>
        <v>86959.176000000007</v>
      </c>
      <c r="AW353" s="8">
        <f t="shared" si="19"/>
        <v>204585.49300000002</v>
      </c>
      <c r="AX353" s="8">
        <f>AX351-AX339</f>
        <v>324466.74200000003</v>
      </c>
      <c r="AY353" s="8">
        <f t="shared" ref="AY353:BH353" si="20">AY351-AY339</f>
        <v>147544.50700000001</v>
      </c>
      <c r="AZ353" s="8">
        <f t="shared" si="20"/>
        <v>1165124.1939999999</v>
      </c>
      <c r="BA353" s="8">
        <f t="shared" si="20"/>
        <v>238523.21099999995</v>
      </c>
      <c r="BB353" s="8">
        <f t="shared" si="20"/>
        <v>128051.73299999998</v>
      </c>
      <c r="BC353" s="8">
        <f t="shared" si="20"/>
        <v>54440.255000000005</v>
      </c>
      <c r="BD353" s="8">
        <f t="shared" si="20"/>
        <v>1505072.4939999999</v>
      </c>
      <c r="BE353" s="8">
        <f t="shared" si="20"/>
        <v>36589.675000000003</v>
      </c>
      <c r="BF353" s="8">
        <f t="shared" si="20"/>
        <v>516224.38099999994</v>
      </c>
      <c r="BG353" s="8">
        <f t="shared" si="20"/>
        <v>209479.38999999998</v>
      </c>
      <c r="BH353" s="8">
        <f t="shared" si="20"/>
        <v>18519.294999999998</v>
      </c>
      <c r="BI353" s="21"/>
    </row>
    <row r="354" spans="1:61" x14ac:dyDescent="0.25">
      <c r="E354" s="19">
        <f t="shared" ref="E354:M354" si="21">E4</f>
        <v>401</v>
      </c>
      <c r="F354" s="19">
        <f t="shared" si="21"/>
        <v>242</v>
      </c>
      <c r="G354" s="19">
        <f t="shared" si="21"/>
        <v>385</v>
      </c>
      <c r="H354" s="19">
        <f t="shared" si="21"/>
        <v>528</v>
      </c>
      <c r="I354" s="19">
        <f t="shared" si="21"/>
        <v>384</v>
      </c>
      <c r="J354" s="19">
        <f t="shared" si="21"/>
        <v>716</v>
      </c>
      <c r="K354" s="19">
        <f t="shared" si="21"/>
        <v>715</v>
      </c>
      <c r="L354" s="19">
        <f t="shared" si="21"/>
        <v>9916</v>
      </c>
      <c r="M354" s="19">
        <f t="shared" si="21"/>
        <v>1100</v>
      </c>
      <c r="N354" s="19">
        <f>N4</f>
        <v>801</v>
      </c>
      <c r="O354" s="19">
        <f t="shared" ref="O354:T354" si="22">O4</f>
        <v>804</v>
      </c>
      <c r="P354" s="19">
        <f t="shared" si="22"/>
        <v>806</v>
      </c>
      <c r="Q354" s="19">
        <f t="shared" si="22"/>
        <v>8765</v>
      </c>
      <c r="R354" s="19">
        <f t="shared" si="22"/>
        <v>8766</v>
      </c>
      <c r="S354" s="19">
        <f t="shared" si="22"/>
        <v>9418</v>
      </c>
      <c r="T354" s="19">
        <f t="shared" si="22"/>
        <v>9475</v>
      </c>
      <c r="U354" s="19">
        <f>U4</f>
        <v>9906</v>
      </c>
      <c r="V354" s="19">
        <f>V4</f>
        <v>7905</v>
      </c>
      <c r="W354" s="19">
        <f t="shared" ref="W354:AJ354" si="23">W4</f>
        <v>7906</v>
      </c>
      <c r="X354" s="19">
        <f t="shared" si="23"/>
        <v>7907</v>
      </c>
      <c r="Y354" s="19">
        <f t="shared" si="23"/>
        <v>7908</v>
      </c>
      <c r="Z354" s="19">
        <f t="shared" si="23"/>
        <v>7909</v>
      </c>
      <c r="AA354" s="19">
        <f t="shared" si="23"/>
        <v>11310</v>
      </c>
      <c r="AB354" s="19">
        <f t="shared" si="23"/>
        <v>11311</v>
      </c>
      <c r="AC354" s="19">
        <f t="shared" si="23"/>
        <v>11312</v>
      </c>
      <c r="AD354" s="19">
        <f t="shared" si="23"/>
        <v>11335</v>
      </c>
      <c r="AE354" s="19">
        <f t="shared" si="23"/>
        <v>9529</v>
      </c>
      <c r="AF354" s="19">
        <f t="shared" si="23"/>
        <v>961</v>
      </c>
      <c r="AG354" s="19">
        <f t="shared" si="23"/>
        <v>9528</v>
      </c>
      <c r="AH354" s="19">
        <f t="shared" si="23"/>
        <v>964</v>
      </c>
      <c r="AI354" s="19">
        <f t="shared" si="23"/>
        <v>968</v>
      </c>
      <c r="AJ354" s="19">
        <f t="shared" si="23"/>
        <v>8629</v>
      </c>
      <c r="AK354" s="19">
        <f>AK4</f>
        <v>13264</v>
      </c>
      <c r="AL354" s="19">
        <f>AL4</f>
        <v>13263</v>
      </c>
      <c r="AM354" s="19">
        <f>AM4</f>
        <v>13209</v>
      </c>
      <c r="AN354" s="19">
        <f>AN4</f>
        <v>13250</v>
      </c>
      <c r="AO354" s="19">
        <f>AO4</f>
        <v>14281</v>
      </c>
      <c r="AP354" s="19">
        <f t="shared" ref="AP354:AW354" si="24">AP4</f>
        <v>2049</v>
      </c>
      <c r="AQ354" s="19">
        <f t="shared" si="24"/>
        <v>7975</v>
      </c>
      <c r="AR354" s="19">
        <f t="shared" si="24"/>
        <v>8004</v>
      </c>
      <c r="AS354" s="19">
        <f t="shared" si="24"/>
        <v>1008</v>
      </c>
      <c r="AT354" s="19">
        <f t="shared" si="24"/>
        <v>9484</v>
      </c>
      <c r="AU354" s="19">
        <f t="shared" si="24"/>
        <v>682</v>
      </c>
      <c r="AV354" s="19">
        <f t="shared" si="24"/>
        <v>11352</v>
      </c>
      <c r="AW354" s="19">
        <f t="shared" si="24"/>
        <v>2058</v>
      </c>
      <c r="AX354" s="19">
        <f>AX4</f>
        <v>15007</v>
      </c>
      <c r="AY354" s="19">
        <f t="shared" ref="AY354:BH354" si="25">AY4</f>
        <v>15208</v>
      </c>
      <c r="AZ354" s="19">
        <f t="shared" si="25"/>
        <v>15209</v>
      </c>
      <c r="BA354" s="19">
        <f t="shared" si="25"/>
        <v>15210</v>
      </c>
      <c r="BB354" s="19">
        <f t="shared" si="25"/>
        <v>15211</v>
      </c>
      <c r="BC354" s="19">
        <f t="shared" si="25"/>
        <v>15212</v>
      </c>
      <c r="BD354" s="19">
        <f t="shared" si="25"/>
        <v>15232</v>
      </c>
      <c r="BE354" s="19">
        <f t="shared" si="25"/>
        <v>15214</v>
      </c>
      <c r="BF354" s="19">
        <f t="shared" si="25"/>
        <v>15233</v>
      </c>
      <c r="BG354" s="19">
        <f t="shared" si="25"/>
        <v>15234</v>
      </c>
      <c r="BH354" s="19">
        <f t="shared" si="25"/>
        <v>15215</v>
      </c>
      <c r="BI354" s="21"/>
    </row>
    <row r="355" spans="1:61" x14ac:dyDescent="0.25">
      <c r="A355" t="s">
        <v>608</v>
      </c>
      <c r="E355" s="20">
        <f t="shared" ref="E355:AL355" si="26">E344/E351</f>
        <v>0.12301056768961481</v>
      </c>
      <c r="F355" s="20">
        <f t="shared" si="26"/>
        <v>0.14751954874213694</v>
      </c>
      <c r="G355" s="20">
        <f t="shared" si="26"/>
        <v>4.8090778166620649E-2</v>
      </c>
      <c r="H355" s="20">
        <f t="shared" si="26"/>
        <v>3.3202721541729981E-3</v>
      </c>
      <c r="I355" s="20">
        <f t="shared" si="26"/>
        <v>9.1383435562431684E-2</v>
      </c>
      <c r="J355" s="20">
        <f t="shared" si="26"/>
        <v>4.0220059166039546E-2</v>
      </c>
      <c r="K355" s="20">
        <f t="shared" si="26"/>
        <v>4.1600507910763751E-2</v>
      </c>
      <c r="L355" s="20">
        <f t="shared" si="26"/>
        <v>0.18957917484543343</v>
      </c>
      <c r="M355" s="20">
        <f t="shared" si="26"/>
        <v>6.5695831985489048E-2</v>
      </c>
      <c r="N355" s="20">
        <f>N344/N351</f>
        <v>2.238986800687414E-3</v>
      </c>
      <c r="O355" s="20">
        <f t="shared" si="26"/>
        <v>0.78522297708939759</v>
      </c>
      <c r="P355" s="20">
        <f t="shared" si="26"/>
        <v>5.171862238275083E-2</v>
      </c>
      <c r="Q355" s="20">
        <f t="shared" si="26"/>
        <v>0.47073079898744941</v>
      </c>
      <c r="R355" s="20">
        <f t="shared" si="26"/>
        <v>0.16799512028952682</v>
      </c>
      <c r="S355" s="20">
        <f t="shared" si="26"/>
        <v>0.1373725727125186</v>
      </c>
      <c r="T355" s="20">
        <f t="shared" si="26"/>
        <v>8.7613531965661431E-3</v>
      </c>
      <c r="U355" s="20">
        <f t="shared" si="26"/>
        <v>4.5955393000671307E-2</v>
      </c>
      <c r="V355" s="20">
        <f t="shared" si="26"/>
        <v>7.6779338112753573E-2</v>
      </c>
      <c r="W355" s="20">
        <f t="shared" si="26"/>
        <v>0.11500387522577324</v>
      </c>
      <c r="X355" s="20">
        <f t="shared" si="26"/>
        <v>0.44623872391982572</v>
      </c>
      <c r="Y355" s="20">
        <f t="shared" si="26"/>
        <v>0.17583390463704565</v>
      </c>
      <c r="Z355" s="20">
        <f t="shared" si="26"/>
        <v>0.50679154601007048</v>
      </c>
      <c r="AA355" s="20">
        <f t="shared" si="26"/>
        <v>9.8024278833780398E-2</v>
      </c>
      <c r="AB355" s="20">
        <f t="shared" si="26"/>
        <v>0.82505724796866609</v>
      </c>
      <c r="AC355" s="20">
        <f t="shared" si="26"/>
        <v>0.17647291963980477</v>
      </c>
      <c r="AD355" s="20">
        <f t="shared" si="26"/>
        <v>0.30371085158420774</v>
      </c>
      <c r="AE355" s="20">
        <f t="shared" si="26"/>
        <v>0.1714713909147407</v>
      </c>
      <c r="AF355" s="20">
        <f t="shared" si="26"/>
        <v>0.29992694772933287</v>
      </c>
      <c r="AG355" s="20">
        <f t="shared" si="26"/>
        <v>0.35647135838934579</v>
      </c>
      <c r="AH355" s="20">
        <f t="shared" si="26"/>
        <v>0.15956740099295258</v>
      </c>
      <c r="AI355" s="20">
        <f t="shared" si="26"/>
        <v>0.27905437767376873</v>
      </c>
      <c r="AJ355" s="20">
        <f t="shared" si="26"/>
        <v>0.49410161538804781</v>
      </c>
      <c r="AK355" s="20">
        <f t="shared" si="26"/>
        <v>0.65560716175032774</v>
      </c>
      <c r="AL355" s="20">
        <f t="shared" si="26"/>
        <v>0.65547767883654307</v>
      </c>
      <c r="AM355" s="20">
        <f>AM344/AM351</f>
        <v>5.184204246234899E-2</v>
      </c>
      <c r="AN355" s="20">
        <f>AN344/AN351</f>
        <v>0.65543807643616969</v>
      </c>
      <c r="AO355" s="20">
        <f>AO344/AO351</f>
        <v>0.18672111846454678</v>
      </c>
      <c r="AP355" s="20">
        <f>AP344/AP351</f>
        <v>0.10579319435493793</v>
      </c>
      <c r="AQ355" s="20">
        <f t="shared" ref="AQ355:AW355" si="27">AQ344/AQ351</f>
        <v>0.29902699238287045</v>
      </c>
      <c r="AR355" s="20">
        <f t="shared" si="27"/>
        <v>0.11349056715062014</v>
      </c>
      <c r="AS355" s="20">
        <f t="shared" si="27"/>
        <v>0.13069168500924977</v>
      </c>
      <c r="AT355" s="20" t="e">
        <f t="shared" si="27"/>
        <v>#DIV/0!</v>
      </c>
      <c r="AU355" s="20">
        <f t="shared" si="27"/>
        <v>0.12070453588404662</v>
      </c>
      <c r="AV355" s="20">
        <f t="shared" si="27"/>
        <v>0.10091435319028322</v>
      </c>
      <c r="AW355" s="20">
        <f t="shared" si="27"/>
        <v>0.11145242346191182</v>
      </c>
      <c r="AX355" s="20">
        <f>AX344/AX351</f>
        <v>0.45014445579140433</v>
      </c>
      <c r="AY355" s="20">
        <f t="shared" ref="AY355:BH355" si="28">AY344/AY351</f>
        <v>4.6201638668933974E-2</v>
      </c>
      <c r="AZ355" s="20">
        <f t="shared" si="28"/>
        <v>7.8117080109315808E-3</v>
      </c>
      <c r="BA355" s="20">
        <f t="shared" si="28"/>
        <v>0.4460548453710026</v>
      </c>
      <c r="BB355" s="20">
        <f t="shared" si="28"/>
        <v>0.19125588093368487</v>
      </c>
      <c r="BC355" s="20">
        <f t="shared" si="28"/>
        <v>5.7406619421602627E-2</v>
      </c>
      <c r="BD355" s="20">
        <f t="shared" si="28"/>
        <v>8.7886171946744782E-3</v>
      </c>
      <c r="BE355" s="20">
        <f t="shared" si="28"/>
        <v>0.18231066550878081</v>
      </c>
      <c r="BF355" s="20">
        <f t="shared" si="28"/>
        <v>8.1969723936770045E-3</v>
      </c>
      <c r="BG355" s="20">
        <f t="shared" si="28"/>
        <v>0.53009819724985829</v>
      </c>
      <c r="BH355" s="20">
        <f t="shared" si="28"/>
        <v>3.4583497913932469E-2</v>
      </c>
      <c r="BI355" s="21"/>
    </row>
    <row r="356" spans="1:61" x14ac:dyDescent="0.25">
      <c r="A356" t="s">
        <v>609</v>
      </c>
      <c r="E356" s="20">
        <f t="shared" ref="E356:AL356" si="29">E345/E351</f>
        <v>0.23599211612385687</v>
      </c>
      <c r="F356" s="20">
        <f t="shared" si="29"/>
        <v>0.18491088629006894</v>
      </c>
      <c r="G356" s="20">
        <f t="shared" si="29"/>
        <v>0.36191762948358286</v>
      </c>
      <c r="H356" s="20">
        <f t="shared" si="29"/>
        <v>0</v>
      </c>
      <c r="I356" s="20">
        <f t="shared" si="29"/>
        <v>0.37604354996585987</v>
      </c>
      <c r="J356" s="20">
        <f t="shared" si="29"/>
        <v>0.33340435378675248</v>
      </c>
      <c r="K356" s="20">
        <f t="shared" si="29"/>
        <v>0.75325039130860572</v>
      </c>
      <c r="L356" s="20">
        <f t="shared" si="29"/>
        <v>0.11578735234917358</v>
      </c>
      <c r="M356" s="20">
        <f t="shared" si="29"/>
        <v>0.21055197653417637</v>
      </c>
      <c r="N356" s="20">
        <f>N345/N351</f>
        <v>0.80544179347003286</v>
      </c>
      <c r="O356" s="20">
        <f t="shared" si="29"/>
        <v>9.1887119572038201E-3</v>
      </c>
      <c r="P356" s="20">
        <f t="shared" si="29"/>
        <v>0.78098102666093105</v>
      </c>
      <c r="Q356" s="20">
        <f t="shared" si="29"/>
        <v>0.16554939887017078</v>
      </c>
      <c r="R356" s="20">
        <f t="shared" si="29"/>
        <v>0.19992255422991284</v>
      </c>
      <c r="S356" s="20">
        <f t="shared" si="29"/>
        <v>0.17810023880796852</v>
      </c>
      <c r="T356" s="20">
        <f t="shared" si="29"/>
        <v>0.99123864680343388</v>
      </c>
      <c r="U356" s="20">
        <f t="shared" si="29"/>
        <v>0.76891584308240901</v>
      </c>
      <c r="V356" s="20">
        <f t="shared" si="29"/>
        <v>0.26038672435766336</v>
      </c>
      <c r="W356" s="20">
        <f t="shared" si="29"/>
        <v>0.21241249045922486</v>
      </c>
      <c r="X356" s="20">
        <f t="shared" si="29"/>
        <v>0.14540110227851699</v>
      </c>
      <c r="Y356" s="20">
        <f t="shared" si="29"/>
        <v>0.19996340390487655</v>
      </c>
      <c r="Z356" s="20">
        <f t="shared" si="29"/>
        <v>4.3225601309276537E-3</v>
      </c>
      <c r="AA356" s="20">
        <f t="shared" si="29"/>
        <v>0.32486256623015713</v>
      </c>
      <c r="AB356" s="20">
        <f t="shared" si="29"/>
        <v>6.8258556970085598E-3</v>
      </c>
      <c r="AC356" s="20">
        <f t="shared" si="29"/>
        <v>0.15049458776936087</v>
      </c>
      <c r="AD356" s="20">
        <f t="shared" si="29"/>
        <v>0.17820129970093279</v>
      </c>
      <c r="AE356" s="20">
        <f t="shared" si="29"/>
        <v>0.19448015782599445</v>
      </c>
      <c r="AF356" s="20">
        <f t="shared" si="29"/>
        <v>6.027705901069106E-2</v>
      </c>
      <c r="AG356" s="20">
        <f t="shared" si="29"/>
        <v>0.15190611732700401</v>
      </c>
      <c r="AH356" s="20">
        <f t="shared" si="29"/>
        <v>0.15411002568489099</v>
      </c>
      <c r="AI356" s="20">
        <f t="shared" si="29"/>
        <v>5.6999349379088578E-2</v>
      </c>
      <c r="AJ356" s="20">
        <f t="shared" si="29"/>
        <v>4.4592657863152859E-3</v>
      </c>
      <c r="AK356" s="20">
        <f t="shared" si="29"/>
        <v>0.1256149701816405</v>
      </c>
      <c r="AL356" s="20">
        <f t="shared" si="29"/>
        <v>0.12567832200059165</v>
      </c>
      <c r="AM356" s="20">
        <f>AM345/AM351</f>
        <v>0.76519965846651816</v>
      </c>
      <c r="AN356" s="20">
        <f>AN345/AN351</f>
        <v>0.1257243376922311</v>
      </c>
      <c r="AO356" s="20">
        <f>AO345/AO351</f>
        <v>0.16867420316275319</v>
      </c>
      <c r="AP356" s="20">
        <f>AP345/AP351</f>
        <v>0</v>
      </c>
      <c r="AQ356" s="20">
        <f t="shared" ref="AQ356:AW356" si="30">AQ345/AQ351</f>
        <v>6.143365868592654E-2</v>
      </c>
      <c r="AR356" s="20">
        <f t="shared" si="30"/>
        <v>0</v>
      </c>
      <c r="AS356" s="20">
        <f t="shared" si="30"/>
        <v>0.35621492004398736</v>
      </c>
      <c r="AT356" s="20" t="e">
        <f t="shared" si="30"/>
        <v>#DIV/0!</v>
      </c>
      <c r="AU356" s="20">
        <f t="shared" si="30"/>
        <v>0.3970800184937372</v>
      </c>
      <c r="AV356" s="20">
        <f t="shared" si="30"/>
        <v>0</v>
      </c>
      <c r="AW356" s="20">
        <f t="shared" si="30"/>
        <v>0</v>
      </c>
      <c r="AX356" s="20">
        <f>AX345/AX351</f>
        <v>0.14440144685152351</v>
      </c>
      <c r="AY356" s="20">
        <f t="shared" ref="AY356:BH356" si="31">AY345/AY351</f>
        <v>0.22886757824200124</v>
      </c>
      <c r="AZ356" s="20">
        <f t="shared" si="31"/>
        <v>0</v>
      </c>
      <c r="BA356" s="20">
        <f t="shared" si="31"/>
        <v>0.14539965253109058</v>
      </c>
      <c r="BB356" s="20">
        <f t="shared" si="31"/>
        <v>0.1748200237165084</v>
      </c>
      <c r="BC356" s="20">
        <f t="shared" si="31"/>
        <v>0.2587464919111786</v>
      </c>
      <c r="BD356" s="20">
        <f t="shared" si="31"/>
        <v>0</v>
      </c>
      <c r="BE356" s="20">
        <f t="shared" si="31"/>
        <v>0.16964302087952407</v>
      </c>
      <c r="BF356" s="20">
        <f t="shared" si="31"/>
        <v>0</v>
      </c>
      <c r="BG356" s="20">
        <f t="shared" si="31"/>
        <v>7.2265691627228831E-2</v>
      </c>
      <c r="BH356" s="20">
        <f t="shared" si="31"/>
        <v>0.25653006769426157</v>
      </c>
      <c r="BI356" s="21"/>
    </row>
    <row r="357" spans="1:61" x14ac:dyDescent="0.25">
      <c r="A357" t="s">
        <v>610</v>
      </c>
      <c r="E357" s="20">
        <f t="shared" ref="E357:AL357" si="32">E346/E351</f>
        <v>0.20599379259561493</v>
      </c>
      <c r="F357" s="20">
        <f t="shared" si="32"/>
        <v>0.26032447337945486</v>
      </c>
      <c r="G357" s="20">
        <f t="shared" si="32"/>
        <v>0.45440818050116938</v>
      </c>
      <c r="H357" s="20">
        <f t="shared" si="32"/>
        <v>3.6020407418255518E-2</v>
      </c>
      <c r="I357" s="20">
        <f t="shared" si="32"/>
        <v>0.31148733088976471</v>
      </c>
      <c r="J357" s="20">
        <f t="shared" si="32"/>
        <v>0.45012848481611145</v>
      </c>
      <c r="K357" s="20">
        <f t="shared" si="32"/>
        <v>0.11826864244792956</v>
      </c>
      <c r="L357" s="20">
        <f t="shared" si="32"/>
        <v>9.0640286704282327E-2</v>
      </c>
      <c r="M357" s="20">
        <f t="shared" si="32"/>
        <v>0.34665827786541731</v>
      </c>
      <c r="N357" s="20">
        <f>N346/N351</f>
        <v>0.19234060028114466</v>
      </c>
      <c r="O357" s="20">
        <f t="shared" si="32"/>
        <v>0</v>
      </c>
      <c r="P357" s="20">
        <f t="shared" si="32"/>
        <v>2.0546081019365138E-3</v>
      </c>
      <c r="Q357" s="20">
        <f t="shared" si="32"/>
        <v>0.29105504701003365</v>
      </c>
      <c r="R357" s="20">
        <f t="shared" si="32"/>
        <v>0.60059964650587139</v>
      </c>
      <c r="S357" s="20">
        <f t="shared" si="32"/>
        <v>0.34765911138177219</v>
      </c>
      <c r="T357" s="20">
        <f t="shared" si="32"/>
        <v>0</v>
      </c>
      <c r="U357" s="20">
        <f t="shared" si="32"/>
        <v>0.12072828356598395</v>
      </c>
      <c r="V357" s="20">
        <f t="shared" si="32"/>
        <v>0.4776176917029154</v>
      </c>
      <c r="W357" s="20">
        <f t="shared" si="32"/>
        <v>0.37289124087497427</v>
      </c>
      <c r="X357" s="20">
        <f t="shared" si="32"/>
        <v>0</v>
      </c>
      <c r="Y357" s="20">
        <f t="shared" si="32"/>
        <v>0.13468526249939058</v>
      </c>
      <c r="Z357" s="20">
        <f t="shared" si="32"/>
        <v>5.7932512568847822E-2</v>
      </c>
      <c r="AA357" s="20">
        <f t="shared" si="32"/>
        <v>0.38073033207122547</v>
      </c>
      <c r="AB357" s="20">
        <f t="shared" si="32"/>
        <v>0</v>
      </c>
      <c r="AC357" s="20">
        <f t="shared" si="32"/>
        <v>0.24773896995651537</v>
      </c>
      <c r="AD357" s="20">
        <f t="shared" si="32"/>
        <v>0.19922917346803135</v>
      </c>
      <c r="AE357" s="20">
        <f t="shared" si="32"/>
        <v>0.1330214414307252</v>
      </c>
      <c r="AF357" s="20">
        <f t="shared" si="32"/>
        <v>7.583072792061947E-3</v>
      </c>
      <c r="AG357" s="20">
        <f t="shared" si="32"/>
        <v>0.15266067252191856</v>
      </c>
      <c r="AH357" s="20">
        <f t="shared" si="32"/>
        <v>0.11605676339724083</v>
      </c>
      <c r="AI357" s="20">
        <f t="shared" si="32"/>
        <v>7.6051802836277181E-3</v>
      </c>
      <c r="AJ357" s="20">
        <f t="shared" si="32"/>
        <v>5.3657126302193672E-2</v>
      </c>
      <c r="AK357" s="20">
        <f t="shared" si="32"/>
        <v>0</v>
      </c>
      <c r="AL357" s="20">
        <f t="shared" si="32"/>
        <v>0</v>
      </c>
      <c r="AM357" s="20">
        <f>AM346/AM351</f>
        <v>0.12014475020726072</v>
      </c>
      <c r="AN357" s="20">
        <f>AN346/AN351</f>
        <v>0</v>
      </c>
      <c r="AO357" s="20">
        <f>AO346/AO351</f>
        <v>0.2866127914652194</v>
      </c>
      <c r="AP357" s="20">
        <f>AP346/AP351</f>
        <v>0</v>
      </c>
      <c r="AQ357" s="20">
        <f t="shared" ref="AQ357:AW357" si="33">AQ346/AQ351</f>
        <v>7.486020672725793E-3</v>
      </c>
      <c r="AR357" s="20">
        <f t="shared" si="33"/>
        <v>0</v>
      </c>
      <c r="AS357" s="20">
        <f t="shared" si="33"/>
        <v>0.23174668428620276</v>
      </c>
      <c r="AT357" s="20" t="e">
        <f t="shared" si="33"/>
        <v>#DIV/0!</v>
      </c>
      <c r="AU357" s="20">
        <f t="shared" si="33"/>
        <v>0.3262035958439109</v>
      </c>
      <c r="AV357" s="20">
        <f t="shared" si="33"/>
        <v>0</v>
      </c>
      <c r="AW357" s="20">
        <f t="shared" si="33"/>
        <v>0</v>
      </c>
      <c r="AX357" s="20">
        <f>AX346/AX351</f>
        <v>0</v>
      </c>
      <c r="AY357" s="20">
        <f t="shared" ref="AY357:BH357" si="34">AY346/AY351</f>
        <v>0.48114990821040871</v>
      </c>
      <c r="AZ357" s="20">
        <f t="shared" si="34"/>
        <v>1.9033656767408952E-2</v>
      </c>
      <c r="BA357" s="20">
        <f t="shared" si="34"/>
        <v>0</v>
      </c>
      <c r="BB357" s="20">
        <f t="shared" si="34"/>
        <v>0.2844797266429811</v>
      </c>
      <c r="BC357" s="20">
        <f t="shared" si="34"/>
        <v>0.63984059222353029</v>
      </c>
      <c r="BD357" s="20">
        <f t="shared" si="34"/>
        <v>1.9421633918983841E-2</v>
      </c>
      <c r="BE357" s="20">
        <f t="shared" si="34"/>
        <v>0.29392491187746267</v>
      </c>
      <c r="BF357" s="20">
        <f t="shared" si="34"/>
        <v>1.9483793036888741E-2</v>
      </c>
      <c r="BG357" s="20">
        <f t="shared" si="34"/>
        <v>6.1855746286066625E-2</v>
      </c>
      <c r="BH357" s="20">
        <f t="shared" si="34"/>
        <v>0.66294235282714609</v>
      </c>
      <c r="BI357" s="21"/>
    </row>
    <row r="358" spans="1:61" x14ac:dyDescent="0.25">
      <c r="A358" t="s">
        <v>611</v>
      </c>
      <c r="E358" s="20">
        <f t="shared" ref="E358:AL358" si="35">E347/E351</f>
        <v>0.18189340400912976</v>
      </c>
      <c r="F358" s="20">
        <f t="shared" si="35"/>
        <v>0.30704435340243386</v>
      </c>
      <c r="G358" s="20">
        <f t="shared" si="35"/>
        <v>1.8929357502049968E-3</v>
      </c>
      <c r="H358" s="20">
        <f t="shared" si="35"/>
        <v>6.5069166087721134E-2</v>
      </c>
      <c r="I358" s="20">
        <f t="shared" si="35"/>
        <v>6.0355490288654265E-2</v>
      </c>
      <c r="J358" s="20">
        <f t="shared" si="35"/>
        <v>1.7696552259148079E-3</v>
      </c>
      <c r="K358" s="20">
        <f t="shared" si="35"/>
        <v>0</v>
      </c>
      <c r="L358" s="20">
        <f t="shared" si="35"/>
        <v>0.37620607905570874</v>
      </c>
      <c r="M358" s="20">
        <f t="shared" si="35"/>
        <v>5.9465289775627511E-2</v>
      </c>
      <c r="N358" s="20">
        <f>N347/N351</f>
        <v>0</v>
      </c>
      <c r="O358" s="20">
        <f t="shared" si="35"/>
        <v>0.21698400894709016</v>
      </c>
      <c r="P358" s="20">
        <f t="shared" si="35"/>
        <v>2.4844798474893924E-3</v>
      </c>
      <c r="Q358" s="20">
        <f t="shared" si="35"/>
        <v>7.851607321499314E-2</v>
      </c>
      <c r="R358" s="20">
        <f t="shared" si="35"/>
        <v>5.1405028618417394E-3</v>
      </c>
      <c r="S358" s="20">
        <f t="shared" si="35"/>
        <v>0.30507148154894626</v>
      </c>
      <c r="T358" s="20">
        <f t="shared" si="35"/>
        <v>0</v>
      </c>
      <c r="U358" s="20">
        <f t="shared" si="35"/>
        <v>0</v>
      </c>
      <c r="V358" s="20">
        <f t="shared" si="35"/>
        <v>2.4772468122671886E-3</v>
      </c>
      <c r="W358" s="20">
        <f t="shared" si="35"/>
        <v>0.13020830076782941</v>
      </c>
      <c r="X358" s="20">
        <f t="shared" si="35"/>
        <v>0.3984329218578781</v>
      </c>
      <c r="Y358" s="20">
        <f t="shared" si="35"/>
        <v>0.30473263405814505</v>
      </c>
      <c r="Z358" s="20">
        <f t="shared" si="35"/>
        <v>0.42089241348748552</v>
      </c>
      <c r="AA358" s="20">
        <f t="shared" si="35"/>
        <v>9.5821286528817468E-2</v>
      </c>
      <c r="AB358" s="20">
        <f t="shared" si="35"/>
        <v>0.18762853375178035</v>
      </c>
      <c r="AC358" s="20">
        <f t="shared" si="35"/>
        <v>0.32267407719881158</v>
      </c>
      <c r="AD358" s="20">
        <f t="shared" si="35"/>
        <v>0.31730163758833596</v>
      </c>
      <c r="AE358" s="20">
        <f t="shared" si="35"/>
        <v>0.29835367774192778</v>
      </c>
      <c r="AF358" s="20">
        <f t="shared" si="35"/>
        <v>0.61825429591238801</v>
      </c>
      <c r="AG358" s="20">
        <f t="shared" si="35"/>
        <v>0.26987054791011433</v>
      </c>
      <c r="AH358" s="20">
        <f t="shared" si="35"/>
        <v>0.30450517229559176</v>
      </c>
      <c r="AI358" s="20">
        <f t="shared" si="35"/>
        <v>0.61142836992478522</v>
      </c>
      <c r="AJ358" s="20">
        <f t="shared" si="35"/>
        <v>0.43852539828254022</v>
      </c>
      <c r="AK358" s="20">
        <f t="shared" si="35"/>
        <v>0.2080606958818223</v>
      </c>
      <c r="AL358" s="20">
        <f t="shared" si="35"/>
        <v>0.20816562773648237</v>
      </c>
      <c r="AM358" s="20">
        <f>AM347/AM351</f>
        <v>0</v>
      </c>
      <c r="AN358" s="20">
        <f>AN347/AN351</f>
        <v>0.20824184444617064</v>
      </c>
      <c r="AO358" s="20">
        <f>AO347/AO351</f>
        <v>0.3433880181745349</v>
      </c>
      <c r="AP358" s="20">
        <f>AP347/AP351</f>
        <v>0.8943745161017187</v>
      </c>
      <c r="AQ358" s="20">
        <f t="shared" ref="AQ358:AW358" si="36">AQ347/AQ351</f>
        <v>0.6222633118424058</v>
      </c>
      <c r="AR358" s="20">
        <f t="shared" si="36"/>
        <v>0.88652566745413575</v>
      </c>
      <c r="AS358" s="20">
        <f t="shared" si="36"/>
        <v>0.25740823484367326</v>
      </c>
      <c r="AT358" s="20" t="e">
        <f t="shared" si="36"/>
        <v>#DIV/0!</v>
      </c>
      <c r="AU358" s="20">
        <f t="shared" si="36"/>
        <v>0.14081450538062093</v>
      </c>
      <c r="AV358" s="20">
        <f t="shared" si="36"/>
        <v>0.89917826498263964</v>
      </c>
      <c r="AW358" s="20">
        <f t="shared" si="36"/>
        <v>0.88877872195952812</v>
      </c>
      <c r="AX358" s="20">
        <f>AX347/AX351</f>
        <v>0.39569365787264565</v>
      </c>
      <c r="AY358" s="20">
        <f t="shared" ref="AY358:BH358" si="37">AY347/AY351</f>
        <v>0.19888398827345022</v>
      </c>
      <c r="AZ358" s="20">
        <f t="shared" si="37"/>
        <v>0.90580589986443971</v>
      </c>
      <c r="BA358" s="20">
        <f t="shared" si="37"/>
        <v>0.39842894367206894</v>
      </c>
      <c r="BB358" s="20">
        <f t="shared" si="37"/>
        <v>0.33462411633273254</v>
      </c>
      <c r="BC358" s="20">
        <f t="shared" si="37"/>
        <v>3.4526656791008781E-3</v>
      </c>
      <c r="BD358" s="20">
        <f t="shared" si="37"/>
        <v>0.90182240882810261</v>
      </c>
      <c r="BE358" s="20">
        <f t="shared" si="37"/>
        <v>0.33904591937479622</v>
      </c>
      <c r="BF358" s="20">
        <f t="shared" si="37"/>
        <v>0.90470868325763942</v>
      </c>
      <c r="BG358" s="20">
        <f t="shared" si="37"/>
        <v>0.32045888142026768</v>
      </c>
      <c r="BH358" s="20">
        <f t="shared" si="37"/>
        <v>3.5686023685026886E-3</v>
      </c>
      <c r="BI358" s="21"/>
    </row>
    <row r="359" spans="1:61" x14ac:dyDescent="0.25">
      <c r="A359" t="s">
        <v>612</v>
      </c>
      <c r="E359" s="20">
        <f t="shared" ref="E359:AL359" si="38">E348/E351</f>
        <v>7.5338940102398333E-2</v>
      </c>
      <c r="F359" s="20">
        <f t="shared" si="38"/>
        <v>3.4536417172836176E-2</v>
      </c>
      <c r="G359" s="20">
        <f t="shared" si="38"/>
        <v>6.9832452243740642E-2</v>
      </c>
      <c r="H359" s="20">
        <f t="shared" si="38"/>
        <v>0.87469911176593429</v>
      </c>
      <c r="I359" s="20">
        <f t="shared" si="38"/>
        <v>8.346440135723418E-2</v>
      </c>
      <c r="J359" s="20">
        <f t="shared" si="38"/>
        <v>0.11188739025981735</v>
      </c>
      <c r="K359" s="20">
        <f t="shared" si="38"/>
        <v>3.9970289411419412E-2</v>
      </c>
      <c r="L359" s="20">
        <f t="shared" si="38"/>
        <v>3.728024885250486E-2</v>
      </c>
      <c r="M359" s="20">
        <f t="shared" si="38"/>
        <v>0.13346933828249835</v>
      </c>
      <c r="N359" s="20">
        <f>N348/N351</f>
        <v>0</v>
      </c>
      <c r="O359" s="20">
        <f t="shared" si="38"/>
        <v>0</v>
      </c>
      <c r="P359" s="20">
        <f t="shared" si="38"/>
        <v>8.581943183734729E-2</v>
      </c>
      <c r="Q359" s="20">
        <f t="shared" si="38"/>
        <v>0</v>
      </c>
      <c r="R359" s="20">
        <f t="shared" si="38"/>
        <v>2.8433079914113396E-5</v>
      </c>
      <c r="S359" s="20">
        <f t="shared" si="38"/>
        <v>-1.0691757464701083E-2</v>
      </c>
      <c r="T359" s="20">
        <f t="shared" si="38"/>
        <v>0</v>
      </c>
      <c r="U359" s="20">
        <f t="shared" si="38"/>
        <v>1.6990935300096807E-2</v>
      </c>
      <c r="V359" s="20">
        <f t="shared" si="38"/>
        <v>0.1269953511140347</v>
      </c>
      <c r="W359" s="20">
        <f t="shared" si="38"/>
        <v>9.7266925057409262E-2</v>
      </c>
      <c r="X359" s="20">
        <f t="shared" si="38"/>
        <v>0</v>
      </c>
      <c r="Y359" s="20">
        <f t="shared" si="38"/>
        <v>5.7015914135476436E-2</v>
      </c>
      <c r="Z359" s="20">
        <f t="shared" si="38"/>
        <v>0</v>
      </c>
      <c r="AA359" s="20">
        <f t="shared" si="38"/>
        <v>3.9131115425383958E-2</v>
      </c>
      <c r="AB359" s="20">
        <f t="shared" si="38"/>
        <v>0</v>
      </c>
      <c r="AC359" s="20">
        <f t="shared" si="38"/>
        <v>4.5560037928575069E-2</v>
      </c>
      <c r="AD359" s="20">
        <f t="shared" si="38"/>
        <v>0</v>
      </c>
      <c r="AE359" s="20">
        <f t="shared" si="38"/>
        <v>5.3116107027386186E-2</v>
      </c>
      <c r="AF359" s="20">
        <f t="shared" si="38"/>
        <v>-2.4209765536913258E-2</v>
      </c>
      <c r="AG359" s="20">
        <f t="shared" si="38"/>
        <v>6.8677175091895318E-2</v>
      </c>
      <c r="AH359" s="20">
        <f t="shared" si="38"/>
        <v>7.2556620223809667E-2</v>
      </c>
      <c r="AI359" s="20">
        <f t="shared" si="38"/>
        <v>-1.981624443189214E-3</v>
      </c>
      <c r="AJ359" s="20">
        <f t="shared" si="38"/>
        <v>0</v>
      </c>
      <c r="AK359" s="20">
        <f t="shared" si="38"/>
        <v>2.5107572391440034E-5</v>
      </c>
      <c r="AL359" s="20">
        <f t="shared" si="38"/>
        <v>2.1728515154075376E-5</v>
      </c>
      <c r="AM359" s="20">
        <f>AM348/AM351</f>
        <v>1.6299238082844596E-2</v>
      </c>
      <c r="AN359" s="20">
        <f>AN348/AN351</f>
        <v>3.1875788006465665E-5</v>
      </c>
      <c r="AO359" s="20">
        <f>AO348/AO351</f>
        <v>-1.4268972962528156E-2</v>
      </c>
      <c r="AP359" s="20">
        <f>AP348/AP351</f>
        <v>0</v>
      </c>
      <c r="AQ359" s="20">
        <f t="shared" ref="AQ359:AW359" si="39">AQ348/AQ351</f>
        <v>-1.5887046316889246E-2</v>
      </c>
      <c r="AR359" s="20">
        <f t="shared" si="39"/>
        <v>0</v>
      </c>
      <c r="AS359" s="20">
        <f t="shared" si="39"/>
        <v>-9.5377269449777487E-3</v>
      </c>
      <c r="AT359" s="20" t="e">
        <f t="shared" si="39"/>
        <v>#DIV/0!</v>
      </c>
      <c r="AU359" s="20">
        <f t="shared" si="39"/>
        <v>-2.9254760930490435E-3</v>
      </c>
      <c r="AV359" s="20">
        <f t="shared" si="39"/>
        <v>0</v>
      </c>
      <c r="AW359" s="20">
        <f t="shared" si="39"/>
        <v>0</v>
      </c>
      <c r="AX359" s="20">
        <f>AX348/AX351</f>
        <v>0</v>
      </c>
      <c r="AY359" s="20">
        <f t="shared" ref="AY359:BH359" si="40">AY348/AY351</f>
        <v>1.0844185476860889E-7</v>
      </c>
      <c r="AZ359" s="20">
        <f t="shared" si="40"/>
        <v>0</v>
      </c>
      <c r="BA359" s="20">
        <f t="shared" si="40"/>
        <v>0</v>
      </c>
      <c r="BB359" s="20">
        <f t="shared" si="40"/>
        <v>-1.3885911251197204E-2</v>
      </c>
      <c r="BC359" s="20">
        <f t="shared" si="40"/>
        <v>1.2858132277301051E-7</v>
      </c>
      <c r="BD359" s="20">
        <f t="shared" si="40"/>
        <v>0</v>
      </c>
      <c r="BE359" s="20">
        <f t="shared" si="40"/>
        <v>-1.4088865233156622E-2</v>
      </c>
      <c r="BF359" s="20">
        <f t="shared" si="40"/>
        <v>0</v>
      </c>
      <c r="BG359" s="20">
        <f t="shared" si="40"/>
        <v>0</v>
      </c>
      <c r="BH359" s="20">
        <f t="shared" si="40"/>
        <v>2.6998867937467388E-7</v>
      </c>
      <c r="BI359" s="21"/>
    </row>
    <row r="360" spans="1:61" x14ac:dyDescent="0.25">
      <c r="A360" t="s">
        <v>613</v>
      </c>
      <c r="E360" s="20">
        <f t="shared" ref="E360:M360" si="41">E349/E351</f>
        <v>0.1777711794793852</v>
      </c>
      <c r="F360" s="20">
        <f t="shared" si="41"/>
        <v>6.5664321013069307E-2</v>
      </c>
      <c r="G360" s="20">
        <f t="shared" si="41"/>
        <v>6.3858023854681326E-2</v>
      </c>
      <c r="H360" s="20">
        <f t="shared" si="41"/>
        <v>2.0891042573916139E-2</v>
      </c>
      <c r="I360" s="20">
        <f t="shared" si="41"/>
        <v>7.7265791936055289E-2</v>
      </c>
      <c r="J360" s="20">
        <f t="shared" si="41"/>
        <v>6.2590056745364345E-2</v>
      </c>
      <c r="K360" s="20">
        <f t="shared" si="41"/>
        <v>4.6910168921281623E-2</v>
      </c>
      <c r="L360" s="20">
        <f t="shared" si="41"/>
        <v>0.19050685819289698</v>
      </c>
      <c r="M360" s="20">
        <f t="shared" si="41"/>
        <v>0.18415928555679134</v>
      </c>
      <c r="N360" s="20">
        <f>N349/N351</f>
        <v>-2.1380551864788624E-5</v>
      </c>
      <c r="O360" s="20">
        <f t="shared" ref="O360:AL360" si="42">O349/O351</f>
        <v>-1.1395697993691436E-2</v>
      </c>
      <c r="P360" s="20">
        <f t="shared" si="42"/>
        <v>7.6941831169544894E-2</v>
      </c>
      <c r="Q360" s="20">
        <f t="shared" si="42"/>
        <v>-5.8513180826469157E-3</v>
      </c>
      <c r="R360" s="20">
        <f t="shared" si="42"/>
        <v>2.6313743032932983E-2</v>
      </c>
      <c r="S360" s="20">
        <f t="shared" si="42"/>
        <v>4.2488353013495593E-2</v>
      </c>
      <c r="T360" s="20">
        <f t="shared" si="42"/>
        <v>0</v>
      </c>
      <c r="U360" s="20">
        <f t="shared" si="42"/>
        <v>4.7409545050838914E-2</v>
      </c>
      <c r="V360" s="20">
        <f t="shared" si="42"/>
        <v>5.5743647900365637E-2</v>
      </c>
      <c r="W360" s="20">
        <f t="shared" si="42"/>
        <v>7.2217167614788844E-2</v>
      </c>
      <c r="X360" s="20">
        <f t="shared" si="42"/>
        <v>9.9272519437791258E-3</v>
      </c>
      <c r="Y360" s="20">
        <f t="shared" si="42"/>
        <v>0.12776888076506571</v>
      </c>
      <c r="Z360" s="20">
        <f t="shared" si="42"/>
        <v>1.0060967802668356E-2</v>
      </c>
      <c r="AA360" s="20">
        <f t="shared" si="42"/>
        <v>6.1430420910635636E-2</v>
      </c>
      <c r="AB360" s="20">
        <f t="shared" si="42"/>
        <v>-1.9511637417455017E-2</v>
      </c>
      <c r="AC360" s="20">
        <f t="shared" si="42"/>
        <v>5.7059407506932287E-2</v>
      </c>
      <c r="AD360" s="20">
        <f t="shared" si="42"/>
        <v>1.5570376584920665E-3</v>
      </c>
      <c r="AE360" s="20">
        <f t="shared" si="42"/>
        <v>0.14955722505922561</v>
      </c>
      <c r="AF360" s="20">
        <f t="shared" si="42"/>
        <v>3.8168390092439435E-2</v>
      </c>
      <c r="AG360" s="20">
        <f t="shared" si="42"/>
        <v>4.1412875972200974E-4</v>
      </c>
      <c r="AH360" s="20">
        <f t="shared" si="42"/>
        <v>0.19320401740551418</v>
      </c>
      <c r="AI360" s="20">
        <f t="shared" si="42"/>
        <v>4.6894347181919024E-2</v>
      </c>
      <c r="AJ360" s="20">
        <f t="shared" si="42"/>
        <v>9.2565942409031567E-3</v>
      </c>
      <c r="AK360" s="20">
        <f t="shared" si="42"/>
        <v>1.0692064613818037E-2</v>
      </c>
      <c r="AL360" s="20">
        <f t="shared" si="42"/>
        <v>1.0656642911228816E-2</v>
      </c>
      <c r="AM360" s="20">
        <f>AM349/AM351</f>
        <v>4.6514310781027621E-2</v>
      </c>
      <c r="AN360" s="20">
        <f>AN349/AN351</f>
        <v>1.0563865637422142E-2</v>
      </c>
      <c r="AO360" s="20">
        <f>AO349/AO351</f>
        <v>2.8872841695474088E-2</v>
      </c>
      <c r="AP360" s="20">
        <f>AP349/AP351</f>
        <v>-1.6771045665672091E-4</v>
      </c>
      <c r="AQ360" s="20">
        <f t="shared" ref="AQ360:AW360" si="43">AQ349/AQ351</f>
        <v>2.5677062732960786E-2</v>
      </c>
      <c r="AR360" s="20">
        <f t="shared" si="43"/>
        <v>-1.6234604755805784E-5</v>
      </c>
      <c r="AS360" s="20">
        <f t="shared" si="43"/>
        <v>3.3476202761864797E-2</v>
      </c>
      <c r="AT360" s="20" t="e">
        <f t="shared" si="43"/>
        <v>#DIV/0!</v>
      </c>
      <c r="AU360" s="20">
        <f t="shared" si="43"/>
        <v>1.8122820490733323E-2</v>
      </c>
      <c r="AV360" s="20">
        <f t="shared" si="43"/>
        <v>-9.2618172922889671E-5</v>
      </c>
      <c r="AW360" s="20">
        <f t="shared" si="43"/>
        <v>-2.3114542144002357E-4</v>
      </c>
      <c r="AX360" s="20">
        <f>AX349/AX351</f>
        <v>9.7604394844264201E-3</v>
      </c>
      <c r="AY360" s="20">
        <f t="shared" ref="AY360:BH360" si="44">AY349/AY351</f>
        <v>4.4896778163351067E-2</v>
      </c>
      <c r="AZ360" s="20">
        <f t="shared" si="44"/>
        <v>6.7348735357219788E-2</v>
      </c>
      <c r="BA360" s="20">
        <f t="shared" si="44"/>
        <v>1.0116558425838062E-2</v>
      </c>
      <c r="BB360" s="20">
        <f t="shared" si="44"/>
        <v>2.870616362529042E-2</v>
      </c>
      <c r="BC360" s="20">
        <f t="shared" si="44"/>
        <v>4.0553502183264943E-2</v>
      </c>
      <c r="BD360" s="20">
        <f t="shared" si="44"/>
        <v>6.9967340058239097E-2</v>
      </c>
      <c r="BE360" s="20">
        <f t="shared" si="44"/>
        <v>2.9164347592592725E-2</v>
      </c>
      <c r="BF360" s="20">
        <f t="shared" si="44"/>
        <v>6.7610551311794803E-2</v>
      </c>
      <c r="BG360" s="20">
        <f t="shared" si="44"/>
        <v>1.5321483416578598E-2</v>
      </c>
      <c r="BH360" s="20">
        <f t="shared" si="44"/>
        <v>4.2375209207477935E-2</v>
      </c>
      <c r="BI360" s="21"/>
    </row>
    <row r="361" spans="1:61" x14ac:dyDescent="0.25">
      <c r="A361" s="21" t="s">
        <v>703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</row>
  </sheetData>
  <mergeCells count="3">
    <mergeCell ref="A2:BH2"/>
    <mergeCell ref="BI2:BI361"/>
    <mergeCell ref="A361:BH361"/>
  </mergeCells>
  <conditionalFormatting sqref="A18:A34">
    <cfRule type="cellIs" dxfId="3" priority="16" stopIfTrue="1" operator="lessThan">
      <formula>0</formula>
    </cfRule>
  </conditionalFormatting>
  <conditionalFormatting sqref="B24:B34">
    <cfRule type="cellIs" dxfId="2" priority="25" stopIfTrue="1" operator="lessThan">
      <formula>0</formula>
    </cfRule>
  </conditionalFormatting>
  <conditionalFormatting sqref="C17:D25">
    <cfRule type="cellIs" dxfId="1" priority="17" stopIfTrue="1" operator="lessThan">
      <formula>0</formula>
    </cfRule>
  </conditionalFormatting>
  <conditionalFormatting sqref="E16:BH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3EE0EA80-E88E-401D-AB4B-FC881B078C9A}"/>
</file>

<file path=customXml/itemProps2.xml><?xml version="1.0" encoding="utf-8"?>
<ds:datastoreItem xmlns:ds="http://schemas.openxmlformats.org/officeDocument/2006/customXml" ds:itemID="{81268528-FD4F-4298-B863-893E0DC74A02}"/>
</file>

<file path=customXml/itemProps3.xml><?xml version="1.0" encoding="utf-8"?>
<ds:datastoreItem xmlns:ds="http://schemas.openxmlformats.org/officeDocument/2006/customXml" ds:itemID="{14C73E63-DF5B-4F56-A117-DFA52B8D5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7/2026</dc:title>
  <dc:creator>פרידמן אמיר</dc:creator>
  <cp:lastModifiedBy>תמי ברמן</cp:lastModifiedBy>
  <dcterms:created xsi:type="dcterms:W3CDTF">2026-08-18T11:41:27Z</dcterms:created>
  <dcterms:modified xsi:type="dcterms:W3CDTF">2026-08-18T14:26:47Z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