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filterPrivacy="1"/>
  <xr:revisionPtr revIDLastSave="0" documentId="8_{834744A0-CCF7-47C0-9A1B-1A304A86E62A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נספח 1" sheetId="1" r:id="rId1"/>
    <sheet name="נספח 2" sheetId="2" r:id="rId2"/>
    <sheet name="נספח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3" l="1"/>
  <c r="C26" i="3"/>
  <c r="C7" i="3"/>
  <c r="C21" i="2"/>
  <c r="C12" i="2"/>
  <c r="C41" i="3" l="1"/>
  <c r="C40" i="2"/>
</calcChain>
</file>

<file path=xl/sharedStrings.xml><?xml version="1.0" encoding="utf-8"?>
<sst xmlns="http://schemas.openxmlformats.org/spreadsheetml/2006/main" count="153" uniqueCount="115">
  <si>
    <t>קוד אוצר</t>
  </si>
  <si>
    <t xml:space="preserve">אלפי ₪ </t>
  </si>
  <si>
    <t>1. סה"כ עמלות קנייה ומכירה</t>
  </si>
  <si>
    <t>YT100</t>
  </si>
  <si>
    <t>סך עמלות קנייה ומכירה לצדדים קשורים</t>
  </si>
  <si>
    <t>YT101</t>
  </si>
  <si>
    <t>סך עמלות קנייה ומכירה לצדדים שאינם קשורים</t>
  </si>
  <si>
    <t>2. סה"כ עמלות קסטודיאן</t>
  </si>
  <si>
    <t>YT102</t>
  </si>
  <si>
    <t>סך עמלות קסטודיאן לצדדים קשורים</t>
  </si>
  <si>
    <t>YT103</t>
  </si>
  <si>
    <t>סך עמלות קסטודיאן לצדדים שאינם קשורים</t>
  </si>
  <si>
    <t>3. סה"כ מהשקעות לא סחירות</t>
  </si>
  <si>
    <t>YT104</t>
  </si>
  <si>
    <t>א.סך הוצאות הנובעות מהשקעה בניירות ערך לא סחירים שאינם לצורך מימון פרויקטים לתשתיות</t>
  </si>
  <si>
    <t>YT105</t>
  </si>
  <si>
    <t>ב. סך הוצאות הנובעות ממימון פרוייקטים לתשתיות</t>
  </si>
  <si>
    <t>YT106</t>
  </si>
  <si>
    <t>ג. סך הוצאות הנובעות מהשקעה בזכויות מקרקעין</t>
  </si>
  <si>
    <t>4. סה"כ עמלות ניהול חיצוני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</si>
  <si>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</si>
  <si>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</si>
  <si>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</si>
  <si>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</si>
  <si>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</si>
  <si>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סך תשלומים למנהלי תיקים ישראלים בגין השקעה בחו"ל</t>
  </si>
  <si>
    <t>YT110</t>
  </si>
  <si>
    <t>סך תשלומים למנהלי תיקים זרים</t>
  </si>
  <si>
    <t>YT111</t>
  </si>
  <si>
    <t>סך תשלומים בגין השקעה בקרנות סל ישראליות</t>
  </si>
  <si>
    <t>YT112</t>
  </si>
  <si>
    <t>סך תשלומים בגין השקעה בקרנות סל זרות</t>
  </si>
  <si>
    <t>YT113</t>
  </si>
  <si>
    <t>סך תשלומים בגין השקעה בקרנות נאמנות ישראליות</t>
  </si>
  <si>
    <t>YT114</t>
  </si>
  <si>
    <t>סך תשלומים בגין השקעה בקרנות נאמנות זרות</t>
  </si>
  <si>
    <t>5. סה"כ הוצאות אחרות</t>
  </si>
  <si>
    <t>YT115</t>
  </si>
  <si>
    <t>א.סך הוצאות בעד ניהול תביעות</t>
  </si>
  <si>
    <t>YT116</t>
  </si>
  <si>
    <t>ב.סך הוצאות בעד מתן משכנתאות</t>
  </si>
  <si>
    <t>YT117</t>
  </si>
  <si>
    <t xml:space="preserve"> 6. סה"כ הוצאות ישירות (סיכום סעיפים 1 עד 5)</t>
  </si>
  <si>
    <t>7. שיעור הוצאות ישירות</t>
  </si>
  <si>
    <t>YT118</t>
  </si>
  <si>
    <t>א. שיעור סך ההוצאות הישירות, שההוצאה בגינן מוגבלת לשיעור של 0.25% לפי התקנות (סיכום סעיפים 3א,4, 5ב) חלקי סך הנכסים</t>
  </si>
  <si>
    <t>YT119</t>
  </si>
  <si>
    <t>ב. שיעור סך הוצאות ישירות מתוך יתרת נכסים ממוצעת (באחוזים)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</si>
  <si>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</si>
  <si>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</si>
  <si>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</si>
  <si>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</si>
  <si>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</si>
  <si>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</si>
  <si>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</si>
  <si>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</si>
  <si>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</si>
  <si>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</si>
  <si>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</si>
  <si>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</si>
  <si>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</si>
  <si>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הוצאות הנובעות ממימון פרוייקטים לתשתיות</t>
  </si>
  <si>
    <t>סך הוצאות הנובעות ממימון פרוייקטים לתשתיות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</si>
  <si>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</si>
  <si>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</si>
  <si>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</si>
  <si>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</si>
  <si>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</si>
  <si>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סך הוצאות הנובעות  ממתן משכנתא</t>
  </si>
  <si>
    <t>סך הכל עמלות והוצאות</t>
  </si>
  <si>
    <t>תאור</t>
  </si>
  <si>
    <t xml:space="preserve">אלפי ש"ח 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</si>
  <si>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</si>
  <si>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</si>
  <si>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</si>
  <si>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</si>
  <si>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</si>
  <si>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</si>
  <si>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תשלום בגין השקעה בקרן נאמנות</t>
  </si>
  <si>
    <t>קרן נאמנות ישראלית</t>
  </si>
  <si>
    <t>קרן חוץ</t>
  </si>
  <si>
    <t>סך תשלומים בגין השקעה בקרנות נאמנות</t>
  </si>
  <si>
    <t xml:space="preserve">תשלומים בגין השקעה בקרנות סל </t>
  </si>
  <si>
    <t>קרן סל ישראלית</t>
  </si>
  <si>
    <t>קרן סל זרה</t>
  </si>
  <si>
    <t>iShares</t>
  </si>
  <si>
    <t>Invesco</t>
  </si>
  <si>
    <t>SPDR</t>
  </si>
  <si>
    <t>סך תשלומים בגין השקעה בקרנות סל</t>
  </si>
  <si>
    <t>סך הכול עמלות ניהול חיצוני</t>
  </si>
  <si>
    <t>בנק הפועלים</t>
  </si>
  <si>
    <t xml:space="preserve">פועלים </t>
  </si>
  <si>
    <t>Threadneedle Lux</t>
  </si>
  <si>
    <t>פסגות קרנות נאמנות בע"מ</t>
  </si>
  <si>
    <t>מיטב תכלית קרנות נאמנות בע"מ</t>
  </si>
  <si>
    <t>הפניקס סנונית</t>
  </si>
  <si>
    <t>לידר שוקי הון</t>
  </si>
  <si>
    <t>Ashoka India</t>
  </si>
  <si>
    <t>סך התשלומים ששולמו בעד כל סוג של הוצאה ישירה לתקופה המסתיימת ביום 31.12.2022</t>
  </si>
  <si>
    <t>פירוט עמלות והוצאות לשנה המסתיימת ביום 31.12.2022</t>
  </si>
  <si>
    <t>לאומי</t>
  </si>
  <si>
    <t>מזרחי</t>
  </si>
  <si>
    <t>פירוט עמלות ניהול חיצוני לשנה המסתיימת ביום 31.12.2022</t>
  </si>
  <si>
    <t>Electra Multifamily Fund - Halman</t>
  </si>
  <si>
    <t>HAMILTON 2017 - Halman</t>
  </si>
  <si>
    <t>COMGEST SA</t>
  </si>
  <si>
    <t>MEMNON</t>
  </si>
  <si>
    <t>VanEck Vectors</t>
  </si>
  <si>
    <t>GLOBAL X FUNDS</t>
  </si>
  <si>
    <t>תחילת מידע טבלה</t>
  </si>
  <si>
    <t>תחילת מידע טבלה צד ימין</t>
  </si>
  <si>
    <t>סוף מידע טבלה צד שמאל</t>
  </si>
  <si>
    <t>סוף מידע טבלה</t>
  </si>
  <si>
    <t>שורת רווח</t>
  </si>
  <si>
    <t>תא ריק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</si>
</sst>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BC2E6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/>
  </cellStyleXfs>
  <cellXfs count="53">
    <xf numFmtId="0" fontId="0" fillId="0" borderId="0" xfId="0"/>
    <xf numFmtId="0" fontId="5" fillId="0" borderId="0" xfId="0" applyFont="1"/>
    <xf numFmtId="164" fontId="4" fillId="0" borderId="1" xfId="4" applyNumberFormat="1" applyFont="1" applyFill="1" applyBorder="1" applyAlignment="1"/>
    <xf numFmtId="0" fontId="4" fillId="0" borderId="1" xfId="3" applyFont="1" applyBorder="1"/>
    <xf numFmtId="0" fontId="6" fillId="0" borderId="4" xfId="0" applyFont="1" applyBorder="1"/>
    <xf numFmtId="41" fontId="5" fillId="0" borderId="0" xfId="0" applyNumberFormat="1" applyFont="1"/>
    <xf numFmtId="0" fontId="6" fillId="0" borderId="0" xfId="0" applyFont="1"/>
    <xf numFmtId="0" fontId="3" fillId="2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7" fillId="3" borderId="1" xfId="3" applyFont="1" applyFill="1" applyBorder="1" applyAlignment="1">
      <alignment horizontal="right" readingOrder="2"/>
    </xf>
    <xf numFmtId="0" fontId="4" fillId="3" borderId="3" xfId="3" applyFont="1" applyFill="1" applyBorder="1"/>
    <xf numFmtId="164" fontId="4" fillId="4" borderId="1" xfId="1" applyNumberFormat="1" applyFont="1" applyFill="1" applyBorder="1" applyAlignment="1"/>
    <xf numFmtId="164" fontId="2" fillId="3" borderId="3" xfId="1" applyNumberFormat="1" applyFont="1" applyFill="1" applyBorder="1" applyAlignment="1"/>
    <xf numFmtId="164" fontId="4" fillId="3" borderId="1" xfId="4" applyNumberFormat="1" applyFont="1" applyFill="1" applyBorder="1" applyAlignment="1"/>
    <xf numFmtId="0" fontId="7" fillId="3" borderId="2" xfId="3" applyFont="1" applyFill="1" applyBorder="1" applyAlignment="1">
      <alignment horizontal="right" wrapText="1" readingOrder="2"/>
    </xf>
    <xf numFmtId="10" fontId="4" fillId="4" borderId="1" xfId="5" applyNumberFormat="1" applyFont="1" applyFill="1" applyBorder="1" applyAlignment="1"/>
    <xf numFmtId="164" fontId="4" fillId="4" borderId="1" xfId="4" applyNumberFormat="1" applyFont="1" applyFill="1" applyBorder="1" applyAlignment="1"/>
    <xf numFmtId="0" fontId="4" fillId="3" borderId="1" xfId="3" applyFont="1" applyFill="1" applyBorder="1"/>
    <xf numFmtId="0" fontId="2" fillId="3" borderId="2" xfId="3" applyFill="1" applyBorder="1" applyAlignment="1">
      <alignment horizontal="right" readingOrder="2"/>
    </xf>
    <xf numFmtId="164" fontId="4" fillId="0" borderId="1" xfId="4" applyNumberFormat="1" applyFont="1" applyBorder="1" applyAlignment="1"/>
    <xf numFmtId="0" fontId="2" fillId="3" borderId="2" xfId="3" applyFill="1" applyBorder="1" applyAlignment="1">
      <alignment horizontal="right"/>
    </xf>
    <xf numFmtId="164" fontId="2" fillId="4" borderId="1" xfId="4" applyNumberFormat="1" applyFont="1" applyFill="1" applyBorder="1" applyAlignment="1"/>
    <xf numFmtId="0" fontId="4" fillId="3" borderId="2" xfId="3" applyFont="1" applyFill="1" applyBorder="1" applyAlignment="1">
      <alignment horizontal="right"/>
    </xf>
    <xf numFmtId="0" fontId="4" fillId="3" borderId="2" xfId="3" applyFont="1" applyFill="1" applyBorder="1" applyAlignment="1">
      <alignment readingOrder="2"/>
    </xf>
    <xf numFmtId="164" fontId="2" fillId="4" borderId="1" xfId="1" applyNumberFormat="1" applyFont="1" applyFill="1" applyBorder="1" applyAlignment="1"/>
    <xf numFmtId="0" fontId="4" fillId="3" borderId="2" xfId="3" applyFont="1" applyFill="1" applyBorder="1" applyAlignment="1">
      <alignment horizontal="right" readingOrder="2"/>
    </xf>
    <xf numFmtId="43" fontId="2" fillId="4" borderId="1" xfId="4" applyFont="1" applyFill="1" applyBorder="1" applyAlignment="1"/>
    <xf numFmtId="43" fontId="4" fillId="4" borderId="1" xfId="4" applyFont="1" applyFill="1" applyBorder="1" applyAlignment="1"/>
    <xf numFmtId="0" fontId="7" fillId="3" borderId="2" xfId="3" applyFont="1" applyFill="1" applyBorder="1" applyAlignment="1">
      <alignment horizontal="right" readingOrder="2"/>
    </xf>
    <xf numFmtId="0" fontId="9" fillId="3" borderId="2" xfId="3" applyFont="1" applyFill="1" applyBorder="1" applyAlignment="1">
      <alignment horizontal="right" readingOrder="2"/>
    </xf>
    <xf numFmtId="0" fontId="3" fillId="2" borderId="1" xfId="2" applyFont="1" applyFill="1" applyBorder="1" applyAlignment="1">
      <alignment horizontal="right"/>
    </xf>
    <xf numFmtId="164" fontId="2" fillId="0" borderId="1" xfId="4" applyNumberFormat="1" applyFont="1" applyFill="1" applyBorder="1" applyAlignment="1"/>
    <xf numFmtId="0" fontId="0" fillId="0" borderId="0" xfId="0" applyAlignment="1">
      <alignment horizontal="right"/>
    </xf>
    <xf numFmtId="0" fontId="13" fillId="3" borderId="2" xfId="3" applyFont="1" applyFill="1" applyBorder="1"/>
    <xf numFmtId="0" fontId="10" fillId="0" borderId="0" xfId="0" applyFont="1"/>
    <xf numFmtId="0" fontId="13" fillId="3" borderId="2" xfId="3" applyFont="1" applyFill="1" applyBorder="1" applyAlignment="1">
      <alignment horizontal="right"/>
    </xf>
    <xf numFmtId="0" fontId="12" fillId="3" borderId="2" xfId="3" applyFont="1" applyFill="1" applyBorder="1" applyAlignment="1">
      <alignment horizontal="center" vertical="center" wrapText="1"/>
    </xf>
    <xf numFmtId="0" fontId="12" fillId="3" borderId="7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13" fillId="3" borderId="3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 readingOrder="2"/>
    </xf>
    <xf numFmtId="0" fontId="13" fillId="3" borderId="3" xfId="3" applyFont="1" applyFill="1" applyBorder="1" applyAlignment="1">
      <alignment horizontal="center" vertical="center" wrapText="1" readingOrder="2"/>
    </xf>
    <xf numFmtId="0" fontId="12" fillId="3" borderId="2" xfId="3" applyFont="1" applyFill="1" applyBorder="1" applyAlignment="1">
      <alignment horizontal="center" vertical="center" wrapText="1" readingOrder="2"/>
    </xf>
    <xf numFmtId="0" fontId="12" fillId="3" borderId="3" xfId="3" applyFont="1" applyFill="1" applyBorder="1" applyAlignment="1">
      <alignment horizontal="center" vertical="center" wrapText="1" readingOrder="2"/>
    </xf>
  </cellXfs>
  <cellStyles count="7">
    <cellStyle name="Comma" xfId="1" builtinId="3"/>
    <cellStyle name="Comma 2 5 2" xfId="4" xr:uid="{00000000-0005-0000-0000-000001000000}"/>
    <cellStyle name="Normal" xfId="0" builtinId="0"/>
    <cellStyle name="Normal 10 2 2" xfId="3" xr:uid="{00000000-0005-0000-0000-000003000000}"/>
    <cellStyle name="Normal 2" xfId="6" xr:uid="{00000000-0005-0000-0000-000004000000}"/>
    <cellStyle name="Normal 2 2" xfId="2" xr:uid="{00000000-0005-0000-0000-000005000000}"/>
    <cellStyle name="Percent 2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400050</xdr:colOff>
      <xdr:row>0</xdr:row>
      <xdr:rowOff>400050</xdr:rowOff>
    </xdr:to>
    <xdr:pic>
      <xdr:nvPicPr>
        <xdr:cNvPr id="3" name="תמונה 2" descr="קוֹבֶץ זֶה הוּנְגַּש עַל יְדֵי חברת אֵיְי טוּ זִי - סֶמֶל הַנגישוּת">
          <a:extLst>
            <a:ext uri="{FF2B5EF4-FFF2-40B4-BE49-F238E27FC236}">
              <a16:creationId xmlns:a16="http://schemas.microsoft.com/office/drawing/2014/main" id="{8961227B-0270-33DE-1709-BA1FFD97A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3375075" y="0"/>
          <a:ext cx="400050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rightToLeft="1" tabSelected="1" workbookViewId="0">
      <selection activeCell="B2" sqref="B2:D2"/>
    </sheetView>
  </sheetViews>
  <sheetFormatPr defaultColWidth="8.625" defaultRowHeight="14.25" x14ac:dyDescent="0.2"/>
  <cols>
    <col min="1" max="1" width="8.625" style="1"/>
    <col min="3" max="3" width="67.25" customWidth="1"/>
    <col min="4" max="4" width="26.125" customWidth="1"/>
    <col min="5" max="16384" width="8.625" style="1"/>
  </cols>
  <sheetData>
    <row r="1" spans="1:5" ht="33.75" customHeight="1" x14ac:dyDescent="0.2"/>
    <row r="2" spans="1:5" x14ac:dyDescent="0.2">
      <c r="B2" s="41" t="s">
        <v>109</v>
      </c>
      <c r="C2" s="41"/>
      <c r="D2" s="41"/>
    </row>
    <row r="3" spans="1:5" ht="39" x14ac:dyDescent="0.25">
      <c r="A3" s="42" t="s">
        <v>110</v>
      </c>
      <c r="B3" s="36" t="s">
        <v>114</v>
      </c>
      <c r="C3" s="7" t="s">
        <v>95</v>
      </c>
      <c r="D3" s="8" t="s">
        <v>98</v>
      </c>
      <c r="E3" s="43" t="s">
        <v>111</v>
      </c>
    </row>
    <row r="4" spans="1:5" x14ac:dyDescent="0.2">
      <c r="A4" s="42"/>
      <c r="B4" s="9" t="s">
        <v>0</v>
      </c>
      <c r="C4" s="35" t="s">
        <v>114</v>
      </c>
      <c r="D4" s="10" t="s">
        <v>1</v>
      </c>
      <c r="E4" s="43"/>
    </row>
    <row r="5" spans="1:5" x14ac:dyDescent="0.2">
      <c r="A5" s="42"/>
      <c r="B5" s="9"/>
      <c r="C5" s="11" t="s">
        <v>2</v>
      </c>
      <c r="D5" s="12"/>
      <c r="E5" s="43"/>
    </row>
    <row r="6" spans="1:5" x14ac:dyDescent="0.2">
      <c r="A6" s="42"/>
      <c r="B6" s="9" t="s">
        <v>3</v>
      </c>
      <c r="C6" s="11" t="s">
        <v>4</v>
      </c>
      <c r="D6" s="13">
        <v>0</v>
      </c>
      <c r="E6" s="43"/>
    </row>
    <row r="7" spans="1:5" x14ac:dyDescent="0.2">
      <c r="A7" s="42"/>
      <c r="B7" s="9" t="s">
        <v>5</v>
      </c>
      <c r="C7" s="11" t="s">
        <v>6</v>
      </c>
      <c r="D7" s="13">
        <v>10.537102520931313</v>
      </c>
      <c r="E7" s="43"/>
    </row>
    <row r="8" spans="1:5" x14ac:dyDescent="0.2">
      <c r="A8" s="42"/>
      <c r="B8" s="38" t="s">
        <v>113</v>
      </c>
      <c r="C8" s="39"/>
      <c r="D8" s="40"/>
      <c r="E8" s="43"/>
    </row>
    <row r="9" spans="1:5" x14ac:dyDescent="0.2">
      <c r="A9" s="42"/>
      <c r="B9" s="9"/>
      <c r="C9" s="11" t="s">
        <v>7</v>
      </c>
      <c r="D9" s="14"/>
      <c r="E9" s="43"/>
    </row>
    <row r="10" spans="1:5" x14ac:dyDescent="0.2">
      <c r="A10" s="42"/>
      <c r="B10" s="9" t="s">
        <v>8</v>
      </c>
      <c r="C10" s="11" t="s">
        <v>9</v>
      </c>
      <c r="D10" s="13">
        <v>0</v>
      </c>
      <c r="E10" s="43"/>
    </row>
    <row r="11" spans="1:5" x14ac:dyDescent="0.2">
      <c r="A11" s="42"/>
      <c r="B11" s="9" t="s">
        <v>10</v>
      </c>
      <c r="C11" s="11" t="s">
        <v>11</v>
      </c>
      <c r="D11" s="13">
        <v>8.3234300742006386</v>
      </c>
      <c r="E11" s="43"/>
    </row>
    <row r="12" spans="1:5" x14ac:dyDescent="0.2">
      <c r="A12" s="42"/>
      <c r="B12" s="38" t="s">
        <v>113</v>
      </c>
      <c r="C12" s="39"/>
      <c r="D12" s="40"/>
      <c r="E12" s="43"/>
    </row>
    <row r="13" spans="1:5" x14ac:dyDescent="0.2">
      <c r="A13" s="42"/>
      <c r="B13" s="9"/>
      <c r="C13" s="11" t="s">
        <v>12</v>
      </c>
      <c r="D13" s="14"/>
      <c r="E13" s="43"/>
    </row>
    <row r="14" spans="1:5" x14ac:dyDescent="0.2">
      <c r="A14" s="42"/>
      <c r="B14" s="9" t="s">
        <v>13</v>
      </c>
      <c r="C14" s="11" t="s">
        <v>14</v>
      </c>
      <c r="D14" s="13">
        <v>0</v>
      </c>
      <c r="E14" s="43"/>
    </row>
    <row r="15" spans="1:5" x14ac:dyDescent="0.2">
      <c r="A15" s="42"/>
      <c r="B15" s="9" t="s">
        <v>15</v>
      </c>
      <c r="C15" s="11" t="s">
        <v>16</v>
      </c>
      <c r="D15" s="13">
        <v>0</v>
      </c>
      <c r="E15" s="43"/>
    </row>
    <row r="16" spans="1:5" x14ac:dyDescent="0.2">
      <c r="A16" s="42"/>
      <c r="B16" s="9" t="s">
        <v>17</v>
      </c>
      <c r="C16" s="11" t="s">
        <v>18</v>
      </c>
      <c r="D16" s="13">
        <v>0</v>
      </c>
      <c r="E16" s="43"/>
    </row>
    <row r="17" spans="1:5" x14ac:dyDescent="0.2">
      <c r="A17" s="42"/>
      <c r="B17" s="38" t="s">
        <v>113</v>
      </c>
      <c r="C17" s="39"/>
      <c r="D17" s="40"/>
      <c r="E17" s="43"/>
    </row>
    <row r="18" spans="1:5" x14ac:dyDescent="0.2">
      <c r="A18" s="42"/>
      <c r="B18" s="9"/>
      <c r="C18" s="11" t="s">
        <v>19</v>
      </c>
      <c r="D18" s="14"/>
      <c r="E18" s="43"/>
    </row>
    <row r="19" spans="1:5" x14ac:dyDescent="0.2">
      <c r="A19" s="42"/>
      <c r="B19" s="9" t="s">
        <v>20</v>
      </c>
      <c r="C19" s="11" t="s">
        <v>21</v>
      </c>
      <c r="D19" s="13">
        <v>0.54716999999999993</v>
      </c>
      <c r="E19" s="43"/>
    </row>
    <row r="20" spans="1:5" x14ac:dyDescent="0.2">
      <c r="A20" s="42"/>
      <c r="B20" s="9" t="s">
        <v>22</v>
      </c>
      <c r="C20" s="11" t="s">
        <v>23</v>
      </c>
      <c r="D20" s="13">
        <v>3.9024099999999997</v>
      </c>
      <c r="E20" s="43"/>
    </row>
    <row r="21" spans="1:5" x14ac:dyDescent="0.2">
      <c r="A21" s="42"/>
      <c r="B21" s="9" t="s">
        <v>24</v>
      </c>
      <c r="C21" s="11" t="s">
        <v>25</v>
      </c>
      <c r="D21" s="13">
        <v>0</v>
      </c>
      <c r="E21" s="43"/>
    </row>
    <row r="22" spans="1:5" x14ac:dyDescent="0.2">
      <c r="A22" s="42"/>
      <c r="B22" s="9" t="s">
        <v>26</v>
      </c>
      <c r="C22" s="11" t="s">
        <v>27</v>
      </c>
      <c r="D22" s="13">
        <v>0</v>
      </c>
      <c r="E22" s="43"/>
    </row>
    <row r="23" spans="1:5" x14ac:dyDescent="0.2">
      <c r="A23" s="42"/>
      <c r="B23" s="9" t="s">
        <v>28</v>
      </c>
      <c r="C23" s="11" t="s">
        <v>29</v>
      </c>
      <c r="D23" s="13">
        <v>8.5105711047408334</v>
      </c>
      <c r="E23" s="43"/>
    </row>
    <row r="24" spans="1:5" x14ac:dyDescent="0.2">
      <c r="A24" s="42"/>
      <c r="B24" s="9" t="s">
        <v>30</v>
      </c>
      <c r="C24" s="11" t="s">
        <v>31</v>
      </c>
      <c r="D24" s="13">
        <v>2.9029721277621992</v>
      </c>
      <c r="E24" s="43"/>
    </row>
    <row r="25" spans="1:5" x14ac:dyDescent="0.2">
      <c r="A25" s="42"/>
      <c r="B25" s="9" t="s">
        <v>32</v>
      </c>
      <c r="C25" s="11" t="s">
        <v>33</v>
      </c>
      <c r="D25" s="13">
        <v>0</v>
      </c>
      <c r="E25" s="43"/>
    </row>
    <row r="26" spans="1:5" x14ac:dyDescent="0.2">
      <c r="A26" s="42"/>
      <c r="B26" s="9" t="s">
        <v>34</v>
      </c>
      <c r="C26" s="11" t="s">
        <v>35</v>
      </c>
      <c r="D26" s="13">
        <v>2.0407334601183318</v>
      </c>
      <c r="E26" s="43"/>
    </row>
    <row r="27" spans="1:5" x14ac:dyDescent="0.2">
      <c r="A27" s="42"/>
      <c r="B27" s="38" t="s">
        <v>113</v>
      </c>
      <c r="C27" s="39"/>
      <c r="D27" s="40"/>
      <c r="E27" s="43"/>
    </row>
    <row r="28" spans="1:5" x14ac:dyDescent="0.2">
      <c r="A28" s="42"/>
      <c r="B28" s="9"/>
      <c r="C28" s="11" t="s">
        <v>36</v>
      </c>
      <c r="D28" s="14"/>
      <c r="E28" s="43"/>
    </row>
    <row r="29" spans="1:5" x14ac:dyDescent="0.2">
      <c r="A29" s="42"/>
      <c r="B29" s="9" t="s">
        <v>37</v>
      </c>
      <c r="C29" s="11" t="s">
        <v>38</v>
      </c>
      <c r="D29" s="13">
        <v>0</v>
      </c>
      <c r="E29" s="43"/>
    </row>
    <row r="30" spans="1:5" x14ac:dyDescent="0.2">
      <c r="A30" s="42"/>
      <c r="B30" s="9" t="s">
        <v>39</v>
      </c>
      <c r="C30" s="11" t="s">
        <v>40</v>
      </c>
      <c r="D30" s="13">
        <v>0</v>
      </c>
      <c r="E30" s="43"/>
    </row>
    <row r="31" spans="1:5" x14ac:dyDescent="0.2">
      <c r="A31" s="42"/>
      <c r="B31" s="38" t="s">
        <v>113</v>
      </c>
      <c r="C31" s="39"/>
      <c r="D31" s="40"/>
      <c r="E31" s="43"/>
    </row>
    <row r="32" spans="1:5" x14ac:dyDescent="0.2">
      <c r="A32" s="42"/>
      <c r="B32" s="9" t="s">
        <v>41</v>
      </c>
      <c r="C32" s="11" t="s">
        <v>42</v>
      </c>
      <c r="D32" s="13">
        <v>36.764389287753318</v>
      </c>
      <c r="E32" s="43"/>
    </row>
    <row r="33" spans="1:5" x14ac:dyDescent="0.2">
      <c r="A33" s="42"/>
      <c r="B33" s="38" t="s">
        <v>113</v>
      </c>
      <c r="C33" s="39"/>
      <c r="D33" s="40"/>
      <c r="E33" s="43"/>
    </row>
    <row r="34" spans="1:5" x14ac:dyDescent="0.2">
      <c r="A34" s="42"/>
      <c r="B34" s="9"/>
      <c r="C34" s="11" t="s">
        <v>43</v>
      </c>
      <c r="D34" s="15"/>
      <c r="E34" s="43"/>
    </row>
    <row r="35" spans="1:5" x14ac:dyDescent="0.2">
      <c r="A35" s="42"/>
      <c r="B35" s="38" t="s">
        <v>113</v>
      </c>
      <c r="C35" s="39"/>
      <c r="D35" s="40"/>
      <c r="E35" s="43"/>
    </row>
    <row r="36" spans="1:5" ht="25.5" x14ac:dyDescent="0.2">
      <c r="A36" s="42"/>
      <c r="B36" s="9" t="s">
        <v>44</v>
      </c>
      <c r="C36" s="16" t="s">
        <v>45</v>
      </c>
      <c r="D36" s="17">
        <v>2.1104621419506137E-4</v>
      </c>
      <c r="E36" s="43"/>
    </row>
    <row r="37" spans="1:5" x14ac:dyDescent="0.2">
      <c r="A37" s="42"/>
      <c r="B37" s="38" t="s">
        <v>113</v>
      </c>
      <c r="C37" s="39"/>
      <c r="D37" s="40"/>
      <c r="E37" s="43"/>
    </row>
    <row r="38" spans="1:5" x14ac:dyDescent="0.2">
      <c r="A38" s="42"/>
      <c r="B38" s="9" t="s">
        <v>46</v>
      </c>
      <c r="C38" s="11" t="s">
        <v>47</v>
      </c>
      <c r="D38" s="17">
        <v>3.7154557924921585E-4</v>
      </c>
      <c r="E38" s="43"/>
    </row>
    <row r="39" spans="1:5" x14ac:dyDescent="0.2">
      <c r="A39" s="42"/>
      <c r="B39" s="38" t="s">
        <v>113</v>
      </c>
      <c r="C39" s="39"/>
      <c r="D39" s="40"/>
      <c r="E39" s="43"/>
    </row>
    <row r="40" spans="1:5" x14ac:dyDescent="0.2">
      <c r="A40" s="42"/>
      <c r="B40" s="9" t="s">
        <v>48</v>
      </c>
      <c r="C40" s="11" t="s">
        <v>49</v>
      </c>
      <c r="D40" s="18">
        <v>84833.820691393979</v>
      </c>
      <c r="E40" s="43"/>
    </row>
    <row r="41" spans="1:5" x14ac:dyDescent="0.2">
      <c r="B41" s="44" t="s">
        <v>112</v>
      </c>
      <c r="C41" s="44"/>
      <c r="D41" s="44"/>
    </row>
  </sheetData>
  <mergeCells count="13">
    <mergeCell ref="E3:E40"/>
    <mergeCell ref="B41:D41"/>
    <mergeCell ref="B39:D39"/>
    <mergeCell ref="B37:D37"/>
    <mergeCell ref="B35:D35"/>
    <mergeCell ref="B33:D33"/>
    <mergeCell ref="B31:D31"/>
    <mergeCell ref="B27:D27"/>
    <mergeCell ref="B17:D17"/>
    <mergeCell ref="B12:D12"/>
    <mergeCell ref="B8:D8"/>
    <mergeCell ref="B2:D2"/>
    <mergeCell ref="A3:A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rightToLeft="1" topLeftCell="A2" workbookViewId="0">
      <selection activeCell="B3" sqref="B3"/>
    </sheetView>
  </sheetViews>
  <sheetFormatPr defaultColWidth="8.625" defaultRowHeight="14.25" x14ac:dyDescent="0.2"/>
  <cols>
    <col min="1" max="1" width="8.625" style="1"/>
    <col min="2" max="2" width="49.875" style="34" bestFit="1" customWidth="1"/>
    <col min="3" max="3" width="17.125" customWidth="1"/>
    <col min="4" max="10" width="8.625" style="1"/>
    <col min="11" max="11" width="25.75" style="1" bestFit="1" customWidth="1"/>
    <col min="12" max="16384" width="8.625" style="1"/>
  </cols>
  <sheetData>
    <row r="1" spans="1:12" x14ac:dyDescent="0.2">
      <c r="B1" s="45" t="s">
        <v>109</v>
      </c>
      <c r="C1" s="45"/>
    </row>
    <row r="2" spans="1:12" ht="39" x14ac:dyDescent="0.25">
      <c r="A2" s="46" t="s">
        <v>110</v>
      </c>
      <c r="B2" s="32" t="s">
        <v>95</v>
      </c>
      <c r="C2" s="8" t="s">
        <v>99</v>
      </c>
      <c r="D2" s="43" t="s">
        <v>111</v>
      </c>
    </row>
    <row r="3" spans="1:12" x14ac:dyDescent="0.2">
      <c r="A3" s="46"/>
      <c r="B3" s="37" t="s">
        <v>114</v>
      </c>
      <c r="C3" s="19" t="s">
        <v>1</v>
      </c>
      <c r="D3" s="43"/>
    </row>
    <row r="4" spans="1:12" x14ac:dyDescent="0.2">
      <c r="A4" s="46"/>
      <c r="B4" s="24" t="s">
        <v>50</v>
      </c>
      <c r="C4" s="15"/>
      <c r="D4" s="43"/>
    </row>
    <row r="5" spans="1:12" x14ac:dyDescent="0.2">
      <c r="A5" s="46"/>
      <c r="B5" s="24" t="s">
        <v>51</v>
      </c>
      <c r="C5" s="15"/>
      <c r="D5" s="43"/>
    </row>
    <row r="6" spans="1:12" x14ac:dyDescent="0.2">
      <c r="A6" s="46"/>
      <c r="B6" s="20" t="s">
        <v>52</v>
      </c>
      <c r="C6" s="33">
        <v>1.9179752267911725E-5</v>
      </c>
      <c r="D6" s="43"/>
    </row>
    <row r="7" spans="1:12" x14ac:dyDescent="0.2">
      <c r="A7" s="46"/>
      <c r="B7" s="24" t="s">
        <v>53</v>
      </c>
      <c r="C7" s="15"/>
      <c r="D7" s="43"/>
    </row>
    <row r="8" spans="1:12" x14ac:dyDescent="0.2">
      <c r="A8" s="46"/>
      <c r="B8" s="22" t="s">
        <v>54</v>
      </c>
      <c r="C8" s="33">
        <v>2.9694017083581268</v>
      </c>
      <c r="D8" s="43"/>
    </row>
    <row r="9" spans="1:12" x14ac:dyDescent="0.2">
      <c r="A9" s="46"/>
      <c r="B9" s="22" t="s">
        <v>90</v>
      </c>
      <c r="C9" s="33">
        <v>1.5277414914279948</v>
      </c>
      <c r="D9" s="43"/>
    </row>
    <row r="10" spans="1:12" x14ac:dyDescent="0.2">
      <c r="A10" s="46"/>
      <c r="B10" s="22" t="s">
        <v>96</v>
      </c>
      <c r="C10" s="33">
        <v>1.7428967618057827</v>
      </c>
      <c r="D10" s="43"/>
    </row>
    <row r="11" spans="1:12" x14ac:dyDescent="0.2">
      <c r="A11" s="46"/>
      <c r="B11" s="22" t="s">
        <v>55</v>
      </c>
      <c r="C11" s="33">
        <v>4.3087572298390846</v>
      </c>
      <c r="D11" s="43"/>
    </row>
    <row r="12" spans="1:12" ht="15" x14ac:dyDescent="0.25">
      <c r="A12" s="46"/>
      <c r="B12" s="24" t="s">
        <v>56</v>
      </c>
      <c r="C12" s="13">
        <f>+SUM(C6:C11)</f>
        <v>10.548816371183257</v>
      </c>
      <c r="D12" s="43"/>
      <c r="J12" s="4"/>
      <c r="L12" s="5"/>
    </row>
    <row r="13" spans="1:12" ht="15" x14ac:dyDescent="0.25">
      <c r="A13" s="46"/>
      <c r="B13" s="38" t="s">
        <v>113</v>
      </c>
      <c r="C13" s="40"/>
      <c r="D13" s="43"/>
      <c r="J13" s="4"/>
      <c r="L13" s="5"/>
    </row>
    <row r="14" spans="1:12" ht="15" x14ac:dyDescent="0.25">
      <c r="A14" s="46"/>
      <c r="B14" s="24" t="s">
        <v>57</v>
      </c>
      <c r="C14" s="15"/>
      <c r="D14" s="43"/>
      <c r="J14" s="6"/>
      <c r="L14" s="5"/>
    </row>
    <row r="15" spans="1:12" ht="15" x14ac:dyDescent="0.25">
      <c r="A15" s="46"/>
      <c r="B15" s="24" t="s">
        <v>51</v>
      </c>
      <c r="C15" s="15"/>
      <c r="D15" s="43"/>
      <c r="J15" s="6"/>
      <c r="L15" s="5"/>
    </row>
    <row r="16" spans="1:12" ht="15" x14ac:dyDescent="0.25">
      <c r="A16" s="46"/>
      <c r="B16" s="20"/>
      <c r="C16" s="21">
        <v>0</v>
      </c>
      <c r="D16" s="43"/>
      <c r="J16" s="4"/>
      <c r="L16" s="5"/>
    </row>
    <row r="17" spans="1:12" ht="15" x14ac:dyDescent="0.25">
      <c r="A17" s="46"/>
      <c r="B17" s="24" t="s">
        <v>53</v>
      </c>
      <c r="C17" s="15"/>
      <c r="D17" s="43"/>
      <c r="J17" s="6"/>
      <c r="L17" s="5"/>
    </row>
    <row r="18" spans="1:12" ht="15" x14ac:dyDescent="0.25">
      <c r="A18" s="46"/>
      <c r="B18" s="20" t="s">
        <v>91</v>
      </c>
      <c r="C18" s="23">
        <v>0.41187965861063391</v>
      </c>
      <c r="D18" s="43"/>
      <c r="J18" s="6"/>
      <c r="L18" s="5"/>
    </row>
    <row r="19" spans="1:12" ht="15" x14ac:dyDescent="0.25">
      <c r="A19" s="46"/>
      <c r="B19" s="20" t="s">
        <v>100</v>
      </c>
      <c r="C19" s="23">
        <v>0.20036575316788921</v>
      </c>
      <c r="D19" s="43"/>
      <c r="J19" s="4"/>
      <c r="L19" s="5"/>
    </row>
    <row r="20" spans="1:12" ht="15" x14ac:dyDescent="0.25">
      <c r="A20" s="46"/>
      <c r="B20" s="20" t="s">
        <v>101</v>
      </c>
      <c r="C20" s="23">
        <v>1.1315483150836352</v>
      </c>
      <c r="D20" s="43"/>
      <c r="J20" s="6"/>
      <c r="L20" s="5"/>
    </row>
    <row r="21" spans="1:12" ht="15" x14ac:dyDescent="0.25">
      <c r="A21" s="46"/>
      <c r="B21" s="24" t="s">
        <v>58</v>
      </c>
      <c r="C21" s="2">
        <f>+SUM(C16:C20)</f>
        <v>1.7437937268621582</v>
      </c>
      <c r="D21" s="43"/>
      <c r="J21" s="6"/>
      <c r="L21" s="5"/>
    </row>
    <row r="22" spans="1:12" ht="15" x14ac:dyDescent="0.25">
      <c r="A22" s="46"/>
      <c r="B22" s="38" t="s">
        <v>113</v>
      </c>
      <c r="C22" s="40"/>
      <c r="D22" s="43"/>
      <c r="J22" s="6"/>
      <c r="L22" s="5"/>
    </row>
    <row r="23" spans="1:12" ht="15" x14ac:dyDescent="0.25">
      <c r="A23" s="46"/>
      <c r="B23" s="24" t="s">
        <v>59</v>
      </c>
      <c r="C23" s="15"/>
      <c r="D23" s="43"/>
      <c r="J23" s="6"/>
      <c r="L23" s="5"/>
    </row>
    <row r="24" spans="1:12" ht="15" x14ac:dyDescent="0.25">
      <c r="A24" s="46"/>
      <c r="B24" s="24" t="s">
        <v>60</v>
      </c>
      <c r="C24" s="2">
        <v>0</v>
      </c>
      <c r="D24" s="43"/>
      <c r="J24" s="4"/>
      <c r="L24" s="5"/>
    </row>
    <row r="25" spans="1:12" ht="15" x14ac:dyDescent="0.25">
      <c r="A25" s="46"/>
      <c r="B25" s="47" t="s">
        <v>113</v>
      </c>
      <c r="C25" s="48"/>
      <c r="D25" s="43"/>
      <c r="J25" s="4"/>
      <c r="L25" s="5"/>
    </row>
    <row r="26" spans="1:12" ht="15" x14ac:dyDescent="0.25">
      <c r="A26" s="46"/>
      <c r="B26" s="24" t="s">
        <v>61</v>
      </c>
      <c r="C26" s="15"/>
      <c r="D26" s="43"/>
      <c r="J26" s="6"/>
      <c r="L26" s="5"/>
    </row>
    <row r="27" spans="1:12" ht="15" x14ac:dyDescent="0.25">
      <c r="A27" s="46"/>
      <c r="B27" s="24" t="s">
        <v>62</v>
      </c>
      <c r="C27" s="2">
        <v>0</v>
      </c>
      <c r="D27" s="43"/>
      <c r="J27" s="4"/>
      <c r="L27" s="5"/>
    </row>
    <row r="28" spans="1:12" x14ac:dyDescent="0.2">
      <c r="A28" s="46"/>
      <c r="B28" s="38" t="s">
        <v>113</v>
      </c>
      <c r="C28" s="40"/>
      <c r="D28" s="43"/>
    </row>
    <row r="29" spans="1:12" x14ac:dyDescent="0.2">
      <c r="A29" s="46"/>
      <c r="B29" s="24" t="s">
        <v>63</v>
      </c>
      <c r="C29" s="15"/>
      <c r="D29" s="43"/>
    </row>
    <row r="30" spans="1:12" x14ac:dyDescent="0.2">
      <c r="A30" s="46"/>
      <c r="B30" s="24" t="s">
        <v>64</v>
      </c>
      <c r="C30" s="2">
        <v>0</v>
      </c>
      <c r="D30" s="43"/>
    </row>
    <row r="31" spans="1:12" x14ac:dyDescent="0.2">
      <c r="A31" s="46"/>
      <c r="B31" s="38"/>
      <c r="C31" s="40"/>
      <c r="D31" s="43"/>
    </row>
    <row r="32" spans="1:12" x14ac:dyDescent="0.2">
      <c r="A32" s="46"/>
      <c r="B32" s="24" t="s">
        <v>65</v>
      </c>
      <c r="C32" s="15"/>
      <c r="D32" s="43"/>
    </row>
    <row r="33" spans="1:4" x14ac:dyDescent="0.2">
      <c r="A33" s="46"/>
      <c r="B33" s="20"/>
      <c r="C33" s="23"/>
      <c r="D33" s="43"/>
    </row>
    <row r="34" spans="1:4" x14ac:dyDescent="0.2">
      <c r="A34" s="46"/>
      <c r="B34" s="24" t="s">
        <v>66</v>
      </c>
      <c r="C34" s="2">
        <v>0</v>
      </c>
      <c r="D34" s="43"/>
    </row>
    <row r="35" spans="1:4" x14ac:dyDescent="0.2">
      <c r="A35" s="46"/>
      <c r="B35" s="38"/>
      <c r="C35" s="40"/>
      <c r="D35" s="43"/>
    </row>
    <row r="36" spans="1:4" x14ac:dyDescent="0.2">
      <c r="A36" s="46"/>
      <c r="B36" s="24" t="s">
        <v>67</v>
      </c>
      <c r="C36" s="15"/>
      <c r="D36" s="43"/>
    </row>
    <row r="37" spans="1:4" x14ac:dyDescent="0.2">
      <c r="A37" s="46"/>
      <c r="B37" s="20"/>
      <c r="C37" s="2">
        <v>0</v>
      </c>
      <c r="D37" s="43"/>
    </row>
    <row r="38" spans="1:4" x14ac:dyDescent="0.2">
      <c r="A38" s="46"/>
      <c r="B38" s="24" t="s">
        <v>68</v>
      </c>
      <c r="C38" s="2">
        <v>0</v>
      </c>
      <c r="D38" s="43"/>
    </row>
    <row r="39" spans="1:4" x14ac:dyDescent="0.2">
      <c r="A39" s="46"/>
      <c r="B39" s="38" t="s">
        <v>113</v>
      </c>
      <c r="C39" s="40"/>
      <c r="D39" s="43"/>
    </row>
    <row r="40" spans="1:4" x14ac:dyDescent="0.2">
      <c r="A40" s="46"/>
      <c r="B40" s="24" t="s">
        <v>69</v>
      </c>
      <c r="C40" s="13">
        <f>+C34+C38+C30+C27+C24+C21+C12</f>
        <v>12.292610098045415</v>
      </c>
      <c r="D40" s="43"/>
    </row>
    <row r="41" spans="1:4" x14ac:dyDescent="0.2">
      <c r="A41" s="46"/>
      <c r="B41" s="38" t="s">
        <v>113</v>
      </c>
      <c r="C41" s="40"/>
      <c r="D41" s="43"/>
    </row>
    <row r="42" spans="1:4" x14ac:dyDescent="0.2">
      <c r="A42" s="46"/>
      <c r="B42" s="11" t="s">
        <v>49</v>
      </c>
      <c r="C42" s="18">
        <v>84833.820691393979</v>
      </c>
      <c r="D42" s="43"/>
    </row>
    <row r="43" spans="1:4" x14ac:dyDescent="0.2">
      <c r="B43" s="44" t="s">
        <v>112</v>
      </c>
      <c r="C43" s="44"/>
    </row>
  </sheetData>
  <mergeCells count="12">
    <mergeCell ref="B43:C43"/>
    <mergeCell ref="B41:C41"/>
    <mergeCell ref="B39:C39"/>
    <mergeCell ref="B35:C35"/>
    <mergeCell ref="B31:C31"/>
    <mergeCell ref="B22:C22"/>
    <mergeCell ref="B13:C13"/>
    <mergeCell ref="B1:C1"/>
    <mergeCell ref="A2:A42"/>
    <mergeCell ref="D2:D42"/>
    <mergeCell ref="B28:C28"/>
    <mergeCell ref="B25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rightToLeft="1" workbookViewId="0">
      <selection activeCell="F12" sqref="E12:F12"/>
    </sheetView>
  </sheetViews>
  <sheetFormatPr defaultColWidth="8.625" defaultRowHeight="14.25" x14ac:dyDescent="0.2"/>
  <cols>
    <col min="1" max="1" width="8.625" style="1"/>
    <col min="2" max="2" width="33.75" bestFit="1" customWidth="1"/>
    <col min="3" max="3" width="28.375" customWidth="1"/>
    <col min="4" max="16384" width="8.625" style="1"/>
  </cols>
  <sheetData>
    <row r="1" spans="1:4" x14ac:dyDescent="0.2">
      <c r="B1" s="45" t="s">
        <v>109</v>
      </c>
      <c r="C1" s="45"/>
    </row>
    <row r="2" spans="1:4" ht="26.25" x14ac:dyDescent="0.25">
      <c r="A2" s="46" t="s">
        <v>110</v>
      </c>
      <c r="B2" s="7" t="s">
        <v>95</v>
      </c>
      <c r="C2" s="8" t="s">
        <v>102</v>
      </c>
      <c r="D2" s="43" t="s">
        <v>112</v>
      </c>
    </row>
    <row r="3" spans="1:4" x14ac:dyDescent="0.2">
      <c r="A3" s="46"/>
      <c r="B3" s="19" t="s">
        <v>70</v>
      </c>
      <c r="C3" s="19" t="s">
        <v>71</v>
      </c>
      <c r="D3" s="43"/>
    </row>
    <row r="4" spans="1:4" x14ac:dyDescent="0.2">
      <c r="A4" s="46"/>
      <c r="B4" s="25" t="s">
        <v>72</v>
      </c>
      <c r="C4" s="19"/>
      <c r="D4" s="43"/>
    </row>
    <row r="5" spans="1:4" x14ac:dyDescent="0.2">
      <c r="A5" s="46"/>
      <c r="B5" s="20" t="s">
        <v>103</v>
      </c>
      <c r="C5" s="26">
        <v>0.54716999999999993</v>
      </c>
      <c r="D5" s="43"/>
    </row>
    <row r="6" spans="1:4" x14ac:dyDescent="0.2">
      <c r="A6" s="46"/>
      <c r="B6" s="20" t="s">
        <v>104</v>
      </c>
      <c r="C6" s="26">
        <v>3.9024099999999997</v>
      </c>
      <c r="D6" s="43"/>
    </row>
    <row r="7" spans="1:4" x14ac:dyDescent="0.2">
      <c r="A7" s="46"/>
      <c r="B7" s="27" t="s">
        <v>73</v>
      </c>
      <c r="C7" s="13">
        <f>+SUM(C5:C6)</f>
        <v>4.4495799999999992</v>
      </c>
      <c r="D7" s="43"/>
    </row>
    <row r="8" spans="1:4" x14ac:dyDescent="0.2">
      <c r="A8" s="46"/>
      <c r="B8" s="49" t="s">
        <v>113</v>
      </c>
      <c r="C8" s="50"/>
      <c r="D8" s="43"/>
    </row>
    <row r="9" spans="1:4" x14ac:dyDescent="0.2">
      <c r="A9" s="46"/>
      <c r="B9" s="27" t="s">
        <v>74</v>
      </c>
      <c r="C9" s="19"/>
      <c r="D9" s="43"/>
    </row>
    <row r="10" spans="1:4" x14ac:dyDescent="0.2">
      <c r="A10" s="46"/>
      <c r="B10" s="20"/>
      <c r="C10" s="28">
        <v>0</v>
      </c>
      <c r="D10" s="43"/>
    </row>
    <row r="11" spans="1:4" x14ac:dyDescent="0.2">
      <c r="A11" s="46"/>
      <c r="B11" s="27" t="s">
        <v>75</v>
      </c>
      <c r="C11" s="28">
        <v>0</v>
      </c>
      <c r="D11" s="43"/>
    </row>
    <row r="12" spans="1:4" x14ac:dyDescent="0.2">
      <c r="A12" s="46"/>
      <c r="B12" s="49" t="s">
        <v>113</v>
      </c>
      <c r="C12" s="50"/>
      <c r="D12" s="43"/>
    </row>
    <row r="13" spans="1:4" x14ac:dyDescent="0.2">
      <c r="A13" s="46"/>
      <c r="B13" s="27" t="s">
        <v>76</v>
      </c>
      <c r="C13" s="19"/>
      <c r="D13" s="43"/>
    </row>
    <row r="14" spans="1:4" x14ac:dyDescent="0.2">
      <c r="A14" s="46"/>
      <c r="B14" s="20"/>
      <c r="C14" s="28">
        <v>0</v>
      </c>
      <c r="D14" s="43"/>
    </row>
    <row r="15" spans="1:4" x14ac:dyDescent="0.2">
      <c r="A15" s="46"/>
      <c r="B15" s="27" t="s">
        <v>77</v>
      </c>
      <c r="C15" s="28">
        <v>0</v>
      </c>
      <c r="D15" s="43"/>
    </row>
    <row r="16" spans="1:4" x14ac:dyDescent="0.2">
      <c r="A16" s="46"/>
      <c r="B16" s="51" t="s">
        <v>113</v>
      </c>
      <c r="C16" s="52"/>
      <c r="D16" s="43"/>
    </row>
    <row r="17" spans="1:4" x14ac:dyDescent="0.2">
      <c r="A17" s="46"/>
      <c r="B17" s="27" t="s">
        <v>78</v>
      </c>
      <c r="C17" s="19"/>
      <c r="D17" s="43"/>
    </row>
    <row r="18" spans="1:4" x14ac:dyDescent="0.2">
      <c r="A18" s="46"/>
      <c r="B18" s="25" t="s">
        <v>79</v>
      </c>
      <c r="C18" s="29"/>
      <c r="D18" s="43"/>
    </row>
    <row r="19" spans="1:4" x14ac:dyDescent="0.2">
      <c r="A19" s="46"/>
      <c r="B19" s="20"/>
      <c r="C19" s="26"/>
      <c r="D19" s="43"/>
    </row>
    <row r="20" spans="1:4" x14ac:dyDescent="0.2">
      <c r="A20" s="46"/>
      <c r="B20" s="25" t="s">
        <v>80</v>
      </c>
      <c r="C20" s="3"/>
      <c r="D20" s="43"/>
    </row>
    <row r="21" spans="1:4" x14ac:dyDescent="0.2">
      <c r="A21" s="46"/>
      <c r="B21" s="20" t="s">
        <v>92</v>
      </c>
      <c r="C21" s="26">
        <v>0.20531054690440703</v>
      </c>
      <c r="D21" s="43"/>
    </row>
    <row r="22" spans="1:4" x14ac:dyDescent="0.2">
      <c r="A22" s="46"/>
      <c r="B22" s="20" t="s">
        <v>97</v>
      </c>
      <c r="C22" s="26">
        <v>0.34274384954833337</v>
      </c>
      <c r="D22" s="43"/>
    </row>
    <row r="23" spans="1:4" x14ac:dyDescent="0.2">
      <c r="A23" s="46"/>
      <c r="B23" s="20" t="s">
        <v>55</v>
      </c>
      <c r="C23" s="26">
        <v>1.0303651525752942</v>
      </c>
      <c r="D23" s="43"/>
    </row>
    <row r="24" spans="1:4" x14ac:dyDescent="0.2">
      <c r="A24" s="46"/>
      <c r="B24" s="20" t="s">
        <v>105</v>
      </c>
      <c r="C24" s="26">
        <v>0.22034519538684089</v>
      </c>
      <c r="D24" s="43"/>
    </row>
    <row r="25" spans="1:4" x14ac:dyDescent="0.2">
      <c r="A25" s="46"/>
      <c r="B25" s="20" t="s">
        <v>106</v>
      </c>
      <c r="C25" s="26">
        <v>0.24196871570345541</v>
      </c>
      <c r="D25" s="43"/>
    </row>
    <row r="26" spans="1:4" x14ac:dyDescent="0.2">
      <c r="A26" s="46"/>
      <c r="B26" s="27" t="s">
        <v>81</v>
      </c>
      <c r="C26" s="13">
        <f>+SUM(C19:C25)</f>
        <v>2.0407334601183309</v>
      </c>
      <c r="D26" s="43"/>
    </row>
    <row r="27" spans="1:4" x14ac:dyDescent="0.2">
      <c r="A27" s="46"/>
      <c r="B27" s="49" t="s">
        <v>113</v>
      </c>
      <c r="C27" s="50"/>
      <c r="D27" s="43"/>
    </row>
    <row r="28" spans="1:4" x14ac:dyDescent="0.2">
      <c r="A28" s="46"/>
      <c r="B28" s="27" t="s">
        <v>82</v>
      </c>
      <c r="C28" s="19"/>
      <c r="D28" s="43"/>
    </row>
    <row r="29" spans="1:4" x14ac:dyDescent="0.2">
      <c r="A29" s="46"/>
      <c r="B29" s="30" t="s">
        <v>83</v>
      </c>
      <c r="C29" s="13"/>
      <c r="D29" s="43"/>
    </row>
    <row r="30" spans="1:4" x14ac:dyDescent="0.2">
      <c r="A30" s="46"/>
      <c r="B30" s="31" t="s">
        <v>94</v>
      </c>
      <c r="C30" s="26">
        <v>3.5559088047408332</v>
      </c>
      <c r="D30" s="43"/>
    </row>
    <row r="31" spans="1:4" x14ac:dyDescent="0.2">
      <c r="A31" s="46"/>
      <c r="B31" s="31" t="s">
        <v>93</v>
      </c>
      <c r="C31" s="26">
        <v>4.9546622999999999</v>
      </c>
      <c r="D31" s="43"/>
    </row>
    <row r="32" spans="1:4" x14ac:dyDescent="0.2">
      <c r="A32" s="46"/>
      <c r="B32" s="30" t="s">
        <v>84</v>
      </c>
      <c r="C32" s="13"/>
      <c r="D32" s="43"/>
    </row>
    <row r="33" spans="1:4" x14ac:dyDescent="0.2">
      <c r="A33" s="46"/>
      <c r="B33" s="20" t="s">
        <v>86</v>
      </c>
      <c r="C33" s="26">
        <v>0.63485657804280571</v>
      </c>
      <c r="D33" s="43"/>
    </row>
    <row r="34" spans="1:4" x14ac:dyDescent="0.2">
      <c r="A34" s="46"/>
      <c r="B34" s="20" t="s">
        <v>85</v>
      </c>
      <c r="C34" s="26">
        <v>0.40230076187648534</v>
      </c>
      <c r="D34" s="43"/>
    </row>
    <row r="35" spans="1:4" x14ac:dyDescent="0.2">
      <c r="A35" s="46"/>
      <c r="B35" s="20" t="s">
        <v>87</v>
      </c>
      <c r="C35" s="26">
        <v>0.74457388927302881</v>
      </c>
      <c r="D35" s="43"/>
    </row>
    <row r="36" spans="1:4" x14ac:dyDescent="0.2">
      <c r="A36" s="46"/>
      <c r="B36" s="20" t="s">
        <v>107</v>
      </c>
      <c r="C36" s="26">
        <v>0.28736309602784144</v>
      </c>
      <c r="D36" s="43"/>
    </row>
    <row r="37" spans="1:4" x14ac:dyDescent="0.2">
      <c r="A37" s="46"/>
      <c r="B37" s="20" t="s">
        <v>108</v>
      </c>
      <c r="C37" s="26">
        <v>0.52320883391266859</v>
      </c>
      <c r="D37" s="43"/>
    </row>
    <row r="38" spans="1:4" x14ac:dyDescent="0.2">
      <c r="A38" s="46"/>
      <c r="B38" s="20" t="s">
        <v>55</v>
      </c>
      <c r="C38" s="26">
        <v>0.31066896862936216</v>
      </c>
      <c r="D38" s="43"/>
    </row>
    <row r="39" spans="1:4" x14ac:dyDescent="0.2">
      <c r="A39" s="46"/>
      <c r="B39" s="27" t="s">
        <v>88</v>
      </c>
      <c r="C39" s="13">
        <f>+SUM(C30:C38)</f>
        <v>11.413543232503025</v>
      </c>
      <c r="D39" s="43"/>
    </row>
    <row r="40" spans="1:4" x14ac:dyDescent="0.2">
      <c r="A40" s="46"/>
      <c r="B40" s="49" t="s">
        <v>113</v>
      </c>
      <c r="C40" s="50"/>
      <c r="D40" s="43"/>
    </row>
    <row r="41" spans="1:4" x14ac:dyDescent="0.2">
      <c r="A41" s="46"/>
      <c r="B41" s="25" t="s">
        <v>89</v>
      </c>
      <c r="C41" s="13">
        <f>+C39+C26+C7</f>
        <v>17.903856692621353</v>
      </c>
      <c r="D41" s="43"/>
    </row>
    <row r="42" spans="1:4" x14ac:dyDescent="0.2">
      <c r="A42" s="46"/>
      <c r="B42" s="11" t="s">
        <v>49</v>
      </c>
      <c r="C42" s="18">
        <v>84833.820691393979</v>
      </c>
      <c r="D42" s="43"/>
    </row>
    <row r="43" spans="1:4" x14ac:dyDescent="0.2">
      <c r="B43" s="44" t="s">
        <v>112</v>
      </c>
      <c r="C43" s="44"/>
    </row>
  </sheetData>
  <mergeCells count="9">
    <mergeCell ref="B1:C1"/>
    <mergeCell ref="A2:A42"/>
    <mergeCell ref="D2:D42"/>
    <mergeCell ref="B43:C43"/>
    <mergeCell ref="B40:C40"/>
    <mergeCell ref="B27:C27"/>
    <mergeCell ref="B16:C16"/>
    <mergeCell ref="B12:C12"/>
    <mergeCell ref="B8:C8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4B78C8F3-DAC2-483F-AB02-96C92F9A4A38}"/>
</file>

<file path=customXml/itemProps2.xml><?xml version="1.0" encoding="utf-8"?>
<ds:datastoreItem xmlns:ds="http://schemas.openxmlformats.org/officeDocument/2006/customXml" ds:itemID="{A7BFA537-D247-4E09-AB0C-AE087A66D543}"/>
</file>

<file path=customXml/itemProps3.xml><?xml version="1.0" encoding="utf-8"?>
<ds:datastoreItem xmlns:ds="http://schemas.openxmlformats.org/officeDocument/2006/customXml" ds:itemID="{2565FA92-7BF8-406C-AB2A-0EFA54756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</dc:title>
  <dc:creator/>
  <cp:lastModifiedBy/>
  <dcterms:created xsi:type="dcterms:W3CDTF">2015-06-05T18:19:34Z</dcterms:created>
  <dcterms:modified xsi:type="dcterms:W3CDTF">2023-03-30T19:09:36Z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