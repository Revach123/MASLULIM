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SUS Vivobook\Downloads\"/>
    </mc:Choice>
  </mc:AlternateContent>
  <xr:revisionPtr revIDLastSave="0" documentId="13_ncr:1_{89BAF9A0-7C77-4DE5-8EE1-51A64E5D994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גיליון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I355" i="1" l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N352" i="1" l="1"/>
  <c r="N361" i="1" s="1"/>
  <c r="V352" i="1"/>
  <c r="V354" i="1" s="1"/>
  <c r="AH352" i="1"/>
  <c r="AH354" i="1" s="1"/>
  <c r="AX352" i="1"/>
  <c r="AX361" i="1" s="1"/>
  <c r="BB352" i="1"/>
  <c r="BB354" i="1" s="1"/>
  <c r="N354" i="1"/>
  <c r="AX354" i="1"/>
  <c r="AX357" i="1"/>
  <c r="AD352" i="1"/>
  <c r="AD356" i="1" s="1"/>
  <c r="AT352" i="1"/>
  <c r="AT356" i="1" s="1"/>
  <c r="G352" i="1"/>
  <c r="G354" i="1" s="1"/>
  <c r="K352" i="1"/>
  <c r="K354" i="1" s="1"/>
  <c r="O352" i="1"/>
  <c r="O354" i="1" s="1"/>
  <c r="S352" i="1"/>
  <c r="S354" i="1" s="1"/>
  <c r="W352" i="1"/>
  <c r="W354" i="1" s="1"/>
  <c r="AA352" i="1"/>
  <c r="AA356" i="1" s="1"/>
  <c r="AE352" i="1"/>
  <c r="AE354" i="1" s="1"/>
  <c r="AI352" i="1"/>
  <c r="AI354" i="1" s="1"/>
  <c r="AM352" i="1"/>
  <c r="AM354" i="1" s="1"/>
  <c r="AQ352" i="1"/>
  <c r="AQ356" i="1" s="1"/>
  <c r="AU352" i="1"/>
  <c r="AU354" i="1" s="1"/>
  <c r="AY352" i="1"/>
  <c r="AY354" i="1" s="1"/>
  <c r="BC352" i="1"/>
  <c r="BC354" i="1" s="1"/>
  <c r="BG352" i="1"/>
  <c r="BG361" i="1" s="1"/>
  <c r="F352" i="1"/>
  <c r="F354" i="1" s="1"/>
  <c r="R352" i="1"/>
  <c r="R354" i="1" s="1"/>
  <c r="P352" i="1"/>
  <c r="P354" i="1" s="1"/>
  <c r="X352" i="1"/>
  <c r="X354" i="1" s="1"/>
  <c r="AF352" i="1"/>
  <c r="AF354" i="1" s="1"/>
  <c r="AN352" i="1"/>
  <c r="AN354" i="1" s="1"/>
  <c r="AV352" i="1"/>
  <c r="AV354" i="1" s="1"/>
  <c r="BD352" i="1"/>
  <c r="BD360" i="1" s="1"/>
  <c r="BH352" i="1"/>
  <c r="BH354" i="1" s="1"/>
  <c r="AE361" i="1"/>
  <c r="AI361" i="1"/>
  <c r="AM361" i="1"/>
  <c r="AL352" i="1"/>
  <c r="AL354" i="1" s="1"/>
  <c r="V356" i="1"/>
  <c r="AH356" i="1"/>
  <c r="H352" i="1"/>
  <c r="H354" i="1" s="1"/>
  <c r="L352" i="1"/>
  <c r="L354" i="1" s="1"/>
  <c r="T352" i="1"/>
  <c r="T354" i="1" s="1"/>
  <c r="AB352" i="1"/>
  <c r="AB354" i="1" s="1"/>
  <c r="AJ352" i="1"/>
  <c r="AJ354" i="1" s="1"/>
  <c r="AR352" i="1"/>
  <c r="AR354" i="1" s="1"/>
  <c r="AZ352" i="1"/>
  <c r="AZ354" i="1" s="1"/>
  <c r="N358" i="1"/>
  <c r="AD358" i="1"/>
  <c r="AT358" i="1"/>
  <c r="E352" i="1"/>
  <c r="E354" i="1" s="1"/>
  <c r="I352" i="1"/>
  <c r="I354" i="1" s="1"/>
  <c r="M352" i="1"/>
  <c r="M354" i="1" s="1"/>
  <c r="Q352" i="1"/>
  <c r="Q354" i="1" s="1"/>
  <c r="U352" i="1"/>
  <c r="U354" i="1" s="1"/>
  <c r="Y352" i="1"/>
  <c r="Y354" i="1" s="1"/>
  <c r="AC352" i="1"/>
  <c r="AC354" i="1" s="1"/>
  <c r="AG352" i="1"/>
  <c r="AG354" i="1" s="1"/>
  <c r="AK352" i="1"/>
  <c r="AK354" i="1" s="1"/>
  <c r="AO352" i="1"/>
  <c r="AO354" i="1" s="1"/>
  <c r="AS352" i="1"/>
  <c r="AS354" i="1" s="1"/>
  <c r="AW352" i="1"/>
  <c r="AW354" i="1" s="1"/>
  <c r="BA352" i="1"/>
  <c r="BE352" i="1"/>
  <c r="BE354" i="1" s="1"/>
  <c r="BI352" i="1"/>
  <c r="BI354" i="1" s="1"/>
  <c r="X357" i="1"/>
  <c r="F359" i="1"/>
  <c r="N359" i="1"/>
  <c r="V359" i="1"/>
  <c r="J352" i="1"/>
  <c r="J354" i="1" s="1"/>
  <c r="Z352" i="1"/>
  <c r="Z354" i="1" s="1"/>
  <c r="AP352" i="1"/>
  <c r="AP354" i="1" s="1"/>
  <c r="BF352" i="1"/>
  <c r="BF354" i="1" s="1"/>
  <c r="X361" i="1"/>
  <c r="AF361" i="1"/>
  <c r="BD361" i="1"/>
  <c r="Q361" i="1"/>
  <c r="AF360" i="1" l="1"/>
  <c r="AO361" i="1"/>
  <c r="Z358" i="1"/>
  <c r="W357" i="1"/>
  <c r="AX356" i="1"/>
  <c r="I361" i="1"/>
  <c r="I360" i="1"/>
  <c r="AT359" i="1"/>
  <c r="AA361" i="1"/>
  <c r="K358" i="1"/>
  <c r="AG361" i="1"/>
  <c r="BE360" i="1"/>
  <c r="BG358" i="1"/>
  <c r="BG357" i="1"/>
  <c r="AG360" i="1"/>
  <c r="BB359" i="1"/>
  <c r="AA358" i="1"/>
  <c r="AA357" i="1"/>
  <c r="BC360" i="1"/>
  <c r="BG356" i="1"/>
  <c r="AX359" i="1"/>
  <c r="O358" i="1"/>
  <c r="BB358" i="1"/>
  <c r="AY360" i="1"/>
  <c r="AH360" i="1"/>
  <c r="AX358" i="1"/>
  <c r="AM360" i="1"/>
  <c r="BH361" i="1"/>
  <c r="AH359" i="1"/>
  <c r="AF357" i="1"/>
  <c r="AH358" i="1"/>
  <c r="AI360" i="1"/>
  <c r="W358" i="1"/>
  <c r="AY356" i="1"/>
  <c r="BH356" i="1"/>
  <c r="J356" i="1"/>
  <c r="E361" i="1"/>
  <c r="AZ361" i="1"/>
  <c r="BC358" i="1"/>
  <c r="W356" i="1"/>
  <c r="BB360" i="1"/>
  <c r="K356" i="1"/>
  <c r="AY358" i="1"/>
  <c r="BH357" i="1"/>
  <c r="W361" i="1"/>
  <c r="W360" i="1"/>
  <c r="AX360" i="1"/>
  <c r="AM358" i="1"/>
  <c r="AZ357" i="1"/>
  <c r="AY357" i="1"/>
  <c r="K361" i="1"/>
  <c r="F358" i="1"/>
  <c r="BB361" i="1"/>
  <c r="G360" i="1"/>
  <c r="AT360" i="1"/>
  <c r="T361" i="1"/>
  <c r="AI358" i="1"/>
  <c r="AN357" i="1"/>
  <c r="BC361" i="1"/>
  <c r="BH360" i="1"/>
  <c r="AU357" i="1"/>
  <c r="AT357" i="1"/>
  <c r="AP360" i="1"/>
  <c r="L361" i="1"/>
  <c r="R359" i="1"/>
  <c r="AE358" i="1"/>
  <c r="AJ357" i="1"/>
  <c r="G357" i="1"/>
  <c r="BB356" i="1"/>
  <c r="AY361" i="1"/>
  <c r="AZ360" i="1"/>
  <c r="AM357" i="1"/>
  <c r="AH361" i="1"/>
  <c r="AH357" i="1"/>
  <c r="AV360" i="1"/>
  <c r="AN361" i="1"/>
  <c r="F360" i="1"/>
  <c r="AJ361" i="1"/>
  <c r="Y360" i="1"/>
  <c r="U360" i="1"/>
  <c r="AV357" i="1"/>
  <c r="AL358" i="1"/>
  <c r="AU361" i="1"/>
  <c r="AU359" i="1"/>
  <c r="AU360" i="1"/>
  <c r="AV356" i="1"/>
  <c r="AY359" i="1"/>
  <c r="K359" i="1"/>
  <c r="K360" i="1"/>
  <c r="AJ360" i="1"/>
  <c r="AU356" i="1"/>
  <c r="AU358" i="1"/>
  <c r="T357" i="1"/>
  <c r="AO356" i="1"/>
  <c r="O357" i="1"/>
  <c r="AF356" i="1"/>
  <c r="AV361" i="1"/>
  <c r="AO360" i="1"/>
  <c r="BD357" i="1"/>
  <c r="L357" i="1"/>
  <c r="K357" i="1"/>
  <c r="O361" i="1"/>
  <c r="BB357" i="1"/>
  <c r="O356" i="1"/>
  <c r="AR356" i="1"/>
  <c r="AW359" i="1"/>
  <c r="BE361" i="1"/>
  <c r="AW361" i="1"/>
  <c r="AR361" i="1"/>
  <c r="AB361" i="1"/>
  <c r="H361" i="1"/>
  <c r="AD359" i="1"/>
  <c r="AR357" i="1"/>
  <c r="AB357" i="1"/>
  <c r="H357" i="1"/>
  <c r="AG356" i="1"/>
  <c r="AZ356" i="1"/>
  <c r="AJ356" i="1"/>
  <c r="AR360" i="1"/>
  <c r="AB360" i="1"/>
  <c r="AG359" i="1"/>
  <c r="BC357" i="1"/>
  <c r="BD356" i="1"/>
  <c r="AN356" i="1"/>
  <c r="Z361" i="1"/>
  <c r="O360" i="1"/>
  <c r="AO358" i="1"/>
  <c r="J357" i="1"/>
  <c r="O359" i="1"/>
  <c r="N356" i="1"/>
  <c r="V360" i="1"/>
  <c r="AN358" i="1"/>
  <c r="V357" i="1"/>
  <c r="AN360" i="1"/>
  <c r="BE359" i="1"/>
  <c r="Y359" i="1"/>
  <c r="V361" i="1"/>
  <c r="Q358" i="1"/>
  <c r="AM356" i="1"/>
  <c r="AR358" i="1"/>
  <c r="N360" i="1"/>
  <c r="N357" i="1"/>
  <c r="AW360" i="1"/>
  <c r="AR359" i="1"/>
  <c r="H358" i="1"/>
  <c r="AP359" i="1"/>
  <c r="AW356" i="1"/>
  <c r="AB356" i="1"/>
  <c r="BE357" i="1"/>
  <c r="I359" i="1"/>
  <c r="Y361" i="1"/>
  <c r="BE356" i="1"/>
  <c r="V358" i="1"/>
  <c r="AI357" i="1"/>
  <c r="AO359" i="1"/>
  <c r="T359" i="1"/>
  <c r="BC356" i="1"/>
  <c r="E357" i="1"/>
  <c r="AD360" i="1"/>
  <c r="BA354" i="1"/>
  <c r="BA358" i="1"/>
  <c r="L360" i="1"/>
  <c r="BF356" i="1"/>
  <c r="BI358" i="1"/>
  <c r="AL357" i="1"/>
  <c r="BI361" i="1"/>
  <c r="AS361" i="1"/>
  <c r="AC361" i="1"/>
  <c r="M361" i="1"/>
  <c r="BF360" i="1"/>
  <c r="BA360" i="1"/>
  <c r="AK360" i="1"/>
  <c r="Q360" i="1"/>
  <c r="E360" i="1"/>
  <c r="AQ358" i="1"/>
  <c r="Y356" i="1"/>
  <c r="Q356" i="1"/>
  <c r="I356" i="1"/>
  <c r="E356" i="1"/>
  <c r="T356" i="1"/>
  <c r="H356" i="1"/>
  <c r="AO357" i="1"/>
  <c r="AP356" i="1"/>
  <c r="AQ361" i="1"/>
  <c r="X360" i="1"/>
  <c r="BA359" i="1"/>
  <c r="AK359" i="1"/>
  <c r="U359" i="1"/>
  <c r="R358" i="1"/>
  <c r="BD354" i="1"/>
  <c r="BD359" i="1"/>
  <c r="X356" i="1"/>
  <c r="AS357" i="1"/>
  <c r="AP361" i="1"/>
  <c r="F361" i="1"/>
  <c r="S360" i="1"/>
  <c r="BH359" i="1"/>
  <c r="AJ359" i="1"/>
  <c r="P359" i="1"/>
  <c r="BE358" i="1"/>
  <c r="AG358" i="1"/>
  <c r="M358" i="1"/>
  <c r="AD357" i="1"/>
  <c r="F357" i="1"/>
  <c r="AE356" i="1"/>
  <c r="J360" i="1"/>
  <c r="AM359" i="1"/>
  <c r="AJ358" i="1"/>
  <c r="AW357" i="1"/>
  <c r="Z360" i="1"/>
  <c r="AI359" i="1"/>
  <c r="G359" i="1"/>
  <c r="AF358" i="1"/>
  <c r="AK357" i="1"/>
  <c r="AN359" i="1"/>
  <c r="U358" i="1"/>
  <c r="AL360" i="1"/>
  <c r="M360" i="1"/>
  <c r="BF359" i="1"/>
  <c r="Z359" i="1"/>
  <c r="J359" i="1"/>
  <c r="S357" i="1"/>
  <c r="Y357" i="1"/>
  <c r="T360" i="1"/>
  <c r="H360" i="1"/>
  <c r="Q359" i="1"/>
  <c r="E359" i="1"/>
  <c r="AP358" i="1"/>
  <c r="J358" i="1"/>
  <c r="AC357" i="1"/>
  <c r="AL356" i="1"/>
  <c r="S356" i="1"/>
  <c r="BF361" i="1"/>
  <c r="AL361" i="1"/>
  <c r="R361" i="1"/>
  <c r="AZ359" i="1"/>
  <c r="AF359" i="1"/>
  <c r="L359" i="1"/>
  <c r="AW358" i="1"/>
  <c r="AC358" i="1"/>
  <c r="I358" i="1"/>
  <c r="Z357" i="1"/>
  <c r="BG354" i="1"/>
  <c r="BG360" i="1"/>
  <c r="AA354" i="1"/>
  <c r="AA360" i="1"/>
  <c r="AE359" i="1"/>
  <c r="BH358" i="1"/>
  <c r="AB358" i="1"/>
  <c r="AG357" i="1"/>
  <c r="AT354" i="1"/>
  <c r="AT361" i="1"/>
  <c r="BG359" i="1"/>
  <c r="AA359" i="1"/>
  <c r="BD358" i="1"/>
  <c r="X358" i="1"/>
  <c r="U357" i="1"/>
  <c r="R356" i="1"/>
  <c r="X359" i="1"/>
  <c r="BI357" i="1"/>
  <c r="AQ354" i="1"/>
  <c r="AQ360" i="1"/>
  <c r="BA361" i="1"/>
  <c r="AK361" i="1"/>
  <c r="U361" i="1"/>
  <c r="P361" i="1"/>
  <c r="BI360" i="1"/>
  <c r="AS360" i="1"/>
  <c r="AC360" i="1"/>
  <c r="AL359" i="1"/>
  <c r="S358" i="1"/>
  <c r="G358" i="1"/>
  <c r="P357" i="1"/>
  <c r="BI356" i="1"/>
  <c r="BA356" i="1"/>
  <c r="AS356" i="1"/>
  <c r="AK356" i="1"/>
  <c r="AC356" i="1"/>
  <c r="U356" i="1"/>
  <c r="M356" i="1"/>
  <c r="AQ357" i="1"/>
  <c r="L356" i="1"/>
  <c r="P358" i="1"/>
  <c r="I357" i="1"/>
  <c r="S361" i="1"/>
  <c r="G361" i="1"/>
  <c r="P360" i="1"/>
  <c r="BI359" i="1"/>
  <c r="AS359" i="1"/>
  <c r="AC359" i="1"/>
  <c r="M359" i="1"/>
  <c r="BF358" i="1"/>
  <c r="AE357" i="1"/>
  <c r="P356" i="1"/>
  <c r="T358" i="1"/>
  <c r="M357" i="1"/>
  <c r="Z356" i="1"/>
  <c r="G356" i="1"/>
  <c r="J361" i="1"/>
  <c r="AE360" i="1"/>
  <c r="AV359" i="1"/>
  <c r="AB359" i="1"/>
  <c r="H359" i="1"/>
  <c r="AS358" i="1"/>
  <c r="Y358" i="1"/>
  <c r="E358" i="1"/>
  <c r="AP357" i="1"/>
  <c r="R357" i="1"/>
  <c r="BC359" i="1"/>
  <c r="W359" i="1"/>
  <c r="AZ358" i="1"/>
  <c r="L358" i="1"/>
  <c r="Q357" i="1"/>
  <c r="AD354" i="1"/>
  <c r="AD361" i="1"/>
  <c r="R360" i="1"/>
  <c r="S359" i="1"/>
  <c r="AV358" i="1"/>
  <c r="F356" i="1"/>
  <c r="AI356" i="1"/>
  <c r="BF357" i="1"/>
  <c r="AQ359" i="1"/>
  <c r="BA357" i="1"/>
  <c r="AK358" i="1"/>
</calcChain>
</file>

<file path=xl/sharedStrings.xml><?xml version="1.0" encoding="utf-8"?>
<sst xmlns="http://schemas.openxmlformats.org/spreadsheetml/2006/main" count="765" uniqueCount="697">
  <si>
    <t>אישור</t>
  </si>
  <si>
    <t>מזומן בש"ח</t>
  </si>
  <si>
    <t>DA12</t>
  </si>
  <si>
    <t>מזומן מט"ח</t>
  </si>
  <si>
    <t>DT11</t>
  </si>
  <si>
    <t>פרי / פחק</t>
  </si>
  <si>
    <t>DA10</t>
  </si>
  <si>
    <t>פקמ לתקופה של עד שלושה חודשים</t>
  </si>
  <si>
    <t>DT420</t>
  </si>
  <si>
    <t>פקדון צמוד מדד לתקופה של עד שלושה חודשים</t>
  </si>
  <si>
    <t>DT421</t>
  </si>
  <si>
    <t>פקדון צמוד מט"ח לתקופה של עד שלושה חודשים</t>
  </si>
  <si>
    <t>DT422</t>
  </si>
  <si>
    <t>פקדון במט"ח לתקופה של עד שלושה חודשים</t>
  </si>
  <si>
    <t>DT423</t>
  </si>
  <si>
    <t>DT191</t>
  </si>
  <si>
    <t>פקדון לתקופה של עד שלושה חודשים בחול</t>
  </si>
  <si>
    <t>DT424</t>
  </si>
  <si>
    <t>ממשלתי צמוד</t>
  </si>
  <si>
    <t>DT13</t>
  </si>
  <si>
    <t>ממשלתי צמוד מט"ח</t>
  </si>
  <si>
    <t>DT14</t>
  </si>
  <si>
    <t>ממשלתי לא צמוד קבוע</t>
  </si>
  <si>
    <t>DT15</t>
  </si>
  <si>
    <t>ממשלתי לא צמוד משתנה</t>
  </si>
  <si>
    <t>DT16</t>
  </si>
  <si>
    <t>מק"מ</t>
  </si>
  <si>
    <t>DA9</t>
  </si>
  <si>
    <t>אג"ח מיועדות</t>
  </si>
  <si>
    <t>DT7</t>
  </si>
  <si>
    <t>פקדונות חשכל</t>
  </si>
  <si>
    <t>DA8</t>
  </si>
  <si>
    <t>ממשלתי בחו"ל</t>
  </si>
  <si>
    <t>DT17</t>
  </si>
  <si>
    <t>ממשלתי זר בחו"ל</t>
  </si>
  <si>
    <t>DT26</t>
  </si>
  <si>
    <t>ממשלתי לא סחיר בחו"ל</t>
  </si>
  <si>
    <t>DT425</t>
  </si>
  <si>
    <t>ממשלתי זר לא סחיר בחו"ל</t>
  </si>
  <si>
    <t>DT426</t>
  </si>
  <si>
    <t>תעודות חוב צמוד מדד בדרוג AA- ומעלה</t>
  </si>
  <si>
    <t>DT427</t>
  </si>
  <si>
    <t>תעודות חוב צמוד מט"ח בדרוג AA- ומעלה</t>
  </si>
  <si>
    <t>DT560</t>
  </si>
  <si>
    <t>תעודות חוב לא צמוד בדרוג AA- ומעלה</t>
  </si>
  <si>
    <t>DT561</t>
  </si>
  <si>
    <t>תעודות חוב צמוד מדד בדרוג -A+:BBB</t>
  </si>
  <si>
    <t>DT428</t>
  </si>
  <si>
    <t>תעודות חוב צמוד מט"ח בדרוג -A+:BBB</t>
  </si>
  <si>
    <t>DT562</t>
  </si>
  <si>
    <t>תעודות חוב לא צמוד בדרוג -A+:BBB</t>
  </si>
  <si>
    <t>DT563</t>
  </si>
  <si>
    <t>תעודות חוב צמוד מדד בדרוג בדרוג נמוך</t>
  </si>
  <si>
    <t>DT429</t>
  </si>
  <si>
    <t>תעודות חוב צמוד מט"ח בדרוג בדרוג נמוך</t>
  </si>
  <si>
    <t>DT564</t>
  </si>
  <si>
    <t>תעודות חוב לא צמוד בדרוג בדרוג נמוך</t>
  </si>
  <si>
    <t>DT565</t>
  </si>
  <si>
    <t>תעודות חוב ל"ס צמוד מדד -AA ומעלה</t>
  </si>
  <si>
    <t>DT430</t>
  </si>
  <si>
    <t>תעודות חוב ל"ס צמוד מט"ח -AA ומעלה</t>
  </si>
  <si>
    <t>DT566</t>
  </si>
  <si>
    <t>תעודות חוב ל"ס לא צמוד -AA ומעלה</t>
  </si>
  <si>
    <t>DT567</t>
  </si>
  <si>
    <t>תעודות חוב ל"ס צמוד מדד -A+:BBB</t>
  </si>
  <si>
    <t>DT431</t>
  </si>
  <si>
    <t>תעודות חוב ל"ס צמוד מט"ח -A+:BBB</t>
  </si>
  <si>
    <t>DT568</t>
  </si>
  <si>
    <t>תעודות חוב ל"ס לא צמוד -A+:BBB</t>
  </si>
  <si>
    <t>DT569</t>
  </si>
  <si>
    <t>תעודות חוב ל"ס צמוד מדד דרוג נמוך עם בטוחה מספקת</t>
  </si>
  <si>
    <t>DT547</t>
  </si>
  <si>
    <t>תעודות חוב ל"ס צמוד מט"ח דרוג נמוך עם בטוחה מספקת</t>
  </si>
  <si>
    <t>DT570</t>
  </si>
  <si>
    <t>תעודות חוב ל"ס לא צמוד דרוג נמוך עם בטוחה מספקת</t>
  </si>
  <si>
    <t>DT571</t>
  </si>
  <si>
    <t>תעודות חוב ל"ס צמוד מדד דרוג נמוך</t>
  </si>
  <si>
    <t>DT432</t>
  </si>
  <si>
    <t>תעודות חוב ל"ס צמוד מט"ח דרוג נמוך</t>
  </si>
  <si>
    <t>DT572</t>
  </si>
  <si>
    <t>תעודות חוב ל"ס לא צמוד דרוג נמוך</t>
  </si>
  <si>
    <t>DT573</t>
  </si>
  <si>
    <t>תעודות חוב סחירות בחו"ל בדירוג A- ומעלה חברות ישראליות</t>
  </si>
  <si>
    <t>DT601</t>
  </si>
  <si>
    <t>תעודות חוב סחירות בחו"ל בדירוג +BBB:-BBB חברות ישראליות</t>
  </si>
  <si>
    <t>DT602</t>
  </si>
  <si>
    <t>תעודות חוב סחירות בחו"ל בדירוג נמוך חברות ישראליות</t>
  </si>
  <si>
    <t>DT603</t>
  </si>
  <si>
    <t>תעודות חוב סחירות בחו"ל בדירוג A- ומעלה חברות זרות</t>
  </si>
  <si>
    <t>DT604</t>
  </si>
  <si>
    <t>תעודות חוב סחירות בחו"ל בדירוג +BBB:-BBB חברות זרות</t>
  </si>
  <si>
    <t>DT605</t>
  </si>
  <si>
    <t>תעודות חוב סחירות בחו"ל בדירוג נמוך חברות זרות</t>
  </si>
  <si>
    <t>DT606</t>
  </si>
  <si>
    <t>תעודות חוב לא סחירות בחו"ל בדירוג A- ומעלה חברות ישראליות</t>
  </si>
  <si>
    <t>DT607</t>
  </si>
  <si>
    <t>תעודות חוב לא סחירות בחו"ל בדירוג +BBB:-BBB חברות ישראליות</t>
  </si>
  <si>
    <t>DT608</t>
  </si>
  <si>
    <t>תעודות חוב לא סחירות בחו"ל בדירוג נמוך עם בטוחה מספקת חברות ישראליות</t>
  </si>
  <si>
    <t>DT609</t>
  </si>
  <si>
    <t>תעודות חוב לא סחירות בחו"ל בדירוג נמוך חברות ישראליות</t>
  </si>
  <si>
    <t>DT610</t>
  </si>
  <si>
    <t>תעודות חוב לא סחירות בחו"ל בדירוג A- ומעלה חברות זרות</t>
  </si>
  <si>
    <t>DT611</t>
  </si>
  <si>
    <t>תעודות חוב לא סחירות בחו"ל בדירוג +BBB:-BBB חברות זרות</t>
  </si>
  <si>
    <t>DT612</t>
  </si>
  <si>
    <t>תעודות חוב לא סחירות בחו"ל בדירוג נמוך עם בטוחה מספקת חברות זרות</t>
  </si>
  <si>
    <t>DT613</t>
  </si>
  <si>
    <t>תעודות חוב לא סחירות בחו"ל בדירוג נמוך חברות זרות</t>
  </si>
  <si>
    <t>DT614</t>
  </si>
  <si>
    <t>אג"ח קונצרני צמוד מדד בדרוג AA- ומעלה</t>
  </si>
  <si>
    <t>DT301</t>
  </si>
  <si>
    <t>אג"ח קונצרני צמוד מט"ח בדרוג AA- ומעלה</t>
  </si>
  <si>
    <t>DT302</t>
  </si>
  <si>
    <t>אג"ח קונצרני לא צמוד בדרוג AA- ומעלה</t>
  </si>
  <si>
    <t>DT303</t>
  </si>
  <si>
    <t>אג"ח קונצרני אחרות בדרוג AA- ומעלה</t>
  </si>
  <si>
    <t>DT615</t>
  </si>
  <si>
    <t>אג"ח קונצרני צמוד מדד בדרוג -A+:BBB</t>
  </si>
  <si>
    <t>DT307</t>
  </si>
  <si>
    <t>אג"ח קונצרני צמוד מט"ח בדרוג -A+:BBB</t>
  </si>
  <si>
    <t>DT308</t>
  </si>
  <si>
    <t>אג"ח קונצרני לא צמוד בדרוג -A+:BBB</t>
  </si>
  <si>
    <t>DT309</t>
  </si>
  <si>
    <t>אג"ח קונצרני אחרות בדרוג -A+:BBB</t>
  </si>
  <si>
    <t>DT616</t>
  </si>
  <si>
    <t>אג"ח קונצרני צמוד מדד בדרוג בדרוג נמוך</t>
  </si>
  <si>
    <t>DT313</t>
  </si>
  <si>
    <t>אג"ח קונצרני צמוד מט"ח בדרוג בדרוג נמוך</t>
  </si>
  <si>
    <t>DT314</t>
  </si>
  <si>
    <t>אג"ח קונצרני לא צמוד בדרוג בדרוג נמוך</t>
  </si>
  <si>
    <t>DT315</t>
  </si>
  <si>
    <t>אג"ח קונצרני אחרות בדרוג בדרוג נמוך</t>
  </si>
  <si>
    <t>DT617</t>
  </si>
  <si>
    <t>אג"ח קונצרני ל"ס צמוד מדד -AA ומעלה</t>
  </si>
  <si>
    <t>DT319</t>
  </si>
  <si>
    <t>אג"ח קונצרני ל"ס צמוד מט"ח -AA ומעלה</t>
  </si>
  <si>
    <t>DT320</t>
  </si>
  <si>
    <t>אג"ח קונצרני ל"ס לא צמוד -AA ומעלה</t>
  </si>
  <si>
    <t>DT321</t>
  </si>
  <si>
    <t>אג"ח קונצרני ל"ס אחרות -AA ומעלה</t>
  </si>
  <si>
    <t>DT618</t>
  </si>
  <si>
    <t>אג"ח קונצרני ל"ס צמוד מדד -A+:BBB</t>
  </si>
  <si>
    <t>DT325</t>
  </si>
  <si>
    <t>אג"ח קונצרני ל"ס צמוד מט"ח -A+:BBB</t>
  </si>
  <si>
    <t>DT326</t>
  </si>
  <si>
    <t>אג"ח קונצרני ל"ס לא צמוד -A+:BBB</t>
  </si>
  <si>
    <t>DT327</t>
  </si>
  <si>
    <t>אג"ח קונצרני ל"ס אחרות -A+:BBB</t>
  </si>
  <si>
    <t>DT619</t>
  </si>
  <si>
    <t>אג"ח קונצרני ל"ס צמוד מדד דרוג נמוך עם בטוחה מספקת</t>
  </si>
  <si>
    <t>DT553</t>
  </si>
  <si>
    <t>אג"ח קונצרני ל"ס צמוד מט"ח דרוג נמוך עם בטוחה מספקת</t>
  </si>
  <si>
    <t>DT554</t>
  </si>
  <si>
    <t>אג"ח קונצרני ל"ס לא צמוד דרוג נמוך עם בטוחה מספקת</t>
  </si>
  <si>
    <t>DT555</t>
  </si>
  <si>
    <t>אג"ח קונצרני ל"ס אחרות דרוג נמוך עם בטוחה מספקת</t>
  </si>
  <si>
    <t>DT620</t>
  </si>
  <si>
    <t>אג"ח קונצרני ל"ס צמוד מדד דרוג נמוך</t>
  </si>
  <si>
    <t>DT337</t>
  </si>
  <si>
    <t>אג"ח קונצרני ל"ס צמוד מט"ח דרוג נמוך</t>
  </si>
  <si>
    <t>DT338</t>
  </si>
  <si>
    <t>אג"ח קונצרני ל"ס לא צמוד דרוג נמוך</t>
  </si>
  <si>
    <t>DT339</t>
  </si>
  <si>
    <t>אג"ח קונצרני ל"ס אחרות דרוג נמוך</t>
  </si>
  <si>
    <t>DT621</t>
  </si>
  <si>
    <t>אג"ח ישראליות סחירות בחו"ל בדירוג A- ומעלה</t>
  </si>
  <si>
    <t>DT454</t>
  </si>
  <si>
    <t>אג"ח ישראליות סחירות בחו"ל בדירוג +BBB:-BBB</t>
  </si>
  <si>
    <t>DT455</t>
  </si>
  <si>
    <t>אג"ח ישראליות סחירות בחו"ל בדירוג נמוך</t>
  </si>
  <si>
    <t>DT456</t>
  </si>
  <si>
    <t>אג"ח זרות סחירות בחו"ל בדירוג A- ומעלה</t>
  </si>
  <si>
    <t>DT457</t>
  </si>
  <si>
    <t>אג"ח זרות סחירות בחו"ל בדירוג +BBB:-BBB</t>
  </si>
  <si>
    <t>DT458</t>
  </si>
  <si>
    <t>אג"ח זרות סחירות בחו"ל בדירוג נמוך</t>
  </si>
  <si>
    <t>DT459</t>
  </si>
  <si>
    <t>אג"ח ישראליות לא סחירות בחו"ל בדירוג A- ומעלה</t>
  </si>
  <si>
    <t>DT460</t>
  </si>
  <si>
    <t>אג"ח ישראליות לא סחירות בחו"ל בדירוג +BBB:-BBB</t>
  </si>
  <si>
    <t>DT461</t>
  </si>
  <si>
    <t>אג"ח ישראליות לא סחירות בחו"ל בדירוג נמוך עם בטוחה מספקת</t>
  </si>
  <si>
    <t>DT558</t>
  </si>
  <si>
    <t>אג"ח ישראליות לא סחירות בחו"ל בדירוג נמוך</t>
  </si>
  <si>
    <t>DT462</t>
  </si>
  <si>
    <t>אג"ח זרות לא סחירות בחו"ל בדירוג A- ומעלה</t>
  </si>
  <si>
    <t>DT463</t>
  </si>
  <si>
    <t>אג"ח זרות לא סחירות בחו"ל בדירוג +BBB:-BBB</t>
  </si>
  <si>
    <t>DT464</t>
  </si>
  <si>
    <t>אג"ח זרות לא סחירות בחו"ל בדירוג נמוך עם בטוחה מספקת</t>
  </si>
  <si>
    <t>DT559</t>
  </si>
  <si>
    <t>אג"ח זרות לא סחירות בחו"ל בדירוג נמוך</t>
  </si>
  <si>
    <t>DT465</t>
  </si>
  <si>
    <t>מניות במדד ת"א 25</t>
  </si>
  <si>
    <t>DT402</t>
  </si>
  <si>
    <t>מניות במדד ת"א 75</t>
  </si>
  <si>
    <t>DT403</t>
  </si>
  <si>
    <t>מניות היתר</t>
  </si>
  <si>
    <t>DT404</t>
  </si>
  <si>
    <t>מניות זרות הנסחרות בארץ</t>
  </si>
  <si>
    <t>DT405</t>
  </si>
  <si>
    <t>אופציות call 1 (long)</t>
  </si>
  <si>
    <t>DT172</t>
  </si>
  <si>
    <t>אופציות call 1 (short)</t>
  </si>
  <si>
    <t>DT205</t>
  </si>
  <si>
    <t>מניות לא סחירות בארץ</t>
  </si>
  <si>
    <t>DC9</t>
  </si>
  <si>
    <t>מניות ישראליות בחו"ל</t>
  </si>
  <si>
    <t>DT28</t>
  </si>
  <si>
    <t>מניות של תאגיד תושב חוץ החזקה עד 10%</t>
  </si>
  <si>
    <t>DT30</t>
  </si>
  <si>
    <t>מניות של תאגיד תושב חוץ החזקה של 10% ומעלה</t>
  </si>
  <si>
    <t>DT81</t>
  </si>
  <si>
    <t>מניות ל"ס של חברות ישראליות</t>
  </si>
  <si>
    <t>DT622</t>
  </si>
  <si>
    <t>מניות ל"ס של חברות זרות</t>
  </si>
  <si>
    <t>DT83</t>
  </si>
  <si>
    <t>השקעה בתעודות סל שמחקות מדדי מניות בארץ</t>
  </si>
  <si>
    <t>DT360</t>
  </si>
  <si>
    <t>השקעה בתעודות סל שמחקות מדדי מניות בחול</t>
  </si>
  <si>
    <t>DT361</t>
  </si>
  <si>
    <t>השקעה בתעודות סל שמחקות מדדי אג"ח בארץ</t>
  </si>
  <si>
    <t>DT362</t>
  </si>
  <si>
    <t>השקעה בתעודות סל שמחקות מדדי אג"ח בחול</t>
  </si>
  <si>
    <t>DT363</t>
  </si>
  <si>
    <t>השקעה בתעודות סל בחסר או תעודות פיקדון בחסר בארץ</t>
  </si>
  <si>
    <t>DT406</t>
  </si>
  <si>
    <t>השקעה בתעודות סל אחרות</t>
  </si>
  <si>
    <t>DT623</t>
  </si>
  <si>
    <t>השקעה בתעודות שנסחרות בחו"ל סל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</si>
  <si>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</si>
  <si>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</si>
  <si>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</si>
  <si>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</si>
  <si>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</si>
  <si>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DT624</t>
  </si>
  <si>
    <t>תעודות השתתפות בקרן נאמנות</t>
  </si>
  <si>
    <t>DB10</t>
  </si>
  <si>
    <t>תעודות השתתפות בקרן נאמנות - אג"ח קונצרני</t>
  </si>
  <si>
    <t>DT701</t>
  </si>
  <si>
    <t>תעודות השתתפות בקרן נאמנות - אג"ח ממשלתי</t>
  </si>
  <si>
    <t>DT702</t>
  </si>
  <si>
    <t>תעודות השתתפות בקרן נאמנות - מניות</t>
  </si>
  <si>
    <t>DT703</t>
  </si>
  <si>
    <t>תעודות השתתפות בקרן נאמנות - אחר</t>
  </si>
  <si>
    <t>DT704</t>
  </si>
  <si>
    <t>קרנות הון סיכון</t>
  </si>
  <si>
    <t>DT53</t>
  </si>
  <si>
    <t>קרנות נדלן</t>
  </si>
  <si>
    <t>DT225</t>
  </si>
  <si>
    <t>קרנות גידור</t>
  </si>
  <si>
    <t>DT466</t>
  </si>
  <si>
    <t>קרנות השקעה אחרות</t>
  </si>
  <si>
    <t>DT52</t>
  </si>
  <si>
    <t>קרנות הון סיכון בחו"ל</t>
  </si>
  <si>
    <t>DT89</t>
  </si>
  <si>
    <t>קרנות נדלן בחו"ל</t>
  </si>
  <si>
    <t>DT226</t>
  </si>
  <si>
    <t>קרנות גידור בחו"ל</t>
  </si>
  <si>
    <t>DT467</t>
  </si>
  <si>
    <t>קרנות השקעה אחרות בחו"ל</t>
  </si>
  <si>
    <t>DT88</t>
  </si>
  <si>
    <t>כתבי אופציה סחירים בישראל מסוג warrent</t>
  </si>
  <si>
    <t>DB5</t>
  </si>
  <si>
    <t>כתבי אופציה לא סחירים בישראל מסוג warrent</t>
  </si>
  <si>
    <t>DT439</t>
  </si>
  <si>
    <t>כתבי אופציה סחירים בחו"ל מסוג warrent</t>
  </si>
  <si>
    <t>DT211</t>
  </si>
  <si>
    <t>כתבי אופציה לא סחירים בחו"ל מסוג warrent</t>
  </si>
  <si>
    <t>DT440</t>
  </si>
  <si>
    <t>חוזים עתידיים סחירים בארץ</t>
  </si>
  <si>
    <t>DT749</t>
  </si>
  <si>
    <t>חוזים עתידיים על מדדים כולל מניות</t>
  </si>
  <si>
    <t>DT441</t>
  </si>
  <si>
    <t>חוזים עתידיים על שקל/מטח</t>
  </si>
  <si>
    <t>DT442</t>
  </si>
  <si>
    <t>חוזים עתידיים על מטח/מטח</t>
  </si>
  <si>
    <t>DT443</t>
  </si>
  <si>
    <t>חוזים עתידיים על ריבית</t>
  </si>
  <si>
    <t>DT444</t>
  </si>
  <si>
    <t>חוזים עתידיים אחרים</t>
  </si>
  <si>
    <t>DT445</t>
  </si>
  <si>
    <t>חוזים עתידיים סחירים בחו"ל</t>
  </si>
  <si>
    <t>DT212</t>
  </si>
  <si>
    <t>חוזים עתידיים על מדדים כולל מניות בחו"ל</t>
  </si>
  <si>
    <t>DT446</t>
  </si>
  <si>
    <t>חוזים עתידיים על מטח בחו"ל</t>
  </si>
  <si>
    <t>DT447</t>
  </si>
  <si>
    <t>חוזים עתידיים על ריבית בחו"ל</t>
  </si>
  <si>
    <t>DT448</t>
  </si>
  <si>
    <t>חוזים עתידיים אחרים בחו"ל</t>
  </si>
  <si>
    <t>DT449</t>
  </si>
  <si>
    <t>אופציות על מדדים כולל מניות</t>
  </si>
  <si>
    <t>DT468</t>
  </si>
  <si>
    <t>אופציות על מטבעות</t>
  </si>
  <si>
    <t>DT175</t>
  </si>
  <si>
    <t>אופציות על ריבית</t>
  </si>
  <si>
    <t>DT176</t>
  </si>
  <si>
    <t>אופציות על על מדד/נכס אחר</t>
  </si>
  <si>
    <t>DT177</t>
  </si>
  <si>
    <t>אופציות על מדדים כולל מניות (short)</t>
  </si>
  <si>
    <t>DT469</t>
  </si>
  <si>
    <t>אופציות על מטבעות (short)</t>
  </si>
  <si>
    <t>DT208</t>
  </si>
  <si>
    <t>אופציות על ריבית (short)</t>
  </si>
  <si>
    <t>DT209</t>
  </si>
  <si>
    <t>אופציות על על מדד/נכס אחר (short)</t>
  </si>
  <si>
    <t>DT210</t>
  </si>
  <si>
    <t>DT470</t>
  </si>
  <si>
    <t>אופציות על  ש"ח/מט"ח</t>
  </si>
  <si>
    <t>DT345</t>
  </si>
  <si>
    <t>אופציות על מט"ח/מט"ח</t>
  </si>
  <si>
    <t>DT625</t>
  </si>
  <si>
    <t>DT471</t>
  </si>
  <si>
    <t>DT346</t>
  </si>
  <si>
    <t>DT472</t>
  </si>
  <si>
    <t>אופציות על  ש"ח/מט"ח (short)</t>
  </si>
  <si>
    <t>DT347</t>
  </si>
  <si>
    <t>אופציות על מט"ח/מט"ח (short)</t>
  </si>
  <si>
    <t>DT626</t>
  </si>
  <si>
    <t>DT473</t>
  </si>
  <si>
    <t>DT348</t>
  </si>
  <si>
    <t>אופציות על מדדים כולל מניות בחול</t>
  </si>
  <si>
    <t>DT213</t>
  </si>
  <si>
    <t>אופציות על מטבעות בחול</t>
  </si>
  <si>
    <t>DT214</t>
  </si>
  <si>
    <t>אופציות על ריבית בחול</t>
  </si>
  <si>
    <t>DT215</t>
  </si>
  <si>
    <t>אופציות על סחורות בחול</t>
  </si>
  <si>
    <t>DT216</t>
  </si>
  <si>
    <t>אופציות על על מדד/נכס אחר בחול</t>
  </si>
  <si>
    <t>DT474</t>
  </si>
  <si>
    <t>אופציות על מדדים כולל מניות בחול (short)</t>
  </si>
  <si>
    <t>DT217</t>
  </si>
  <si>
    <t>אופציות על מטבעות בחול (short)</t>
  </si>
  <si>
    <t>DT218</t>
  </si>
  <si>
    <t>אופציות על ריבית בחול (short)</t>
  </si>
  <si>
    <t>DT219</t>
  </si>
  <si>
    <t>אופציות על סחורות בחול (short)</t>
  </si>
  <si>
    <t>DT220</t>
  </si>
  <si>
    <t>אופציות על על מדד/נכס אחר בחול (short)</t>
  </si>
  <si>
    <t>DT475</t>
  </si>
  <si>
    <t>DT476</t>
  </si>
  <si>
    <t>DT477</t>
  </si>
  <si>
    <t>DT478</t>
  </si>
  <si>
    <t>DT479</t>
  </si>
  <si>
    <t>DT480</t>
  </si>
  <si>
    <t>DT481</t>
  </si>
  <si>
    <t>DT482</t>
  </si>
  <si>
    <t>DT483</t>
  </si>
  <si>
    <t>DT484</t>
  </si>
  <si>
    <t>DT485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</si>
  <si>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</si>
  <si>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</si>
  <si>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</si>
  <si>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</si>
  <si>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</si>
  <si>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</si>
  <si>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</si>
  <si>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</si>
  <si>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</si>
  <si>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</si>
  <si>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</si>
  <si>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</si>
  <si>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</si>
  <si>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</si>
  <si>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</si>
  <si>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</si>
  <si>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</si>
  <si>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</si>
  <si>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</si>
  <si>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</si>
  <si>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</si>
  <si>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</si>
  <si>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</si>
  <si>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</si>
  <si>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 בישראל עם נכס בסיס אשראי</t>
  </si>
  <si>
    <t>DT717</t>
  </si>
  <si>
    <t>פיקדונות מובנים בישראל עם נכס בסיס מניות</t>
  </si>
  <si>
    <t>DT718</t>
  </si>
  <si>
    <t>פיקדונות מובנים בישראל עם נכס בסיס ריבית</t>
  </si>
  <si>
    <t>DT719</t>
  </si>
  <si>
    <t>פיקדונות מובנים בישראל עם נכס בסיס מטבע</t>
  </si>
  <si>
    <t>DT720</t>
  </si>
  <si>
    <t>פיקדונות מובנים בישראל עם נכס בסיס מדד</t>
  </si>
  <si>
    <t>DT721</t>
  </si>
  <si>
    <t>פיקדונות מובנים בישראל עם נכס בסיס אחר</t>
  </si>
  <si>
    <t>DT722</t>
  </si>
  <si>
    <t>שכבת חוב (Tranch) בדירוג  AA- ומעלה בישראל</t>
  </si>
  <si>
    <t>DT723</t>
  </si>
  <si>
    <t>שכבת חוב (Tranch) בדירוג  BBB- ועד A+ ומעלה בישראל</t>
  </si>
  <si>
    <t>DT724</t>
  </si>
  <si>
    <t>שכבת חוב (Tranch) בדירוג  נמוך בישראל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</si>
  <si>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</si>
  <si>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</si>
  <si>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</si>
  <si>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</si>
  <si>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</si>
  <si>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</si>
  <si>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</si>
  <si>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</si>
  <si>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</si>
  <si>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</si>
  <si>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</si>
  <si>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</si>
  <si>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</si>
  <si>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</si>
  <si>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</si>
  <si>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</si>
  <si>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</si>
  <si>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</si>
  <si>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</si>
  <si>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</si>
  <si>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</si>
  <si>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DT658</t>
  </si>
  <si>
    <t>DT659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</si>
  <si>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</si>
  <si>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</si>
  <si>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</si>
  <si>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</si>
  <si>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</si>
  <si>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</si>
  <si>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</si>
  <si>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</si>
  <si>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</si>
  <si>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</si>
  <si>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</si>
  <si>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</si>
  <si>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</si>
  <si>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</si>
  <si>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</si>
  <si>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</si>
  <si>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</si>
  <si>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</si>
  <si>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</si>
  <si>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</si>
  <si>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</si>
  <si>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</si>
  <si>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</si>
  <si>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</si>
  <si>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</si>
  <si>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</si>
  <si>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פיקדונות מובנים בחו"ל עם נכס בסיס אשראי</t>
  </si>
  <si>
    <t>DT739</t>
  </si>
  <si>
    <t>פיקדונות מובנים בחו"ל עם נכס בסיס מניות</t>
  </si>
  <si>
    <t>DT740</t>
  </si>
  <si>
    <t>פיקדונות מובנים בחו"ל עם נכס בסיס ריבית</t>
  </si>
  <si>
    <t>DT741</t>
  </si>
  <si>
    <t>פיקדונות מובנים בחו"ל עם נכס בסיס מטבע</t>
  </si>
  <si>
    <t>DT742</t>
  </si>
  <si>
    <t>פיקדונות מובנים בחו"ל עם נכס בסיס מדד</t>
  </si>
  <si>
    <t>DT743</t>
  </si>
  <si>
    <t>פיקדונות מובנים בחו"ל עם נכס בסיס אחר</t>
  </si>
  <si>
    <t>DT744</t>
  </si>
  <si>
    <t>שכבת חוב (Tranch) בדירוג  AA- ומעלה בחו"ל</t>
  </si>
  <si>
    <t>DT745</t>
  </si>
  <si>
    <t>שכבת חוב (Tranch) בדירוג  BBB- ועד A+ ומעלה בחו"ל</t>
  </si>
  <si>
    <t>DT746</t>
  </si>
  <si>
    <t>שכבת חוב (Tranch) בדירוג  BB+ ומעלה בחו"ל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</si>
  <si>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</si>
  <si>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</si>
  <si>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</si>
  <si>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</si>
  <si>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</si>
  <si>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</si>
  <si>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</si>
  <si>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</si>
  <si>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</si>
  <si>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</si>
  <si>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</si>
  <si>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</si>
  <si>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</si>
  <si>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</si>
  <si>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</si>
  <si>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</si>
  <si>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</si>
  <si>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</si>
  <si>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</si>
  <si>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</si>
  <si>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</si>
  <si>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</si>
  <si>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</si>
  <si>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</si>
  <si>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</si>
  <si>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הלוואה לעמיתים</t>
  </si>
  <si>
    <t>DC1</t>
  </si>
  <si>
    <t>תיקי משכנתאות בדירוג BBB- ומעלה</t>
  </si>
  <si>
    <t>DT502</t>
  </si>
  <si>
    <t>תיקי משכנתאות בדירוג נמוך</t>
  </si>
  <si>
    <t>DT503</t>
  </si>
  <si>
    <t>הלוואה עם ערבות בנקאית בדירוג AA- ומעלה</t>
  </si>
  <si>
    <t>DT450</t>
  </si>
  <si>
    <t>הלוואה עם ערבות בנקאית בדירוג -A+:BBB</t>
  </si>
  <si>
    <t>DT504</t>
  </si>
  <si>
    <t>הלוואה עם ערבות בנקאית ללא דרוג</t>
  </si>
  <si>
    <t>DT505</t>
  </si>
  <si>
    <t>הלוואה בבטחונות אחרים והלוואות עם ערבות מדינה בדירוג AA- ומעלה</t>
  </si>
  <si>
    <t>DT451</t>
  </si>
  <si>
    <t>הלוואה בבטחונות אחרים והלוואות עם ערבות מדינה בדירוג -A+:BBB</t>
  </si>
  <si>
    <t>DT506</t>
  </si>
  <si>
    <t>הלוואות בבטחונות אחרים והלוואות עם ערבות מדינה לא מדורגת עם בטוחה מספקת</t>
  </si>
  <si>
    <t>DT627</t>
  </si>
  <si>
    <t>הלוואות בבטחונות אחרים והלוואות עם ערבות מדינה לא מדורגת</t>
  </si>
  <si>
    <t>DT507</t>
  </si>
  <si>
    <t>הלוואות לא מובטחות</t>
  </si>
  <si>
    <t>DT577</t>
  </si>
  <si>
    <t>תיקי משכנתאות בחו"ל</t>
  </si>
  <si>
    <t>DT508</t>
  </si>
  <si>
    <t>הלוואות בחו"ל בערבות בנקאית</t>
  </si>
  <si>
    <t>DT509</t>
  </si>
  <si>
    <t>הלוואות בחול מובטוחת בביטונות אחרים</t>
  </si>
  <si>
    <t>DT511</t>
  </si>
  <si>
    <t>הלוואות בחול לא מובטחות</t>
  </si>
  <si>
    <t>DT452</t>
  </si>
  <si>
    <t>פקדונות צמודי מדד בדירוג -AA ומעלה לתקופה של שלושה חודשים ועד שנה</t>
  </si>
  <si>
    <t>DT512</t>
  </si>
  <si>
    <t>פקדונות לא צמודים בדירוג -AA ומעלה לתקופה של שלושה חודשים ועד שנה</t>
  </si>
  <si>
    <t>DT513</t>
  </si>
  <si>
    <t>פקדונות נקובים במט"ח בדירוג -AA ומעלה לתקופה של שלושה חודשים ועד שנה</t>
  </si>
  <si>
    <t>DT514</t>
  </si>
  <si>
    <t>פקדונות צמודי מט"ח בדירוג -AA ומעלה לתקופה של שלושה חודשים ועד שנה</t>
  </si>
  <si>
    <t>DT515</t>
  </si>
  <si>
    <t>פקדונות צמודי מדד בדירוג -AA ומעלה לתקופה של למעלה משנה</t>
  </si>
  <si>
    <t>DT516</t>
  </si>
  <si>
    <t>פקדונות לא צמודים בדירוג -AA ומעלה לתקופה של למעלה משנה</t>
  </si>
  <si>
    <t>DT517</t>
  </si>
  <si>
    <t>פקדונות נקובים במט"ח בדירוג -AA ומעלה לתקופה של למעלה משנה</t>
  </si>
  <si>
    <t>DT518</t>
  </si>
  <si>
    <t>פקדונות צמודי מט"ח בדירוג -AA ומעלה לתקופה של למעלה משנה</t>
  </si>
  <si>
    <t>DT519</t>
  </si>
  <si>
    <t>פקדונות אחרים בדירוג -AA ומעלה</t>
  </si>
  <si>
    <t>DT628</t>
  </si>
  <si>
    <t>פקדונות צמודי מדד בדירוג -A+:BBB לתקופה של שלושה חודשים ועד שנה</t>
  </si>
  <si>
    <t>DT520</t>
  </si>
  <si>
    <t>פקדונות לא צמודים בדירוג -A+:BBB לתקופה של שלושה חודשים ועד שנה</t>
  </si>
  <si>
    <t>DT521</t>
  </si>
  <si>
    <t>פקדונות נקובים במט"ח בדירוג -A+:BBB לתקופה של שלושה חודשים ועד שנה</t>
  </si>
  <si>
    <t>DT522</t>
  </si>
  <si>
    <t>פקדונות צמודי מט"ח בדירוג A+:BBB- לתקופה של שלושה חודשים ועד שנה</t>
  </si>
  <si>
    <t>DT523</t>
  </si>
  <si>
    <t>פקדונות צמודי מדד בדירוג -A+:BBB לתקופה של למעלה משנה</t>
  </si>
  <si>
    <t>DT524</t>
  </si>
  <si>
    <t>פקדונות לא צמודים בדירוג -A+:BBB לתקופה של למעלה משנה</t>
  </si>
  <si>
    <t>DT525</t>
  </si>
  <si>
    <t>פקדונות נקובים במט"ח בדירוג -A+:BBB לתקופה של למעלה משנה</t>
  </si>
  <si>
    <t>DT526</t>
  </si>
  <si>
    <t>פקדונות צמודי מט"ח בדירוג -A+:BBB לתקופה של למעלה משנה</t>
  </si>
  <si>
    <t>DT527</t>
  </si>
  <si>
    <t>פקדונות אחרים בדירוג -A+:BBB</t>
  </si>
  <si>
    <t>DT629</t>
  </si>
  <si>
    <t>פקדונות צמודי מדד בדירוג נמוך לתקופה של שלושה חודשים ועד שנה</t>
  </si>
  <si>
    <t>DT530</t>
  </si>
  <si>
    <t>פקדונות לא צמודים בדירוג נמוך לתקופה של שלושה חודשים ועד שנה</t>
  </si>
  <si>
    <t>DT531</t>
  </si>
  <si>
    <t>פקדונות נקובים במט"ח בדירוג נמוך לתקופה של שלושה חודשים ועד שנה</t>
  </si>
  <si>
    <t>DT532</t>
  </si>
  <si>
    <t>פקדונות צמודי מט"ח בדירוג נמוך לתקופה של שלושה חודשים ועד שנה</t>
  </si>
  <si>
    <t>DT533</t>
  </si>
  <si>
    <t>פקדונות צמודי מדד בדירוג נמוך לתקופה של למעלה משנה</t>
  </si>
  <si>
    <t>DT534</t>
  </si>
  <si>
    <t>פקדונות לא צמודים בדירוג נמוך לתקופה של למעלה משנה</t>
  </si>
  <si>
    <t>DT535</t>
  </si>
  <si>
    <t>פקדונות נקובים במט"ח בדירוג נמוך לתקופה של למעלה משנה</t>
  </si>
  <si>
    <t>DT536</t>
  </si>
  <si>
    <t>פקדונות צמודי מט"ח בדירוג נמוך לתקופה של למעלה משנה</t>
  </si>
  <si>
    <t>DT537</t>
  </si>
  <si>
    <t>פקדונות אחרים בדירוג נמוך</t>
  </si>
  <si>
    <t>DT630</t>
  </si>
  <si>
    <t>פקדונות נקובים במט"ח בדירוג -A ומעלה</t>
  </si>
  <si>
    <t>DT631</t>
  </si>
  <si>
    <t>פקדונות נקובים במט"ח בדירוג +BBB:-BBB</t>
  </si>
  <si>
    <t>DT632</t>
  </si>
  <si>
    <t>פקדונות נקובים במט"ח בדירוג נמוך</t>
  </si>
  <si>
    <t>DT633</t>
  </si>
  <si>
    <t>מקרקעין מניבים</t>
  </si>
  <si>
    <t>DT111</t>
  </si>
  <si>
    <t>מקרקעין לא מניבים</t>
  </si>
  <si>
    <t>DT112</t>
  </si>
  <si>
    <t>מקרקעין מניבים בחו"ל</t>
  </si>
  <si>
    <t>DT113</t>
  </si>
  <si>
    <t>מקרקעין לא מניבים בחו"ל</t>
  </si>
  <si>
    <t>DT114</t>
  </si>
  <si>
    <t>התחייבות בגין מכירה בחסר</t>
  </si>
  <si>
    <t>DT116</t>
  </si>
  <si>
    <t>נ"ע סחירים אחרים ישראלים בחו"ל</t>
  </si>
  <si>
    <t>DT29</t>
  </si>
  <si>
    <t>נ"ע סחירים אחרים זרים בחו"ל</t>
  </si>
  <si>
    <t>DT31</t>
  </si>
  <si>
    <t>התחייבות בגין מכירה בחסר בחול</t>
  </si>
  <si>
    <t>DT117</t>
  </si>
  <si>
    <t>בניני משרדים שבשימוש הקופה</t>
  </si>
  <si>
    <t>DT115</t>
  </si>
  <si>
    <t>רכוש קבוע שאינו בנייני משרדים בשימוש הקופה</t>
  </si>
  <si>
    <t>DT62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</si>
  <si>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</si>
  <si>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</si>
  <si>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</si>
  <si>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</si>
  <si>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</si>
  <si>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</si>
  <si>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</si>
  <si>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</si>
  <si>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</si>
  <si>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</si>
  <si>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סה"כ נכסי הקופה</t>
  </si>
  <si>
    <t>DE1</t>
  </si>
  <si>
    <t>בדיקה</t>
  </si>
  <si>
    <t>מזומנים ושווי מזומנים</t>
  </si>
  <si>
    <t>ממשלתי סחיר</t>
  </si>
  <si>
    <t>אג"ח סחיר</t>
  </si>
  <si>
    <t>מניות ואחרים</t>
  </si>
  <si>
    <t>פיקדונות והלוואות</t>
  </si>
  <si>
    <t>השקעות אחרות</t>
  </si>
  <si>
    <t>הפניקס גמל לבני 60 ומעלה</t>
  </si>
  <si>
    <t>הפניקס מרכזית לפיצויים</t>
  </si>
  <si>
    <t>הפניקס גמל אג"ח ללא מניות</t>
  </si>
  <si>
    <t>הפניקס גמולה מבטיחת תשואה</t>
  </si>
  <si>
    <t>הפניקס מרכזית לפיצויים עד 15% מניות</t>
  </si>
  <si>
    <t>הפניקס השתלמות אג"ח ללא מניות</t>
  </si>
  <si>
    <t>הפניקס השתלמות שקלי טווח קצר</t>
  </si>
  <si>
    <t>הפניקס גמל לבני 50 ומטה</t>
  </si>
  <si>
    <t>הפניקס השתלמות  אג"ח עד 15% מניות</t>
  </si>
  <si>
    <t>הפניקס מרכזית לפיצויים שקלי</t>
  </si>
  <si>
    <t>הפניקס קסם מרכזית לפיצויים מחקה מדדי מניות</t>
  </si>
  <si>
    <t>הפניקס מרכזית לפיצויים צמוד מדד</t>
  </si>
  <si>
    <t>הפניקס קסם מרכזית לפיצויים מחקה מדדים</t>
  </si>
  <si>
    <t>הפניקס קסם מרכזית לפיצויים מחקה מדדי אג"ח</t>
  </si>
  <si>
    <t>הפניקס גמל מסלולית לפיצויים רבת מסלולים</t>
  </si>
  <si>
    <t>הפניקס מרכזית לפיצויים שיקלי קצר</t>
  </si>
  <si>
    <t>הפניקס גמל שקלי טווח קצר</t>
  </si>
  <si>
    <t>הפניקס גמל להשקעה אג"ח ללא מניות</t>
  </si>
  <si>
    <t>הפניקס גמל להשקעה אג"ח עד 15% מניות</t>
  </si>
  <si>
    <t>הפניקס גמל להשקעה מניות פאסיבי</t>
  </si>
  <si>
    <t>הפניקס גמל להשקעה כללי</t>
  </si>
  <si>
    <t>הפניקס גמל להשקעה כללי פאסיבי</t>
  </si>
  <si>
    <t>הפניקס חיסכון לכל ילד - סיכון מועט</t>
  </si>
  <si>
    <t>הפניקס חיסכון לכל ילד -  סיכון מוגבר</t>
  </si>
  <si>
    <t>הפניקס חיסכון לכל ילד -  סיכון בינוני</t>
  </si>
  <si>
    <t>הפניקס חיסכון לכל ילד - הלכה</t>
  </si>
  <si>
    <t>הפניקס  גמל מסלול לבני 50 עד 60</t>
  </si>
  <si>
    <t>הפניקס גמל מסלול מניות</t>
  </si>
  <si>
    <t>הפניקס השתלמות הלכה</t>
  </si>
  <si>
    <t>הפניקס השתלמות כללי</t>
  </si>
  <si>
    <t>הפניקס  השתלמות מניות</t>
  </si>
  <si>
    <t>הפניקס השתלמות פאסיבי-כללי</t>
  </si>
  <si>
    <t>הפניקס השתלמות מחקה מדד s&amp;p 500</t>
  </si>
  <si>
    <t>הפניקס גמל מחקה מדד s&amp;p 500</t>
  </si>
  <si>
    <t>הפניקס גמל להשקעה שקלי טווח קצר</t>
  </si>
  <si>
    <t>הפניקס גמל להשקעה מחקה מדד s&amp;p 500</t>
  </si>
  <si>
    <t>הפניקס גמל מסלול משולב סחיר</t>
  </si>
  <si>
    <t>הפניקס  גמל שריעה</t>
  </si>
  <si>
    <t>הפניקס גמל להשקעה מניות</t>
  </si>
  <si>
    <t>הפניקס להשקעה שריעה</t>
  </si>
  <si>
    <t>הפניקס קופה לתשלום דמי מחלה</t>
  </si>
  <si>
    <t>הפניקס קופה מרכזית להשתתפות בפנסיה תקציבית</t>
  </si>
  <si>
    <t>הפניקס מרכזית לפיצויים רב מסלולית -סנונית</t>
  </si>
  <si>
    <t>הפניקס חיסכון לכל ילד מסלול שריעה</t>
  </si>
  <si>
    <t>הפניקס השתלמות שריעה</t>
  </si>
  <si>
    <t>הפניקס השתלמות פאסיבי מדדי מניות</t>
  </si>
  <si>
    <t>513026484-00000000000102-0401-000</t>
  </si>
  <si>
    <t>513026484-00000000000801-0242-000</t>
  </si>
  <si>
    <t>513026484-00000000000102-0385-000</t>
  </si>
  <si>
    <t>513026484-00000000000123-0528-000</t>
  </si>
  <si>
    <t>513026484-00000000000801-0384-000</t>
  </si>
  <si>
    <t>513026484-00000000000399-0716-000</t>
  </si>
  <si>
    <t>513026484-00000000000399-0715-000</t>
  </si>
  <si>
    <t>513026484-00000000000102-9916-000</t>
  </si>
  <si>
    <t>513026484-00000000000399-1100-000</t>
  </si>
  <si>
    <t>513026484-00000000000801-0801-000</t>
  </si>
  <si>
    <t>513026484-00000000000801-0804-000</t>
  </si>
  <si>
    <t>513026484-00000000000801-0806-000</t>
  </si>
  <si>
    <t>513026484-00000000000801-8765-000</t>
  </si>
  <si>
    <t>513026484-00000000000801-8766-000</t>
  </si>
  <si>
    <t>513026484-00000000009417-9418-000</t>
  </si>
  <si>
    <t>513026484-00000000000801-9475-000</t>
  </si>
  <si>
    <t>513026484-00000000000102-9906-000</t>
  </si>
  <si>
    <t>513026484-00000000007904-7905-000</t>
  </si>
  <si>
    <t>513026484-00000000007904-7906-000</t>
  </si>
  <si>
    <t>513026484-00000000007904-7907-000</t>
  </si>
  <si>
    <t>513026484-00000000007904-7908-000</t>
  </si>
  <si>
    <t>513026484-00000000007904-7909-000</t>
  </si>
  <si>
    <t>513026484-00000000011309-11310-000</t>
  </si>
  <si>
    <t>513026484-00000000011309-11311-000</t>
  </si>
  <si>
    <t>513026484-00000000011309-11312-000</t>
  </si>
  <si>
    <t>513026484-00000000011309-11335-000</t>
  </si>
  <si>
    <t>513026484-00000000000102-0009529</t>
  </si>
  <si>
    <t>513026484-00000000000102-0000961</t>
  </si>
  <si>
    <t>513026484-00000000000399-0009528</t>
  </si>
  <si>
    <t>513026484-00000000000399-0000964</t>
  </si>
  <si>
    <t>513026484-00000000000399-0000968</t>
  </si>
  <si>
    <t>513026484-00000000000399-8629-000</t>
  </si>
  <si>
    <t>513026484-00000000000399-8630-000</t>
  </si>
  <si>
    <t>513026484-00000000000102-8626-000</t>
  </si>
  <si>
    <t>סיום מידע טבלה צד שמאל</t>
  </si>
  <si>
    <t xml:space="preserve">סיום מידע טבלה </t>
  </si>
  <si>
    <t>תחילת מידע טבלה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</si>
</sst>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 * #,##0.00_ ;_ * \-#,##0.00_ ;_ * &quot;-&quot;??_ ;_ @_ "/>
    <numFmt numFmtId="164" formatCode="mm/yyyy"/>
    <numFmt numFmtId="165" formatCode="[$-10409]#,##0;\(#,##0\)"/>
    <numFmt numFmtId="166" formatCode="_ * #,##0.000_ ;_ * \-#,##0.000_ ;_ * &quot;-&quot;??_ ;_ @_ "/>
    <numFmt numFmtId="167" formatCode="0.00000"/>
    <numFmt numFmtId="168" formatCode="_ * #,##0.0000_ ;_ * \-#,##0.0000_ ;_ * &quot;-&quot;??_ ;_ @_ 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2"/>
      <color indexed="10"/>
      <name val="Arial"/>
      <family val="2"/>
    </font>
    <font>
      <b/>
      <sz val="12"/>
      <color indexed="12"/>
      <name val="David"/>
      <family val="2"/>
      <charset val="177"/>
    </font>
    <font>
      <b/>
      <u/>
      <sz val="12"/>
      <color indexed="12"/>
      <name val="David"/>
      <family val="2"/>
      <charset val="177"/>
    </font>
    <font>
      <b/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  <charset val="177"/>
    </font>
    <font>
      <sz val="11"/>
      <color theme="0"/>
      <name val="Arial"/>
      <family val="2"/>
      <charset val="177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22">
    <xf numFmtId="0" fontId="0" fillId="0" borderId="0" xfId="0"/>
    <xf numFmtId="0" fontId="0" fillId="2" borderId="0" xfId="0" applyFill="1" applyAlignment="1">
      <alignment horizontal="right"/>
    </xf>
    <xf numFmtId="164" fontId="2" fillId="0" borderId="0" xfId="0" applyNumberFormat="1" applyFont="1"/>
    <xf numFmtId="164" fontId="2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43" fontId="0" fillId="0" borderId="0" xfId="1" applyFont="1"/>
    <xf numFmtId="0" fontId="5" fillId="3" borderId="1" xfId="0" applyFont="1" applyFill="1" applyBorder="1"/>
    <xf numFmtId="1" fontId="5" fillId="0" borderId="2" xfId="1" applyNumberFormat="1" applyFont="1" applyBorder="1" applyAlignment="1" applyProtection="1">
      <alignment horizontal="center"/>
      <protection locked="0"/>
    </xf>
    <xf numFmtId="0" fontId="0" fillId="3" borderId="1" xfId="0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3" borderId="1" xfId="0" applyFill="1" applyBorder="1"/>
    <xf numFmtId="165" fontId="0" fillId="3" borderId="1" xfId="3" applyNumberFormat="1" applyFont="1" applyFill="1" applyBorder="1" applyAlignment="1">
      <alignment horizontal="right" readingOrder="2"/>
    </xf>
    <xf numFmtId="0" fontId="7" fillId="0" borderId="0" xfId="0" applyFont="1"/>
    <xf numFmtId="166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0" fontId="8" fillId="0" borderId="0" xfId="0" applyFont="1"/>
    <xf numFmtId="10" fontId="9" fillId="0" borderId="0" xfId="2" applyNumberFormat="1" applyFont="1"/>
    <xf numFmtId="0" fontId="10" fillId="0" borderId="0" xfId="0" applyFont="1" applyAlignment="1">
      <alignment horizontal="center"/>
    </xf>
  </cellXfs>
  <cellStyles count="4">
    <cellStyle name="Comma" xfId="1" builtinId="3"/>
    <cellStyle name="Normal" xfId="0" builtinId="0"/>
    <cellStyle name="Normal_מסלולים 1.4.19" xfId="3" xr:uid="{00000000-0005-0000-0000-000002000000}"/>
    <cellStyle name="Percent" xfId="2" builtinId="5"/>
  </cellStyles>
  <dxfs count="4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3</xdr:row>
      <xdr:rowOff>0</xdr:rowOff>
    </xdr:from>
    <xdr:to>
      <xdr:col>3</xdr:col>
      <xdr:colOff>257175</xdr:colOff>
      <xdr:row>6</xdr:row>
      <xdr:rowOff>31623</xdr:rowOff>
    </xdr:to>
    <xdr:sp macro="[1]!Module1.מאקרו1" textlink="">
      <xdr:nvSpPr>
        <xdr:cNvPr id="2" name="הסבר מלבני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1278076250" y="0"/>
          <a:ext cx="914400" cy="612648"/>
        </a:xfrm>
        <a:prstGeom prst="wedgeRectCallou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1" anchor="t"/>
        <a:lstStyle/>
        <a:p>
          <a:pPr algn="r" rtl="1"/>
          <a:r>
            <a:rPr lang="he-IL" sz="1200" b="1">
              <a:solidFill>
                <a:srgbClr val="FF0000"/>
              </a:solidFill>
            </a:rPr>
            <a:t>אוצר לאתר</a:t>
          </a:r>
        </a:p>
      </xdr:txBody>
    </xdr:sp>
    <xdr:clientData/>
  </xdr:twoCellAnchor>
  <xdr:twoCellAnchor editAs="oneCell">
    <xdr:from>
      <xdr:col>1</xdr:col>
      <xdr:colOff>0</xdr:colOff>
      <xdr:row>0</xdr:row>
      <xdr:rowOff>0</xdr:rowOff>
    </xdr:from>
    <xdr:to>
      <xdr:col>1</xdr:col>
      <xdr:colOff>396240</xdr:colOff>
      <xdr:row>1</xdr:row>
      <xdr:rowOff>160213</xdr:rowOff>
    </xdr:to>
    <xdr:pic>
      <xdr:nvPicPr>
        <xdr:cNvPr id="3" name="תמונה 1" descr="קוֹבֶץ זֶה הוּנְגַּש עַל יְדֵי חברת אֵיְי טוּ זִי - סֶמֶל  הַנגישוּת ">
          <a:extLst>
            <a:ext uri="{FF2B5EF4-FFF2-40B4-BE49-F238E27FC236}">
              <a16:creationId xmlns:a16="http://schemas.microsoft.com/office/drawing/2014/main" id="{2086479A-042A-457A-9BAB-0954F2328E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056724503" y="0"/>
          <a:ext cx="396240" cy="3343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GEMEL\QPRO\KOPEL\&#1502;&#1511;&#1512;&#1493;\&#1488;&#1493;&#1510;&#1512;%20&#1500;&#1488;&#1514;&#1512;%20&#1502;&#1511;&#1512;&#1493;%20&#1513;&#1512;&#1493;&#1503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גיליון225"/>
      <sheetName val="גיליון227"/>
      <sheetName val="גיליון229"/>
      <sheetName val="גיליון231"/>
      <sheetName val="גיליון233"/>
      <sheetName val="גיליון235"/>
      <sheetName val="אוצר לאתר דש"/>
      <sheetName val="אוצר לאתר כולם חוץ מדש"/>
      <sheetName val="אוצר לאתר מור"/>
      <sheetName val="אוצר לאתר חני חנמ חנא"/>
      <sheetName val="אוצר לאתר מור (2)"/>
      <sheetName val="אוצר לאתר מקרו שרון"/>
    </sheetNames>
    <definedNames>
      <definedName name="Module1.מאקרו1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362"/>
  <sheetViews>
    <sheetView rightToLeft="1" tabSelected="1" zoomScale="70" zoomScaleNormal="70" workbookViewId="0">
      <selection activeCell="F2" sqref="F2"/>
    </sheetView>
  </sheetViews>
  <sheetFormatPr defaultRowHeight="13.8" x14ac:dyDescent="0.25"/>
  <sheetData>
    <row r="3" spans="1:62" x14ac:dyDescent="0.25">
      <c r="A3" s="21" t="s">
        <v>696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  <c r="AY3" s="21"/>
      <c r="AZ3" s="21"/>
      <c r="BA3" s="21"/>
      <c r="BB3" s="21"/>
      <c r="BC3" s="21"/>
      <c r="BD3" s="21"/>
      <c r="BE3" s="21"/>
      <c r="BF3" s="21"/>
      <c r="BG3" s="21"/>
      <c r="BH3" s="21"/>
      <c r="BI3" s="21"/>
      <c r="BJ3" s="21" t="s">
        <v>694</v>
      </c>
    </row>
    <row r="4" spans="1:62" ht="15.6" x14ac:dyDescent="0.3">
      <c r="A4" s="1"/>
      <c r="B4" s="2"/>
      <c r="C4" s="2"/>
      <c r="D4" s="2"/>
      <c r="E4">
        <v>6</v>
      </c>
      <c r="F4">
        <v>10</v>
      </c>
      <c r="G4">
        <v>30</v>
      </c>
      <c r="H4">
        <v>50</v>
      </c>
      <c r="I4">
        <v>93</v>
      </c>
      <c r="J4">
        <v>99</v>
      </c>
      <c r="K4">
        <v>102</v>
      </c>
      <c r="L4">
        <v>122</v>
      </c>
      <c r="M4">
        <v>142</v>
      </c>
      <c r="N4">
        <v>164</v>
      </c>
      <c r="O4">
        <v>167</v>
      </c>
      <c r="P4">
        <v>169</v>
      </c>
      <c r="Q4">
        <v>425</v>
      </c>
      <c r="R4">
        <v>426</v>
      </c>
      <c r="S4">
        <v>499</v>
      </c>
      <c r="T4">
        <v>519</v>
      </c>
      <c r="U4">
        <v>526</v>
      </c>
      <c r="V4">
        <v>570</v>
      </c>
      <c r="W4">
        <v>571</v>
      </c>
      <c r="X4">
        <v>572</v>
      </c>
      <c r="Y4">
        <v>573</v>
      </c>
      <c r="Z4">
        <v>574</v>
      </c>
      <c r="AA4">
        <v>628</v>
      </c>
      <c r="AB4">
        <v>629</v>
      </c>
      <c r="AC4">
        <v>631</v>
      </c>
      <c r="AD4">
        <v>632</v>
      </c>
      <c r="AE4">
        <v>658</v>
      </c>
      <c r="AF4">
        <v>660</v>
      </c>
      <c r="AG4">
        <v>662</v>
      </c>
      <c r="AH4">
        <v>664</v>
      </c>
      <c r="AI4">
        <v>666</v>
      </c>
      <c r="AJ4">
        <v>726</v>
      </c>
      <c r="AK4">
        <v>737</v>
      </c>
      <c r="AL4">
        <v>827</v>
      </c>
      <c r="AM4">
        <v>575</v>
      </c>
      <c r="AN4">
        <v>576</v>
      </c>
      <c r="AO4">
        <v>359</v>
      </c>
      <c r="AP4" s="9">
        <v>828</v>
      </c>
      <c r="AQ4" s="9">
        <v>844</v>
      </c>
      <c r="AR4" s="9">
        <v>839</v>
      </c>
      <c r="AS4" s="9">
        <v>857</v>
      </c>
      <c r="AT4" s="9">
        <v>851</v>
      </c>
      <c r="AU4" s="9">
        <v>849</v>
      </c>
      <c r="AV4" s="9">
        <v>846</v>
      </c>
      <c r="AW4" s="9">
        <v>834</v>
      </c>
      <c r="AX4" s="9">
        <v>506</v>
      </c>
      <c r="AY4" s="9">
        <v>521</v>
      </c>
      <c r="AZ4" s="9">
        <v>522</v>
      </c>
      <c r="BA4" s="9">
        <v>528</v>
      </c>
      <c r="BB4" s="9">
        <v>548</v>
      </c>
      <c r="BC4" s="9">
        <v>551</v>
      </c>
      <c r="BD4" s="9">
        <v>555</v>
      </c>
      <c r="BE4" s="9">
        <v>558</v>
      </c>
      <c r="BF4" s="9">
        <v>558</v>
      </c>
      <c r="BG4" s="9">
        <v>578</v>
      </c>
      <c r="BH4" s="9">
        <v>580</v>
      </c>
      <c r="BI4" s="9">
        <v>577</v>
      </c>
      <c r="BJ4" s="21"/>
    </row>
    <row r="5" spans="1:62" x14ac:dyDescent="0.25">
      <c r="E5" s="10">
        <v>401</v>
      </c>
      <c r="F5" s="10">
        <v>242</v>
      </c>
      <c r="G5" s="10">
        <v>385</v>
      </c>
      <c r="H5" s="10">
        <v>528</v>
      </c>
      <c r="I5" s="10">
        <v>384</v>
      </c>
      <c r="J5" s="10">
        <v>716</v>
      </c>
      <c r="K5" s="10">
        <v>715</v>
      </c>
      <c r="L5" s="10">
        <v>9916</v>
      </c>
      <c r="M5" s="10">
        <v>1100</v>
      </c>
      <c r="N5" s="10">
        <v>801</v>
      </c>
      <c r="O5" s="10">
        <v>804</v>
      </c>
      <c r="P5" s="10">
        <v>806</v>
      </c>
      <c r="Q5" s="10">
        <v>8765</v>
      </c>
      <c r="R5" s="10">
        <v>8766</v>
      </c>
      <c r="S5" s="10">
        <v>9418</v>
      </c>
      <c r="T5" s="10">
        <v>9475</v>
      </c>
      <c r="U5" s="10">
        <v>9906</v>
      </c>
      <c r="V5" s="10">
        <v>7905</v>
      </c>
      <c r="W5" s="10">
        <v>7906</v>
      </c>
      <c r="X5" s="10">
        <v>7907</v>
      </c>
      <c r="Y5" s="10">
        <v>7908</v>
      </c>
      <c r="Z5" s="10">
        <v>7909</v>
      </c>
      <c r="AA5" s="10">
        <v>11310</v>
      </c>
      <c r="AB5" s="10">
        <v>11311</v>
      </c>
      <c r="AC5" s="10">
        <v>11312</v>
      </c>
      <c r="AD5" s="10">
        <v>11335</v>
      </c>
      <c r="AE5" s="10">
        <v>9529</v>
      </c>
      <c r="AF5" s="10">
        <v>961</v>
      </c>
      <c r="AG5" s="10">
        <v>9528</v>
      </c>
      <c r="AH5" s="10">
        <v>964</v>
      </c>
      <c r="AI5" s="10">
        <v>968</v>
      </c>
      <c r="AJ5" s="10">
        <v>8629</v>
      </c>
      <c r="AK5" s="10">
        <v>13264</v>
      </c>
      <c r="AL5" s="10">
        <v>13263</v>
      </c>
      <c r="AM5" s="10">
        <v>13209</v>
      </c>
      <c r="AN5" s="10">
        <v>13250</v>
      </c>
      <c r="AO5" s="10">
        <v>14281</v>
      </c>
      <c r="AP5" s="11">
        <v>2049</v>
      </c>
      <c r="AQ5" s="12">
        <v>7975</v>
      </c>
      <c r="AR5" s="12">
        <v>8004</v>
      </c>
      <c r="AS5" s="11">
        <v>1008</v>
      </c>
      <c r="AT5" s="11">
        <v>9484</v>
      </c>
      <c r="AU5" s="11">
        <v>682</v>
      </c>
      <c r="AV5" s="11">
        <v>11352</v>
      </c>
      <c r="AW5" s="11">
        <v>2058</v>
      </c>
      <c r="AX5" s="11">
        <v>15007</v>
      </c>
      <c r="AY5" s="11">
        <v>15208</v>
      </c>
      <c r="AZ5" s="11">
        <v>15209</v>
      </c>
      <c r="BA5" s="11">
        <v>15210</v>
      </c>
      <c r="BB5" s="11">
        <v>15211</v>
      </c>
      <c r="BC5" s="11">
        <v>15212</v>
      </c>
      <c r="BD5" s="11">
        <v>15232</v>
      </c>
      <c r="BE5" s="11">
        <v>15214</v>
      </c>
      <c r="BF5" s="11">
        <v>15214</v>
      </c>
      <c r="BG5" s="11">
        <v>15233</v>
      </c>
      <c r="BH5" s="11">
        <v>15234</v>
      </c>
      <c r="BI5" s="11">
        <v>15215</v>
      </c>
      <c r="BJ5" s="21"/>
    </row>
    <row r="6" spans="1:62" ht="15.6" x14ac:dyDescent="0.3">
      <c r="A6" s="3">
        <v>45748</v>
      </c>
      <c r="B6" s="2"/>
      <c r="C6" s="2"/>
      <c r="D6" s="2"/>
      <c r="E6" t="s">
        <v>614</v>
      </c>
      <c r="F6" t="s">
        <v>615</v>
      </c>
      <c r="G6" t="s">
        <v>616</v>
      </c>
      <c r="H6" t="s">
        <v>617</v>
      </c>
      <c r="I6" t="s">
        <v>618</v>
      </c>
      <c r="J6" t="s">
        <v>619</v>
      </c>
      <c r="K6" t="s">
        <v>620</v>
      </c>
      <c r="L6" t="s">
        <v>621</v>
      </c>
      <c r="M6" t="s">
        <v>622</v>
      </c>
      <c r="N6" t="s">
        <v>623</v>
      </c>
      <c r="O6" t="s">
        <v>624</v>
      </c>
      <c r="P6" t="s">
        <v>625</v>
      </c>
      <c r="Q6" t="s">
        <v>626</v>
      </c>
      <c r="R6" t="s">
        <v>627</v>
      </c>
      <c r="S6" t="s">
        <v>628</v>
      </c>
      <c r="T6" t="s">
        <v>629</v>
      </c>
      <c r="U6" t="s">
        <v>630</v>
      </c>
      <c r="V6" t="s">
        <v>631</v>
      </c>
      <c r="W6" t="s">
        <v>632</v>
      </c>
      <c r="X6" t="s">
        <v>633</v>
      </c>
      <c r="Y6" t="s">
        <v>634</v>
      </c>
      <c r="Z6" t="s">
        <v>635</v>
      </c>
      <c r="AA6" t="s">
        <v>636</v>
      </c>
      <c r="AB6" t="s">
        <v>637</v>
      </c>
      <c r="AC6" t="s">
        <v>638</v>
      </c>
      <c r="AD6" t="s">
        <v>639</v>
      </c>
      <c r="AE6" t="s">
        <v>640</v>
      </c>
      <c r="AF6" t="s">
        <v>641</v>
      </c>
      <c r="AG6" t="s">
        <v>642</v>
      </c>
      <c r="AH6" t="s">
        <v>643</v>
      </c>
      <c r="AI6" t="s">
        <v>644</v>
      </c>
      <c r="AJ6" t="s">
        <v>645</v>
      </c>
      <c r="AK6" t="s">
        <v>646</v>
      </c>
      <c r="AL6" t="s">
        <v>647</v>
      </c>
      <c r="AM6" t="s">
        <v>648</v>
      </c>
      <c r="AN6" t="s">
        <v>649</v>
      </c>
      <c r="AO6" t="s">
        <v>650</v>
      </c>
      <c r="AP6" s="13" t="s">
        <v>651</v>
      </c>
      <c r="AQ6" s="14" t="s">
        <v>652</v>
      </c>
      <c r="AR6" s="13" t="s">
        <v>653</v>
      </c>
      <c r="AS6" s="13" t="s">
        <v>654</v>
      </c>
      <c r="AT6" s="13" t="s">
        <v>655</v>
      </c>
      <c r="AU6" s="13" t="s">
        <v>656</v>
      </c>
      <c r="AV6" s="13" t="s">
        <v>657</v>
      </c>
      <c r="AW6" s="13" t="s">
        <v>658</v>
      </c>
      <c r="AX6" s="13" t="s">
        <v>659</v>
      </c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21"/>
    </row>
    <row r="7" spans="1:62" ht="15.6" x14ac:dyDescent="0.3">
      <c r="A7" s="4"/>
      <c r="B7" s="5"/>
      <c r="C7" s="5"/>
      <c r="D7" s="6" t="s">
        <v>0</v>
      </c>
      <c r="E7" s="15" t="s">
        <v>660</v>
      </c>
      <c r="F7" s="15" t="s">
        <v>661</v>
      </c>
      <c r="G7" s="15" t="s">
        <v>662</v>
      </c>
      <c r="H7" s="15" t="s">
        <v>663</v>
      </c>
      <c r="I7" s="15" t="s">
        <v>664</v>
      </c>
      <c r="J7" s="15" t="s">
        <v>665</v>
      </c>
      <c r="K7" s="15" t="s">
        <v>666</v>
      </c>
      <c r="L7" s="15" t="s">
        <v>667</v>
      </c>
      <c r="M7" s="15" t="s">
        <v>668</v>
      </c>
      <c r="N7" s="15" t="s">
        <v>669</v>
      </c>
      <c r="O7" s="15" t="s">
        <v>670</v>
      </c>
      <c r="P7" s="15" t="s">
        <v>671</v>
      </c>
      <c r="Q7" s="15" t="s">
        <v>672</v>
      </c>
      <c r="R7" s="15" t="s">
        <v>673</v>
      </c>
      <c r="S7" s="15" t="s">
        <v>674</v>
      </c>
      <c r="T7" s="15" t="s">
        <v>675</v>
      </c>
      <c r="U7" s="15" t="s">
        <v>676</v>
      </c>
      <c r="V7" s="15" t="s">
        <v>677</v>
      </c>
      <c r="W7" s="15" t="s">
        <v>678</v>
      </c>
      <c r="X7" s="15" t="s">
        <v>679</v>
      </c>
      <c r="Y7" s="15" t="s">
        <v>680</v>
      </c>
      <c r="Z7" s="15" t="s">
        <v>681</v>
      </c>
      <c r="AA7" s="15" t="s">
        <v>682</v>
      </c>
      <c r="AB7" s="15" t="s">
        <v>683</v>
      </c>
      <c r="AC7" s="15" t="s">
        <v>684</v>
      </c>
      <c r="AD7" s="15" t="s">
        <v>685</v>
      </c>
      <c r="AE7" s="15" t="s">
        <v>686</v>
      </c>
      <c r="AF7" s="15" t="s">
        <v>687</v>
      </c>
      <c r="AG7" s="15" t="s">
        <v>688</v>
      </c>
      <c r="AH7" s="15" t="s">
        <v>689</v>
      </c>
      <c r="AI7" s="15" t="s">
        <v>690</v>
      </c>
      <c r="AJ7" s="15" t="s">
        <v>691</v>
      </c>
      <c r="AK7" s="15" t="s">
        <v>692</v>
      </c>
      <c r="AL7" s="15" t="s">
        <v>693</v>
      </c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21"/>
    </row>
    <row r="8" spans="1:62" ht="15.6" x14ac:dyDescent="0.3">
      <c r="A8" s="5" t="s">
        <v>1</v>
      </c>
      <c r="B8" s="5" t="s">
        <v>2</v>
      </c>
      <c r="C8" s="7">
        <v>1</v>
      </c>
      <c r="D8" s="7">
        <v>1</v>
      </c>
      <c r="E8" s="7">
        <v>174138.89799999999</v>
      </c>
      <c r="F8" s="7">
        <v>25572.134999999998</v>
      </c>
      <c r="G8" s="7">
        <v>19374.584999999999</v>
      </c>
      <c r="H8" s="7">
        <v>-71.057000000000002</v>
      </c>
      <c r="I8" s="7">
        <v>2754.5790000000002</v>
      </c>
      <c r="J8" s="7">
        <v>13134.264999999999</v>
      </c>
      <c r="K8" s="7">
        <v>14137.645</v>
      </c>
      <c r="L8" s="7">
        <v>235136.30600000001</v>
      </c>
      <c r="M8" s="7">
        <v>45933.845999999998</v>
      </c>
      <c r="N8" s="7">
        <v>7.3999999999999996E-2</v>
      </c>
      <c r="O8" s="7">
        <v>1032.345</v>
      </c>
      <c r="P8" s="7">
        <v>50.798999999999999</v>
      </c>
      <c r="Q8" s="7">
        <v>609.54899999999998</v>
      </c>
      <c r="R8" s="7">
        <v>317.35399999999998</v>
      </c>
      <c r="S8" s="7">
        <v>7823.61</v>
      </c>
      <c r="T8" s="7">
        <v>5.3999999999999999E-2</v>
      </c>
      <c r="U8" s="7">
        <v>11160.119000000001</v>
      </c>
      <c r="V8" s="7">
        <v>1819.1790000000001</v>
      </c>
      <c r="W8" s="7">
        <v>5341.0529999999999</v>
      </c>
      <c r="X8" s="7">
        <v>15082.344999999999</v>
      </c>
      <c r="Y8" s="7">
        <v>55665.237999999998</v>
      </c>
      <c r="Z8" s="7">
        <v>4661.3090000000002</v>
      </c>
      <c r="AA8" s="7">
        <v>25028.281999999999</v>
      </c>
      <c r="AB8" s="7">
        <v>26718.727999999999</v>
      </c>
      <c r="AC8" s="7">
        <v>4743.6459999999997</v>
      </c>
      <c r="AD8" s="7">
        <v>1752.4290000000001</v>
      </c>
      <c r="AE8" s="7">
        <v>147649.413</v>
      </c>
      <c r="AF8" s="7">
        <v>50420.08</v>
      </c>
      <c r="AG8" s="7">
        <v>9384.8019999999997</v>
      </c>
      <c r="AH8" s="7">
        <v>452108.1</v>
      </c>
      <c r="AI8" s="7">
        <v>82016.383000000002</v>
      </c>
      <c r="AJ8" s="7">
        <v>24254.481</v>
      </c>
      <c r="AK8" s="7">
        <v>116645.77099999999</v>
      </c>
      <c r="AL8" s="7">
        <v>65094.072999999997</v>
      </c>
      <c r="AM8" s="7">
        <v>2645.393</v>
      </c>
      <c r="AN8" s="7">
        <v>41812.139000000003</v>
      </c>
      <c r="AO8" s="7">
        <v>3372.8449999999998</v>
      </c>
      <c r="AP8" s="7">
        <v>2712.1489999999999</v>
      </c>
      <c r="AQ8" s="7">
        <v>23006.952000000001</v>
      </c>
      <c r="AR8" s="7">
        <v>725.23800000000006</v>
      </c>
      <c r="AS8" s="7">
        <v>107.56</v>
      </c>
      <c r="AT8" s="7">
        <v>0</v>
      </c>
      <c r="AU8" s="7">
        <v>6153.2979999999998</v>
      </c>
      <c r="AV8" s="7">
        <v>2278.7629999999999</v>
      </c>
      <c r="AW8" s="7">
        <v>4986.3760000000002</v>
      </c>
      <c r="AX8" s="7">
        <v>15123.677</v>
      </c>
      <c r="AY8" s="7">
        <v>1381.8910000000001</v>
      </c>
      <c r="AZ8" s="7">
        <v>12136.103999999999</v>
      </c>
      <c r="BA8" s="7">
        <v>15928.251</v>
      </c>
      <c r="BB8" s="7">
        <v>2140.248</v>
      </c>
      <c r="BC8" s="7">
        <v>1246.9649999999999</v>
      </c>
      <c r="BD8" s="7">
        <v>9939.8970000000008</v>
      </c>
      <c r="BE8" s="7">
        <v>532.15599999999995</v>
      </c>
      <c r="BF8" s="7">
        <v>532.15599999999995</v>
      </c>
      <c r="BG8" s="7">
        <v>2648.5549999999998</v>
      </c>
      <c r="BH8" s="7">
        <v>17754.167000000001</v>
      </c>
      <c r="BI8" s="7">
        <v>570.16700000000003</v>
      </c>
      <c r="BJ8" s="21"/>
    </row>
    <row r="9" spans="1:62" ht="15.6" x14ac:dyDescent="0.3">
      <c r="A9" s="5" t="s">
        <v>3</v>
      </c>
      <c r="B9" s="5" t="s">
        <v>4</v>
      </c>
      <c r="C9" s="7">
        <v>1</v>
      </c>
      <c r="D9" s="7">
        <v>1</v>
      </c>
      <c r="E9" s="7">
        <v>79332.532999999996</v>
      </c>
      <c r="F9" s="7">
        <v>16253.814</v>
      </c>
      <c r="G9" s="7">
        <v>8042.076</v>
      </c>
      <c r="H9" s="7">
        <v>30.802</v>
      </c>
      <c r="I9" s="7">
        <v>3716.482</v>
      </c>
      <c r="J9" s="7">
        <v>4969.0349999999999</v>
      </c>
      <c r="K9" s="7">
        <v>0</v>
      </c>
      <c r="L9" s="7">
        <v>130000.598</v>
      </c>
      <c r="M9" s="7">
        <v>20078.552</v>
      </c>
      <c r="N9" s="7">
        <v>0</v>
      </c>
      <c r="O9" s="7">
        <v>401.822</v>
      </c>
      <c r="P9" s="7">
        <v>381.01100000000002</v>
      </c>
      <c r="Q9" s="7">
        <v>184.41200000000001</v>
      </c>
      <c r="R9" s="7">
        <v>226.95099999999999</v>
      </c>
      <c r="S9" s="7">
        <v>3542.92</v>
      </c>
      <c r="T9" s="7">
        <v>0</v>
      </c>
      <c r="U9" s="7">
        <v>0</v>
      </c>
      <c r="V9" s="7">
        <v>810.60799999999995</v>
      </c>
      <c r="W9" s="7">
        <v>2766.3939999999998</v>
      </c>
      <c r="X9" s="7">
        <v>281.65600000000001</v>
      </c>
      <c r="Y9" s="7">
        <v>28327.530999999999</v>
      </c>
      <c r="Z9" s="7">
        <v>3382.636</v>
      </c>
      <c r="AA9" s="7">
        <v>40677.731</v>
      </c>
      <c r="AB9" s="7">
        <v>8369.1560000000009</v>
      </c>
      <c r="AC9" s="7">
        <v>2513.06</v>
      </c>
      <c r="AD9" s="7">
        <v>928.03800000000001</v>
      </c>
      <c r="AE9" s="7">
        <v>70716.485000000001</v>
      </c>
      <c r="AF9" s="7">
        <v>20706.046999999999</v>
      </c>
      <c r="AG9" s="7">
        <v>5239.3890000000001</v>
      </c>
      <c r="AH9" s="7">
        <v>210449.359</v>
      </c>
      <c r="AI9" s="7">
        <v>34194.171999999999</v>
      </c>
      <c r="AJ9" s="7">
        <v>16410.712</v>
      </c>
      <c r="AK9" s="7">
        <v>149195.022</v>
      </c>
      <c r="AL9" s="7">
        <v>81498.032000000007</v>
      </c>
      <c r="AM9" s="7">
        <v>0</v>
      </c>
      <c r="AN9" s="7">
        <v>52052.627999999997</v>
      </c>
      <c r="AO9" s="7">
        <v>1450.675</v>
      </c>
      <c r="AP9" s="7">
        <v>4394.4650000000001</v>
      </c>
      <c r="AQ9" s="7">
        <v>7655.0640000000003</v>
      </c>
      <c r="AR9" s="7">
        <v>1718.125</v>
      </c>
      <c r="AS9" s="7">
        <v>152.268</v>
      </c>
      <c r="AT9" s="7">
        <v>0</v>
      </c>
      <c r="AU9" s="7">
        <v>3757.7530000000002</v>
      </c>
      <c r="AV9" s="7">
        <v>4433.9589999999998</v>
      </c>
      <c r="AW9" s="7">
        <v>6214.6040000000003</v>
      </c>
      <c r="AX9" s="7">
        <v>259.23099999999999</v>
      </c>
      <c r="AY9" s="7">
        <v>244.59399999999999</v>
      </c>
      <c r="AZ9" s="7">
        <v>601.46</v>
      </c>
      <c r="BA9" s="7">
        <v>158.79599999999999</v>
      </c>
      <c r="BB9" s="7">
        <v>484.39800000000002</v>
      </c>
      <c r="BC9" s="7">
        <v>205.32599999999999</v>
      </c>
      <c r="BD9" s="7">
        <v>718.97900000000004</v>
      </c>
      <c r="BE9" s="7">
        <v>133.61500000000001</v>
      </c>
      <c r="BF9" s="7">
        <v>133.61500000000001</v>
      </c>
      <c r="BG9" s="7">
        <v>227.732</v>
      </c>
      <c r="BH9" s="7">
        <v>13139.114</v>
      </c>
      <c r="BI9" s="7">
        <v>28.574000000000002</v>
      </c>
      <c r="BJ9" s="21"/>
    </row>
    <row r="10" spans="1:62" ht="15.6" x14ac:dyDescent="0.3">
      <c r="A10" s="5" t="s">
        <v>5</v>
      </c>
      <c r="B10" s="5" t="s">
        <v>6</v>
      </c>
      <c r="C10" s="7">
        <v>1</v>
      </c>
      <c r="D10" s="7">
        <v>1</v>
      </c>
      <c r="E10" s="7">
        <v>89597.243000000002</v>
      </c>
      <c r="F10" s="7">
        <v>2054.1660000000002</v>
      </c>
      <c r="G10" s="7">
        <v>5163.2439999999997</v>
      </c>
      <c r="H10" s="7">
        <v>11.884</v>
      </c>
      <c r="I10" s="7">
        <v>463.93599999999998</v>
      </c>
      <c r="J10" s="7">
        <v>24230.057000000001</v>
      </c>
      <c r="K10" s="7">
        <v>3300.143</v>
      </c>
      <c r="L10" s="7">
        <v>39254.053</v>
      </c>
      <c r="M10" s="7">
        <v>2575.1419999999998</v>
      </c>
      <c r="N10" s="7">
        <v>225.69800000000001</v>
      </c>
      <c r="O10" s="7">
        <v>445.43700000000001</v>
      </c>
      <c r="P10" s="7">
        <v>125.76900000000001</v>
      </c>
      <c r="Q10" s="7">
        <v>297.15899999999999</v>
      </c>
      <c r="R10" s="7">
        <v>287.30399999999997</v>
      </c>
      <c r="S10" s="7">
        <v>1331.0360000000001</v>
      </c>
      <c r="T10" s="7">
        <v>37.277999999999999</v>
      </c>
      <c r="U10" s="7">
        <v>6488.43</v>
      </c>
      <c r="V10" s="7">
        <v>1616.579</v>
      </c>
      <c r="W10" s="7">
        <v>1955.0340000000001</v>
      </c>
      <c r="X10" s="7">
        <v>6199.99</v>
      </c>
      <c r="Y10" s="7">
        <v>7582.7120000000004</v>
      </c>
      <c r="Z10" s="7">
        <v>8666.2729999999992</v>
      </c>
      <c r="AA10" s="7">
        <v>73581.634000000005</v>
      </c>
      <c r="AB10" s="7">
        <v>26482.532999999999</v>
      </c>
      <c r="AC10" s="7">
        <v>1038.5999999999999</v>
      </c>
      <c r="AD10" s="7">
        <v>2678.2330000000002</v>
      </c>
      <c r="AE10" s="7">
        <v>66497.284</v>
      </c>
      <c r="AF10" s="7">
        <v>19187.208999999999</v>
      </c>
      <c r="AG10" s="7">
        <v>13256.985000000001</v>
      </c>
      <c r="AH10" s="7">
        <v>145919.77600000001</v>
      </c>
      <c r="AI10" s="7">
        <v>28876.428</v>
      </c>
      <c r="AJ10" s="7">
        <v>43609.482000000004</v>
      </c>
      <c r="AK10" s="7">
        <v>109866.236</v>
      </c>
      <c r="AL10" s="7">
        <v>55417.938000000002</v>
      </c>
      <c r="AM10" s="7">
        <v>893.54100000000005</v>
      </c>
      <c r="AN10" s="7">
        <v>39793.824999999997</v>
      </c>
      <c r="AO10" s="7">
        <v>2989.9549999999999</v>
      </c>
      <c r="AP10" s="7">
        <v>0</v>
      </c>
      <c r="AQ10" s="7">
        <v>1206.9949999999999</v>
      </c>
      <c r="AR10" s="7">
        <v>0</v>
      </c>
      <c r="AS10" s="7">
        <v>10.553000000000001</v>
      </c>
      <c r="AT10" s="7">
        <v>0</v>
      </c>
      <c r="AU10" s="7">
        <v>169.20599999999999</v>
      </c>
      <c r="AV10" s="7">
        <v>0</v>
      </c>
      <c r="AW10" s="7">
        <v>0</v>
      </c>
      <c r="AX10" s="7">
        <v>8272.6139999999996</v>
      </c>
      <c r="AY10" s="7">
        <v>159.286</v>
      </c>
      <c r="AZ10" s="7">
        <v>1034.0530000000001</v>
      </c>
      <c r="BA10" s="7">
        <v>0</v>
      </c>
      <c r="BB10" s="7">
        <v>191.59299999999999</v>
      </c>
      <c r="BC10" s="7">
        <v>75.453999999999994</v>
      </c>
      <c r="BD10" s="7">
        <v>1233.6220000000001</v>
      </c>
      <c r="BE10" s="7">
        <v>36.164999999999999</v>
      </c>
      <c r="BF10" s="7">
        <v>36.164999999999999</v>
      </c>
      <c r="BG10" s="7">
        <v>390.37599999999998</v>
      </c>
      <c r="BH10" s="7">
        <v>23791.933000000001</v>
      </c>
      <c r="BI10" s="7">
        <v>31.84</v>
      </c>
      <c r="BJ10" s="21"/>
    </row>
    <row r="11" spans="1:62" ht="15.6" x14ac:dyDescent="0.3">
      <c r="A11" s="5" t="s">
        <v>7</v>
      </c>
      <c r="B11" s="5" t="s">
        <v>8</v>
      </c>
      <c r="C11" s="7">
        <v>1</v>
      </c>
      <c r="D11" s="7">
        <v>1</v>
      </c>
      <c r="E11" s="7">
        <v>382062.91</v>
      </c>
      <c r="F11" s="7">
        <v>78372.349000000002</v>
      </c>
      <c r="G11" s="7">
        <v>0</v>
      </c>
      <c r="H11" s="7">
        <v>0</v>
      </c>
      <c r="I11" s="7">
        <v>1888.0609999999999</v>
      </c>
      <c r="J11" s="7">
        <v>0</v>
      </c>
      <c r="K11" s="7">
        <v>0</v>
      </c>
      <c r="L11" s="7">
        <v>918633.75800000003</v>
      </c>
      <c r="M11" s="7">
        <v>32855.622000000003</v>
      </c>
      <c r="N11" s="7">
        <v>0</v>
      </c>
      <c r="O11" s="7">
        <v>6908.2079999999996</v>
      </c>
      <c r="P11" s="7">
        <v>0</v>
      </c>
      <c r="Q11" s="7">
        <v>4388.3220000000001</v>
      </c>
      <c r="R11" s="7">
        <v>964.21600000000001</v>
      </c>
      <c r="S11" s="7">
        <v>24321.807000000001</v>
      </c>
      <c r="T11" s="7">
        <v>0</v>
      </c>
      <c r="U11" s="7">
        <v>0</v>
      </c>
      <c r="V11" s="7">
        <v>0</v>
      </c>
      <c r="W11" s="7">
        <v>7317.3249999999998</v>
      </c>
      <c r="X11" s="7">
        <v>13363.742</v>
      </c>
      <c r="Y11" s="7">
        <v>175484.66899999999</v>
      </c>
      <c r="Z11" s="7">
        <v>53498.28</v>
      </c>
      <c r="AA11" s="7">
        <v>553.875</v>
      </c>
      <c r="AB11" s="7">
        <v>197069.41399999999</v>
      </c>
      <c r="AC11" s="7">
        <v>14421.136</v>
      </c>
      <c r="AD11" s="7">
        <v>11589.486000000001</v>
      </c>
      <c r="AE11" s="7">
        <v>498754.04300000001</v>
      </c>
      <c r="AF11" s="7">
        <v>233719.42</v>
      </c>
      <c r="AG11" s="7">
        <v>58724.63</v>
      </c>
      <c r="AH11" s="7">
        <v>1494544.4369999999</v>
      </c>
      <c r="AI11" s="7">
        <v>372970.158</v>
      </c>
      <c r="AJ11" s="7">
        <v>275361.47899999999</v>
      </c>
      <c r="AK11" s="7">
        <v>7581635.4730000002</v>
      </c>
      <c r="AL11" s="7">
        <v>4231032.2769999998</v>
      </c>
      <c r="AM11" s="7">
        <v>0</v>
      </c>
      <c r="AN11" s="7">
        <v>2717732.3489999999</v>
      </c>
      <c r="AO11" s="7">
        <v>11354.380999999999</v>
      </c>
      <c r="AP11" s="7">
        <v>0</v>
      </c>
      <c r="AQ11" s="7">
        <v>82519.123999999996</v>
      </c>
      <c r="AR11" s="7">
        <v>0</v>
      </c>
      <c r="AS11" s="7">
        <v>256.923</v>
      </c>
      <c r="AT11" s="7">
        <v>0</v>
      </c>
      <c r="AU11" s="7">
        <v>1763.326</v>
      </c>
      <c r="AV11" s="7">
        <v>0</v>
      </c>
      <c r="AW11" s="7">
        <v>0</v>
      </c>
      <c r="AX11" s="7">
        <v>13403.034</v>
      </c>
      <c r="AY11" s="7">
        <v>0</v>
      </c>
      <c r="AZ11" s="7">
        <v>0</v>
      </c>
      <c r="BA11" s="7">
        <v>9394.34</v>
      </c>
      <c r="BB11" s="7">
        <v>4179.9589999999998</v>
      </c>
      <c r="BC11" s="7">
        <v>0</v>
      </c>
      <c r="BD11" s="7">
        <v>0</v>
      </c>
      <c r="BE11" s="7">
        <v>1061.6099999999999</v>
      </c>
      <c r="BF11" s="7">
        <v>1061.6099999999999</v>
      </c>
      <c r="BG11" s="7">
        <v>0</v>
      </c>
      <c r="BH11" s="7">
        <v>188217.505</v>
      </c>
      <c r="BI11" s="7">
        <v>0</v>
      </c>
      <c r="BJ11" s="21"/>
    </row>
    <row r="12" spans="1:62" ht="15.6" x14ac:dyDescent="0.3">
      <c r="A12" s="5" t="s">
        <v>9</v>
      </c>
      <c r="B12" s="5" t="s">
        <v>10</v>
      </c>
      <c r="C12" s="7">
        <v>1</v>
      </c>
      <c r="D12" s="7">
        <v>1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0</v>
      </c>
      <c r="AF12" s="7">
        <v>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21"/>
    </row>
    <row r="13" spans="1:62" ht="15.6" x14ac:dyDescent="0.3">
      <c r="A13" s="5" t="s">
        <v>11</v>
      </c>
      <c r="B13" s="5" t="s">
        <v>12</v>
      </c>
      <c r="C13" s="7">
        <v>1</v>
      </c>
      <c r="D13" s="7">
        <v>1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21"/>
    </row>
    <row r="14" spans="1:62" ht="15.6" x14ac:dyDescent="0.3">
      <c r="A14" s="5" t="s">
        <v>13</v>
      </c>
      <c r="B14" s="5" t="s">
        <v>14</v>
      </c>
      <c r="C14" s="7">
        <v>1</v>
      </c>
      <c r="D14" s="7">
        <v>1</v>
      </c>
      <c r="E14" s="7">
        <v>127852.338</v>
      </c>
      <c r="F14" s="7">
        <v>19763.507000000001</v>
      </c>
      <c r="G14" s="7">
        <v>4563.835</v>
      </c>
      <c r="H14" s="7">
        <v>0.47099999999999997</v>
      </c>
      <c r="I14" s="7">
        <v>1247.6890000000001</v>
      </c>
      <c r="J14" s="7">
        <v>4454.83</v>
      </c>
      <c r="K14" s="7">
        <v>0</v>
      </c>
      <c r="L14" s="7">
        <v>220849.78400000001</v>
      </c>
      <c r="M14" s="7">
        <v>29687.741999999998</v>
      </c>
      <c r="N14" s="7">
        <v>0</v>
      </c>
      <c r="O14" s="7">
        <v>105.569</v>
      </c>
      <c r="P14" s="7">
        <v>94.811999999999998</v>
      </c>
      <c r="Q14" s="7">
        <v>65.853999999999999</v>
      </c>
      <c r="R14" s="7">
        <v>16.579000000000001</v>
      </c>
      <c r="S14" s="7">
        <v>5768.973</v>
      </c>
      <c r="T14" s="7">
        <v>0</v>
      </c>
      <c r="U14" s="7">
        <v>0</v>
      </c>
      <c r="V14" s="7">
        <v>768.61800000000005</v>
      </c>
      <c r="W14" s="7">
        <v>2500.4639999999999</v>
      </c>
      <c r="X14" s="7">
        <v>2.4E-2</v>
      </c>
      <c r="Y14" s="7">
        <v>41384.377999999997</v>
      </c>
      <c r="Z14" s="7">
        <v>1672.4880000000001</v>
      </c>
      <c r="AA14" s="7">
        <v>9754.3819999999996</v>
      </c>
      <c r="AB14" s="7">
        <v>3214.4270000000001</v>
      </c>
      <c r="AC14" s="7">
        <v>3589.953</v>
      </c>
      <c r="AD14" s="7">
        <v>109.517</v>
      </c>
      <c r="AE14" s="7">
        <v>112460.837</v>
      </c>
      <c r="AF14" s="7">
        <v>42456.277999999998</v>
      </c>
      <c r="AG14" s="7">
        <v>464.351</v>
      </c>
      <c r="AH14" s="7">
        <v>400219.81099999999</v>
      </c>
      <c r="AI14" s="7">
        <v>68110.164999999994</v>
      </c>
      <c r="AJ14" s="7">
        <v>8682.4740000000002</v>
      </c>
      <c r="AK14" s="7">
        <v>56430.082999999999</v>
      </c>
      <c r="AL14" s="7">
        <v>31491.557000000001</v>
      </c>
      <c r="AM14" s="7">
        <v>0</v>
      </c>
      <c r="AN14" s="7">
        <v>20228.071</v>
      </c>
      <c r="AO14" s="7">
        <v>2713.8029999999999</v>
      </c>
      <c r="AP14" s="7">
        <v>0</v>
      </c>
      <c r="AQ14" s="7">
        <v>14946.644</v>
      </c>
      <c r="AR14" s="7">
        <v>0</v>
      </c>
      <c r="AS14" s="7">
        <v>52.280999999999999</v>
      </c>
      <c r="AT14" s="7">
        <v>0</v>
      </c>
      <c r="AU14" s="7">
        <v>368.19499999999999</v>
      </c>
      <c r="AV14" s="7">
        <v>0</v>
      </c>
      <c r="AW14" s="7">
        <v>0</v>
      </c>
      <c r="AX14" s="7">
        <v>0</v>
      </c>
      <c r="AY14" s="7">
        <v>41.677999999999997</v>
      </c>
      <c r="AZ14" s="7">
        <v>21.881</v>
      </c>
      <c r="BA14" s="7">
        <v>0</v>
      </c>
      <c r="BB14" s="7">
        <v>993.75400000000002</v>
      </c>
      <c r="BC14" s="7">
        <v>32.25</v>
      </c>
      <c r="BD14" s="7">
        <v>26.103999999999999</v>
      </c>
      <c r="BE14" s="7">
        <v>247.93100000000001</v>
      </c>
      <c r="BF14" s="7">
        <v>247.93100000000001</v>
      </c>
      <c r="BG14" s="7">
        <v>8.2609999999999992</v>
      </c>
      <c r="BH14" s="7">
        <v>5185.2759999999998</v>
      </c>
      <c r="BI14" s="7">
        <v>13.718999999999999</v>
      </c>
      <c r="BJ14" s="21"/>
    </row>
    <row r="15" spans="1:62" ht="15.6" x14ac:dyDescent="0.3">
      <c r="A15" s="5" t="s">
        <v>3</v>
      </c>
      <c r="B15" s="5" t="s">
        <v>15</v>
      </c>
      <c r="C15" s="7">
        <v>1</v>
      </c>
      <c r="D15" s="7">
        <v>1</v>
      </c>
      <c r="E15" s="7">
        <v>33.207999999999998</v>
      </c>
      <c r="F15" s="7">
        <v>4.5940000000000003</v>
      </c>
      <c r="G15" s="7">
        <v>0</v>
      </c>
      <c r="H15" s="7">
        <v>0</v>
      </c>
      <c r="I15" s="7">
        <v>0</v>
      </c>
      <c r="J15" s="7">
        <v>0</v>
      </c>
      <c r="K15" s="7">
        <v>0</v>
      </c>
      <c r="L15" s="7">
        <v>148.035</v>
      </c>
      <c r="M15" s="7">
        <v>10.988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10.141999999999999</v>
      </c>
      <c r="AF15" s="7">
        <v>1.51</v>
      </c>
      <c r="AG15" s="7">
        <v>0</v>
      </c>
      <c r="AH15" s="7">
        <v>95.054000000000002</v>
      </c>
      <c r="AI15" s="7">
        <v>1.0229999999999999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21"/>
    </row>
    <row r="16" spans="1:62" ht="15.6" x14ac:dyDescent="0.3">
      <c r="A16" s="5" t="s">
        <v>16</v>
      </c>
      <c r="B16" s="5" t="s">
        <v>17</v>
      </c>
      <c r="C16" s="7">
        <v>1</v>
      </c>
      <c r="D16" s="7">
        <v>1</v>
      </c>
      <c r="E16" s="7">
        <v>10371.357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  <c r="L16" s="7">
        <v>8910.1949999999997</v>
      </c>
      <c r="M16" s="7">
        <v>10903.213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>
        <v>19190.357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21"/>
    </row>
    <row r="17" spans="1:62" ht="15.6" x14ac:dyDescent="0.3">
      <c r="A17" s="5" t="s">
        <v>18</v>
      </c>
      <c r="B17" s="5" t="s">
        <v>19</v>
      </c>
      <c r="C17" s="7">
        <v>2</v>
      </c>
      <c r="D17" s="7">
        <v>2</v>
      </c>
      <c r="E17" s="7">
        <v>1339538.6029999999</v>
      </c>
      <c r="F17" s="7">
        <v>97843.664000000004</v>
      </c>
      <c r="G17" s="7">
        <v>247005.63800000001</v>
      </c>
      <c r="H17" s="7">
        <v>0</v>
      </c>
      <c r="I17" s="7">
        <v>35638.508999999998</v>
      </c>
      <c r="J17" s="7">
        <v>168323.58900000001</v>
      </c>
      <c r="K17" s="7">
        <v>0</v>
      </c>
      <c r="L17" s="7">
        <v>362456.25400000002</v>
      </c>
      <c r="M17" s="7">
        <v>409695.42499999999</v>
      </c>
      <c r="N17" s="7">
        <v>0</v>
      </c>
      <c r="O17" s="7">
        <v>0</v>
      </c>
      <c r="P17" s="7">
        <v>15473.894</v>
      </c>
      <c r="Q17" s="7">
        <v>711.62199999999996</v>
      </c>
      <c r="R17" s="7">
        <v>1562.2819999999999</v>
      </c>
      <c r="S17" s="7">
        <v>29962.467000000001</v>
      </c>
      <c r="T17" s="7">
        <v>0</v>
      </c>
      <c r="U17" s="7">
        <v>0</v>
      </c>
      <c r="V17" s="7">
        <v>19722.25</v>
      </c>
      <c r="W17" s="7">
        <v>34291.745000000003</v>
      </c>
      <c r="X17" s="7">
        <v>0</v>
      </c>
      <c r="Y17" s="7">
        <v>224261.83</v>
      </c>
      <c r="Z17" s="7">
        <v>0</v>
      </c>
      <c r="AA17" s="7">
        <v>370114.48700000002</v>
      </c>
      <c r="AB17" s="7">
        <v>0</v>
      </c>
      <c r="AC17" s="7">
        <v>13620.165999999999</v>
      </c>
      <c r="AD17" s="7">
        <v>7297.3729999999996</v>
      </c>
      <c r="AE17" s="7">
        <v>522327.288</v>
      </c>
      <c r="AF17" s="7">
        <v>0</v>
      </c>
      <c r="AG17" s="7">
        <v>24993.483</v>
      </c>
      <c r="AH17" s="7">
        <v>1390487.8430000001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11085.808000000001</v>
      </c>
      <c r="AP17" s="7">
        <v>0</v>
      </c>
      <c r="AQ17" s="7">
        <v>0</v>
      </c>
      <c r="AR17" s="7">
        <v>0</v>
      </c>
      <c r="AS17" s="7">
        <v>849.57399999999996</v>
      </c>
      <c r="AT17" s="7">
        <v>0</v>
      </c>
      <c r="AU17" s="7">
        <v>20087.48</v>
      </c>
      <c r="AV17" s="7">
        <v>0</v>
      </c>
      <c r="AW17" s="7">
        <v>0</v>
      </c>
      <c r="AX17" s="7">
        <v>0</v>
      </c>
      <c r="AY17" s="7">
        <v>8296.8349999999991</v>
      </c>
      <c r="AZ17" s="7">
        <v>0</v>
      </c>
      <c r="BA17" s="7">
        <v>0</v>
      </c>
      <c r="BB17" s="7">
        <v>4543.4459999999999</v>
      </c>
      <c r="BC17" s="7">
        <v>5360.7979999999998</v>
      </c>
      <c r="BD17" s="7">
        <v>0</v>
      </c>
      <c r="BE17" s="7">
        <v>900.65200000000004</v>
      </c>
      <c r="BF17" s="7">
        <v>900.65200000000004</v>
      </c>
      <c r="BG17" s="7">
        <v>0</v>
      </c>
      <c r="BH17" s="7">
        <v>0</v>
      </c>
      <c r="BI17" s="7">
        <v>2163.2930000000001</v>
      </c>
      <c r="BJ17" s="21"/>
    </row>
    <row r="18" spans="1:62" ht="15.6" x14ac:dyDescent="0.3">
      <c r="A18" s="5" t="s">
        <v>20</v>
      </c>
      <c r="B18" s="5" t="s">
        <v>21</v>
      </c>
      <c r="C18" s="7">
        <v>2</v>
      </c>
      <c r="D18" s="7">
        <v>2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0</v>
      </c>
      <c r="AF18" s="7">
        <v>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21"/>
    </row>
    <row r="19" spans="1:62" ht="15.6" x14ac:dyDescent="0.3">
      <c r="A19" s="5" t="s">
        <v>22</v>
      </c>
      <c r="B19" s="5" t="s">
        <v>23</v>
      </c>
      <c r="C19" s="7">
        <v>2</v>
      </c>
      <c r="D19" s="7">
        <v>2</v>
      </c>
      <c r="E19" s="7">
        <v>503352.34299999999</v>
      </c>
      <c r="F19" s="7">
        <v>43879.749000000003</v>
      </c>
      <c r="G19" s="7">
        <v>84748.827000000005</v>
      </c>
      <c r="H19" s="7">
        <v>0</v>
      </c>
      <c r="I19" s="7">
        <v>12476.101000000001</v>
      </c>
      <c r="J19" s="7">
        <v>57752.635999999999</v>
      </c>
      <c r="K19" s="7">
        <v>41907.978999999999</v>
      </c>
      <c r="L19" s="7">
        <v>240676.60800000001</v>
      </c>
      <c r="M19" s="7">
        <v>144890.31400000001</v>
      </c>
      <c r="N19" s="7">
        <v>11518.24</v>
      </c>
      <c r="O19" s="7">
        <v>0</v>
      </c>
      <c r="P19" s="7">
        <v>0</v>
      </c>
      <c r="Q19" s="7">
        <v>1120.56</v>
      </c>
      <c r="R19" s="7">
        <v>2460.0569999999998</v>
      </c>
      <c r="S19" s="7">
        <v>13479.563</v>
      </c>
      <c r="T19" s="7">
        <v>449.97800000000001</v>
      </c>
      <c r="U19" s="7">
        <v>33079.902999999998</v>
      </c>
      <c r="V19" s="7">
        <v>6766.799</v>
      </c>
      <c r="W19" s="7">
        <v>12728.186</v>
      </c>
      <c r="X19" s="7">
        <v>0</v>
      </c>
      <c r="Y19" s="7">
        <v>99374.115999999995</v>
      </c>
      <c r="Z19" s="7">
        <v>0</v>
      </c>
      <c r="AA19" s="7">
        <v>126988.067</v>
      </c>
      <c r="AB19" s="7">
        <v>0</v>
      </c>
      <c r="AC19" s="7">
        <v>6570.1040000000003</v>
      </c>
      <c r="AD19" s="7">
        <v>2503.7640000000001</v>
      </c>
      <c r="AE19" s="7">
        <v>234424.182</v>
      </c>
      <c r="AF19" s="7">
        <v>30743.502</v>
      </c>
      <c r="AG19" s="7">
        <v>8575.3850000000002</v>
      </c>
      <c r="AH19" s="7">
        <v>672938.79500000004</v>
      </c>
      <c r="AI19" s="7">
        <v>49060.572999999997</v>
      </c>
      <c r="AJ19" s="7">
        <v>0</v>
      </c>
      <c r="AK19" s="7">
        <v>0</v>
      </c>
      <c r="AL19" s="7">
        <v>0</v>
      </c>
      <c r="AM19" s="7">
        <v>7843.2529999999997</v>
      </c>
      <c r="AN19" s="7">
        <v>0</v>
      </c>
      <c r="AO19" s="7">
        <v>5297.152</v>
      </c>
      <c r="AP19" s="7">
        <v>0</v>
      </c>
      <c r="AQ19" s="7">
        <v>10854.583000000001</v>
      </c>
      <c r="AR19" s="7">
        <v>0</v>
      </c>
      <c r="AS19" s="7">
        <v>325.28899999999999</v>
      </c>
      <c r="AT19" s="7">
        <v>0</v>
      </c>
      <c r="AU19" s="7">
        <v>9506.4349999999995</v>
      </c>
      <c r="AV19" s="7">
        <v>0</v>
      </c>
      <c r="AW19" s="7">
        <v>0</v>
      </c>
      <c r="AX19" s="7">
        <v>0</v>
      </c>
      <c r="AY19" s="7">
        <v>2846.6840000000002</v>
      </c>
      <c r="AZ19" s="7">
        <v>0</v>
      </c>
      <c r="BA19" s="7">
        <v>0</v>
      </c>
      <c r="BB19" s="7">
        <v>2108.7109999999998</v>
      </c>
      <c r="BC19" s="7">
        <v>1839.316</v>
      </c>
      <c r="BD19" s="7">
        <v>0</v>
      </c>
      <c r="BE19" s="7">
        <v>448.66300000000001</v>
      </c>
      <c r="BF19" s="7">
        <v>448.66300000000001</v>
      </c>
      <c r="BG19" s="7">
        <v>0</v>
      </c>
      <c r="BH19" s="7">
        <v>0</v>
      </c>
      <c r="BI19" s="7">
        <v>742.23599999999999</v>
      </c>
      <c r="BJ19" s="21"/>
    </row>
    <row r="20" spans="1:62" ht="15.6" x14ac:dyDescent="0.3">
      <c r="A20" s="5" t="s">
        <v>24</v>
      </c>
      <c r="B20" s="5" t="s">
        <v>25</v>
      </c>
      <c r="C20" s="7">
        <v>2</v>
      </c>
      <c r="D20" s="7">
        <v>2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7.0579999999999998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21"/>
    </row>
    <row r="21" spans="1:62" ht="15.6" x14ac:dyDescent="0.3">
      <c r="A21" s="5" t="s">
        <v>26</v>
      </c>
      <c r="B21" s="5" t="s">
        <v>27</v>
      </c>
      <c r="C21" s="7">
        <v>2</v>
      </c>
      <c r="D21" s="7">
        <v>2</v>
      </c>
      <c r="E21" s="7">
        <v>27442.455000000002</v>
      </c>
      <c r="F21" s="7">
        <v>6253.9589999999998</v>
      </c>
      <c r="G21" s="7">
        <v>0</v>
      </c>
      <c r="H21" s="7">
        <v>0</v>
      </c>
      <c r="I21" s="7">
        <v>167.37</v>
      </c>
      <c r="J21" s="7">
        <v>0</v>
      </c>
      <c r="K21" s="7">
        <v>170200.35500000001</v>
      </c>
      <c r="L21" s="7">
        <v>71151.475000000006</v>
      </c>
      <c r="M21" s="7">
        <v>3112.9290000000001</v>
      </c>
      <c r="N21" s="7">
        <v>0</v>
      </c>
      <c r="O21" s="7">
        <v>0</v>
      </c>
      <c r="P21" s="7">
        <v>0.215</v>
      </c>
      <c r="Q21" s="7">
        <v>0</v>
      </c>
      <c r="R21" s="7">
        <v>0</v>
      </c>
      <c r="S21" s="7">
        <v>1954.05</v>
      </c>
      <c r="T21" s="7">
        <v>499.20400000000001</v>
      </c>
      <c r="U21" s="7">
        <v>134346.99799999999</v>
      </c>
      <c r="V21" s="7">
        <v>0</v>
      </c>
      <c r="W21" s="7">
        <v>604.23900000000003</v>
      </c>
      <c r="X21" s="7">
        <v>0</v>
      </c>
      <c r="Y21" s="7">
        <v>13643.273999999999</v>
      </c>
      <c r="Z21" s="7">
        <v>0</v>
      </c>
      <c r="AA21" s="7">
        <v>0</v>
      </c>
      <c r="AB21" s="7">
        <v>0</v>
      </c>
      <c r="AC21" s="7">
        <v>1162.7270000000001</v>
      </c>
      <c r="AD21" s="7">
        <v>0</v>
      </c>
      <c r="AE21" s="7">
        <v>33422.07</v>
      </c>
      <c r="AF21" s="7">
        <v>18524.502</v>
      </c>
      <c r="AG21" s="7">
        <v>0</v>
      </c>
      <c r="AH21" s="7">
        <v>121132.682</v>
      </c>
      <c r="AI21" s="7">
        <v>30335.052</v>
      </c>
      <c r="AJ21" s="7">
        <v>0</v>
      </c>
      <c r="AK21" s="7">
        <v>0</v>
      </c>
      <c r="AL21" s="7">
        <v>0</v>
      </c>
      <c r="AM21" s="7">
        <v>31853.706999999999</v>
      </c>
      <c r="AN21" s="7">
        <v>0</v>
      </c>
      <c r="AO21" s="7">
        <v>886.65599999999995</v>
      </c>
      <c r="AP21" s="7">
        <v>0</v>
      </c>
      <c r="AQ21" s="7">
        <v>6541.4830000000002</v>
      </c>
      <c r="AR21" s="7">
        <v>0</v>
      </c>
      <c r="AS21" s="7">
        <v>20.292000000000002</v>
      </c>
      <c r="AT21" s="7">
        <v>0</v>
      </c>
      <c r="AU21" s="7">
        <v>136.185</v>
      </c>
      <c r="AV21" s="7">
        <v>0</v>
      </c>
      <c r="AW21" s="7">
        <v>0</v>
      </c>
      <c r="AX21" s="7">
        <v>0</v>
      </c>
      <c r="AY21" s="7">
        <v>59.787999999999997</v>
      </c>
      <c r="AZ21" s="7">
        <v>1005.766</v>
      </c>
      <c r="BA21" s="7">
        <v>0</v>
      </c>
      <c r="BB21" s="7">
        <v>328.85899999999998</v>
      </c>
      <c r="BC21" s="7">
        <v>0</v>
      </c>
      <c r="BD21" s="7">
        <v>1199.876</v>
      </c>
      <c r="BE21" s="7">
        <v>82.114000000000004</v>
      </c>
      <c r="BF21" s="7">
        <v>82.114000000000004</v>
      </c>
      <c r="BG21" s="7">
        <v>379.697</v>
      </c>
      <c r="BH21" s="7">
        <v>0</v>
      </c>
      <c r="BI21" s="7">
        <v>0</v>
      </c>
      <c r="BJ21" s="21"/>
    </row>
    <row r="22" spans="1:62" ht="15.6" x14ac:dyDescent="0.3">
      <c r="A22" s="5" t="s">
        <v>28</v>
      </c>
      <c r="B22" s="5" t="s">
        <v>29</v>
      </c>
      <c r="C22" s="7">
        <v>6</v>
      </c>
      <c r="D22" s="7">
        <v>6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0</v>
      </c>
      <c r="AF22" s="7">
        <v>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21"/>
    </row>
    <row r="23" spans="1:62" ht="15.6" x14ac:dyDescent="0.3">
      <c r="A23" s="5" t="s">
        <v>30</v>
      </c>
      <c r="B23" s="5" t="s">
        <v>31</v>
      </c>
      <c r="C23" s="7">
        <v>5</v>
      </c>
      <c r="D23" s="7">
        <v>5</v>
      </c>
      <c r="E23" s="7">
        <v>0</v>
      </c>
      <c r="F23" s="7">
        <v>0</v>
      </c>
      <c r="G23" s="7">
        <v>0</v>
      </c>
      <c r="H23" s="7">
        <v>967644.51599999995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0</v>
      </c>
      <c r="AR23" s="7">
        <v>0</v>
      </c>
      <c r="AS23" s="7">
        <v>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21"/>
    </row>
    <row r="24" spans="1:62" ht="15.6" x14ac:dyDescent="0.3">
      <c r="A24" s="5" t="s">
        <v>32</v>
      </c>
      <c r="B24" s="5" t="s">
        <v>33</v>
      </c>
      <c r="C24" s="7">
        <v>2</v>
      </c>
      <c r="D24" s="7">
        <v>2</v>
      </c>
      <c r="E24" s="7">
        <v>7083.1530000000002</v>
      </c>
      <c r="F24" s="7">
        <v>0</v>
      </c>
      <c r="G24" s="7">
        <v>1796.5940000000001</v>
      </c>
      <c r="H24" s="7">
        <v>0</v>
      </c>
      <c r="I24" s="7">
        <v>0</v>
      </c>
      <c r="J24" s="7">
        <v>1378.4780000000001</v>
      </c>
      <c r="K24" s="7">
        <v>0</v>
      </c>
      <c r="L24" s="7">
        <v>4383.6899999999996</v>
      </c>
      <c r="M24" s="7">
        <v>2421.7579999999998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816.63400000000001</v>
      </c>
      <c r="AF24" s="7">
        <v>0</v>
      </c>
      <c r="AG24" s="7">
        <v>0</v>
      </c>
      <c r="AH24" s="7">
        <v>4122.3670000000002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21"/>
    </row>
    <row r="25" spans="1:62" ht="15.6" x14ac:dyDescent="0.3">
      <c r="A25" s="5" t="s">
        <v>34</v>
      </c>
      <c r="B25" s="5" t="s">
        <v>35</v>
      </c>
      <c r="C25" s="7">
        <v>2</v>
      </c>
      <c r="D25" s="7">
        <v>2</v>
      </c>
      <c r="E25" s="7">
        <v>34246.322999999997</v>
      </c>
      <c r="F25" s="7">
        <v>7719.9319999999998</v>
      </c>
      <c r="G25" s="7">
        <v>5161.8590000000004</v>
      </c>
      <c r="H25" s="7">
        <v>0</v>
      </c>
      <c r="I25" s="7">
        <v>1094.623</v>
      </c>
      <c r="J25" s="7">
        <v>4066.2089999999998</v>
      </c>
      <c r="K25" s="7">
        <v>0</v>
      </c>
      <c r="L25" s="7">
        <v>48604.599000000002</v>
      </c>
      <c r="M25" s="7">
        <v>18824.237000000001</v>
      </c>
      <c r="N25" s="7">
        <v>0</v>
      </c>
      <c r="O25" s="7">
        <v>172.24600000000001</v>
      </c>
      <c r="P25" s="7">
        <v>0</v>
      </c>
      <c r="Q25" s="7">
        <v>64.414000000000001</v>
      </c>
      <c r="R25" s="7">
        <v>0</v>
      </c>
      <c r="S25" s="7">
        <v>2274.4839999999999</v>
      </c>
      <c r="T25" s="7">
        <v>0</v>
      </c>
      <c r="U25" s="7">
        <v>0</v>
      </c>
      <c r="V25" s="7">
        <v>632.38199999999995</v>
      </c>
      <c r="W25" s="7">
        <v>1708.444</v>
      </c>
      <c r="X25" s="7">
        <v>2628.5129999999999</v>
      </c>
      <c r="Y25" s="7">
        <v>12829.303</v>
      </c>
      <c r="Z25" s="7">
        <v>98.266000000000005</v>
      </c>
      <c r="AA25" s="7">
        <v>4852.9650000000001</v>
      </c>
      <c r="AB25" s="7">
        <v>3390.3330000000001</v>
      </c>
      <c r="AC25" s="7">
        <v>1271.981</v>
      </c>
      <c r="AD25" s="7">
        <v>235.16200000000001</v>
      </c>
      <c r="AE25" s="7">
        <v>27236.991000000002</v>
      </c>
      <c r="AF25" s="7">
        <v>7239.92</v>
      </c>
      <c r="AG25" s="7">
        <v>1624.979</v>
      </c>
      <c r="AH25" s="7">
        <v>107120.655</v>
      </c>
      <c r="AI25" s="7">
        <v>11553.486000000001</v>
      </c>
      <c r="AJ25" s="7">
        <v>515.53499999999997</v>
      </c>
      <c r="AK25" s="7">
        <v>849783.02300000004</v>
      </c>
      <c r="AL25" s="7">
        <v>474232.69199999998</v>
      </c>
      <c r="AM25" s="7">
        <v>0</v>
      </c>
      <c r="AN25" s="7">
        <v>304615.38500000001</v>
      </c>
      <c r="AO25" s="7">
        <v>623.005</v>
      </c>
      <c r="AP25" s="7">
        <v>0</v>
      </c>
      <c r="AQ25" s="7">
        <v>2556.1930000000002</v>
      </c>
      <c r="AR25" s="7">
        <v>0</v>
      </c>
      <c r="AS25" s="7">
        <v>9.9260000000000002</v>
      </c>
      <c r="AT25" s="7">
        <v>0</v>
      </c>
      <c r="AU25" s="7">
        <v>155.48099999999999</v>
      </c>
      <c r="AV25" s="7">
        <v>0</v>
      </c>
      <c r="AW25" s="7">
        <v>0</v>
      </c>
      <c r="AX25" s="7">
        <v>2636.241</v>
      </c>
      <c r="AY25" s="7">
        <v>0</v>
      </c>
      <c r="AZ25" s="7">
        <v>0</v>
      </c>
      <c r="BA25" s="7">
        <v>1847.771</v>
      </c>
      <c r="BB25" s="7">
        <v>237.25899999999999</v>
      </c>
      <c r="BC25" s="7">
        <v>0</v>
      </c>
      <c r="BD25" s="7">
        <v>0</v>
      </c>
      <c r="BE25" s="7">
        <v>76.634</v>
      </c>
      <c r="BF25" s="7">
        <v>76.634</v>
      </c>
      <c r="BG25" s="7">
        <v>0</v>
      </c>
      <c r="BH25" s="7">
        <v>29195.776999999998</v>
      </c>
      <c r="BI25" s="7">
        <v>0</v>
      </c>
      <c r="BJ25" s="21"/>
    </row>
    <row r="26" spans="1:62" ht="15.6" x14ac:dyDescent="0.3">
      <c r="A26" s="5" t="s">
        <v>36</v>
      </c>
      <c r="B26" s="5" t="s">
        <v>37</v>
      </c>
      <c r="C26" s="7">
        <v>6</v>
      </c>
      <c r="D26" s="7">
        <v>6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0</v>
      </c>
      <c r="U26" s="7">
        <v>0</v>
      </c>
      <c r="V26" s="7">
        <v>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0</v>
      </c>
      <c r="AF26" s="7">
        <v>0</v>
      </c>
      <c r="AG26" s="7">
        <v>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0</v>
      </c>
      <c r="AR26" s="7">
        <v>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21"/>
    </row>
    <row r="27" spans="1:62" ht="15.6" x14ac:dyDescent="0.3">
      <c r="A27" s="5" t="s">
        <v>38</v>
      </c>
      <c r="B27" s="5" t="s">
        <v>39</v>
      </c>
      <c r="C27" s="7">
        <v>6</v>
      </c>
      <c r="D27" s="7">
        <v>6</v>
      </c>
      <c r="E27" s="7">
        <v>0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21"/>
    </row>
    <row r="28" spans="1:62" ht="15.6" x14ac:dyDescent="0.3">
      <c r="A28" s="5" t="s">
        <v>40</v>
      </c>
      <c r="B28" s="5" t="s">
        <v>41</v>
      </c>
      <c r="C28" s="7">
        <v>6</v>
      </c>
      <c r="D28" s="7">
        <v>6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0</v>
      </c>
      <c r="AF28" s="7">
        <v>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21"/>
    </row>
    <row r="29" spans="1:62" ht="15.6" x14ac:dyDescent="0.3">
      <c r="A29" s="5" t="s">
        <v>42</v>
      </c>
      <c r="B29" s="5" t="s">
        <v>43</v>
      </c>
      <c r="C29" s="7">
        <v>6</v>
      </c>
      <c r="D29" s="7">
        <v>6</v>
      </c>
      <c r="E29" s="7">
        <v>0</v>
      </c>
      <c r="F29" s="7">
        <v>0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21"/>
    </row>
    <row r="30" spans="1:62" ht="15.6" x14ac:dyDescent="0.3">
      <c r="A30" s="5" t="s">
        <v>44</v>
      </c>
      <c r="B30" s="5" t="s">
        <v>45</v>
      </c>
      <c r="C30" s="7">
        <v>6</v>
      </c>
      <c r="D30" s="7">
        <v>6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0</v>
      </c>
      <c r="K30" s="7">
        <v>0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0</v>
      </c>
      <c r="AR30" s="7">
        <v>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21"/>
    </row>
    <row r="31" spans="1:62" ht="15.6" x14ac:dyDescent="0.3">
      <c r="A31" s="5" t="s">
        <v>46</v>
      </c>
      <c r="B31" s="5" t="s">
        <v>47</v>
      </c>
      <c r="C31" s="7">
        <v>6</v>
      </c>
      <c r="D31" s="7">
        <v>6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21"/>
    </row>
    <row r="32" spans="1:62" ht="15.6" x14ac:dyDescent="0.3">
      <c r="A32" s="5" t="s">
        <v>48</v>
      </c>
      <c r="B32" s="5" t="s">
        <v>49</v>
      </c>
      <c r="C32" s="7">
        <v>6</v>
      </c>
      <c r="D32" s="7">
        <v>6</v>
      </c>
      <c r="E32" s="7">
        <v>0</v>
      </c>
      <c r="F32" s="7">
        <v>0</v>
      </c>
      <c r="G32" s="7">
        <v>0</v>
      </c>
      <c r="H32" s="7">
        <v>0</v>
      </c>
      <c r="I32" s="7">
        <v>0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0</v>
      </c>
      <c r="AO32" s="7">
        <v>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21"/>
    </row>
    <row r="33" spans="1:62" ht="15.6" x14ac:dyDescent="0.3">
      <c r="A33" s="5" t="s">
        <v>50</v>
      </c>
      <c r="B33" s="5" t="s">
        <v>51</v>
      </c>
      <c r="C33" s="7">
        <v>6</v>
      </c>
      <c r="D33" s="7">
        <v>6</v>
      </c>
      <c r="E33" s="7">
        <v>0</v>
      </c>
      <c r="F33" s="7">
        <v>0</v>
      </c>
      <c r="G33" s="7">
        <v>0</v>
      </c>
      <c r="H33" s="7">
        <v>0</v>
      </c>
      <c r="I33" s="7">
        <v>0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0</v>
      </c>
      <c r="AR33" s="7">
        <v>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21"/>
    </row>
    <row r="34" spans="1:62" ht="15.6" x14ac:dyDescent="0.3">
      <c r="A34" s="5" t="s">
        <v>52</v>
      </c>
      <c r="B34" s="5" t="s">
        <v>53</v>
      </c>
      <c r="C34" s="7">
        <v>6</v>
      </c>
      <c r="D34" s="7">
        <v>6</v>
      </c>
      <c r="E34" s="7">
        <v>0</v>
      </c>
      <c r="F34" s="7">
        <v>0</v>
      </c>
      <c r="G34" s="7">
        <v>0</v>
      </c>
      <c r="H34" s="7">
        <v>0</v>
      </c>
      <c r="I34" s="7">
        <v>0</v>
      </c>
      <c r="J34" s="7">
        <v>0</v>
      </c>
      <c r="K34" s="7">
        <v>0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0</v>
      </c>
      <c r="AF34" s="7">
        <v>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0</v>
      </c>
      <c r="AR34" s="7">
        <v>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21"/>
    </row>
    <row r="35" spans="1:62" ht="15.6" x14ac:dyDescent="0.3">
      <c r="A35" s="5" t="s">
        <v>54</v>
      </c>
      <c r="B35" s="5" t="s">
        <v>55</v>
      </c>
      <c r="C35" s="7">
        <v>6</v>
      </c>
      <c r="D35" s="7">
        <v>6</v>
      </c>
      <c r="E35" s="7">
        <v>0</v>
      </c>
      <c r="F35" s="7">
        <v>0</v>
      </c>
      <c r="G35" s="7">
        <v>0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0</v>
      </c>
      <c r="AO35" s="7">
        <v>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21"/>
    </row>
    <row r="36" spans="1:62" ht="15.6" x14ac:dyDescent="0.3">
      <c r="A36" s="5" t="s">
        <v>56</v>
      </c>
      <c r="B36" s="5" t="s">
        <v>57</v>
      </c>
      <c r="C36" s="7">
        <v>6</v>
      </c>
      <c r="D36" s="7">
        <v>6</v>
      </c>
      <c r="E36" s="7">
        <v>0</v>
      </c>
      <c r="F36" s="7">
        <v>0</v>
      </c>
      <c r="G36" s="7">
        <v>0</v>
      </c>
      <c r="H36" s="7">
        <v>0</v>
      </c>
      <c r="I36" s="7">
        <v>0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0</v>
      </c>
      <c r="AF36" s="7">
        <v>0</v>
      </c>
      <c r="AG36" s="7">
        <v>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0</v>
      </c>
      <c r="AR36" s="7">
        <v>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21"/>
    </row>
    <row r="37" spans="1:62" ht="15.6" x14ac:dyDescent="0.3">
      <c r="A37" s="5" t="s">
        <v>58</v>
      </c>
      <c r="B37" s="5" t="s">
        <v>59</v>
      </c>
      <c r="C37" s="7">
        <v>6</v>
      </c>
      <c r="D37" s="7">
        <v>6</v>
      </c>
      <c r="E37" s="7">
        <v>0</v>
      </c>
      <c r="F37" s="7">
        <v>0</v>
      </c>
      <c r="G37" s="7">
        <v>0</v>
      </c>
      <c r="H37" s="7">
        <v>0</v>
      </c>
      <c r="I37" s="7">
        <v>0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21"/>
    </row>
    <row r="38" spans="1:62" ht="15.6" x14ac:dyDescent="0.3">
      <c r="A38" s="5" t="s">
        <v>60</v>
      </c>
      <c r="B38" s="5" t="s">
        <v>61</v>
      </c>
      <c r="C38" s="7">
        <v>6</v>
      </c>
      <c r="D38" s="7">
        <v>6</v>
      </c>
      <c r="E38" s="7">
        <v>0</v>
      </c>
      <c r="F38" s="7">
        <v>0</v>
      </c>
      <c r="G38" s="7">
        <v>0</v>
      </c>
      <c r="H38" s="7">
        <v>0</v>
      </c>
      <c r="I38" s="7">
        <v>0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21"/>
    </row>
    <row r="39" spans="1:62" ht="15.6" x14ac:dyDescent="0.3">
      <c r="A39" s="5" t="s">
        <v>62</v>
      </c>
      <c r="B39" s="5" t="s">
        <v>63</v>
      </c>
      <c r="C39" s="7">
        <v>6</v>
      </c>
      <c r="D39" s="7">
        <v>6</v>
      </c>
      <c r="E39" s="7">
        <v>0</v>
      </c>
      <c r="F39" s="7">
        <v>0</v>
      </c>
      <c r="G39" s="7">
        <v>0</v>
      </c>
      <c r="H39" s="7">
        <v>0</v>
      </c>
      <c r="I39" s="7">
        <v>0</v>
      </c>
      <c r="J39" s="7">
        <v>0</v>
      </c>
      <c r="K39" s="7">
        <v>0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21"/>
    </row>
    <row r="40" spans="1:62" ht="15.6" x14ac:dyDescent="0.3">
      <c r="A40" s="5" t="s">
        <v>64</v>
      </c>
      <c r="B40" s="5" t="s">
        <v>65</v>
      </c>
      <c r="C40" s="7">
        <v>6</v>
      </c>
      <c r="D40" s="7">
        <v>6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0</v>
      </c>
      <c r="AF40" s="7">
        <v>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21"/>
    </row>
    <row r="41" spans="1:62" ht="15.6" x14ac:dyDescent="0.3">
      <c r="A41" s="5" t="s">
        <v>66</v>
      </c>
      <c r="B41" s="5" t="s">
        <v>67</v>
      </c>
      <c r="C41" s="7">
        <v>6</v>
      </c>
      <c r="D41" s="7">
        <v>6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21"/>
    </row>
    <row r="42" spans="1:62" ht="15.6" x14ac:dyDescent="0.3">
      <c r="A42" s="5" t="s">
        <v>68</v>
      </c>
      <c r="B42" s="5" t="s">
        <v>69</v>
      </c>
      <c r="C42" s="7">
        <v>6</v>
      </c>
      <c r="D42" s="7">
        <v>6</v>
      </c>
      <c r="E42" s="7">
        <v>0</v>
      </c>
      <c r="F42" s="7">
        <v>0</v>
      </c>
      <c r="G42" s="7">
        <v>0</v>
      </c>
      <c r="H42" s="7">
        <v>0</v>
      </c>
      <c r="I42" s="7">
        <v>0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0</v>
      </c>
      <c r="AF42" s="7">
        <v>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21"/>
    </row>
    <row r="43" spans="1:62" ht="15.6" x14ac:dyDescent="0.3">
      <c r="A43" s="5" t="s">
        <v>70</v>
      </c>
      <c r="B43" s="5" t="s">
        <v>71</v>
      </c>
      <c r="C43" s="7">
        <v>6</v>
      </c>
      <c r="D43" s="7">
        <v>6</v>
      </c>
      <c r="E43" s="7">
        <v>0</v>
      </c>
      <c r="F43" s="7">
        <v>0</v>
      </c>
      <c r="G43" s="7">
        <v>0</v>
      </c>
      <c r="H43" s="7">
        <v>0</v>
      </c>
      <c r="I43" s="7">
        <v>0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21"/>
    </row>
    <row r="44" spans="1:62" ht="15.6" x14ac:dyDescent="0.3">
      <c r="A44" s="5" t="s">
        <v>72</v>
      </c>
      <c r="B44" s="5" t="s">
        <v>73</v>
      </c>
      <c r="C44" s="7">
        <v>6</v>
      </c>
      <c r="D44" s="7">
        <v>6</v>
      </c>
      <c r="E44" s="7">
        <v>0</v>
      </c>
      <c r="F44" s="7">
        <v>0</v>
      </c>
      <c r="G44" s="7">
        <v>0</v>
      </c>
      <c r="H44" s="7">
        <v>0</v>
      </c>
      <c r="I44" s="7">
        <v>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0</v>
      </c>
      <c r="AF44" s="7">
        <v>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21"/>
    </row>
    <row r="45" spans="1:62" ht="15.6" x14ac:dyDescent="0.3">
      <c r="A45" s="5" t="s">
        <v>74</v>
      </c>
      <c r="B45" s="5" t="s">
        <v>75</v>
      </c>
      <c r="C45" s="7">
        <v>6</v>
      </c>
      <c r="D45" s="7">
        <v>6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21"/>
    </row>
    <row r="46" spans="1:62" ht="15.6" x14ac:dyDescent="0.3">
      <c r="A46" s="5" t="s">
        <v>76</v>
      </c>
      <c r="B46" s="5" t="s">
        <v>77</v>
      </c>
      <c r="C46" s="7">
        <v>6</v>
      </c>
      <c r="D46" s="7">
        <v>6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21"/>
    </row>
    <row r="47" spans="1:62" ht="15.6" x14ac:dyDescent="0.3">
      <c r="A47" s="5" t="s">
        <v>78</v>
      </c>
      <c r="B47" s="5" t="s">
        <v>79</v>
      </c>
      <c r="C47" s="7">
        <v>6</v>
      </c>
      <c r="D47" s="7">
        <v>6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21"/>
    </row>
    <row r="48" spans="1:62" ht="15.6" x14ac:dyDescent="0.3">
      <c r="A48" s="5" t="s">
        <v>80</v>
      </c>
      <c r="B48" s="5" t="s">
        <v>81</v>
      </c>
      <c r="C48" s="7">
        <v>6</v>
      </c>
      <c r="D48" s="7">
        <v>6</v>
      </c>
      <c r="E48" s="7">
        <v>0</v>
      </c>
      <c r="F48" s="7">
        <v>0</v>
      </c>
      <c r="G48" s="7">
        <v>0</v>
      </c>
      <c r="H48" s="7">
        <v>0</v>
      </c>
      <c r="I48" s="7">
        <v>0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21"/>
    </row>
    <row r="49" spans="1:62" ht="15.6" x14ac:dyDescent="0.3">
      <c r="A49" s="5" t="s">
        <v>82</v>
      </c>
      <c r="B49" s="5" t="s">
        <v>83</v>
      </c>
      <c r="C49" s="7">
        <v>6</v>
      </c>
      <c r="D49" s="7">
        <v>6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21"/>
    </row>
    <row r="50" spans="1:62" ht="15.6" x14ac:dyDescent="0.3">
      <c r="A50" s="5" t="s">
        <v>84</v>
      </c>
      <c r="B50" s="5" t="s">
        <v>85</v>
      </c>
      <c r="C50" s="7">
        <v>6</v>
      </c>
      <c r="D50" s="7">
        <v>6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0</v>
      </c>
      <c r="AF50" s="7">
        <v>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21"/>
    </row>
    <row r="51" spans="1:62" ht="15.6" x14ac:dyDescent="0.3">
      <c r="A51" s="5" t="s">
        <v>86</v>
      </c>
      <c r="B51" s="5" t="s">
        <v>87</v>
      </c>
      <c r="C51" s="7">
        <v>6</v>
      </c>
      <c r="D51" s="7">
        <v>6</v>
      </c>
      <c r="E51" s="7">
        <v>0</v>
      </c>
      <c r="F51" s="7">
        <v>0</v>
      </c>
      <c r="G51" s="7">
        <v>0</v>
      </c>
      <c r="H51" s="7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21"/>
    </row>
    <row r="52" spans="1:62" ht="15.6" x14ac:dyDescent="0.3">
      <c r="A52" s="5" t="s">
        <v>88</v>
      </c>
      <c r="B52" s="5" t="s">
        <v>89</v>
      </c>
      <c r="C52" s="7">
        <v>6</v>
      </c>
      <c r="D52" s="7">
        <v>6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21"/>
    </row>
    <row r="53" spans="1:62" ht="15.6" x14ac:dyDescent="0.3">
      <c r="A53" s="5" t="s">
        <v>90</v>
      </c>
      <c r="B53" s="5" t="s">
        <v>91</v>
      </c>
      <c r="C53" s="7">
        <v>6</v>
      </c>
      <c r="D53" s="7">
        <v>6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21"/>
    </row>
    <row r="54" spans="1:62" ht="15.6" x14ac:dyDescent="0.3">
      <c r="A54" s="5" t="s">
        <v>92</v>
      </c>
      <c r="B54" s="5" t="s">
        <v>93</v>
      </c>
      <c r="C54" s="7">
        <v>6</v>
      </c>
      <c r="D54" s="7">
        <v>6</v>
      </c>
      <c r="E54" s="7">
        <v>0</v>
      </c>
      <c r="F54" s="7">
        <v>0</v>
      </c>
      <c r="G54" s="7">
        <v>0</v>
      </c>
      <c r="H54" s="7">
        <v>0</v>
      </c>
      <c r="I54" s="7">
        <v>0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0</v>
      </c>
      <c r="AF54" s="7">
        <v>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21"/>
    </row>
    <row r="55" spans="1:62" ht="15.6" x14ac:dyDescent="0.3">
      <c r="A55" s="5" t="s">
        <v>94</v>
      </c>
      <c r="B55" s="5" t="s">
        <v>95</v>
      </c>
      <c r="C55" s="7">
        <v>6</v>
      </c>
      <c r="D55" s="7">
        <v>6</v>
      </c>
      <c r="E55" s="7">
        <v>0</v>
      </c>
      <c r="F55" s="7">
        <v>0</v>
      </c>
      <c r="G55" s="7">
        <v>0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21"/>
    </row>
    <row r="56" spans="1:62" ht="15.6" x14ac:dyDescent="0.3">
      <c r="A56" s="5" t="s">
        <v>96</v>
      </c>
      <c r="B56" s="5" t="s">
        <v>97</v>
      </c>
      <c r="C56" s="7">
        <v>6</v>
      </c>
      <c r="D56" s="7">
        <v>6</v>
      </c>
      <c r="E56" s="7">
        <v>0</v>
      </c>
      <c r="F56" s="7">
        <v>0</v>
      </c>
      <c r="G56" s="7">
        <v>0</v>
      </c>
      <c r="H56" s="7">
        <v>0</v>
      </c>
      <c r="I56" s="7">
        <v>0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0</v>
      </c>
      <c r="AF56" s="7">
        <v>0</v>
      </c>
      <c r="AG56" s="7">
        <v>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21"/>
    </row>
    <row r="57" spans="1:62" ht="15.6" x14ac:dyDescent="0.3">
      <c r="A57" s="5" t="s">
        <v>98</v>
      </c>
      <c r="B57" s="5" t="s">
        <v>99</v>
      </c>
      <c r="C57" s="7">
        <v>6</v>
      </c>
      <c r="D57" s="7">
        <v>6</v>
      </c>
      <c r="E57" s="7">
        <v>0</v>
      </c>
      <c r="F57" s="7">
        <v>0</v>
      </c>
      <c r="G57" s="7">
        <v>0</v>
      </c>
      <c r="H57" s="7">
        <v>0</v>
      </c>
      <c r="I57" s="7">
        <v>0</v>
      </c>
      <c r="J57" s="7">
        <v>0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21"/>
    </row>
    <row r="58" spans="1:62" ht="15.6" x14ac:dyDescent="0.3">
      <c r="A58" s="5" t="s">
        <v>100</v>
      </c>
      <c r="B58" s="5" t="s">
        <v>101</v>
      </c>
      <c r="C58" s="7">
        <v>6</v>
      </c>
      <c r="D58" s="7">
        <v>6</v>
      </c>
      <c r="E58" s="7">
        <v>0</v>
      </c>
      <c r="F58" s="7">
        <v>0</v>
      </c>
      <c r="G58" s="7">
        <v>0</v>
      </c>
      <c r="H58" s="7">
        <v>0</v>
      </c>
      <c r="I58" s="7">
        <v>0</v>
      </c>
      <c r="J58" s="7">
        <v>0</v>
      </c>
      <c r="K58" s="7">
        <v>0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7">
        <v>0</v>
      </c>
      <c r="AF58" s="7">
        <v>0</v>
      </c>
      <c r="AG58" s="7">
        <v>0</v>
      </c>
      <c r="AH58" s="7">
        <v>0</v>
      </c>
      <c r="AI58" s="7">
        <v>0</v>
      </c>
      <c r="AJ58" s="7">
        <v>0</v>
      </c>
      <c r="AK58" s="7">
        <v>0</v>
      </c>
      <c r="AL58" s="7">
        <v>0</v>
      </c>
      <c r="AM58" s="7">
        <v>0</v>
      </c>
      <c r="AN58" s="7">
        <v>0</v>
      </c>
      <c r="AO58" s="7">
        <v>0</v>
      </c>
      <c r="AP58" s="7">
        <v>0</v>
      </c>
      <c r="AQ58" s="7">
        <v>0</v>
      </c>
      <c r="AR58" s="7">
        <v>0</v>
      </c>
      <c r="AS58" s="7">
        <v>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21"/>
    </row>
    <row r="59" spans="1:62" ht="15.6" x14ac:dyDescent="0.3">
      <c r="A59" s="5" t="s">
        <v>102</v>
      </c>
      <c r="B59" s="5" t="s">
        <v>103</v>
      </c>
      <c r="C59" s="7">
        <v>6</v>
      </c>
      <c r="D59" s="7">
        <v>6</v>
      </c>
      <c r="E59" s="7">
        <v>0</v>
      </c>
      <c r="F59" s="7">
        <v>0</v>
      </c>
      <c r="G59" s="7">
        <v>0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0</v>
      </c>
      <c r="U59" s="7">
        <v>0</v>
      </c>
      <c r="V59" s="7">
        <v>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7">
        <v>0</v>
      </c>
      <c r="AK59" s="7">
        <v>0</v>
      </c>
      <c r="AL59" s="7">
        <v>0</v>
      </c>
      <c r="AM59" s="7">
        <v>0</v>
      </c>
      <c r="AN59" s="7">
        <v>0</v>
      </c>
      <c r="AO59" s="7">
        <v>0</v>
      </c>
      <c r="AP59" s="7">
        <v>0</v>
      </c>
      <c r="AQ59" s="7">
        <v>0</v>
      </c>
      <c r="AR59" s="7">
        <v>0</v>
      </c>
      <c r="AS59" s="7">
        <v>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21"/>
    </row>
    <row r="60" spans="1:62" ht="15.6" x14ac:dyDescent="0.3">
      <c r="A60" s="5" t="s">
        <v>104</v>
      </c>
      <c r="B60" s="5" t="s">
        <v>105</v>
      </c>
      <c r="C60" s="7">
        <v>6</v>
      </c>
      <c r="D60" s="7">
        <v>6</v>
      </c>
      <c r="E60" s="7">
        <v>0</v>
      </c>
      <c r="F60" s="7">
        <v>0</v>
      </c>
      <c r="G60" s="7">
        <v>0</v>
      </c>
      <c r="H60" s="7">
        <v>0</v>
      </c>
      <c r="I60" s="7">
        <v>0</v>
      </c>
      <c r="J60" s="7">
        <v>0</v>
      </c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>
        <v>0</v>
      </c>
      <c r="AI60" s="7">
        <v>0</v>
      </c>
      <c r="AJ60" s="7">
        <v>0</v>
      </c>
      <c r="AK60" s="7">
        <v>0</v>
      </c>
      <c r="AL60" s="7">
        <v>0</v>
      </c>
      <c r="AM60" s="7">
        <v>0</v>
      </c>
      <c r="AN60" s="7">
        <v>0</v>
      </c>
      <c r="AO60" s="7">
        <v>0</v>
      </c>
      <c r="AP60" s="7">
        <v>0</v>
      </c>
      <c r="AQ60" s="7">
        <v>0</v>
      </c>
      <c r="AR60" s="7">
        <v>0</v>
      </c>
      <c r="AS60" s="7">
        <v>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21"/>
    </row>
    <row r="61" spans="1:62" ht="15.6" x14ac:dyDescent="0.3">
      <c r="A61" s="5" t="s">
        <v>106</v>
      </c>
      <c r="B61" s="5" t="s">
        <v>107</v>
      </c>
      <c r="C61" s="7">
        <v>6</v>
      </c>
      <c r="D61" s="7">
        <v>6</v>
      </c>
      <c r="E61" s="7">
        <v>0</v>
      </c>
      <c r="F61" s="7">
        <v>0</v>
      </c>
      <c r="G61" s="7">
        <v>0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0</v>
      </c>
      <c r="AR61" s="7">
        <v>0</v>
      </c>
      <c r="AS61" s="7">
        <v>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21"/>
    </row>
    <row r="62" spans="1:62" ht="15.6" x14ac:dyDescent="0.3">
      <c r="A62" s="5" t="s">
        <v>108</v>
      </c>
      <c r="B62" s="5" t="s">
        <v>109</v>
      </c>
      <c r="C62" s="7">
        <v>6</v>
      </c>
      <c r="D62" s="7">
        <v>6</v>
      </c>
      <c r="E62" s="7">
        <v>0</v>
      </c>
      <c r="F62" s="7">
        <v>0</v>
      </c>
      <c r="G62" s="7">
        <v>0</v>
      </c>
      <c r="H62" s="7">
        <v>0</v>
      </c>
      <c r="I62" s="7">
        <v>0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0</v>
      </c>
      <c r="AR62" s="7">
        <v>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21"/>
    </row>
    <row r="63" spans="1:62" ht="15.6" x14ac:dyDescent="0.3">
      <c r="A63" s="5" t="s">
        <v>110</v>
      </c>
      <c r="B63" s="5" t="s">
        <v>111</v>
      </c>
      <c r="C63" s="7">
        <v>3</v>
      </c>
      <c r="D63" s="7">
        <v>3</v>
      </c>
      <c r="E63" s="7">
        <v>954615.12699999998</v>
      </c>
      <c r="F63" s="7">
        <v>102909.913</v>
      </c>
      <c r="G63" s="7">
        <v>235615.62299999999</v>
      </c>
      <c r="H63" s="7">
        <v>13305.322</v>
      </c>
      <c r="I63" s="7">
        <v>22237.703000000001</v>
      </c>
      <c r="J63" s="7">
        <v>161313.86600000001</v>
      </c>
      <c r="K63" s="7">
        <v>0</v>
      </c>
      <c r="L63" s="7">
        <v>362013.20199999999</v>
      </c>
      <c r="M63" s="7">
        <v>573215.38300000003</v>
      </c>
      <c r="N63" s="7">
        <v>0</v>
      </c>
      <c r="O63" s="7">
        <v>0</v>
      </c>
      <c r="P63" s="7">
        <v>32.241</v>
      </c>
      <c r="Q63" s="7">
        <v>1507.96</v>
      </c>
      <c r="R63" s="7">
        <v>4796.7129999999997</v>
      </c>
      <c r="S63" s="7">
        <v>41366.699000000001</v>
      </c>
      <c r="T63" s="7">
        <v>0</v>
      </c>
      <c r="U63" s="7">
        <v>0</v>
      </c>
      <c r="V63" s="7">
        <v>24748.940999999999</v>
      </c>
      <c r="W63" s="7">
        <v>51278.659</v>
      </c>
      <c r="X63" s="7">
        <v>0</v>
      </c>
      <c r="Y63" s="7">
        <v>144121.753</v>
      </c>
      <c r="Z63" s="7">
        <v>0</v>
      </c>
      <c r="AA63" s="7">
        <v>277604.57400000002</v>
      </c>
      <c r="AB63" s="7">
        <v>0</v>
      </c>
      <c r="AC63" s="7">
        <v>18613.062999999998</v>
      </c>
      <c r="AD63" s="7">
        <v>221.096</v>
      </c>
      <c r="AE63" s="7">
        <v>312176.66600000003</v>
      </c>
      <c r="AF63" s="7">
        <v>0</v>
      </c>
      <c r="AG63" s="7">
        <v>452.06799999999998</v>
      </c>
      <c r="AH63" s="7">
        <v>1039015.554</v>
      </c>
      <c r="AI63" s="7">
        <v>0</v>
      </c>
      <c r="AJ63" s="7">
        <v>0</v>
      </c>
      <c r="AK63" s="7">
        <v>0</v>
      </c>
      <c r="AL63" s="7">
        <v>0</v>
      </c>
      <c r="AM63" s="7">
        <v>0</v>
      </c>
      <c r="AN63" s="7">
        <v>0</v>
      </c>
      <c r="AO63" s="7">
        <v>12909.163</v>
      </c>
      <c r="AP63" s="7">
        <v>0</v>
      </c>
      <c r="AQ63" s="7">
        <v>0</v>
      </c>
      <c r="AR63" s="7">
        <v>0</v>
      </c>
      <c r="AS63" s="7">
        <v>265.34100000000001</v>
      </c>
      <c r="AT63" s="7">
        <v>0</v>
      </c>
      <c r="AU63" s="7">
        <v>10177.716</v>
      </c>
      <c r="AV63" s="7">
        <v>0</v>
      </c>
      <c r="AW63" s="7">
        <v>0</v>
      </c>
      <c r="AX63" s="7">
        <v>0</v>
      </c>
      <c r="AY63" s="7">
        <v>10424.293</v>
      </c>
      <c r="AZ63" s="7">
        <v>0</v>
      </c>
      <c r="BA63" s="7">
        <v>0</v>
      </c>
      <c r="BB63" s="7">
        <v>5052.0730000000003</v>
      </c>
      <c r="BC63" s="7">
        <v>8703.91</v>
      </c>
      <c r="BD63" s="7">
        <v>0</v>
      </c>
      <c r="BE63" s="7">
        <v>1220.4590000000001</v>
      </c>
      <c r="BF63" s="7">
        <v>1220.4590000000001</v>
      </c>
      <c r="BG63" s="7">
        <v>0</v>
      </c>
      <c r="BH63" s="7">
        <v>0</v>
      </c>
      <c r="BI63" s="7">
        <v>3730.7719999999999</v>
      </c>
      <c r="BJ63" s="21"/>
    </row>
    <row r="64" spans="1:62" ht="15.6" x14ac:dyDescent="0.3">
      <c r="A64" s="5" t="s">
        <v>112</v>
      </c>
      <c r="B64" s="5" t="s">
        <v>113</v>
      </c>
      <c r="C64" s="7">
        <v>3</v>
      </c>
      <c r="D64" s="7">
        <v>3</v>
      </c>
      <c r="E64" s="7">
        <v>6495.1819999999998</v>
      </c>
      <c r="F64" s="7">
        <v>884.04300000000001</v>
      </c>
      <c r="G64" s="7">
        <v>1420.9069999999999</v>
      </c>
      <c r="H64" s="7">
        <v>0</v>
      </c>
      <c r="I64" s="7">
        <v>155.964</v>
      </c>
      <c r="J64" s="7">
        <v>823.24099999999999</v>
      </c>
      <c r="K64" s="7">
        <v>0</v>
      </c>
      <c r="L64" s="7">
        <v>2576.922</v>
      </c>
      <c r="M64" s="7">
        <v>3643.7710000000002</v>
      </c>
      <c r="N64" s="7">
        <v>0</v>
      </c>
      <c r="O64" s="7">
        <v>0</v>
      </c>
      <c r="P64" s="7">
        <v>0.125</v>
      </c>
      <c r="Q64" s="7">
        <v>123.27200000000001</v>
      </c>
      <c r="R64" s="7">
        <v>392.11799999999999</v>
      </c>
      <c r="S64" s="7">
        <v>382.834</v>
      </c>
      <c r="T64" s="7">
        <v>0</v>
      </c>
      <c r="U64" s="7">
        <v>0</v>
      </c>
      <c r="V64" s="7">
        <v>183.08699999999999</v>
      </c>
      <c r="W64" s="7">
        <v>274.58600000000001</v>
      </c>
      <c r="X64" s="7">
        <v>0</v>
      </c>
      <c r="Y64" s="7">
        <v>994.024</v>
      </c>
      <c r="Z64" s="7">
        <v>0</v>
      </c>
      <c r="AA64" s="7">
        <v>1924.2270000000001</v>
      </c>
      <c r="AB64" s="7">
        <v>0</v>
      </c>
      <c r="AC64" s="7">
        <v>143.87100000000001</v>
      </c>
      <c r="AD64" s="7">
        <v>0</v>
      </c>
      <c r="AE64" s="7">
        <v>1121.336</v>
      </c>
      <c r="AF64" s="7">
        <v>0</v>
      </c>
      <c r="AG64" s="7">
        <v>0</v>
      </c>
      <c r="AH64" s="7">
        <v>6183.3810000000003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94.453000000000003</v>
      </c>
      <c r="AP64" s="7">
        <v>0</v>
      </c>
      <c r="AQ64" s="7">
        <v>0</v>
      </c>
      <c r="AR64" s="7">
        <v>0</v>
      </c>
      <c r="AS64" s="7">
        <v>3.3149999999999999</v>
      </c>
      <c r="AT64" s="7">
        <v>0</v>
      </c>
      <c r="AU64" s="7">
        <v>96.364000000000004</v>
      </c>
      <c r="AV64" s="7">
        <v>0</v>
      </c>
      <c r="AW64" s="7">
        <v>0</v>
      </c>
      <c r="AX64" s="7">
        <v>0</v>
      </c>
      <c r="AY64" s="7">
        <v>73.671000000000006</v>
      </c>
      <c r="AZ64" s="7">
        <v>0</v>
      </c>
      <c r="BA64" s="7">
        <v>0</v>
      </c>
      <c r="BB64" s="7">
        <v>35.789000000000001</v>
      </c>
      <c r="BC64" s="7">
        <v>61.332000000000001</v>
      </c>
      <c r="BD64" s="7">
        <v>0</v>
      </c>
      <c r="BE64" s="7">
        <v>8.4160000000000004</v>
      </c>
      <c r="BF64" s="7">
        <v>8.4160000000000004</v>
      </c>
      <c r="BG64" s="7">
        <v>0</v>
      </c>
      <c r="BH64" s="7">
        <v>0</v>
      </c>
      <c r="BI64" s="7">
        <v>26.317</v>
      </c>
      <c r="BJ64" s="21"/>
    </row>
    <row r="65" spans="1:62" ht="15.6" x14ac:dyDescent="0.3">
      <c r="A65" s="5" t="s">
        <v>114</v>
      </c>
      <c r="B65" s="5" t="s">
        <v>115</v>
      </c>
      <c r="C65" s="7">
        <v>3</v>
      </c>
      <c r="D65" s="7">
        <v>3</v>
      </c>
      <c r="E65" s="7">
        <v>147762.10500000001</v>
      </c>
      <c r="F65" s="7">
        <v>19410.597000000002</v>
      </c>
      <c r="G65" s="7">
        <v>32999.798000000003</v>
      </c>
      <c r="H65" s="7">
        <v>0</v>
      </c>
      <c r="I65" s="7">
        <v>3530.2869999999998</v>
      </c>
      <c r="J65" s="7">
        <v>19757.262999999999</v>
      </c>
      <c r="K65" s="7">
        <v>22043.457999999999</v>
      </c>
      <c r="L65" s="7">
        <v>58242.642999999996</v>
      </c>
      <c r="M65" s="7">
        <v>83831.217000000004</v>
      </c>
      <c r="N65" s="7">
        <v>981.09100000000001</v>
      </c>
      <c r="O65" s="7">
        <v>0</v>
      </c>
      <c r="P65" s="7">
        <v>3.8029999999999999</v>
      </c>
      <c r="Q65" s="7">
        <v>548.14599999999996</v>
      </c>
      <c r="R65" s="7">
        <v>1743.6130000000001</v>
      </c>
      <c r="S65" s="7">
        <v>8317.76</v>
      </c>
      <c r="T65" s="7">
        <v>0</v>
      </c>
      <c r="U65" s="7">
        <v>17399.919000000002</v>
      </c>
      <c r="V65" s="7">
        <v>4107.2139999999999</v>
      </c>
      <c r="W65" s="7">
        <v>6526.3680000000004</v>
      </c>
      <c r="X65" s="7">
        <v>0</v>
      </c>
      <c r="Y65" s="7">
        <v>22581.977999999999</v>
      </c>
      <c r="Z65" s="7">
        <v>0</v>
      </c>
      <c r="AA65" s="7">
        <v>43612.517999999996</v>
      </c>
      <c r="AB65" s="7">
        <v>0</v>
      </c>
      <c r="AC65" s="7">
        <v>3206.8960000000002</v>
      </c>
      <c r="AD65" s="7">
        <v>0</v>
      </c>
      <c r="AE65" s="7">
        <v>29404.552</v>
      </c>
      <c r="AF65" s="7">
        <v>0</v>
      </c>
      <c r="AG65" s="7">
        <v>0</v>
      </c>
      <c r="AH65" s="7">
        <v>144282.76300000001</v>
      </c>
      <c r="AI65" s="7">
        <v>0</v>
      </c>
      <c r="AJ65" s="7">
        <v>0</v>
      </c>
      <c r="AK65" s="7">
        <v>0</v>
      </c>
      <c r="AL65" s="7">
        <v>0</v>
      </c>
      <c r="AM65" s="7">
        <v>4125.5249999999996</v>
      </c>
      <c r="AN65" s="7">
        <v>0</v>
      </c>
      <c r="AO65" s="7">
        <v>2121.6129999999998</v>
      </c>
      <c r="AP65" s="7">
        <v>0</v>
      </c>
      <c r="AQ65" s="7">
        <v>0</v>
      </c>
      <c r="AR65" s="7">
        <v>0</v>
      </c>
      <c r="AS65" s="7">
        <v>69.646000000000001</v>
      </c>
      <c r="AT65" s="7">
        <v>0</v>
      </c>
      <c r="AU65" s="7">
        <v>2233.9490000000001</v>
      </c>
      <c r="AV65" s="7">
        <v>0</v>
      </c>
      <c r="AW65" s="7">
        <v>0</v>
      </c>
      <c r="AX65" s="7">
        <v>0</v>
      </c>
      <c r="AY65" s="7">
        <v>1663.9490000000001</v>
      </c>
      <c r="AZ65" s="7">
        <v>0</v>
      </c>
      <c r="BA65" s="7">
        <v>0</v>
      </c>
      <c r="BB65" s="7">
        <v>808.03499999999997</v>
      </c>
      <c r="BC65" s="7">
        <v>1385.9069999999999</v>
      </c>
      <c r="BD65" s="7">
        <v>0</v>
      </c>
      <c r="BE65" s="7">
        <v>190.83699999999999</v>
      </c>
      <c r="BF65" s="7">
        <v>190.83699999999999</v>
      </c>
      <c r="BG65" s="7">
        <v>0</v>
      </c>
      <c r="BH65" s="7">
        <v>0</v>
      </c>
      <c r="BI65" s="7">
        <v>594.57399999999996</v>
      </c>
      <c r="BJ65" s="21"/>
    </row>
    <row r="66" spans="1:62" ht="15.6" x14ac:dyDescent="0.3">
      <c r="A66" s="5" t="s">
        <v>116</v>
      </c>
      <c r="B66" s="5" t="s">
        <v>117</v>
      </c>
      <c r="C66" s="7">
        <v>3</v>
      </c>
      <c r="D66" s="7">
        <v>3</v>
      </c>
      <c r="E66" s="7">
        <v>0</v>
      </c>
      <c r="F66" s="7">
        <v>0</v>
      </c>
      <c r="G66" s="7">
        <v>0</v>
      </c>
      <c r="H66" s="7">
        <v>0</v>
      </c>
      <c r="I66" s="7">
        <v>0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0</v>
      </c>
      <c r="AR66" s="7">
        <v>0</v>
      </c>
      <c r="AS66" s="7">
        <v>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21"/>
    </row>
    <row r="67" spans="1:62" ht="15.6" x14ac:dyDescent="0.3">
      <c r="A67" s="5" t="s">
        <v>118</v>
      </c>
      <c r="B67" s="5" t="s">
        <v>119</v>
      </c>
      <c r="C67" s="7">
        <v>3</v>
      </c>
      <c r="D67" s="7">
        <v>3</v>
      </c>
      <c r="E67" s="7">
        <v>180394.12</v>
      </c>
      <c r="F67" s="7">
        <v>25002.024000000001</v>
      </c>
      <c r="G67" s="7">
        <v>39349.415000000001</v>
      </c>
      <c r="H67" s="7">
        <v>9041.0120000000006</v>
      </c>
      <c r="I67" s="7">
        <v>4304.1379999999999</v>
      </c>
      <c r="J67" s="7">
        <v>22601.14</v>
      </c>
      <c r="K67" s="7">
        <v>0</v>
      </c>
      <c r="L67" s="7">
        <v>75027.247000000003</v>
      </c>
      <c r="M67" s="7">
        <v>100855.78</v>
      </c>
      <c r="N67" s="7">
        <v>0</v>
      </c>
      <c r="O67" s="7">
        <v>0</v>
      </c>
      <c r="P67" s="7">
        <v>3.2189999999999999</v>
      </c>
      <c r="Q67" s="7">
        <v>521.346</v>
      </c>
      <c r="R67" s="7">
        <v>1658.364</v>
      </c>
      <c r="S67" s="7">
        <v>10763.877</v>
      </c>
      <c r="T67" s="7">
        <v>0</v>
      </c>
      <c r="U67" s="7">
        <v>0</v>
      </c>
      <c r="V67" s="7">
        <v>5073.0540000000001</v>
      </c>
      <c r="W67" s="7">
        <v>7395.4040000000005</v>
      </c>
      <c r="X67" s="7">
        <v>0</v>
      </c>
      <c r="Y67" s="7">
        <v>27548.291000000001</v>
      </c>
      <c r="Z67" s="7">
        <v>0</v>
      </c>
      <c r="AA67" s="7">
        <v>53153.063999999998</v>
      </c>
      <c r="AB67" s="7">
        <v>0</v>
      </c>
      <c r="AC67" s="7">
        <v>3998.9810000000002</v>
      </c>
      <c r="AD67" s="7">
        <v>0</v>
      </c>
      <c r="AE67" s="7">
        <v>29592.006000000001</v>
      </c>
      <c r="AF67" s="7">
        <v>0</v>
      </c>
      <c r="AG67" s="7">
        <v>0</v>
      </c>
      <c r="AH67" s="7">
        <v>171503.823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2615.0120000000002</v>
      </c>
      <c r="AP67" s="7">
        <v>0</v>
      </c>
      <c r="AQ67" s="7">
        <v>0</v>
      </c>
      <c r="AR67" s="7">
        <v>0</v>
      </c>
      <c r="AS67" s="7">
        <v>94.614000000000004</v>
      </c>
      <c r="AT67" s="7">
        <v>0</v>
      </c>
      <c r="AU67" s="7">
        <v>2784.683</v>
      </c>
      <c r="AV67" s="7">
        <v>0</v>
      </c>
      <c r="AW67" s="7">
        <v>0</v>
      </c>
      <c r="AX67" s="7">
        <v>0</v>
      </c>
      <c r="AY67" s="7">
        <v>2034.3150000000001</v>
      </c>
      <c r="AZ67" s="7">
        <v>0</v>
      </c>
      <c r="BA67" s="7">
        <v>0</v>
      </c>
      <c r="BB67" s="7">
        <v>988.44799999999998</v>
      </c>
      <c r="BC67" s="7">
        <v>1693.1959999999999</v>
      </c>
      <c r="BD67" s="7">
        <v>0</v>
      </c>
      <c r="BE67" s="7">
        <v>231.935</v>
      </c>
      <c r="BF67" s="7">
        <v>231.935</v>
      </c>
      <c r="BG67" s="7">
        <v>0</v>
      </c>
      <c r="BH67" s="7">
        <v>0</v>
      </c>
      <c r="BI67" s="7">
        <v>726.59</v>
      </c>
      <c r="BJ67" s="21"/>
    </row>
    <row r="68" spans="1:62" ht="15.6" x14ac:dyDescent="0.3">
      <c r="A68" s="5" t="s">
        <v>120</v>
      </c>
      <c r="B68" s="5" t="s">
        <v>121</v>
      </c>
      <c r="C68" s="7">
        <v>3</v>
      </c>
      <c r="D68" s="7">
        <v>3</v>
      </c>
      <c r="E68" s="7">
        <v>25821.170999999998</v>
      </c>
      <c r="F68" s="7">
        <v>3573.125</v>
      </c>
      <c r="G68" s="7">
        <v>5590.5720000000001</v>
      </c>
      <c r="H68" s="7">
        <v>0</v>
      </c>
      <c r="I68" s="7">
        <v>621.51</v>
      </c>
      <c r="J68" s="7">
        <v>3185.194</v>
      </c>
      <c r="K68" s="7">
        <v>0</v>
      </c>
      <c r="L68" s="7">
        <v>10280.699000000001</v>
      </c>
      <c r="M68" s="7">
        <v>14403.755999999999</v>
      </c>
      <c r="N68" s="7">
        <v>0</v>
      </c>
      <c r="O68" s="7">
        <v>0</v>
      </c>
      <c r="P68" s="7">
        <v>0.46500000000000002</v>
      </c>
      <c r="Q68" s="7">
        <v>88.286000000000001</v>
      </c>
      <c r="R68" s="7">
        <v>280.83300000000003</v>
      </c>
      <c r="S68" s="7">
        <v>1554.2850000000001</v>
      </c>
      <c r="T68" s="7">
        <v>0</v>
      </c>
      <c r="U68" s="7">
        <v>0</v>
      </c>
      <c r="V68" s="7">
        <v>732.54</v>
      </c>
      <c r="W68" s="7">
        <v>1067.883</v>
      </c>
      <c r="X68" s="7">
        <v>0</v>
      </c>
      <c r="Y68" s="7">
        <v>3955.9630000000002</v>
      </c>
      <c r="Z68" s="7">
        <v>0</v>
      </c>
      <c r="AA68" s="7">
        <v>7660.9380000000001</v>
      </c>
      <c r="AB68" s="7">
        <v>0</v>
      </c>
      <c r="AC68" s="7">
        <v>577.44600000000003</v>
      </c>
      <c r="AD68" s="7">
        <v>0</v>
      </c>
      <c r="AE68" s="7">
        <v>4137.808</v>
      </c>
      <c r="AF68" s="7">
        <v>0</v>
      </c>
      <c r="AG68" s="7">
        <v>0</v>
      </c>
      <c r="AH68" s="7">
        <v>24298.862000000001</v>
      </c>
      <c r="AI68" s="7">
        <v>0</v>
      </c>
      <c r="AJ68" s="7">
        <v>0</v>
      </c>
      <c r="AK68" s="7">
        <v>0</v>
      </c>
      <c r="AL68" s="7">
        <v>0</v>
      </c>
      <c r="AM68" s="7">
        <v>0</v>
      </c>
      <c r="AN68" s="7">
        <v>0</v>
      </c>
      <c r="AO68" s="7">
        <v>377.60300000000001</v>
      </c>
      <c r="AP68" s="7">
        <v>0</v>
      </c>
      <c r="AQ68" s="7">
        <v>0</v>
      </c>
      <c r="AR68" s="7">
        <v>0</v>
      </c>
      <c r="AS68" s="7">
        <v>13.662000000000001</v>
      </c>
      <c r="AT68" s="7">
        <v>0</v>
      </c>
      <c r="AU68" s="7">
        <v>410.54500000000002</v>
      </c>
      <c r="AV68" s="7">
        <v>0</v>
      </c>
      <c r="AW68" s="7">
        <v>0</v>
      </c>
      <c r="AX68" s="7">
        <v>0</v>
      </c>
      <c r="AY68" s="7">
        <v>293.75200000000001</v>
      </c>
      <c r="AZ68" s="7">
        <v>0</v>
      </c>
      <c r="BA68" s="7">
        <v>0</v>
      </c>
      <c r="BB68" s="7">
        <v>142.72999999999999</v>
      </c>
      <c r="BC68" s="7">
        <v>244.494</v>
      </c>
      <c r="BD68" s="7">
        <v>0</v>
      </c>
      <c r="BE68" s="7">
        <v>33.491</v>
      </c>
      <c r="BF68" s="7">
        <v>33.491</v>
      </c>
      <c r="BG68" s="7">
        <v>0</v>
      </c>
      <c r="BH68" s="7">
        <v>0</v>
      </c>
      <c r="BI68" s="7">
        <v>104.91800000000001</v>
      </c>
      <c r="BJ68" s="21"/>
    </row>
    <row r="69" spans="1:62" ht="15.6" x14ac:dyDescent="0.3">
      <c r="A69" s="5" t="s">
        <v>122</v>
      </c>
      <c r="B69" s="5" t="s">
        <v>123</v>
      </c>
      <c r="C69" s="7">
        <v>3</v>
      </c>
      <c r="D69" s="7">
        <v>3</v>
      </c>
      <c r="E69" s="7">
        <v>178821.36</v>
      </c>
      <c r="F69" s="7">
        <v>24704.501</v>
      </c>
      <c r="G69" s="7">
        <v>38641.476999999999</v>
      </c>
      <c r="H69" s="7">
        <v>0</v>
      </c>
      <c r="I69" s="7">
        <v>4302.8990000000003</v>
      </c>
      <c r="J69" s="7">
        <v>22020.344000000001</v>
      </c>
      <c r="K69" s="7">
        <v>8368.634</v>
      </c>
      <c r="L69" s="7">
        <v>71480.600999999995</v>
      </c>
      <c r="M69" s="7">
        <v>99573.842999999993</v>
      </c>
      <c r="N69" s="7">
        <v>0</v>
      </c>
      <c r="O69" s="7">
        <v>0</v>
      </c>
      <c r="P69" s="7">
        <v>6.79</v>
      </c>
      <c r="Q69" s="7">
        <v>835.45699999999999</v>
      </c>
      <c r="R69" s="7">
        <v>2657.53</v>
      </c>
      <c r="S69" s="7">
        <v>10712.258</v>
      </c>
      <c r="T69" s="7">
        <v>0</v>
      </c>
      <c r="U69" s="7">
        <v>6605.7489999999998</v>
      </c>
      <c r="V69" s="7">
        <v>5058.817</v>
      </c>
      <c r="W69" s="7">
        <v>7390.6689999999999</v>
      </c>
      <c r="X69" s="7">
        <v>0</v>
      </c>
      <c r="Y69" s="7">
        <v>27507.915000000001</v>
      </c>
      <c r="Z69" s="7">
        <v>0</v>
      </c>
      <c r="AA69" s="7">
        <v>52885.673999999999</v>
      </c>
      <c r="AB69" s="7">
        <v>0</v>
      </c>
      <c r="AC69" s="7">
        <v>3992.855</v>
      </c>
      <c r="AD69" s="7">
        <v>0</v>
      </c>
      <c r="AE69" s="7">
        <v>29296.89</v>
      </c>
      <c r="AF69" s="7">
        <v>0</v>
      </c>
      <c r="AG69" s="7">
        <v>0</v>
      </c>
      <c r="AH69" s="7">
        <v>169313.09400000001</v>
      </c>
      <c r="AI69" s="7">
        <v>0</v>
      </c>
      <c r="AJ69" s="7">
        <v>0</v>
      </c>
      <c r="AK69" s="7">
        <v>0</v>
      </c>
      <c r="AL69" s="7">
        <v>0</v>
      </c>
      <c r="AM69" s="7">
        <v>1566.2249999999999</v>
      </c>
      <c r="AN69" s="7">
        <v>0</v>
      </c>
      <c r="AO69" s="7">
        <v>2602.471</v>
      </c>
      <c r="AP69" s="7">
        <v>0</v>
      </c>
      <c r="AQ69" s="7">
        <v>0</v>
      </c>
      <c r="AR69" s="7">
        <v>0</v>
      </c>
      <c r="AS69" s="7">
        <v>94.16</v>
      </c>
      <c r="AT69" s="7">
        <v>0</v>
      </c>
      <c r="AU69" s="7">
        <v>2793.1619999999998</v>
      </c>
      <c r="AV69" s="7">
        <v>0</v>
      </c>
      <c r="AW69" s="7">
        <v>0</v>
      </c>
      <c r="AX69" s="7">
        <v>0</v>
      </c>
      <c r="AY69" s="7">
        <v>2024.56</v>
      </c>
      <c r="AZ69" s="7">
        <v>0</v>
      </c>
      <c r="BA69" s="7">
        <v>0</v>
      </c>
      <c r="BB69" s="7">
        <v>983.70799999999997</v>
      </c>
      <c r="BC69" s="7">
        <v>1685.076</v>
      </c>
      <c r="BD69" s="7">
        <v>0</v>
      </c>
      <c r="BE69" s="7">
        <v>230.82300000000001</v>
      </c>
      <c r="BF69" s="7">
        <v>230.82300000000001</v>
      </c>
      <c r="BG69" s="7">
        <v>0</v>
      </c>
      <c r="BH69" s="7">
        <v>0</v>
      </c>
      <c r="BI69" s="7">
        <v>723.10500000000002</v>
      </c>
      <c r="BJ69" s="21"/>
    </row>
    <row r="70" spans="1:62" ht="15.6" x14ac:dyDescent="0.3">
      <c r="A70" s="5" t="s">
        <v>124</v>
      </c>
      <c r="B70" s="5" t="s">
        <v>125</v>
      </c>
      <c r="C70" s="7">
        <v>3</v>
      </c>
      <c r="D70" s="7">
        <v>3</v>
      </c>
      <c r="E70" s="7">
        <v>0</v>
      </c>
      <c r="F70" s="7">
        <v>0</v>
      </c>
      <c r="G70" s="7">
        <v>0</v>
      </c>
      <c r="H70" s="7">
        <v>0</v>
      </c>
      <c r="I70" s="7">
        <v>0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0</v>
      </c>
      <c r="AF70" s="7">
        <v>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21"/>
    </row>
    <row r="71" spans="1:62" ht="15.6" x14ac:dyDescent="0.3">
      <c r="A71" s="5" t="s">
        <v>126</v>
      </c>
      <c r="B71" s="5" t="s">
        <v>127</v>
      </c>
      <c r="C71" s="7">
        <v>3</v>
      </c>
      <c r="D71" s="7">
        <v>3</v>
      </c>
      <c r="E71" s="7">
        <v>46546.542999999998</v>
      </c>
      <c r="F71" s="7">
        <v>6441.0950000000003</v>
      </c>
      <c r="G71" s="7">
        <v>10077.847</v>
      </c>
      <c r="H71" s="7">
        <v>19159.966</v>
      </c>
      <c r="I71" s="7">
        <v>1120.365</v>
      </c>
      <c r="J71" s="7">
        <v>5741.7910000000002</v>
      </c>
      <c r="K71" s="7">
        <v>0</v>
      </c>
      <c r="L71" s="7">
        <v>18532.506000000001</v>
      </c>
      <c r="M71" s="7">
        <v>25964.936000000002</v>
      </c>
      <c r="N71" s="7">
        <v>0</v>
      </c>
      <c r="O71" s="7">
        <v>0</v>
      </c>
      <c r="P71" s="7">
        <v>0.83799999999999997</v>
      </c>
      <c r="Q71" s="7">
        <v>0</v>
      </c>
      <c r="R71" s="7">
        <v>0</v>
      </c>
      <c r="S71" s="7">
        <v>2801.8319999999999</v>
      </c>
      <c r="T71" s="7">
        <v>0</v>
      </c>
      <c r="U71" s="7">
        <v>0</v>
      </c>
      <c r="V71" s="7">
        <v>1320.5139999999999</v>
      </c>
      <c r="W71" s="7">
        <v>1925.02</v>
      </c>
      <c r="X71" s="7">
        <v>0</v>
      </c>
      <c r="Y71" s="7">
        <v>7131.2169999999996</v>
      </c>
      <c r="Z71" s="7">
        <v>0</v>
      </c>
      <c r="AA71" s="7">
        <v>13809.993</v>
      </c>
      <c r="AB71" s="7">
        <v>0</v>
      </c>
      <c r="AC71" s="7">
        <v>1040.933</v>
      </c>
      <c r="AD71" s="7">
        <v>0</v>
      </c>
      <c r="AE71" s="7">
        <v>7459.0209999999997</v>
      </c>
      <c r="AF71" s="7">
        <v>0</v>
      </c>
      <c r="AG71" s="7">
        <v>0</v>
      </c>
      <c r="AH71" s="7">
        <v>43802.35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680.68600000000004</v>
      </c>
      <c r="AP71" s="7">
        <v>0</v>
      </c>
      <c r="AQ71" s="7">
        <v>0</v>
      </c>
      <c r="AR71" s="7">
        <v>0</v>
      </c>
      <c r="AS71" s="7">
        <v>24.628</v>
      </c>
      <c r="AT71" s="7">
        <v>0</v>
      </c>
      <c r="AU71" s="7">
        <v>707.63900000000001</v>
      </c>
      <c r="AV71" s="7">
        <v>0</v>
      </c>
      <c r="AW71" s="7">
        <v>0</v>
      </c>
      <c r="AX71" s="7">
        <v>0</v>
      </c>
      <c r="AY71" s="7">
        <v>529.53099999999995</v>
      </c>
      <c r="AZ71" s="7">
        <v>0</v>
      </c>
      <c r="BA71" s="7">
        <v>0</v>
      </c>
      <c r="BB71" s="7">
        <v>257.29300000000001</v>
      </c>
      <c r="BC71" s="7">
        <v>440.738</v>
      </c>
      <c r="BD71" s="7">
        <v>0</v>
      </c>
      <c r="BE71" s="7">
        <v>60.372999999999998</v>
      </c>
      <c r="BF71" s="7">
        <v>60.372999999999998</v>
      </c>
      <c r="BG71" s="7">
        <v>0</v>
      </c>
      <c r="BH71" s="7">
        <v>0</v>
      </c>
      <c r="BI71" s="7">
        <v>189.131</v>
      </c>
      <c r="BJ71" s="21"/>
    </row>
    <row r="72" spans="1:62" ht="15.6" x14ac:dyDescent="0.3">
      <c r="A72" s="5" t="s">
        <v>128</v>
      </c>
      <c r="B72" s="5" t="s">
        <v>129</v>
      </c>
      <c r="C72" s="7">
        <v>3</v>
      </c>
      <c r="D72" s="7">
        <v>3</v>
      </c>
      <c r="E72" s="7">
        <v>18283.562999999998</v>
      </c>
      <c r="F72" s="7">
        <v>2530.0729999999999</v>
      </c>
      <c r="G72" s="7">
        <v>3958.596</v>
      </c>
      <c r="H72" s="7">
        <v>2913.6</v>
      </c>
      <c r="I72" s="7">
        <v>440.08100000000002</v>
      </c>
      <c r="J72" s="7">
        <v>2255.386</v>
      </c>
      <c r="K72" s="7">
        <v>0</v>
      </c>
      <c r="L72" s="7">
        <v>7279.6009999999997</v>
      </c>
      <c r="M72" s="7">
        <v>10199.072</v>
      </c>
      <c r="N72" s="7">
        <v>0</v>
      </c>
      <c r="O72" s="7">
        <v>0</v>
      </c>
      <c r="P72" s="7">
        <v>0.32900000000000001</v>
      </c>
      <c r="Q72" s="7">
        <v>0</v>
      </c>
      <c r="R72" s="7">
        <v>0</v>
      </c>
      <c r="S72" s="7">
        <v>1100.5640000000001</v>
      </c>
      <c r="T72" s="7">
        <v>0</v>
      </c>
      <c r="U72" s="7">
        <v>0</v>
      </c>
      <c r="V72" s="7">
        <v>518.70000000000005</v>
      </c>
      <c r="W72" s="7">
        <v>756.15099999999995</v>
      </c>
      <c r="X72" s="7">
        <v>0</v>
      </c>
      <c r="Y72" s="7">
        <v>2801.1550000000002</v>
      </c>
      <c r="Z72" s="7">
        <v>0</v>
      </c>
      <c r="AA72" s="7">
        <v>5424.5889999999999</v>
      </c>
      <c r="AB72" s="7">
        <v>0</v>
      </c>
      <c r="AC72" s="7">
        <v>408.88</v>
      </c>
      <c r="AD72" s="7">
        <v>0</v>
      </c>
      <c r="AE72" s="7">
        <v>2929.9160000000002</v>
      </c>
      <c r="AF72" s="7">
        <v>0</v>
      </c>
      <c r="AG72" s="7">
        <v>0</v>
      </c>
      <c r="AH72" s="7">
        <v>17205.64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267.375</v>
      </c>
      <c r="AP72" s="7">
        <v>0</v>
      </c>
      <c r="AQ72" s="7">
        <v>0</v>
      </c>
      <c r="AR72" s="7">
        <v>0</v>
      </c>
      <c r="AS72" s="7">
        <v>9.6739999999999995</v>
      </c>
      <c r="AT72" s="7">
        <v>0</v>
      </c>
      <c r="AU72" s="7">
        <v>277.96199999999999</v>
      </c>
      <c r="AV72" s="7">
        <v>0</v>
      </c>
      <c r="AW72" s="7">
        <v>0</v>
      </c>
      <c r="AX72" s="7">
        <v>0</v>
      </c>
      <c r="AY72" s="7">
        <v>208.001</v>
      </c>
      <c r="AZ72" s="7">
        <v>0</v>
      </c>
      <c r="BA72" s="7">
        <v>0</v>
      </c>
      <c r="BB72" s="7">
        <v>101.065</v>
      </c>
      <c r="BC72" s="7">
        <v>173.12299999999999</v>
      </c>
      <c r="BD72" s="7">
        <v>0</v>
      </c>
      <c r="BE72" s="7">
        <v>23.713999999999999</v>
      </c>
      <c r="BF72" s="7">
        <v>23.713999999999999</v>
      </c>
      <c r="BG72" s="7">
        <v>0</v>
      </c>
      <c r="BH72" s="7">
        <v>0</v>
      </c>
      <c r="BI72" s="7">
        <v>74.290999999999997</v>
      </c>
      <c r="BJ72" s="21"/>
    </row>
    <row r="73" spans="1:62" ht="15.6" x14ac:dyDescent="0.3">
      <c r="A73" s="5" t="s">
        <v>130</v>
      </c>
      <c r="B73" s="5" t="s">
        <v>131</v>
      </c>
      <c r="C73" s="7">
        <v>3</v>
      </c>
      <c r="D73" s="7">
        <v>3</v>
      </c>
      <c r="E73" s="7">
        <v>60655.114999999998</v>
      </c>
      <c r="F73" s="7">
        <v>8366.0059999999994</v>
      </c>
      <c r="G73" s="7">
        <v>13081.781999999999</v>
      </c>
      <c r="H73" s="7">
        <v>11550.205</v>
      </c>
      <c r="I73" s="7">
        <v>1459.085</v>
      </c>
      <c r="J73" s="7">
        <v>7456.3620000000001</v>
      </c>
      <c r="K73" s="7">
        <v>0</v>
      </c>
      <c r="L73" s="7">
        <v>24340.287</v>
      </c>
      <c r="M73" s="7">
        <v>33715.506999999998</v>
      </c>
      <c r="N73" s="7">
        <v>0</v>
      </c>
      <c r="O73" s="7">
        <v>0</v>
      </c>
      <c r="P73" s="7">
        <v>3.496</v>
      </c>
      <c r="Q73" s="7">
        <v>2.4289999999999998</v>
      </c>
      <c r="R73" s="7">
        <v>7.726</v>
      </c>
      <c r="S73" s="7">
        <v>3616.2440000000001</v>
      </c>
      <c r="T73" s="7">
        <v>0</v>
      </c>
      <c r="U73" s="7">
        <v>0</v>
      </c>
      <c r="V73" s="7">
        <v>1711.143</v>
      </c>
      <c r="W73" s="7">
        <v>2505.2579999999998</v>
      </c>
      <c r="X73" s="7">
        <v>0</v>
      </c>
      <c r="Y73" s="7">
        <v>9367.7260000000006</v>
      </c>
      <c r="Z73" s="7">
        <v>0</v>
      </c>
      <c r="AA73" s="7">
        <v>17881.967000000001</v>
      </c>
      <c r="AB73" s="7">
        <v>0</v>
      </c>
      <c r="AC73" s="7">
        <v>1352.29</v>
      </c>
      <c r="AD73" s="7">
        <v>0</v>
      </c>
      <c r="AE73" s="7">
        <v>10151.472</v>
      </c>
      <c r="AF73" s="7">
        <v>7.5720000000000001</v>
      </c>
      <c r="AG73" s="7">
        <v>0</v>
      </c>
      <c r="AH73" s="7">
        <v>57750.317000000003</v>
      </c>
      <c r="AI73" s="7">
        <v>26.280999999999999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878.54200000000003</v>
      </c>
      <c r="AP73" s="7">
        <v>0</v>
      </c>
      <c r="AQ73" s="7">
        <v>0</v>
      </c>
      <c r="AR73" s="7">
        <v>0</v>
      </c>
      <c r="AS73" s="7">
        <v>31.786000000000001</v>
      </c>
      <c r="AT73" s="7">
        <v>0</v>
      </c>
      <c r="AU73" s="7">
        <v>913.32899999999995</v>
      </c>
      <c r="AV73" s="7">
        <v>0</v>
      </c>
      <c r="AW73" s="7">
        <v>0</v>
      </c>
      <c r="AX73" s="7">
        <v>0</v>
      </c>
      <c r="AY73" s="7">
        <v>683.45100000000002</v>
      </c>
      <c r="AZ73" s="7">
        <v>0</v>
      </c>
      <c r="BA73" s="7">
        <v>0</v>
      </c>
      <c r="BB73" s="7">
        <v>332.08</v>
      </c>
      <c r="BC73" s="7">
        <v>568.84799999999996</v>
      </c>
      <c r="BD73" s="7">
        <v>0</v>
      </c>
      <c r="BE73" s="7">
        <v>77.921000000000006</v>
      </c>
      <c r="BF73" s="7">
        <v>77.921000000000006</v>
      </c>
      <c r="BG73" s="7">
        <v>0</v>
      </c>
      <c r="BH73" s="7">
        <v>0</v>
      </c>
      <c r="BI73" s="7">
        <v>244.10599999999999</v>
      </c>
      <c r="BJ73" s="21"/>
    </row>
    <row r="74" spans="1:62" ht="15.6" x14ac:dyDescent="0.3">
      <c r="A74" s="5" t="s">
        <v>132</v>
      </c>
      <c r="B74" s="5" t="s">
        <v>133</v>
      </c>
      <c r="C74" s="7">
        <v>3</v>
      </c>
      <c r="D74" s="7">
        <v>3</v>
      </c>
      <c r="E74" s="7">
        <v>0</v>
      </c>
      <c r="F74" s="7">
        <v>0</v>
      </c>
      <c r="G74" s="7">
        <v>0</v>
      </c>
      <c r="H74" s="7">
        <v>0</v>
      </c>
      <c r="I74" s="7">
        <v>0</v>
      </c>
      <c r="J74" s="7">
        <v>0</v>
      </c>
      <c r="K74" s="7">
        <v>0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0</v>
      </c>
      <c r="AF74" s="7">
        <v>0</v>
      </c>
      <c r="AG74" s="7">
        <v>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0</v>
      </c>
      <c r="AR74" s="7">
        <v>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21"/>
    </row>
    <row r="75" spans="1:62" ht="15.6" x14ac:dyDescent="0.3">
      <c r="A75" s="5" t="s">
        <v>134</v>
      </c>
      <c r="B75" s="5" t="s">
        <v>135</v>
      </c>
      <c r="C75" s="7">
        <v>6</v>
      </c>
      <c r="D75" s="7">
        <v>6</v>
      </c>
      <c r="E75" s="7">
        <v>55468.81</v>
      </c>
      <c r="F75" s="7">
        <v>5258.5860000000002</v>
      </c>
      <c r="G75" s="7">
        <v>14258.188</v>
      </c>
      <c r="H75" s="7">
        <v>1843.914</v>
      </c>
      <c r="I75" s="7">
        <v>1180.4690000000001</v>
      </c>
      <c r="J75" s="7">
        <v>10698.143</v>
      </c>
      <c r="K75" s="7">
        <v>0</v>
      </c>
      <c r="L75" s="7">
        <v>24481.748</v>
      </c>
      <c r="M75" s="7">
        <v>32154.924999999999</v>
      </c>
      <c r="N75" s="7">
        <v>0</v>
      </c>
      <c r="O75" s="7">
        <v>0</v>
      </c>
      <c r="P75" s="7">
        <v>35.975999999999999</v>
      </c>
      <c r="Q75" s="7">
        <v>0</v>
      </c>
      <c r="R75" s="7">
        <v>127.744</v>
      </c>
      <c r="S75" s="7">
        <v>1508.078</v>
      </c>
      <c r="T75" s="7">
        <v>0</v>
      </c>
      <c r="U75" s="7">
        <v>0</v>
      </c>
      <c r="V75" s="7">
        <v>1168.942</v>
      </c>
      <c r="W75" s="7">
        <v>2904.4079999999999</v>
      </c>
      <c r="X75" s="7">
        <v>0</v>
      </c>
      <c r="Y75" s="7">
        <v>8830.3919999999998</v>
      </c>
      <c r="Z75" s="7">
        <v>0</v>
      </c>
      <c r="AA75" s="7">
        <v>13331.958000000001</v>
      </c>
      <c r="AB75" s="7">
        <v>0</v>
      </c>
      <c r="AC75" s="7">
        <v>908.23099999999999</v>
      </c>
      <c r="AD75" s="7">
        <v>0</v>
      </c>
      <c r="AE75" s="7">
        <v>30605.048999999999</v>
      </c>
      <c r="AF75" s="7">
        <v>0</v>
      </c>
      <c r="AG75" s="7">
        <v>0</v>
      </c>
      <c r="AH75" s="7">
        <v>74065.089000000007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563.48400000000004</v>
      </c>
      <c r="AP75" s="7">
        <v>0</v>
      </c>
      <c r="AQ75" s="7">
        <v>0</v>
      </c>
      <c r="AR75" s="7">
        <v>0</v>
      </c>
      <c r="AS75" s="7">
        <v>6.4820000000000002</v>
      </c>
      <c r="AT75" s="7">
        <v>0</v>
      </c>
      <c r="AU75" s="7">
        <v>336.459</v>
      </c>
      <c r="AV75" s="7">
        <v>0</v>
      </c>
      <c r="AW75" s="7">
        <v>0</v>
      </c>
      <c r="AX75" s="7">
        <v>0</v>
      </c>
      <c r="AY75" s="7">
        <v>464.67200000000003</v>
      </c>
      <c r="AZ75" s="7">
        <v>0</v>
      </c>
      <c r="BA75" s="7">
        <v>0</v>
      </c>
      <c r="BB75" s="7">
        <v>224.88499999999999</v>
      </c>
      <c r="BC75" s="7">
        <v>388.65699999999998</v>
      </c>
      <c r="BD75" s="7">
        <v>0</v>
      </c>
      <c r="BE75" s="7">
        <v>55.182000000000002</v>
      </c>
      <c r="BF75" s="7">
        <v>55.182000000000002</v>
      </c>
      <c r="BG75" s="7">
        <v>0</v>
      </c>
      <c r="BH75" s="7">
        <v>0</v>
      </c>
      <c r="BI75" s="7">
        <v>166.48699999999999</v>
      </c>
      <c r="BJ75" s="21"/>
    </row>
    <row r="76" spans="1:62" ht="15.6" x14ac:dyDescent="0.3">
      <c r="A76" s="5" t="s">
        <v>136</v>
      </c>
      <c r="B76" s="5" t="s">
        <v>137</v>
      </c>
      <c r="C76" s="7">
        <v>6</v>
      </c>
      <c r="D76" s="7">
        <v>6</v>
      </c>
      <c r="E76" s="7">
        <v>1032.2919999999999</v>
      </c>
      <c r="F76" s="7">
        <v>93.932000000000002</v>
      </c>
      <c r="G76" s="7">
        <v>133.03399999999999</v>
      </c>
      <c r="H76" s="7">
        <v>0</v>
      </c>
      <c r="I76" s="7">
        <v>23.295999999999999</v>
      </c>
      <c r="J76" s="7">
        <v>81.319000000000003</v>
      </c>
      <c r="K76" s="7">
        <v>0</v>
      </c>
      <c r="L76" s="7">
        <v>750.66499999999996</v>
      </c>
      <c r="M76" s="7">
        <v>362.584</v>
      </c>
      <c r="N76" s="7">
        <v>0</v>
      </c>
      <c r="O76" s="7">
        <v>0</v>
      </c>
      <c r="P76" s="7">
        <v>4.3070000000000004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12.117000000000001</v>
      </c>
      <c r="W76" s="7">
        <v>36.899000000000001</v>
      </c>
      <c r="X76" s="7">
        <v>0</v>
      </c>
      <c r="Y76" s="7">
        <v>291.89</v>
      </c>
      <c r="Z76" s="7">
        <v>0</v>
      </c>
      <c r="AA76" s="7">
        <v>103.09</v>
      </c>
      <c r="AB76" s="7">
        <v>0</v>
      </c>
      <c r="AC76" s="7">
        <v>15.672000000000001</v>
      </c>
      <c r="AD76" s="7">
        <v>0</v>
      </c>
      <c r="AE76" s="7">
        <v>935.09799999999996</v>
      </c>
      <c r="AF76" s="7">
        <v>0</v>
      </c>
      <c r="AG76" s="7">
        <v>0</v>
      </c>
      <c r="AH76" s="7">
        <v>2168.4250000000002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0</v>
      </c>
      <c r="AO76" s="7">
        <v>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21"/>
    </row>
    <row r="77" spans="1:62" ht="15.6" x14ac:dyDescent="0.3">
      <c r="A77" s="5" t="s">
        <v>138</v>
      </c>
      <c r="B77" s="5" t="s">
        <v>139</v>
      </c>
      <c r="C77" s="7">
        <v>6</v>
      </c>
      <c r="D77" s="7">
        <v>6</v>
      </c>
      <c r="E77" s="7">
        <v>5946.5609999999997</v>
      </c>
      <c r="F77" s="7">
        <v>1334.384</v>
      </c>
      <c r="G77" s="7">
        <v>183.923</v>
      </c>
      <c r="H77" s="7">
        <v>0</v>
      </c>
      <c r="I77" s="7">
        <v>32.207000000000001</v>
      </c>
      <c r="J77" s="7">
        <v>910.76099999999997</v>
      </c>
      <c r="K77" s="7">
        <v>0</v>
      </c>
      <c r="L77" s="7">
        <v>19209.199000000001</v>
      </c>
      <c r="M77" s="7">
        <v>1861.674</v>
      </c>
      <c r="N77" s="7">
        <v>0</v>
      </c>
      <c r="O77" s="7">
        <v>0</v>
      </c>
      <c r="P77" s="7">
        <v>5.9539999999999997</v>
      </c>
      <c r="Q77" s="7">
        <v>0</v>
      </c>
      <c r="R77" s="7">
        <v>328.25099999999998</v>
      </c>
      <c r="S77" s="7">
        <v>0</v>
      </c>
      <c r="T77" s="7">
        <v>0</v>
      </c>
      <c r="U77" s="7">
        <v>0</v>
      </c>
      <c r="V77" s="7">
        <v>16.751999999999999</v>
      </c>
      <c r="W77" s="7">
        <v>51.014000000000003</v>
      </c>
      <c r="X77" s="7">
        <v>0</v>
      </c>
      <c r="Y77" s="7">
        <v>403.54700000000003</v>
      </c>
      <c r="Z77" s="7">
        <v>0</v>
      </c>
      <c r="AA77" s="7">
        <v>142.52500000000001</v>
      </c>
      <c r="AB77" s="7">
        <v>0</v>
      </c>
      <c r="AC77" s="7">
        <v>21.667000000000002</v>
      </c>
      <c r="AD77" s="7">
        <v>0</v>
      </c>
      <c r="AE77" s="7">
        <v>3356.0740000000001</v>
      </c>
      <c r="AF77" s="7">
        <v>0</v>
      </c>
      <c r="AG77" s="7">
        <v>0</v>
      </c>
      <c r="AH77" s="7">
        <v>14924.851000000001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0</v>
      </c>
      <c r="AR77" s="7">
        <v>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21"/>
    </row>
    <row r="78" spans="1:62" ht="15.6" x14ac:dyDescent="0.3">
      <c r="A78" s="5" t="s">
        <v>140</v>
      </c>
      <c r="B78" s="5" t="s">
        <v>141</v>
      </c>
      <c r="C78" s="7">
        <v>6</v>
      </c>
      <c r="D78" s="7">
        <v>6</v>
      </c>
      <c r="E78" s="7">
        <v>0</v>
      </c>
      <c r="F78" s="7">
        <v>0</v>
      </c>
      <c r="G78" s="7">
        <v>0</v>
      </c>
      <c r="H78" s="7">
        <v>0</v>
      </c>
      <c r="I78" s="7">
        <v>0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0</v>
      </c>
      <c r="AF78" s="7">
        <v>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0</v>
      </c>
      <c r="AR78" s="7">
        <v>0</v>
      </c>
      <c r="AS78" s="7">
        <v>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21"/>
    </row>
    <row r="79" spans="1:62" ht="15.6" x14ac:dyDescent="0.3">
      <c r="A79" s="5" t="s">
        <v>142</v>
      </c>
      <c r="B79" s="5" t="s">
        <v>143</v>
      </c>
      <c r="C79" s="7">
        <v>6</v>
      </c>
      <c r="D79" s="7">
        <v>6</v>
      </c>
      <c r="E79" s="7">
        <v>9316.3490000000002</v>
      </c>
      <c r="F79" s="7">
        <v>1185.0170000000001</v>
      </c>
      <c r="G79" s="7">
        <v>1824.425</v>
      </c>
      <c r="H79" s="7">
        <v>5874.3940000000002</v>
      </c>
      <c r="I79" s="7">
        <v>220.93899999999999</v>
      </c>
      <c r="J79" s="7">
        <v>1051.2180000000001</v>
      </c>
      <c r="K79" s="7">
        <v>0</v>
      </c>
      <c r="L79" s="7">
        <v>4432.6610000000001</v>
      </c>
      <c r="M79" s="7">
        <v>4742.7489999999998</v>
      </c>
      <c r="N79" s="7">
        <v>0</v>
      </c>
      <c r="O79" s="7">
        <v>0</v>
      </c>
      <c r="P79" s="7">
        <v>9.3000000000000007</v>
      </c>
      <c r="Q79" s="7">
        <v>0</v>
      </c>
      <c r="R79" s="7">
        <v>0</v>
      </c>
      <c r="S79" s="7">
        <v>428.45699999999999</v>
      </c>
      <c r="T79" s="7">
        <v>0</v>
      </c>
      <c r="U79" s="7">
        <v>0</v>
      </c>
      <c r="V79" s="7">
        <v>227.738</v>
      </c>
      <c r="W79" s="7">
        <v>372.95699999999999</v>
      </c>
      <c r="X79" s="7">
        <v>0</v>
      </c>
      <c r="Y79" s="7">
        <v>1712.136</v>
      </c>
      <c r="Z79" s="7">
        <v>0</v>
      </c>
      <c r="AA79" s="7">
        <v>2331.3760000000002</v>
      </c>
      <c r="AB79" s="7">
        <v>0</v>
      </c>
      <c r="AC79" s="7">
        <v>192.55600000000001</v>
      </c>
      <c r="AD79" s="7">
        <v>0</v>
      </c>
      <c r="AE79" s="7">
        <v>3132.0810000000001</v>
      </c>
      <c r="AF79" s="7">
        <v>0</v>
      </c>
      <c r="AG79" s="7">
        <v>0</v>
      </c>
      <c r="AH79" s="7">
        <v>11316.288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104.09099999999999</v>
      </c>
      <c r="AP79" s="7">
        <v>0</v>
      </c>
      <c r="AQ79" s="7">
        <v>0</v>
      </c>
      <c r="AR79" s="7">
        <v>0</v>
      </c>
      <c r="AS79" s="7">
        <v>3.766</v>
      </c>
      <c r="AT79" s="7">
        <v>0</v>
      </c>
      <c r="AU79" s="7">
        <v>108.212</v>
      </c>
      <c r="AV79" s="7">
        <v>0</v>
      </c>
      <c r="AW79" s="7">
        <v>0</v>
      </c>
      <c r="AX79" s="7">
        <v>0</v>
      </c>
      <c r="AY79" s="7">
        <v>80.975999999999999</v>
      </c>
      <c r="AZ79" s="7">
        <v>0</v>
      </c>
      <c r="BA79" s="7">
        <v>0</v>
      </c>
      <c r="BB79" s="7">
        <v>39.344999999999999</v>
      </c>
      <c r="BC79" s="7">
        <v>67.397999999999996</v>
      </c>
      <c r="BD79" s="7">
        <v>0</v>
      </c>
      <c r="BE79" s="7">
        <v>9.2319999999999993</v>
      </c>
      <c r="BF79" s="7">
        <v>9.2319999999999993</v>
      </c>
      <c r="BG79" s="7">
        <v>0</v>
      </c>
      <c r="BH79" s="7">
        <v>0</v>
      </c>
      <c r="BI79" s="7">
        <v>28.922000000000001</v>
      </c>
      <c r="BJ79" s="21"/>
    </row>
    <row r="80" spans="1:62" ht="15.6" x14ac:dyDescent="0.3">
      <c r="A80" s="5" t="s">
        <v>144</v>
      </c>
      <c r="B80" s="5" t="s">
        <v>145</v>
      </c>
      <c r="C80" s="7">
        <v>6</v>
      </c>
      <c r="D80" s="7">
        <v>6</v>
      </c>
      <c r="E80" s="7">
        <v>0</v>
      </c>
      <c r="F80" s="7">
        <v>0</v>
      </c>
      <c r="G80" s="7">
        <v>0</v>
      </c>
      <c r="H80" s="7">
        <v>0</v>
      </c>
      <c r="I80" s="7">
        <v>0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0</v>
      </c>
      <c r="AF80" s="7">
        <v>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21"/>
    </row>
    <row r="81" spans="1:62" ht="15.6" x14ac:dyDescent="0.3">
      <c r="A81" s="5" t="s">
        <v>146</v>
      </c>
      <c r="B81" s="5" t="s">
        <v>147</v>
      </c>
      <c r="C81" s="7">
        <v>6</v>
      </c>
      <c r="D81" s="7">
        <v>6</v>
      </c>
      <c r="E81" s="7">
        <v>8461.3089999999993</v>
      </c>
      <c r="F81" s="7">
        <v>1137.201</v>
      </c>
      <c r="G81" s="7">
        <v>1723.421</v>
      </c>
      <c r="H81" s="7">
        <v>0</v>
      </c>
      <c r="I81" s="7">
        <v>149.38900000000001</v>
      </c>
      <c r="J81" s="7">
        <v>1226.627</v>
      </c>
      <c r="K81" s="7">
        <v>0</v>
      </c>
      <c r="L81" s="7">
        <v>10176.169</v>
      </c>
      <c r="M81" s="7">
        <v>3336.951</v>
      </c>
      <c r="N81" s="7">
        <v>0</v>
      </c>
      <c r="O81" s="7">
        <v>0</v>
      </c>
      <c r="P81" s="7">
        <v>18.760000000000002</v>
      </c>
      <c r="Q81" s="7">
        <v>0</v>
      </c>
      <c r="R81" s="7">
        <v>116.85599999999999</v>
      </c>
      <c r="S81" s="7">
        <v>120.294</v>
      </c>
      <c r="T81" s="7">
        <v>0</v>
      </c>
      <c r="U81" s="7">
        <v>0</v>
      </c>
      <c r="V81" s="7">
        <v>109.376</v>
      </c>
      <c r="W81" s="7">
        <v>243.08</v>
      </c>
      <c r="X81" s="7">
        <v>0</v>
      </c>
      <c r="Y81" s="7">
        <v>1756.7470000000001</v>
      </c>
      <c r="Z81" s="7">
        <v>0</v>
      </c>
      <c r="AA81" s="7">
        <v>1130.5609999999999</v>
      </c>
      <c r="AB81" s="7">
        <v>0</v>
      </c>
      <c r="AC81" s="7">
        <v>112.83</v>
      </c>
      <c r="AD81" s="7">
        <v>0</v>
      </c>
      <c r="AE81" s="7">
        <v>5547.4189999999999</v>
      </c>
      <c r="AF81" s="7">
        <v>0</v>
      </c>
      <c r="AG81" s="7">
        <v>0</v>
      </c>
      <c r="AH81" s="7">
        <v>16137.356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29.225000000000001</v>
      </c>
      <c r="AP81" s="7">
        <v>0</v>
      </c>
      <c r="AQ81" s="7">
        <v>0</v>
      </c>
      <c r="AR81" s="7">
        <v>0</v>
      </c>
      <c r="AS81" s="7">
        <v>1.0569999999999999</v>
      </c>
      <c r="AT81" s="7">
        <v>0</v>
      </c>
      <c r="AU81" s="7">
        <v>30.382000000000001</v>
      </c>
      <c r="AV81" s="7">
        <v>0</v>
      </c>
      <c r="AW81" s="7">
        <v>0</v>
      </c>
      <c r="AX81" s="7">
        <v>0</v>
      </c>
      <c r="AY81" s="7">
        <v>22.734999999999999</v>
      </c>
      <c r="AZ81" s="7">
        <v>0</v>
      </c>
      <c r="BA81" s="7">
        <v>0</v>
      </c>
      <c r="BB81" s="7">
        <v>11.047000000000001</v>
      </c>
      <c r="BC81" s="7">
        <v>18.922999999999998</v>
      </c>
      <c r="BD81" s="7">
        <v>0</v>
      </c>
      <c r="BE81" s="7">
        <v>2.5920000000000001</v>
      </c>
      <c r="BF81" s="7">
        <v>2.5920000000000001</v>
      </c>
      <c r="BG81" s="7">
        <v>0</v>
      </c>
      <c r="BH81" s="7">
        <v>0</v>
      </c>
      <c r="BI81" s="7">
        <v>8.1199999999999992</v>
      </c>
      <c r="BJ81" s="21"/>
    </row>
    <row r="82" spans="1:62" ht="15.6" x14ac:dyDescent="0.3">
      <c r="A82" s="5" t="s">
        <v>148</v>
      </c>
      <c r="B82" s="5" t="s">
        <v>149</v>
      </c>
      <c r="C82" s="7">
        <v>6</v>
      </c>
      <c r="D82" s="7">
        <v>6</v>
      </c>
      <c r="E82" s="7">
        <v>0</v>
      </c>
      <c r="F82" s="7">
        <v>0</v>
      </c>
      <c r="G82" s="7">
        <v>0</v>
      </c>
      <c r="H82" s="7">
        <v>0</v>
      </c>
      <c r="I82" s="7">
        <v>0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0</v>
      </c>
      <c r="AR82" s="7">
        <v>0</v>
      </c>
      <c r="AS82" s="7">
        <v>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21"/>
    </row>
    <row r="83" spans="1:62" ht="15.6" x14ac:dyDescent="0.3">
      <c r="A83" s="5" t="s">
        <v>150</v>
      </c>
      <c r="B83" s="5" t="s">
        <v>151</v>
      </c>
      <c r="C83" s="7">
        <v>6</v>
      </c>
      <c r="D83" s="7">
        <v>6</v>
      </c>
      <c r="E83" s="7">
        <v>0</v>
      </c>
      <c r="F83" s="7">
        <v>0</v>
      </c>
      <c r="G83" s="7">
        <v>0</v>
      </c>
      <c r="H83" s="7">
        <v>0</v>
      </c>
      <c r="I83" s="7">
        <v>0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0</v>
      </c>
      <c r="AR83" s="7">
        <v>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21"/>
    </row>
    <row r="84" spans="1:62" ht="15.6" x14ac:dyDescent="0.3">
      <c r="A84" s="5" t="s">
        <v>152</v>
      </c>
      <c r="B84" s="5" t="s">
        <v>153</v>
      </c>
      <c r="C84" s="7">
        <v>6</v>
      </c>
      <c r="D84" s="7">
        <v>6</v>
      </c>
      <c r="E84" s="7">
        <v>0</v>
      </c>
      <c r="F84" s="7">
        <v>0</v>
      </c>
      <c r="G84" s="7">
        <v>0</v>
      </c>
      <c r="H84" s="7">
        <v>0</v>
      </c>
      <c r="I84" s="7">
        <v>0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0</v>
      </c>
      <c r="AF84" s="7">
        <v>0</v>
      </c>
      <c r="AG84" s="7">
        <v>0</v>
      </c>
      <c r="AH84" s="7">
        <v>0</v>
      </c>
      <c r="AI84" s="7">
        <v>0</v>
      </c>
      <c r="AJ84" s="7">
        <v>0</v>
      </c>
      <c r="AK84" s="7">
        <v>0</v>
      </c>
      <c r="AL84" s="7">
        <v>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21"/>
    </row>
    <row r="85" spans="1:62" ht="15.6" x14ac:dyDescent="0.3">
      <c r="A85" s="5" t="s">
        <v>154</v>
      </c>
      <c r="B85" s="5" t="s">
        <v>155</v>
      </c>
      <c r="C85" s="7">
        <v>6</v>
      </c>
      <c r="D85" s="7">
        <v>6</v>
      </c>
      <c r="E85" s="7">
        <v>0</v>
      </c>
      <c r="F85" s="7">
        <v>0</v>
      </c>
      <c r="G85" s="7">
        <v>0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21"/>
    </row>
    <row r="86" spans="1:62" ht="15.6" x14ac:dyDescent="0.3">
      <c r="A86" s="5" t="s">
        <v>156</v>
      </c>
      <c r="B86" s="5" t="s">
        <v>157</v>
      </c>
      <c r="C86" s="7">
        <v>6</v>
      </c>
      <c r="D86" s="7">
        <v>6</v>
      </c>
      <c r="E86" s="7">
        <v>0</v>
      </c>
      <c r="F86" s="7">
        <v>0</v>
      </c>
      <c r="G86" s="7">
        <v>0</v>
      </c>
      <c r="H86" s="7">
        <v>0</v>
      </c>
      <c r="I86" s="7">
        <v>0</v>
      </c>
      <c r="J86" s="7">
        <v>0</v>
      </c>
      <c r="K86" s="7">
        <v>0</v>
      </c>
      <c r="L86" s="7">
        <v>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0</v>
      </c>
      <c r="AF86" s="7">
        <v>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21"/>
    </row>
    <row r="87" spans="1:62" ht="15.6" x14ac:dyDescent="0.3">
      <c r="A87" s="5" t="s">
        <v>158</v>
      </c>
      <c r="B87" s="5" t="s">
        <v>159</v>
      </c>
      <c r="C87" s="7">
        <v>6</v>
      </c>
      <c r="D87" s="7">
        <v>6</v>
      </c>
      <c r="E87" s="7">
        <v>15820.299000000001</v>
      </c>
      <c r="F87" s="7">
        <v>2189.7489999999998</v>
      </c>
      <c r="G87" s="7">
        <v>3425.4389999999999</v>
      </c>
      <c r="H87" s="7">
        <v>2379.5700000000002</v>
      </c>
      <c r="I87" s="7">
        <v>380.82600000000002</v>
      </c>
      <c r="J87" s="7">
        <v>1951.5920000000001</v>
      </c>
      <c r="K87" s="7">
        <v>0</v>
      </c>
      <c r="L87" s="7">
        <v>6315.3410000000003</v>
      </c>
      <c r="M87" s="7">
        <v>8826.5669999999991</v>
      </c>
      <c r="N87" s="7">
        <v>0</v>
      </c>
      <c r="O87" s="7">
        <v>0</v>
      </c>
      <c r="P87" s="7">
        <v>0.308</v>
      </c>
      <c r="Q87" s="7">
        <v>0</v>
      </c>
      <c r="R87" s="7">
        <v>0</v>
      </c>
      <c r="S87" s="7">
        <v>952.03800000000001</v>
      </c>
      <c r="T87" s="7">
        <v>0</v>
      </c>
      <c r="U87" s="7">
        <v>0</v>
      </c>
      <c r="V87" s="7">
        <v>448.709</v>
      </c>
      <c r="W87" s="7">
        <v>654.14599999999996</v>
      </c>
      <c r="X87" s="7">
        <v>0</v>
      </c>
      <c r="Y87" s="7">
        <v>2423.241</v>
      </c>
      <c r="Z87" s="7">
        <v>0</v>
      </c>
      <c r="AA87" s="7">
        <v>4692.6210000000001</v>
      </c>
      <c r="AB87" s="7">
        <v>0</v>
      </c>
      <c r="AC87" s="7">
        <v>353.71300000000002</v>
      </c>
      <c r="AD87" s="7">
        <v>0</v>
      </c>
      <c r="AE87" s="7">
        <v>2534.7860000000001</v>
      </c>
      <c r="AF87" s="7">
        <v>0</v>
      </c>
      <c r="AG87" s="7">
        <v>0</v>
      </c>
      <c r="AH87" s="7">
        <v>14910.3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231.291</v>
      </c>
      <c r="AP87" s="7">
        <v>0</v>
      </c>
      <c r="AQ87" s="7">
        <v>0</v>
      </c>
      <c r="AR87" s="7">
        <v>0</v>
      </c>
      <c r="AS87" s="7">
        <v>8.3680000000000003</v>
      </c>
      <c r="AT87" s="7">
        <v>0</v>
      </c>
      <c r="AU87" s="7">
        <v>240.45</v>
      </c>
      <c r="AV87" s="7">
        <v>0</v>
      </c>
      <c r="AW87" s="7">
        <v>0</v>
      </c>
      <c r="AX87" s="7">
        <v>0</v>
      </c>
      <c r="AY87" s="7">
        <v>179.93</v>
      </c>
      <c r="AZ87" s="7">
        <v>0</v>
      </c>
      <c r="BA87" s="7">
        <v>0</v>
      </c>
      <c r="BB87" s="7">
        <v>87.426000000000002</v>
      </c>
      <c r="BC87" s="7">
        <v>149.75899999999999</v>
      </c>
      <c r="BD87" s="7">
        <v>0</v>
      </c>
      <c r="BE87" s="7">
        <v>20.513999999999999</v>
      </c>
      <c r="BF87" s="7">
        <v>20.513999999999999</v>
      </c>
      <c r="BG87" s="7">
        <v>0</v>
      </c>
      <c r="BH87" s="7">
        <v>0</v>
      </c>
      <c r="BI87" s="7">
        <v>64.265000000000001</v>
      </c>
      <c r="BJ87" s="21"/>
    </row>
    <row r="88" spans="1:62" ht="15.6" x14ac:dyDescent="0.3">
      <c r="A88" s="5" t="s">
        <v>160</v>
      </c>
      <c r="B88" s="5" t="s">
        <v>161</v>
      </c>
      <c r="C88" s="7">
        <v>6</v>
      </c>
      <c r="D88" s="7">
        <v>6</v>
      </c>
      <c r="E88" s="7">
        <v>0</v>
      </c>
      <c r="F88" s="7">
        <v>0</v>
      </c>
      <c r="G88" s="7">
        <v>0</v>
      </c>
      <c r="H88" s="7">
        <v>0</v>
      </c>
      <c r="I88" s="7">
        <v>0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0</v>
      </c>
      <c r="AR88" s="7">
        <v>0</v>
      </c>
      <c r="AS88" s="7">
        <v>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21"/>
    </row>
    <row r="89" spans="1:62" ht="15.6" x14ac:dyDescent="0.3">
      <c r="A89" s="5" t="s">
        <v>162</v>
      </c>
      <c r="B89" s="5" t="s">
        <v>163</v>
      </c>
      <c r="C89" s="7">
        <v>6</v>
      </c>
      <c r="D89" s="7">
        <v>6</v>
      </c>
      <c r="E89" s="7">
        <v>32920.858</v>
      </c>
      <c r="F89" s="7">
        <v>4975.4849999999997</v>
      </c>
      <c r="G89" s="7">
        <v>6683.32</v>
      </c>
      <c r="H89" s="7">
        <v>6099.5870000000004</v>
      </c>
      <c r="I89" s="7">
        <v>924.34799999999996</v>
      </c>
      <c r="J89" s="7">
        <v>4041.172</v>
      </c>
      <c r="K89" s="7">
        <v>0</v>
      </c>
      <c r="L89" s="7">
        <v>23388.625</v>
      </c>
      <c r="M89" s="7">
        <v>17278.745999999999</v>
      </c>
      <c r="N89" s="7">
        <v>0</v>
      </c>
      <c r="O89" s="7">
        <v>0</v>
      </c>
      <c r="P89" s="7">
        <v>68.944000000000003</v>
      </c>
      <c r="Q89" s="7">
        <v>0</v>
      </c>
      <c r="R89" s="7">
        <v>111.181</v>
      </c>
      <c r="S89" s="7">
        <v>1756.481</v>
      </c>
      <c r="T89" s="7">
        <v>0</v>
      </c>
      <c r="U89" s="7">
        <v>0</v>
      </c>
      <c r="V89" s="7">
        <v>827.83600000000001</v>
      </c>
      <c r="W89" s="7">
        <v>1206.8040000000001</v>
      </c>
      <c r="X89" s="7">
        <v>0</v>
      </c>
      <c r="Y89" s="7">
        <v>4582.7179999999998</v>
      </c>
      <c r="Z89" s="7">
        <v>0</v>
      </c>
      <c r="AA89" s="7">
        <v>8657.5480000000007</v>
      </c>
      <c r="AB89" s="7">
        <v>0</v>
      </c>
      <c r="AC89" s="7">
        <v>652.56500000000005</v>
      </c>
      <c r="AD89" s="7">
        <v>0</v>
      </c>
      <c r="AE89" s="7">
        <v>5811.3860000000004</v>
      </c>
      <c r="AF89" s="7">
        <v>0</v>
      </c>
      <c r="AG89" s="7">
        <v>0</v>
      </c>
      <c r="AH89" s="7">
        <v>39279.232000000004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426.72500000000002</v>
      </c>
      <c r="AP89" s="7">
        <v>0</v>
      </c>
      <c r="AQ89" s="7">
        <v>0</v>
      </c>
      <c r="AR89" s="7">
        <v>0</v>
      </c>
      <c r="AS89" s="7">
        <v>15.439</v>
      </c>
      <c r="AT89" s="7">
        <v>0</v>
      </c>
      <c r="AU89" s="7">
        <v>443.62200000000001</v>
      </c>
      <c r="AV89" s="7">
        <v>0</v>
      </c>
      <c r="AW89" s="7">
        <v>0</v>
      </c>
      <c r="AX89" s="7">
        <v>0</v>
      </c>
      <c r="AY89" s="7">
        <v>331.96600000000001</v>
      </c>
      <c r="AZ89" s="7">
        <v>0</v>
      </c>
      <c r="BA89" s="7">
        <v>0</v>
      </c>
      <c r="BB89" s="7">
        <v>161.298</v>
      </c>
      <c r="BC89" s="7">
        <v>276.30099999999999</v>
      </c>
      <c r="BD89" s="7">
        <v>0</v>
      </c>
      <c r="BE89" s="7">
        <v>37.847999999999999</v>
      </c>
      <c r="BF89" s="7">
        <v>37.847999999999999</v>
      </c>
      <c r="BG89" s="7">
        <v>0</v>
      </c>
      <c r="BH89" s="7">
        <v>0</v>
      </c>
      <c r="BI89" s="7">
        <v>118.56699999999999</v>
      </c>
      <c r="BJ89" s="21"/>
    </row>
    <row r="90" spans="1:62" ht="15.6" x14ac:dyDescent="0.3">
      <c r="A90" s="5" t="s">
        <v>164</v>
      </c>
      <c r="B90" s="5" t="s">
        <v>165</v>
      </c>
      <c r="C90" s="7">
        <v>6</v>
      </c>
      <c r="D90" s="7">
        <v>6</v>
      </c>
      <c r="E90" s="7">
        <v>0</v>
      </c>
      <c r="F90" s="7">
        <v>0</v>
      </c>
      <c r="G90" s="7">
        <v>0</v>
      </c>
      <c r="H90" s="7">
        <v>0</v>
      </c>
      <c r="I90" s="7">
        <v>0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0</v>
      </c>
      <c r="AF90" s="7">
        <v>0</v>
      </c>
      <c r="AG90" s="7">
        <v>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21"/>
    </row>
    <row r="91" spans="1:62" ht="15.6" x14ac:dyDescent="0.3">
      <c r="A91" s="5" t="s">
        <v>166</v>
      </c>
      <c r="B91" s="5" t="s">
        <v>167</v>
      </c>
      <c r="C91" s="7">
        <v>3</v>
      </c>
      <c r="D91" s="7">
        <v>3</v>
      </c>
      <c r="E91" s="7">
        <v>0</v>
      </c>
      <c r="F91" s="7">
        <v>0</v>
      </c>
      <c r="G91" s="7">
        <v>0</v>
      </c>
      <c r="H91" s="7">
        <v>0</v>
      </c>
      <c r="I91" s="7">
        <v>0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21"/>
    </row>
    <row r="92" spans="1:62" ht="15.6" x14ac:dyDescent="0.3">
      <c r="A92" s="5" t="s">
        <v>168</v>
      </c>
      <c r="B92" s="5" t="s">
        <v>169</v>
      </c>
      <c r="C92" s="7">
        <v>3</v>
      </c>
      <c r="D92" s="7">
        <v>3</v>
      </c>
      <c r="E92" s="7">
        <v>66146.754000000001</v>
      </c>
      <c r="F92" s="7">
        <v>9062.8950000000004</v>
      </c>
      <c r="G92" s="7">
        <v>15391.066000000001</v>
      </c>
      <c r="H92" s="7">
        <v>0</v>
      </c>
      <c r="I92" s="7">
        <v>1532.3440000000001</v>
      </c>
      <c r="J92" s="7">
        <v>9533.625</v>
      </c>
      <c r="K92" s="7">
        <v>0</v>
      </c>
      <c r="L92" s="7">
        <v>26384.763999999999</v>
      </c>
      <c r="M92" s="7">
        <v>37485.455999999998</v>
      </c>
      <c r="N92" s="7">
        <v>0</v>
      </c>
      <c r="O92" s="7">
        <v>0</v>
      </c>
      <c r="P92" s="7">
        <v>1.1459999999999999</v>
      </c>
      <c r="Q92" s="7">
        <v>0</v>
      </c>
      <c r="R92" s="7">
        <v>146.12799999999999</v>
      </c>
      <c r="S92" s="7">
        <v>3832.1179999999999</v>
      </c>
      <c r="T92" s="7">
        <v>0</v>
      </c>
      <c r="U92" s="7">
        <v>0</v>
      </c>
      <c r="V92" s="7">
        <v>1806.0909999999999</v>
      </c>
      <c r="W92" s="7">
        <v>2632.886</v>
      </c>
      <c r="X92" s="7">
        <v>0</v>
      </c>
      <c r="Y92" s="7">
        <v>9753.5</v>
      </c>
      <c r="Z92" s="7">
        <v>0</v>
      </c>
      <c r="AA92" s="7">
        <v>18888.187000000002</v>
      </c>
      <c r="AB92" s="7">
        <v>0</v>
      </c>
      <c r="AC92" s="7">
        <v>1423.703</v>
      </c>
      <c r="AD92" s="7">
        <v>0</v>
      </c>
      <c r="AE92" s="7">
        <v>14756.157999999999</v>
      </c>
      <c r="AF92" s="7">
        <v>0</v>
      </c>
      <c r="AG92" s="7">
        <v>0</v>
      </c>
      <c r="AH92" s="7">
        <v>64780.224000000002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930.98699999999997</v>
      </c>
      <c r="AP92" s="7">
        <v>0</v>
      </c>
      <c r="AQ92" s="7">
        <v>0</v>
      </c>
      <c r="AR92" s="7">
        <v>0</v>
      </c>
      <c r="AS92" s="7">
        <v>33.683999999999997</v>
      </c>
      <c r="AT92" s="7">
        <v>0</v>
      </c>
      <c r="AU92" s="7">
        <v>967.851</v>
      </c>
      <c r="AV92" s="7">
        <v>0</v>
      </c>
      <c r="AW92" s="7">
        <v>0</v>
      </c>
      <c r="AX92" s="7">
        <v>0</v>
      </c>
      <c r="AY92" s="7">
        <v>724.25</v>
      </c>
      <c r="AZ92" s="7">
        <v>0</v>
      </c>
      <c r="BA92" s="7">
        <v>0</v>
      </c>
      <c r="BB92" s="7">
        <v>351.904</v>
      </c>
      <c r="BC92" s="7">
        <v>602.80600000000004</v>
      </c>
      <c r="BD92" s="7">
        <v>0</v>
      </c>
      <c r="BE92" s="7">
        <v>82.572999999999993</v>
      </c>
      <c r="BF92" s="7">
        <v>82.572999999999993</v>
      </c>
      <c r="BG92" s="7">
        <v>0</v>
      </c>
      <c r="BH92" s="7">
        <v>0</v>
      </c>
      <c r="BI92" s="7">
        <v>258.678</v>
      </c>
      <c r="BJ92" s="21"/>
    </row>
    <row r="93" spans="1:62" ht="15.6" x14ac:dyDescent="0.3">
      <c r="A93" s="5" t="s">
        <v>170</v>
      </c>
      <c r="B93" s="5" t="s">
        <v>171</v>
      </c>
      <c r="C93" s="7">
        <v>3</v>
      </c>
      <c r="D93" s="7">
        <v>3</v>
      </c>
      <c r="E93" s="7">
        <v>84605.171000000002</v>
      </c>
      <c r="F93" s="7">
        <v>11707.635</v>
      </c>
      <c r="G93" s="7">
        <v>18317.965</v>
      </c>
      <c r="H93" s="7">
        <v>0</v>
      </c>
      <c r="I93" s="7">
        <v>2036.4280000000001</v>
      </c>
      <c r="J93" s="7">
        <v>10436.548000000001</v>
      </c>
      <c r="K93" s="7">
        <v>0</v>
      </c>
      <c r="L93" s="7">
        <v>33685.548999999999</v>
      </c>
      <c r="M93" s="7">
        <v>47195.080999999998</v>
      </c>
      <c r="N93" s="7">
        <v>0</v>
      </c>
      <c r="O93" s="7">
        <v>0</v>
      </c>
      <c r="P93" s="7">
        <v>1.5229999999999999</v>
      </c>
      <c r="Q93" s="7">
        <v>0</v>
      </c>
      <c r="R93" s="7">
        <v>0</v>
      </c>
      <c r="S93" s="7">
        <v>5092.74</v>
      </c>
      <c r="T93" s="7">
        <v>0</v>
      </c>
      <c r="U93" s="7">
        <v>0</v>
      </c>
      <c r="V93" s="7">
        <v>2400.2269999999999</v>
      </c>
      <c r="W93" s="7">
        <v>3499.0059999999999</v>
      </c>
      <c r="X93" s="7">
        <v>0</v>
      </c>
      <c r="Y93" s="7">
        <v>12962.034</v>
      </c>
      <c r="Z93" s="7">
        <v>0</v>
      </c>
      <c r="AA93" s="7">
        <v>25101.688999999998</v>
      </c>
      <c r="AB93" s="7">
        <v>0</v>
      </c>
      <c r="AC93" s="7">
        <v>1892.048</v>
      </c>
      <c r="AD93" s="7">
        <v>0</v>
      </c>
      <c r="AE93" s="7">
        <v>13557.865</v>
      </c>
      <c r="AF93" s="7">
        <v>0</v>
      </c>
      <c r="AG93" s="7">
        <v>0</v>
      </c>
      <c r="AH93" s="7">
        <v>79617.198999999993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1237.2470000000001</v>
      </c>
      <c r="AP93" s="7">
        <v>0</v>
      </c>
      <c r="AQ93" s="7">
        <v>0</v>
      </c>
      <c r="AR93" s="7">
        <v>0</v>
      </c>
      <c r="AS93" s="7">
        <v>44.765000000000001</v>
      </c>
      <c r="AT93" s="7">
        <v>0</v>
      </c>
      <c r="AU93" s="7">
        <v>1286.2370000000001</v>
      </c>
      <c r="AV93" s="7">
        <v>0</v>
      </c>
      <c r="AW93" s="7">
        <v>0</v>
      </c>
      <c r="AX93" s="7">
        <v>0</v>
      </c>
      <c r="AY93" s="7">
        <v>962.50099999999998</v>
      </c>
      <c r="AZ93" s="7">
        <v>0</v>
      </c>
      <c r="BA93" s="7">
        <v>0</v>
      </c>
      <c r="BB93" s="7">
        <v>467.66699999999997</v>
      </c>
      <c r="BC93" s="7">
        <v>801.10599999999999</v>
      </c>
      <c r="BD93" s="7">
        <v>0</v>
      </c>
      <c r="BE93" s="7">
        <v>109.736</v>
      </c>
      <c r="BF93" s="7">
        <v>109.736</v>
      </c>
      <c r="BG93" s="7">
        <v>0</v>
      </c>
      <c r="BH93" s="7">
        <v>0</v>
      </c>
      <c r="BI93" s="7">
        <v>343.77300000000002</v>
      </c>
      <c r="BJ93" s="21"/>
    </row>
    <row r="94" spans="1:62" ht="15.6" x14ac:dyDescent="0.3">
      <c r="A94" s="5" t="s">
        <v>172</v>
      </c>
      <c r="B94" s="5" t="s">
        <v>173</v>
      </c>
      <c r="C94" s="7">
        <v>3</v>
      </c>
      <c r="D94" s="7">
        <v>3</v>
      </c>
      <c r="E94" s="7">
        <v>6954.2120000000004</v>
      </c>
      <c r="F94" s="7">
        <v>2502.7730000000001</v>
      </c>
      <c r="G94" s="7">
        <v>5996.625</v>
      </c>
      <c r="H94" s="7">
        <v>0</v>
      </c>
      <c r="I94" s="7">
        <v>257.92500000000001</v>
      </c>
      <c r="J94" s="7">
        <v>2052.6759999999999</v>
      </c>
      <c r="K94" s="7">
        <v>0</v>
      </c>
      <c r="L94" s="7">
        <v>18554.791000000001</v>
      </c>
      <c r="M94" s="7">
        <v>5910.7650000000003</v>
      </c>
      <c r="N94" s="7">
        <v>0</v>
      </c>
      <c r="O94" s="7">
        <v>0</v>
      </c>
      <c r="P94" s="7">
        <v>0.224</v>
      </c>
      <c r="Q94" s="7">
        <v>0</v>
      </c>
      <c r="R94" s="7">
        <v>0</v>
      </c>
      <c r="S94" s="7">
        <v>999.12800000000004</v>
      </c>
      <c r="T94" s="7">
        <v>0</v>
      </c>
      <c r="U94" s="7">
        <v>0</v>
      </c>
      <c r="V94" s="7">
        <v>460.78300000000002</v>
      </c>
      <c r="W94" s="7">
        <v>348.22199999999998</v>
      </c>
      <c r="X94" s="7">
        <v>0</v>
      </c>
      <c r="Y94" s="7">
        <v>4456.4480000000003</v>
      </c>
      <c r="Z94" s="7">
        <v>0</v>
      </c>
      <c r="AA94" s="7">
        <v>3659.817</v>
      </c>
      <c r="AB94" s="7">
        <v>0</v>
      </c>
      <c r="AC94" s="7">
        <v>1016.463</v>
      </c>
      <c r="AD94" s="7">
        <v>0</v>
      </c>
      <c r="AE94" s="7">
        <v>16405.203000000001</v>
      </c>
      <c r="AF94" s="7">
        <v>1465.943</v>
      </c>
      <c r="AG94" s="7">
        <v>0</v>
      </c>
      <c r="AH94" s="7">
        <v>24747.844000000001</v>
      </c>
      <c r="AI94" s="7">
        <v>2674.0819999999999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651.77099999999996</v>
      </c>
      <c r="AP94" s="7">
        <v>0</v>
      </c>
      <c r="AQ94" s="7">
        <v>518.03499999999997</v>
      </c>
      <c r="AR94" s="7">
        <v>0</v>
      </c>
      <c r="AS94" s="7">
        <v>4.1550000000000002</v>
      </c>
      <c r="AT94" s="7">
        <v>0</v>
      </c>
      <c r="AU94" s="7">
        <v>306.3</v>
      </c>
      <c r="AV94" s="7">
        <v>0</v>
      </c>
      <c r="AW94" s="7">
        <v>0</v>
      </c>
      <c r="AX94" s="7">
        <v>0</v>
      </c>
      <c r="AY94" s="7">
        <v>58.003999999999998</v>
      </c>
      <c r="AZ94" s="7">
        <v>435.18299999999999</v>
      </c>
      <c r="BA94" s="7">
        <v>0</v>
      </c>
      <c r="BB94" s="7">
        <v>240.42099999999999</v>
      </c>
      <c r="BC94" s="7">
        <v>26.885999999999999</v>
      </c>
      <c r="BD94" s="7">
        <v>519.17200000000003</v>
      </c>
      <c r="BE94" s="7">
        <v>55.283000000000001</v>
      </c>
      <c r="BF94" s="7">
        <v>55.283000000000001</v>
      </c>
      <c r="BG94" s="7">
        <v>164.29</v>
      </c>
      <c r="BH94" s="7">
        <v>0</v>
      </c>
      <c r="BI94" s="7">
        <v>11.516</v>
      </c>
      <c r="BJ94" s="21"/>
    </row>
    <row r="95" spans="1:62" ht="15.6" x14ac:dyDescent="0.3">
      <c r="A95" s="5" t="s">
        <v>174</v>
      </c>
      <c r="B95" s="5" t="s">
        <v>175</v>
      </c>
      <c r="C95" s="7">
        <v>3</v>
      </c>
      <c r="D95" s="7">
        <v>3</v>
      </c>
      <c r="E95" s="7">
        <v>18303.031999999999</v>
      </c>
      <c r="F95" s="7">
        <v>13836.344999999999</v>
      </c>
      <c r="G95" s="7">
        <v>21983.062000000002</v>
      </c>
      <c r="H95" s="7">
        <v>1.1519999999999999</v>
      </c>
      <c r="I95" s="7">
        <v>1253.0219999999999</v>
      </c>
      <c r="J95" s="7">
        <v>10399.316999999999</v>
      </c>
      <c r="K95" s="7">
        <v>0</v>
      </c>
      <c r="L95" s="7">
        <v>69857.203999999998</v>
      </c>
      <c r="M95" s="7">
        <v>22734.438999999998</v>
      </c>
      <c r="N95" s="7">
        <v>0</v>
      </c>
      <c r="O95" s="7">
        <v>0</v>
      </c>
      <c r="P95" s="7">
        <v>0.16900000000000001</v>
      </c>
      <c r="Q95" s="7">
        <v>0</v>
      </c>
      <c r="R95" s="7">
        <v>0</v>
      </c>
      <c r="S95" s="7">
        <v>5663.8419999999996</v>
      </c>
      <c r="T95" s="7">
        <v>0</v>
      </c>
      <c r="U95" s="7">
        <v>0</v>
      </c>
      <c r="V95" s="7">
        <v>2368.4920000000002</v>
      </c>
      <c r="W95" s="7">
        <v>544.41099999999994</v>
      </c>
      <c r="X95" s="7">
        <v>0</v>
      </c>
      <c r="Y95" s="7">
        <v>14139.138999999999</v>
      </c>
      <c r="Z95" s="7">
        <v>0</v>
      </c>
      <c r="AA95" s="7">
        <v>24233.308000000001</v>
      </c>
      <c r="AB95" s="7">
        <v>0</v>
      </c>
      <c r="AC95" s="7">
        <v>4722.4930000000004</v>
      </c>
      <c r="AD95" s="7">
        <v>0</v>
      </c>
      <c r="AE95" s="7">
        <v>55994.385000000002</v>
      </c>
      <c r="AF95" s="7">
        <v>2508.2750000000001</v>
      </c>
      <c r="AG95" s="7">
        <v>0</v>
      </c>
      <c r="AH95" s="7">
        <v>82180.343999999997</v>
      </c>
      <c r="AI95" s="7">
        <v>4380.058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3778.3389999999999</v>
      </c>
      <c r="AP95" s="7">
        <v>0</v>
      </c>
      <c r="AQ95" s="7">
        <v>864.29300000000001</v>
      </c>
      <c r="AR95" s="7">
        <v>0</v>
      </c>
      <c r="AS95" s="7">
        <v>19.870999999999999</v>
      </c>
      <c r="AT95" s="7">
        <v>0</v>
      </c>
      <c r="AU95" s="7">
        <v>19.274999999999999</v>
      </c>
      <c r="AV95" s="7">
        <v>0</v>
      </c>
      <c r="AW95" s="7">
        <v>0</v>
      </c>
      <c r="AX95" s="7">
        <v>0</v>
      </c>
      <c r="AY95" s="7">
        <v>42.372999999999998</v>
      </c>
      <c r="AZ95" s="7">
        <v>712.80200000000002</v>
      </c>
      <c r="BA95" s="7">
        <v>0</v>
      </c>
      <c r="BB95" s="7">
        <v>1368.981</v>
      </c>
      <c r="BC95" s="7">
        <v>0</v>
      </c>
      <c r="BD95" s="7">
        <v>850.37099999999998</v>
      </c>
      <c r="BE95" s="7">
        <v>314.34399999999999</v>
      </c>
      <c r="BF95" s="7">
        <v>314.34399999999999</v>
      </c>
      <c r="BG95" s="7">
        <v>269.09699999999998</v>
      </c>
      <c r="BH95" s="7">
        <v>0</v>
      </c>
      <c r="BI95" s="7">
        <v>0</v>
      </c>
      <c r="BJ95" s="21"/>
    </row>
    <row r="96" spans="1:62" ht="15.6" x14ac:dyDescent="0.3">
      <c r="A96" s="5" t="s">
        <v>176</v>
      </c>
      <c r="B96" s="5" t="s">
        <v>177</v>
      </c>
      <c r="C96" s="7">
        <v>3</v>
      </c>
      <c r="D96" s="7">
        <v>3</v>
      </c>
      <c r="E96" s="7">
        <v>51924.097999999998</v>
      </c>
      <c r="F96" s="7">
        <v>29447.026999999998</v>
      </c>
      <c r="G96" s="7">
        <v>3076.3029999999999</v>
      </c>
      <c r="H96" s="7">
        <v>3268.2950000000001</v>
      </c>
      <c r="I96" s="7">
        <v>2470.2919999999999</v>
      </c>
      <c r="J96" s="7">
        <v>19849.326000000001</v>
      </c>
      <c r="K96" s="7">
        <v>0</v>
      </c>
      <c r="L96" s="7">
        <v>91772.040999999997</v>
      </c>
      <c r="M96" s="7">
        <v>26846.292000000001</v>
      </c>
      <c r="N96" s="7">
        <v>0</v>
      </c>
      <c r="O96" s="7">
        <v>0</v>
      </c>
      <c r="P96" s="7">
        <v>0.58299999999999996</v>
      </c>
      <c r="Q96" s="7">
        <v>0</v>
      </c>
      <c r="R96" s="7">
        <v>0</v>
      </c>
      <c r="S96" s="7">
        <v>11591.507</v>
      </c>
      <c r="T96" s="7">
        <v>0</v>
      </c>
      <c r="U96" s="7">
        <v>0</v>
      </c>
      <c r="V96" s="7">
        <v>3513.549</v>
      </c>
      <c r="W96" s="7">
        <v>367.91</v>
      </c>
      <c r="X96" s="7">
        <v>0</v>
      </c>
      <c r="Y96" s="7">
        <v>8352.3029999999999</v>
      </c>
      <c r="Z96" s="7">
        <v>0</v>
      </c>
      <c r="AA96" s="7">
        <v>57431.773000000001</v>
      </c>
      <c r="AB96" s="7">
        <v>0</v>
      </c>
      <c r="AC96" s="7">
        <v>5118.6850000000004</v>
      </c>
      <c r="AD96" s="7">
        <v>0</v>
      </c>
      <c r="AE96" s="7">
        <v>17833.555</v>
      </c>
      <c r="AF96" s="7">
        <v>8477.9969999999994</v>
      </c>
      <c r="AG96" s="7">
        <v>0</v>
      </c>
      <c r="AH96" s="7">
        <v>150645.11799999999</v>
      </c>
      <c r="AI96" s="7">
        <v>14587.458000000001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6766.3959999999997</v>
      </c>
      <c r="AP96" s="7">
        <v>0</v>
      </c>
      <c r="AQ96" s="7">
        <v>2896.7739999999999</v>
      </c>
      <c r="AR96" s="7">
        <v>0</v>
      </c>
      <c r="AS96" s="7">
        <v>45.829000000000001</v>
      </c>
      <c r="AT96" s="7">
        <v>0</v>
      </c>
      <c r="AU96" s="7">
        <v>65.488</v>
      </c>
      <c r="AV96" s="7">
        <v>0</v>
      </c>
      <c r="AW96" s="7">
        <v>0</v>
      </c>
      <c r="AX96" s="7">
        <v>0</v>
      </c>
      <c r="AY96" s="7">
        <v>141.11799999999999</v>
      </c>
      <c r="AZ96" s="7">
        <v>2373.9189999999999</v>
      </c>
      <c r="BA96" s="7">
        <v>0</v>
      </c>
      <c r="BB96" s="7">
        <v>2424.1289999999999</v>
      </c>
      <c r="BC96" s="7">
        <v>0</v>
      </c>
      <c r="BD96" s="7">
        <v>2832.0790000000002</v>
      </c>
      <c r="BE96" s="7">
        <v>559.96400000000006</v>
      </c>
      <c r="BF96" s="7">
        <v>559.96400000000006</v>
      </c>
      <c r="BG96" s="7">
        <v>896.20299999999997</v>
      </c>
      <c r="BH96" s="7">
        <v>0</v>
      </c>
      <c r="BI96" s="7">
        <v>0</v>
      </c>
      <c r="BJ96" s="21"/>
    </row>
    <row r="97" spans="1:62" ht="15.6" x14ac:dyDescent="0.3">
      <c r="A97" s="5" t="s">
        <v>178</v>
      </c>
      <c r="B97" s="5" t="s">
        <v>179</v>
      </c>
      <c r="C97" s="7">
        <v>6</v>
      </c>
      <c r="D97" s="7">
        <v>6</v>
      </c>
      <c r="E97" s="7">
        <v>0</v>
      </c>
      <c r="F97" s="7">
        <v>0</v>
      </c>
      <c r="G97" s="7">
        <v>0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21"/>
    </row>
    <row r="98" spans="1:62" ht="15.6" x14ac:dyDescent="0.3">
      <c r="A98" s="5" t="s">
        <v>180</v>
      </c>
      <c r="B98" s="5" t="s">
        <v>181</v>
      </c>
      <c r="C98" s="7">
        <v>6</v>
      </c>
      <c r="D98" s="7">
        <v>6</v>
      </c>
      <c r="E98" s="7">
        <v>0</v>
      </c>
      <c r="F98" s="7">
        <v>0</v>
      </c>
      <c r="G98" s="7">
        <v>0</v>
      </c>
      <c r="H98" s="7">
        <v>0</v>
      </c>
      <c r="I98" s="7">
        <v>0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21"/>
    </row>
    <row r="99" spans="1:62" ht="15.6" x14ac:dyDescent="0.3">
      <c r="A99" s="5" t="s">
        <v>182</v>
      </c>
      <c r="B99" s="5" t="s">
        <v>183</v>
      </c>
      <c r="C99" s="7">
        <v>6</v>
      </c>
      <c r="D99" s="7">
        <v>6</v>
      </c>
      <c r="E99" s="7">
        <v>0</v>
      </c>
      <c r="F99" s="7">
        <v>0</v>
      </c>
      <c r="G99" s="7">
        <v>0</v>
      </c>
      <c r="H99" s="7">
        <v>0</v>
      </c>
      <c r="I99" s="7">
        <v>0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0</v>
      </c>
      <c r="AO99" s="7">
        <v>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21"/>
    </row>
    <row r="100" spans="1:62" ht="15.6" x14ac:dyDescent="0.3">
      <c r="A100" s="5" t="s">
        <v>184</v>
      </c>
      <c r="B100" s="5" t="s">
        <v>185</v>
      </c>
      <c r="C100" s="7">
        <v>6</v>
      </c>
      <c r="D100" s="7">
        <v>6</v>
      </c>
      <c r="E100" s="7">
        <v>0</v>
      </c>
      <c r="F100" s="7">
        <v>0</v>
      </c>
      <c r="G100" s="7">
        <v>0</v>
      </c>
      <c r="H100" s="7">
        <v>0</v>
      </c>
      <c r="I100" s="7">
        <v>0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21"/>
    </row>
    <row r="101" spans="1:62" ht="15.6" x14ac:dyDescent="0.3">
      <c r="A101" s="5" t="s">
        <v>186</v>
      </c>
      <c r="B101" s="5" t="s">
        <v>187</v>
      </c>
      <c r="C101" s="7">
        <v>6</v>
      </c>
      <c r="D101" s="7">
        <v>6</v>
      </c>
      <c r="E101" s="7">
        <v>0</v>
      </c>
      <c r="F101" s="7">
        <v>0</v>
      </c>
      <c r="G101" s="7">
        <v>0</v>
      </c>
      <c r="H101" s="7">
        <v>0</v>
      </c>
      <c r="I101" s="7">
        <v>0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21"/>
    </row>
    <row r="102" spans="1:62" ht="15.6" x14ac:dyDescent="0.3">
      <c r="A102" s="5" t="s">
        <v>188</v>
      </c>
      <c r="B102" s="5" t="s">
        <v>189</v>
      </c>
      <c r="C102" s="7">
        <v>6</v>
      </c>
      <c r="D102" s="7">
        <v>6</v>
      </c>
      <c r="E102" s="7">
        <v>0</v>
      </c>
      <c r="F102" s="7">
        <v>0</v>
      </c>
      <c r="G102" s="7">
        <v>0</v>
      </c>
      <c r="H102" s="7">
        <v>0</v>
      </c>
      <c r="I102" s="7">
        <v>0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0</v>
      </c>
      <c r="AR102" s="7">
        <v>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21"/>
    </row>
    <row r="103" spans="1:62" ht="15.6" x14ac:dyDescent="0.3">
      <c r="A103" s="5" t="s">
        <v>190</v>
      </c>
      <c r="B103" s="5" t="s">
        <v>191</v>
      </c>
      <c r="C103" s="7">
        <v>6</v>
      </c>
      <c r="D103" s="7">
        <v>6</v>
      </c>
      <c r="E103" s="7">
        <v>0</v>
      </c>
      <c r="F103" s="7">
        <v>0</v>
      </c>
      <c r="G103" s="7">
        <v>0</v>
      </c>
      <c r="H103" s="7">
        <v>0</v>
      </c>
      <c r="I103" s="7">
        <v>0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21"/>
    </row>
    <row r="104" spans="1:62" ht="15.6" x14ac:dyDescent="0.3">
      <c r="A104" s="5" t="s">
        <v>192</v>
      </c>
      <c r="B104" s="5" t="s">
        <v>193</v>
      </c>
      <c r="C104" s="7">
        <v>6</v>
      </c>
      <c r="D104" s="7">
        <v>6</v>
      </c>
      <c r="E104" s="7">
        <v>0</v>
      </c>
      <c r="F104" s="7">
        <v>0</v>
      </c>
      <c r="G104" s="7">
        <v>0</v>
      </c>
      <c r="H104" s="7">
        <v>1857.5719999999999</v>
      </c>
      <c r="I104" s="7">
        <v>0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21"/>
    </row>
    <row r="105" spans="1:62" ht="15.6" x14ac:dyDescent="0.3">
      <c r="A105" s="5" t="s">
        <v>194</v>
      </c>
      <c r="B105" s="5" t="s">
        <v>195</v>
      </c>
      <c r="C105" s="7">
        <v>4</v>
      </c>
      <c r="D105" s="7">
        <v>4</v>
      </c>
      <c r="E105" s="7">
        <v>353554.02899999998</v>
      </c>
      <c r="F105" s="7">
        <v>73513.447</v>
      </c>
      <c r="G105" s="7">
        <v>0</v>
      </c>
      <c r="H105" s="7">
        <v>2014.2429999999999</v>
      </c>
      <c r="I105" s="7">
        <v>2668.6219999999998</v>
      </c>
      <c r="J105" s="7">
        <v>0</v>
      </c>
      <c r="K105" s="7">
        <v>0</v>
      </c>
      <c r="L105" s="7">
        <v>833727.71100000001</v>
      </c>
      <c r="M105" s="7">
        <v>58298.400000000001</v>
      </c>
      <c r="N105" s="7">
        <v>0</v>
      </c>
      <c r="O105" s="7">
        <v>94.564999999999998</v>
      </c>
      <c r="P105" s="7">
        <v>12.698</v>
      </c>
      <c r="Q105" s="7">
        <v>106.94499999999999</v>
      </c>
      <c r="R105" s="7">
        <v>0</v>
      </c>
      <c r="S105" s="7">
        <v>22422.784</v>
      </c>
      <c r="T105" s="7">
        <v>0</v>
      </c>
      <c r="U105" s="7">
        <v>0</v>
      </c>
      <c r="V105" s="7">
        <v>0</v>
      </c>
      <c r="W105" s="7">
        <v>7713.8490000000002</v>
      </c>
      <c r="X105" s="7">
        <v>0</v>
      </c>
      <c r="Y105" s="7">
        <v>153900.72</v>
      </c>
      <c r="Z105" s="7">
        <v>0</v>
      </c>
      <c r="AA105" s="7">
        <v>0</v>
      </c>
      <c r="AB105" s="7">
        <v>5453.7820000000002</v>
      </c>
      <c r="AC105" s="7">
        <v>13538.454</v>
      </c>
      <c r="AD105" s="7">
        <v>0</v>
      </c>
      <c r="AE105" s="7">
        <v>373465.087</v>
      </c>
      <c r="AF105" s="7">
        <v>200505.95499999999</v>
      </c>
      <c r="AG105" s="7">
        <v>0</v>
      </c>
      <c r="AH105" s="7">
        <v>1433017.311</v>
      </c>
      <c r="AI105" s="7">
        <v>365750.397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8954.49</v>
      </c>
      <c r="AP105" s="7">
        <v>0</v>
      </c>
      <c r="AQ105" s="7">
        <v>70854.736000000004</v>
      </c>
      <c r="AR105" s="7">
        <v>0</v>
      </c>
      <c r="AS105" s="7">
        <v>216.18299999999999</v>
      </c>
      <c r="AT105" s="7">
        <v>0</v>
      </c>
      <c r="AU105" s="7">
        <v>1516.808</v>
      </c>
      <c r="AV105" s="7">
        <v>0</v>
      </c>
      <c r="AW105" s="7">
        <v>0</v>
      </c>
      <c r="AX105" s="7">
        <v>0</v>
      </c>
      <c r="AY105" s="7">
        <v>3538.328</v>
      </c>
      <c r="AZ105" s="7">
        <v>59522.578999999998</v>
      </c>
      <c r="BA105" s="7">
        <v>0</v>
      </c>
      <c r="BB105" s="7">
        <v>3441.3629999999998</v>
      </c>
      <c r="BC105" s="7">
        <v>0</v>
      </c>
      <c r="BD105" s="7">
        <v>71010.277000000002</v>
      </c>
      <c r="BE105" s="7">
        <v>790.67200000000003</v>
      </c>
      <c r="BF105" s="7">
        <v>790.67200000000003</v>
      </c>
      <c r="BG105" s="7">
        <v>22470.998</v>
      </c>
      <c r="BH105" s="7">
        <v>0</v>
      </c>
      <c r="BI105" s="7">
        <v>0</v>
      </c>
      <c r="BJ105" s="21"/>
    </row>
    <row r="106" spans="1:62" ht="15.6" x14ac:dyDescent="0.3">
      <c r="A106" s="5" t="s">
        <v>196</v>
      </c>
      <c r="B106" s="5" t="s">
        <v>197</v>
      </c>
      <c r="C106" s="7">
        <v>4</v>
      </c>
      <c r="D106" s="7">
        <v>4</v>
      </c>
      <c r="E106" s="7">
        <v>179127.81599999999</v>
      </c>
      <c r="F106" s="7">
        <v>35715.999000000003</v>
      </c>
      <c r="G106" s="7">
        <v>0</v>
      </c>
      <c r="H106" s="7">
        <v>3083.72</v>
      </c>
      <c r="I106" s="7">
        <v>1366.8320000000001</v>
      </c>
      <c r="J106" s="7">
        <v>0</v>
      </c>
      <c r="K106" s="7">
        <v>0</v>
      </c>
      <c r="L106" s="7">
        <v>421079.92599999998</v>
      </c>
      <c r="M106" s="7">
        <v>29859.654999999999</v>
      </c>
      <c r="N106" s="7">
        <v>0</v>
      </c>
      <c r="O106" s="7">
        <v>10.817</v>
      </c>
      <c r="P106" s="7">
        <v>6.5039999999999996</v>
      </c>
      <c r="Q106" s="7">
        <v>12.233000000000001</v>
      </c>
      <c r="R106" s="7">
        <v>0</v>
      </c>
      <c r="S106" s="7">
        <v>11484.647999999999</v>
      </c>
      <c r="T106" s="7">
        <v>0</v>
      </c>
      <c r="U106" s="7">
        <v>0</v>
      </c>
      <c r="V106" s="7">
        <v>0</v>
      </c>
      <c r="W106" s="7">
        <v>3950.93</v>
      </c>
      <c r="X106" s="7">
        <v>0</v>
      </c>
      <c r="Y106" s="7">
        <v>78825.873000000007</v>
      </c>
      <c r="Z106" s="7">
        <v>0</v>
      </c>
      <c r="AA106" s="7">
        <v>0</v>
      </c>
      <c r="AB106" s="7">
        <v>623.81600000000003</v>
      </c>
      <c r="AC106" s="7">
        <v>6934.2139999999999</v>
      </c>
      <c r="AD106" s="7">
        <v>0</v>
      </c>
      <c r="AE106" s="7">
        <v>189598.76500000001</v>
      </c>
      <c r="AF106" s="7">
        <v>102696.446</v>
      </c>
      <c r="AG106" s="7">
        <v>0</v>
      </c>
      <c r="AH106" s="7">
        <v>728539.76800000004</v>
      </c>
      <c r="AI106" s="7">
        <v>187332.421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4586.3689999999997</v>
      </c>
      <c r="AP106" s="7">
        <v>0</v>
      </c>
      <c r="AQ106" s="7">
        <v>36290.839999999997</v>
      </c>
      <c r="AR106" s="7">
        <v>0</v>
      </c>
      <c r="AS106" s="7">
        <v>110.726</v>
      </c>
      <c r="AT106" s="7">
        <v>0</v>
      </c>
      <c r="AU106" s="7">
        <v>776.88800000000003</v>
      </c>
      <c r="AV106" s="7">
        <v>0</v>
      </c>
      <c r="AW106" s="7">
        <v>0</v>
      </c>
      <c r="AX106" s="7">
        <v>0</v>
      </c>
      <c r="AY106" s="7">
        <v>1812.2840000000001</v>
      </c>
      <c r="AZ106" s="7">
        <v>30486.662</v>
      </c>
      <c r="BA106" s="7">
        <v>0</v>
      </c>
      <c r="BB106" s="7">
        <v>1762.62</v>
      </c>
      <c r="BC106" s="7">
        <v>0</v>
      </c>
      <c r="BD106" s="7">
        <v>36370.506000000001</v>
      </c>
      <c r="BE106" s="7">
        <v>404.97199999999998</v>
      </c>
      <c r="BF106" s="7">
        <v>404.97199999999998</v>
      </c>
      <c r="BG106" s="7">
        <v>11509.342000000001</v>
      </c>
      <c r="BH106" s="7">
        <v>0</v>
      </c>
      <c r="BI106" s="7">
        <v>0</v>
      </c>
      <c r="BJ106" s="21"/>
    </row>
    <row r="107" spans="1:62" ht="15.6" x14ac:dyDescent="0.3">
      <c r="A107" s="5" t="s">
        <v>198</v>
      </c>
      <c r="B107" s="5" t="s">
        <v>199</v>
      </c>
      <c r="C107" s="7">
        <v>4</v>
      </c>
      <c r="D107" s="7">
        <v>4</v>
      </c>
      <c r="E107" s="7">
        <v>72944.789000000004</v>
      </c>
      <c r="F107" s="7">
        <v>14699.799000000001</v>
      </c>
      <c r="G107" s="7">
        <v>140.50800000000001</v>
      </c>
      <c r="H107" s="7">
        <v>5.0620000000000003</v>
      </c>
      <c r="I107" s="7">
        <v>684.77800000000002</v>
      </c>
      <c r="J107" s="7">
        <v>80.054000000000002</v>
      </c>
      <c r="K107" s="7">
        <v>0</v>
      </c>
      <c r="L107" s="7">
        <v>166002.25200000001</v>
      </c>
      <c r="M107" s="7">
        <v>16048.832</v>
      </c>
      <c r="N107" s="7">
        <v>0</v>
      </c>
      <c r="O107" s="7">
        <v>106.43</v>
      </c>
      <c r="P107" s="7">
        <v>2.3639999999999999</v>
      </c>
      <c r="Q107" s="7">
        <v>120.364</v>
      </c>
      <c r="R107" s="7">
        <v>0</v>
      </c>
      <c r="S107" s="7">
        <v>4192.3419999999996</v>
      </c>
      <c r="T107" s="7">
        <v>0</v>
      </c>
      <c r="U107" s="7">
        <v>0</v>
      </c>
      <c r="V107" s="7">
        <v>18.411000000000001</v>
      </c>
      <c r="W107" s="7">
        <v>1455.643</v>
      </c>
      <c r="X107" s="7">
        <v>0</v>
      </c>
      <c r="Y107" s="7">
        <v>28605.807000000001</v>
      </c>
      <c r="Z107" s="7">
        <v>0</v>
      </c>
      <c r="AA107" s="7">
        <v>192.54300000000001</v>
      </c>
      <c r="AB107" s="7">
        <v>6138.0969999999998</v>
      </c>
      <c r="AC107" s="7">
        <v>2522.1840000000002</v>
      </c>
      <c r="AD107" s="7">
        <v>0</v>
      </c>
      <c r="AE107" s="7">
        <v>73262.06</v>
      </c>
      <c r="AF107" s="7">
        <v>37141.694000000003</v>
      </c>
      <c r="AG107" s="7">
        <v>0</v>
      </c>
      <c r="AH107" s="7">
        <v>278914.05300000001</v>
      </c>
      <c r="AI107" s="7">
        <v>67756.195000000007</v>
      </c>
      <c r="AJ107" s="7">
        <v>0</v>
      </c>
      <c r="AK107" s="7">
        <v>0</v>
      </c>
      <c r="AL107" s="7">
        <v>0</v>
      </c>
      <c r="AM107" s="7">
        <v>0</v>
      </c>
      <c r="AN107" s="7">
        <v>0</v>
      </c>
      <c r="AO107" s="7">
        <v>1668.0930000000001</v>
      </c>
      <c r="AP107" s="7">
        <v>0</v>
      </c>
      <c r="AQ107" s="7">
        <v>13124.124</v>
      </c>
      <c r="AR107" s="7">
        <v>0</v>
      </c>
      <c r="AS107" s="7">
        <v>40.386000000000003</v>
      </c>
      <c r="AT107" s="7">
        <v>0</v>
      </c>
      <c r="AU107" s="7">
        <v>290.81799999999998</v>
      </c>
      <c r="AV107" s="7">
        <v>0</v>
      </c>
      <c r="AW107" s="7">
        <v>0</v>
      </c>
      <c r="AX107" s="7">
        <v>0</v>
      </c>
      <c r="AY107" s="7">
        <v>662.77200000000005</v>
      </c>
      <c r="AZ107" s="7">
        <v>11025.116</v>
      </c>
      <c r="BA107" s="7">
        <v>0</v>
      </c>
      <c r="BB107" s="7">
        <v>641.01599999999996</v>
      </c>
      <c r="BC107" s="7">
        <v>6.1449999999999996</v>
      </c>
      <c r="BD107" s="7">
        <v>13152.933999999999</v>
      </c>
      <c r="BE107" s="7">
        <v>147.29499999999999</v>
      </c>
      <c r="BF107" s="7">
        <v>147.29499999999999</v>
      </c>
      <c r="BG107" s="7">
        <v>4162.2079999999996</v>
      </c>
      <c r="BH107" s="7">
        <v>0</v>
      </c>
      <c r="BI107" s="7">
        <v>2.637</v>
      </c>
      <c r="BJ107" s="21"/>
    </row>
    <row r="108" spans="1:62" ht="15.6" x14ac:dyDescent="0.3">
      <c r="A108" s="5" t="s">
        <v>200</v>
      </c>
      <c r="B108" s="5" t="s">
        <v>201</v>
      </c>
      <c r="C108" s="7">
        <v>4</v>
      </c>
      <c r="D108" s="7">
        <v>4</v>
      </c>
      <c r="E108" s="7">
        <v>411.803</v>
      </c>
      <c r="F108" s="7">
        <v>72.251999999999995</v>
      </c>
      <c r="G108" s="7">
        <v>1.238</v>
      </c>
      <c r="H108" s="7">
        <v>0</v>
      </c>
      <c r="I108" s="7">
        <v>2.8719999999999999</v>
      </c>
      <c r="J108" s="7">
        <v>0.70599999999999996</v>
      </c>
      <c r="K108" s="7">
        <v>0</v>
      </c>
      <c r="L108" s="7">
        <v>897.51</v>
      </c>
      <c r="M108" s="7">
        <v>62.933999999999997</v>
      </c>
      <c r="N108" s="7">
        <v>0</v>
      </c>
      <c r="O108" s="7">
        <v>2.3330000000000002</v>
      </c>
      <c r="P108" s="7">
        <v>1.2999999999999999E-2</v>
      </c>
      <c r="Q108" s="7">
        <v>2.6389999999999998</v>
      </c>
      <c r="R108" s="7">
        <v>0</v>
      </c>
      <c r="S108" s="7">
        <v>23.323</v>
      </c>
      <c r="T108" s="7">
        <v>0</v>
      </c>
      <c r="U108" s="7">
        <v>0</v>
      </c>
      <c r="V108" s="7">
        <v>0.16200000000000001</v>
      </c>
      <c r="W108" s="7">
        <v>8.1419999999999995</v>
      </c>
      <c r="X108" s="7">
        <v>0</v>
      </c>
      <c r="Y108" s="7">
        <v>158.59100000000001</v>
      </c>
      <c r="Z108" s="7">
        <v>0</v>
      </c>
      <c r="AA108" s="7">
        <v>1.6970000000000001</v>
      </c>
      <c r="AB108" s="7">
        <v>134.56100000000001</v>
      </c>
      <c r="AC108" s="7">
        <v>14.002000000000001</v>
      </c>
      <c r="AD108" s="7">
        <v>0</v>
      </c>
      <c r="AE108" s="7">
        <v>483.80500000000001</v>
      </c>
      <c r="AF108" s="7">
        <v>205.47399999999999</v>
      </c>
      <c r="AG108" s="7">
        <v>0</v>
      </c>
      <c r="AH108" s="7">
        <v>1463.04</v>
      </c>
      <c r="AI108" s="7">
        <v>374.81299999999999</v>
      </c>
      <c r="AJ108" s="7">
        <v>0</v>
      </c>
      <c r="AK108" s="7">
        <v>0</v>
      </c>
      <c r="AL108" s="7">
        <v>0</v>
      </c>
      <c r="AM108" s="7">
        <v>0</v>
      </c>
      <c r="AN108" s="7">
        <v>0</v>
      </c>
      <c r="AO108" s="7">
        <v>9.26</v>
      </c>
      <c r="AP108" s="7">
        <v>0</v>
      </c>
      <c r="AQ108" s="7">
        <v>72.61</v>
      </c>
      <c r="AR108" s="7">
        <v>0</v>
      </c>
      <c r="AS108" s="7">
        <v>0.22500000000000001</v>
      </c>
      <c r="AT108" s="7">
        <v>0</v>
      </c>
      <c r="AU108" s="7">
        <v>1.641</v>
      </c>
      <c r="AV108" s="7">
        <v>0</v>
      </c>
      <c r="AW108" s="7">
        <v>0</v>
      </c>
      <c r="AX108" s="7">
        <v>0</v>
      </c>
      <c r="AY108" s="7">
        <v>3.6909999999999998</v>
      </c>
      <c r="AZ108" s="7">
        <v>60.997</v>
      </c>
      <c r="BA108" s="7">
        <v>0</v>
      </c>
      <c r="BB108" s="7">
        <v>3.5579999999999998</v>
      </c>
      <c r="BC108" s="7">
        <v>5.3999999999999999E-2</v>
      </c>
      <c r="BD108" s="7">
        <v>72.77</v>
      </c>
      <c r="BE108" s="7">
        <v>0.81799999999999995</v>
      </c>
      <c r="BF108" s="7">
        <v>0.81799999999999995</v>
      </c>
      <c r="BG108" s="7">
        <v>23.027999999999999</v>
      </c>
      <c r="BH108" s="7">
        <v>0</v>
      </c>
      <c r="BI108" s="7">
        <v>2.3E-2</v>
      </c>
      <c r="BJ108" s="21"/>
    </row>
    <row r="109" spans="1:62" ht="15.6" x14ac:dyDescent="0.3">
      <c r="A109" s="5" t="s">
        <v>202</v>
      </c>
      <c r="B109" s="5" t="s">
        <v>203</v>
      </c>
      <c r="C109" s="7">
        <v>4</v>
      </c>
      <c r="D109" s="7">
        <v>4</v>
      </c>
      <c r="E109" s="7">
        <v>0</v>
      </c>
      <c r="F109" s="7">
        <v>0</v>
      </c>
      <c r="G109" s="7">
        <v>0</v>
      </c>
      <c r="H109" s="7">
        <v>0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0</v>
      </c>
      <c r="AR109" s="7">
        <v>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21"/>
    </row>
    <row r="110" spans="1:62" ht="15.6" x14ac:dyDescent="0.3">
      <c r="A110" s="5" t="s">
        <v>204</v>
      </c>
      <c r="B110" s="5" t="s">
        <v>205</v>
      </c>
      <c r="C110" s="7">
        <v>4</v>
      </c>
      <c r="D110" s="7">
        <v>4</v>
      </c>
      <c r="E110" s="7">
        <v>0</v>
      </c>
      <c r="F110" s="7">
        <v>0</v>
      </c>
      <c r="G110" s="7">
        <v>0</v>
      </c>
      <c r="H110" s="7">
        <v>0</v>
      </c>
      <c r="I110" s="7">
        <v>0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0</v>
      </c>
      <c r="AF110" s="7">
        <v>0</v>
      </c>
      <c r="AG110" s="7">
        <v>0</v>
      </c>
      <c r="AH110" s="7">
        <v>0</v>
      </c>
      <c r="AI110" s="7">
        <v>0</v>
      </c>
      <c r="AJ110" s="7">
        <v>0</v>
      </c>
      <c r="AK110" s="7">
        <v>0</v>
      </c>
      <c r="AL110" s="7">
        <v>0</v>
      </c>
      <c r="AM110" s="7">
        <v>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21"/>
    </row>
    <row r="111" spans="1:62" ht="15.6" x14ac:dyDescent="0.3">
      <c r="A111" s="5" t="s">
        <v>206</v>
      </c>
      <c r="B111" s="5" t="s">
        <v>207</v>
      </c>
      <c r="C111" s="7">
        <v>6</v>
      </c>
      <c r="D111" s="7">
        <v>6</v>
      </c>
      <c r="E111" s="7">
        <v>91361.342000000004</v>
      </c>
      <c r="F111" s="7">
        <v>585.73900000000003</v>
      </c>
      <c r="G111" s="7">
        <v>0</v>
      </c>
      <c r="H111" s="7">
        <v>10263.691999999999</v>
      </c>
      <c r="I111" s="7">
        <v>4.5999999999999999E-2</v>
      </c>
      <c r="J111" s="7">
        <v>0</v>
      </c>
      <c r="K111" s="7">
        <v>0</v>
      </c>
      <c r="L111" s="7">
        <v>137824.288</v>
      </c>
      <c r="M111" s="7">
        <v>22222.958999999999</v>
      </c>
      <c r="N111" s="7">
        <v>0</v>
      </c>
      <c r="O111" s="7">
        <v>0</v>
      </c>
      <c r="P111" s="7">
        <v>0</v>
      </c>
      <c r="Q111" s="7">
        <v>0</v>
      </c>
      <c r="R111" s="7">
        <v>3.0000000000000001E-3</v>
      </c>
      <c r="S111" s="7">
        <v>0.38700000000000001</v>
      </c>
      <c r="T111" s="7">
        <v>0</v>
      </c>
      <c r="U111" s="7">
        <v>0</v>
      </c>
      <c r="V111" s="7">
        <v>0</v>
      </c>
      <c r="W111" s="7">
        <v>0.13300000000000001</v>
      </c>
      <c r="X111" s="7">
        <v>0</v>
      </c>
      <c r="Y111" s="7">
        <v>32743.307000000001</v>
      </c>
      <c r="Z111" s="7">
        <v>0</v>
      </c>
      <c r="AA111" s="7">
        <v>0</v>
      </c>
      <c r="AB111" s="7">
        <v>0</v>
      </c>
      <c r="AC111" s="7">
        <v>0.23400000000000001</v>
      </c>
      <c r="AD111" s="7">
        <v>0</v>
      </c>
      <c r="AE111" s="7">
        <v>105750.735</v>
      </c>
      <c r="AF111" s="7">
        <v>4255.7809999999999</v>
      </c>
      <c r="AG111" s="7">
        <v>0</v>
      </c>
      <c r="AH111" s="7">
        <v>326945.07299999997</v>
      </c>
      <c r="AI111" s="7">
        <v>5838.01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0.155</v>
      </c>
      <c r="AP111" s="7">
        <v>0</v>
      </c>
      <c r="AQ111" s="7">
        <v>1.2230000000000001</v>
      </c>
      <c r="AR111" s="7">
        <v>0</v>
      </c>
      <c r="AS111" s="7">
        <v>0.01</v>
      </c>
      <c r="AT111" s="7">
        <v>0</v>
      </c>
      <c r="AU111" s="7">
        <v>2.5999999999999999E-2</v>
      </c>
      <c r="AV111" s="7">
        <v>0</v>
      </c>
      <c r="AW111" s="7">
        <v>0</v>
      </c>
      <c r="AX111" s="7">
        <v>0</v>
      </c>
      <c r="AY111" s="7">
        <v>6.0999999999999999E-2</v>
      </c>
      <c r="AZ111" s="7">
        <v>1.028</v>
      </c>
      <c r="BA111" s="7">
        <v>0</v>
      </c>
      <c r="BB111" s="7">
        <v>5.8999999999999997E-2</v>
      </c>
      <c r="BC111" s="7">
        <v>0</v>
      </c>
      <c r="BD111" s="7">
        <v>1.226</v>
      </c>
      <c r="BE111" s="7">
        <v>1.4E-2</v>
      </c>
      <c r="BF111" s="7">
        <v>1.4E-2</v>
      </c>
      <c r="BG111" s="7">
        <v>0.38800000000000001</v>
      </c>
      <c r="BH111" s="7">
        <v>0</v>
      </c>
      <c r="BI111" s="7">
        <v>0</v>
      </c>
      <c r="BJ111" s="21"/>
    </row>
    <row r="112" spans="1:62" ht="15.6" x14ac:dyDescent="0.3">
      <c r="A112" s="5" t="s">
        <v>208</v>
      </c>
      <c r="B112" s="5" t="s">
        <v>209</v>
      </c>
      <c r="C112" s="7">
        <v>4</v>
      </c>
      <c r="D112" s="7">
        <v>4</v>
      </c>
      <c r="E112" s="7">
        <v>88009.528999999995</v>
      </c>
      <c r="F112" s="7">
        <v>17632.982</v>
      </c>
      <c r="G112" s="7">
        <v>0</v>
      </c>
      <c r="H112" s="7">
        <v>0</v>
      </c>
      <c r="I112" s="7">
        <v>668.56399999999996</v>
      </c>
      <c r="J112" s="7">
        <v>0</v>
      </c>
      <c r="K112" s="7">
        <v>0</v>
      </c>
      <c r="L112" s="7">
        <v>207929.63</v>
      </c>
      <c r="M112" s="7">
        <v>14570.734</v>
      </c>
      <c r="N112" s="7">
        <v>0</v>
      </c>
      <c r="O112" s="7">
        <v>0</v>
      </c>
      <c r="P112" s="7">
        <v>3.137</v>
      </c>
      <c r="Q112" s="7">
        <v>0</v>
      </c>
      <c r="R112" s="7">
        <v>0</v>
      </c>
      <c r="S112" s="7">
        <v>5659.1639999999998</v>
      </c>
      <c r="T112" s="7">
        <v>0</v>
      </c>
      <c r="U112" s="7">
        <v>0</v>
      </c>
      <c r="V112" s="7">
        <v>0</v>
      </c>
      <c r="W112" s="7">
        <v>1941.6880000000001</v>
      </c>
      <c r="X112" s="7">
        <v>0</v>
      </c>
      <c r="Y112" s="7">
        <v>38879.902000000002</v>
      </c>
      <c r="Z112" s="7">
        <v>0</v>
      </c>
      <c r="AA112" s="7">
        <v>0</v>
      </c>
      <c r="AB112" s="7">
        <v>13.417999999999999</v>
      </c>
      <c r="AC112" s="7">
        <v>3415.598</v>
      </c>
      <c r="AD112" s="7">
        <v>0</v>
      </c>
      <c r="AE112" s="7">
        <v>93376.385999999999</v>
      </c>
      <c r="AF112" s="7">
        <v>50718.084999999999</v>
      </c>
      <c r="AG112" s="7">
        <v>0</v>
      </c>
      <c r="AH112" s="7">
        <v>359929.39299999998</v>
      </c>
      <c r="AI112" s="7">
        <v>92226.326000000001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2268.058</v>
      </c>
      <c r="AP112" s="7">
        <v>0</v>
      </c>
      <c r="AQ112" s="7">
        <v>17923.951000000001</v>
      </c>
      <c r="AR112" s="7">
        <v>0</v>
      </c>
      <c r="AS112" s="7">
        <v>54.671999999999997</v>
      </c>
      <c r="AT112" s="7">
        <v>0</v>
      </c>
      <c r="AU112" s="7">
        <v>531.62</v>
      </c>
      <c r="AV112" s="7">
        <v>0</v>
      </c>
      <c r="AW112" s="7">
        <v>0</v>
      </c>
      <c r="AX112" s="7">
        <v>0</v>
      </c>
      <c r="AY112" s="7">
        <v>874.12099999999998</v>
      </c>
      <c r="AZ112" s="7">
        <v>14704.66</v>
      </c>
      <c r="BA112" s="7">
        <v>0</v>
      </c>
      <c r="BB112" s="7">
        <v>870.74800000000005</v>
      </c>
      <c r="BC112" s="7">
        <v>0</v>
      </c>
      <c r="BD112" s="7">
        <v>17542.62</v>
      </c>
      <c r="BE112" s="7">
        <v>200.55799999999999</v>
      </c>
      <c r="BF112" s="7">
        <v>200.55799999999999</v>
      </c>
      <c r="BG112" s="7">
        <v>5551.31</v>
      </c>
      <c r="BH112" s="7">
        <v>0</v>
      </c>
      <c r="BI112" s="7">
        <v>0</v>
      </c>
      <c r="BJ112" s="21"/>
    </row>
    <row r="113" spans="1:62" ht="15.6" x14ac:dyDescent="0.3">
      <c r="A113" s="5" t="s">
        <v>210</v>
      </c>
      <c r="B113" s="5" t="s">
        <v>211</v>
      </c>
      <c r="C113" s="7">
        <v>4</v>
      </c>
      <c r="D113" s="7">
        <v>4</v>
      </c>
      <c r="E113" s="7">
        <v>158396.098</v>
      </c>
      <c r="F113" s="7">
        <v>40232.303</v>
      </c>
      <c r="G113" s="7">
        <v>1.4930000000000001</v>
      </c>
      <c r="H113" s="7">
        <v>4.0000000000000001E-3</v>
      </c>
      <c r="I113" s="7">
        <v>1127.479</v>
      </c>
      <c r="J113" s="7">
        <v>15.853999999999999</v>
      </c>
      <c r="K113" s="7">
        <v>0</v>
      </c>
      <c r="L113" s="7">
        <v>419257.66399999999</v>
      </c>
      <c r="M113" s="7">
        <v>20675.981</v>
      </c>
      <c r="N113" s="7">
        <v>0</v>
      </c>
      <c r="O113" s="7">
        <v>0</v>
      </c>
      <c r="P113" s="7">
        <v>0.24199999999999999</v>
      </c>
      <c r="Q113" s="7">
        <v>0</v>
      </c>
      <c r="R113" s="7">
        <v>0</v>
      </c>
      <c r="S113" s="7">
        <v>12440.063</v>
      </c>
      <c r="T113" s="7">
        <v>0</v>
      </c>
      <c r="U113" s="7">
        <v>0</v>
      </c>
      <c r="V113" s="7">
        <v>2.7810000000000001</v>
      </c>
      <c r="W113" s="7">
        <v>3808.0929999999998</v>
      </c>
      <c r="X113" s="7">
        <v>76405.644</v>
      </c>
      <c r="Y113" s="7">
        <v>80680.032000000007</v>
      </c>
      <c r="Z113" s="7">
        <v>0</v>
      </c>
      <c r="AA113" s="7">
        <v>46.15</v>
      </c>
      <c r="AB113" s="7">
        <v>0</v>
      </c>
      <c r="AC113" s="7">
        <v>7280.2709999999997</v>
      </c>
      <c r="AD113" s="7">
        <v>0</v>
      </c>
      <c r="AE113" s="7">
        <v>198417.94500000001</v>
      </c>
      <c r="AF113" s="7">
        <v>116926.304</v>
      </c>
      <c r="AG113" s="7">
        <v>0</v>
      </c>
      <c r="AH113" s="7">
        <v>810995.804</v>
      </c>
      <c r="AI113" s="7">
        <v>188142.39300000001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5352.5410000000002</v>
      </c>
      <c r="AP113" s="7">
        <v>53630.243000000002</v>
      </c>
      <c r="AQ113" s="7">
        <v>39785.374000000003</v>
      </c>
      <c r="AR113" s="7">
        <v>22193.403999999999</v>
      </c>
      <c r="AS113" s="7">
        <v>121.28400000000001</v>
      </c>
      <c r="AT113" s="7">
        <v>0</v>
      </c>
      <c r="AU113" s="7">
        <v>807.05799999999999</v>
      </c>
      <c r="AV113" s="7">
        <v>60186.527000000002</v>
      </c>
      <c r="AW113" s="7">
        <v>80182.509999999995</v>
      </c>
      <c r="AX113" s="7">
        <v>76630.252999999997</v>
      </c>
      <c r="AY113" s="7">
        <v>67.334000000000003</v>
      </c>
      <c r="AZ113" s="7">
        <v>1132.6990000000001</v>
      </c>
      <c r="BA113" s="7">
        <v>53711.029000000002</v>
      </c>
      <c r="BB113" s="7">
        <v>1973.1210000000001</v>
      </c>
      <c r="BC113" s="7">
        <v>0</v>
      </c>
      <c r="BD113" s="7">
        <v>1351.308</v>
      </c>
      <c r="BE113" s="7">
        <v>499.488</v>
      </c>
      <c r="BF113" s="7">
        <v>499.488</v>
      </c>
      <c r="BG113" s="7">
        <v>427.61700000000002</v>
      </c>
      <c r="BH113" s="7">
        <v>0</v>
      </c>
      <c r="BI113" s="7">
        <v>0</v>
      </c>
      <c r="BJ113" s="21"/>
    </row>
    <row r="114" spans="1:62" ht="15.6" x14ac:dyDescent="0.3">
      <c r="A114" s="5" t="s">
        <v>212</v>
      </c>
      <c r="B114" s="5" t="s">
        <v>213</v>
      </c>
      <c r="C114" s="7">
        <v>4</v>
      </c>
      <c r="D114" s="7">
        <v>4</v>
      </c>
      <c r="E114" s="7">
        <v>0</v>
      </c>
      <c r="F114" s="7">
        <v>0</v>
      </c>
      <c r="G114" s="7">
        <v>0</v>
      </c>
      <c r="H114" s="7">
        <v>0</v>
      </c>
      <c r="I114" s="7">
        <v>0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0</v>
      </c>
      <c r="AF114" s="7">
        <v>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21"/>
    </row>
    <row r="115" spans="1:62" ht="15.6" x14ac:dyDescent="0.3">
      <c r="A115" s="5" t="s">
        <v>214</v>
      </c>
      <c r="B115" s="5" t="s">
        <v>215</v>
      </c>
      <c r="C115" s="7">
        <v>6</v>
      </c>
      <c r="D115" s="7">
        <v>6</v>
      </c>
      <c r="E115" s="7">
        <v>3473.0309999999999</v>
      </c>
      <c r="F115" s="7">
        <v>253.88200000000001</v>
      </c>
      <c r="G115" s="7">
        <v>299.81700000000001</v>
      </c>
      <c r="H115" s="7">
        <v>0</v>
      </c>
      <c r="I115" s="7">
        <v>52.502000000000002</v>
      </c>
      <c r="J115" s="7">
        <v>183.267</v>
      </c>
      <c r="K115" s="7">
        <v>0</v>
      </c>
      <c r="L115" s="7">
        <v>4157.8990000000003</v>
      </c>
      <c r="M115" s="7">
        <v>974.24300000000005</v>
      </c>
      <c r="N115" s="7">
        <v>0</v>
      </c>
      <c r="O115" s="7">
        <v>0</v>
      </c>
      <c r="P115" s="7">
        <v>9.7059999999999995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27.306999999999999</v>
      </c>
      <c r="W115" s="7">
        <v>83.158000000000001</v>
      </c>
      <c r="X115" s="7">
        <v>0</v>
      </c>
      <c r="Y115" s="7">
        <v>1458.73</v>
      </c>
      <c r="Z115" s="7">
        <v>0</v>
      </c>
      <c r="AA115" s="7">
        <v>232.333</v>
      </c>
      <c r="AB115" s="7">
        <v>0</v>
      </c>
      <c r="AC115" s="7">
        <v>35.32</v>
      </c>
      <c r="AD115" s="7">
        <v>0</v>
      </c>
      <c r="AE115" s="7">
        <v>3427.393</v>
      </c>
      <c r="AF115" s="7">
        <v>24.373999999999999</v>
      </c>
      <c r="AG115" s="7">
        <v>0</v>
      </c>
      <c r="AH115" s="7">
        <v>15669.052</v>
      </c>
      <c r="AI115" s="7">
        <v>1622.627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21"/>
    </row>
    <row r="116" spans="1:62" ht="15.6" x14ac:dyDescent="0.3">
      <c r="A116" s="5" t="s">
        <v>216</v>
      </c>
      <c r="B116" s="5" t="s">
        <v>217</v>
      </c>
      <c r="C116" s="7">
        <v>6</v>
      </c>
      <c r="D116" s="7">
        <v>6</v>
      </c>
      <c r="E116" s="7">
        <v>91096.502999999997</v>
      </c>
      <c r="F116" s="7">
        <v>925.43100000000004</v>
      </c>
      <c r="G116" s="7">
        <v>0</v>
      </c>
      <c r="H116" s="7">
        <v>0</v>
      </c>
      <c r="I116" s="7">
        <v>86.759</v>
      </c>
      <c r="J116" s="7">
        <v>0</v>
      </c>
      <c r="K116" s="7">
        <v>0</v>
      </c>
      <c r="L116" s="7">
        <v>183859.992</v>
      </c>
      <c r="M116" s="7">
        <v>41340.555</v>
      </c>
      <c r="N116" s="7">
        <v>0</v>
      </c>
      <c r="O116" s="7">
        <v>0</v>
      </c>
      <c r="P116" s="7">
        <v>28.92</v>
      </c>
      <c r="Q116" s="7">
        <v>0</v>
      </c>
      <c r="R116" s="7">
        <v>28.92</v>
      </c>
      <c r="S116" s="7">
        <v>0</v>
      </c>
      <c r="T116" s="7">
        <v>0</v>
      </c>
      <c r="U116" s="7">
        <v>0</v>
      </c>
      <c r="V116" s="7">
        <v>0</v>
      </c>
      <c r="W116" s="7">
        <v>289.197</v>
      </c>
      <c r="X116" s="7">
        <v>0</v>
      </c>
      <c r="Y116" s="7">
        <v>18464.710999999999</v>
      </c>
      <c r="Z116" s="7">
        <v>0</v>
      </c>
      <c r="AA116" s="7">
        <v>2718.4540000000002</v>
      </c>
      <c r="AB116" s="7">
        <v>0</v>
      </c>
      <c r="AC116" s="7">
        <v>231.358</v>
      </c>
      <c r="AD116" s="7">
        <v>0</v>
      </c>
      <c r="AE116" s="7">
        <v>54629.502</v>
      </c>
      <c r="AF116" s="7">
        <v>8.0000000000000002E-3</v>
      </c>
      <c r="AG116" s="7">
        <v>0</v>
      </c>
      <c r="AH116" s="7">
        <v>279751.96399999998</v>
      </c>
      <c r="AI116" s="7">
        <v>1.2E-2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21"/>
    </row>
    <row r="117" spans="1:62" ht="15.6" x14ac:dyDescent="0.3">
      <c r="A117" s="5" t="s">
        <v>218</v>
      </c>
      <c r="B117" s="5" t="s">
        <v>219</v>
      </c>
      <c r="C117" s="7">
        <v>4</v>
      </c>
      <c r="D117" s="7">
        <v>4</v>
      </c>
      <c r="E117" s="7">
        <v>37893.892</v>
      </c>
      <c r="F117" s="7">
        <v>7565.0240000000003</v>
      </c>
      <c r="G117" s="7">
        <v>0</v>
      </c>
      <c r="H117" s="7">
        <v>20577.014999999999</v>
      </c>
      <c r="I117" s="7">
        <v>289.50900000000001</v>
      </c>
      <c r="J117" s="7">
        <v>0</v>
      </c>
      <c r="K117" s="7">
        <v>0</v>
      </c>
      <c r="L117" s="7">
        <v>89136.883000000002</v>
      </c>
      <c r="M117" s="7">
        <v>6324.5889999999999</v>
      </c>
      <c r="N117" s="7">
        <v>0</v>
      </c>
      <c r="O117" s="7">
        <v>0</v>
      </c>
      <c r="P117" s="7">
        <v>1.3779999999999999</v>
      </c>
      <c r="Q117" s="7">
        <v>0</v>
      </c>
      <c r="R117" s="7">
        <v>0</v>
      </c>
      <c r="S117" s="7">
        <v>2432.569</v>
      </c>
      <c r="T117" s="7">
        <v>0</v>
      </c>
      <c r="U117" s="7">
        <v>0</v>
      </c>
      <c r="V117" s="7">
        <v>0</v>
      </c>
      <c r="W117" s="7">
        <v>836.84799999999996</v>
      </c>
      <c r="X117" s="7">
        <v>0</v>
      </c>
      <c r="Y117" s="7">
        <v>16696.149000000001</v>
      </c>
      <c r="Z117" s="7">
        <v>0</v>
      </c>
      <c r="AA117" s="7">
        <v>0</v>
      </c>
      <c r="AB117" s="7">
        <v>0</v>
      </c>
      <c r="AC117" s="7">
        <v>1468.739</v>
      </c>
      <c r="AD117" s="7">
        <v>9458.8919999999998</v>
      </c>
      <c r="AE117" s="7">
        <v>40056.389000000003</v>
      </c>
      <c r="AF117" s="7">
        <v>21752.187000000002</v>
      </c>
      <c r="AG117" s="7">
        <v>43792.703999999998</v>
      </c>
      <c r="AH117" s="7">
        <v>154312.38099999999</v>
      </c>
      <c r="AI117" s="7">
        <v>39678.976000000002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971.44100000000003</v>
      </c>
      <c r="AP117" s="7">
        <v>0</v>
      </c>
      <c r="AQ117" s="7">
        <v>7686.7809999999999</v>
      </c>
      <c r="AR117" s="7">
        <v>0</v>
      </c>
      <c r="AS117" s="7">
        <v>23.452999999999999</v>
      </c>
      <c r="AT117" s="7">
        <v>0</v>
      </c>
      <c r="AU117" s="7">
        <v>2478.8760000000002</v>
      </c>
      <c r="AV117" s="7">
        <v>0</v>
      </c>
      <c r="AW117" s="7">
        <v>0</v>
      </c>
      <c r="AX117" s="7">
        <v>0</v>
      </c>
      <c r="AY117" s="7">
        <v>383.86099999999999</v>
      </c>
      <c r="AZ117" s="7">
        <v>16608.810000000001</v>
      </c>
      <c r="BA117" s="7">
        <v>0</v>
      </c>
      <c r="BB117" s="7">
        <v>373.34100000000001</v>
      </c>
      <c r="BC117" s="7">
        <v>0</v>
      </c>
      <c r="BD117" s="7">
        <v>7703.6549999999997</v>
      </c>
      <c r="BE117" s="7">
        <v>85.777000000000001</v>
      </c>
      <c r="BF117" s="7">
        <v>85.777000000000001</v>
      </c>
      <c r="BG117" s="7">
        <v>2437.8000000000002</v>
      </c>
      <c r="BH117" s="7">
        <v>0</v>
      </c>
      <c r="BI117" s="7">
        <v>0</v>
      </c>
      <c r="BJ117" s="21"/>
    </row>
    <row r="118" spans="1:62" ht="15.6" x14ac:dyDescent="0.3">
      <c r="A118" s="5" t="s">
        <v>220</v>
      </c>
      <c r="B118" s="5" t="s">
        <v>221</v>
      </c>
      <c r="C118" s="7">
        <v>4</v>
      </c>
      <c r="D118" s="7">
        <v>4</v>
      </c>
      <c r="E118" s="7">
        <v>0</v>
      </c>
      <c r="F118" s="7">
        <v>0</v>
      </c>
      <c r="G118" s="7">
        <v>0</v>
      </c>
      <c r="H118" s="7">
        <v>0</v>
      </c>
      <c r="I118" s="7">
        <v>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317.64499999999998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578877.40099999995</v>
      </c>
      <c r="AL118" s="7">
        <v>323050.21500000003</v>
      </c>
      <c r="AM118" s="7">
        <v>0</v>
      </c>
      <c r="AN118" s="7">
        <v>207505.86600000001</v>
      </c>
      <c r="AO118" s="7">
        <v>0</v>
      </c>
      <c r="AP118" s="7">
        <v>0</v>
      </c>
      <c r="AQ118" s="7">
        <v>0</v>
      </c>
      <c r="AR118" s="7">
        <v>0</v>
      </c>
      <c r="AS118" s="7">
        <v>0</v>
      </c>
      <c r="AT118" s="7">
        <v>0</v>
      </c>
      <c r="AU118" s="7">
        <v>1525.6780000000001</v>
      </c>
      <c r="AV118" s="7">
        <v>0</v>
      </c>
      <c r="AW118" s="7">
        <v>0</v>
      </c>
      <c r="AX118" s="7">
        <v>318.57900000000001</v>
      </c>
      <c r="AY118" s="7">
        <v>0</v>
      </c>
      <c r="AZ118" s="7">
        <v>0</v>
      </c>
      <c r="BA118" s="7">
        <v>223.29499999999999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21"/>
    </row>
    <row r="119" spans="1:62" ht="15.6" x14ac:dyDescent="0.3">
      <c r="A119" s="5" t="s">
        <v>222</v>
      </c>
      <c r="B119" s="5" t="s">
        <v>223</v>
      </c>
      <c r="C119" s="7">
        <v>4</v>
      </c>
      <c r="D119" s="7">
        <v>3</v>
      </c>
      <c r="E119" s="7">
        <v>28311.996999999999</v>
      </c>
      <c r="F119" s="7">
        <v>3917.8049999999998</v>
      </c>
      <c r="G119" s="7">
        <v>6129.8639999999996</v>
      </c>
      <c r="H119" s="7">
        <v>0</v>
      </c>
      <c r="I119" s="7">
        <v>681.46400000000006</v>
      </c>
      <c r="J119" s="7">
        <v>3492.4520000000002</v>
      </c>
      <c r="K119" s="7">
        <v>11466.326999999999</v>
      </c>
      <c r="L119" s="7">
        <v>11272.422</v>
      </c>
      <c r="M119" s="7">
        <v>15793.207</v>
      </c>
      <c r="N119" s="7">
        <v>2208.7440000000001</v>
      </c>
      <c r="O119" s="7">
        <v>0</v>
      </c>
      <c r="P119" s="7">
        <v>0.51</v>
      </c>
      <c r="Q119" s="7">
        <v>0</v>
      </c>
      <c r="R119" s="7">
        <v>0</v>
      </c>
      <c r="S119" s="7">
        <v>1704.2180000000001</v>
      </c>
      <c r="T119" s="7">
        <v>0</v>
      </c>
      <c r="U119" s="7">
        <v>9050.9009999999998</v>
      </c>
      <c r="V119" s="7">
        <v>803.20399999999995</v>
      </c>
      <c r="W119" s="7">
        <v>1170.896</v>
      </c>
      <c r="X119" s="7">
        <v>0</v>
      </c>
      <c r="Y119" s="7">
        <v>4337.5730000000003</v>
      </c>
      <c r="Z119" s="7">
        <v>0</v>
      </c>
      <c r="AA119" s="7">
        <v>8399.9470000000001</v>
      </c>
      <c r="AB119" s="7">
        <v>0</v>
      </c>
      <c r="AC119" s="7">
        <v>633.149</v>
      </c>
      <c r="AD119" s="7">
        <v>11207.004000000001</v>
      </c>
      <c r="AE119" s="7">
        <v>4536.96</v>
      </c>
      <c r="AF119" s="7">
        <v>0</v>
      </c>
      <c r="AG119" s="7">
        <v>46541.875</v>
      </c>
      <c r="AH119" s="7">
        <v>26694.101999999999</v>
      </c>
      <c r="AI119" s="7">
        <v>0</v>
      </c>
      <c r="AJ119" s="7">
        <v>0</v>
      </c>
      <c r="AK119" s="7">
        <v>0</v>
      </c>
      <c r="AL119" s="7">
        <v>0</v>
      </c>
      <c r="AM119" s="7">
        <v>2145.971</v>
      </c>
      <c r="AN119" s="7">
        <v>0</v>
      </c>
      <c r="AO119" s="7">
        <v>414.02800000000002</v>
      </c>
      <c r="AP119" s="7">
        <v>0</v>
      </c>
      <c r="AQ119" s="7">
        <v>0</v>
      </c>
      <c r="AR119" s="7">
        <v>0</v>
      </c>
      <c r="AS119" s="7">
        <v>59.008000000000003</v>
      </c>
      <c r="AT119" s="7">
        <v>0</v>
      </c>
      <c r="AU119" s="7">
        <v>2598.973</v>
      </c>
      <c r="AV119" s="7">
        <v>0</v>
      </c>
      <c r="AW119" s="7">
        <v>0</v>
      </c>
      <c r="AX119" s="7">
        <v>0</v>
      </c>
      <c r="AY119" s="7">
        <v>322.08800000000002</v>
      </c>
      <c r="AZ119" s="7">
        <v>0</v>
      </c>
      <c r="BA119" s="7">
        <v>0</v>
      </c>
      <c r="BB119" s="7">
        <v>156.499</v>
      </c>
      <c r="BC119" s="7">
        <v>268.07900000000001</v>
      </c>
      <c r="BD119" s="7">
        <v>0</v>
      </c>
      <c r="BE119" s="7">
        <v>36.722000000000001</v>
      </c>
      <c r="BF119" s="7">
        <v>36.722000000000001</v>
      </c>
      <c r="BG119" s="7">
        <v>0</v>
      </c>
      <c r="BH119" s="7">
        <v>0</v>
      </c>
      <c r="BI119" s="7">
        <v>115.039</v>
      </c>
      <c r="BJ119" s="21"/>
    </row>
    <row r="120" spans="1:62" ht="15.6" x14ac:dyDescent="0.3">
      <c r="A120" s="5" t="s">
        <v>224</v>
      </c>
      <c r="B120" s="5" t="s">
        <v>225</v>
      </c>
      <c r="C120" s="7">
        <v>4</v>
      </c>
      <c r="D120" s="7">
        <v>3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21"/>
    </row>
    <row r="121" spans="1:62" ht="15.6" x14ac:dyDescent="0.3">
      <c r="A121" s="5" t="s">
        <v>226</v>
      </c>
      <c r="B121" s="5" t="s">
        <v>227</v>
      </c>
      <c r="C121" s="7">
        <v>4</v>
      </c>
      <c r="D121" s="7">
        <v>4</v>
      </c>
      <c r="E121" s="7">
        <v>0</v>
      </c>
      <c r="F121" s="7">
        <v>0</v>
      </c>
      <c r="G121" s="7">
        <v>0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21"/>
    </row>
    <row r="122" spans="1:62" ht="15.6" x14ac:dyDescent="0.3">
      <c r="A122" s="5" t="s">
        <v>228</v>
      </c>
      <c r="B122" s="5" t="s">
        <v>229</v>
      </c>
      <c r="C122" s="7">
        <v>4</v>
      </c>
      <c r="D122" s="7">
        <v>6</v>
      </c>
      <c r="E122" s="7">
        <v>0</v>
      </c>
      <c r="F122" s="7">
        <v>0</v>
      </c>
      <c r="G122" s="7">
        <v>0</v>
      </c>
      <c r="H122" s="7">
        <v>0</v>
      </c>
      <c r="I122" s="7">
        <v>0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21"/>
    </row>
    <row r="123" spans="1:62" ht="15.6" x14ac:dyDescent="0.3">
      <c r="A123" s="5" t="s">
        <v>230</v>
      </c>
      <c r="B123" s="5" t="s">
        <v>231</v>
      </c>
      <c r="C123" s="7">
        <v>4</v>
      </c>
      <c r="D123" s="7">
        <v>4</v>
      </c>
      <c r="E123" s="7">
        <v>284690.55</v>
      </c>
      <c r="F123" s="7">
        <v>67175.403999999995</v>
      </c>
      <c r="G123" s="7">
        <v>0</v>
      </c>
      <c r="H123" s="7">
        <v>0</v>
      </c>
      <c r="I123" s="7">
        <v>1622.374</v>
      </c>
      <c r="J123" s="7">
        <v>0</v>
      </c>
      <c r="K123" s="7">
        <v>0</v>
      </c>
      <c r="L123" s="7">
        <v>756896.777</v>
      </c>
      <c r="M123" s="7">
        <v>28257.005000000001</v>
      </c>
      <c r="N123" s="7">
        <v>0</v>
      </c>
      <c r="O123" s="7">
        <v>1721.963</v>
      </c>
      <c r="P123" s="7">
        <v>0</v>
      </c>
      <c r="Q123" s="7">
        <v>554.12300000000005</v>
      </c>
      <c r="R123" s="7">
        <v>0</v>
      </c>
      <c r="S123" s="7">
        <v>20845.143</v>
      </c>
      <c r="T123" s="7">
        <v>0</v>
      </c>
      <c r="U123" s="7">
        <v>0</v>
      </c>
      <c r="V123" s="7">
        <v>0</v>
      </c>
      <c r="W123" s="7">
        <v>6272.8249999999998</v>
      </c>
      <c r="X123" s="7">
        <v>87632.025999999998</v>
      </c>
      <c r="Y123" s="7">
        <v>145947.48800000001</v>
      </c>
      <c r="Z123" s="7">
        <v>43210.54</v>
      </c>
      <c r="AA123" s="7">
        <v>0</v>
      </c>
      <c r="AB123" s="7">
        <v>38530.531999999999</v>
      </c>
      <c r="AC123" s="7">
        <v>12356.83</v>
      </c>
      <c r="AD123" s="7">
        <v>6832.61</v>
      </c>
      <c r="AE123" s="7">
        <v>371864.24099999998</v>
      </c>
      <c r="AF123" s="7">
        <v>200244.54300000001</v>
      </c>
      <c r="AG123" s="7">
        <v>28251.888999999999</v>
      </c>
      <c r="AH123" s="7">
        <v>1276344.2990000001</v>
      </c>
      <c r="AI123" s="7">
        <v>319570.86499999999</v>
      </c>
      <c r="AJ123" s="7">
        <v>226724.83600000001</v>
      </c>
      <c r="AK123" s="7">
        <v>578601.71299999999</v>
      </c>
      <c r="AL123" s="7">
        <v>322896.36300000001</v>
      </c>
      <c r="AM123" s="7">
        <v>0</v>
      </c>
      <c r="AN123" s="7">
        <v>207407.04199999999</v>
      </c>
      <c r="AO123" s="7">
        <v>9718.7780000000002</v>
      </c>
      <c r="AP123" s="7">
        <v>0</v>
      </c>
      <c r="AQ123" s="7">
        <v>70656.148000000001</v>
      </c>
      <c r="AR123" s="7">
        <v>0</v>
      </c>
      <c r="AS123" s="7">
        <v>219.90700000000001</v>
      </c>
      <c r="AT123" s="7">
        <v>0</v>
      </c>
      <c r="AU123" s="7">
        <v>1461.1210000000001</v>
      </c>
      <c r="AV123" s="7">
        <v>0</v>
      </c>
      <c r="AW123" s="7">
        <v>0</v>
      </c>
      <c r="AX123" s="7">
        <v>87889.698000000004</v>
      </c>
      <c r="AY123" s="7">
        <v>0</v>
      </c>
      <c r="AZ123" s="7">
        <v>0</v>
      </c>
      <c r="BA123" s="7">
        <v>61602.885999999999</v>
      </c>
      <c r="BB123" s="7">
        <v>3577.8490000000002</v>
      </c>
      <c r="BC123" s="7">
        <v>0</v>
      </c>
      <c r="BD123" s="7">
        <v>0</v>
      </c>
      <c r="BE123" s="7">
        <v>908.697</v>
      </c>
      <c r="BF123" s="7">
        <v>908.697</v>
      </c>
      <c r="BG123" s="7">
        <v>0</v>
      </c>
      <c r="BH123" s="7">
        <v>106003.99099999999</v>
      </c>
      <c r="BI123" s="7">
        <v>0</v>
      </c>
      <c r="BJ123" s="21"/>
    </row>
    <row r="124" spans="1:62" ht="15.6" x14ac:dyDescent="0.3">
      <c r="A124" s="5" t="s">
        <v>232</v>
      </c>
      <c r="B124" s="5" t="s">
        <v>233</v>
      </c>
      <c r="C124" s="7">
        <v>4</v>
      </c>
      <c r="D124" s="7">
        <v>3</v>
      </c>
      <c r="E124" s="7">
        <v>988.67</v>
      </c>
      <c r="F124" s="7">
        <v>689.18299999999999</v>
      </c>
      <c r="G124" s="7">
        <v>48.203000000000003</v>
      </c>
      <c r="H124" s="7">
        <v>0.13600000000000001</v>
      </c>
      <c r="I124" s="7">
        <v>60.988999999999997</v>
      </c>
      <c r="J124" s="7">
        <v>511.90499999999997</v>
      </c>
      <c r="K124" s="7">
        <v>0</v>
      </c>
      <c r="L124" s="7">
        <v>1477.174</v>
      </c>
      <c r="M124" s="7">
        <v>565.548</v>
      </c>
      <c r="N124" s="7">
        <v>0</v>
      </c>
      <c r="O124" s="7">
        <v>0</v>
      </c>
      <c r="P124" s="7">
        <v>2E-3</v>
      </c>
      <c r="Q124" s="7">
        <v>290.71899999999999</v>
      </c>
      <c r="R124" s="7">
        <v>379.10899999999998</v>
      </c>
      <c r="S124" s="7">
        <v>276.19600000000003</v>
      </c>
      <c r="T124" s="7">
        <v>0</v>
      </c>
      <c r="U124" s="7">
        <v>0</v>
      </c>
      <c r="V124" s="7">
        <v>89.805999999999997</v>
      </c>
      <c r="W124" s="7">
        <v>0.91200000000000003</v>
      </c>
      <c r="X124" s="7">
        <v>0</v>
      </c>
      <c r="Y124" s="7">
        <v>40.087000000000003</v>
      </c>
      <c r="Z124" s="7">
        <v>11244.552</v>
      </c>
      <c r="AA124" s="7">
        <v>1490.0889999999999</v>
      </c>
      <c r="AB124" s="7">
        <v>0</v>
      </c>
      <c r="AC124" s="7">
        <v>114.78</v>
      </c>
      <c r="AD124" s="7">
        <v>2057.991</v>
      </c>
      <c r="AE124" s="7">
        <v>3.8149999999999999</v>
      </c>
      <c r="AF124" s="7">
        <v>12.634</v>
      </c>
      <c r="AG124" s="7">
        <v>6690.5460000000003</v>
      </c>
      <c r="AH124" s="7">
        <v>2397.674</v>
      </c>
      <c r="AI124" s="7">
        <v>8.9999999999999993E-3</v>
      </c>
      <c r="AJ124" s="7">
        <v>56977.311999999998</v>
      </c>
      <c r="AK124" s="7">
        <v>0</v>
      </c>
      <c r="AL124" s="7">
        <v>0</v>
      </c>
      <c r="AM124" s="7">
        <v>0</v>
      </c>
      <c r="AN124" s="7">
        <v>0</v>
      </c>
      <c r="AO124" s="7">
        <v>164.81299999999999</v>
      </c>
      <c r="AP124" s="7">
        <v>0</v>
      </c>
      <c r="AQ124" s="7">
        <v>1.861</v>
      </c>
      <c r="AR124" s="7">
        <v>0</v>
      </c>
      <c r="AS124" s="7">
        <v>0.96299999999999997</v>
      </c>
      <c r="AT124" s="7">
        <v>0</v>
      </c>
      <c r="AU124" s="7">
        <v>47.372999999999998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58.779000000000003</v>
      </c>
      <c r="BC124" s="7">
        <v>0</v>
      </c>
      <c r="BD124" s="7">
        <v>0</v>
      </c>
      <c r="BE124" s="7">
        <v>13.585000000000001</v>
      </c>
      <c r="BF124" s="7">
        <v>13.585000000000001</v>
      </c>
      <c r="BG124" s="7">
        <v>0</v>
      </c>
      <c r="BH124" s="7">
        <v>38914.959999999999</v>
      </c>
      <c r="BI124" s="7">
        <v>0</v>
      </c>
      <c r="BJ124" s="21"/>
    </row>
    <row r="125" spans="1:62" ht="15.6" x14ac:dyDescent="0.3">
      <c r="A125" s="5" t="s">
        <v>234</v>
      </c>
      <c r="B125" s="5" t="s">
        <v>235</v>
      </c>
      <c r="C125" s="7">
        <v>4</v>
      </c>
      <c r="D125" s="7">
        <v>4</v>
      </c>
      <c r="E125" s="7">
        <v>0</v>
      </c>
      <c r="F125" s="7">
        <v>0</v>
      </c>
      <c r="G125" s="7">
        <v>0</v>
      </c>
      <c r="H125" s="7">
        <v>0</v>
      </c>
      <c r="I125" s="7">
        <v>0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21"/>
    </row>
    <row r="126" spans="1:62" ht="15.6" x14ac:dyDescent="0.3">
      <c r="A126" s="5" t="s">
        <v>228</v>
      </c>
      <c r="B126" s="5" t="s">
        <v>236</v>
      </c>
      <c r="C126" s="7">
        <v>4</v>
      </c>
      <c r="D126" s="7">
        <v>6</v>
      </c>
      <c r="E126" s="7">
        <v>0</v>
      </c>
      <c r="F126" s="7">
        <v>0</v>
      </c>
      <c r="G126" s="7">
        <v>0</v>
      </c>
      <c r="H126" s="7">
        <v>0</v>
      </c>
      <c r="I126" s="7">
        <v>0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21"/>
    </row>
    <row r="127" spans="1:62" ht="15.6" x14ac:dyDescent="0.3">
      <c r="A127" s="5" t="s">
        <v>237</v>
      </c>
      <c r="B127" s="5" t="s">
        <v>238</v>
      </c>
      <c r="C127" s="7">
        <v>4</v>
      </c>
      <c r="D127" s="7">
        <v>4</v>
      </c>
      <c r="E127" s="7">
        <v>28.614999999999998</v>
      </c>
      <c r="F127" s="7">
        <v>3.3380000000000001</v>
      </c>
      <c r="G127" s="7">
        <v>6.8120000000000003</v>
      </c>
      <c r="H127" s="7">
        <v>0</v>
      </c>
      <c r="I127" s="7">
        <v>0.67300000000000004</v>
      </c>
      <c r="J127" s="7">
        <v>4.4569999999999999</v>
      </c>
      <c r="K127" s="7">
        <v>0</v>
      </c>
      <c r="L127" s="7">
        <v>11.007999999999999</v>
      </c>
      <c r="M127" s="7">
        <v>16.829000000000001</v>
      </c>
      <c r="N127" s="7">
        <v>0</v>
      </c>
      <c r="O127" s="7">
        <v>0</v>
      </c>
      <c r="P127" s="7">
        <v>0</v>
      </c>
      <c r="Q127" s="7">
        <v>0</v>
      </c>
      <c r="R127" s="7">
        <v>102.017</v>
      </c>
      <c r="S127" s="7">
        <v>1.38</v>
      </c>
      <c r="T127" s="7">
        <v>0</v>
      </c>
      <c r="U127" s="7">
        <v>0</v>
      </c>
      <c r="V127" s="7">
        <v>0.76200000000000001</v>
      </c>
      <c r="W127" s="7">
        <v>1.4350000000000001</v>
      </c>
      <c r="X127" s="7">
        <v>0</v>
      </c>
      <c r="Y127" s="7">
        <v>4.3390000000000004</v>
      </c>
      <c r="Z127" s="7">
        <v>0</v>
      </c>
      <c r="AA127" s="7">
        <v>8.3699999999999992</v>
      </c>
      <c r="AB127" s="7">
        <v>0</v>
      </c>
      <c r="AC127" s="7">
        <v>0.58199999999999996</v>
      </c>
      <c r="AD127" s="7">
        <v>0</v>
      </c>
      <c r="AE127" s="7">
        <v>7.976</v>
      </c>
      <c r="AF127" s="7">
        <v>0</v>
      </c>
      <c r="AG127" s="7">
        <v>0</v>
      </c>
      <c r="AH127" s="7">
        <v>29.923999999999999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0.39600000000000002</v>
      </c>
      <c r="AP127" s="7">
        <v>0</v>
      </c>
      <c r="AQ127" s="7">
        <v>0</v>
      </c>
      <c r="AR127" s="7">
        <v>0</v>
      </c>
      <c r="AS127" s="7">
        <v>0.01</v>
      </c>
      <c r="AT127" s="7">
        <v>0</v>
      </c>
      <c r="AU127" s="7">
        <v>0.33500000000000002</v>
      </c>
      <c r="AV127" s="7">
        <v>0</v>
      </c>
      <c r="AW127" s="7">
        <v>0</v>
      </c>
      <c r="AX127" s="7">
        <v>0</v>
      </c>
      <c r="AY127" s="7">
        <v>0.316</v>
      </c>
      <c r="AZ127" s="7">
        <v>0</v>
      </c>
      <c r="BA127" s="7">
        <v>0</v>
      </c>
      <c r="BB127" s="7">
        <v>0.153</v>
      </c>
      <c r="BC127" s="7">
        <v>0.26400000000000001</v>
      </c>
      <c r="BD127" s="7">
        <v>0</v>
      </c>
      <c r="BE127" s="7">
        <v>3.6999999999999998E-2</v>
      </c>
      <c r="BF127" s="7">
        <v>3.6999999999999998E-2</v>
      </c>
      <c r="BG127" s="7">
        <v>0</v>
      </c>
      <c r="BH127" s="7">
        <v>0</v>
      </c>
      <c r="BI127" s="7">
        <v>0.113</v>
      </c>
      <c r="BJ127" s="21"/>
    </row>
    <row r="128" spans="1:62" ht="15.6" x14ac:dyDescent="0.3">
      <c r="A128" s="5" t="s">
        <v>239</v>
      </c>
      <c r="B128" s="5" t="s">
        <v>240</v>
      </c>
      <c r="C128" s="7">
        <v>4</v>
      </c>
      <c r="D128" s="7">
        <v>3</v>
      </c>
      <c r="E128" s="7">
        <v>2516.2640000000001</v>
      </c>
      <c r="F128" s="7">
        <v>1752.7080000000001</v>
      </c>
      <c r="G128" s="7">
        <v>123.702</v>
      </c>
      <c r="H128" s="7">
        <v>0.34599999999999997</v>
      </c>
      <c r="I128" s="7">
        <v>155.084</v>
      </c>
      <c r="J128" s="7">
        <v>1302.8589999999999</v>
      </c>
      <c r="K128" s="7">
        <v>0</v>
      </c>
      <c r="L128" s="7">
        <v>3756.8620000000001</v>
      </c>
      <c r="M128" s="7">
        <v>1439.655</v>
      </c>
      <c r="N128" s="7">
        <v>0</v>
      </c>
      <c r="O128" s="7">
        <v>0</v>
      </c>
      <c r="P128" s="7">
        <v>5.0000000000000001E-3</v>
      </c>
      <c r="Q128" s="7">
        <v>0</v>
      </c>
      <c r="R128" s="7">
        <v>9.8000000000000004E-2</v>
      </c>
      <c r="S128" s="7">
        <v>702.31500000000005</v>
      </c>
      <c r="T128" s="7">
        <v>0</v>
      </c>
      <c r="U128" s="7">
        <v>0</v>
      </c>
      <c r="V128" s="7">
        <v>228.36099999999999</v>
      </c>
      <c r="W128" s="7">
        <v>2.3180000000000001</v>
      </c>
      <c r="X128" s="7">
        <v>0</v>
      </c>
      <c r="Y128" s="7">
        <v>102.033</v>
      </c>
      <c r="Z128" s="7">
        <v>0</v>
      </c>
      <c r="AA128" s="7">
        <v>3789.0129999999999</v>
      </c>
      <c r="AB128" s="7">
        <v>0</v>
      </c>
      <c r="AC128" s="7">
        <v>291.863</v>
      </c>
      <c r="AD128" s="7">
        <v>0</v>
      </c>
      <c r="AE128" s="7">
        <v>13.786</v>
      </c>
      <c r="AF128" s="7">
        <v>32.125</v>
      </c>
      <c r="AG128" s="7">
        <v>0</v>
      </c>
      <c r="AH128" s="7">
        <v>6101.0140000000001</v>
      </c>
      <c r="AI128" s="7">
        <v>2.4E-2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419.089</v>
      </c>
      <c r="AP128" s="7">
        <v>0</v>
      </c>
      <c r="AQ128" s="7">
        <v>4.7320000000000002</v>
      </c>
      <c r="AR128" s="7">
        <v>0</v>
      </c>
      <c r="AS128" s="7">
        <v>2.4489999999999998</v>
      </c>
      <c r="AT128" s="7">
        <v>0</v>
      </c>
      <c r="AU128" s="7">
        <v>0.33100000000000002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149.465</v>
      </c>
      <c r="BC128" s="7">
        <v>0</v>
      </c>
      <c r="BD128" s="7">
        <v>0</v>
      </c>
      <c r="BE128" s="7">
        <v>34.545000000000002</v>
      </c>
      <c r="BF128" s="7">
        <v>34.545000000000002</v>
      </c>
      <c r="BG128" s="7">
        <v>0</v>
      </c>
      <c r="BH128" s="7">
        <v>0</v>
      </c>
      <c r="BI128" s="7">
        <v>0</v>
      </c>
      <c r="BJ128" s="21"/>
    </row>
    <row r="129" spans="1:62" ht="15.6" x14ac:dyDescent="0.3">
      <c r="A129" s="5" t="s">
        <v>241</v>
      </c>
      <c r="B129" s="5" t="s">
        <v>242</v>
      </c>
      <c r="C129" s="7">
        <v>2</v>
      </c>
      <c r="D129" s="7">
        <v>2</v>
      </c>
      <c r="E129" s="7">
        <v>56880.36</v>
      </c>
      <c r="F129" s="7">
        <v>12572.224</v>
      </c>
      <c r="G129" s="7">
        <v>12262.6</v>
      </c>
      <c r="H129" s="7">
        <v>0</v>
      </c>
      <c r="I129" s="7">
        <v>2461.4650000000001</v>
      </c>
      <c r="J129" s="7">
        <v>9659.7530000000006</v>
      </c>
      <c r="K129" s="7">
        <v>0</v>
      </c>
      <c r="L129" s="7">
        <v>50393.521000000001</v>
      </c>
      <c r="M129" s="7">
        <v>42301.353000000003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3613.473</v>
      </c>
      <c r="T129" s="7">
        <v>0</v>
      </c>
      <c r="U129" s="7">
        <v>0</v>
      </c>
      <c r="V129" s="7">
        <v>1502.297</v>
      </c>
      <c r="W129" s="7">
        <v>3520.13</v>
      </c>
      <c r="X129" s="7">
        <v>0</v>
      </c>
      <c r="Y129" s="7">
        <v>17929.845000000001</v>
      </c>
      <c r="Z129" s="7">
        <v>0</v>
      </c>
      <c r="AA129" s="7">
        <v>11528.787</v>
      </c>
      <c r="AB129" s="7">
        <v>0</v>
      </c>
      <c r="AC129" s="7">
        <v>1960.498</v>
      </c>
      <c r="AD129" s="7">
        <v>0</v>
      </c>
      <c r="AE129" s="7">
        <v>33708.83</v>
      </c>
      <c r="AF129" s="7">
        <v>0</v>
      </c>
      <c r="AG129" s="7">
        <v>0</v>
      </c>
      <c r="AH129" s="7">
        <v>145012.114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644.45699999999999</v>
      </c>
      <c r="AP129" s="7">
        <v>0</v>
      </c>
      <c r="AQ129" s="7">
        <v>0</v>
      </c>
      <c r="AR129" s="7">
        <v>0</v>
      </c>
      <c r="AS129" s="7">
        <v>4.6740000000000004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256.03500000000003</v>
      </c>
      <c r="BC129" s="7">
        <v>0</v>
      </c>
      <c r="BD129" s="7">
        <v>0</v>
      </c>
      <c r="BE129" s="7">
        <v>103.932</v>
      </c>
      <c r="BF129" s="7">
        <v>103.932</v>
      </c>
      <c r="BG129" s="7">
        <v>0</v>
      </c>
      <c r="BH129" s="7">
        <v>0</v>
      </c>
      <c r="BI129" s="7">
        <v>0</v>
      </c>
      <c r="BJ129" s="21"/>
    </row>
    <row r="130" spans="1:62" ht="15.6" x14ac:dyDescent="0.3">
      <c r="A130" s="5" t="s">
        <v>243</v>
      </c>
      <c r="B130" s="5" t="s">
        <v>244</v>
      </c>
      <c r="C130" s="7">
        <v>4</v>
      </c>
      <c r="D130" s="7">
        <v>4</v>
      </c>
      <c r="E130" s="7">
        <v>32708.901999999998</v>
      </c>
      <c r="F130" s="7">
        <v>7707.43</v>
      </c>
      <c r="G130" s="7">
        <v>0</v>
      </c>
      <c r="H130" s="7">
        <v>0</v>
      </c>
      <c r="I130" s="7">
        <v>185.709</v>
      </c>
      <c r="J130" s="7">
        <v>0</v>
      </c>
      <c r="K130" s="7">
        <v>0</v>
      </c>
      <c r="L130" s="7">
        <v>86961.164999999994</v>
      </c>
      <c r="M130" s="7">
        <v>3231.1219999999998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2391.8389999999999</v>
      </c>
      <c r="T130" s="7">
        <v>0</v>
      </c>
      <c r="U130" s="7">
        <v>0</v>
      </c>
      <c r="V130" s="7">
        <v>0</v>
      </c>
      <c r="W130" s="7">
        <v>719.61500000000001</v>
      </c>
      <c r="X130" s="7">
        <v>0</v>
      </c>
      <c r="Y130" s="7">
        <v>16768.440999999999</v>
      </c>
      <c r="Z130" s="7">
        <v>0</v>
      </c>
      <c r="AA130" s="7">
        <v>0</v>
      </c>
      <c r="AB130" s="7">
        <v>0</v>
      </c>
      <c r="AC130" s="7">
        <v>1418.2070000000001</v>
      </c>
      <c r="AD130" s="7">
        <v>0</v>
      </c>
      <c r="AE130" s="7">
        <v>41277.398999999998</v>
      </c>
      <c r="AF130" s="7">
        <v>22984.7</v>
      </c>
      <c r="AG130" s="7">
        <v>0</v>
      </c>
      <c r="AH130" s="7">
        <v>146286.99600000001</v>
      </c>
      <c r="AI130" s="7">
        <v>36679.019999999997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1116.595</v>
      </c>
      <c r="AP130" s="7">
        <v>0</v>
      </c>
      <c r="AQ130" s="7">
        <v>8115.2049999999999</v>
      </c>
      <c r="AR130" s="7">
        <v>0</v>
      </c>
      <c r="AS130" s="7">
        <v>25.324000000000002</v>
      </c>
      <c r="AT130" s="7">
        <v>0</v>
      </c>
      <c r="AU130" s="7">
        <v>167.661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411.09699999999998</v>
      </c>
      <c r="BC130" s="7">
        <v>0</v>
      </c>
      <c r="BD130" s="7">
        <v>0</v>
      </c>
      <c r="BE130" s="7">
        <v>104.4</v>
      </c>
      <c r="BF130" s="7">
        <v>104.4</v>
      </c>
      <c r="BG130" s="7">
        <v>0</v>
      </c>
      <c r="BH130" s="7">
        <v>0</v>
      </c>
      <c r="BI130" s="7">
        <v>0</v>
      </c>
      <c r="BJ130" s="21"/>
    </row>
    <row r="131" spans="1:62" ht="15.6" x14ac:dyDescent="0.3">
      <c r="A131" s="5" t="s">
        <v>245</v>
      </c>
      <c r="B131" s="5" t="s">
        <v>246</v>
      </c>
      <c r="C131" s="7">
        <v>4</v>
      </c>
      <c r="D131" s="7">
        <v>6</v>
      </c>
      <c r="E131" s="7">
        <v>1812.079</v>
      </c>
      <c r="F131" s="7">
        <v>612.94600000000003</v>
      </c>
      <c r="G131" s="7">
        <v>19.648</v>
      </c>
      <c r="H131" s="7">
        <v>5.5E-2</v>
      </c>
      <c r="I131" s="7">
        <v>32.860999999999997</v>
      </c>
      <c r="J131" s="7">
        <v>208.65700000000001</v>
      </c>
      <c r="K131" s="7">
        <v>0</v>
      </c>
      <c r="L131" s="7">
        <v>4348.38</v>
      </c>
      <c r="M131" s="7">
        <v>369.72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215.625</v>
      </c>
      <c r="T131" s="7">
        <v>0</v>
      </c>
      <c r="U131" s="7">
        <v>0</v>
      </c>
      <c r="V131" s="7">
        <v>36.606000000000002</v>
      </c>
      <c r="W131" s="7">
        <v>31.373000000000001</v>
      </c>
      <c r="X131" s="7">
        <v>0</v>
      </c>
      <c r="Y131" s="7">
        <v>738.72199999999998</v>
      </c>
      <c r="Z131" s="7">
        <v>0</v>
      </c>
      <c r="AA131" s="7">
        <v>607.37199999999996</v>
      </c>
      <c r="AB131" s="7">
        <v>0</v>
      </c>
      <c r="AC131" s="7">
        <v>107.884</v>
      </c>
      <c r="AD131" s="7">
        <v>0</v>
      </c>
      <c r="AE131" s="7">
        <v>1779.778</v>
      </c>
      <c r="AF131" s="7">
        <v>995.32600000000002</v>
      </c>
      <c r="AG131" s="7">
        <v>0</v>
      </c>
      <c r="AH131" s="7">
        <v>7279.3370000000004</v>
      </c>
      <c r="AI131" s="7">
        <v>1580.1310000000001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115.28400000000001</v>
      </c>
      <c r="AP131" s="7">
        <v>0</v>
      </c>
      <c r="AQ131" s="7">
        <v>350.358</v>
      </c>
      <c r="AR131" s="7">
        <v>0</v>
      </c>
      <c r="AS131" s="7">
        <v>1.484</v>
      </c>
      <c r="AT131" s="7">
        <v>0</v>
      </c>
      <c r="AU131" s="7">
        <v>7.3120000000000003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41.668999999999997</v>
      </c>
      <c r="BC131" s="7">
        <v>0</v>
      </c>
      <c r="BD131" s="7">
        <v>0</v>
      </c>
      <c r="BE131" s="7">
        <v>10.039</v>
      </c>
      <c r="BF131" s="7">
        <v>10.039</v>
      </c>
      <c r="BG131" s="7">
        <v>0</v>
      </c>
      <c r="BH131" s="7">
        <v>0</v>
      </c>
      <c r="BI131" s="7">
        <v>0</v>
      </c>
      <c r="BJ131" s="21"/>
    </row>
    <row r="132" spans="1:62" ht="15.6" x14ac:dyDescent="0.3">
      <c r="A132" s="5" t="s">
        <v>247</v>
      </c>
      <c r="B132" s="5" t="s">
        <v>248</v>
      </c>
      <c r="C132" s="7">
        <v>6</v>
      </c>
      <c r="D132" s="7">
        <v>6</v>
      </c>
      <c r="E132" s="7">
        <v>46808.92</v>
      </c>
      <c r="F132" s="7">
        <v>369.48399999999998</v>
      </c>
      <c r="G132" s="7">
        <v>0</v>
      </c>
      <c r="H132" s="7">
        <v>0</v>
      </c>
      <c r="I132" s="7">
        <v>0</v>
      </c>
      <c r="J132" s="7">
        <v>0</v>
      </c>
      <c r="K132" s="7">
        <v>0</v>
      </c>
      <c r="L132" s="7">
        <v>74853.487999999998</v>
      </c>
      <c r="M132" s="7">
        <v>11520.971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5373.5119999999997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26097.205999999998</v>
      </c>
      <c r="AF132" s="7">
        <v>63.234000000000002</v>
      </c>
      <c r="AG132" s="7">
        <v>0</v>
      </c>
      <c r="AH132" s="7">
        <v>118138.33199999999</v>
      </c>
      <c r="AI132" s="7">
        <v>40.351999999999997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21"/>
    </row>
    <row r="133" spans="1:62" ht="15.6" x14ac:dyDescent="0.3">
      <c r="A133" s="5" t="s">
        <v>249</v>
      </c>
      <c r="B133" s="5" t="s">
        <v>250</v>
      </c>
      <c r="C133" s="7">
        <v>6</v>
      </c>
      <c r="D133" s="7">
        <v>6</v>
      </c>
      <c r="E133" s="7">
        <v>64746.97</v>
      </c>
      <c r="F133" s="7">
        <v>5083.0249999999996</v>
      </c>
      <c r="G133" s="7">
        <v>7182.4470000000001</v>
      </c>
      <c r="H133" s="7">
        <v>0</v>
      </c>
      <c r="I133" s="7">
        <v>1254.5419999999999</v>
      </c>
      <c r="J133" s="7">
        <v>4395.4809999999998</v>
      </c>
      <c r="K133" s="7">
        <v>0</v>
      </c>
      <c r="L133" s="7">
        <v>61282.084000000003</v>
      </c>
      <c r="M133" s="7">
        <v>20278.377</v>
      </c>
      <c r="N133" s="7">
        <v>0</v>
      </c>
      <c r="O133" s="7">
        <v>0</v>
      </c>
      <c r="P133" s="7">
        <v>231.49700000000001</v>
      </c>
      <c r="Q133" s="7">
        <v>0</v>
      </c>
      <c r="R133" s="7">
        <v>0.30299999999999999</v>
      </c>
      <c r="S133" s="7">
        <v>0</v>
      </c>
      <c r="T133" s="7">
        <v>0</v>
      </c>
      <c r="U133" s="7">
        <v>0</v>
      </c>
      <c r="V133" s="7">
        <v>661.80700000000002</v>
      </c>
      <c r="W133" s="7">
        <v>2014.104</v>
      </c>
      <c r="X133" s="7">
        <v>0</v>
      </c>
      <c r="Y133" s="7">
        <v>15943.013000000001</v>
      </c>
      <c r="Z133" s="7">
        <v>0</v>
      </c>
      <c r="AA133" s="7">
        <v>5648.2709999999997</v>
      </c>
      <c r="AB133" s="7">
        <v>0</v>
      </c>
      <c r="AC133" s="7">
        <v>861.30700000000002</v>
      </c>
      <c r="AD133" s="7">
        <v>0</v>
      </c>
      <c r="AE133" s="7">
        <v>52208.896000000001</v>
      </c>
      <c r="AF133" s="7">
        <v>0</v>
      </c>
      <c r="AG133" s="7">
        <v>0</v>
      </c>
      <c r="AH133" s="7">
        <v>126987.42600000001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21"/>
    </row>
    <row r="134" spans="1:62" ht="15.6" x14ac:dyDescent="0.3">
      <c r="A134" s="5" t="s">
        <v>251</v>
      </c>
      <c r="B134" s="5" t="s">
        <v>252</v>
      </c>
      <c r="C134" s="7">
        <v>6</v>
      </c>
      <c r="D134" s="7">
        <v>6</v>
      </c>
      <c r="E134" s="7">
        <v>12753.143</v>
      </c>
      <c r="F134" s="7">
        <v>0</v>
      </c>
      <c r="G134" s="7">
        <v>0</v>
      </c>
      <c r="H134" s="7">
        <v>0</v>
      </c>
      <c r="I134" s="7">
        <v>0</v>
      </c>
      <c r="J134" s="7">
        <v>0</v>
      </c>
      <c r="K134" s="7">
        <v>0</v>
      </c>
      <c r="L134" s="7">
        <v>62826.089</v>
      </c>
      <c r="M134" s="7">
        <v>1978.934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229.422</v>
      </c>
      <c r="AB134" s="7">
        <v>0</v>
      </c>
      <c r="AC134" s="7">
        <v>0</v>
      </c>
      <c r="AD134" s="7">
        <v>0</v>
      </c>
      <c r="AE134" s="7">
        <v>13352.143</v>
      </c>
      <c r="AF134" s="7">
        <v>0</v>
      </c>
      <c r="AG134" s="7">
        <v>0</v>
      </c>
      <c r="AH134" s="7">
        <v>84079.546000000002</v>
      </c>
      <c r="AI134" s="7">
        <v>15119.607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21"/>
    </row>
    <row r="135" spans="1:62" ht="15.6" x14ac:dyDescent="0.3">
      <c r="A135" s="5" t="s">
        <v>253</v>
      </c>
      <c r="B135" s="5" t="s">
        <v>254</v>
      </c>
      <c r="C135" s="7">
        <v>6</v>
      </c>
      <c r="D135" s="7">
        <v>6</v>
      </c>
      <c r="E135" s="7">
        <v>201328.71799999999</v>
      </c>
      <c r="F135" s="7">
        <v>12157.075000000001</v>
      </c>
      <c r="G135" s="7">
        <v>8587.7189999999991</v>
      </c>
      <c r="H135" s="7">
        <v>4587.1120000000001</v>
      </c>
      <c r="I135" s="7">
        <v>1295.0050000000001</v>
      </c>
      <c r="J135" s="7">
        <v>5917.0020000000004</v>
      </c>
      <c r="K135" s="7">
        <v>0</v>
      </c>
      <c r="L135" s="7">
        <v>287735.984</v>
      </c>
      <c r="M135" s="7">
        <v>60387.82</v>
      </c>
      <c r="N135" s="7">
        <v>0</v>
      </c>
      <c r="O135" s="7">
        <v>0</v>
      </c>
      <c r="P135" s="7">
        <v>202.27699999999999</v>
      </c>
      <c r="Q135" s="7">
        <v>0</v>
      </c>
      <c r="R135" s="7">
        <v>99.869</v>
      </c>
      <c r="S135" s="7">
        <v>3198.9749999999999</v>
      </c>
      <c r="T135" s="7">
        <v>0</v>
      </c>
      <c r="U135" s="7">
        <v>0</v>
      </c>
      <c r="V135" s="7">
        <v>1026.0740000000001</v>
      </c>
      <c r="W135" s="7">
        <v>3068.069</v>
      </c>
      <c r="X135" s="7">
        <v>0</v>
      </c>
      <c r="Y135" s="7">
        <v>33892.917000000001</v>
      </c>
      <c r="Z135" s="7">
        <v>0</v>
      </c>
      <c r="AA135" s="7">
        <v>9494.4500000000007</v>
      </c>
      <c r="AB135" s="7">
        <v>0</v>
      </c>
      <c r="AC135" s="7">
        <v>1558.932</v>
      </c>
      <c r="AD135" s="7">
        <v>0</v>
      </c>
      <c r="AE135" s="7">
        <v>117951.057</v>
      </c>
      <c r="AF135" s="7">
        <v>851.18</v>
      </c>
      <c r="AG135" s="7">
        <v>0</v>
      </c>
      <c r="AH135" s="7">
        <v>468740.56300000002</v>
      </c>
      <c r="AI135" s="7">
        <v>1773.482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85.906999999999996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21"/>
    </row>
    <row r="136" spans="1:62" ht="15.6" x14ac:dyDescent="0.3">
      <c r="A136" s="5" t="s">
        <v>255</v>
      </c>
      <c r="B136" s="5" t="s">
        <v>256</v>
      </c>
      <c r="C136" s="7">
        <v>6</v>
      </c>
      <c r="D136" s="7">
        <v>6</v>
      </c>
      <c r="E136" s="7">
        <v>7424.2569999999996</v>
      </c>
      <c r="F136" s="7">
        <v>31.821000000000002</v>
      </c>
      <c r="G136" s="7">
        <v>0</v>
      </c>
      <c r="H136" s="7">
        <v>0</v>
      </c>
      <c r="I136" s="7">
        <v>0</v>
      </c>
      <c r="J136" s="7">
        <v>0</v>
      </c>
      <c r="K136" s="7">
        <v>0</v>
      </c>
      <c r="L136" s="7">
        <v>8389.1180000000004</v>
      </c>
      <c r="M136" s="7">
        <v>714.35500000000002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708.02800000000002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3504.915</v>
      </c>
      <c r="AF136" s="7">
        <v>393.19200000000001</v>
      </c>
      <c r="AG136" s="7">
        <v>0</v>
      </c>
      <c r="AH136" s="7">
        <v>14758.394</v>
      </c>
      <c r="AI136" s="7">
        <v>1298.0519999999999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21"/>
    </row>
    <row r="137" spans="1:62" ht="15.6" x14ac:dyDescent="0.3">
      <c r="A137" s="5" t="s">
        <v>257</v>
      </c>
      <c r="B137" s="5" t="s">
        <v>258</v>
      </c>
      <c r="C137" s="7">
        <v>6</v>
      </c>
      <c r="D137" s="7">
        <v>6</v>
      </c>
      <c r="E137" s="7">
        <v>93367.657000000007</v>
      </c>
      <c r="F137" s="7">
        <v>2703.8420000000001</v>
      </c>
      <c r="G137" s="7">
        <v>1074.1759999999999</v>
      </c>
      <c r="H137" s="7">
        <v>0</v>
      </c>
      <c r="I137" s="7">
        <v>168.17699999999999</v>
      </c>
      <c r="J137" s="7">
        <v>688.36300000000006</v>
      </c>
      <c r="K137" s="7">
        <v>0</v>
      </c>
      <c r="L137" s="7">
        <v>97565</v>
      </c>
      <c r="M137" s="7">
        <v>28082.835999999999</v>
      </c>
      <c r="N137" s="7">
        <v>0</v>
      </c>
      <c r="O137" s="7">
        <v>0</v>
      </c>
      <c r="P137" s="7">
        <v>28.472000000000001</v>
      </c>
      <c r="Q137" s="7">
        <v>0</v>
      </c>
      <c r="R137" s="7">
        <v>1.8879999999999999</v>
      </c>
      <c r="S137" s="7">
        <v>0</v>
      </c>
      <c r="T137" s="7">
        <v>0</v>
      </c>
      <c r="U137" s="7">
        <v>0</v>
      </c>
      <c r="V137" s="7">
        <v>145.35</v>
      </c>
      <c r="W137" s="7">
        <v>434.54899999999998</v>
      </c>
      <c r="X137" s="7">
        <v>0</v>
      </c>
      <c r="Y137" s="7">
        <v>14548.14</v>
      </c>
      <c r="Z137" s="7">
        <v>0</v>
      </c>
      <c r="AA137" s="7">
        <v>2272.3449999999998</v>
      </c>
      <c r="AB137" s="7">
        <v>0</v>
      </c>
      <c r="AC137" s="7">
        <v>221.09299999999999</v>
      </c>
      <c r="AD137" s="7">
        <v>0</v>
      </c>
      <c r="AE137" s="7">
        <v>48689.122000000003</v>
      </c>
      <c r="AF137" s="7">
        <v>1550.8320000000001</v>
      </c>
      <c r="AG137" s="7">
        <v>0</v>
      </c>
      <c r="AH137" s="7">
        <v>201176.37299999999</v>
      </c>
      <c r="AI137" s="7">
        <v>2048.87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21"/>
    </row>
    <row r="138" spans="1:62" ht="15.6" x14ac:dyDescent="0.3">
      <c r="A138" s="5" t="s">
        <v>259</v>
      </c>
      <c r="B138" s="5" t="s">
        <v>260</v>
      </c>
      <c r="C138" s="7">
        <v>6</v>
      </c>
      <c r="D138" s="7">
        <v>6</v>
      </c>
      <c r="E138" s="7">
        <v>26130.050999999999</v>
      </c>
      <c r="F138" s="7">
        <v>0</v>
      </c>
      <c r="G138" s="7">
        <v>0</v>
      </c>
      <c r="H138" s="7">
        <v>0</v>
      </c>
      <c r="I138" s="7">
        <v>0</v>
      </c>
      <c r="J138" s="7">
        <v>0</v>
      </c>
      <c r="K138" s="7">
        <v>0</v>
      </c>
      <c r="L138" s="7">
        <v>50894.428999999996</v>
      </c>
      <c r="M138" s="7">
        <v>4365.1040000000003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9356.4860000000008</v>
      </c>
      <c r="AF138" s="7">
        <v>0</v>
      </c>
      <c r="AG138" s="7">
        <v>0</v>
      </c>
      <c r="AH138" s="7">
        <v>93246.016000000003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21"/>
    </row>
    <row r="139" spans="1:62" ht="15.6" x14ac:dyDescent="0.3">
      <c r="A139" s="5" t="s">
        <v>261</v>
      </c>
      <c r="B139" s="5" t="s">
        <v>262</v>
      </c>
      <c r="C139" s="7">
        <v>6</v>
      </c>
      <c r="D139" s="7">
        <v>6</v>
      </c>
      <c r="E139" s="7">
        <v>1066064.4040000001</v>
      </c>
      <c r="F139" s="7">
        <v>20205.669000000002</v>
      </c>
      <c r="G139" s="7">
        <v>24270.518</v>
      </c>
      <c r="H139" s="7">
        <v>2039.836</v>
      </c>
      <c r="I139" s="7">
        <v>4590.2039999999997</v>
      </c>
      <c r="J139" s="7">
        <v>14266.942999999999</v>
      </c>
      <c r="K139" s="7">
        <v>0</v>
      </c>
      <c r="L139" s="7">
        <v>1038471.282</v>
      </c>
      <c r="M139" s="7">
        <v>315152.56099999999</v>
      </c>
      <c r="N139" s="7">
        <v>0</v>
      </c>
      <c r="O139" s="7">
        <v>0</v>
      </c>
      <c r="P139" s="7">
        <v>780.09500000000003</v>
      </c>
      <c r="Q139" s="7">
        <v>0</v>
      </c>
      <c r="R139" s="7">
        <v>3.145</v>
      </c>
      <c r="S139" s="7">
        <v>0</v>
      </c>
      <c r="T139" s="7">
        <v>0</v>
      </c>
      <c r="U139" s="7">
        <v>0</v>
      </c>
      <c r="V139" s="7">
        <v>1742.576</v>
      </c>
      <c r="W139" s="7">
        <v>5393.0829999999996</v>
      </c>
      <c r="X139" s="7">
        <v>0</v>
      </c>
      <c r="Y139" s="7">
        <v>163363.49</v>
      </c>
      <c r="Z139" s="7">
        <v>0</v>
      </c>
      <c r="AA139" s="7">
        <v>39093.313999999998</v>
      </c>
      <c r="AB139" s="7">
        <v>0</v>
      </c>
      <c r="AC139" s="7">
        <v>2308.9989999999998</v>
      </c>
      <c r="AD139" s="7">
        <v>0</v>
      </c>
      <c r="AE139" s="7">
        <v>609766.33900000004</v>
      </c>
      <c r="AF139" s="7">
        <v>13528.594999999999</v>
      </c>
      <c r="AG139" s="7">
        <v>0</v>
      </c>
      <c r="AH139" s="7">
        <v>2291611.2910000002</v>
      </c>
      <c r="AI139" s="7">
        <v>42492.078000000001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113.29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21"/>
    </row>
    <row r="140" spans="1:62" ht="15.6" x14ac:dyDescent="0.3">
      <c r="A140" s="5" t="s">
        <v>263</v>
      </c>
      <c r="B140" s="5" t="s">
        <v>264</v>
      </c>
      <c r="C140" s="7">
        <v>4</v>
      </c>
      <c r="D140" s="7">
        <v>4</v>
      </c>
      <c r="E140" s="7">
        <v>656.81600000000003</v>
      </c>
      <c r="F140" s="7">
        <v>111.453</v>
      </c>
      <c r="G140" s="7">
        <v>69.53</v>
      </c>
      <c r="H140" s="7">
        <v>0</v>
      </c>
      <c r="I140" s="7">
        <v>10.294</v>
      </c>
      <c r="J140" s="7">
        <v>39.615000000000002</v>
      </c>
      <c r="K140" s="7">
        <v>0</v>
      </c>
      <c r="L140" s="7">
        <v>917.46400000000006</v>
      </c>
      <c r="M140" s="7">
        <v>235.166</v>
      </c>
      <c r="N140" s="7">
        <v>0</v>
      </c>
      <c r="O140" s="7">
        <v>0</v>
      </c>
      <c r="P140" s="7">
        <v>1.7999999999999999E-2</v>
      </c>
      <c r="Q140" s="7">
        <v>0</v>
      </c>
      <c r="R140" s="7">
        <v>0</v>
      </c>
      <c r="S140" s="7">
        <v>40.878999999999998</v>
      </c>
      <c r="T140" s="7">
        <v>0</v>
      </c>
      <c r="U140" s="7">
        <v>0</v>
      </c>
      <c r="V140" s="7">
        <v>9.1110000000000007</v>
      </c>
      <c r="W140" s="7">
        <v>20.693999999999999</v>
      </c>
      <c r="X140" s="7">
        <v>0</v>
      </c>
      <c r="Y140" s="7">
        <v>197.1</v>
      </c>
      <c r="Z140" s="7">
        <v>0</v>
      </c>
      <c r="AA140" s="7">
        <v>95.28</v>
      </c>
      <c r="AB140" s="7">
        <v>0</v>
      </c>
      <c r="AC140" s="7">
        <v>20.192</v>
      </c>
      <c r="AD140" s="7">
        <v>0</v>
      </c>
      <c r="AE140" s="7">
        <v>406.29399999999998</v>
      </c>
      <c r="AF140" s="7">
        <v>193.077</v>
      </c>
      <c r="AG140" s="7">
        <v>0</v>
      </c>
      <c r="AH140" s="7">
        <v>1669.153</v>
      </c>
      <c r="AI140" s="7">
        <v>352.839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13.302</v>
      </c>
      <c r="AP140" s="7">
        <v>0</v>
      </c>
      <c r="AQ140" s="7">
        <v>68.091999999999999</v>
      </c>
      <c r="AR140" s="7">
        <v>0</v>
      </c>
      <c r="AS140" s="7">
        <v>0.378</v>
      </c>
      <c r="AT140" s="7">
        <v>0</v>
      </c>
      <c r="AU140" s="7">
        <v>6.34</v>
      </c>
      <c r="AV140" s="7">
        <v>0</v>
      </c>
      <c r="AW140" s="7">
        <v>0</v>
      </c>
      <c r="AX140" s="7">
        <v>0</v>
      </c>
      <c r="AY140" s="7">
        <v>7.0540000000000003</v>
      </c>
      <c r="AZ140" s="7">
        <v>57.201999999999998</v>
      </c>
      <c r="BA140" s="7">
        <v>0</v>
      </c>
      <c r="BB140" s="7">
        <v>5.0819999999999999</v>
      </c>
      <c r="BC140" s="7">
        <v>3.0409999999999999</v>
      </c>
      <c r="BD140" s="7">
        <v>68.241</v>
      </c>
      <c r="BE140" s="7">
        <v>1.1759999999999999</v>
      </c>
      <c r="BF140" s="7">
        <v>1.1759999999999999</v>
      </c>
      <c r="BG140" s="7">
        <v>21.594999999999999</v>
      </c>
      <c r="BH140" s="7">
        <v>0</v>
      </c>
      <c r="BI140" s="7">
        <v>1.3049999999999999</v>
      </c>
      <c r="BJ140" s="21"/>
    </row>
    <row r="141" spans="1:62" ht="15.6" x14ac:dyDescent="0.3">
      <c r="A141" s="5" t="s">
        <v>265</v>
      </c>
      <c r="B141" s="5" t="s">
        <v>266</v>
      </c>
      <c r="C141" s="7">
        <v>6</v>
      </c>
      <c r="D141" s="7">
        <v>6</v>
      </c>
      <c r="E141" s="7">
        <v>2702.3440000000001</v>
      </c>
      <c r="F141" s="7">
        <v>39.863</v>
      </c>
      <c r="G141" s="7">
        <v>0</v>
      </c>
      <c r="H141" s="7">
        <v>1.0999999999999999E-2</v>
      </c>
      <c r="I141" s="7">
        <v>1.526</v>
      </c>
      <c r="J141" s="7">
        <v>0</v>
      </c>
      <c r="K141" s="7">
        <v>0</v>
      </c>
      <c r="L141" s="7">
        <v>4474.817</v>
      </c>
      <c r="M141" s="7">
        <v>1003.244</v>
      </c>
      <c r="N141" s="7">
        <v>0</v>
      </c>
      <c r="O141" s="7">
        <v>0</v>
      </c>
      <c r="P141" s="7">
        <v>7.0000000000000001E-3</v>
      </c>
      <c r="Q141" s="7">
        <v>0</v>
      </c>
      <c r="R141" s="7">
        <v>0</v>
      </c>
      <c r="S141" s="7">
        <v>12.818</v>
      </c>
      <c r="T141" s="7">
        <v>0</v>
      </c>
      <c r="U141" s="7">
        <v>0</v>
      </c>
      <c r="V141" s="7">
        <v>0</v>
      </c>
      <c r="W141" s="7">
        <v>4.41</v>
      </c>
      <c r="X141" s="7">
        <v>0</v>
      </c>
      <c r="Y141" s="7">
        <v>559.58799999999997</v>
      </c>
      <c r="Z141" s="7">
        <v>0</v>
      </c>
      <c r="AA141" s="7">
        <v>0</v>
      </c>
      <c r="AB141" s="7">
        <v>0</v>
      </c>
      <c r="AC141" s="7">
        <v>7.7389999999999999</v>
      </c>
      <c r="AD141" s="7">
        <v>0</v>
      </c>
      <c r="AE141" s="7">
        <v>2359.3580000000002</v>
      </c>
      <c r="AF141" s="7">
        <v>114.627</v>
      </c>
      <c r="AG141" s="7">
        <v>0</v>
      </c>
      <c r="AH141" s="7">
        <v>9712.6959999999999</v>
      </c>
      <c r="AI141" s="7">
        <v>209.09200000000001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5.1189999999999998</v>
      </c>
      <c r="AP141" s="7">
        <v>0</v>
      </c>
      <c r="AQ141" s="7">
        <v>40.503999999999998</v>
      </c>
      <c r="AR141" s="7">
        <v>0</v>
      </c>
      <c r="AS141" s="7">
        <v>0.124</v>
      </c>
      <c r="AT141" s="7">
        <v>0</v>
      </c>
      <c r="AU141" s="7">
        <v>0.86699999999999999</v>
      </c>
      <c r="AV141" s="7">
        <v>0</v>
      </c>
      <c r="AW141" s="7">
        <v>0</v>
      </c>
      <c r="AX141" s="7">
        <v>0</v>
      </c>
      <c r="AY141" s="7">
        <v>2.0230000000000001</v>
      </c>
      <c r="AZ141" s="7">
        <v>34.026000000000003</v>
      </c>
      <c r="BA141" s="7">
        <v>0</v>
      </c>
      <c r="BB141" s="7">
        <v>1.9670000000000001</v>
      </c>
      <c r="BC141" s="7">
        <v>0</v>
      </c>
      <c r="BD141" s="7">
        <v>40.593000000000004</v>
      </c>
      <c r="BE141" s="7">
        <v>0.45200000000000001</v>
      </c>
      <c r="BF141" s="7">
        <v>0.45200000000000001</v>
      </c>
      <c r="BG141" s="7">
        <v>12.846</v>
      </c>
      <c r="BH141" s="7">
        <v>0</v>
      </c>
      <c r="BI141" s="7">
        <v>0</v>
      </c>
      <c r="BJ141" s="21"/>
    </row>
    <row r="142" spans="1:62" ht="15.6" x14ac:dyDescent="0.3">
      <c r="A142" s="5" t="s">
        <v>267</v>
      </c>
      <c r="B142" s="5" t="s">
        <v>268</v>
      </c>
      <c r="C142" s="7">
        <v>4</v>
      </c>
      <c r="D142" s="7">
        <v>4</v>
      </c>
      <c r="E142" s="7">
        <v>6.1079999999999997</v>
      </c>
      <c r="F142" s="7">
        <v>1.4179999999999999</v>
      </c>
      <c r="G142" s="7">
        <v>0</v>
      </c>
      <c r="H142" s="7">
        <v>0</v>
      </c>
      <c r="I142" s="7">
        <v>3.5999999999999997E-2</v>
      </c>
      <c r="J142" s="7">
        <v>0</v>
      </c>
      <c r="K142" s="7">
        <v>0</v>
      </c>
      <c r="L142" s="7">
        <v>16.056999999999999</v>
      </c>
      <c r="M142" s="7">
        <v>0.64400000000000002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0.441</v>
      </c>
      <c r="T142" s="7">
        <v>0</v>
      </c>
      <c r="U142" s="7">
        <v>0</v>
      </c>
      <c r="V142" s="7">
        <v>0</v>
      </c>
      <c r="W142" s="7">
        <v>0.13400000000000001</v>
      </c>
      <c r="X142" s="7">
        <v>0</v>
      </c>
      <c r="Y142" s="7">
        <v>3.089</v>
      </c>
      <c r="Z142" s="7">
        <v>0</v>
      </c>
      <c r="AA142" s="7">
        <v>0</v>
      </c>
      <c r="AB142" s="7">
        <v>0</v>
      </c>
      <c r="AC142" s="7">
        <v>0.26200000000000001</v>
      </c>
      <c r="AD142" s="7">
        <v>0</v>
      </c>
      <c r="AE142" s="7">
        <v>7.5869999999999997</v>
      </c>
      <c r="AF142" s="7">
        <v>4.2160000000000002</v>
      </c>
      <c r="AG142" s="7">
        <v>0</v>
      </c>
      <c r="AH142" s="7">
        <v>27.08</v>
      </c>
      <c r="AI142" s="7">
        <v>6.8049999999999997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0.20300000000000001</v>
      </c>
      <c r="AP142" s="7">
        <v>0</v>
      </c>
      <c r="AQ142" s="7">
        <v>1.4890000000000001</v>
      </c>
      <c r="AR142" s="7">
        <v>0</v>
      </c>
      <c r="AS142" s="7">
        <v>5.0000000000000001E-3</v>
      </c>
      <c r="AT142" s="7">
        <v>0</v>
      </c>
      <c r="AU142" s="7">
        <v>3.1E-2</v>
      </c>
      <c r="AV142" s="7">
        <v>0</v>
      </c>
      <c r="AW142" s="7">
        <v>0</v>
      </c>
      <c r="AX142" s="7">
        <v>0</v>
      </c>
      <c r="AY142" s="7">
        <v>6.0000000000000001E-3</v>
      </c>
      <c r="AZ142" s="7">
        <v>0.10100000000000001</v>
      </c>
      <c r="BA142" s="7">
        <v>0</v>
      </c>
      <c r="BB142" s="7">
        <v>7.4999999999999997E-2</v>
      </c>
      <c r="BC142" s="7">
        <v>0</v>
      </c>
      <c r="BD142" s="7">
        <v>0.12</v>
      </c>
      <c r="BE142" s="7">
        <v>1.9E-2</v>
      </c>
      <c r="BF142" s="7">
        <v>1.9E-2</v>
      </c>
      <c r="BG142" s="7">
        <v>3.7999999999999999E-2</v>
      </c>
      <c r="BH142" s="7">
        <v>0</v>
      </c>
      <c r="BI142" s="7">
        <v>0</v>
      </c>
      <c r="BJ142" s="21"/>
    </row>
    <row r="143" spans="1:62" ht="15.6" x14ac:dyDescent="0.3">
      <c r="A143" s="5" t="s">
        <v>269</v>
      </c>
      <c r="B143" s="5" t="s">
        <v>270</v>
      </c>
      <c r="C143" s="7">
        <v>6</v>
      </c>
      <c r="D143" s="7">
        <v>6</v>
      </c>
      <c r="E143" s="7">
        <v>1880.088</v>
      </c>
      <c r="F143" s="7">
        <v>13.814</v>
      </c>
      <c r="G143" s="7">
        <v>19.564</v>
      </c>
      <c r="H143" s="7">
        <v>0</v>
      </c>
      <c r="I143" s="7">
        <v>3.4260000000000002</v>
      </c>
      <c r="J143" s="7">
        <v>11.959</v>
      </c>
      <c r="K143" s="7">
        <v>0</v>
      </c>
      <c r="L143" s="7">
        <v>2836.6880000000001</v>
      </c>
      <c r="M143" s="7">
        <v>622.923</v>
      </c>
      <c r="N143" s="7">
        <v>0</v>
      </c>
      <c r="O143" s="7">
        <v>0</v>
      </c>
      <c r="P143" s="7">
        <v>0.63300000000000001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1.782</v>
      </c>
      <c r="W143" s="7">
        <v>5.4260000000000002</v>
      </c>
      <c r="X143" s="7">
        <v>0</v>
      </c>
      <c r="Y143" s="7">
        <v>563.84299999999996</v>
      </c>
      <c r="Z143" s="7">
        <v>0</v>
      </c>
      <c r="AA143" s="7">
        <v>15.161</v>
      </c>
      <c r="AB143" s="7">
        <v>0</v>
      </c>
      <c r="AC143" s="7">
        <v>2.3050000000000002</v>
      </c>
      <c r="AD143" s="7">
        <v>0</v>
      </c>
      <c r="AE143" s="7">
        <v>2206.58</v>
      </c>
      <c r="AF143" s="7">
        <v>0</v>
      </c>
      <c r="AG143" s="7">
        <v>0</v>
      </c>
      <c r="AH143" s="7">
        <v>5980.8220000000001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21"/>
    </row>
    <row r="144" spans="1:62" ht="15.6" x14ac:dyDescent="0.3">
      <c r="A144" s="5" t="s">
        <v>271</v>
      </c>
      <c r="B144" s="5" t="s">
        <v>272</v>
      </c>
      <c r="C144" s="7">
        <v>4</v>
      </c>
      <c r="D144" s="7">
        <v>4</v>
      </c>
      <c r="E144" s="7">
        <v>0</v>
      </c>
      <c r="F144" s="7">
        <v>0</v>
      </c>
      <c r="G144" s="7">
        <v>0</v>
      </c>
      <c r="H144" s="7">
        <v>0</v>
      </c>
      <c r="I144" s="7">
        <v>0</v>
      </c>
      <c r="J144" s="7">
        <v>0</v>
      </c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21"/>
    </row>
    <row r="145" spans="1:62" ht="15.6" x14ac:dyDescent="0.3">
      <c r="A145" s="5" t="s">
        <v>273</v>
      </c>
      <c r="B145" s="5" t="s">
        <v>274</v>
      </c>
      <c r="C145" s="7">
        <v>6</v>
      </c>
      <c r="D145" s="7">
        <v>6</v>
      </c>
      <c r="E145" s="7">
        <v>999.96199999999999</v>
      </c>
      <c r="F145" s="7">
        <v>153.56</v>
      </c>
      <c r="G145" s="7">
        <v>0</v>
      </c>
      <c r="H145" s="7">
        <v>0</v>
      </c>
      <c r="I145" s="7">
        <v>5.8769999999999998</v>
      </c>
      <c r="J145" s="7">
        <v>0</v>
      </c>
      <c r="K145" s="7">
        <v>0</v>
      </c>
      <c r="L145" s="7">
        <v>2064.5830000000001</v>
      </c>
      <c r="M145" s="7">
        <v>128.381</v>
      </c>
      <c r="N145" s="7">
        <v>0</v>
      </c>
      <c r="O145" s="7">
        <v>11.186</v>
      </c>
      <c r="P145" s="7">
        <v>2.8000000000000001E-2</v>
      </c>
      <c r="Q145" s="7">
        <v>12.651</v>
      </c>
      <c r="R145" s="7">
        <v>0</v>
      </c>
      <c r="S145" s="7">
        <v>49.378</v>
      </c>
      <c r="T145" s="7">
        <v>0</v>
      </c>
      <c r="U145" s="7">
        <v>0</v>
      </c>
      <c r="V145" s="7">
        <v>0</v>
      </c>
      <c r="W145" s="7">
        <v>16.986999999999998</v>
      </c>
      <c r="X145" s="7">
        <v>0</v>
      </c>
      <c r="Y145" s="7">
        <v>338.91</v>
      </c>
      <c r="Z145" s="7">
        <v>0</v>
      </c>
      <c r="AA145" s="7">
        <v>0</v>
      </c>
      <c r="AB145" s="7">
        <v>645.14700000000005</v>
      </c>
      <c r="AC145" s="7">
        <v>29.812999999999999</v>
      </c>
      <c r="AD145" s="7">
        <v>0</v>
      </c>
      <c r="AE145" s="7">
        <v>1314.1579999999999</v>
      </c>
      <c r="AF145" s="7">
        <v>441.541</v>
      </c>
      <c r="AG145" s="7">
        <v>0</v>
      </c>
      <c r="AH145" s="7">
        <v>3132.337</v>
      </c>
      <c r="AI145" s="7">
        <v>805.43100000000004</v>
      </c>
      <c r="AJ145" s="7">
        <v>0</v>
      </c>
      <c r="AK145" s="7">
        <v>0</v>
      </c>
      <c r="AL145" s="7">
        <v>0</v>
      </c>
      <c r="AM145" s="7">
        <v>0</v>
      </c>
      <c r="AN145" s="7">
        <v>0</v>
      </c>
      <c r="AO145" s="7">
        <v>19.719000000000001</v>
      </c>
      <c r="AP145" s="7">
        <v>0</v>
      </c>
      <c r="AQ145" s="7">
        <v>156.03100000000001</v>
      </c>
      <c r="AR145" s="7">
        <v>0</v>
      </c>
      <c r="AS145" s="7">
        <v>0.47599999999999998</v>
      </c>
      <c r="AT145" s="7">
        <v>0</v>
      </c>
      <c r="AU145" s="7">
        <v>3.34</v>
      </c>
      <c r="AV145" s="7">
        <v>0</v>
      </c>
      <c r="AW145" s="7">
        <v>0</v>
      </c>
      <c r="AX145" s="7">
        <v>0</v>
      </c>
      <c r="AY145" s="7">
        <v>7.7919999999999998</v>
      </c>
      <c r="AZ145" s="7">
        <v>131.077</v>
      </c>
      <c r="BA145" s="7">
        <v>0</v>
      </c>
      <c r="BB145" s="7">
        <v>7.5780000000000003</v>
      </c>
      <c r="BC145" s="7">
        <v>0</v>
      </c>
      <c r="BD145" s="7">
        <v>156.374</v>
      </c>
      <c r="BE145" s="7">
        <v>1.7410000000000001</v>
      </c>
      <c r="BF145" s="7">
        <v>1.7410000000000001</v>
      </c>
      <c r="BG145" s="7">
        <v>49.484000000000002</v>
      </c>
      <c r="BH145" s="7">
        <v>0</v>
      </c>
      <c r="BI145" s="7">
        <v>0</v>
      </c>
      <c r="BJ145" s="21"/>
    </row>
    <row r="146" spans="1:62" ht="15.6" x14ac:dyDescent="0.3">
      <c r="A146" s="5" t="s">
        <v>275</v>
      </c>
      <c r="B146" s="5" t="s">
        <v>276</v>
      </c>
      <c r="C146" s="7">
        <v>6</v>
      </c>
      <c r="D146" s="7">
        <v>6</v>
      </c>
      <c r="E146" s="7">
        <v>16918.777999999998</v>
      </c>
      <c r="F146" s="7">
        <v>4867.3270000000002</v>
      </c>
      <c r="G146" s="7">
        <v>2309.5079999999998</v>
      </c>
      <c r="H146" s="7">
        <v>6.0000000000000001E-3</v>
      </c>
      <c r="I146" s="7">
        <v>590.04100000000005</v>
      </c>
      <c r="J146" s="7">
        <v>2165.98</v>
      </c>
      <c r="K146" s="7">
        <v>0</v>
      </c>
      <c r="L146" s="7">
        <v>25463.019</v>
      </c>
      <c r="M146" s="7">
        <v>8013.723</v>
      </c>
      <c r="N146" s="7">
        <v>0</v>
      </c>
      <c r="O146" s="7">
        <v>255.15600000000001</v>
      </c>
      <c r="P146" s="7">
        <v>14.702999999999999</v>
      </c>
      <c r="Q146" s="7">
        <v>107.749</v>
      </c>
      <c r="R146" s="7">
        <v>30.213999999999999</v>
      </c>
      <c r="S146" s="7">
        <v>1455.2470000000001</v>
      </c>
      <c r="T146" s="7">
        <v>0</v>
      </c>
      <c r="U146" s="7">
        <v>0</v>
      </c>
      <c r="V146" s="7">
        <v>370.96100000000001</v>
      </c>
      <c r="W146" s="7">
        <v>1102.018</v>
      </c>
      <c r="X146" s="7">
        <v>262.73599999999999</v>
      </c>
      <c r="Y146" s="7">
        <v>8680.61</v>
      </c>
      <c r="Z146" s="7">
        <v>601.85699999999997</v>
      </c>
      <c r="AA146" s="7">
        <v>3036.721</v>
      </c>
      <c r="AB146" s="7">
        <v>5017.326</v>
      </c>
      <c r="AC146" s="7">
        <v>814.00099999999998</v>
      </c>
      <c r="AD146" s="7">
        <v>421.255</v>
      </c>
      <c r="AE146" s="7">
        <v>16534.828000000001</v>
      </c>
      <c r="AF146" s="7">
        <v>5822.05</v>
      </c>
      <c r="AG146" s="7">
        <v>2641.4839999999999</v>
      </c>
      <c r="AH146" s="7">
        <v>54839.351999999999</v>
      </c>
      <c r="AI146" s="7">
        <v>10563.476000000001</v>
      </c>
      <c r="AJ146" s="7">
        <v>3072.473</v>
      </c>
      <c r="AK146" s="7">
        <v>60852.12</v>
      </c>
      <c r="AL146" s="7">
        <v>33959.332999999999</v>
      </c>
      <c r="AM146" s="7">
        <v>0</v>
      </c>
      <c r="AN146" s="7">
        <v>21813.205999999998</v>
      </c>
      <c r="AO146" s="7">
        <v>381.34699999999998</v>
      </c>
      <c r="AP146" s="7">
        <v>0</v>
      </c>
      <c r="AQ146" s="7">
        <v>2009.749</v>
      </c>
      <c r="AR146" s="7">
        <v>0</v>
      </c>
      <c r="AS146" s="7">
        <v>9.8960000000000008</v>
      </c>
      <c r="AT146" s="7">
        <v>0</v>
      </c>
      <c r="AU146" s="7">
        <v>67.162000000000006</v>
      </c>
      <c r="AV146" s="7">
        <v>0</v>
      </c>
      <c r="AW146" s="7">
        <v>0</v>
      </c>
      <c r="AX146" s="7">
        <v>263.50799999999998</v>
      </c>
      <c r="AY146" s="7">
        <v>15.32</v>
      </c>
      <c r="AZ146" s="7">
        <v>-9.7870000000000008</v>
      </c>
      <c r="BA146" s="7">
        <v>184.28700000000001</v>
      </c>
      <c r="BB146" s="7">
        <v>147.87100000000001</v>
      </c>
      <c r="BC146" s="7">
        <v>13.24</v>
      </c>
      <c r="BD146" s="7">
        <v>-6.4000000000000001E-2</v>
      </c>
      <c r="BE146" s="7">
        <v>43.226999999999997</v>
      </c>
      <c r="BF146" s="7">
        <v>43.226999999999997</v>
      </c>
      <c r="BG146" s="7">
        <v>-2.3530000000000002</v>
      </c>
      <c r="BH146" s="7">
        <v>3039.0889999999999</v>
      </c>
      <c r="BI146" s="7">
        <v>8.9220000000000006</v>
      </c>
      <c r="BJ146" s="21"/>
    </row>
    <row r="147" spans="1:62" ht="15.6" x14ac:dyDescent="0.3">
      <c r="A147" s="5" t="s">
        <v>277</v>
      </c>
      <c r="B147" s="5" t="s">
        <v>278</v>
      </c>
      <c r="C147" s="7">
        <v>6</v>
      </c>
      <c r="D147" s="7">
        <v>6</v>
      </c>
      <c r="E147" s="7">
        <v>-38358.315000000002</v>
      </c>
      <c r="F147" s="7">
        <v>-5543.7389999999996</v>
      </c>
      <c r="G147" s="7">
        <v>-951.11800000000005</v>
      </c>
      <c r="H147" s="7">
        <v>-0.54700000000000004</v>
      </c>
      <c r="I147" s="7">
        <v>-768.48500000000001</v>
      </c>
      <c r="J147" s="7">
        <v>-2112.4140000000002</v>
      </c>
      <c r="K147" s="7">
        <v>0</v>
      </c>
      <c r="L147" s="7">
        <v>-57768.334999999999</v>
      </c>
      <c r="M147" s="7">
        <v>-10383.855</v>
      </c>
      <c r="N147" s="7">
        <v>0</v>
      </c>
      <c r="O147" s="7">
        <v>0</v>
      </c>
      <c r="P147" s="7">
        <v>-47.703000000000003</v>
      </c>
      <c r="Q147" s="7">
        <v>0</v>
      </c>
      <c r="R147" s="7">
        <v>-1.431</v>
      </c>
      <c r="S147" s="7">
        <v>-2061.44</v>
      </c>
      <c r="T147" s="7">
        <v>0</v>
      </c>
      <c r="U147" s="7">
        <v>0</v>
      </c>
      <c r="V147" s="7">
        <v>-529.774</v>
      </c>
      <c r="W147" s="7">
        <v>-814.47799999999995</v>
      </c>
      <c r="X147" s="7">
        <v>0</v>
      </c>
      <c r="Y147" s="7">
        <v>-10055.433999999999</v>
      </c>
      <c r="Z147" s="7">
        <v>0</v>
      </c>
      <c r="AA147" s="7">
        <v>-6963.4539999999997</v>
      </c>
      <c r="AB147" s="7">
        <v>0</v>
      </c>
      <c r="AC147" s="7">
        <v>-1040.6420000000001</v>
      </c>
      <c r="AD147" s="7">
        <v>-0.23599999999999999</v>
      </c>
      <c r="AE147" s="7">
        <v>-30054.191999999999</v>
      </c>
      <c r="AF147" s="7">
        <v>-6617.0910000000003</v>
      </c>
      <c r="AG147" s="7">
        <v>-0.80700000000000005</v>
      </c>
      <c r="AH147" s="7">
        <v>-101101.425</v>
      </c>
      <c r="AI147" s="7">
        <v>-10420.424000000001</v>
      </c>
      <c r="AJ147" s="7">
        <v>0</v>
      </c>
      <c r="AK147" s="7">
        <v>0</v>
      </c>
      <c r="AL147" s="7">
        <v>0</v>
      </c>
      <c r="AM147" s="7">
        <v>0</v>
      </c>
      <c r="AN147" s="7">
        <v>0</v>
      </c>
      <c r="AO147" s="7">
        <v>-876.53399999999999</v>
      </c>
      <c r="AP147" s="7">
        <v>0</v>
      </c>
      <c r="AQ147" s="7">
        <v>-2328.623</v>
      </c>
      <c r="AR147" s="7">
        <v>0</v>
      </c>
      <c r="AS147" s="7">
        <v>-10.734999999999999</v>
      </c>
      <c r="AT147" s="7">
        <v>0</v>
      </c>
      <c r="AU147" s="7">
        <v>-59.853000000000002</v>
      </c>
      <c r="AV147" s="7">
        <v>0</v>
      </c>
      <c r="AW147" s="7">
        <v>0</v>
      </c>
      <c r="AX147" s="7">
        <v>0</v>
      </c>
      <c r="AY147" s="7">
        <v>-11.96</v>
      </c>
      <c r="AZ147" s="7">
        <v>-64.846999999999994</v>
      </c>
      <c r="BA147" s="7">
        <v>0</v>
      </c>
      <c r="BB147" s="7">
        <v>-326.17599999999999</v>
      </c>
      <c r="BC147" s="7">
        <v>6.5279999999999996</v>
      </c>
      <c r="BD147" s="7">
        <v>-73.974999999999994</v>
      </c>
      <c r="BE147" s="7">
        <v>-76.620999999999995</v>
      </c>
      <c r="BF147" s="7">
        <v>-76.620999999999995</v>
      </c>
      <c r="BG147" s="7">
        <v>-25.51</v>
      </c>
      <c r="BH147" s="7">
        <v>0</v>
      </c>
      <c r="BI147" s="7">
        <v>2.8290000000000002</v>
      </c>
      <c r="BJ147" s="21"/>
    </row>
    <row r="148" spans="1:62" ht="15.6" x14ac:dyDescent="0.3">
      <c r="A148" s="5" t="s">
        <v>279</v>
      </c>
      <c r="B148" s="5" t="s">
        <v>280</v>
      </c>
      <c r="C148" s="7">
        <v>6</v>
      </c>
      <c r="D148" s="7">
        <v>6</v>
      </c>
      <c r="E148" s="7">
        <v>-1803.4480000000001</v>
      </c>
      <c r="F148" s="7">
        <v>-290.59300000000002</v>
      </c>
      <c r="G148" s="7">
        <v>-163.68899999999999</v>
      </c>
      <c r="H148" s="7">
        <v>-4.0000000000000001E-3</v>
      </c>
      <c r="I148" s="7">
        <v>-30.82</v>
      </c>
      <c r="J148" s="7">
        <v>-115.917</v>
      </c>
      <c r="K148" s="7">
        <v>0</v>
      </c>
      <c r="L148" s="7">
        <v>-2573.0320000000002</v>
      </c>
      <c r="M148" s="7">
        <v>-483.65</v>
      </c>
      <c r="N148" s="7">
        <v>0</v>
      </c>
      <c r="O148" s="7">
        <v>0</v>
      </c>
      <c r="P148" s="7">
        <v>-2.8210000000000002</v>
      </c>
      <c r="Q148" s="7">
        <v>0</v>
      </c>
      <c r="R148" s="7">
        <v>0</v>
      </c>
      <c r="S148" s="7">
        <v>-75.843000000000004</v>
      </c>
      <c r="T148" s="7">
        <v>0</v>
      </c>
      <c r="U148" s="7">
        <v>0</v>
      </c>
      <c r="V148" s="7">
        <v>-18.524000000000001</v>
      </c>
      <c r="W148" s="7">
        <v>-52.341000000000001</v>
      </c>
      <c r="X148" s="7">
        <v>0</v>
      </c>
      <c r="Y148" s="7">
        <v>-622.06200000000001</v>
      </c>
      <c r="Z148" s="7">
        <v>0</v>
      </c>
      <c r="AA148" s="7">
        <v>-220.697</v>
      </c>
      <c r="AB148" s="7">
        <v>0</v>
      </c>
      <c r="AC148" s="7">
        <v>-50.841999999999999</v>
      </c>
      <c r="AD148" s="7">
        <v>-1.1439999999999999</v>
      </c>
      <c r="AE148" s="7">
        <v>-1628.9269999999999</v>
      </c>
      <c r="AF148" s="7">
        <v>-506.04899999999998</v>
      </c>
      <c r="AG148" s="7">
        <v>-3.92</v>
      </c>
      <c r="AH148" s="7">
        <v>-5086.3900000000003</v>
      </c>
      <c r="AI148" s="7">
        <v>-806.94200000000001</v>
      </c>
      <c r="AJ148" s="7">
        <v>0</v>
      </c>
      <c r="AK148" s="7">
        <v>0</v>
      </c>
      <c r="AL148" s="7">
        <v>0</v>
      </c>
      <c r="AM148" s="7">
        <v>0</v>
      </c>
      <c r="AN148" s="7">
        <v>0</v>
      </c>
      <c r="AO148" s="7">
        <v>-33.771999999999998</v>
      </c>
      <c r="AP148" s="7">
        <v>0</v>
      </c>
      <c r="AQ148" s="7">
        <v>-178.59100000000001</v>
      </c>
      <c r="AR148" s="7">
        <v>0</v>
      </c>
      <c r="AS148" s="7">
        <v>-0.80700000000000005</v>
      </c>
      <c r="AT148" s="7">
        <v>0</v>
      </c>
      <c r="AU148" s="7">
        <v>-8.9030000000000005</v>
      </c>
      <c r="AV148" s="7">
        <v>0</v>
      </c>
      <c r="AW148" s="7">
        <v>0</v>
      </c>
      <c r="AX148" s="7">
        <v>0</v>
      </c>
      <c r="AY148" s="7">
        <v>-3.2160000000000002</v>
      </c>
      <c r="AZ148" s="7">
        <v>0</v>
      </c>
      <c r="BA148" s="7">
        <v>0</v>
      </c>
      <c r="BB148" s="7">
        <v>-12.472</v>
      </c>
      <c r="BC148" s="7">
        <v>-2.4350000000000001</v>
      </c>
      <c r="BD148" s="7">
        <v>0</v>
      </c>
      <c r="BE148" s="7">
        <v>-3.069</v>
      </c>
      <c r="BF148" s="7">
        <v>-3.069</v>
      </c>
      <c r="BG148" s="7">
        <v>0</v>
      </c>
      <c r="BH148" s="7">
        <v>0</v>
      </c>
      <c r="BI148" s="7">
        <v>-1.0229999999999999</v>
      </c>
      <c r="BJ148" s="21"/>
    </row>
    <row r="149" spans="1:62" ht="15.6" x14ac:dyDescent="0.3">
      <c r="A149" s="5" t="s">
        <v>281</v>
      </c>
      <c r="B149" s="5" t="s">
        <v>282</v>
      </c>
      <c r="C149" s="7">
        <v>6</v>
      </c>
      <c r="D149" s="7">
        <v>6</v>
      </c>
      <c r="E149" s="7">
        <v>-1532.0419999999999</v>
      </c>
      <c r="F149" s="7">
        <v>-1196.992</v>
      </c>
      <c r="G149" s="7">
        <v>-993.74900000000002</v>
      </c>
      <c r="H149" s="7">
        <v>-0.17799999999999999</v>
      </c>
      <c r="I149" s="7">
        <v>-108.809</v>
      </c>
      <c r="J149" s="7">
        <v>-957.077</v>
      </c>
      <c r="K149" s="7">
        <v>0</v>
      </c>
      <c r="L149" s="7">
        <v>-3899.1869999999999</v>
      </c>
      <c r="M149" s="7">
        <v>-1387.489</v>
      </c>
      <c r="N149" s="7">
        <v>0</v>
      </c>
      <c r="O149" s="7">
        <v>0</v>
      </c>
      <c r="P149" s="7">
        <v>-3.0000000000000001E-3</v>
      </c>
      <c r="Q149" s="7">
        <v>-402.86500000000001</v>
      </c>
      <c r="R149" s="7">
        <v>-525.35</v>
      </c>
      <c r="S149" s="7">
        <v>-487.26100000000002</v>
      </c>
      <c r="T149" s="7">
        <v>0</v>
      </c>
      <c r="U149" s="7">
        <v>0</v>
      </c>
      <c r="V149" s="7">
        <v>-183.52699999999999</v>
      </c>
      <c r="W149" s="7">
        <v>-19.347999999999999</v>
      </c>
      <c r="X149" s="7">
        <v>0</v>
      </c>
      <c r="Y149" s="7">
        <v>-541.077</v>
      </c>
      <c r="Z149" s="7">
        <v>-15582.169</v>
      </c>
      <c r="AA149" s="7">
        <v>-2429.6419999999998</v>
      </c>
      <c r="AB149" s="7">
        <v>0</v>
      </c>
      <c r="AC149" s="7">
        <v>-297.202</v>
      </c>
      <c r="AD149" s="7">
        <v>-2079.973</v>
      </c>
      <c r="AE149" s="7">
        <v>-2132.9560000000001</v>
      </c>
      <c r="AF149" s="7">
        <v>-16.582999999999998</v>
      </c>
      <c r="AG149" s="7">
        <v>-6417.02</v>
      </c>
      <c r="AH149" s="7">
        <v>-4977.9560000000001</v>
      </c>
      <c r="AI149" s="7">
        <v>-1.2E-2</v>
      </c>
      <c r="AJ149" s="7">
        <v>-78956.452000000005</v>
      </c>
      <c r="AK149" s="7">
        <v>0</v>
      </c>
      <c r="AL149" s="7">
        <v>0</v>
      </c>
      <c r="AM149" s="7">
        <v>0</v>
      </c>
      <c r="AN149" s="7">
        <v>0</v>
      </c>
      <c r="AO149" s="7">
        <v>-309.20999999999998</v>
      </c>
      <c r="AP149" s="7">
        <v>0</v>
      </c>
      <c r="AQ149" s="7">
        <v>-2.4430000000000001</v>
      </c>
      <c r="AR149" s="7">
        <v>0</v>
      </c>
      <c r="AS149" s="7">
        <v>-1.6359999999999999</v>
      </c>
      <c r="AT149" s="7">
        <v>0</v>
      </c>
      <c r="AU149" s="7">
        <v>-0.17199999999999999</v>
      </c>
      <c r="AV149" s="7">
        <v>0</v>
      </c>
      <c r="AW149" s="7">
        <v>0</v>
      </c>
      <c r="AX149" s="7">
        <v>0</v>
      </c>
      <c r="AY149" s="7">
        <v>0</v>
      </c>
      <c r="AZ149" s="7">
        <v>0</v>
      </c>
      <c r="BA149" s="7">
        <v>0</v>
      </c>
      <c r="BB149" s="7">
        <v>-111.033</v>
      </c>
      <c r="BC149" s="7">
        <v>0</v>
      </c>
      <c r="BD149" s="7">
        <v>0</v>
      </c>
      <c r="BE149" s="7">
        <v>-25.58</v>
      </c>
      <c r="BF149" s="7">
        <v>-25.58</v>
      </c>
      <c r="BG149" s="7">
        <v>0</v>
      </c>
      <c r="BH149" s="7">
        <v>-53926.504000000001</v>
      </c>
      <c r="BI149" s="7">
        <v>0</v>
      </c>
      <c r="BJ149" s="21"/>
    </row>
    <row r="150" spans="1:62" ht="15.6" x14ac:dyDescent="0.3">
      <c r="A150" s="5" t="s">
        <v>283</v>
      </c>
      <c r="B150" s="5" t="s">
        <v>284</v>
      </c>
      <c r="C150" s="7">
        <v>4</v>
      </c>
      <c r="D150" s="7">
        <v>4</v>
      </c>
      <c r="E150" s="7">
        <v>9662.8979999999992</v>
      </c>
      <c r="F150" s="7">
        <v>2282.8679999999999</v>
      </c>
      <c r="G150" s="7">
        <v>314.47199999999998</v>
      </c>
      <c r="H150" s="7">
        <v>0</v>
      </c>
      <c r="I150" s="7">
        <v>97.283000000000001</v>
      </c>
      <c r="J150" s="7">
        <v>214.29900000000001</v>
      </c>
      <c r="K150" s="7">
        <v>0</v>
      </c>
      <c r="L150" s="7">
        <v>23958.537</v>
      </c>
      <c r="M150" s="7">
        <v>-123.125</v>
      </c>
      <c r="N150" s="7">
        <v>0</v>
      </c>
      <c r="O150" s="7">
        <v>-25.8</v>
      </c>
      <c r="P150" s="7">
        <v>0</v>
      </c>
      <c r="Q150" s="7">
        <v>-9.6690000000000005</v>
      </c>
      <c r="R150" s="7">
        <v>0</v>
      </c>
      <c r="S150" s="7">
        <v>707.98500000000001</v>
      </c>
      <c r="T150" s="7">
        <v>0</v>
      </c>
      <c r="U150" s="7">
        <v>0</v>
      </c>
      <c r="V150" s="7">
        <v>25.109000000000002</v>
      </c>
      <c r="W150" s="7">
        <v>245.14699999999999</v>
      </c>
      <c r="X150" s="7">
        <v>-497.762</v>
      </c>
      <c r="Y150" s="7">
        <v>4985.375</v>
      </c>
      <c r="Z150" s="7">
        <v>-2.032</v>
      </c>
      <c r="AA150" s="7">
        <v>471.20699999999999</v>
      </c>
      <c r="AB150" s="7">
        <v>-503.49</v>
      </c>
      <c r="AC150" s="7">
        <v>414.57</v>
      </c>
      <c r="AD150" s="7">
        <v>-26.952000000000002</v>
      </c>
      <c r="AE150" s="7">
        <v>12233.245999999999</v>
      </c>
      <c r="AF150" s="7">
        <v>6438.17</v>
      </c>
      <c r="AG150" s="7">
        <v>-217.62299999999999</v>
      </c>
      <c r="AH150" s="7">
        <v>39799.336000000003</v>
      </c>
      <c r="AI150" s="7">
        <v>10273.634</v>
      </c>
      <c r="AJ150" s="7">
        <v>-11.07</v>
      </c>
      <c r="AK150" s="7">
        <v>8212.9050000000007</v>
      </c>
      <c r="AL150" s="7">
        <v>4583.3609999999999</v>
      </c>
      <c r="AM150" s="7">
        <v>0</v>
      </c>
      <c r="AN150" s="7">
        <v>2943.95</v>
      </c>
      <c r="AO150" s="7">
        <v>327.08</v>
      </c>
      <c r="AP150" s="7">
        <v>0</v>
      </c>
      <c r="AQ150" s="7">
        <v>2274.0369999999998</v>
      </c>
      <c r="AR150" s="7">
        <v>0</v>
      </c>
      <c r="AS150" s="7">
        <v>8.1649999999999991</v>
      </c>
      <c r="AT150" s="7">
        <v>0</v>
      </c>
      <c r="AU150" s="7">
        <v>68.53</v>
      </c>
      <c r="AV150" s="7">
        <v>0</v>
      </c>
      <c r="AW150" s="7">
        <v>0</v>
      </c>
      <c r="AX150" s="7">
        <v>-499.22899999999998</v>
      </c>
      <c r="AY150" s="7">
        <v>10.563000000000001</v>
      </c>
      <c r="AZ150" s="7">
        <v>0</v>
      </c>
      <c r="BA150" s="7">
        <v>-349.91300000000001</v>
      </c>
      <c r="BB150" s="7">
        <v>121.001</v>
      </c>
      <c r="BC150" s="7">
        <v>6.8250000000000002</v>
      </c>
      <c r="BD150" s="7">
        <v>0</v>
      </c>
      <c r="BE150" s="7">
        <v>30.41</v>
      </c>
      <c r="BF150" s="7">
        <v>30.41</v>
      </c>
      <c r="BG150" s="7">
        <v>0</v>
      </c>
      <c r="BH150" s="7">
        <v>-111.932</v>
      </c>
      <c r="BI150" s="7">
        <v>2.754</v>
      </c>
      <c r="BJ150" s="21"/>
    </row>
    <row r="151" spans="1:62" ht="15.6" x14ac:dyDescent="0.3">
      <c r="A151" s="5" t="s">
        <v>285</v>
      </c>
      <c r="B151" s="5" t="s">
        <v>286</v>
      </c>
      <c r="C151" s="7">
        <v>6</v>
      </c>
      <c r="D151" s="7">
        <v>6</v>
      </c>
      <c r="E151" s="7">
        <v>9.26</v>
      </c>
      <c r="F151" s="7">
        <v>2.1819999999999999</v>
      </c>
      <c r="G151" s="7">
        <v>0</v>
      </c>
      <c r="H151" s="7">
        <v>0</v>
      </c>
      <c r="I151" s="7">
        <v>5.2999999999999999E-2</v>
      </c>
      <c r="J151" s="7">
        <v>0</v>
      </c>
      <c r="K151" s="7">
        <v>0</v>
      </c>
      <c r="L151" s="7">
        <v>24.619</v>
      </c>
      <c r="M151" s="7">
        <v>0.91500000000000004</v>
      </c>
      <c r="N151" s="7">
        <v>0</v>
      </c>
      <c r="O151" s="7">
        <v>-20.68</v>
      </c>
      <c r="P151" s="7">
        <v>0</v>
      </c>
      <c r="Q151" s="7">
        <v>-510.96</v>
      </c>
      <c r="R151" s="7">
        <v>-661.53200000000004</v>
      </c>
      <c r="S151" s="7">
        <v>0.67700000000000005</v>
      </c>
      <c r="T151" s="7">
        <v>0</v>
      </c>
      <c r="U151" s="7">
        <v>0</v>
      </c>
      <c r="V151" s="7">
        <v>0</v>
      </c>
      <c r="W151" s="7">
        <v>0.20399999999999999</v>
      </c>
      <c r="X151" s="7">
        <v>0</v>
      </c>
      <c r="Y151" s="7">
        <v>4.7469999999999999</v>
      </c>
      <c r="Z151" s="7">
        <v>-20819.236000000001</v>
      </c>
      <c r="AA151" s="7">
        <v>0</v>
      </c>
      <c r="AB151" s="7">
        <v>-617.10699999999997</v>
      </c>
      <c r="AC151" s="7">
        <v>0.40100000000000002</v>
      </c>
      <c r="AD151" s="7">
        <v>-5293.1</v>
      </c>
      <c r="AE151" s="7">
        <v>-543.78499999999997</v>
      </c>
      <c r="AF151" s="7">
        <v>6.5069999999999997</v>
      </c>
      <c r="AG151" s="7">
        <v>-17761.277999999998</v>
      </c>
      <c r="AH151" s="7">
        <v>41.414000000000001</v>
      </c>
      <c r="AI151" s="7">
        <v>10.384</v>
      </c>
      <c r="AJ151" s="7">
        <v>-105697.97900000001</v>
      </c>
      <c r="AK151" s="7">
        <v>255459.356</v>
      </c>
      <c r="AL151" s="7">
        <v>142562.48300000001</v>
      </c>
      <c r="AM151" s="7">
        <v>0</v>
      </c>
      <c r="AN151" s="7">
        <v>91572.611000000004</v>
      </c>
      <c r="AO151" s="7">
        <v>0.316</v>
      </c>
      <c r="AP151" s="7">
        <v>0</v>
      </c>
      <c r="AQ151" s="7">
        <v>2.2970000000000002</v>
      </c>
      <c r="AR151" s="7">
        <v>0</v>
      </c>
      <c r="AS151" s="7">
        <v>7.0000000000000001E-3</v>
      </c>
      <c r="AT151" s="7">
        <v>0</v>
      </c>
      <c r="AU151" s="7">
        <v>4.7E-2</v>
      </c>
      <c r="AV151" s="7">
        <v>0</v>
      </c>
      <c r="AW151" s="7">
        <v>0</v>
      </c>
      <c r="AX151" s="7">
        <v>0</v>
      </c>
      <c r="AY151" s="7">
        <v>0</v>
      </c>
      <c r="AZ151" s="7">
        <v>0</v>
      </c>
      <c r="BA151" s="7">
        <v>0</v>
      </c>
      <c r="BB151" s="7">
        <v>0.11600000000000001</v>
      </c>
      <c r="BC151" s="7">
        <v>0</v>
      </c>
      <c r="BD151" s="7">
        <v>0</v>
      </c>
      <c r="BE151" s="7">
        <v>0.03</v>
      </c>
      <c r="BF151" s="7">
        <v>0.03</v>
      </c>
      <c r="BG151" s="7">
        <v>0</v>
      </c>
      <c r="BH151" s="7">
        <v>-71210.952000000005</v>
      </c>
      <c r="BI151" s="7">
        <v>0</v>
      </c>
      <c r="BJ151" s="21"/>
    </row>
    <row r="152" spans="1:62" ht="15.6" x14ac:dyDescent="0.3">
      <c r="A152" s="5" t="s">
        <v>287</v>
      </c>
      <c r="B152" s="5" t="s">
        <v>288</v>
      </c>
      <c r="C152" s="7">
        <v>6</v>
      </c>
      <c r="D152" s="7">
        <v>6</v>
      </c>
      <c r="E152" s="7">
        <v>0</v>
      </c>
      <c r="F152" s="7">
        <v>0</v>
      </c>
      <c r="G152" s="7">
        <v>0</v>
      </c>
      <c r="H152" s="7">
        <v>0</v>
      </c>
      <c r="I152" s="7">
        <v>0</v>
      </c>
      <c r="J152" s="7">
        <v>0</v>
      </c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>
        <v>0</v>
      </c>
      <c r="AI152" s="7">
        <v>0</v>
      </c>
      <c r="AJ152" s="7">
        <v>0</v>
      </c>
      <c r="AK152" s="7">
        <v>0</v>
      </c>
      <c r="AL152" s="7">
        <v>0</v>
      </c>
      <c r="AM152" s="7">
        <v>0</v>
      </c>
      <c r="AN152" s="7">
        <v>0</v>
      </c>
      <c r="AO152" s="7">
        <v>0</v>
      </c>
      <c r="AP152" s="7">
        <v>0</v>
      </c>
      <c r="AQ152" s="7">
        <v>0</v>
      </c>
      <c r="AR152" s="7">
        <v>0</v>
      </c>
      <c r="AS152" s="7">
        <v>0</v>
      </c>
      <c r="AT152" s="7">
        <v>0</v>
      </c>
      <c r="AU152" s="7">
        <v>0</v>
      </c>
      <c r="AV152" s="7">
        <v>0</v>
      </c>
      <c r="AW152" s="7">
        <v>0</v>
      </c>
      <c r="AX152" s="7">
        <v>0</v>
      </c>
      <c r="AY152" s="7">
        <v>0</v>
      </c>
      <c r="AZ152" s="7">
        <v>0</v>
      </c>
      <c r="BA152" s="7">
        <v>0</v>
      </c>
      <c r="BB152" s="7">
        <v>0</v>
      </c>
      <c r="BC152" s="7">
        <v>0</v>
      </c>
      <c r="BD152" s="7">
        <v>0</v>
      </c>
      <c r="BE152" s="7">
        <v>0</v>
      </c>
      <c r="BF152" s="7">
        <v>0</v>
      </c>
      <c r="BG152" s="7">
        <v>0</v>
      </c>
      <c r="BH152" s="7">
        <v>0</v>
      </c>
      <c r="BI152" s="7">
        <v>0</v>
      </c>
      <c r="BJ152" s="21"/>
    </row>
    <row r="153" spans="1:62" ht="15.6" x14ac:dyDescent="0.3">
      <c r="A153" s="5" t="s">
        <v>289</v>
      </c>
      <c r="B153" s="5" t="s">
        <v>290</v>
      </c>
      <c r="C153" s="7">
        <v>6</v>
      </c>
      <c r="D153" s="7">
        <v>6</v>
      </c>
      <c r="E153" s="7">
        <v>0</v>
      </c>
      <c r="F153" s="7">
        <v>0</v>
      </c>
      <c r="G153" s="7">
        <v>0</v>
      </c>
      <c r="H153" s="7">
        <v>0</v>
      </c>
      <c r="I153" s="7">
        <v>0</v>
      </c>
      <c r="J153" s="7">
        <v>0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7">
        <v>0</v>
      </c>
      <c r="AK153" s="7">
        <v>0</v>
      </c>
      <c r="AL153" s="7">
        <v>0</v>
      </c>
      <c r="AM153" s="7">
        <v>0</v>
      </c>
      <c r="AN153" s="7">
        <v>0</v>
      </c>
      <c r="AO153" s="7">
        <v>0</v>
      </c>
      <c r="AP153" s="7">
        <v>0</v>
      </c>
      <c r="AQ153" s="7">
        <v>0</v>
      </c>
      <c r="AR153" s="7">
        <v>0</v>
      </c>
      <c r="AS153" s="7">
        <v>0</v>
      </c>
      <c r="AT153" s="7">
        <v>0</v>
      </c>
      <c r="AU153" s="7">
        <v>0</v>
      </c>
      <c r="AV153" s="7">
        <v>0</v>
      </c>
      <c r="AW153" s="7">
        <v>0</v>
      </c>
      <c r="AX153" s="7">
        <v>0</v>
      </c>
      <c r="AY153" s="7">
        <v>0</v>
      </c>
      <c r="AZ153" s="7">
        <v>0</v>
      </c>
      <c r="BA153" s="7">
        <v>0</v>
      </c>
      <c r="BB153" s="7">
        <v>0</v>
      </c>
      <c r="BC153" s="7">
        <v>0</v>
      </c>
      <c r="BD153" s="7">
        <v>0</v>
      </c>
      <c r="BE153" s="7">
        <v>0</v>
      </c>
      <c r="BF153" s="7">
        <v>0</v>
      </c>
      <c r="BG153" s="7">
        <v>0</v>
      </c>
      <c r="BH153" s="7">
        <v>0</v>
      </c>
      <c r="BI153" s="7">
        <v>0</v>
      </c>
      <c r="BJ153" s="21"/>
    </row>
    <row r="154" spans="1:62" ht="15.6" x14ac:dyDescent="0.3">
      <c r="A154" s="5" t="s">
        <v>291</v>
      </c>
      <c r="B154" s="5" t="s">
        <v>292</v>
      </c>
      <c r="C154" s="7">
        <v>6</v>
      </c>
      <c r="D154" s="7">
        <v>6</v>
      </c>
      <c r="E154" s="7">
        <v>1548.221</v>
      </c>
      <c r="F154" s="7">
        <v>1209.021</v>
      </c>
      <c r="G154" s="7">
        <v>950.51400000000001</v>
      </c>
      <c r="H154" s="7">
        <v>0.18</v>
      </c>
      <c r="I154" s="7">
        <v>109.89</v>
      </c>
      <c r="J154" s="7">
        <v>928.529</v>
      </c>
      <c r="K154" s="7">
        <v>0</v>
      </c>
      <c r="L154" s="7">
        <v>3912.5230000000001</v>
      </c>
      <c r="M154" s="7">
        <v>1363.633</v>
      </c>
      <c r="N154" s="7">
        <v>0</v>
      </c>
      <c r="O154" s="7">
        <v>0</v>
      </c>
      <c r="P154" s="7">
        <v>3.0000000000000001E-3</v>
      </c>
      <c r="Q154" s="7">
        <v>907.24300000000005</v>
      </c>
      <c r="R154" s="7">
        <v>1183.078</v>
      </c>
      <c r="S154" s="7">
        <v>492.125</v>
      </c>
      <c r="T154" s="7">
        <v>0</v>
      </c>
      <c r="U154" s="7">
        <v>0</v>
      </c>
      <c r="V154" s="7">
        <v>185.25399999999999</v>
      </c>
      <c r="W154" s="7">
        <v>19.466999999999999</v>
      </c>
      <c r="X154" s="7">
        <v>0</v>
      </c>
      <c r="Y154" s="7">
        <v>544.51700000000005</v>
      </c>
      <c r="Z154" s="7">
        <v>35090.756000000001</v>
      </c>
      <c r="AA154" s="7">
        <v>2454.7269999999999</v>
      </c>
      <c r="AB154" s="7">
        <v>0</v>
      </c>
      <c r="AC154" s="7">
        <v>299.77300000000002</v>
      </c>
      <c r="AD154" s="7">
        <v>7416.1890000000003</v>
      </c>
      <c r="AE154" s="7">
        <v>2122.9409999999998</v>
      </c>
      <c r="AF154" s="7">
        <v>16.773</v>
      </c>
      <c r="AG154" s="7">
        <v>24554.280999999999</v>
      </c>
      <c r="AH154" s="7">
        <v>5024.53</v>
      </c>
      <c r="AI154" s="7">
        <v>1.2999999999999999E-2</v>
      </c>
      <c r="AJ154" s="7">
        <v>177808.46599999999</v>
      </c>
      <c r="AK154" s="7">
        <v>0</v>
      </c>
      <c r="AL154" s="7">
        <v>0</v>
      </c>
      <c r="AM154" s="7">
        <v>0</v>
      </c>
      <c r="AN154" s="7">
        <v>0</v>
      </c>
      <c r="AO154" s="7">
        <v>312.22000000000003</v>
      </c>
      <c r="AP154" s="7">
        <v>0</v>
      </c>
      <c r="AQ154" s="7">
        <v>2.4710000000000001</v>
      </c>
      <c r="AR154" s="7">
        <v>0</v>
      </c>
      <c r="AS154" s="7">
        <v>1.653</v>
      </c>
      <c r="AT154" s="7">
        <v>0</v>
      </c>
      <c r="AU154" s="7">
        <v>0.17399999999999999</v>
      </c>
      <c r="AV154" s="7">
        <v>0</v>
      </c>
      <c r="AW154" s="7">
        <v>0</v>
      </c>
      <c r="AX154" s="7">
        <v>0</v>
      </c>
      <c r="AY154" s="7">
        <v>0</v>
      </c>
      <c r="AZ154" s="7">
        <v>0</v>
      </c>
      <c r="BA154" s="7">
        <v>0</v>
      </c>
      <c r="BB154" s="7">
        <v>112.111</v>
      </c>
      <c r="BC154" s="7">
        <v>0</v>
      </c>
      <c r="BD154" s="7">
        <v>0</v>
      </c>
      <c r="BE154" s="7">
        <v>25.829000000000001</v>
      </c>
      <c r="BF154" s="7">
        <v>25.829000000000001</v>
      </c>
      <c r="BG154" s="7">
        <v>0</v>
      </c>
      <c r="BH154" s="7">
        <v>121441.486</v>
      </c>
      <c r="BI154" s="7">
        <v>0</v>
      </c>
      <c r="BJ154" s="21"/>
    </row>
    <row r="155" spans="1:62" ht="15.6" x14ac:dyDescent="0.3">
      <c r="A155" s="5" t="s">
        <v>293</v>
      </c>
      <c r="B155" s="5" t="s">
        <v>294</v>
      </c>
      <c r="C155" s="7">
        <v>4</v>
      </c>
      <c r="D155" s="7">
        <v>4</v>
      </c>
      <c r="E155" s="7">
        <v>4783.1049999999996</v>
      </c>
      <c r="F155" s="7">
        <v>954.88499999999999</v>
      </c>
      <c r="G155" s="7">
        <v>0</v>
      </c>
      <c r="H155" s="7">
        <v>0</v>
      </c>
      <c r="I155" s="7">
        <v>36.542999999999999</v>
      </c>
      <c r="J155" s="7">
        <v>0</v>
      </c>
      <c r="K155" s="7">
        <v>0</v>
      </c>
      <c r="L155" s="7">
        <v>11251.186</v>
      </c>
      <c r="M155" s="7">
        <v>798.31200000000001</v>
      </c>
      <c r="N155" s="7">
        <v>0</v>
      </c>
      <c r="O155" s="7">
        <v>0</v>
      </c>
      <c r="P155" s="7">
        <v>0.17299999999999999</v>
      </c>
      <c r="Q155" s="7">
        <v>0</v>
      </c>
      <c r="R155" s="7">
        <v>0</v>
      </c>
      <c r="S155" s="7">
        <v>307.048</v>
      </c>
      <c r="T155" s="7">
        <v>0</v>
      </c>
      <c r="U155" s="7">
        <v>0</v>
      </c>
      <c r="V155" s="7">
        <v>0</v>
      </c>
      <c r="W155" s="7">
        <v>105.63</v>
      </c>
      <c r="X155" s="7">
        <v>0</v>
      </c>
      <c r="Y155" s="7">
        <v>2107.4499999999998</v>
      </c>
      <c r="Z155" s="7">
        <v>0</v>
      </c>
      <c r="AA155" s="7">
        <v>0</v>
      </c>
      <c r="AB155" s="7">
        <v>0</v>
      </c>
      <c r="AC155" s="7">
        <v>185.39</v>
      </c>
      <c r="AD155" s="7">
        <v>0</v>
      </c>
      <c r="AE155" s="7">
        <v>5056.0649999999996</v>
      </c>
      <c r="AF155" s="7">
        <v>2745.643</v>
      </c>
      <c r="AG155" s="7">
        <v>0</v>
      </c>
      <c r="AH155" s="7">
        <v>19477.878000000001</v>
      </c>
      <c r="AI155" s="7">
        <v>5008.4260000000004</v>
      </c>
      <c r="AJ155" s="7">
        <v>0</v>
      </c>
      <c r="AK155" s="7">
        <v>0</v>
      </c>
      <c r="AL155" s="7">
        <v>0</v>
      </c>
      <c r="AM155" s="7">
        <v>0</v>
      </c>
      <c r="AN155" s="7">
        <v>0</v>
      </c>
      <c r="AO155" s="7">
        <v>122.621</v>
      </c>
      <c r="AP155" s="7">
        <v>0</v>
      </c>
      <c r="AQ155" s="7">
        <v>970.25099999999998</v>
      </c>
      <c r="AR155" s="7">
        <v>0</v>
      </c>
      <c r="AS155" s="7">
        <v>2.9590000000000001</v>
      </c>
      <c r="AT155" s="7">
        <v>0</v>
      </c>
      <c r="AU155" s="7">
        <v>20.768000000000001</v>
      </c>
      <c r="AV155" s="7">
        <v>0</v>
      </c>
      <c r="AW155" s="7">
        <v>0</v>
      </c>
      <c r="AX155" s="7">
        <v>0</v>
      </c>
      <c r="AY155" s="7">
        <v>48.453000000000003</v>
      </c>
      <c r="AZ155" s="7">
        <v>815.07399999999996</v>
      </c>
      <c r="BA155" s="7">
        <v>0</v>
      </c>
      <c r="BB155" s="7">
        <v>47.122999999999998</v>
      </c>
      <c r="BC155" s="7">
        <v>0</v>
      </c>
      <c r="BD155" s="7">
        <v>972.38300000000004</v>
      </c>
      <c r="BE155" s="7">
        <v>10.824999999999999</v>
      </c>
      <c r="BF155" s="7">
        <v>10.824999999999999</v>
      </c>
      <c r="BG155" s="7">
        <v>307.70999999999998</v>
      </c>
      <c r="BH155" s="7">
        <v>0</v>
      </c>
      <c r="BI155" s="7">
        <v>0</v>
      </c>
      <c r="BJ155" s="21"/>
    </row>
    <row r="156" spans="1:62" ht="15.6" x14ac:dyDescent="0.3">
      <c r="A156" s="5" t="s">
        <v>295</v>
      </c>
      <c r="B156" s="5" t="s">
        <v>296</v>
      </c>
      <c r="C156" s="7">
        <v>4</v>
      </c>
      <c r="D156" s="7">
        <v>4</v>
      </c>
      <c r="E156" s="7">
        <v>149.93899999999999</v>
      </c>
      <c r="F156" s="7">
        <v>35.331000000000003</v>
      </c>
      <c r="G156" s="7">
        <v>0</v>
      </c>
      <c r="H156" s="7">
        <v>0</v>
      </c>
      <c r="I156" s="7">
        <v>0.85099999999999998</v>
      </c>
      <c r="J156" s="7">
        <v>0</v>
      </c>
      <c r="K156" s="7">
        <v>0</v>
      </c>
      <c r="L156" s="7">
        <v>398.63400000000001</v>
      </c>
      <c r="M156" s="7">
        <v>14.811999999999999</v>
      </c>
      <c r="N156" s="7">
        <v>0</v>
      </c>
      <c r="O156" s="7">
        <v>0</v>
      </c>
      <c r="P156" s="7">
        <v>0</v>
      </c>
      <c r="Q156" s="7">
        <v>0</v>
      </c>
      <c r="R156" s="7">
        <v>0</v>
      </c>
      <c r="S156" s="7">
        <v>10.965</v>
      </c>
      <c r="T156" s="7">
        <v>0</v>
      </c>
      <c r="U156" s="7">
        <v>0</v>
      </c>
      <c r="V156" s="7">
        <v>0</v>
      </c>
      <c r="W156" s="7">
        <v>3.2989999999999999</v>
      </c>
      <c r="X156" s="7">
        <v>0</v>
      </c>
      <c r="Y156" s="7">
        <v>76.867000000000004</v>
      </c>
      <c r="Z156" s="7">
        <v>0</v>
      </c>
      <c r="AA156" s="7">
        <v>0</v>
      </c>
      <c r="AB156" s="7">
        <v>0</v>
      </c>
      <c r="AC156" s="7">
        <v>6.5010000000000003</v>
      </c>
      <c r="AD156" s="7">
        <v>0</v>
      </c>
      <c r="AE156" s="7">
        <v>189.21799999999999</v>
      </c>
      <c r="AF156" s="7">
        <v>105.363</v>
      </c>
      <c r="AG156" s="7">
        <v>0</v>
      </c>
      <c r="AH156" s="7">
        <v>670.58699999999999</v>
      </c>
      <c r="AI156" s="7">
        <v>168.13900000000001</v>
      </c>
      <c r="AJ156" s="7">
        <v>0</v>
      </c>
      <c r="AK156" s="7">
        <v>0</v>
      </c>
      <c r="AL156" s="7">
        <v>0</v>
      </c>
      <c r="AM156" s="7">
        <v>0</v>
      </c>
      <c r="AN156" s="7">
        <v>0</v>
      </c>
      <c r="AO156" s="7">
        <v>5.1189999999999998</v>
      </c>
      <c r="AP156" s="7">
        <v>0</v>
      </c>
      <c r="AQ156" s="7">
        <v>37.200000000000003</v>
      </c>
      <c r="AR156" s="7">
        <v>0</v>
      </c>
      <c r="AS156" s="7">
        <v>0.11600000000000001</v>
      </c>
      <c r="AT156" s="7">
        <v>0</v>
      </c>
      <c r="AU156" s="7">
        <v>0.77</v>
      </c>
      <c r="AV156" s="7">
        <v>0</v>
      </c>
      <c r="AW156" s="7">
        <v>0</v>
      </c>
      <c r="AX156" s="7">
        <v>0</v>
      </c>
      <c r="AY156" s="7">
        <v>0</v>
      </c>
      <c r="AZ156" s="7">
        <v>0</v>
      </c>
      <c r="BA156" s="7">
        <v>0</v>
      </c>
      <c r="BB156" s="7">
        <v>1.8839999999999999</v>
      </c>
      <c r="BC156" s="7">
        <v>0</v>
      </c>
      <c r="BD156" s="7">
        <v>0</v>
      </c>
      <c r="BE156" s="7">
        <v>0.47899999999999998</v>
      </c>
      <c r="BF156" s="7">
        <v>0.47899999999999998</v>
      </c>
      <c r="BG156" s="7">
        <v>0</v>
      </c>
      <c r="BH156" s="7">
        <v>0</v>
      </c>
      <c r="BI156" s="7">
        <v>0</v>
      </c>
      <c r="BJ156" s="21"/>
    </row>
    <row r="157" spans="1:62" ht="15.6" x14ac:dyDescent="0.3">
      <c r="A157" s="5" t="s">
        <v>297</v>
      </c>
      <c r="B157" s="5" t="s">
        <v>298</v>
      </c>
      <c r="C157" s="7">
        <v>4</v>
      </c>
      <c r="D157" s="7">
        <v>4</v>
      </c>
      <c r="E157" s="7">
        <v>0</v>
      </c>
      <c r="F157" s="7">
        <v>0</v>
      </c>
      <c r="G157" s="7">
        <v>0</v>
      </c>
      <c r="H157" s="7">
        <v>0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7">
        <v>0</v>
      </c>
      <c r="U157" s="7">
        <v>0</v>
      </c>
      <c r="V157" s="7">
        <v>0</v>
      </c>
      <c r="W157" s="7">
        <v>0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7">
        <v>0</v>
      </c>
      <c r="AK157" s="7">
        <v>0</v>
      </c>
      <c r="AL157" s="7">
        <v>0</v>
      </c>
      <c r="AM157" s="7">
        <v>0</v>
      </c>
      <c r="AN157" s="7">
        <v>0</v>
      </c>
      <c r="AO157" s="7">
        <v>0</v>
      </c>
      <c r="AP157" s="7">
        <v>0</v>
      </c>
      <c r="AQ157" s="7">
        <v>0</v>
      </c>
      <c r="AR157" s="7">
        <v>0</v>
      </c>
      <c r="AS157" s="7">
        <v>0</v>
      </c>
      <c r="AT157" s="7">
        <v>0</v>
      </c>
      <c r="AU157" s="7">
        <v>0</v>
      </c>
      <c r="AV157" s="7">
        <v>0</v>
      </c>
      <c r="AW157" s="7">
        <v>0</v>
      </c>
      <c r="AX157" s="7">
        <v>0</v>
      </c>
      <c r="AY157" s="7">
        <v>0</v>
      </c>
      <c r="AZ157" s="7">
        <v>0</v>
      </c>
      <c r="BA157" s="7">
        <v>0</v>
      </c>
      <c r="BB157" s="7">
        <v>0</v>
      </c>
      <c r="BC157" s="7">
        <v>0</v>
      </c>
      <c r="BD157" s="7">
        <v>0</v>
      </c>
      <c r="BE157" s="7">
        <v>0</v>
      </c>
      <c r="BF157" s="7">
        <v>0</v>
      </c>
      <c r="BG157" s="7">
        <v>0</v>
      </c>
      <c r="BH157" s="7">
        <v>0</v>
      </c>
      <c r="BI157" s="7">
        <v>0</v>
      </c>
      <c r="BJ157" s="21"/>
    </row>
    <row r="158" spans="1:62" ht="15.6" x14ac:dyDescent="0.3">
      <c r="A158" s="5" t="s">
        <v>299</v>
      </c>
      <c r="B158" s="5" t="s">
        <v>300</v>
      </c>
      <c r="C158" s="7">
        <v>4</v>
      </c>
      <c r="D158" s="7">
        <v>4</v>
      </c>
      <c r="E158" s="7">
        <v>638.88900000000001</v>
      </c>
      <c r="F158" s="7">
        <v>58.134999999999998</v>
      </c>
      <c r="G158" s="7">
        <v>82.334999999999994</v>
      </c>
      <c r="H158" s="7">
        <v>0</v>
      </c>
      <c r="I158" s="7">
        <v>14.417999999999999</v>
      </c>
      <c r="J158" s="7">
        <v>50.328000000000003</v>
      </c>
      <c r="K158" s="7">
        <v>0</v>
      </c>
      <c r="L158" s="7">
        <v>464.589</v>
      </c>
      <c r="M158" s="7">
        <v>224.405</v>
      </c>
      <c r="N158" s="7">
        <v>0</v>
      </c>
      <c r="O158" s="7">
        <v>0</v>
      </c>
      <c r="P158" s="7">
        <v>2.665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7.4989999999999997</v>
      </c>
      <c r="W158" s="7">
        <v>22.837</v>
      </c>
      <c r="X158" s="7">
        <v>0</v>
      </c>
      <c r="Y158" s="7">
        <v>180.65199999999999</v>
      </c>
      <c r="Z158" s="7">
        <v>0</v>
      </c>
      <c r="AA158" s="7">
        <v>63.802999999999997</v>
      </c>
      <c r="AB158" s="7">
        <v>0</v>
      </c>
      <c r="AC158" s="7">
        <v>9.6989999999999998</v>
      </c>
      <c r="AD158" s="7">
        <v>0</v>
      </c>
      <c r="AE158" s="7">
        <v>578.73500000000001</v>
      </c>
      <c r="AF158" s="7">
        <v>0</v>
      </c>
      <c r="AG158" s="7">
        <v>0</v>
      </c>
      <c r="AH158" s="7">
        <v>1342.046</v>
      </c>
      <c r="AI158" s="7">
        <v>0</v>
      </c>
      <c r="AJ158" s="7">
        <v>0</v>
      </c>
      <c r="AK158" s="7">
        <v>0</v>
      </c>
      <c r="AL158" s="7">
        <v>0</v>
      </c>
      <c r="AM158" s="7">
        <v>0</v>
      </c>
      <c r="AN158" s="7">
        <v>0</v>
      </c>
      <c r="AO158" s="7">
        <v>0</v>
      </c>
      <c r="AP158" s="7">
        <v>0</v>
      </c>
      <c r="AQ158" s="7">
        <v>0</v>
      </c>
      <c r="AR158" s="7">
        <v>0</v>
      </c>
      <c r="AS158" s="7">
        <v>0</v>
      </c>
      <c r="AT158" s="7">
        <v>0</v>
      </c>
      <c r="AU158" s="7">
        <v>0</v>
      </c>
      <c r="AV158" s="7">
        <v>0</v>
      </c>
      <c r="AW158" s="7">
        <v>0</v>
      </c>
      <c r="AX158" s="7">
        <v>0</v>
      </c>
      <c r="AY158" s="7">
        <v>0</v>
      </c>
      <c r="AZ158" s="7">
        <v>0</v>
      </c>
      <c r="BA158" s="7">
        <v>0</v>
      </c>
      <c r="BB158" s="7">
        <v>0</v>
      </c>
      <c r="BC158" s="7">
        <v>0</v>
      </c>
      <c r="BD158" s="7">
        <v>0</v>
      </c>
      <c r="BE158" s="7">
        <v>0</v>
      </c>
      <c r="BF158" s="7">
        <v>0</v>
      </c>
      <c r="BG158" s="7">
        <v>0</v>
      </c>
      <c r="BH158" s="7">
        <v>0</v>
      </c>
      <c r="BI158" s="7">
        <v>0</v>
      </c>
      <c r="BJ158" s="21"/>
    </row>
    <row r="159" spans="1:62" ht="15.6" x14ac:dyDescent="0.3">
      <c r="A159" s="5" t="s">
        <v>301</v>
      </c>
      <c r="B159" s="5" t="s">
        <v>302</v>
      </c>
      <c r="C159" s="7">
        <v>4</v>
      </c>
      <c r="D159" s="7">
        <v>4</v>
      </c>
      <c r="E159" s="7">
        <v>0</v>
      </c>
      <c r="F159" s="7">
        <v>0</v>
      </c>
      <c r="G159" s="7">
        <v>0</v>
      </c>
      <c r="H159" s="7">
        <v>0</v>
      </c>
      <c r="I159" s="7">
        <v>0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0</v>
      </c>
      <c r="U159" s="7">
        <v>0</v>
      </c>
      <c r="V159" s="7">
        <v>0</v>
      </c>
      <c r="W159" s="7">
        <v>0</v>
      </c>
      <c r="X159" s="7">
        <v>0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7">
        <v>0</v>
      </c>
      <c r="AK159" s="7">
        <v>0</v>
      </c>
      <c r="AL159" s="7">
        <v>0</v>
      </c>
      <c r="AM159" s="7">
        <v>0</v>
      </c>
      <c r="AN159" s="7">
        <v>0</v>
      </c>
      <c r="AO159" s="7">
        <v>0</v>
      </c>
      <c r="AP159" s="7">
        <v>0</v>
      </c>
      <c r="AQ159" s="7">
        <v>0</v>
      </c>
      <c r="AR159" s="7">
        <v>0</v>
      </c>
      <c r="AS159" s="7">
        <v>0</v>
      </c>
      <c r="AT159" s="7">
        <v>0</v>
      </c>
      <c r="AU159" s="7">
        <v>0</v>
      </c>
      <c r="AV159" s="7">
        <v>0</v>
      </c>
      <c r="AW159" s="7">
        <v>0</v>
      </c>
      <c r="AX159" s="7">
        <v>0</v>
      </c>
      <c r="AY159" s="7">
        <v>0</v>
      </c>
      <c r="AZ159" s="7">
        <v>0</v>
      </c>
      <c r="BA159" s="7">
        <v>0</v>
      </c>
      <c r="BB159" s="7">
        <v>0</v>
      </c>
      <c r="BC159" s="7">
        <v>0</v>
      </c>
      <c r="BD159" s="7">
        <v>0</v>
      </c>
      <c r="BE159" s="7">
        <v>0</v>
      </c>
      <c r="BF159" s="7">
        <v>0</v>
      </c>
      <c r="BG159" s="7">
        <v>0</v>
      </c>
      <c r="BH159" s="7">
        <v>0</v>
      </c>
      <c r="BI159" s="7">
        <v>0</v>
      </c>
      <c r="BJ159" s="21"/>
    </row>
    <row r="160" spans="1:62" ht="15.6" x14ac:dyDescent="0.3">
      <c r="A160" s="5" t="s">
        <v>303</v>
      </c>
      <c r="B160" s="5" t="s">
        <v>304</v>
      </c>
      <c r="C160" s="7">
        <v>4</v>
      </c>
      <c r="D160" s="7">
        <v>4</v>
      </c>
      <c r="E160" s="7">
        <v>-8.0990000000000002</v>
      </c>
      <c r="F160" s="7">
        <v>-1.9079999999999999</v>
      </c>
      <c r="G160" s="7">
        <v>0</v>
      </c>
      <c r="H160" s="7">
        <v>0</v>
      </c>
      <c r="I160" s="7">
        <v>-4.5999999999999999E-2</v>
      </c>
      <c r="J160" s="7">
        <v>0</v>
      </c>
      <c r="K160" s="7">
        <v>0</v>
      </c>
      <c r="L160" s="7">
        <v>-21.532</v>
      </c>
      <c r="M160" s="7">
        <v>-0.8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-0.59199999999999997</v>
      </c>
      <c r="T160" s="7">
        <v>0</v>
      </c>
      <c r="U160" s="7">
        <v>0</v>
      </c>
      <c r="V160" s="7">
        <v>0</v>
      </c>
      <c r="W160" s="7">
        <v>-0.17799999999999999</v>
      </c>
      <c r="X160" s="7">
        <v>0</v>
      </c>
      <c r="Y160" s="7">
        <v>-4.1520000000000001</v>
      </c>
      <c r="Z160" s="7">
        <v>0</v>
      </c>
      <c r="AA160" s="7">
        <v>0</v>
      </c>
      <c r="AB160" s="7">
        <v>0</v>
      </c>
      <c r="AC160" s="7">
        <v>-0.35099999999999998</v>
      </c>
      <c r="AD160" s="7">
        <v>0</v>
      </c>
      <c r="AE160" s="7">
        <v>-10.221</v>
      </c>
      <c r="AF160" s="7">
        <v>-5.6909999999999998</v>
      </c>
      <c r="AG160" s="7">
        <v>0</v>
      </c>
      <c r="AH160" s="7">
        <v>-36.220999999999997</v>
      </c>
      <c r="AI160" s="7">
        <v>-9.0820000000000007</v>
      </c>
      <c r="AJ160" s="7">
        <v>0</v>
      </c>
      <c r="AK160" s="7">
        <v>0</v>
      </c>
      <c r="AL160" s="7">
        <v>0</v>
      </c>
      <c r="AM160" s="7">
        <v>0</v>
      </c>
      <c r="AN160" s="7">
        <v>0</v>
      </c>
      <c r="AO160" s="7">
        <v>-0.27700000000000002</v>
      </c>
      <c r="AP160" s="7">
        <v>0</v>
      </c>
      <c r="AQ160" s="7">
        <v>-2.0089999999999999</v>
      </c>
      <c r="AR160" s="7">
        <v>0</v>
      </c>
      <c r="AS160" s="7">
        <v>-6.0000000000000001E-3</v>
      </c>
      <c r="AT160" s="7">
        <v>0</v>
      </c>
      <c r="AU160" s="7">
        <v>-4.2000000000000003E-2</v>
      </c>
      <c r="AV160" s="7">
        <v>0</v>
      </c>
      <c r="AW160" s="7">
        <v>0</v>
      </c>
      <c r="AX160" s="7">
        <v>0</v>
      </c>
      <c r="AY160" s="7">
        <v>0</v>
      </c>
      <c r="AZ160" s="7">
        <v>0</v>
      </c>
      <c r="BA160" s="7">
        <v>0</v>
      </c>
      <c r="BB160" s="7">
        <v>-0.10199999999999999</v>
      </c>
      <c r="BC160" s="7">
        <v>0</v>
      </c>
      <c r="BD160" s="7">
        <v>0</v>
      </c>
      <c r="BE160" s="7">
        <v>-2.5999999999999999E-2</v>
      </c>
      <c r="BF160" s="7">
        <v>-2.5999999999999999E-2</v>
      </c>
      <c r="BG160" s="7">
        <v>0</v>
      </c>
      <c r="BH160" s="7">
        <v>0</v>
      </c>
      <c r="BI160" s="7">
        <v>0</v>
      </c>
      <c r="BJ160" s="21"/>
    </row>
    <row r="161" spans="1:62" ht="15.6" x14ac:dyDescent="0.3">
      <c r="A161" s="5" t="s">
        <v>305</v>
      </c>
      <c r="B161" s="5" t="s">
        <v>306</v>
      </c>
      <c r="C161" s="7">
        <v>4</v>
      </c>
      <c r="D161" s="7">
        <v>4</v>
      </c>
      <c r="E161" s="7">
        <v>0</v>
      </c>
      <c r="F161" s="7">
        <v>0</v>
      </c>
      <c r="G161" s="7">
        <v>0</v>
      </c>
      <c r="H161" s="7">
        <v>0</v>
      </c>
      <c r="I161" s="7">
        <v>0</v>
      </c>
      <c r="J161" s="7">
        <v>0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7">
        <v>0</v>
      </c>
      <c r="AK161" s="7">
        <v>0</v>
      </c>
      <c r="AL161" s="7">
        <v>0</v>
      </c>
      <c r="AM161" s="7">
        <v>0</v>
      </c>
      <c r="AN161" s="7">
        <v>0</v>
      </c>
      <c r="AO161" s="7">
        <v>0</v>
      </c>
      <c r="AP161" s="7">
        <v>0</v>
      </c>
      <c r="AQ161" s="7">
        <v>0</v>
      </c>
      <c r="AR161" s="7">
        <v>0</v>
      </c>
      <c r="AS161" s="7">
        <v>0</v>
      </c>
      <c r="AT161" s="7">
        <v>0</v>
      </c>
      <c r="AU161" s="7">
        <v>0</v>
      </c>
      <c r="AV161" s="7">
        <v>0</v>
      </c>
      <c r="AW161" s="7">
        <v>0</v>
      </c>
      <c r="AX161" s="7">
        <v>0</v>
      </c>
      <c r="AY161" s="7">
        <v>0</v>
      </c>
      <c r="AZ161" s="7">
        <v>0</v>
      </c>
      <c r="BA161" s="7">
        <v>0</v>
      </c>
      <c r="BB161" s="7">
        <v>0</v>
      </c>
      <c r="BC161" s="7">
        <v>0</v>
      </c>
      <c r="BD161" s="7">
        <v>0</v>
      </c>
      <c r="BE161" s="7">
        <v>0</v>
      </c>
      <c r="BF161" s="7">
        <v>0</v>
      </c>
      <c r="BG161" s="7">
        <v>0</v>
      </c>
      <c r="BH161" s="7">
        <v>0</v>
      </c>
      <c r="BI161" s="7">
        <v>0</v>
      </c>
      <c r="BJ161" s="21"/>
    </row>
    <row r="162" spans="1:62" ht="15.6" x14ac:dyDescent="0.3">
      <c r="A162" s="5" t="s">
        <v>307</v>
      </c>
      <c r="B162" s="5" t="s">
        <v>308</v>
      </c>
      <c r="C162" s="7">
        <v>4</v>
      </c>
      <c r="D162" s="7">
        <v>4</v>
      </c>
      <c r="E162" s="7">
        <v>0</v>
      </c>
      <c r="F162" s="7">
        <v>0</v>
      </c>
      <c r="G162" s="7">
        <v>0</v>
      </c>
      <c r="H162" s="7">
        <v>0</v>
      </c>
      <c r="I162" s="7">
        <v>0</v>
      </c>
      <c r="J162" s="7">
        <v>0</v>
      </c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>
        <v>0</v>
      </c>
      <c r="AI162" s="7">
        <v>0</v>
      </c>
      <c r="AJ162" s="7">
        <v>0</v>
      </c>
      <c r="AK162" s="7">
        <v>0</v>
      </c>
      <c r="AL162" s="7">
        <v>0</v>
      </c>
      <c r="AM162" s="7">
        <v>0</v>
      </c>
      <c r="AN162" s="7">
        <v>0</v>
      </c>
      <c r="AO162" s="7">
        <v>0</v>
      </c>
      <c r="AP162" s="7">
        <v>0</v>
      </c>
      <c r="AQ162" s="7">
        <v>0</v>
      </c>
      <c r="AR162" s="7">
        <v>0</v>
      </c>
      <c r="AS162" s="7">
        <v>0</v>
      </c>
      <c r="AT162" s="7">
        <v>0</v>
      </c>
      <c r="AU162" s="7">
        <v>0</v>
      </c>
      <c r="AV162" s="7">
        <v>0</v>
      </c>
      <c r="AW162" s="7">
        <v>0</v>
      </c>
      <c r="AX162" s="7">
        <v>0</v>
      </c>
      <c r="AY162" s="7">
        <v>0</v>
      </c>
      <c r="AZ162" s="7">
        <v>0</v>
      </c>
      <c r="BA162" s="7">
        <v>0</v>
      </c>
      <c r="BB162" s="7">
        <v>0</v>
      </c>
      <c r="BC162" s="7">
        <v>0</v>
      </c>
      <c r="BD162" s="7">
        <v>0</v>
      </c>
      <c r="BE162" s="7">
        <v>0</v>
      </c>
      <c r="BF162" s="7">
        <v>0</v>
      </c>
      <c r="BG162" s="7">
        <v>0</v>
      </c>
      <c r="BH162" s="7">
        <v>0</v>
      </c>
      <c r="BI162" s="7">
        <v>0</v>
      </c>
      <c r="BJ162" s="21"/>
    </row>
    <row r="163" spans="1:62" ht="15.6" x14ac:dyDescent="0.3">
      <c r="A163" s="5" t="s">
        <v>293</v>
      </c>
      <c r="B163" s="5" t="s">
        <v>309</v>
      </c>
      <c r="C163" s="7">
        <v>6</v>
      </c>
      <c r="D163" s="7">
        <v>6</v>
      </c>
      <c r="E163" s="7">
        <v>0</v>
      </c>
      <c r="F163" s="7">
        <v>0</v>
      </c>
      <c r="G163" s="7">
        <v>0</v>
      </c>
      <c r="H163" s="7">
        <v>2462.1909999999998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7">
        <v>0</v>
      </c>
      <c r="AK163" s="7">
        <v>0</v>
      </c>
      <c r="AL163" s="7">
        <v>0</v>
      </c>
      <c r="AM163" s="7">
        <v>0</v>
      </c>
      <c r="AN163" s="7">
        <v>0</v>
      </c>
      <c r="AO163" s="7">
        <v>0</v>
      </c>
      <c r="AP163" s="7">
        <v>0</v>
      </c>
      <c r="AQ163" s="7">
        <v>0</v>
      </c>
      <c r="AR163" s="7">
        <v>0</v>
      </c>
      <c r="AS163" s="7">
        <v>0</v>
      </c>
      <c r="AT163" s="7">
        <v>0</v>
      </c>
      <c r="AU163" s="7">
        <v>0</v>
      </c>
      <c r="AV163" s="7">
        <v>0</v>
      </c>
      <c r="AW163" s="7">
        <v>0</v>
      </c>
      <c r="AX163" s="7">
        <v>0</v>
      </c>
      <c r="AY163" s="7">
        <v>0</v>
      </c>
      <c r="AZ163" s="7">
        <v>0</v>
      </c>
      <c r="BA163" s="7">
        <v>0</v>
      </c>
      <c r="BB163" s="7">
        <v>0</v>
      </c>
      <c r="BC163" s="7">
        <v>0</v>
      </c>
      <c r="BD163" s="7">
        <v>0</v>
      </c>
      <c r="BE163" s="7">
        <v>0</v>
      </c>
      <c r="BF163" s="7">
        <v>0</v>
      </c>
      <c r="BG163" s="7">
        <v>0</v>
      </c>
      <c r="BH163" s="7">
        <v>0</v>
      </c>
      <c r="BI163" s="7">
        <v>0</v>
      </c>
      <c r="BJ163" s="21"/>
    </row>
    <row r="164" spans="1:62" ht="15.6" x14ac:dyDescent="0.3">
      <c r="A164" s="5" t="s">
        <v>310</v>
      </c>
      <c r="B164" s="5" t="s">
        <v>311</v>
      </c>
      <c r="C164" s="7">
        <v>6</v>
      </c>
      <c r="D164" s="7">
        <v>6</v>
      </c>
      <c r="E164" s="7">
        <v>0</v>
      </c>
      <c r="F164" s="7">
        <v>0</v>
      </c>
      <c r="G164" s="7">
        <v>0</v>
      </c>
      <c r="H164" s="7">
        <v>0</v>
      </c>
      <c r="I164" s="7">
        <v>0</v>
      </c>
      <c r="J164" s="7">
        <v>0</v>
      </c>
      <c r="K164" s="7">
        <v>0</v>
      </c>
      <c r="L164" s="7">
        <v>0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0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0</v>
      </c>
      <c r="AB164" s="7">
        <v>0</v>
      </c>
      <c r="AC164" s="7">
        <v>0</v>
      </c>
      <c r="AD164" s="7">
        <v>0</v>
      </c>
      <c r="AE164" s="7">
        <v>0</v>
      </c>
      <c r="AF164" s="7">
        <v>0</v>
      </c>
      <c r="AG164" s="7">
        <v>0</v>
      </c>
      <c r="AH164" s="7">
        <v>0</v>
      </c>
      <c r="AI164" s="7">
        <v>0</v>
      </c>
      <c r="AJ164" s="7">
        <v>0</v>
      </c>
      <c r="AK164" s="7">
        <v>0</v>
      </c>
      <c r="AL164" s="7">
        <v>0</v>
      </c>
      <c r="AM164" s="7">
        <v>0</v>
      </c>
      <c r="AN164" s="7">
        <v>0</v>
      </c>
      <c r="AO164" s="7">
        <v>0</v>
      </c>
      <c r="AP164" s="7">
        <v>0</v>
      </c>
      <c r="AQ164" s="7">
        <v>0</v>
      </c>
      <c r="AR164" s="7">
        <v>0</v>
      </c>
      <c r="AS164" s="7">
        <v>0</v>
      </c>
      <c r="AT164" s="7">
        <v>0</v>
      </c>
      <c r="AU164" s="7">
        <v>0</v>
      </c>
      <c r="AV164" s="7">
        <v>0</v>
      </c>
      <c r="AW164" s="7">
        <v>0</v>
      </c>
      <c r="AX164" s="7">
        <v>0</v>
      </c>
      <c r="AY164" s="7">
        <v>0</v>
      </c>
      <c r="AZ164" s="7">
        <v>0</v>
      </c>
      <c r="BA164" s="7">
        <v>0</v>
      </c>
      <c r="BB164" s="7">
        <v>0</v>
      </c>
      <c r="BC164" s="7">
        <v>0</v>
      </c>
      <c r="BD164" s="7">
        <v>0</v>
      </c>
      <c r="BE164" s="7">
        <v>0</v>
      </c>
      <c r="BF164" s="7">
        <v>0</v>
      </c>
      <c r="BG164" s="7">
        <v>0</v>
      </c>
      <c r="BH164" s="7">
        <v>0</v>
      </c>
      <c r="BI164" s="7">
        <v>0</v>
      </c>
      <c r="BJ164" s="21"/>
    </row>
    <row r="165" spans="1:62" ht="15.6" x14ac:dyDescent="0.3">
      <c r="A165" s="5" t="s">
        <v>312</v>
      </c>
      <c r="B165" s="5" t="s">
        <v>313</v>
      </c>
      <c r="C165" s="7">
        <v>6</v>
      </c>
      <c r="D165" s="7">
        <v>6</v>
      </c>
      <c r="E165" s="7">
        <v>652.45699999999999</v>
      </c>
      <c r="F165" s="7">
        <v>149.267</v>
      </c>
      <c r="G165" s="7">
        <v>66.057000000000002</v>
      </c>
      <c r="H165" s="7">
        <v>0</v>
      </c>
      <c r="I165" s="7">
        <v>15.224</v>
      </c>
      <c r="J165" s="7">
        <v>52.036000000000001</v>
      </c>
      <c r="K165" s="7">
        <v>0</v>
      </c>
      <c r="L165" s="7">
        <v>1191.49</v>
      </c>
      <c r="M165" s="7">
        <v>262.05500000000001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44.771000000000001</v>
      </c>
      <c r="T165" s="7">
        <v>0</v>
      </c>
      <c r="U165" s="7">
        <v>0</v>
      </c>
      <c r="V165" s="7">
        <v>8.093</v>
      </c>
      <c r="W165" s="7">
        <v>26.576000000000001</v>
      </c>
      <c r="X165" s="7">
        <v>0</v>
      </c>
      <c r="Y165" s="7">
        <v>273.99099999999999</v>
      </c>
      <c r="Z165" s="7">
        <v>0</v>
      </c>
      <c r="AA165" s="7">
        <v>62.103999999999999</v>
      </c>
      <c r="AB165" s="7">
        <v>0</v>
      </c>
      <c r="AC165" s="7">
        <v>25.565000000000001</v>
      </c>
      <c r="AD165" s="7">
        <v>0</v>
      </c>
      <c r="AE165" s="7">
        <v>618.28899999999999</v>
      </c>
      <c r="AF165" s="7">
        <v>243.172</v>
      </c>
      <c r="AG165" s="7">
        <v>0</v>
      </c>
      <c r="AH165" s="7">
        <v>2328.8389999999999</v>
      </c>
      <c r="AI165" s="7">
        <v>388.05500000000001</v>
      </c>
      <c r="AJ165" s="7">
        <v>0</v>
      </c>
      <c r="AK165" s="7">
        <v>0</v>
      </c>
      <c r="AL165" s="7">
        <v>0</v>
      </c>
      <c r="AM165" s="7">
        <v>0</v>
      </c>
      <c r="AN165" s="7">
        <v>0</v>
      </c>
      <c r="AO165" s="7">
        <v>15.285</v>
      </c>
      <c r="AP165" s="7">
        <v>0</v>
      </c>
      <c r="AQ165" s="7">
        <v>85.856999999999999</v>
      </c>
      <c r="AR165" s="7">
        <v>0</v>
      </c>
      <c r="AS165" s="7">
        <v>0.29199999999999998</v>
      </c>
      <c r="AT165" s="7">
        <v>0</v>
      </c>
      <c r="AU165" s="7">
        <v>1.776</v>
      </c>
      <c r="AV165" s="7">
        <v>0</v>
      </c>
      <c r="AW165" s="7">
        <v>0</v>
      </c>
      <c r="AX165" s="7">
        <v>0</v>
      </c>
      <c r="AY165" s="7">
        <v>0</v>
      </c>
      <c r="AZ165" s="7">
        <v>0</v>
      </c>
      <c r="BA165" s="7">
        <v>0</v>
      </c>
      <c r="BB165" s="7">
        <v>5.7279999999999998</v>
      </c>
      <c r="BC165" s="7">
        <v>0</v>
      </c>
      <c r="BD165" s="7">
        <v>0</v>
      </c>
      <c r="BE165" s="7">
        <v>1.6639999999999999</v>
      </c>
      <c r="BF165" s="7">
        <v>1.6639999999999999</v>
      </c>
      <c r="BG165" s="7">
        <v>0</v>
      </c>
      <c r="BH165" s="7">
        <v>0</v>
      </c>
      <c r="BI165" s="7">
        <v>0</v>
      </c>
      <c r="BJ165" s="21"/>
    </row>
    <row r="166" spans="1:62" ht="15.6" x14ac:dyDescent="0.3">
      <c r="A166" s="5" t="s">
        <v>297</v>
      </c>
      <c r="B166" s="5" t="s">
        <v>314</v>
      </c>
      <c r="C166" s="7">
        <v>6</v>
      </c>
      <c r="D166" s="7">
        <v>6</v>
      </c>
      <c r="E166" s="7">
        <v>0</v>
      </c>
      <c r="F166" s="7">
        <v>0</v>
      </c>
      <c r="G166" s="7">
        <v>0</v>
      </c>
      <c r="H166" s="7">
        <v>0</v>
      </c>
      <c r="I166" s="7">
        <v>0</v>
      </c>
      <c r="J166" s="7">
        <v>0</v>
      </c>
      <c r="K166" s="7">
        <v>0</v>
      </c>
      <c r="L166" s="7">
        <v>0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0</v>
      </c>
      <c r="U166" s="7">
        <v>0</v>
      </c>
      <c r="V166" s="7">
        <v>0</v>
      </c>
      <c r="W166" s="7">
        <v>0</v>
      </c>
      <c r="X166" s="7">
        <v>0</v>
      </c>
      <c r="Y166" s="7">
        <v>0</v>
      </c>
      <c r="Z166" s="7">
        <v>0</v>
      </c>
      <c r="AA166" s="7">
        <v>0</v>
      </c>
      <c r="AB166" s="7">
        <v>0</v>
      </c>
      <c r="AC166" s="7">
        <v>0</v>
      </c>
      <c r="AD166" s="7">
        <v>0</v>
      </c>
      <c r="AE166" s="7">
        <v>0</v>
      </c>
      <c r="AF166" s="7">
        <v>0</v>
      </c>
      <c r="AG166" s="7">
        <v>0</v>
      </c>
      <c r="AH166" s="7">
        <v>0</v>
      </c>
      <c r="AI166" s="7">
        <v>0</v>
      </c>
      <c r="AJ166" s="7">
        <v>0</v>
      </c>
      <c r="AK166" s="7">
        <v>0</v>
      </c>
      <c r="AL166" s="7">
        <v>0</v>
      </c>
      <c r="AM166" s="7">
        <v>0</v>
      </c>
      <c r="AN166" s="7">
        <v>0</v>
      </c>
      <c r="AO166" s="7">
        <v>0</v>
      </c>
      <c r="AP166" s="7">
        <v>0</v>
      </c>
      <c r="AQ166" s="7">
        <v>0</v>
      </c>
      <c r="AR166" s="7">
        <v>0</v>
      </c>
      <c r="AS166" s="7">
        <v>0</v>
      </c>
      <c r="AT166" s="7">
        <v>0</v>
      </c>
      <c r="AU166" s="7">
        <v>0</v>
      </c>
      <c r="AV166" s="7">
        <v>0</v>
      </c>
      <c r="AW166" s="7">
        <v>0</v>
      </c>
      <c r="AX166" s="7">
        <v>0</v>
      </c>
      <c r="AY166" s="7">
        <v>0</v>
      </c>
      <c r="AZ166" s="7">
        <v>0</v>
      </c>
      <c r="BA166" s="7">
        <v>0</v>
      </c>
      <c r="BB166" s="7">
        <v>0</v>
      </c>
      <c r="BC166" s="7">
        <v>0</v>
      </c>
      <c r="BD166" s="7">
        <v>0</v>
      </c>
      <c r="BE166" s="7">
        <v>0</v>
      </c>
      <c r="BF166" s="7">
        <v>0</v>
      </c>
      <c r="BG166" s="7">
        <v>0</v>
      </c>
      <c r="BH166" s="7">
        <v>0</v>
      </c>
      <c r="BI166" s="7">
        <v>0</v>
      </c>
      <c r="BJ166" s="21"/>
    </row>
    <row r="167" spans="1:62" ht="15.6" x14ac:dyDescent="0.3">
      <c r="A167" s="5" t="s">
        <v>299</v>
      </c>
      <c r="B167" s="5" t="s">
        <v>315</v>
      </c>
      <c r="C167" s="7">
        <v>6</v>
      </c>
      <c r="D167" s="7">
        <v>6</v>
      </c>
      <c r="E167" s="7">
        <v>694.53800000000001</v>
      </c>
      <c r="F167" s="7">
        <v>63.198</v>
      </c>
      <c r="G167" s="7">
        <v>89.506</v>
      </c>
      <c r="H167" s="7">
        <v>0</v>
      </c>
      <c r="I167" s="7">
        <v>15.673999999999999</v>
      </c>
      <c r="J167" s="7">
        <v>54.712000000000003</v>
      </c>
      <c r="K167" s="7">
        <v>0</v>
      </c>
      <c r="L167" s="7">
        <v>505.05500000000001</v>
      </c>
      <c r="M167" s="7">
        <v>243.95099999999999</v>
      </c>
      <c r="N167" s="7">
        <v>0</v>
      </c>
      <c r="O167" s="7">
        <v>0</v>
      </c>
      <c r="P167" s="7">
        <v>2.8969999999999998</v>
      </c>
      <c r="Q167" s="7">
        <v>0</v>
      </c>
      <c r="R167" s="7">
        <v>0</v>
      </c>
      <c r="S167" s="7">
        <v>0</v>
      </c>
      <c r="T167" s="7">
        <v>0</v>
      </c>
      <c r="U167" s="7">
        <v>0</v>
      </c>
      <c r="V167" s="7">
        <v>8.1519999999999992</v>
      </c>
      <c r="W167" s="7">
        <v>24.826000000000001</v>
      </c>
      <c r="X167" s="7">
        <v>0</v>
      </c>
      <c r="Y167" s="7">
        <v>196.387</v>
      </c>
      <c r="Z167" s="7">
        <v>0</v>
      </c>
      <c r="AA167" s="7">
        <v>69.36</v>
      </c>
      <c r="AB167" s="7">
        <v>0</v>
      </c>
      <c r="AC167" s="7">
        <v>10.544</v>
      </c>
      <c r="AD167" s="7">
        <v>0</v>
      </c>
      <c r="AE167" s="7">
        <v>629.14400000000001</v>
      </c>
      <c r="AF167" s="7">
        <v>0</v>
      </c>
      <c r="AG167" s="7">
        <v>0</v>
      </c>
      <c r="AH167" s="7">
        <v>1458.94</v>
      </c>
      <c r="AI167" s="7">
        <v>0</v>
      </c>
      <c r="AJ167" s="7">
        <v>0</v>
      </c>
      <c r="AK167" s="7">
        <v>0</v>
      </c>
      <c r="AL167" s="7">
        <v>0</v>
      </c>
      <c r="AM167" s="7">
        <v>0</v>
      </c>
      <c r="AN167" s="7">
        <v>0</v>
      </c>
      <c r="AO167" s="7">
        <v>0</v>
      </c>
      <c r="AP167" s="7">
        <v>0</v>
      </c>
      <c r="AQ167" s="7">
        <v>0</v>
      </c>
      <c r="AR167" s="7">
        <v>0</v>
      </c>
      <c r="AS167" s="7">
        <v>0</v>
      </c>
      <c r="AT167" s="7">
        <v>0</v>
      </c>
      <c r="AU167" s="7">
        <v>0</v>
      </c>
      <c r="AV167" s="7">
        <v>0</v>
      </c>
      <c r="AW167" s="7">
        <v>0</v>
      </c>
      <c r="AX167" s="7">
        <v>0</v>
      </c>
      <c r="AY167" s="7">
        <v>0</v>
      </c>
      <c r="AZ167" s="7">
        <v>0</v>
      </c>
      <c r="BA167" s="7">
        <v>0</v>
      </c>
      <c r="BB167" s="7">
        <v>0</v>
      </c>
      <c r="BC167" s="7">
        <v>0</v>
      </c>
      <c r="BD167" s="7">
        <v>0</v>
      </c>
      <c r="BE167" s="7">
        <v>0</v>
      </c>
      <c r="BF167" s="7">
        <v>0</v>
      </c>
      <c r="BG167" s="7">
        <v>0</v>
      </c>
      <c r="BH167" s="7">
        <v>0</v>
      </c>
      <c r="BI167" s="7">
        <v>0</v>
      </c>
      <c r="BJ167" s="21"/>
    </row>
    <row r="168" spans="1:62" ht="15.6" x14ac:dyDescent="0.3">
      <c r="A168" s="5" t="s">
        <v>301</v>
      </c>
      <c r="B168" s="5" t="s">
        <v>316</v>
      </c>
      <c r="C168" s="7">
        <v>6</v>
      </c>
      <c r="D168" s="7">
        <v>6</v>
      </c>
      <c r="E168" s="7">
        <v>0</v>
      </c>
      <c r="F168" s="7">
        <v>0</v>
      </c>
      <c r="G168" s="7">
        <v>0</v>
      </c>
      <c r="H168" s="7">
        <v>0</v>
      </c>
      <c r="I168" s="7">
        <v>0</v>
      </c>
      <c r="J168" s="7">
        <v>0</v>
      </c>
      <c r="K168" s="7">
        <v>0</v>
      </c>
      <c r="L168" s="7">
        <v>0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0</v>
      </c>
      <c r="S168" s="7">
        <v>0</v>
      </c>
      <c r="T168" s="7">
        <v>0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0</v>
      </c>
      <c r="AB168" s="7">
        <v>0</v>
      </c>
      <c r="AC168" s="7">
        <v>0</v>
      </c>
      <c r="AD168" s="7">
        <v>0</v>
      </c>
      <c r="AE168" s="7">
        <v>0</v>
      </c>
      <c r="AF168" s="7">
        <v>0</v>
      </c>
      <c r="AG168" s="7">
        <v>0</v>
      </c>
      <c r="AH168" s="7">
        <v>0</v>
      </c>
      <c r="AI168" s="7">
        <v>0</v>
      </c>
      <c r="AJ168" s="7">
        <v>0</v>
      </c>
      <c r="AK168" s="7">
        <v>0</v>
      </c>
      <c r="AL168" s="7">
        <v>0</v>
      </c>
      <c r="AM168" s="7">
        <v>0</v>
      </c>
      <c r="AN168" s="7">
        <v>0</v>
      </c>
      <c r="AO168" s="7">
        <v>0</v>
      </c>
      <c r="AP168" s="7">
        <v>0</v>
      </c>
      <c r="AQ168" s="7">
        <v>0</v>
      </c>
      <c r="AR168" s="7">
        <v>0</v>
      </c>
      <c r="AS168" s="7">
        <v>0</v>
      </c>
      <c r="AT168" s="7">
        <v>0</v>
      </c>
      <c r="AU168" s="7">
        <v>0</v>
      </c>
      <c r="AV168" s="7">
        <v>0</v>
      </c>
      <c r="AW168" s="7">
        <v>0</v>
      </c>
      <c r="AX168" s="7">
        <v>0</v>
      </c>
      <c r="AY168" s="7">
        <v>0</v>
      </c>
      <c r="AZ168" s="7">
        <v>0</v>
      </c>
      <c r="BA168" s="7">
        <v>0</v>
      </c>
      <c r="BB168" s="7">
        <v>0</v>
      </c>
      <c r="BC168" s="7">
        <v>0</v>
      </c>
      <c r="BD168" s="7">
        <v>0</v>
      </c>
      <c r="BE168" s="7">
        <v>0</v>
      </c>
      <c r="BF168" s="7">
        <v>0</v>
      </c>
      <c r="BG168" s="7">
        <v>0</v>
      </c>
      <c r="BH168" s="7">
        <v>0</v>
      </c>
      <c r="BI168" s="7">
        <v>0</v>
      </c>
      <c r="BJ168" s="21"/>
    </row>
    <row r="169" spans="1:62" ht="15.6" x14ac:dyDescent="0.3">
      <c r="A169" s="5" t="s">
        <v>317</v>
      </c>
      <c r="B169" s="5" t="s">
        <v>318</v>
      </c>
      <c r="C169" s="7">
        <v>6</v>
      </c>
      <c r="D169" s="7">
        <v>6</v>
      </c>
      <c r="E169" s="7">
        <v>0</v>
      </c>
      <c r="F169" s="7">
        <v>0</v>
      </c>
      <c r="G169" s="7">
        <v>0</v>
      </c>
      <c r="H169" s="7">
        <v>0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7">
        <v>0</v>
      </c>
      <c r="AK169" s="7">
        <v>0</v>
      </c>
      <c r="AL169" s="7">
        <v>0</v>
      </c>
      <c r="AM169" s="7">
        <v>0</v>
      </c>
      <c r="AN169" s="7">
        <v>0</v>
      </c>
      <c r="AO169" s="7">
        <v>0</v>
      </c>
      <c r="AP169" s="7">
        <v>0</v>
      </c>
      <c r="AQ169" s="7">
        <v>0</v>
      </c>
      <c r="AR169" s="7">
        <v>0</v>
      </c>
      <c r="AS169" s="7">
        <v>0</v>
      </c>
      <c r="AT169" s="7">
        <v>0</v>
      </c>
      <c r="AU169" s="7">
        <v>0</v>
      </c>
      <c r="AV169" s="7">
        <v>0</v>
      </c>
      <c r="AW169" s="7">
        <v>0</v>
      </c>
      <c r="AX169" s="7">
        <v>0</v>
      </c>
      <c r="AY169" s="7">
        <v>0</v>
      </c>
      <c r="AZ169" s="7">
        <v>0</v>
      </c>
      <c r="BA169" s="7">
        <v>0</v>
      </c>
      <c r="BB169" s="7">
        <v>0</v>
      </c>
      <c r="BC169" s="7">
        <v>0</v>
      </c>
      <c r="BD169" s="7">
        <v>0</v>
      </c>
      <c r="BE169" s="7">
        <v>0</v>
      </c>
      <c r="BF169" s="7">
        <v>0</v>
      </c>
      <c r="BG169" s="7">
        <v>0</v>
      </c>
      <c r="BH169" s="7">
        <v>0</v>
      </c>
      <c r="BI169" s="7">
        <v>0</v>
      </c>
      <c r="BJ169" s="21"/>
    </row>
    <row r="170" spans="1:62" ht="15.6" x14ac:dyDescent="0.3">
      <c r="A170" s="5" t="s">
        <v>319</v>
      </c>
      <c r="B170" s="5" t="s">
        <v>320</v>
      </c>
      <c r="C170" s="7">
        <v>6</v>
      </c>
      <c r="D170" s="7">
        <v>6</v>
      </c>
      <c r="E170" s="7">
        <v>-643.23900000000003</v>
      </c>
      <c r="F170" s="7">
        <v>-146.245</v>
      </c>
      <c r="G170" s="7">
        <v>-78.602999999999994</v>
      </c>
      <c r="H170" s="7">
        <v>0</v>
      </c>
      <c r="I170" s="7">
        <v>-17.36</v>
      </c>
      <c r="J170" s="7">
        <v>-61.918999999999997</v>
      </c>
      <c r="K170" s="7">
        <v>0</v>
      </c>
      <c r="L170" s="7">
        <v>-1063.817</v>
      </c>
      <c r="M170" s="7">
        <v>-298.67599999999999</v>
      </c>
      <c r="N170" s="7">
        <v>0</v>
      </c>
      <c r="O170" s="7">
        <v>0</v>
      </c>
      <c r="P170" s="7">
        <v>0</v>
      </c>
      <c r="Q170" s="7">
        <v>0</v>
      </c>
      <c r="R170" s="7">
        <v>0</v>
      </c>
      <c r="S170" s="7">
        <v>-43.537999999999997</v>
      </c>
      <c r="T170" s="7">
        <v>0</v>
      </c>
      <c r="U170" s="7">
        <v>0</v>
      </c>
      <c r="V170" s="7">
        <v>-9.6300000000000008</v>
      </c>
      <c r="W170" s="7">
        <v>-28.693999999999999</v>
      </c>
      <c r="X170" s="7">
        <v>0</v>
      </c>
      <c r="Y170" s="7">
        <v>-257.77499999999998</v>
      </c>
      <c r="Z170" s="7">
        <v>0</v>
      </c>
      <c r="AA170" s="7">
        <v>-73.899000000000001</v>
      </c>
      <c r="AB170" s="7">
        <v>0</v>
      </c>
      <c r="AC170" s="7">
        <v>-24.648</v>
      </c>
      <c r="AD170" s="7">
        <v>0</v>
      </c>
      <c r="AE170" s="7">
        <v>-567.702</v>
      </c>
      <c r="AF170" s="7">
        <v>-195.79900000000001</v>
      </c>
      <c r="AG170" s="7">
        <v>0</v>
      </c>
      <c r="AH170" s="7">
        <v>-2175.6999999999998</v>
      </c>
      <c r="AI170" s="7">
        <v>-312.45699999999999</v>
      </c>
      <c r="AJ170" s="7">
        <v>0</v>
      </c>
      <c r="AK170" s="7">
        <v>0</v>
      </c>
      <c r="AL170" s="7">
        <v>0</v>
      </c>
      <c r="AM170" s="7">
        <v>0</v>
      </c>
      <c r="AN170" s="7">
        <v>0</v>
      </c>
      <c r="AO170" s="7">
        <v>-13.643000000000001</v>
      </c>
      <c r="AP170" s="7">
        <v>0</v>
      </c>
      <c r="AQ170" s="7">
        <v>-69.131</v>
      </c>
      <c r="AR170" s="7">
        <v>0</v>
      </c>
      <c r="AS170" s="7">
        <v>-0.245</v>
      </c>
      <c r="AT170" s="7">
        <v>0</v>
      </c>
      <c r="AU170" s="7">
        <v>-1.43</v>
      </c>
      <c r="AV170" s="7">
        <v>0</v>
      </c>
      <c r="AW170" s="7">
        <v>0</v>
      </c>
      <c r="AX170" s="7">
        <v>0</v>
      </c>
      <c r="AY170" s="7">
        <v>0</v>
      </c>
      <c r="AZ170" s="7">
        <v>0</v>
      </c>
      <c r="BA170" s="7">
        <v>0</v>
      </c>
      <c r="BB170" s="7">
        <v>-5.1429999999999998</v>
      </c>
      <c r="BC170" s="7">
        <v>0</v>
      </c>
      <c r="BD170" s="7">
        <v>0</v>
      </c>
      <c r="BE170" s="7">
        <v>-1.556</v>
      </c>
      <c r="BF170" s="7">
        <v>-1.556</v>
      </c>
      <c r="BG170" s="7">
        <v>0</v>
      </c>
      <c r="BH170" s="7">
        <v>0</v>
      </c>
      <c r="BI170" s="7">
        <v>0</v>
      </c>
      <c r="BJ170" s="21"/>
    </row>
    <row r="171" spans="1:62" ht="15.6" x14ac:dyDescent="0.3">
      <c r="A171" s="5" t="s">
        <v>305</v>
      </c>
      <c r="B171" s="5" t="s">
        <v>321</v>
      </c>
      <c r="C171" s="7">
        <v>6</v>
      </c>
      <c r="D171" s="7">
        <v>6</v>
      </c>
      <c r="E171" s="7">
        <v>0</v>
      </c>
      <c r="F171" s="7">
        <v>0</v>
      </c>
      <c r="G171" s="7">
        <v>0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7">
        <v>0</v>
      </c>
      <c r="AK171" s="7">
        <v>0</v>
      </c>
      <c r="AL171" s="7">
        <v>0</v>
      </c>
      <c r="AM171" s="7">
        <v>0</v>
      </c>
      <c r="AN171" s="7">
        <v>0</v>
      </c>
      <c r="AO171" s="7">
        <v>0</v>
      </c>
      <c r="AP171" s="7">
        <v>0</v>
      </c>
      <c r="AQ171" s="7">
        <v>0</v>
      </c>
      <c r="AR171" s="7">
        <v>0</v>
      </c>
      <c r="AS171" s="7">
        <v>0</v>
      </c>
      <c r="AT171" s="7">
        <v>0</v>
      </c>
      <c r="AU171" s="7">
        <v>0</v>
      </c>
      <c r="AV171" s="7">
        <v>0</v>
      </c>
      <c r="AW171" s="7">
        <v>0</v>
      </c>
      <c r="AX171" s="7">
        <v>0</v>
      </c>
      <c r="AY171" s="7">
        <v>0</v>
      </c>
      <c r="AZ171" s="7">
        <v>0</v>
      </c>
      <c r="BA171" s="7">
        <v>0</v>
      </c>
      <c r="BB171" s="7">
        <v>0</v>
      </c>
      <c r="BC171" s="7">
        <v>0</v>
      </c>
      <c r="BD171" s="7">
        <v>0</v>
      </c>
      <c r="BE171" s="7">
        <v>0</v>
      </c>
      <c r="BF171" s="7">
        <v>0</v>
      </c>
      <c r="BG171" s="7">
        <v>0</v>
      </c>
      <c r="BH171" s="7">
        <v>0</v>
      </c>
      <c r="BI171" s="7">
        <v>0</v>
      </c>
      <c r="BJ171" s="21"/>
    </row>
    <row r="172" spans="1:62" ht="15.6" x14ac:dyDescent="0.3">
      <c r="A172" s="5" t="s">
        <v>307</v>
      </c>
      <c r="B172" s="5" t="s">
        <v>322</v>
      </c>
      <c r="C172" s="7">
        <v>6</v>
      </c>
      <c r="D172" s="7">
        <v>6</v>
      </c>
      <c r="E172" s="7">
        <v>0</v>
      </c>
      <c r="F172" s="7">
        <v>0</v>
      </c>
      <c r="G172" s="7">
        <v>0</v>
      </c>
      <c r="H172" s="7">
        <v>0</v>
      </c>
      <c r="I172" s="7">
        <v>0</v>
      </c>
      <c r="J172" s="7">
        <v>0</v>
      </c>
      <c r="K172" s="7">
        <v>0</v>
      </c>
      <c r="L172" s="7">
        <v>0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0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>
        <v>0</v>
      </c>
      <c r="AI172" s="7">
        <v>0</v>
      </c>
      <c r="AJ172" s="7">
        <v>0</v>
      </c>
      <c r="AK172" s="7">
        <v>0</v>
      </c>
      <c r="AL172" s="7">
        <v>0</v>
      </c>
      <c r="AM172" s="7">
        <v>0</v>
      </c>
      <c r="AN172" s="7">
        <v>0</v>
      </c>
      <c r="AO172" s="7">
        <v>0</v>
      </c>
      <c r="AP172" s="7">
        <v>0</v>
      </c>
      <c r="AQ172" s="7">
        <v>0</v>
      </c>
      <c r="AR172" s="7">
        <v>0</v>
      </c>
      <c r="AS172" s="7">
        <v>0</v>
      </c>
      <c r="AT172" s="7">
        <v>0</v>
      </c>
      <c r="AU172" s="7">
        <v>0</v>
      </c>
      <c r="AV172" s="7">
        <v>0</v>
      </c>
      <c r="AW172" s="7">
        <v>0</v>
      </c>
      <c r="AX172" s="7">
        <v>0</v>
      </c>
      <c r="AY172" s="7">
        <v>0</v>
      </c>
      <c r="AZ172" s="7">
        <v>0</v>
      </c>
      <c r="BA172" s="7">
        <v>0</v>
      </c>
      <c r="BB172" s="7">
        <v>0</v>
      </c>
      <c r="BC172" s="7">
        <v>0</v>
      </c>
      <c r="BD172" s="7">
        <v>0</v>
      </c>
      <c r="BE172" s="7">
        <v>0</v>
      </c>
      <c r="BF172" s="7">
        <v>0</v>
      </c>
      <c r="BG172" s="7">
        <v>0</v>
      </c>
      <c r="BH172" s="7">
        <v>0</v>
      </c>
      <c r="BI172" s="7">
        <v>0</v>
      </c>
      <c r="BJ172" s="21"/>
    </row>
    <row r="173" spans="1:62" ht="15.6" x14ac:dyDescent="0.3">
      <c r="A173" s="5" t="s">
        <v>323</v>
      </c>
      <c r="B173" s="5" t="s">
        <v>324</v>
      </c>
      <c r="C173" s="7">
        <v>4</v>
      </c>
      <c r="D173" s="7">
        <v>4</v>
      </c>
      <c r="E173" s="7">
        <v>4084.2240000000002</v>
      </c>
      <c r="F173" s="7">
        <v>872.96900000000005</v>
      </c>
      <c r="G173" s="7">
        <v>0</v>
      </c>
      <c r="H173" s="7">
        <v>0</v>
      </c>
      <c r="I173" s="7">
        <v>29.332999999999998</v>
      </c>
      <c r="J173" s="7">
        <v>0</v>
      </c>
      <c r="K173" s="7">
        <v>0</v>
      </c>
      <c r="L173" s="7">
        <v>10009.99</v>
      </c>
      <c r="M173" s="7">
        <v>607.35500000000002</v>
      </c>
      <c r="N173" s="7">
        <v>0</v>
      </c>
      <c r="O173" s="7">
        <v>0</v>
      </c>
      <c r="P173" s="7">
        <v>0.10199999999999999</v>
      </c>
      <c r="Q173" s="7">
        <v>0</v>
      </c>
      <c r="R173" s="7">
        <v>0</v>
      </c>
      <c r="S173" s="7">
        <v>276.916</v>
      </c>
      <c r="T173" s="7">
        <v>0</v>
      </c>
      <c r="U173" s="7">
        <v>0</v>
      </c>
      <c r="V173" s="7">
        <v>0</v>
      </c>
      <c r="W173" s="7">
        <v>91.156000000000006</v>
      </c>
      <c r="X173" s="7">
        <v>0</v>
      </c>
      <c r="Y173" s="7">
        <v>1893.9849999999999</v>
      </c>
      <c r="Z173" s="7">
        <v>0</v>
      </c>
      <c r="AA173" s="7">
        <v>0</v>
      </c>
      <c r="AB173" s="7">
        <v>0</v>
      </c>
      <c r="AC173" s="7">
        <v>165.79599999999999</v>
      </c>
      <c r="AD173" s="7">
        <v>0</v>
      </c>
      <c r="AE173" s="7">
        <v>4585.9639999999999</v>
      </c>
      <c r="AF173" s="7">
        <v>2534.819</v>
      </c>
      <c r="AG173" s="7">
        <v>0</v>
      </c>
      <c r="AH173" s="7">
        <v>17505.294999999998</v>
      </c>
      <c r="AI173" s="7">
        <v>4410.6310000000003</v>
      </c>
      <c r="AJ173" s="7">
        <v>0</v>
      </c>
      <c r="AK173" s="7">
        <v>0</v>
      </c>
      <c r="AL173" s="7">
        <v>0</v>
      </c>
      <c r="AM173" s="7">
        <v>0</v>
      </c>
      <c r="AN173" s="7">
        <v>0</v>
      </c>
      <c r="AO173" s="7">
        <v>115.85299999999999</v>
      </c>
      <c r="AP173" s="7">
        <v>0</v>
      </c>
      <c r="AQ173" s="7">
        <v>890.50400000000002</v>
      </c>
      <c r="AR173" s="7">
        <v>0</v>
      </c>
      <c r="AS173" s="7">
        <v>2.7290000000000001</v>
      </c>
      <c r="AT173" s="7">
        <v>0</v>
      </c>
      <c r="AU173" s="7">
        <v>18.77</v>
      </c>
      <c r="AV173" s="7">
        <v>0</v>
      </c>
      <c r="AW173" s="7">
        <v>0</v>
      </c>
      <c r="AX173" s="7">
        <v>0</v>
      </c>
      <c r="AY173" s="7">
        <v>28.079000000000001</v>
      </c>
      <c r="AZ173" s="7">
        <v>472.34399999999999</v>
      </c>
      <c r="BA173" s="7">
        <v>0</v>
      </c>
      <c r="BB173" s="7">
        <v>43.8</v>
      </c>
      <c r="BC173" s="7">
        <v>0</v>
      </c>
      <c r="BD173" s="7">
        <v>563.505</v>
      </c>
      <c r="BE173" s="7">
        <v>10.462</v>
      </c>
      <c r="BF173" s="7">
        <v>10.462</v>
      </c>
      <c r="BG173" s="7">
        <v>178.31899999999999</v>
      </c>
      <c r="BH173" s="7">
        <v>0</v>
      </c>
      <c r="BI173" s="7">
        <v>0</v>
      </c>
      <c r="BJ173" s="21"/>
    </row>
    <row r="174" spans="1:62" ht="15.6" x14ac:dyDescent="0.3">
      <c r="A174" s="5" t="s">
        <v>325</v>
      </c>
      <c r="B174" s="5" t="s">
        <v>326</v>
      </c>
      <c r="C174" s="7">
        <v>4</v>
      </c>
      <c r="D174" s="7">
        <v>4</v>
      </c>
      <c r="E174" s="7">
        <v>0</v>
      </c>
      <c r="F174" s="7">
        <v>0</v>
      </c>
      <c r="G174" s="7">
        <v>0</v>
      </c>
      <c r="H174" s="7">
        <v>0</v>
      </c>
      <c r="I174" s="7">
        <v>0</v>
      </c>
      <c r="J174" s="7">
        <v>0</v>
      </c>
      <c r="K174" s="7">
        <v>0</v>
      </c>
      <c r="L174" s="7">
        <v>0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0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0</v>
      </c>
      <c r="AB174" s="7">
        <v>0</v>
      </c>
      <c r="AC174" s="7">
        <v>0</v>
      </c>
      <c r="AD174" s="7">
        <v>0</v>
      </c>
      <c r="AE174" s="7">
        <v>0</v>
      </c>
      <c r="AF174" s="7">
        <v>0</v>
      </c>
      <c r="AG174" s="7">
        <v>0</v>
      </c>
      <c r="AH174" s="7">
        <v>0</v>
      </c>
      <c r="AI174" s="7">
        <v>0</v>
      </c>
      <c r="AJ174" s="7">
        <v>0</v>
      </c>
      <c r="AK174" s="7">
        <v>0</v>
      </c>
      <c r="AL174" s="7">
        <v>0</v>
      </c>
      <c r="AM174" s="7">
        <v>0</v>
      </c>
      <c r="AN174" s="7">
        <v>0</v>
      </c>
      <c r="AO174" s="7">
        <v>0</v>
      </c>
      <c r="AP174" s="7">
        <v>0</v>
      </c>
      <c r="AQ174" s="7">
        <v>0</v>
      </c>
      <c r="AR174" s="7">
        <v>0</v>
      </c>
      <c r="AS174" s="7">
        <v>0</v>
      </c>
      <c r="AT174" s="7">
        <v>0</v>
      </c>
      <c r="AU174" s="7">
        <v>0</v>
      </c>
      <c r="AV174" s="7">
        <v>0</v>
      </c>
      <c r="AW174" s="7">
        <v>0</v>
      </c>
      <c r="AX174" s="7">
        <v>0</v>
      </c>
      <c r="AY174" s="7">
        <v>0</v>
      </c>
      <c r="AZ174" s="7">
        <v>0</v>
      </c>
      <c r="BA174" s="7">
        <v>0</v>
      </c>
      <c r="BB174" s="7">
        <v>0</v>
      </c>
      <c r="BC174" s="7">
        <v>0</v>
      </c>
      <c r="BD174" s="7">
        <v>0</v>
      </c>
      <c r="BE174" s="7">
        <v>0</v>
      </c>
      <c r="BF174" s="7">
        <v>0</v>
      </c>
      <c r="BG174" s="7">
        <v>0</v>
      </c>
      <c r="BH174" s="7">
        <v>0</v>
      </c>
      <c r="BI174" s="7">
        <v>0</v>
      </c>
      <c r="BJ174" s="21"/>
    </row>
    <row r="175" spans="1:62" ht="15.6" x14ac:dyDescent="0.3">
      <c r="A175" s="5" t="s">
        <v>327</v>
      </c>
      <c r="B175" s="5" t="s">
        <v>328</v>
      </c>
      <c r="C175" s="7">
        <v>4</v>
      </c>
      <c r="D175" s="7">
        <v>4</v>
      </c>
      <c r="E175" s="7">
        <v>0</v>
      </c>
      <c r="F175" s="7">
        <v>0</v>
      </c>
      <c r="G175" s="7">
        <v>0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0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7">
        <v>0</v>
      </c>
      <c r="AK175" s="7">
        <v>0</v>
      </c>
      <c r="AL175" s="7">
        <v>0</v>
      </c>
      <c r="AM175" s="7">
        <v>0</v>
      </c>
      <c r="AN175" s="7">
        <v>0</v>
      </c>
      <c r="AO175" s="7">
        <v>0</v>
      </c>
      <c r="AP175" s="7">
        <v>0</v>
      </c>
      <c r="AQ175" s="7">
        <v>0</v>
      </c>
      <c r="AR175" s="7">
        <v>0</v>
      </c>
      <c r="AS175" s="7">
        <v>0</v>
      </c>
      <c r="AT175" s="7">
        <v>0</v>
      </c>
      <c r="AU175" s="7">
        <v>0</v>
      </c>
      <c r="AV175" s="7">
        <v>0</v>
      </c>
      <c r="AW175" s="7">
        <v>0</v>
      </c>
      <c r="AX175" s="7">
        <v>0</v>
      </c>
      <c r="AY175" s="7">
        <v>0</v>
      </c>
      <c r="AZ175" s="7">
        <v>0</v>
      </c>
      <c r="BA175" s="7">
        <v>0</v>
      </c>
      <c r="BB175" s="7">
        <v>0</v>
      </c>
      <c r="BC175" s="7">
        <v>0</v>
      </c>
      <c r="BD175" s="7">
        <v>0</v>
      </c>
      <c r="BE175" s="7">
        <v>0</v>
      </c>
      <c r="BF175" s="7">
        <v>0</v>
      </c>
      <c r="BG175" s="7">
        <v>0</v>
      </c>
      <c r="BH175" s="7">
        <v>0</v>
      </c>
      <c r="BI175" s="7">
        <v>0</v>
      </c>
      <c r="BJ175" s="21"/>
    </row>
    <row r="176" spans="1:62" ht="15.6" x14ac:dyDescent="0.3">
      <c r="A176" s="5" t="s">
        <v>329</v>
      </c>
      <c r="B176" s="5" t="s">
        <v>330</v>
      </c>
      <c r="C176" s="7">
        <v>4</v>
      </c>
      <c r="D176" s="7">
        <v>4</v>
      </c>
      <c r="E176" s="7">
        <v>0</v>
      </c>
      <c r="F176" s="7">
        <v>0</v>
      </c>
      <c r="G176" s="7">
        <v>0</v>
      </c>
      <c r="H176" s="7">
        <v>0</v>
      </c>
      <c r="I176" s="7">
        <v>0</v>
      </c>
      <c r="J176" s="7">
        <v>0</v>
      </c>
      <c r="K176" s="7">
        <v>0</v>
      </c>
      <c r="L176" s="7">
        <v>0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0</v>
      </c>
      <c r="S176" s="7">
        <v>0</v>
      </c>
      <c r="T176" s="7">
        <v>0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0</v>
      </c>
      <c r="AB176" s="7">
        <v>0</v>
      </c>
      <c r="AC176" s="7">
        <v>0</v>
      </c>
      <c r="AD176" s="7">
        <v>0</v>
      </c>
      <c r="AE176" s="7">
        <v>0</v>
      </c>
      <c r="AF176" s="7">
        <v>0</v>
      </c>
      <c r="AG176" s="7">
        <v>0</v>
      </c>
      <c r="AH176" s="7">
        <v>0</v>
      </c>
      <c r="AI176" s="7">
        <v>0</v>
      </c>
      <c r="AJ176" s="7">
        <v>0</v>
      </c>
      <c r="AK176" s="7">
        <v>0</v>
      </c>
      <c r="AL176" s="7">
        <v>0</v>
      </c>
      <c r="AM176" s="7">
        <v>0</v>
      </c>
      <c r="AN176" s="7">
        <v>0</v>
      </c>
      <c r="AO176" s="7">
        <v>0</v>
      </c>
      <c r="AP176" s="7">
        <v>0</v>
      </c>
      <c r="AQ176" s="7">
        <v>0</v>
      </c>
      <c r="AR176" s="7">
        <v>0</v>
      </c>
      <c r="AS176" s="7">
        <v>0</v>
      </c>
      <c r="AT176" s="7">
        <v>0</v>
      </c>
      <c r="AU176" s="7">
        <v>0</v>
      </c>
      <c r="AV176" s="7">
        <v>0</v>
      </c>
      <c r="AW176" s="7">
        <v>0</v>
      </c>
      <c r="AX176" s="7">
        <v>0</v>
      </c>
      <c r="AY176" s="7">
        <v>0</v>
      </c>
      <c r="AZ176" s="7">
        <v>0</v>
      </c>
      <c r="BA176" s="7">
        <v>0</v>
      </c>
      <c r="BB176" s="7">
        <v>0</v>
      </c>
      <c r="BC176" s="7">
        <v>0</v>
      </c>
      <c r="BD176" s="7">
        <v>0</v>
      </c>
      <c r="BE176" s="7">
        <v>0</v>
      </c>
      <c r="BF176" s="7">
        <v>0</v>
      </c>
      <c r="BG176" s="7">
        <v>0</v>
      </c>
      <c r="BH176" s="7">
        <v>0</v>
      </c>
      <c r="BI176" s="7">
        <v>0</v>
      </c>
      <c r="BJ176" s="21"/>
    </row>
    <row r="177" spans="1:62" ht="15.6" x14ac:dyDescent="0.3">
      <c r="A177" s="5" t="s">
        <v>331</v>
      </c>
      <c r="B177" s="5" t="s">
        <v>332</v>
      </c>
      <c r="C177" s="7">
        <v>4</v>
      </c>
      <c r="D177" s="7">
        <v>4</v>
      </c>
      <c r="E177" s="7">
        <v>0</v>
      </c>
      <c r="F177" s="7">
        <v>0</v>
      </c>
      <c r="G177" s="7">
        <v>0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7">
        <v>0</v>
      </c>
      <c r="AK177" s="7">
        <v>0</v>
      </c>
      <c r="AL177" s="7">
        <v>0</v>
      </c>
      <c r="AM177" s="7">
        <v>0</v>
      </c>
      <c r="AN177" s="7">
        <v>0</v>
      </c>
      <c r="AO177" s="7">
        <v>0</v>
      </c>
      <c r="AP177" s="7">
        <v>0</v>
      </c>
      <c r="AQ177" s="7">
        <v>0</v>
      </c>
      <c r="AR177" s="7">
        <v>0</v>
      </c>
      <c r="AS177" s="7">
        <v>0</v>
      </c>
      <c r="AT177" s="7">
        <v>0</v>
      </c>
      <c r="AU177" s="7">
        <v>0</v>
      </c>
      <c r="AV177" s="7">
        <v>0</v>
      </c>
      <c r="AW177" s="7">
        <v>0</v>
      </c>
      <c r="AX177" s="7">
        <v>0</v>
      </c>
      <c r="AY177" s="7">
        <v>0</v>
      </c>
      <c r="AZ177" s="7">
        <v>0</v>
      </c>
      <c r="BA177" s="7">
        <v>0</v>
      </c>
      <c r="BB177" s="7">
        <v>0</v>
      </c>
      <c r="BC177" s="7">
        <v>0</v>
      </c>
      <c r="BD177" s="7">
        <v>0</v>
      </c>
      <c r="BE177" s="7">
        <v>0</v>
      </c>
      <c r="BF177" s="7">
        <v>0</v>
      </c>
      <c r="BG177" s="7">
        <v>0</v>
      </c>
      <c r="BH177" s="7">
        <v>0</v>
      </c>
      <c r="BI177" s="7">
        <v>0</v>
      </c>
      <c r="BJ177" s="21"/>
    </row>
    <row r="178" spans="1:62" ht="15.6" x14ac:dyDescent="0.3">
      <c r="A178" s="5" t="s">
        <v>333</v>
      </c>
      <c r="B178" s="5" t="s">
        <v>334</v>
      </c>
      <c r="C178" s="7">
        <v>4</v>
      </c>
      <c r="D178" s="7">
        <v>4</v>
      </c>
      <c r="E178" s="7">
        <v>-5119.1080000000002</v>
      </c>
      <c r="F178" s="7">
        <v>-1126.4870000000001</v>
      </c>
      <c r="G178" s="7">
        <v>0</v>
      </c>
      <c r="H178" s="7">
        <v>0</v>
      </c>
      <c r="I178" s="7">
        <v>-34.786000000000001</v>
      </c>
      <c r="J178" s="7">
        <v>0</v>
      </c>
      <c r="K178" s="7">
        <v>0</v>
      </c>
      <c r="L178" s="7">
        <v>-12836.41</v>
      </c>
      <c r="M178" s="7">
        <v>-694.15800000000002</v>
      </c>
      <c r="N178" s="7">
        <v>0</v>
      </c>
      <c r="O178" s="7">
        <v>0</v>
      </c>
      <c r="P178" s="7">
        <v>-9.2999999999999999E-2</v>
      </c>
      <c r="Q178" s="7">
        <v>0</v>
      </c>
      <c r="R178" s="7">
        <v>0</v>
      </c>
      <c r="S178" s="7">
        <v>-355.02800000000002</v>
      </c>
      <c r="T178" s="7">
        <v>0</v>
      </c>
      <c r="U178" s="7">
        <v>0</v>
      </c>
      <c r="V178" s="7">
        <v>0</v>
      </c>
      <c r="W178" s="7">
        <v>-113.991</v>
      </c>
      <c r="X178" s="7">
        <v>0</v>
      </c>
      <c r="Y178" s="7">
        <v>-2442.1489999999999</v>
      </c>
      <c r="Z178" s="7">
        <v>0</v>
      </c>
      <c r="AA178" s="7">
        <v>0</v>
      </c>
      <c r="AB178" s="7">
        <v>0</v>
      </c>
      <c r="AC178" s="7">
        <v>-211.91300000000001</v>
      </c>
      <c r="AD178" s="7">
        <v>0</v>
      </c>
      <c r="AE178" s="7">
        <v>-5942.076</v>
      </c>
      <c r="AF178" s="7">
        <v>-3295.3</v>
      </c>
      <c r="AG178" s="7">
        <v>0</v>
      </c>
      <c r="AH178" s="7">
        <v>-22260.332999999999</v>
      </c>
      <c r="AI178" s="7">
        <v>-5592.3140000000003</v>
      </c>
      <c r="AJ178" s="7">
        <v>0</v>
      </c>
      <c r="AK178" s="7">
        <v>0</v>
      </c>
      <c r="AL178" s="7">
        <v>0</v>
      </c>
      <c r="AM178" s="7">
        <v>0</v>
      </c>
      <c r="AN178" s="7">
        <v>0</v>
      </c>
      <c r="AO178" s="7">
        <v>-153.26300000000001</v>
      </c>
      <c r="AP178" s="7">
        <v>0</v>
      </c>
      <c r="AQ178" s="7">
        <v>-1158.5530000000001</v>
      </c>
      <c r="AR178" s="7">
        <v>0</v>
      </c>
      <c r="AS178" s="7">
        <v>-3.5680000000000001</v>
      </c>
      <c r="AT178" s="7">
        <v>0</v>
      </c>
      <c r="AU178" s="7">
        <v>-24.277000000000001</v>
      </c>
      <c r="AV178" s="7">
        <v>0</v>
      </c>
      <c r="AW178" s="7">
        <v>0</v>
      </c>
      <c r="AX178" s="7">
        <v>0</v>
      </c>
      <c r="AY178" s="7">
        <v>-25.599</v>
      </c>
      <c r="AZ178" s="7">
        <v>-430.64</v>
      </c>
      <c r="BA178" s="7">
        <v>0</v>
      </c>
      <c r="BB178" s="7">
        <v>-57.47</v>
      </c>
      <c r="BC178" s="7">
        <v>0</v>
      </c>
      <c r="BD178" s="7">
        <v>-513.75199999999995</v>
      </c>
      <c r="BE178" s="7">
        <v>-13.993</v>
      </c>
      <c r="BF178" s="7">
        <v>-13.993</v>
      </c>
      <c r="BG178" s="7">
        <v>-162.57599999999999</v>
      </c>
      <c r="BH178" s="7">
        <v>0</v>
      </c>
      <c r="BI178" s="7">
        <v>0</v>
      </c>
      <c r="BJ178" s="21"/>
    </row>
    <row r="179" spans="1:62" ht="15.6" x14ac:dyDescent="0.3">
      <c r="A179" s="5" t="s">
        <v>335</v>
      </c>
      <c r="B179" s="5" t="s">
        <v>336</v>
      </c>
      <c r="C179" s="7">
        <v>4</v>
      </c>
      <c r="D179" s="7">
        <v>4</v>
      </c>
      <c r="E179" s="7">
        <v>0</v>
      </c>
      <c r="F179" s="7">
        <v>0</v>
      </c>
      <c r="G179" s="7">
        <v>0</v>
      </c>
      <c r="H179" s="7">
        <v>0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0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7">
        <v>0</v>
      </c>
      <c r="AK179" s="7">
        <v>0</v>
      </c>
      <c r="AL179" s="7">
        <v>0</v>
      </c>
      <c r="AM179" s="7">
        <v>0</v>
      </c>
      <c r="AN179" s="7">
        <v>0</v>
      </c>
      <c r="AO179" s="7">
        <v>0</v>
      </c>
      <c r="AP179" s="7">
        <v>0</v>
      </c>
      <c r="AQ179" s="7">
        <v>0</v>
      </c>
      <c r="AR179" s="7">
        <v>0</v>
      </c>
      <c r="AS179" s="7">
        <v>0</v>
      </c>
      <c r="AT179" s="7">
        <v>0</v>
      </c>
      <c r="AU179" s="7">
        <v>0</v>
      </c>
      <c r="AV179" s="7">
        <v>0</v>
      </c>
      <c r="AW179" s="7">
        <v>0</v>
      </c>
      <c r="AX179" s="7">
        <v>0</v>
      </c>
      <c r="AY179" s="7">
        <v>0</v>
      </c>
      <c r="AZ179" s="7">
        <v>0</v>
      </c>
      <c r="BA179" s="7">
        <v>0</v>
      </c>
      <c r="BB179" s="7">
        <v>0</v>
      </c>
      <c r="BC179" s="7">
        <v>0</v>
      </c>
      <c r="BD179" s="7">
        <v>0</v>
      </c>
      <c r="BE179" s="7">
        <v>0</v>
      </c>
      <c r="BF179" s="7">
        <v>0</v>
      </c>
      <c r="BG179" s="7">
        <v>0</v>
      </c>
      <c r="BH179" s="7">
        <v>0</v>
      </c>
      <c r="BI179" s="7">
        <v>0</v>
      </c>
      <c r="BJ179" s="21"/>
    </row>
    <row r="180" spans="1:62" ht="15.6" x14ac:dyDescent="0.3">
      <c r="A180" s="5" t="s">
        <v>337</v>
      </c>
      <c r="B180" s="5" t="s">
        <v>338</v>
      </c>
      <c r="C180" s="7">
        <v>4</v>
      </c>
      <c r="D180" s="7">
        <v>4</v>
      </c>
      <c r="E180" s="7">
        <v>0</v>
      </c>
      <c r="F180" s="7">
        <v>0</v>
      </c>
      <c r="G180" s="7">
        <v>0</v>
      </c>
      <c r="H180" s="7">
        <v>0</v>
      </c>
      <c r="I180" s="7">
        <v>0</v>
      </c>
      <c r="J180" s="7">
        <v>0</v>
      </c>
      <c r="K180" s="7">
        <v>0</v>
      </c>
      <c r="L180" s="7">
        <v>0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0</v>
      </c>
      <c r="S180" s="7">
        <v>0</v>
      </c>
      <c r="T180" s="7">
        <v>0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0</v>
      </c>
      <c r="AB180" s="7">
        <v>0</v>
      </c>
      <c r="AC180" s="7">
        <v>0</v>
      </c>
      <c r="AD180" s="7">
        <v>0</v>
      </c>
      <c r="AE180" s="7">
        <v>0</v>
      </c>
      <c r="AF180" s="7">
        <v>0</v>
      </c>
      <c r="AG180" s="7">
        <v>0</v>
      </c>
      <c r="AH180" s="7">
        <v>0</v>
      </c>
      <c r="AI180" s="7">
        <v>0</v>
      </c>
      <c r="AJ180" s="7">
        <v>0</v>
      </c>
      <c r="AK180" s="7">
        <v>0</v>
      </c>
      <c r="AL180" s="7">
        <v>0</v>
      </c>
      <c r="AM180" s="7">
        <v>0</v>
      </c>
      <c r="AN180" s="7">
        <v>0</v>
      </c>
      <c r="AO180" s="7">
        <v>0</v>
      </c>
      <c r="AP180" s="7">
        <v>0</v>
      </c>
      <c r="AQ180" s="7">
        <v>0</v>
      </c>
      <c r="AR180" s="7">
        <v>0</v>
      </c>
      <c r="AS180" s="7">
        <v>0</v>
      </c>
      <c r="AT180" s="7">
        <v>0</v>
      </c>
      <c r="AU180" s="7">
        <v>0</v>
      </c>
      <c r="AV180" s="7">
        <v>0</v>
      </c>
      <c r="AW180" s="7">
        <v>0</v>
      </c>
      <c r="AX180" s="7">
        <v>0</v>
      </c>
      <c r="AY180" s="7">
        <v>0</v>
      </c>
      <c r="AZ180" s="7">
        <v>0</v>
      </c>
      <c r="BA180" s="7">
        <v>0</v>
      </c>
      <c r="BB180" s="7">
        <v>0</v>
      </c>
      <c r="BC180" s="7">
        <v>0</v>
      </c>
      <c r="BD180" s="7">
        <v>0</v>
      </c>
      <c r="BE180" s="7">
        <v>0</v>
      </c>
      <c r="BF180" s="7">
        <v>0</v>
      </c>
      <c r="BG180" s="7">
        <v>0</v>
      </c>
      <c r="BH180" s="7">
        <v>0</v>
      </c>
      <c r="BI180" s="7">
        <v>0</v>
      </c>
      <c r="BJ180" s="21"/>
    </row>
    <row r="181" spans="1:62" ht="15.6" x14ac:dyDescent="0.3">
      <c r="A181" s="5" t="s">
        <v>339</v>
      </c>
      <c r="B181" s="5" t="s">
        <v>340</v>
      </c>
      <c r="C181" s="7">
        <v>4</v>
      </c>
      <c r="D181" s="7">
        <v>4</v>
      </c>
      <c r="E181" s="7">
        <v>0</v>
      </c>
      <c r="F181" s="7">
        <v>0</v>
      </c>
      <c r="G181" s="7">
        <v>0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7">
        <v>0</v>
      </c>
      <c r="AK181" s="7">
        <v>0</v>
      </c>
      <c r="AL181" s="7">
        <v>0</v>
      </c>
      <c r="AM181" s="7">
        <v>0</v>
      </c>
      <c r="AN181" s="7">
        <v>0</v>
      </c>
      <c r="AO181" s="7">
        <v>0</v>
      </c>
      <c r="AP181" s="7">
        <v>0</v>
      </c>
      <c r="AQ181" s="7">
        <v>0</v>
      </c>
      <c r="AR181" s="7">
        <v>0</v>
      </c>
      <c r="AS181" s="7">
        <v>0</v>
      </c>
      <c r="AT181" s="7">
        <v>0</v>
      </c>
      <c r="AU181" s="7">
        <v>0</v>
      </c>
      <c r="AV181" s="7">
        <v>0</v>
      </c>
      <c r="AW181" s="7">
        <v>0</v>
      </c>
      <c r="AX181" s="7">
        <v>0</v>
      </c>
      <c r="AY181" s="7">
        <v>0</v>
      </c>
      <c r="AZ181" s="7">
        <v>0</v>
      </c>
      <c r="BA181" s="7">
        <v>0</v>
      </c>
      <c r="BB181" s="7">
        <v>0</v>
      </c>
      <c r="BC181" s="7">
        <v>0</v>
      </c>
      <c r="BD181" s="7">
        <v>0</v>
      </c>
      <c r="BE181" s="7">
        <v>0</v>
      </c>
      <c r="BF181" s="7">
        <v>0</v>
      </c>
      <c r="BG181" s="7">
        <v>0</v>
      </c>
      <c r="BH181" s="7">
        <v>0</v>
      </c>
      <c r="BI181" s="7">
        <v>0</v>
      </c>
      <c r="BJ181" s="21"/>
    </row>
    <row r="182" spans="1:62" ht="15.6" x14ac:dyDescent="0.3">
      <c r="A182" s="5" t="s">
        <v>341</v>
      </c>
      <c r="B182" s="5" t="s">
        <v>342</v>
      </c>
      <c r="C182" s="7">
        <v>4</v>
      </c>
      <c r="D182" s="7">
        <v>4</v>
      </c>
      <c r="E182" s="7">
        <v>-864.92100000000005</v>
      </c>
      <c r="F182" s="7">
        <v>-63.176000000000002</v>
      </c>
      <c r="G182" s="7">
        <v>-159.488</v>
      </c>
      <c r="H182" s="7">
        <v>0</v>
      </c>
      <c r="I182" s="7">
        <v>-23.010999999999999</v>
      </c>
      <c r="J182" s="7">
        <v>-108.684</v>
      </c>
      <c r="K182" s="7">
        <v>0</v>
      </c>
      <c r="L182" s="7">
        <v>-234.03299999999999</v>
      </c>
      <c r="M182" s="7">
        <v>-264.53399999999999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-19.346</v>
      </c>
      <c r="T182" s="7">
        <v>0</v>
      </c>
      <c r="U182" s="7">
        <v>0</v>
      </c>
      <c r="V182" s="7">
        <v>-12.734</v>
      </c>
      <c r="W182" s="7">
        <v>-22.141999999999999</v>
      </c>
      <c r="X182" s="7">
        <v>0</v>
      </c>
      <c r="Y182" s="7">
        <v>-144.803</v>
      </c>
      <c r="Z182" s="7">
        <v>0</v>
      </c>
      <c r="AA182" s="7">
        <v>-238.97800000000001</v>
      </c>
      <c r="AB182" s="7">
        <v>0</v>
      </c>
      <c r="AC182" s="7">
        <v>-8.7940000000000005</v>
      </c>
      <c r="AD182" s="7">
        <v>-4.7119999999999997</v>
      </c>
      <c r="AE182" s="7">
        <v>-337.25900000000001</v>
      </c>
      <c r="AF182" s="7">
        <v>0</v>
      </c>
      <c r="AG182" s="7">
        <v>-16.138000000000002</v>
      </c>
      <c r="AH182" s="7">
        <v>-897.81799999999998</v>
      </c>
      <c r="AI182" s="7">
        <v>0</v>
      </c>
      <c r="AJ182" s="7">
        <v>0</v>
      </c>
      <c r="AK182" s="7">
        <v>0</v>
      </c>
      <c r="AL182" s="7">
        <v>0</v>
      </c>
      <c r="AM182" s="7">
        <v>0</v>
      </c>
      <c r="AN182" s="7">
        <v>0</v>
      </c>
      <c r="AO182" s="7">
        <v>-7.1580000000000004</v>
      </c>
      <c r="AP182" s="7">
        <v>0</v>
      </c>
      <c r="AQ182" s="7">
        <v>0</v>
      </c>
      <c r="AR182" s="7">
        <v>0</v>
      </c>
      <c r="AS182" s="7">
        <v>-0.54900000000000004</v>
      </c>
      <c r="AT182" s="7">
        <v>0</v>
      </c>
      <c r="AU182" s="7">
        <v>-10.895</v>
      </c>
      <c r="AV182" s="7">
        <v>0</v>
      </c>
      <c r="AW182" s="7">
        <v>0</v>
      </c>
      <c r="AX182" s="7">
        <v>0</v>
      </c>
      <c r="AY182" s="7">
        <v>-5.3570000000000002</v>
      </c>
      <c r="AZ182" s="7">
        <v>0</v>
      </c>
      <c r="BA182" s="7">
        <v>0</v>
      </c>
      <c r="BB182" s="7">
        <v>-2.9340000000000002</v>
      </c>
      <c r="BC182" s="7">
        <v>-3.4609999999999999</v>
      </c>
      <c r="BD182" s="7">
        <v>0</v>
      </c>
      <c r="BE182" s="7">
        <v>-0.58199999999999996</v>
      </c>
      <c r="BF182" s="7">
        <v>-0.58199999999999996</v>
      </c>
      <c r="BG182" s="7">
        <v>0</v>
      </c>
      <c r="BH182" s="7">
        <v>0</v>
      </c>
      <c r="BI182" s="7">
        <v>-1.397</v>
      </c>
      <c r="BJ182" s="21"/>
    </row>
    <row r="183" spans="1:62" ht="15.6" x14ac:dyDescent="0.3">
      <c r="A183" s="5" t="s">
        <v>323</v>
      </c>
      <c r="B183" s="5" t="s">
        <v>343</v>
      </c>
      <c r="C183" s="7">
        <v>6</v>
      </c>
      <c r="D183" s="7">
        <v>6</v>
      </c>
      <c r="E183" s="7">
        <v>39.314</v>
      </c>
      <c r="F183" s="7">
        <v>7.8490000000000002</v>
      </c>
      <c r="G183" s="7">
        <v>0</v>
      </c>
      <c r="H183" s="7">
        <v>0</v>
      </c>
      <c r="I183" s="7">
        <v>0.3</v>
      </c>
      <c r="J183" s="7">
        <v>0</v>
      </c>
      <c r="K183" s="7">
        <v>0</v>
      </c>
      <c r="L183" s="7">
        <v>92.477999999999994</v>
      </c>
      <c r="M183" s="7">
        <v>6.5620000000000003</v>
      </c>
      <c r="N183" s="7">
        <v>0</v>
      </c>
      <c r="O183" s="7">
        <v>0</v>
      </c>
      <c r="P183" s="7">
        <v>1E-3</v>
      </c>
      <c r="Q183" s="7">
        <v>0</v>
      </c>
      <c r="R183" s="7">
        <v>0</v>
      </c>
      <c r="S183" s="7">
        <v>2.524</v>
      </c>
      <c r="T183" s="7">
        <v>0</v>
      </c>
      <c r="U183" s="7">
        <v>0</v>
      </c>
      <c r="V183" s="7">
        <v>0</v>
      </c>
      <c r="W183" s="7">
        <v>0.86799999999999999</v>
      </c>
      <c r="X183" s="7">
        <v>0</v>
      </c>
      <c r="Y183" s="7">
        <v>17.321999999999999</v>
      </c>
      <c r="Z183" s="7">
        <v>0</v>
      </c>
      <c r="AA183" s="7">
        <v>0</v>
      </c>
      <c r="AB183" s="7">
        <v>0</v>
      </c>
      <c r="AC183" s="7">
        <v>1.524</v>
      </c>
      <c r="AD183" s="7">
        <v>0</v>
      </c>
      <c r="AE183" s="7">
        <v>41.558</v>
      </c>
      <c r="AF183" s="7">
        <v>22.567</v>
      </c>
      <c r="AG183" s="7">
        <v>0</v>
      </c>
      <c r="AH183" s="7">
        <v>160.096</v>
      </c>
      <c r="AI183" s="7">
        <v>41.165999999999997</v>
      </c>
      <c r="AJ183" s="7">
        <v>0</v>
      </c>
      <c r="AK183" s="7">
        <v>0</v>
      </c>
      <c r="AL183" s="7">
        <v>0</v>
      </c>
      <c r="AM183" s="7">
        <v>0</v>
      </c>
      <c r="AN183" s="7">
        <v>0</v>
      </c>
      <c r="AO183" s="7">
        <v>1.008</v>
      </c>
      <c r="AP183" s="7">
        <v>0</v>
      </c>
      <c r="AQ183" s="7">
        <v>7.9749999999999996</v>
      </c>
      <c r="AR183" s="7">
        <v>0</v>
      </c>
      <c r="AS183" s="7">
        <v>2.4E-2</v>
      </c>
      <c r="AT183" s="7">
        <v>0</v>
      </c>
      <c r="AU183" s="7">
        <v>0.17100000000000001</v>
      </c>
      <c r="AV183" s="7">
        <v>0</v>
      </c>
      <c r="AW183" s="7">
        <v>0</v>
      </c>
      <c r="AX183" s="7">
        <v>0</v>
      </c>
      <c r="AY183" s="7">
        <v>0.39800000000000002</v>
      </c>
      <c r="AZ183" s="7">
        <v>6.6989999999999998</v>
      </c>
      <c r="BA183" s="7">
        <v>0</v>
      </c>
      <c r="BB183" s="7">
        <v>0.38700000000000001</v>
      </c>
      <c r="BC183" s="7">
        <v>0</v>
      </c>
      <c r="BD183" s="7">
        <v>7.992</v>
      </c>
      <c r="BE183" s="7">
        <v>8.8999999999999996E-2</v>
      </c>
      <c r="BF183" s="7">
        <v>8.8999999999999996E-2</v>
      </c>
      <c r="BG183" s="7">
        <v>2.5289999999999999</v>
      </c>
      <c r="BH183" s="7">
        <v>0</v>
      </c>
      <c r="BI183" s="7">
        <v>0</v>
      </c>
      <c r="BJ183" s="21"/>
    </row>
    <row r="184" spans="1:62" ht="15.6" x14ac:dyDescent="0.3">
      <c r="A184" s="5" t="s">
        <v>325</v>
      </c>
      <c r="B184" s="5" t="s">
        <v>344</v>
      </c>
      <c r="C184" s="7">
        <v>6</v>
      </c>
      <c r="D184" s="7">
        <v>6</v>
      </c>
      <c r="E184" s="7">
        <v>0</v>
      </c>
      <c r="F184" s="7">
        <v>0</v>
      </c>
      <c r="G184" s="7">
        <v>0</v>
      </c>
      <c r="H184" s="7">
        <v>0</v>
      </c>
      <c r="I184" s="7">
        <v>0</v>
      </c>
      <c r="J184" s="7">
        <v>0</v>
      </c>
      <c r="K184" s="7">
        <v>0</v>
      </c>
      <c r="L184" s="7">
        <v>0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0</v>
      </c>
      <c r="AB184" s="7">
        <v>0</v>
      </c>
      <c r="AC184" s="7">
        <v>0</v>
      </c>
      <c r="AD184" s="7">
        <v>0</v>
      </c>
      <c r="AE184" s="7">
        <v>0</v>
      </c>
      <c r="AF184" s="7">
        <v>0</v>
      </c>
      <c r="AG184" s="7">
        <v>0</v>
      </c>
      <c r="AH184" s="7">
        <v>0</v>
      </c>
      <c r="AI184" s="7">
        <v>0</v>
      </c>
      <c r="AJ184" s="7">
        <v>0</v>
      </c>
      <c r="AK184" s="7">
        <v>0</v>
      </c>
      <c r="AL184" s="7">
        <v>0</v>
      </c>
      <c r="AM184" s="7">
        <v>0</v>
      </c>
      <c r="AN184" s="7">
        <v>0</v>
      </c>
      <c r="AO184" s="7">
        <v>0</v>
      </c>
      <c r="AP184" s="7">
        <v>0</v>
      </c>
      <c r="AQ184" s="7">
        <v>0</v>
      </c>
      <c r="AR184" s="7">
        <v>0</v>
      </c>
      <c r="AS184" s="7">
        <v>0</v>
      </c>
      <c r="AT184" s="7">
        <v>0</v>
      </c>
      <c r="AU184" s="7">
        <v>0</v>
      </c>
      <c r="AV184" s="7">
        <v>0</v>
      </c>
      <c r="AW184" s="7">
        <v>0</v>
      </c>
      <c r="AX184" s="7">
        <v>0</v>
      </c>
      <c r="AY184" s="7">
        <v>0</v>
      </c>
      <c r="AZ184" s="7">
        <v>0</v>
      </c>
      <c r="BA184" s="7">
        <v>0</v>
      </c>
      <c r="BB184" s="7">
        <v>0</v>
      </c>
      <c r="BC184" s="7">
        <v>0</v>
      </c>
      <c r="BD184" s="7">
        <v>0</v>
      </c>
      <c r="BE184" s="7">
        <v>0</v>
      </c>
      <c r="BF184" s="7">
        <v>0</v>
      </c>
      <c r="BG184" s="7">
        <v>0</v>
      </c>
      <c r="BH184" s="7">
        <v>0</v>
      </c>
      <c r="BI184" s="7">
        <v>0</v>
      </c>
      <c r="BJ184" s="21"/>
    </row>
    <row r="185" spans="1:62" ht="15.6" x14ac:dyDescent="0.3">
      <c r="A185" s="5" t="s">
        <v>327</v>
      </c>
      <c r="B185" s="5" t="s">
        <v>345</v>
      </c>
      <c r="C185" s="7">
        <v>6</v>
      </c>
      <c r="D185" s="7">
        <v>6</v>
      </c>
      <c r="E185" s="7">
        <v>0</v>
      </c>
      <c r="F185" s="7">
        <v>0</v>
      </c>
      <c r="G185" s="7">
        <v>0</v>
      </c>
      <c r="H185" s="7">
        <v>0</v>
      </c>
      <c r="I185" s="7">
        <v>0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7">
        <v>0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7">
        <v>0</v>
      </c>
      <c r="AK185" s="7">
        <v>0</v>
      </c>
      <c r="AL185" s="7">
        <v>0</v>
      </c>
      <c r="AM185" s="7">
        <v>0</v>
      </c>
      <c r="AN185" s="7">
        <v>0</v>
      </c>
      <c r="AO185" s="7">
        <v>0</v>
      </c>
      <c r="AP185" s="7">
        <v>0</v>
      </c>
      <c r="AQ185" s="7">
        <v>0</v>
      </c>
      <c r="AR185" s="7">
        <v>0</v>
      </c>
      <c r="AS185" s="7">
        <v>0</v>
      </c>
      <c r="AT185" s="7">
        <v>0</v>
      </c>
      <c r="AU185" s="7">
        <v>0</v>
      </c>
      <c r="AV185" s="7">
        <v>0</v>
      </c>
      <c r="AW185" s="7">
        <v>0</v>
      </c>
      <c r="AX185" s="7">
        <v>0</v>
      </c>
      <c r="AY185" s="7">
        <v>0</v>
      </c>
      <c r="AZ185" s="7">
        <v>0</v>
      </c>
      <c r="BA185" s="7">
        <v>0</v>
      </c>
      <c r="BB185" s="7">
        <v>0</v>
      </c>
      <c r="BC185" s="7">
        <v>0</v>
      </c>
      <c r="BD185" s="7">
        <v>0</v>
      </c>
      <c r="BE185" s="7">
        <v>0</v>
      </c>
      <c r="BF185" s="7">
        <v>0</v>
      </c>
      <c r="BG185" s="7">
        <v>0</v>
      </c>
      <c r="BH185" s="7">
        <v>0</v>
      </c>
      <c r="BI185" s="7">
        <v>0</v>
      </c>
      <c r="BJ185" s="21"/>
    </row>
    <row r="186" spans="1:62" ht="15.6" x14ac:dyDescent="0.3">
      <c r="A186" s="5" t="s">
        <v>329</v>
      </c>
      <c r="B186" s="5" t="s">
        <v>346</v>
      </c>
      <c r="C186" s="7">
        <v>6</v>
      </c>
      <c r="D186" s="7">
        <v>6</v>
      </c>
      <c r="E186" s="7">
        <v>0</v>
      </c>
      <c r="F186" s="7">
        <v>0</v>
      </c>
      <c r="G186" s="7">
        <v>0</v>
      </c>
      <c r="H186" s="7">
        <v>0</v>
      </c>
      <c r="I186" s="7">
        <v>0</v>
      </c>
      <c r="J186" s="7">
        <v>0</v>
      </c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>
        <v>0</v>
      </c>
      <c r="AI186" s="7">
        <v>0</v>
      </c>
      <c r="AJ186" s="7">
        <v>0</v>
      </c>
      <c r="AK186" s="7">
        <v>0</v>
      </c>
      <c r="AL186" s="7">
        <v>0</v>
      </c>
      <c r="AM186" s="7">
        <v>0</v>
      </c>
      <c r="AN186" s="7">
        <v>0</v>
      </c>
      <c r="AO186" s="7">
        <v>0</v>
      </c>
      <c r="AP186" s="7">
        <v>0</v>
      </c>
      <c r="AQ186" s="7">
        <v>0</v>
      </c>
      <c r="AR186" s="7">
        <v>0</v>
      </c>
      <c r="AS186" s="7">
        <v>0</v>
      </c>
      <c r="AT186" s="7">
        <v>0</v>
      </c>
      <c r="AU186" s="7">
        <v>0</v>
      </c>
      <c r="AV186" s="7">
        <v>0</v>
      </c>
      <c r="AW186" s="7">
        <v>0</v>
      </c>
      <c r="AX186" s="7">
        <v>0</v>
      </c>
      <c r="AY186" s="7">
        <v>0</v>
      </c>
      <c r="AZ186" s="7">
        <v>0</v>
      </c>
      <c r="BA186" s="7">
        <v>0</v>
      </c>
      <c r="BB186" s="7">
        <v>0</v>
      </c>
      <c r="BC186" s="7">
        <v>0</v>
      </c>
      <c r="BD186" s="7">
        <v>0</v>
      </c>
      <c r="BE186" s="7">
        <v>0</v>
      </c>
      <c r="BF186" s="7">
        <v>0</v>
      </c>
      <c r="BG186" s="7">
        <v>0</v>
      </c>
      <c r="BH186" s="7">
        <v>0</v>
      </c>
      <c r="BI186" s="7">
        <v>0</v>
      </c>
      <c r="BJ186" s="21"/>
    </row>
    <row r="187" spans="1:62" ht="15.6" x14ac:dyDescent="0.3">
      <c r="A187" s="5" t="s">
        <v>331</v>
      </c>
      <c r="B187" s="5" t="s">
        <v>347</v>
      </c>
      <c r="C187" s="7">
        <v>6</v>
      </c>
      <c r="D187" s="7">
        <v>6</v>
      </c>
      <c r="E187" s="7">
        <v>0</v>
      </c>
      <c r="F187" s="7">
        <v>0</v>
      </c>
      <c r="G187" s="7">
        <v>0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7">
        <v>0</v>
      </c>
      <c r="AK187" s="7">
        <v>0</v>
      </c>
      <c r="AL187" s="7">
        <v>0</v>
      </c>
      <c r="AM187" s="7">
        <v>0</v>
      </c>
      <c r="AN187" s="7">
        <v>0</v>
      </c>
      <c r="AO187" s="7">
        <v>0</v>
      </c>
      <c r="AP187" s="7">
        <v>0</v>
      </c>
      <c r="AQ187" s="7">
        <v>0</v>
      </c>
      <c r="AR187" s="7">
        <v>0</v>
      </c>
      <c r="AS187" s="7">
        <v>0</v>
      </c>
      <c r="AT187" s="7">
        <v>0</v>
      </c>
      <c r="AU187" s="7">
        <v>0</v>
      </c>
      <c r="AV187" s="7">
        <v>0</v>
      </c>
      <c r="AW187" s="7">
        <v>0</v>
      </c>
      <c r="AX187" s="7">
        <v>0</v>
      </c>
      <c r="AY187" s="7">
        <v>0</v>
      </c>
      <c r="AZ187" s="7">
        <v>0</v>
      </c>
      <c r="BA187" s="7">
        <v>0</v>
      </c>
      <c r="BB187" s="7">
        <v>0</v>
      </c>
      <c r="BC187" s="7">
        <v>0</v>
      </c>
      <c r="BD187" s="7">
        <v>0</v>
      </c>
      <c r="BE187" s="7">
        <v>0</v>
      </c>
      <c r="BF187" s="7">
        <v>0</v>
      </c>
      <c r="BG187" s="7">
        <v>0</v>
      </c>
      <c r="BH187" s="7">
        <v>0</v>
      </c>
      <c r="BI187" s="7">
        <v>0</v>
      </c>
      <c r="BJ187" s="21"/>
    </row>
    <row r="188" spans="1:62" ht="15.6" x14ac:dyDescent="0.3">
      <c r="A188" s="5" t="s">
        <v>333</v>
      </c>
      <c r="B188" s="5" t="s">
        <v>348</v>
      </c>
      <c r="C188" s="7">
        <v>6</v>
      </c>
      <c r="D188" s="7">
        <v>6</v>
      </c>
      <c r="E188" s="7">
        <v>0</v>
      </c>
      <c r="F188" s="7">
        <v>0</v>
      </c>
      <c r="G188" s="7">
        <v>0</v>
      </c>
      <c r="H188" s="7">
        <v>0</v>
      </c>
      <c r="I188" s="7">
        <v>0</v>
      </c>
      <c r="J188" s="7">
        <v>0</v>
      </c>
      <c r="K188" s="7">
        <v>0</v>
      </c>
      <c r="L188" s="7">
        <v>0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0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0</v>
      </c>
      <c r="AB188" s="7">
        <v>0</v>
      </c>
      <c r="AC188" s="7">
        <v>0</v>
      </c>
      <c r="AD188" s="7">
        <v>0</v>
      </c>
      <c r="AE188" s="7">
        <v>0</v>
      </c>
      <c r="AF188" s="7">
        <v>0</v>
      </c>
      <c r="AG188" s="7">
        <v>0</v>
      </c>
      <c r="AH188" s="7">
        <v>0</v>
      </c>
      <c r="AI188" s="7">
        <v>0</v>
      </c>
      <c r="AJ188" s="7">
        <v>0</v>
      </c>
      <c r="AK188" s="7">
        <v>0</v>
      </c>
      <c r="AL188" s="7">
        <v>0</v>
      </c>
      <c r="AM188" s="7">
        <v>0</v>
      </c>
      <c r="AN188" s="7">
        <v>0</v>
      </c>
      <c r="AO188" s="7">
        <v>0</v>
      </c>
      <c r="AP188" s="7">
        <v>0</v>
      </c>
      <c r="AQ188" s="7">
        <v>0</v>
      </c>
      <c r="AR188" s="7">
        <v>0</v>
      </c>
      <c r="AS188" s="7">
        <v>0</v>
      </c>
      <c r="AT188" s="7">
        <v>0</v>
      </c>
      <c r="AU188" s="7">
        <v>0</v>
      </c>
      <c r="AV188" s="7">
        <v>0</v>
      </c>
      <c r="AW188" s="7">
        <v>0</v>
      </c>
      <c r="AX188" s="7">
        <v>0</v>
      </c>
      <c r="AY188" s="7">
        <v>0</v>
      </c>
      <c r="AZ188" s="7">
        <v>0</v>
      </c>
      <c r="BA188" s="7">
        <v>0</v>
      </c>
      <c r="BB188" s="7">
        <v>0</v>
      </c>
      <c r="BC188" s="7">
        <v>0</v>
      </c>
      <c r="BD188" s="7">
        <v>0</v>
      </c>
      <c r="BE188" s="7">
        <v>0</v>
      </c>
      <c r="BF188" s="7">
        <v>0</v>
      </c>
      <c r="BG188" s="7">
        <v>0</v>
      </c>
      <c r="BH188" s="7">
        <v>0</v>
      </c>
      <c r="BI188" s="7">
        <v>0</v>
      </c>
      <c r="BJ188" s="21"/>
    </row>
    <row r="189" spans="1:62" ht="15.6" x14ac:dyDescent="0.3">
      <c r="A189" s="5" t="s">
        <v>335</v>
      </c>
      <c r="B189" s="5" t="s">
        <v>349</v>
      </c>
      <c r="C189" s="7">
        <v>6</v>
      </c>
      <c r="D189" s="7">
        <v>6</v>
      </c>
      <c r="E189" s="7">
        <v>0</v>
      </c>
      <c r="F189" s="7">
        <v>0</v>
      </c>
      <c r="G189" s="7">
        <v>0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0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7">
        <v>0</v>
      </c>
      <c r="AK189" s="7">
        <v>0</v>
      </c>
      <c r="AL189" s="7">
        <v>0</v>
      </c>
      <c r="AM189" s="7">
        <v>0</v>
      </c>
      <c r="AN189" s="7">
        <v>0</v>
      </c>
      <c r="AO189" s="7">
        <v>0</v>
      </c>
      <c r="AP189" s="7">
        <v>0</v>
      </c>
      <c r="AQ189" s="7">
        <v>0</v>
      </c>
      <c r="AR189" s="7">
        <v>0</v>
      </c>
      <c r="AS189" s="7">
        <v>0</v>
      </c>
      <c r="AT189" s="7">
        <v>0</v>
      </c>
      <c r="AU189" s="7">
        <v>0</v>
      </c>
      <c r="AV189" s="7">
        <v>0</v>
      </c>
      <c r="AW189" s="7">
        <v>0</v>
      </c>
      <c r="AX189" s="7">
        <v>0</v>
      </c>
      <c r="AY189" s="7">
        <v>0</v>
      </c>
      <c r="AZ189" s="7">
        <v>0</v>
      </c>
      <c r="BA189" s="7">
        <v>0</v>
      </c>
      <c r="BB189" s="7">
        <v>0</v>
      </c>
      <c r="BC189" s="7">
        <v>0</v>
      </c>
      <c r="BD189" s="7">
        <v>0</v>
      </c>
      <c r="BE189" s="7">
        <v>0</v>
      </c>
      <c r="BF189" s="7">
        <v>0</v>
      </c>
      <c r="BG189" s="7">
        <v>0</v>
      </c>
      <c r="BH189" s="7">
        <v>0</v>
      </c>
      <c r="BI189" s="7">
        <v>0</v>
      </c>
      <c r="BJ189" s="21"/>
    </row>
    <row r="190" spans="1:62" ht="15.6" x14ac:dyDescent="0.3">
      <c r="A190" s="5" t="s">
        <v>337</v>
      </c>
      <c r="B190" s="5" t="s">
        <v>350</v>
      </c>
      <c r="C190" s="7">
        <v>6</v>
      </c>
      <c r="D190" s="7">
        <v>6</v>
      </c>
      <c r="E190" s="7">
        <v>0</v>
      </c>
      <c r="F190" s="7">
        <v>0</v>
      </c>
      <c r="G190" s="7">
        <v>0</v>
      </c>
      <c r="H190" s="7">
        <v>0</v>
      </c>
      <c r="I190" s="7">
        <v>0</v>
      </c>
      <c r="J190" s="7">
        <v>0</v>
      </c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>
        <v>0</v>
      </c>
      <c r="AI190" s="7">
        <v>0</v>
      </c>
      <c r="AJ190" s="7">
        <v>0</v>
      </c>
      <c r="AK190" s="7">
        <v>0</v>
      </c>
      <c r="AL190" s="7">
        <v>0</v>
      </c>
      <c r="AM190" s="7">
        <v>0</v>
      </c>
      <c r="AN190" s="7">
        <v>0</v>
      </c>
      <c r="AO190" s="7">
        <v>0</v>
      </c>
      <c r="AP190" s="7">
        <v>0</v>
      </c>
      <c r="AQ190" s="7">
        <v>0</v>
      </c>
      <c r="AR190" s="7">
        <v>0</v>
      </c>
      <c r="AS190" s="7">
        <v>0</v>
      </c>
      <c r="AT190" s="7">
        <v>0</v>
      </c>
      <c r="AU190" s="7">
        <v>0</v>
      </c>
      <c r="AV190" s="7">
        <v>0</v>
      </c>
      <c r="AW190" s="7">
        <v>0</v>
      </c>
      <c r="AX190" s="7">
        <v>0</v>
      </c>
      <c r="AY190" s="7">
        <v>0</v>
      </c>
      <c r="AZ190" s="7">
        <v>0</v>
      </c>
      <c r="BA190" s="7">
        <v>0</v>
      </c>
      <c r="BB190" s="7">
        <v>0</v>
      </c>
      <c r="BC190" s="7">
        <v>0</v>
      </c>
      <c r="BD190" s="7">
        <v>0</v>
      </c>
      <c r="BE190" s="7">
        <v>0</v>
      </c>
      <c r="BF190" s="7">
        <v>0</v>
      </c>
      <c r="BG190" s="7">
        <v>0</v>
      </c>
      <c r="BH190" s="7">
        <v>0</v>
      </c>
      <c r="BI190" s="7">
        <v>0</v>
      </c>
      <c r="BJ190" s="21"/>
    </row>
    <row r="191" spans="1:62" ht="15.6" x14ac:dyDescent="0.3">
      <c r="A191" s="5" t="s">
        <v>339</v>
      </c>
      <c r="B191" s="5" t="s">
        <v>351</v>
      </c>
      <c r="C191" s="7">
        <v>6</v>
      </c>
      <c r="D191" s="7">
        <v>6</v>
      </c>
      <c r="E191" s="7">
        <v>0</v>
      </c>
      <c r="F191" s="7">
        <v>0</v>
      </c>
      <c r="G191" s="7">
        <v>0</v>
      </c>
      <c r="H191" s="7">
        <v>0</v>
      </c>
      <c r="I191" s="7">
        <v>0</v>
      </c>
      <c r="J191" s="7">
        <v>0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0</v>
      </c>
      <c r="U191" s="7">
        <v>0</v>
      </c>
      <c r="V191" s="7">
        <v>0</v>
      </c>
      <c r="W191" s="7">
        <v>0</v>
      </c>
      <c r="X191" s="7">
        <v>0</v>
      </c>
      <c r="Y191" s="7">
        <v>0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7">
        <v>0</v>
      </c>
      <c r="AK191" s="7">
        <v>0</v>
      </c>
      <c r="AL191" s="7">
        <v>0</v>
      </c>
      <c r="AM191" s="7">
        <v>0</v>
      </c>
      <c r="AN191" s="7">
        <v>0</v>
      </c>
      <c r="AO191" s="7">
        <v>0</v>
      </c>
      <c r="AP191" s="7">
        <v>0</v>
      </c>
      <c r="AQ191" s="7">
        <v>0</v>
      </c>
      <c r="AR191" s="7">
        <v>0</v>
      </c>
      <c r="AS191" s="7">
        <v>0</v>
      </c>
      <c r="AT191" s="7">
        <v>0</v>
      </c>
      <c r="AU191" s="7">
        <v>0</v>
      </c>
      <c r="AV191" s="7">
        <v>0</v>
      </c>
      <c r="AW191" s="7">
        <v>0</v>
      </c>
      <c r="AX191" s="7">
        <v>0</v>
      </c>
      <c r="AY191" s="7">
        <v>0</v>
      </c>
      <c r="AZ191" s="7">
        <v>0</v>
      </c>
      <c r="BA191" s="7">
        <v>0</v>
      </c>
      <c r="BB191" s="7">
        <v>0</v>
      </c>
      <c r="BC191" s="7">
        <v>0</v>
      </c>
      <c r="BD191" s="7">
        <v>0</v>
      </c>
      <c r="BE191" s="7">
        <v>0</v>
      </c>
      <c r="BF191" s="7">
        <v>0</v>
      </c>
      <c r="BG191" s="7">
        <v>0</v>
      </c>
      <c r="BH191" s="7">
        <v>0</v>
      </c>
      <c r="BI191" s="7">
        <v>0</v>
      </c>
      <c r="BJ191" s="21"/>
    </row>
    <row r="192" spans="1:62" ht="15.6" x14ac:dyDescent="0.3">
      <c r="A192" s="5" t="s">
        <v>341</v>
      </c>
      <c r="B192" s="5" t="s">
        <v>352</v>
      </c>
      <c r="C192" s="7">
        <v>6</v>
      </c>
      <c r="D192" s="7">
        <v>6</v>
      </c>
      <c r="E192" s="7">
        <v>0</v>
      </c>
      <c r="F192" s="7">
        <v>0</v>
      </c>
      <c r="G192" s="7">
        <v>0</v>
      </c>
      <c r="H192" s="7">
        <v>0</v>
      </c>
      <c r="I192" s="7">
        <v>0</v>
      </c>
      <c r="J192" s="7">
        <v>0</v>
      </c>
      <c r="K192" s="7">
        <v>0</v>
      </c>
      <c r="L192" s="7">
        <v>0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0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0</v>
      </c>
      <c r="AB192" s="7">
        <v>0</v>
      </c>
      <c r="AC192" s="7">
        <v>0</v>
      </c>
      <c r="AD192" s="7">
        <v>0</v>
      </c>
      <c r="AE192" s="7">
        <v>0</v>
      </c>
      <c r="AF192" s="7">
        <v>0</v>
      </c>
      <c r="AG192" s="7">
        <v>0</v>
      </c>
      <c r="AH192" s="7">
        <v>0</v>
      </c>
      <c r="AI192" s="7">
        <v>0</v>
      </c>
      <c r="AJ192" s="7">
        <v>0</v>
      </c>
      <c r="AK192" s="7">
        <v>0</v>
      </c>
      <c r="AL192" s="7">
        <v>0</v>
      </c>
      <c r="AM192" s="7">
        <v>0</v>
      </c>
      <c r="AN192" s="7">
        <v>0</v>
      </c>
      <c r="AO192" s="7">
        <v>0</v>
      </c>
      <c r="AP192" s="7">
        <v>0</v>
      </c>
      <c r="AQ192" s="7">
        <v>0</v>
      </c>
      <c r="AR192" s="7">
        <v>0</v>
      </c>
      <c r="AS192" s="7">
        <v>0</v>
      </c>
      <c r="AT192" s="7">
        <v>0</v>
      </c>
      <c r="AU192" s="7">
        <v>0</v>
      </c>
      <c r="AV192" s="7">
        <v>0</v>
      </c>
      <c r="AW192" s="7">
        <v>0</v>
      </c>
      <c r="AX192" s="7">
        <v>0</v>
      </c>
      <c r="AY192" s="7">
        <v>0</v>
      </c>
      <c r="AZ192" s="7">
        <v>0</v>
      </c>
      <c r="BA192" s="7">
        <v>0</v>
      </c>
      <c r="BB192" s="7">
        <v>0</v>
      </c>
      <c r="BC192" s="7">
        <v>0</v>
      </c>
      <c r="BD192" s="7">
        <v>0</v>
      </c>
      <c r="BE192" s="7">
        <v>0</v>
      </c>
      <c r="BF192" s="7">
        <v>0</v>
      </c>
      <c r="BG192" s="7">
        <v>0</v>
      </c>
      <c r="BH192" s="7">
        <v>0</v>
      </c>
      <c r="BI192" s="7">
        <v>0</v>
      </c>
      <c r="BJ192" s="21"/>
    </row>
    <row r="193" spans="1:62" ht="15.6" x14ac:dyDescent="0.3">
      <c r="A193" s="5" t="s">
        <v>353</v>
      </c>
      <c r="B193" s="5" t="s">
        <v>354</v>
      </c>
      <c r="C193" s="7">
        <v>6</v>
      </c>
      <c r="D193" s="7">
        <v>6</v>
      </c>
      <c r="E193" s="7">
        <v>0</v>
      </c>
      <c r="F193" s="7">
        <v>0</v>
      </c>
      <c r="G193" s="7">
        <v>0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7">
        <v>0</v>
      </c>
      <c r="AK193" s="7">
        <v>0</v>
      </c>
      <c r="AL193" s="7">
        <v>0</v>
      </c>
      <c r="AM193" s="7">
        <v>0</v>
      </c>
      <c r="AN193" s="7">
        <v>0</v>
      </c>
      <c r="AO193" s="7">
        <v>0</v>
      </c>
      <c r="AP193" s="7">
        <v>0</v>
      </c>
      <c r="AQ193" s="7">
        <v>0</v>
      </c>
      <c r="AR193" s="7">
        <v>0</v>
      </c>
      <c r="AS193" s="7">
        <v>0</v>
      </c>
      <c r="AT193" s="7">
        <v>0</v>
      </c>
      <c r="AU193" s="7">
        <v>0</v>
      </c>
      <c r="AV193" s="7">
        <v>0</v>
      </c>
      <c r="AW193" s="7">
        <v>0</v>
      </c>
      <c r="AX193" s="7">
        <v>0</v>
      </c>
      <c r="AY193" s="7">
        <v>0</v>
      </c>
      <c r="AZ193" s="7">
        <v>0</v>
      </c>
      <c r="BA193" s="7">
        <v>0</v>
      </c>
      <c r="BB193" s="7">
        <v>0</v>
      </c>
      <c r="BC193" s="7">
        <v>0</v>
      </c>
      <c r="BD193" s="7">
        <v>0</v>
      </c>
      <c r="BE193" s="7">
        <v>0</v>
      </c>
      <c r="BF193" s="7">
        <v>0</v>
      </c>
      <c r="BG193" s="7">
        <v>0</v>
      </c>
      <c r="BH193" s="7">
        <v>0</v>
      </c>
      <c r="BI193" s="7">
        <v>0</v>
      </c>
      <c r="BJ193" s="21"/>
    </row>
    <row r="194" spans="1:62" ht="15.6" x14ac:dyDescent="0.3">
      <c r="A194" s="5" t="s">
        <v>355</v>
      </c>
      <c r="B194" s="5" t="s">
        <v>356</v>
      </c>
      <c r="C194" s="7">
        <v>6</v>
      </c>
      <c r="D194" s="7">
        <v>6</v>
      </c>
      <c r="E194" s="7">
        <v>0</v>
      </c>
      <c r="F194" s="7">
        <v>0</v>
      </c>
      <c r="G194" s="7">
        <v>0</v>
      </c>
      <c r="H194" s="7">
        <v>0</v>
      </c>
      <c r="I194" s="7">
        <v>0</v>
      </c>
      <c r="J194" s="7">
        <v>0</v>
      </c>
      <c r="K194" s="7">
        <v>0</v>
      </c>
      <c r="L194" s="7">
        <v>0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0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0</v>
      </c>
      <c r="AB194" s="7">
        <v>0</v>
      </c>
      <c r="AC194" s="7">
        <v>0</v>
      </c>
      <c r="AD194" s="7">
        <v>0</v>
      </c>
      <c r="AE194" s="7">
        <v>0</v>
      </c>
      <c r="AF194" s="7">
        <v>0</v>
      </c>
      <c r="AG194" s="7">
        <v>0</v>
      </c>
      <c r="AH194" s="7">
        <v>0</v>
      </c>
      <c r="AI194" s="7">
        <v>0</v>
      </c>
      <c r="AJ194" s="7">
        <v>0</v>
      </c>
      <c r="AK194" s="7">
        <v>0</v>
      </c>
      <c r="AL194" s="7">
        <v>0</v>
      </c>
      <c r="AM194" s="7">
        <v>0</v>
      </c>
      <c r="AN194" s="7">
        <v>0</v>
      </c>
      <c r="AO194" s="7">
        <v>0</v>
      </c>
      <c r="AP194" s="7">
        <v>0</v>
      </c>
      <c r="AQ194" s="7">
        <v>0</v>
      </c>
      <c r="AR194" s="7">
        <v>0</v>
      </c>
      <c r="AS194" s="7">
        <v>0</v>
      </c>
      <c r="AT194" s="7">
        <v>0</v>
      </c>
      <c r="AU194" s="7">
        <v>0</v>
      </c>
      <c r="AV194" s="7">
        <v>0</v>
      </c>
      <c r="AW194" s="7">
        <v>0</v>
      </c>
      <c r="AX194" s="7">
        <v>0</v>
      </c>
      <c r="AY194" s="7">
        <v>0</v>
      </c>
      <c r="AZ194" s="7">
        <v>0</v>
      </c>
      <c r="BA194" s="7">
        <v>0</v>
      </c>
      <c r="BB194" s="7">
        <v>0</v>
      </c>
      <c r="BC194" s="7">
        <v>0</v>
      </c>
      <c r="BD194" s="7">
        <v>0</v>
      </c>
      <c r="BE194" s="7">
        <v>0</v>
      </c>
      <c r="BF194" s="7">
        <v>0</v>
      </c>
      <c r="BG194" s="7">
        <v>0</v>
      </c>
      <c r="BH194" s="7">
        <v>0</v>
      </c>
      <c r="BI194" s="7">
        <v>0</v>
      </c>
      <c r="BJ194" s="21"/>
    </row>
    <row r="195" spans="1:62" ht="15.6" x14ac:dyDescent="0.3">
      <c r="A195" s="5" t="s">
        <v>357</v>
      </c>
      <c r="B195" s="5" t="s">
        <v>358</v>
      </c>
      <c r="C195" s="7">
        <v>6</v>
      </c>
      <c r="D195" s="7">
        <v>6</v>
      </c>
      <c r="E195" s="7">
        <v>31.364000000000001</v>
      </c>
      <c r="F195" s="7">
        <v>2.7989999999999999</v>
      </c>
      <c r="G195" s="7">
        <v>8.3179999999999996</v>
      </c>
      <c r="H195" s="7">
        <v>0</v>
      </c>
      <c r="I195" s="7">
        <v>0.71599999999999997</v>
      </c>
      <c r="J195" s="7">
        <v>6.1680000000000001</v>
      </c>
      <c r="K195" s="7">
        <v>0</v>
      </c>
      <c r="L195" s="7">
        <v>11.534000000000001</v>
      </c>
      <c r="M195" s="7">
        <v>19.643999999999998</v>
      </c>
      <c r="N195" s="7">
        <v>0</v>
      </c>
      <c r="O195" s="7">
        <v>0</v>
      </c>
      <c r="P195" s="7">
        <v>1E-3</v>
      </c>
      <c r="Q195" s="7">
        <v>0</v>
      </c>
      <c r="R195" s="7">
        <v>0</v>
      </c>
      <c r="S195" s="7">
        <v>1.038</v>
      </c>
      <c r="T195" s="7">
        <v>0</v>
      </c>
      <c r="U195" s="7">
        <v>0</v>
      </c>
      <c r="V195" s="7">
        <v>0.76700000000000002</v>
      </c>
      <c r="W195" s="7">
        <v>1.92</v>
      </c>
      <c r="X195" s="7">
        <v>0</v>
      </c>
      <c r="Y195" s="7">
        <v>4.6929999999999996</v>
      </c>
      <c r="Z195" s="7">
        <v>0</v>
      </c>
      <c r="AA195" s="7">
        <v>9.0090000000000003</v>
      </c>
      <c r="AB195" s="7">
        <v>0</v>
      </c>
      <c r="AC195" s="7">
        <v>0.55700000000000005</v>
      </c>
      <c r="AD195" s="7">
        <v>0</v>
      </c>
      <c r="AE195" s="7">
        <v>13.429</v>
      </c>
      <c r="AF195" s="7">
        <v>0</v>
      </c>
      <c r="AG195" s="7">
        <v>0</v>
      </c>
      <c r="AH195" s="7">
        <v>36.94</v>
      </c>
      <c r="AI195" s="7">
        <v>0</v>
      </c>
      <c r="AJ195" s="7">
        <v>0</v>
      </c>
      <c r="AK195" s="7">
        <v>0</v>
      </c>
      <c r="AL195" s="7">
        <v>0</v>
      </c>
      <c r="AM195" s="7">
        <v>0</v>
      </c>
      <c r="AN195" s="7">
        <v>0</v>
      </c>
      <c r="AO195" s="7">
        <v>0.40300000000000002</v>
      </c>
      <c r="AP195" s="7">
        <v>0</v>
      </c>
      <c r="AQ195" s="7">
        <v>0</v>
      </c>
      <c r="AR195" s="7">
        <v>0</v>
      </c>
      <c r="AS195" s="7">
        <v>4.0000000000000001E-3</v>
      </c>
      <c r="AT195" s="7">
        <v>0</v>
      </c>
      <c r="AU195" s="7">
        <v>0.22800000000000001</v>
      </c>
      <c r="AV195" s="7">
        <v>0</v>
      </c>
      <c r="AW195" s="7">
        <v>0</v>
      </c>
      <c r="AX195" s="7">
        <v>0</v>
      </c>
      <c r="AY195" s="7">
        <v>0.33400000000000002</v>
      </c>
      <c r="AZ195" s="7">
        <v>0</v>
      </c>
      <c r="BA195" s="7">
        <v>0</v>
      </c>
      <c r="BB195" s="7">
        <v>0.16200000000000001</v>
      </c>
      <c r="BC195" s="7">
        <v>0.27900000000000003</v>
      </c>
      <c r="BD195" s="7">
        <v>0</v>
      </c>
      <c r="BE195" s="7">
        <v>0.04</v>
      </c>
      <c r="BF195" s="7">
        <v>0.04</v>
      </c>
      <c r="BG195" s="7">
        <v>0</v>
      </c>
      <c r="BH195" s="7">
        <v>0</v>
      </c>
      <c r="BI195" s="7">
        <v>0.12</v>
      </c>
      <c r="BJ195" s="21"/>
    </row>
    <row r="196" spans="1:62" ht="15.6" x14ac:dyDescent="0.3">
      <c r="A196" s="5" t="s">
        <v>359</v>
      </c>
      <c r="B196" s="5" t="s">
        <v>360</v>
      </c>
      <c r="C196" s="7">
        <v>6</v>
      </c>
      <c r="D196" s="7">
        <v>6</v>
      </c>
      <c r="E196" s="7">
        <v>0</v>
      </c>
      <c r="F196" s="7">
        <v>0</v>
      </c>
      <c r="G196" s="7">
        <v>0</v>
      </c>
      <c r="H196" s="7">
        <v>0</v>
      </c>
      <c r="I196" s="7">
        <v>0</v>
      </c>
      <c r="J196" s="7">
        <v>0</v>
      </c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33.945999999999998</v>
      </c>
      <c r="R196" s="7">
        <v>107.97799999999999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>
        <v>0</v>
      </c>
      <c r="AI196" s="7">
        <v>0</v>
      </c>
      <c r="AJ196" s="7">
        <v>0</v>
      </c>
      <c r="AK196" s="7">
        <v>0</v>
      </c>
      <c r="AL196" s="7">
        <v>0</v>
      </c>
      <c r="AM196" s="7">
        <v>0</v>
      </c>
      <c r="AN196" s="7">
        <v>0</v>
      </c>
      <c r="AO196" s="7">
        <v>0</v>
      </c>
      <c r="AP196" s="7">
        <v>0</v>
      </c>
      <c r="AQ196" s="7">
        <v>0</v>
      </c>
      <c r="AR196" s="7">
        <v>0</v>
      </c>
      <c r="AS196" s="7">
        <v>0</v>
      </c>
      <c r="AT196" s="7">
        <v>0</v>
      </c>
      <c r="AU196" s="7">
        <v>0</v>
      </c>
      <c r="AV196" s="7">
        <v>0</v>
      </c>
      <c r="AW196" s="7">
        <v>0</v>
      </c>
      <c r="AX196" s="7">
        <v>0</v>
      </c>
      <c r="AY196" s="7">
        <v>0</v>
      </c>
      <c r="AZ196" s="7">
        <v>0</v>
      </c>
      <c r="BA196" s="7">
        <v>0</v>
      </c>
      <c r="BB196" s="7">
        <v>0</v>
      </c>
      <c r="BC196" s="7">
        <v>0</v>
      </c>
      <c r="BD196" s="7">
        <v>0</v>
      </c>
      <c r="BE196" s="7">
        <v>0</v>
      </c>
      <c r="BF196" s="7">
        <v>0</v>
      </c>
      <c r="BG196" s="7">
        <v>0</v>
      </c>
      <c r="BH196" s="7">
        <v>0</v>
      </c>
      <c r="BI196" s="7">
        <v>0</v>
      </c>
      <c r="BJ196" s="21"/>
    </row>
    <row r="197" spans="1:62" ht="15.6" x14ac:dyDescent="0.3">
      <c r="A197" s="5" t="s">
        <v>361</v>
      </c>
      <c r="B197" s="5" t="s">
        <v>362</v>
      </c>
      <c r="C197" s="7">
        <v>6</v>
      </c>
      <c r="D197" s="7">
        <v>6</v>
      </c>
      <c r="E197" s="7">
        <v>144.874</v>
      </c>
      <c r="F197" s="7">
        <v>0</v>
      </c>
      <c r="G197" s="7">
        <v>35.276000000000003</v>
      </c>
      <c r="H197" s="7">
        <v>0</v>
      </c>
      <c r="I197" s="7">
        <v>0</v>
      </c>
      <c r="J197" s="7">
        <v>61.360999999999997</v>
      </c>
      <c r="K197" s="7">
        <v>0</v>
      </c>
      <c r="L197" s="7">
        <v>521.08100000000002</v>
      </c>
      <c r="M197" s="7">
        <v>75.558000000000007</v>
      </c>
      <c r="N197" s="7">
        <v>0</v>
      </c>
      <c r="O197" s="7">
        <v>0</v>
      </c>
      <c r="P197" s="7">
        <v>0</v>
      </c>
      <c r="Q197" s="7">
        <v>13.015000000000001</v>
      </c>
      <c r="R197" s="7">
        <v>41.4</v>
      </c>
      <c r="S197" s="7">
        <v>0</v>
      </c>
      <c r="T197" s="7">
        <v>0</v>
      </c>
      <c r="U197" s="7">
        <v>0</v>
      </c>
      <c r="V197" s="7">
        <v>0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446.69</v>
      </c>
      <c r="AI197" s="7">
        <v>0</v>
      </c>
      <c r="AJ197" s="7">
        <v>0</v>
      </c>
      <c r="AK197" s="7">
        <v>0</v>
      </c>
      <c r="AL197" s="7">
        <v>0</v>
      </c>
      <c r="AM197" s="7">
        <v>0</v>
      </c>
      <c r="AN197" s="7">
        <v>0</v>
      </c>
      <c r="AO197" s="7">
        <v>0</v>
      </c>
      <c r="AP197" s="7">
        <v>0</v>
      </c>
      <c r="AQ197" s="7">
        <v>0</v>
      </c>
      <c r="AR197" s="7">
        <v>0</v>
      </c>
      <c r="AS197" s="7">
        <v>0</v>
      </c>
      <c r="AT197" s="7">
        <v>0</v>
      </c>
      <c r="AU197" s="7">
        <v>0</v>
      </c>
      <c r="AV197" s="7">
        <v>0</v>
      </c>
      <c r="AW197" s="7">
        <v>0</v>
      </c>
      <c r="AX197" s="7">
        <v>0</v>
      </c>
      <c r="AY197" s="7">
        <v>0</v>
      </c>
      <c r="AZ197" s="7">
        <v>0</v>
      </c>
      <c r="BA197" s="7">
        <v>0</v>
      </c>
      <c r="BB197" s="7">
        <v>0</v>
      </c>
      <c r="BC197" s="7">
        <v>0</v>
      </c>
      <c r="BD197" s="7">
        <v>0</v>
      </c>
      <c r="BE197" s="7">
        <v>0</v>
      </c>
      <c r="BF197" s="7">
        <v>0</v>
      </c>
      <c r="BG197" s="7">
        <v>0</v>
      </c>
      <c r="BH197" s="7">
        <v>0</v>
      </c>
      <c r="BI197" s="7">
        <v>0</v>
      </c>
      <c r="BJ197" s="21"/>
    </row>
    <row r="198" spans="1:62" ht="15.6" x14ac:dyDescent="0.3">
      <c r="A198" s="5" t="s">
        <v>363</v>
      </c>
      <c r="B198" s="5" t="s">
        <v>364</v>
      </c>
      <c r="C198" s="7">
        <v>6</v>
      </c>
      <c r="D198" s="7">
        <v>6</v>
      </c>
      <c r="E198" s="7">
        <v>0</v>
      </c>
      <c r="F198" s="7">
        <v>0</v>
      </c>
      <c r="G198" s="7">
        <v>0</v>
      </c>
      <c r="H198" s="7">
        <v>0</v>
      </c>
      <c r="I198" s="7">
        <v>0</v>
      </c>
      <c r="J198" s="7">
        <v>0</v>
      </c>
      <c r="K198" s="7">
        <v>0</v>
      </c>
      <c r="L198" s="7">
        <v>0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0</v>
      </c>
      <c r="U198" s="7">
        <v>0</v>
      </c>
      <c r="V198" s="7">
        <v>0</v>
      </c>
      <c r="W198" s="7">
        <v>0</v>
      </c>
      <c r="X198" s="7">
        <v>0</v>
      </c>
      <c r="Y198" s="7">
        <v>0</v>
      </c>
      <c r="Z198" s="7">
        <v>0</v>
      </c>
      <c r="AA198" s="7">
        <v>0</v>
      </c>
      <c r="AB198" s="7">
        <v>0</v>
      </c>
      <c r="AC198" s="7">
        <v>0</v>
      </c>
      <c r="AD198" s="7">
        <v>0</v>
      </c>
      <c r="AE198" s="7">
        <v>0</v>
      </c>
      <c r="AF198" s="7">
        <v>0</v>
      </c>
      <c r="AG198" s="7">
        <v>0</v>
      </c>
      <c r="AH198" s="7">
        <v>0</v>
      </c>
      <c r="AI198" s="7">
        <v>0</v>
      </c>
      <c r="AJ198" s="7">
        <v>0</v>
      </c>
      <c r="AK198" s="7">
        <v>0</v>
      </c>
      <c r="AL198" s="7">
        <v>0</v>
      </c>
      <c r="AM198" s="7">
        <v>0</v>
      </c>
      <c r="AN198" s="7">
        <v>0</v>
      </c>
      <c r="AO198" s="7">
        <v>0</v>
      </c>
      <c r="AP198" s="7">
        <v>0</v>
      </c>
      <c r="AQ198" s="7">
        <v>0</v>
      </c>
      <c r="AR198" s="7">
        <v>0</v>
      </c>
      <c r="AS198" s="7">
        <v>0</v>
      </c>
      <c r="AT198" s="7">
        <v>0</v>
      </c>
      <c r="AU198" s="7">
        <v>0</v>
      </c>
      <c r="AV198" s="7">
        <v>0</v>
      </c>
      <c r="AW198" s="7">
        <v>0</v>
      </c>
      <c r="AX198" s="7">
        <v>0</v>
      </c>
      <c r="AY198" s="7">
        <v>0</v>
      </c>
      <c r="AZ198" s="7">
        <v>0</v>
      </c>
      <c r="BA198" s="7">
        <v>0</v>
      </c>
      <c r="BB198" s="7">
        <v>0</v>
      </c>
      <c r="BC198" s="7">
        <v>0</v>
      </c>
      <c r="BD198" s="7">
        <v>0</v>
      </c>
      <c r="BE198" s="7">
        <v>0</v>
      </c>
      <c r="BF198" s="7">
        <v>0</v>
      </c>
      <c r="BG198" s="7">
        <v>0</v>
      </c>
      <c r="BH198" s="7">
        <v>0</v>
      </c>
      <c r="BI198" s="7">
        <v>0</v>
      </c>
      <c r="BJ198" s="21"/>
    </row>
    <row r="199" spans="1:62" ht="15.6" x14ac:dyDescent="0.3">
      <c r="A199" s="5" t="s">
        <v>365</v>
      </c>
      <c r="B199" s="5" t="s">
        <v>366</v>
      </c>
      <c r="C199" s="7">
        <v>6</v>
      </c>
      <c r="D199" s="7">
        <v>6</v>
      </c>
      <c r="E199" s="7">
        <v>0</v>
      </c>
      <c r="F199" s="7">
        <v>0</v>
      </c>
      <c r="G199" s="7">
        <v>0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7">
        <v>0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7">
        <v>0</v>
      </c>
      <c r="AK199" s="7">
        <v>0</v>
      </c>
      <c r="AL199" s="7">
        <v>0</v>
      </c>
      <c r="AM199" s="7">
        <v>0</v>
      </c>
      <c r="AN199" s="7">
        <v>0</v>
      </c>
      <c r="AO199" s="7">
        <v>0</v>
      </c>
      <c r="AP199" s="7">
        <v>0</v>
      </c>
      <c r="AQ199" s="7">
        <v>0</v>
      </c>
      <c r="AR199" s="7">
        <v>0</v>
      </c>
      <c r="AS199" s="7">
        <v>0</v>
      </c>
      <c r="AT199" s="7">
        <v>0</v>
      </c>
      <c r="AU199" s="7">
        <v>0</v>
      </c>
      <c r="AV199" s="7">
        <v>0</v>
      </c>
      <c r="AW199" s="7">
        <v>0</v>
      </c>
      <c r="AX199" s="7">
        <v>0</v>
      </c>
      <c r="AY199" s="7">
        <v>0</v>
      </c>
      <c r="AZ199" s="7">
        <v>0</v>
      </c>
      <c r="BA199" s="7">
        <v>0</v>
      </c>
      <c r="BB199" s="7">
        <v>0</v>
      </c>
      <c r="BC199" s="7">
        <v>0</v>
      </c>
      <c r="BD199" s="7">
        <v>0</v>
      </c>
      <c r="BE199" s="7">
        <v>0</v>
      </c>
      <c r="BF199" s="7">
        <v>0</v>
      </c>
      <c r="BG199" s="7">
        <v>0</v>
      </c>
      <c r="BH199" s="7">
        <v>0</v>
      </c>
      <c r="BI199" s="7">
        <v>0</v>
      </c>
      <c r="BJ199" s="21"/>
    </row>
    <row r="200" spans="1:62" ht="15.6" x14ac:dyDescent="0.3">
      <c r="A200" s="5" t="s">
        <v>367</v>
      </c>
      <c r="B200" s="5" t="s">
        <v>368</v>
      </c>
      <c r="C200" s="7">
        <v>6</v>
      </c>
      <c r="D200" s="7">
        <v>6</v>
      </c>
      <c r="E200" s="7">
        <v>0</v>
      </c>
      <c r="F200" s="7">
        <v>0</v>
      </c>
      <c r="G200" s="7">
        <v>0</v>
      </c>
      <c r="H200" s="7">
        <v>0</v>
      </c>
      <c r="I200" s="7">
        <v>0</v>
      </c>
      <c r="J200" s="7">
        <v>0</v>
      </c>
      <c r="K200" s="7">
        <v>0</v>
      </c>
      <c r="L200" s="7">
        <v>0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0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0</v>
      </c>
      <c r="AB200" s="7">
        <v>0</v>
      </c>
      <c r="AC200" s="7">
        <v>0</v>
      </c>
      <c r="AD200" s="7">
        <v>0</v>
      </c>
      <c r="AE200" s="7">
        <v>0</v>
      </c>
      <c r="AF200" s="7">
        <v>0</v>
      </c>
      <c r="AG200" s="7">
        <v>0</v>
      </c>
      <c r="AH200" s="7">
        <v>0</v>
      </c>
      <c r="AI200" s="7">
        <v>0</v>
      </c>
      <c r="AJ200" s="7">
        <v>0</v>
      </c>
      <c r="AK200" s="7">
        <v>0</v>
      </c>
      <c r="AL200" s="7">
        <v>0</v>
      </c>
      <c r="AM200" s="7">
        <v>0</v>
      </c>
      <c r="AN200" s="7">
        <v>0</v>
      </c>
      <c r="AO200" s="7">
        <v>0</v>
      </c>
      <c r="AP200" s="7">
        <v>0</v>
      </c>
      <c r="AQ200" s="7">
        <v>0</v>
      </c>
      <c r="AR200" s="7">
        <v>0</v>
      </c>
      <c r="AS200" s="7">
        <v>0</v>
      </c>
      <c r="AT200" s="7">
        <v>0</v>
      </c>
      <c r="AU200" s="7">
        <v>0</v>
      </c>
      <c r="AV200" s="7">
        <v>0</v>
      </c>
      <c r="AW200" s="7">
        <v>0</v>
      </c>
      <c r="AX200" s="7">
        <v>0</v>
      </c>
      <c r="AY200" s="7">
        <v>0</v>
      </c>
      <c r="AZ200" s="7">
        <v>0</v>
      </c>
      <c r="BA200" s="7">
        <v>0</v>
      </c>
      <c r="BB200" s="7">
        <v>0</v>
      </c>
      <c r="BC200" s="7">
        <v>0</v>
      </c>
      <c r="BD200" s="7">
        <v>0</v>
      </c>
      <c r="BE200" s="7">
        <v>0</v>
      </c>
      <c r="BF200" s="7">
        <v>0</v>
      </c>
      <c r="BG200" s="7">
        <v>0</v>
      </c>
      <c r="BH200" s="7">
        <v>0</v>
      </c>
      <c r="BI200" s="7">
        <v>0</v>
      </c>
      <c r="BJ200" s="21"/>
    </row>
    <row r="201" spans="1:62" ht="15.6" x14ac:dyDescent="0.3">
      <c r="A201" s="5" t="s">
        <v>369</v>
      </c>
      <c r="B201" s="5" t="s">
        <v>370</v>
      </c>
      <c r="C201" s="7">
        <v>6</v>
      </c>
      <c r="D201" s="7">
        <v>6</v>
      </c>
      <c r="E201" s="7">
        <v>0</v>
      </c>
      <c r="F201" s="7">
        <v>0</v>
      </c>
      <c r="G201" s="7">
        <v>0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0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7">
        <v>0</v>
      </c>
      <c r="AK201" s="7">
        <v>0</v>
      </c>
      <c r="AL201" s="7">
        <v>0</v>
      </c>
      <c r="AM201" s="7">
        <v>0</v>
      </c>
      <c r="AN201" s="7">
        <v>0</v>
      </c>
      <c r="AO201" s="7">
        <v>0</v>
      </c>
      <c r="AP201" s="7">
        <v>0</v>
      </c>
      <c r="AQ201" s="7">
        <v>0</v>
      </c>
      <c r="AR201" s="7">
        <v>0</v>
      </c>
      <c r="AS201" s="7">
        <v>0</v>
      </c>
      <c r="AT201" s="7">
        <v>0</v>
      </c>
      <c r="AU201" s="7">
        <v>0</v>
      </c>
      <c r="AV201" s="7">
        <v>0</v>
      </c>
      <c r="AW201" s="7">
        <v>0</v>
      </c>
      <c r="AX201" s="7">
        <v>0</v>
      </c>
      <c r="AY201" s="7">
        <v>0</v>
      </c>
      <c r="AZ201" s="7">
        <v>0</v>
      </c>
      <c r="BA201" s="7">
        <v>0</v>
      </c>
      <c r="BB201" s="7">
        <v>0</v>
      </c>
      <c r="BC201" s="7">
        <v>0</v>
      </c>
      <c r="BD201" s="7">
        <v>0</v>
      </c>
      <c r="BE201" s="7">
        <v>0</v>
      </c>
      <c r="BF201" s="7">
        <v>0</v>
      </c>
      <c r="BG201" s="7">
        <v>0</v>
      </c>
      <c r="BH201" s="7">
        <v>0</v>
      </c>
      <c r="BI201" s="7">
        <v>0</v>
      </c>
      <c r="BJ201" s="21"/>
    </row>
    <row r="202" spans="1:62" ht="15.6" x14ac:dyDescent="0.3">
      <c r="A202" s="5" t="s">
        <v>371</v>
      </c>
      <c r="B202" s="5" t="s">
        <v>372</v>
      </c>
      <c r="C202" s="7">
        <v>6</v>
      </c>
      <c r="D202" s="7">
        <v>6</v>
      </c>
      <c r="E202" s="7">
        <v>0</v>
      </c>
      <c r="F202" s="7">
        <v>0</v>
      </c>
      <c r="G202" s="7">
        <v>0</v>
      </c>
      <c r="H202" s="7">
        <v>0</v>
      </c>
      <c r="I202" s="7">
        <v>0</v>
      </c>
      <c r="J202" s="7">
        <v>0</v>
      </c>
      <c r="K202" s="7">
        <v>0</v>
      </c>
      <c r="L202" s="7">
        <v>0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0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0</v>
      </c>
      <c r="AB202" s="7">
        <v>0</v>
      </c>
      <c r="AC202" s="7">
        <v>0</v>
      </c>
      <c r="AD202" s="7">
        <v>0</v>
      </c>
      <c r="AE202" s="7">
        <v>0</v>
      </c>
      <c r="AF202" s="7">
        <v>0</v>
      </c>
      <c r="AG202" s="7">
        <v>0</v>
      </c>
      <c r="AH202" s="7">
        <v>0</v>
      </c>
      <c r="AI202" s="7">
        <v>0</v>
      </c>
      <c r="AJ202" s="7">
        <v>0</v>
      </c>
      <c r="AK202" s="7">
        <v>0</v>
      </c>
      <c r="AL202" s="7">
        <v>0</v>
      </c>
      <c r="AM202" s="7">
        <v>0</v>
      </c>
      <c r="AN202" s="7">
        <v>0</v>
      </c>
      <c r="AO202" s="7">
        <v>0</v>
      </c>
      <c r="AP202" s="7">
        <v>0</v>
      </c>
      <c r="AQ202" s="7">
        <v>0</v>
      </c>
      <c r="AR202" s="7">
        <v>0</v>
      </c>
      <c r="AS202" s="7">
        <v>0</v>
      </c>
      <c r="AT202" s="7">
        <v>0</v>
      </c>
      <c r="AU202" s="7">
        <v>0</v>
      </c>
      <c r="AV202" s="7">
        <v>0</v>
      </c>
      <c r="AW202" s="7">
        <v>0</v>
      </c>
      <c r="AX202" s="7">
        <v>0</v>
      </c>
      <c r="AY202" s="7">
        <v>0</v>
      </c>
      <c r="AZ202" s="7">
        <v>0</v>
      </c>
      <c r="BA202" s="7">
        <v>0</v>
      </c>
      <c r="BB202" s="7">
        <v>0</v>
      </c>
      <c r="BC202" s="7">
        <v>0</v>
      </c>
      <c r="BD202" s="7">
        <v>0</v>
      </c>
      <c r="BE202" s="7">
        <v>0</v>
      </c>
      <c r="BF202" s="7">
        <v>0</v>
      </c>
      <c r="BG202" s="7">
        <v>0</v>
      </c>
      <c r="BH202" s="7">
        <v>0</v>
      </c>
      <c r="BI202" s="7">
        <v>0</v>
      </c>
      <c r="BJ202" s="21"/>
    </row>
    <row r="203" spans="1:62" ht="15.6" x14ac:dyDescent="0.3">
      <c r="A203" s="5" t="s">
        <v>373</v>
      </c>
      <c r="B203" s="5" t="s">
        <v>374</v>
      </c>
      <c r="C203" s="7">
        <v>3</v>
      </c>
      <c r="D203" s="7">
        <v>6</v>
      </c>
      <c r="E203" s="7">
        <v>0</v>
      </c>
      <c r="F203" s="7">
        <v>0</v>
      </c>
      <c r="G203" s="7">
        <v>0</v>
      </c>
      <c r="H203" s="7">
        <v>0</v>
      </c>
      <c r="I203" s="7">
        <v>0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0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7">
        <v>0</v>
      </c>
      <c r="AK203" s="7">
        <v>0</v>
      </c>
      <c r="AL203" s="7">
        <v>0</v>
      </c>
      <c r="AM203" s="7">
        <v>0</v>
      </c>
      <c r="AN203" s="7">
        <v>0</v>
      </c>
      <c r="AO203" s="7">
        <v>0</v>
      </c>
      <c r="AP203" s="7">
        <v>0</v>
      </c>
      <c r="AQ203" s="7">
        <v>0</v>
      </c>
      <c r="AR203" s="7">
        <v>0</v>
      </c>
      <c r="AS203" s="7">
        <v>0</v>
      </c>
      <c r="AT203" s="7">
        <v>0</v>
      </c>
      <c r="AU203" s="7">
        <v>0</v>
      </c>
      <c r="AV203" s="7">
        <v>0</v>
      </c>
      <c r="AW203" s="7">
        <v>0</v>
      </c>
      <c r="AX203" s="7">
        <v>0</v>
      </c>
      <c r="AY203" s="7">
        <v>0</v>
      </c>
      <c r="AZ203" s="7">
        <v>0</v>
      </c>
      <c r="BA203" s="7">
        <v>0</v>
      </c>
      <c r="BB203" s="7">
        <v>0</v>
      </c>
      <c r="BC203" s="7">
        <v>0</v>
      </c>
      <c r="BD203" s="7">
        <v>0</v>
      </c>
      <c r="BE203" s="7">
        <v>0</v>
      </c>
      <c r="BF203" s="7">
        <v>0</v>
      </c>
      <c r="BG203" s="7">
        <v>0</v>
      </c>
      <c r="BH203" s="7">
        <v>0</v>
      </c>
      <c r="BI203" s="7">
        <v>0</v>
      </c>
      <c r="BJ203" s="21"/>
    </row>
    <row r="204" spans="1:62" ht="15.6" x14ac:dyDescent="0.3">
      <c r="A204" s="5" t="s">
        <v>375</v>
      </c>
      <c r="B204" s="5" t="s">
        <v>376</v>
      </c>
      <c r="C204" s="7">
        <v>6</v>
      </c>
      <c r="D204" s="7">
        <v>6</v>
      </c>
      <c r="E204" s="7">
        <v>0</v>
      </c>
      <c r="F204" s="7">
        <v>0</v>
      </c>
      <c r="G204" s="7">
        <v>0</v>
      </c>
      <c r="H204" s="7">
        <v>0</v>
      </c>
      <c r="I204" s="7">
        <v>0</v>
      </c>
      <c r="J204" s="7">
        <v>0</v>
      </c>
      <c r="K204" s="7">
        <v>0</v>
      </c>
      <c r="L204" s="7">
        <v>0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0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0</v>
      </c>
      <c r="AB204" s="7">
        <v>0</v>
      </c>
      <c r="AC204" s="7">
        <v>0</v>
      </c>
      <c r="AD204" s="7">
        <v>0</v>
      </c>
      <c r="AE204" s="7">
        <v>0</v>
      </c>
      <c r="AF204" s="7">
        <v>0</v>
      </c>
      <c r="AG204" s="7">
        <v>0</v>
      </c>
      <c r="AH204" s="7">
        <v>0</v>
      </c>
      <c r="AI204" s="7">
        <v>0</v>
      </c>
      <c r="AJ204" s="7">
        <v>0</v>
      </c>
      <c r="AK204" s="7">
        <v>0</v>
      </c>
      <c r="AL204" s="7">
        <v>0</v>
      </c>
      <c r="AM204" s="7">
        <v>0</v>
      </c>
      <c r="AN204" s="7">
        <v>0</v>
      </c>
      <c r="AO204" s="7">
        <v>0</v>
      </c>
      <c r="AP204" s="7">
        <v>0</v>
      </c>
      <c r="AQ204" s="7">
        <v>0</v>
      </c>
      <c r="AR204" s="7">
        <v>0</v>
      </c>
      <c r="AS204" s="7">
        <v>0</v>
      </c>
      <c r="AT204" s="7">
        <v>0</v>
      </c>
      <c r="AU204" s="7">
        <v>0</v>
      </c>
      <c r="AV204" s="7">
        <v>0</v>
      </c>
      <c r="AW204" s="7">
        <v>0</v>
      </c>
      <c r="AX204" s="7">
        <v>0</v>
      </c>
      <c r="AY204" s="7">
        <v>0</v>
      </c>
      <c r="AZ204" s="7">
        <v>0</v>
      </c>
      <c r="BA204" s="7">
        <v>0</v>
      </c>
      <c r="BB204" s="7">
        <v>0</v>
      </c>
      <c r="BC204" s="7">
        <v>0</v>
      </c>
      <c r="BD204" s="7">
        <v>0</v>
      </c>
      <c r="BE204" s="7">
        <v>0</v>
      </c>
      <c r="BF204" s="7">
        <v>0</v>
      </c>
      <c r="BG204" s="7">
        <v>0</v>
      </c>
      <c r="BH204" s="7">
        <v>0</v>
      </c>
      <c r="BI204" s="7">
        <v>0</v>
      </c>
      <c r="BJ204" s="21"/>
    </row>
    <row r="205" spans="1:62" ht="15.6" x14ac:dyDescent="0.3">
      <c r="A205" s="5" t="s">
        <v>377</v>
      </c>
      <c r="B205" s="5" t="s">
        <v>378</v>
      </c>
      <c r="C205" s="7">
        <v>6</v>
      </c>
      <c r="D205" s="7">
        <v>6</v>
      </c>
      <c r="E205" s="7">
        <v>0</v>
      </c>
      <c r="F205" s="7">
        <v>0</v>
      </c>
      <c r="G205" s="7">
        <v>0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7">
        <v>0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7">
        <v>0</v>
      </c>
      <c r="AK205" s="7">
        <v>0</v>
      </c>
      <c r="AL205" s="7">
        <v>0</v>
      </c>
      <c r="AM205" s="7">
        <v>0</v>
      </c>
      <c r="AN205" s="7">
        <v>0</v>
      </c>
      <c r="AO205" s="7">
        <v>0</v>
      </c>
      <c r="AP205" s="7">
        <v>0</v>
      </c>
      <c r="AQ205" s="7">
        <v>0</v>
      </c>
      <c r="AR205" s="7">
        <v>0</v>
      </c>
      <c r="AS205" s="7">
        <v>0</v>
      </c>
      <c r="AT205" s="7">
        <v>0</v>
      </c>
      <c r="AU205" s="7">
        <v>0</v>
      </c>
      <c r="AV205" s="7">
        <v>0</v>
      </c>
      <c r="AW205" s="7">
        <v>0</v>
      </c>
      <c r="AX205" s="7">
        <v>0</v>
      </c>
      <c r="AY205" s="7">
        <v>0</v>
      </c>
      <c r="AZ205" s="7">
        <v>0</v>
      </c>
      <c r="BA205" s="7">
        <v>0</v>
      </c>
      <c r="BB205" s="7">
        <v>0</v>
      </c>
      <c r="BC205" s="7">
        <v>0</v>
      </c>
      <c r="BD205" s="7">
        <v>0</v>
      </c>
      <c r="BE205" s="7">
        <v>0</v>
      </c>
      <c r="BF205" s="7">
        <v>0</v>
      </c>
      <c r="BG205" s="7">
        <v>0</v>
      </c>
      <c r="BH205" s="7">
        <v>0</v>
      </c>
      <c r="BI205" s="7">
        <v>0</v>
      </c>
      <c r="BJ205" s="21"/>
    </row>
    <row r="206" spans="1:62" ht="15.6" x14ac:dyDescent="0.3">
      <c r="A206" s="5" t="s">
        <v>379</v>
      </c>
      <c r="B206" s="5" t="s">
        <v>380</v>
      </c>
      <c r="C206" s="7">
        <v>6</v>
      </c>
      <c r="D206" s="7">
        <v>6</v>
      </c>
      <c r="E206" s="7">
        <v>0</v>
      </c>
      <c r="F206" s="7">
        <v>0</v>
      </c>
      <c r="G206" s="7">
        <v>0</v>
      </c>
      <c r="H206" s="7">
        <v>0</v>
      </c>
      <c r="I206" s="7">
        <v>0</v>
      </c>
      <c r="J206" s="7">
        <v>0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0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>
        <v>0</v>
      </c>
      <c r="AI206" s="7">
        <v>0</v>
      </c>
      <c r="AJ206" s="7">
        <v>0</v>
      </c>
      <c r="AK206" s="7">
        <v>0</v>
      </c>
      <c r="AL206" s="7">
        <v>0</v>
      </c>
      <c r="AM206" s="7">
        <v>0</v>
      </c>
      <c r="AN206" s="7">
        <v>0</v>
      </c>
      <c r="AO206" s="7">
        <v>0</v>
      </c>
      <c r="AP206" s="7">
        <v>0</v>
      </c>
      <c r="AQ206" s="7">
        <v>0</v>
      </c>
      <c r="AR206" s="7">
        <v>0</v>
      </c>
      <c r="AS206" s="7">
        <v>0</v>
      </c>
      <c r="AT206" s="7">
        <v>0</v>
      </c>
      <c r="AU206" s="7">
        <v>0</v>
      </c>
      <c r="AV206" s="7">
        <v>0</v>
      </c>
      <c r="AW206" s="7">
        <v>0</v>
      </c>
      <c r="AX206" s="7">
        <v>0</v>
      </c>
      <c r="AY206" s="7">
        <v>0</v>
      </c>
      <c r="AZ206" s="7">
        <v>0</v>
      </c>
      <c r="BA206" s="7">
        <v>0</v>
      </c>
      <c r="BB206" s="7">
        <v>0</v>
      </c>
      <c r="BC206" s="7">
        <v>0</v>
      </c>
      <c r="BD206" s="7">
        <v>0</v>
      </c>
      <c r="BE206" s="7">
        <v>0</v>
      </c>
      <c r="BF206" s="7">
        <v>0</v>
      </c>
      <c r="BG206" s="7">
        <v>0</v>
      </c>
      <c r="BH206" s="7">
        <v>0</v>
      </c>
      <c r="BI206" s="7">
        <v>0</v>
      </c>
      <c r="BJ206" s="21"/>
    </row>
    <row r="207" spans="1:62" ht="15.6" x14ac:dyDescent="0.3">
      <c r="A207" s="5" t="s">
        <v>381</v>
      </c>
      <c r="B207" s="5" t="s">
        <v>382</v>
      </c>
      <c r="C207" s="7">
        <v>6</v>
      </c>
      <c r="D207" s="7">
        <v>6</v>
      </c>
      <c r="E207" s="7">
        <v>0</v>
      </c>
      <c r="F207" s="7">
        <v>0</v>
      </c>
      <c r="G207" s="7">
        <v>0</v>
      </c>
      <c r="H207" s="7">
        <v>0</v>
      </c>
      <c r="I207" s="7">
        <v>0</v>
      </c>
      <c r="J207" s="7">
        <v>0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0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7">
        <v>0</v>
      </c>
      <c r="AK207" s="7">
        <v>0</v>
      </c>
      <c r="AL207" s="7">
        <v>0</v>
      </c>
      <c r="AM207" s="7">
        <v>0</v>
      </c>
      <c r="AN207" s="7">
        <v>0</v>
      </c>
      <c r="AO207" s="7">
        <v>0</v>
      </c>
      <c r="AP207" s="7">
        <v>0</v>
      </c>
      <c r="AQ207" s="7">
        <v>0</v>
      </c>
      <c r="AR207" s="7">
        <v>0</v>
      </c>
      <c r="AS207" s="7">
        <v>0</v>
      </c>
      <c r="AT207" s="7">
        <v>0</v>
      </c>
      <c r="AU207" s="7">
        <v>0</v>
      </c>
      <c r="AV207" s="7">
        <v>0</v>
      </c>
      <c r="AW207" s="7">
        <v>0</v>
      </c>
      <c r="AX207" s="7">
        <v>0</v>
      </c>
      <c r="AY207" s="7">
        <v>0</v>
      </c>
      <c r="AZ207" s="7">
        <v>0</v>
      </c>
      <c r="BA207" s="7">
        <v>0</v>
      </c>
      <c r="BB207" s="7">
        <v>0</v>
      </c>
      <c r="BC207" s="7">
        <v>0</v>
      </c>
      <c r="BD207" s="7">
        <v>0</v>
      </c>
      <c r="BE207" s="7">
        <v>0</v>
      </c>
      <c r="BF207" s="7">
        <v>0</v>
      </c>
      <c r="BG207" s="7">
        <v>0</v>
      </c>
      <c r="BH207" s="7">
        <v>0</v>
      </c>
      <c r="BI207" s="7">
        <v>0</v>
      </c>
      <c r="BJ207" s="21"/>
    </row>
    <row r="208" spans="1:62" ht="15.6" x14ac:dyDescent="0.3">
      <c r="A208" s="5" t="s">
        <v>383</v>
      </c>
      <c r="B208" s="5" t="s">
        <v>384</v>
      </c>
      <c r="C208" s="7">
        <v>6</v>
      </c>
      <c r="D208" s="7">
        <v>6</v>
      </c>
      <c r="E208" s="7">
        <v>0</v>
      </c>
      <c r="F208" s="7">
        <v>0</v>
      </c>
      <c r="G208" s="7">
        <v>0</v>
      </c>
      <c r="H208" s="7">
        <v>0</v>
      </c>
      <c r="I208" s="7">
        <v>0</v>
      </c>
      <c r="J208" s="7">
        <v>0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0</v>
      </c>
      <c r="U208" s="7">
        <v>0</v>
      </c>
      <c r="V208" s="7">
        <v>0</v>
      </c>
      <c r="W208" s="7">
        <v>0</v>
      </c>
      <c r="X208" s="7">
        <v>0</v>
      </c>
      <c r="Y208" s="7">
        <v>0</v>
      </c>
      <c r="Z208" s="7">
        <v>0</v>
      </c>
      <c r="AA208" s="7">
        <v>0</v>
      </c>
      <c r="AB208" s="7">
        <v>0</v>
      </c>
      <c r="AC208" s="7">
        <v>0</v>
      </c>
      <c r="AD208" s="7">
        <v>0</v>
      </c>
      <c r="AE208" s="7">
        <v>0</v>
      </c>
      <c r="AF208" s="7">
        <v>0</v>
      </c>
      <c r="AG208" s="7">
        <v>0</v>
      </c>
      <c r="AH208" s="7">
        <v>0</v>
      </c>
      <c r="AI208" s="7">
        <v>0</v>
      </c>
      <c r="AJ208" s="7">
        <v>0</v>
      </c>
      <c r="AK208" s="7">
        <v>0</v>
      </c>
      <c r="AL208" s="7">
        <v>0</v>
      </c>
      <c r="AM208" s="7">
        <v>0</v>
      </c>
      <c r="AN208" s="7">
        <v>0</v>
      </c>
      <c r="AO208" s="7">
        <v>0</v>
      </c>
      <c r="AP208" s="7">
        <v>0</v>
      </c>
      <c r="AQ208" s="7">
        <v>0</v>
      </c>
      <c r="AR208" s="7">
        <v>0</v>
      </c>
      <c r="AS208" s="7">
        <v>0</v>
      </c>
      <c r="AT208" s="7">
        <v>0</v>
      </c>
      <c r="AU208" s="7">
        <v>0</v>
      </c>
      <c r="AV208" s="7">
        <v>0</v>
      </c>
      <c r="AW208" s="7">
        <v>0</v>
      </c>
      <c r="AX208" s="7">
        <v>0</v>
      </c>
      <c r="AY208" s="7">
        <v>0</v>
      </c>
      <c r="AZ208" s="7">
        <v>0</v>
      </c>
      <c r="BA208" s="7">
        <v>0</v>
      </c>
      <c r="BB208" s="7">
        <v>0</v>
      </c>
      <c r="BC208" s="7">
        <v>0</v>
      </c>
      <c r="BD208" s="7">
        <v>0</v>
      </c>
      <c r="BE208" s="7">
        <v>0</v>
      </c>
      <c r="BF208" s="7">
        <v>0</v>
      </c>
      <c r="BG208" s="7">
        <v>0</v>
      </c>
      <c r="BH208" s="7">
        <v>0</v>
      </c>
      <c r="BI208" s="7">
        <v>0</v>
      </c>
      <c r="BJ208" s="21"/>
    </row>
    <row r="209" spans="1:62" ht="15.6" x14ac:dyDescent="0.3">
      <c r="A209" s="5" t="s">
        <v>385</v>
      </c>
      <c r="B209" s="5" t="s">
        <v>386</v>
      </c>
      <c r="C209" s="7">
        <v>6</v>
      </c>
      <c r="D209" s="7">
        <v>6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21"/>
    </row>
    <row r="210" spans="1:62" ht="15.6" x14ac:dyDescent="0.3">
      <c r="A210" s="5" t="s">
        <v>387</v>
      </c>
      <c r="B210" s="5" t="s">
        <v>388</v>
      </c>
      <c r="C210" s="7">
        <v>6</v>
      </c>
      <c r="D210" s="7">
        <v>6</v>
      </c>
      <c r="E210" s="7">
        <v>0</v>
      </c>
      <c r="F210" s="7">
        <v>0</v>
      </c>
      <c r="G210" s="7">
        <v>0</v>
      </c>
      <c r="H210" s="7">
        <v>0</v>
      </c>
      <c r="I210" s="7">
        <v>0</v>
      </c>
      <c r="J210" s="7">
        <v>0</v>
      </c>
      <c r="K210" s="7">
        <v>0</v>
      </c>
      <c r="L210" s="7">
        <v>0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0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0</v>
      </c>
      <c r="AB210" s="7">
        <v>0</v>
      </c>
      <c r="AC210" s="7">
        <v>0</v>
      </c>
      <c r="AD210" s="7">
        <v>0</v>
      </c>
      <c r="AE210" s="7">
        <v>0</v>
      </c>
      <c r="AF210" s="7">
        <v>0</v>
      </c>
      <c r="AG210" s="7">
        <v>0</v>
      </c>
      <c r="AH210" s="7">
        <v>0</v>
      </c>
      <c r="AI210" s="7">
        <v>0</v>
      </c>
      <c r="AJ210" s="7">
        <v>0</v>
      </c>
      <c r="AK210" s="7">
        <v>0</v>
      </c>
      <c r="AL210" s="7">
        <v>0</v>
      </c>
      <c r="AM210" s="7">
        <v>0</v>
      </c>
      <c r="AN210" s="7">
        <v>0</v>
      </c>
      <c r="AO210" s="7">
        <v>0</v>
      </c>
      <c r="AP210" s="7">
        <v>0</v>
      </c>
      <c r="AQ210" s="7">
        <v>0</v>
      </c>
      <c r="AR210" s="7">
        <v>0</v>
      </c>
      <c r="AS210" s="7">
        <v>0</v>
      </c>
      <c r="AT210" s="7">
        <v>0</v>
      </c>
      <c r="AU210" s="7">
        <v>0</v>
      </c>
      <c r="AV210" s="7">
        <v>0</v>
      </c>
      <c r="AW210" s="7">
        <v>0</v>
      </c>
      <c r="AX210" s="7">
        <v>0</v>
      </c>
      <c r="AY210" s="7">
        <v>0</v>
      </c>
      <c r="AZ210" s="7">
        <v>0</v>
      </c>
      <c r="BA210" s="7">
        <v>0</v>
      </c>
      <c r="BB210" s="7">
        <v>0</v>
      </c>
      <c r="BC210" s="7">
        <v>0</v>
      </c>
      <c r="BD210" s="7">
        <v>0</v>
      </c>
      <c r="BE210" s="7">
        <v>0</v>
      </c>
      <c r="BF210" s="7">
        <v>0</v>
      </c>
      <c r="BG210" s="7">
        <v>0</v>
      </c>
      <c r="BH210" s="7">
        <v>0</v>
      </c>
      <c r="BI210" s="7">
        <v>0</v>
      </c>
      <c r="BJ210" s="21"/>
    </row>
    <row r="211" spans="1:62" ht="15.6" x14ac:dyDescent="0.3">
      <c r="A211" s="5" t="s">
        <v>389</v>
      </c>
      <c r="B211" s="5" t="s">
        <v>390</v>
      </c>
      <c r="C211" s="7">
        <v>6</v>
      </c>
      <c r="D211" s="7">
        <v>6</v>
      </c>
      <c r="E211" s="7">
        <v>0</v>
      </c>
      <c r="F211" s="7">
        <v>0</v>
      </c>
      <c r="G211" s="7">
        <v>0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7">
        <v>0</v>
      </c>
      <c r="AK211" s="7">
        <v>0</v>
      </c>
      <c r="AL211" s="7">
        <v>0</v>
      </c>
      <c r="AM211" s="7">
        <v>0</v>
      </c>
      <c r="AN211" s="7">
        <v>0</v>
      </c>
      <c r="AO211" s="7">
        <v>0</v>
      </c>
      <c r="AP211" s="7">
        <v>0</v>
      </c>
      <c r="AQ211" s="7">
        <v>0</v>
      </c>
      <c r="AR211" s="7">
        <v>0</v>
      </c>
      <c r="AS211" s="7">
        <v>0</v>
      </c>
      <c r="AT211" s="7">
        <v>0</v>
      </c>
      <c r="AU211" s="7">
        <v>0</v>
      </c>
      <c r="AV211" s="7">
        <v>0</v>
      </c>
      <c r="AW211" s="7">
        <v>0</v>
      </c>
      <c r="AX211" s="7">
        <v>0</v>
      </c>
      <c r="AY211" s="7">
        <v>0</v>
      </c>
      <c r="AZ211" s="7">
        <v>0</v>
      </c>
      <c r="BA211" s="7">
        <v>0</v>
      </c>
      <c r="BB211" s="7">
        <v>0</v>
      </c>
      <c r="BC211" s="7">
        <v>0</v>
      </c>
      <c r="BD211" s="7">
        <v>0</v>
      </c>
      <c r="BE211" s="7">
        <v>0</v>
      </c>
      <c r="BF211" s="7">
        <v>0</v>
      </c>
      <c r="BG211" s="7">
        <v>0</v>
      </c>
      <c r="BH211" s="7">
        <v>0</v>
      </c>
      <c r="BI211" s="7">
        <v>0</v>
      </c>
      <c r="BJ211" s="21"/>
    </row>
    <row r="212" spans="1:62" ht="15.6" x14ac:dyDescent="0.3">
      <c r="A212" s="5" t="s">
        <v>391</v>
      </c>
      <c r="B212" s="5" t="s">
        <v>392</v>
      </c>
      <c r="C212" s="7">
        <v>6</v>
      </c>
      <c r="D212" s="7">
        <v>6</v>
      </c>
      <c r="E212" s="7">
        <v>0</v>
      </c>
      <c r="F212" s="7">
        <v>0</v>
      </c>
      <c r="G212" s="7">
        <v>0</v>
      </c>
      <c r="H212" s="7">
        <v>0</v>
      </c>
      <c r="I212" s="7">
        <v>0</v>
      </c>
      <c r="J212" s="7">
        <v>0</v>
      </c>
      <c r="K212" s="7">
        <v>0</v>
      </c>
      <c r="L212" s="7">
        <v>0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0</v>
      </c>
      <c r="S212" s="7">
        <v>0</v>
      </c>
      <c r="T212" s="7">
        <v>0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0</v>
      </c>
      <c r="AB212" s="7">
        <v>0</v>
      </c>
      <c r="AC212" s="7">
        <v>0</v>
      </c>
      <c r="AD212" s="7">
        <v>0</v>
      </c>
      <c r="AE212" s="7">
        <v>0</v>
      </c>
      <c r="AF212" s="7">
        <v>0</v>
      </c>
      <c r="AG212" s="7">
        <v>0</v>
      </c>
      <c r="AH212" s="7">
        <v>0</v>
      </c>
      <c r="AI212" s="7">
        <v>0</v>
      </c>
      <c r="AJ212" s="7">
        <v>0</v>
      </c>
      <c r="AK212" s="7">
        <v>0</v>
      </c>
      <c r="AL212" s="7">
        <v>0</v>
      </c>
      <c r="AM212" s="7">
        <v>0</v>
      </c>
      <c r="AN212" s="7">
        <v>0</v>
      </c>
      <c r="AO212" s="7">
        <v>0</v>
      </c>
      <c r="AP212" s="7">
        <v>0</v>
      </c>
      <c r="AQ212" s="7">
        <v>0</v>
      </c>
      <c r="AR212" s="7">
        <v>0</v>
      </c>
      <c r="AS212" s="7">
        <v>0</v>
      </c>
      <c r="AT212" s="7">
        <v>0</v>
      </c>
      <c r="AU212" s="7">
        <v>0</v>
      </c>
      <c r="AV212" s="7">
        <v>0</v>
      </c>
      <c r="AW212" s="7">
        <v>0</v>
      </c>
      <c r="AX212" s="7">
        <v>0</v>
      </c>
      <c r="AY212" s="7">
        <v>0</v>
      </c>
      <c r="AZ212" s="7">
        <v>0</v>
      </c>
      <c r="BA212" s="7">
        <v>0</v>
      </c>
      <c r="BB212" s="7">
        <v>0</v>
      </c>
      <c r="BC212" s="7">
        <v>0</v>
      </c>
      <c r="BD212" s="7">
        <v>0</v>
      </c>
      <c r="BE212" s="7">
        <v>0</v>
      </c>
      <c r="BF212" s="7">
        <v>0</v>
      </c>
      <c r="BG212" s="7">
        <v>0</v>
      </c>
      <c r="BH212" s="7">
        <v>0</v>
      </c>
      <c r="BI212" s="7">
        <v>0</v>
      </c>
      <c r="BJ212" s="21"/>
    </row>
    <row r="213" spans="1:62" ht="15.6" x14ac:dyDescent="0.3">
      <c r="A213" s="5" t="s">
        <v>393</v>
      </c>
      <c r="B213" s="5" t="s">
        <v>394</v>
      </c>
      <c r="C213" s="7">
        <v>6</v>
      </c>
      <c r="D213" s="7">
        <v>6</v>
      </c>
      <c r="E213" s="7">
        <v>0</v>
      </c>
      <c r="F213" s="7">
        <v>0</v>
      </c>
      <c r="G213" s="7">
        <v>0</v>
      </c>
      <c r="H213" s="7">
        <v>0</v>
      </c>
      <c r="I213" s="7">
        <v>0</v>
      </c>
      <c r="J213" s="7">
        <v>0</v>
      </c>
      <c r="K213" s="7">
        <v>0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0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7">
        <v>0</v>
      </c>
      <c r="AK213" s="7">
        <v>0</v>
      </c>
      <c r="AL213" s="7">
        <v>0</v>
      </c>
      <c r="AM213" s="7">
        <v>0</v>
      </c>
      <c r="AN213" s="7">
        <v>0</v>
      </c>
      <c r="AO213" s="7">
        <v>0</v>
      </c>
      <c r="AP213" s="7">
        <v>0</v>
      </c>
      <c r="AQ213" s="7">
        <v>0</v>
      </c>
      <c r="AR213" s="7">
        <v>0</v>
      </c>
      <c r="AS213" s="7">
        <v>0</v>
      </c>
      <c r="AT213" s="7">
        <v>0</v>
      </c>
      <c r="AU213" s="7">
        <v>0</v>
      </c>
      <c r="AV213" s="7">
        <v>0</v>
      </c>
      <c r="AW213" s="7">
        <v>0</v>
      </c>
      <c r="AX213" s="7">
        <v>0</v>
      </c>
      <c r="AY213" s="7">
        <v>0</v>
      </c>
      <c r="AZ213" s="7">
        <v>0</v>
      </c>
      <c r="BA213" s="7">
        <v>0</v>
      </c>
      <c r="BB213" s="7">
        <v>0</v>
      </c>
      <c r="BC213" s="7">
        <v>0</v>
      </c>
      <c r="BD213" s="7">
        <v>0</v>
      </c>
      <c r="BE213" s="7">
        <v>0</v>
      </c>
      <c r="BF213" s="7">
        <v>0</v>
      </c>
      <c r="BG213" s="7">
        <v>0</v>
      </c>
      <c r="BH213" s="7">
        <v>0</v>
      </c>
      <c r="BI213" s="7">
        <v>0</v>
      </c>
      <c r="BJ213" s="21"/>
    </row>
    <row r="214" spans="1:62" ht="15.6" x14ac:dyDescent="0.3">
      <c r="A214" s="5" t="s">
        <v>395</v>
      </c>
      <c r="B214" s="5" t="s">
        <v>396</v>
      </c>
      <c r="C214" s="7">
        <v>6</v>
      </c>
      <c r="D214" s="7">
        <v>6</v>
      </c>
      <c r="E214" s="7">
        <v>0</v>
      </c>
      <c r="F214" s="7">
        <v>0</v>
      </c>
      <c r="G214" s="7">
        <v>0</v>
      </c>
      <c r="H214" s="7">
        <v>0</v>
      </c>
      <c r="I214" s="7">
        <v>0</v>
      </c>
      <c r="J214" s="7">
        <v>0</v>
      </c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>
        <v>0</v>
      </c>
      <c r="AI214" s="7">
        <v>0</v>
      </c>
      <c r="AJ214" s="7">
        <v>0</v>
      </c>
      <c r="AK214" s="7">
        <v>0</v>
      </c>
      <c r="AL214" s="7">
        <v>0</v>
      </c>
      <c r="AM214" s="7">
        <v>0</v>
      </c>
      <c r="AN214" s="7">
        <v>0</v>
      </c>
      <c r="AO214" s="7">
        <v>0</v>
      </c>
      <c r="AP214" s="7">
        <v>0</v>
      </c>
      <c r="AQ214" s="7">
        <v>0</v>
      </c>
      <c r="AR214" s="7">
        <v>0</v>
      </c>
      <c r="AS214" s="7">
        <v>0</v>
      </c>
      <c r="AT214" s="7">
        <v>0</v>
      </c>
      <c r="AU214" s="7">
        <v>0</v>
      </c>
      <c r="AV214" s="7">
        <v>0</v>
      </c>
      <c r="AW214" s="7">
        <v>0</v>
      </c>
      <c r="AX214" s="7">
        <v>0</v>
      </c>
      <c r="AY214" s="7">
        <v>0</v>
      </c>
      <c r="AZ214" s="7">
        <v>0</v>
      </c>
      <c r="BA214" s="7">
        <v>0</v>
      </c>
      <c r="BB214" s="7">
        <v>0</v>
      </c>
      <c r="BC214" s="7">
        <v>0</v>
      </c>
      <c r="BD214" s="7">
        <v>0</v>
      </c>
      <c r="BE214" s="7">
        <v>0</v>
      </c>
      <c r="BF214" s="7">
        <v>0</v>
      </c>
      <c r="BG214" s="7">
        <v>0</v>
      </c>
      <c r="BH214" s="7">
        <v>0</v>
      </c>
      <c r="BI214" s="7">
        <v>0</v>
      </c>
      <c r="BJ214" s="21"/>
    </row>
    <row r="215" spans="1:62" ht="15.6" x14ac:dyDescent="0.3">
      <c r="A215" s="5" t="s">
        <v>353</v>
      </c>
      <c r="B215" s="5" t="s">
        <v>397</v>
      </c>
      <c r="C215" s="7">
        <v>6</v>
      </c>
      <c r="D215" s="7">
        <v>6</v>
      </c>
      <c r="E215" s="7">
        <v>1331.1</v>
      </c>
      <c r="F215" s="7">
        <v>119.15900000000001</v>
      </c>
      <c r="G215" s="7">
        <v>179.9</v>
      </c>
      <c r="H215" s="7">
        <v>0.89900000000000002</v>
      </c>
      <c r="I215" s="7">
        <v>29.553000000000001</v>
      </c>
      <c r="J215" s="7">
        <v>106.303</v>
      </c>
      <c r="K215" s="7">
        <v>0</v>
      </c>
      <c r="L215" s="7">
        <v>976.92700000000002</v>
      </c>
      <c r="M215" s="7">
        <v>479.14100000000002</v>
      </c>
      <c r="N215" s="7">
        <v>0</v>
      </c>
      <c r="O215" s="7">
        <v>0</v>
      </c>
      <c r="P215" s="7">
        <v>5.4630000000000001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15.371</v>
      </c>
      <c r="W215" s="7">
        <v>46.808999999999997</v>
      </c>
      <c r="X215" s="7">
        <v>0</v>
      </c>
      <c r="Y215" s="7">
        <v>370.28300000000002</v>
      </c>
      <c r="Z215" s="7">
        <v>0</v>
      </c>
      <c r="AA215" s="7">
        <v>130.77699999999999</v>
      </c>
      <c r="AB215" s="7">
        <v>0</v>
      </c>
      <c r="AC215" s="7">
        <v>19.881</v>
      </c>
      <c r="AD215" s="7">
        <v>0</v>
      </c>
      <c r="AE215" s="7">
        <v>1186.2360000000001</v>
      </c>
      <c r="AF215" s="7">
        <v>0</v>
      </c>
      <c r="AG215" s="7">
        <v>0</v>
      </c>
      <c r="AH215" s="7">
        <v>2781.8029999999999</v>
      </c>
      <c r="AI215" s="7">
        <v>0</v>
      </c>
      <c r="AJ215" s="7">
        <v>0</v>
      </c>
      <c r="AK215" s="7">
        <v>0</v>
      </c>
      <c r="AL215" s="7">
        <v>0</v>
      </c>
      <c r="AM215" s="7">
        <v>0</v>
      </c>
      <c r="AN215" s="7">
        <v>0</v>
      </c>
      <c r="AO215" s="7">
        <v>0</v>
      </c>
      <c r="AP215" s="7">
        <v>0</v>
      </c>
      <c r="AQ215" s="7">
        <v>0</v>
      </c>
      <c r="AR215" s="7">
        <v>0</v>
      </c>
      <c r="AS215" s="7">
        <v>0</v>
      </c>
      <c r="AT215" s="7">
        <v>0</v>
      </c>
      <c r="AU215" s="7">
        <v>0</v>
      </c>
      <c r="AV215" s="7">
        <v>0</v>
      </c>
      <c r="AW215" s="7">
        <v>0</v>
      </c>
      <c r="AX215" s="7">
        <v>0</v>
      </c>
      <c r="AY215" s="7">
        <v>0</v>
      </c>
      <c r="AZ215" s="7">
        <v>0</v>
      </c>
      <c r="BA215" s="7">
        <v>0</v>
      </c>
      <c r="BB215" s="7">
        <v>0</v>
      </c>
      <c r="BC215" s="7">
        <v>0</v>
      </c>
      <c r="BD215" s="7">
        <v>0</v>
      </c>
      <c r="BE215" s="7">
        <v>0</v>
      </c>
      <c r="BF215" s="7">
        <v>0</v>
      </c>
      <c r="BG215" s="7">
        <v>0</v>
      </c>
      <c r="BH215" s="7">
        <v>0</v>
      </c>
      <c r="BI215" s="7">
        <v>0</v>
      </c>
      <c r="BJ215" s="21"/>
    </row>
    <row r="216" spans="1:62" ht="15.6" x14ac:dyDescent="0.3">
      <c r="A216" s="5" t="s">
        <v>355</v>
      </c>
      <c r="B216" s="5" t="s">
        <v>398</v>
      </c>
      <c r="C216" s="7">
        <v>6</v>
      </c>
      <c r="D216" s="7">
        <v>6</v>
      </c>
      <c r="E216" s="7">
        <v>0</v>
      </c>
      <c r="F216" s="7">
        <v>0</v>
      </c>
      <c r="G216" s="7">
        <v>0</v>
      </c>
      <c r="H216" s="7">
        <v>0</v>
      </c>
      <c r="I216" s="7">
        <v>0</v>
      </c>
      <c r="J216" s="7">
        <v>0</v>
      </c>
      <c r="K216" s="7">
        <v>0</v>
      </c>
      <c r="L216" s="7">
        <v>0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0</v>
      </c>
      <c r="S216" s="7">
        <v>0</v>
      </c>
      <c r="T216" s="7">
        <v>0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0</v>
      </c>
      <c r="AB216" s="7">
        <v>0</v>
      </c>
      <c r="AC216" s="7">
        <v>0</v>
      </c>
      <c r="AD216" s="7">
        <v>0</v>
      </c>
      <c r="AE216" s="7">
        <v>0</v>
      </c>
      <c r="AF216" s="7">
        <v>0</v>
      </c>
      <c r="AG216" s="7">
        <v>0</v>
      </c>
      <c r="AH216" s="7">
        <v>0</v>
      </c>
      <c r="AI216" s="7">
        <v>0</v>
      </c>
      <c r="AJ216" s="7">
        <v>0</v>
      </c>
      <c r="AK216" s="7">
        <v>0</v>
      </c>
      <c r="AL216" s="7">
        <v>0</v>
      </c>
      <c r="AM216" s="7">
        <v>0</v>
      </c>
      <c r="AN216" s="7">
        <v>0</v>
      </c>
      <c r="AO216" s="7">
        <v>0</v>
      </c>
      <c r="AP216" s="7">
        <v>0</v>
      </c>
      <c r="AQ216" s="7">
        <v>0</v>
      </c>
      <c r="AR216" s="7">
        <v>0</v>
      </c>
      <c r="AS216" s="7">
        <v>0</v>
      </c>
      <c r="AT216" s="7">
        <v>0</v>
      </c>
      <c r="AU216" s="7">
        <v>0</v>
      </c>
      <c r="AV216" s="7">
        <v>0</v>
      </c>
      <c r="AW216" s="7">
        <v>0</v>
      </c>
      <c r="AX216" s="7">
        <v>0</v>
      </c>
      <c r="AY216" s="7">
        <v>0</v>
      </c>
      <c r="AZ216" s="7">
        <v>0</v>
      </c>
      <c r="BA216" s="7">
        <v>0</v>
      </c>
      <c r="BB216" s="7">
        <v>0</v>
      </c>
      <c r="BC216" s="7">
        <v>0</v>
      </c>
      <c r="BD216" s="7">
        <v>0</v>
      </c>
      <c r="BE216" s="7">
        <v>0</v>
      </c>
      <c r="BF216" s="7">
        <v>0</v>
      </c>
      <c r="BG216" s="7">
        <v>0</v>
      </c>
      <c r="BH216" s="7">
        <v>0</v>
      </c>
      <c r="BI216" s="7">
        <v>0</v>
      </c>
      <c r="BJ216" s="21"/>
    </row>
    <row r="217" spans="1:62" ht="15.6" x14ac:dyDescent="0.3">
      <c r="A217" s="5" t="s">
        <v>357</v>
      </c>
      <c r="B217" s="5" t="s">
        <v>399</v>
      </c>
      <c r="C217" s="7">
        <v>6</v>
      </c>
      <c r="D217" s="7">
        <v>6</v>
      </c>
      <c r="E217" s="7">
        <v>0</v>
      </c>
      <c r="F217" s="7">
        <v>0</v>
      </c>
      <c r="G217" s="7">
        <v>0</v>
      </c>
      <c r="H217" s="7">
        <v>0</v>
      </c>
      <c r="I217" s="7">
        <v>0</v>
      </c>
      <c r="J217" s="7">
        <v>0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7">
        <v>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7">
        <v>0</v>
      </c>
      <c r="AK217" s="7">
        <v>0</v>
      </c>
      <c r="AL217" s="7">
        <v>0</v>
      </c>
      <c r="AM217" s="7">
        <v>0</v>
      </c>
      <c r="AN217" s="7">
        <v>0</v>
      </c>
      <c r="AO217" s="7">
        <v>0</v>
      </c>
      <c r="AP217" s="7">
        <v>0</v>
      </c>
      <c r="AQ217" s="7">
        <v>0</v>
      </c>
      <c r="AR217" s="7">
        <v>0</v>
      </c>
      <c r="AS217" s="7">
        <v>0</v>
      </c>
      <c r="AT217" s="7">
        <v>0</v>
      </c>
      <c r="AU217" s="7">
        <v>0</v>
      </c>
      <c r="AV217" s="7">
        <v>0</v>
      </c>
      <c r="AW217" s="7">
        <v>0</v>
      </c>
      <c r="AX217" s="7">
        <v>0</v>
      </c>
      <c r="AY217" s="7">
        <v>0</v>
      </c>
      <c r="AZ217" s="7">
        <v>0</v>
      </c>
      <c r="BA217" s="7">
        <v>0</v>
      </c>
      <c r="BB217" s="7">
        <v>0</v>
      </c>
      <c r="BC217" s="7">
        <v>0</v>
      </c>
      <c r="BD217" s="7">
        <v>0</v>
      </c>
      <c r="BE217" s="7">
        <v>0</v>
      </c>
      <c r="BF217" s="7">
        <v>0</v>
      </c>
      <c r="BG217" s="7">
        <v>0</v>
      </c>
      <c r="BH217" s="7">
        <v>0</v>
      </c>
      <c r="BI217" s="7">
        <v>0</v>
      </c>
      <c r="BJ217" s="21"/>
    </row>
    <row r="218" spans="1:62" ht="15.6" x14ac:dyDescent="0.3">
      <c r="A218" s="5" t="s">
        <v>359</v>
      </c>
      <c r="B218" s="5" t="s">
        <v>400</v>
      </c>
      <c r="C218" s="7">
        <v>6</v>
      </c>
      <c r="D218" s="7">
        <v>6</v>
      </c>
      <c r="E218" s="7">
        <v>0</v>
      </c>
      <c r="F218" s="7">
        <v>0</v>
      </c>
      <c r="G218" s="7">
        <v>0</v>
      </c>
      <c r="H218" s="7">
        <v>0</v>
      </c>
      <c r="I218" s="7">
        <v>0</v>
      </c>
      <c r="J218" s="7">
        <v>0</v>
      </c>
      <c r="K218" s="7">
        <v>0</v>
      </c>
      <c r="L218" s="7">
        <v>0</v>
      </c>
      <c r="M218" s="7">
        <v>0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0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0</v>
      </c>
      <c r="AB218" s="7">
        <v>0</v>
      </c>
      <c r="AC218" s="7">
        <v>0</v>
      </c>
      <c r="AD218" s="7">
        <v>0</v>
      </c>
      <c r="AE218" s="7">
        <v>0</v>
      </c>
      <c r="AF218" s="7">
        <v>0</v>
      </c>
      <c r="AG218" s="7">
        <v>0</v>
      </c>
      <c r="AH218" s="7">
        <v>0</v>
      </c>
      <c r="AI218" s="7">
        <v>0</v>
      </c>
      <c r="AJ218" s="7">
        <v>0</v>
      </c>
      <c r="AK218" s="7">
        <v>0</v>
      </c>
      <c r="AL218" s="7">
        <v>0</v>
      </c>
      <c r="AM218" s="7">
        <v>0</v>
      </c>
      <c r="AN218" s="7">
        <v>0</v>
      </c>
      <c r="AO218" s="7">
        <v>0</v>
      </c>
      <c r="AP218" s="7">
        <v>0</v>
      </c>
      <c r="AQ218" s="7">
        <v>0</v>
      </c>
      <c r="AR218" s="7">
        <v>0</v>
      </c>
      <c r="AS218" s="7">
        <v>0</v>
      </c>
      <c r="AT218" s="7">
        <v>0</v>
      </c>
      <c r="AU218" s="7">
        <v>0</v>
      </c>
      <c r="AV218" s="7">
        <v>0</v>
      </c>
      <c r="AW218" s="7">
        <v>0</v>
      </c>
      <c r="AX218" s="7">
        <v>0</v>
      </c>
      <c r="AY218" s="7">
        <v>0</v>
      </c>
      <c r="AZ218" s="7">
        <v>0</v>
      </c>
      <c r="BA218" s="7">
        <v>0</v>
      </c>
      <c r="BB218" s="7">
        <v>0</v>
      </c>
      <c r="BC218" s="7">
        <v>0</v>
      </c>
      <c r="BD218" s="7">
        <v>0</v>
      </c>
      <c r="BE218" s="7">
        <v>0</v>
      </c>
      <c r="BF218" s="7">
        <v>0</v>
      </c>
      <c r="BG218" s="7">
        <v>0</v>
      </c>
      <c r="BH218" s="7">
        <v>0</v>
      </c>
      <c r="BI218" s="7">
        <v>0</v>
      </c>
      <c r="BJ218" s="21"/>
    </row>
    <row r="219" spans="1:62" ht="15.6" x14ac:dyDescent="0.3">
      <c r="A219" s="5" t="s">
        <v>361</v>
      </c>
      <c r="B219" s="5" t="s">
        <v>401</v>
      </c>
      <c r="C219" s="7">
        <v>6</v>
      </c>
      <c r="D219" s="7">
        <v>6</v>
      </c>
      <c r="E219" s="7">
        <v>0</v>
      </c>
      <c r="F219" s="7">
        <v>0</v>
      </c>
      <c r="G219" s="7">
        <v>0</v>
      </c>
      <c r="H219" s="7">
        <v>0</v>
      </c>
      <c r="I219" s="7">
        <v>0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7">
        <v>0</v>
      </c>
      <c r="AK219" s="7">
        <v>0</v>
      </c>
      <c r="AL219" s="7">
        <v>0</v>
      </c>
      <c r="AM219" s="7">
        <v>0</v>
      </c>
      <c r="AN219" s="7">
        <v>0</v>
      </c>
      <c r="AO219" s="7">
        <v>0</v>
      </c>
      <c r="AP219" s="7">
        <v>0</v>
      </c>
      <c r="AQ219" s="7">
        <v>0</v>
      </c>
      <c r="AR219" s="7">
        <v>0</v>
      </c>
      <c r="AS219" s="7">
        <v>0</v>
      </c>
      <c r="AT219" s="7">
        <v>0</v>
      </c>
      <c r="AU219" s="7">
        <v>0</v>
      </c>
      <c r="AV219" s="7">
        <v>0</v>
      </c>
      <c r="AW219" s="7">
        <v>0</v>
      </c>
      <c r="AX219" s="7">
        <v>0</v>
      </c>
      <c r="AY219" s="7">
        <v>0</v>
      </c>
      <c r="AZ219" s="7">
        <v>0</v>
      </c>
      <c r="BA219" s="7">
        <v>0</v>
      </c>
      <c r="BB219" s="7">
        <v>0</v>
      </c>
      <c r="BC219" s="7">
        <v>0</v>
      </c>
      <c r="BD219" s="7">
        <v>0</v>
      </c>
      <c r="BE219" s="7">
        <v>0</v>
      </c>
      <c r="BF219" s="7">
        <v>0</v>
      </c>
      <c r="BG219" s="7">
        <v>0</v>
      </c>
      <c r="BH219" s="7">
        <v>0</v>
      </c>
      <c r="BI219" s="7">
        <v>0</v>
      </c>
      <c r="BJ219" s="21"/>
    </row>
    <row r="220" spans="1:62" ht="15.6" x14ac:dyDescent="0.3">
      <c r="A220" s="5" t="s">
        <v>363</v>
      </c>
      <c r="B220" s="5" t="s">
        <v>402</v>
      </c>
      <c r="C220" s="7">
        <v>6</v>
      </c>
      <c r="D220" s="7">
        <v>6</v>
      </c>
      <c r="E220" s="7">
        <v>0</v>
      </c>
      <c r="F220" s="7">
        <v>0</v>
      </c>
      <c r="G220" s="7">
        <v>0</v>
      </c>
      <c r="H220" s="7">
        <v>0</v>
      </c>
      <c r="I220" s="7">
        <v>0</v>
      </c>
      <c r="J220" s="7">
        <v>0</v>
      </c>
      <c r="K220" s="7">
        <v>0</v>
      </c>
      <c r="L220" s="7">
        <v>0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>
        <v>-2E-3</v>
      </c>
      <c r="AI220" s="7">
        <v>0</v>
      </c>
      <c r="AJ220" s="7">
        <v>0</v>
      </c>
      <c r="AK220" s="7">
        <v>0</v>
      </c>
      <c r="AL220" s="7">
        <v>0</v>
      </c>
      <c r="AM220" s="7">
        <v>0</v>
      </c>
      <c r="AN220" s="7">
        <v>0</v>
      </c>
      <c r="AO220" s="7">
        <v>0</v>
      </c>
      <c r="AP220" s="7">
        <v>0</v>
      </c>
      <c r="AQ220" s="7">
        <v>0</v>
      </c>
      <c r="AR220" s="7">
        <v>0</v>
      </c>
      <c r="AS220" s="7">
        <v>0</v>
      </c>
      <c r="AT220" s="7">
        <v>0</v>
      </c>
      <c r="AU220" s="7">
        <v>0</v>
      </c>
      <c r="AV220" s="7">
        <v>0</v>
      </c>
      <c r="AW220" s="7">
        <v>0</v>
      </c>
      <c r="AX220" s="7">
        <v>0</v>
      </c>
      <c r="AY220" s="7">
        <v>0</v>
      </c>
      <c r="AZ220" s="7">
        <v>0</v>
      </c>
      <c r="BA220" s="7">
        <v>0</v>
      </c>
      <c r="BB220" s="7">
        <v>0</v>
      </c>
      <c r="BC220" s="7">
        <v>0</v>
      </c>
      <c r="BD220" s="7">
        <v>0</v>
      </c>
      <c r="BE220" s="7">
        <v>0</v>
      </c>
      <c r="BF220" s="7">
        <v>0</v>
      </c>
      <c r="BG220" s="7">
        <v>0</v>
      </c>
      <c r="BH220" s="7">
        <v>0</v>
      </c>
      <c r="BI220" s="7">
        <v>0</v>
      </c>
      <c r="BJ220" s="21"/>
    </row>
    <row r="221" spans="1:62" ht="15.6" x14ac:dyDescent="0.3">
      <c r="A221" s="5" t="s">
        <v>365</v>
      </c>
      <c r="B221" s="5" t="s">
        <v>403</v>
      </c>
      <c r="C221" s="7">
        <v>6</v>
      </c>
      <c r="D221" s="7">
        <v>6</v>
      </c>
      <c r="E221" s="7">
        <v>0</v>
      </c>
      <c r="F221" s="7">
        <v>0</v>
      </c>
      <c r="G221" s="7">
        <v>0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0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7">
        <v>0</v>
      </c>
      <c r="AK221" s="7">
        <v>0</v>
      </c>
      <c r="AL221" s="7">
        <v>0</v>
      </c>
      <c r="AM221" s="7">
        <v>0</v>
      </c>
      <c r="AN221" s="7">
        <v>0</v>
      </c>
      <c r="AO221" s="7">
        <v>0</v>
      </c>
      <c r="AP221" s="7">
        <v>0</v>
      </c>
      <c r="AQ221" s="7">
        <v>0</v>
      </c>
      <c r="AR221" s="7">
        <v>0</v>
      </c>
      <c r="AS221" s="7">
        <v>0</v>
      </c>
      <c r="AT221" s="7">
        <v>0</v>
      </c>
      <c r="AU221" s="7">
        <v>0</v>
      </c>
      <c r="AV221" s="7">
        <v>0</v>
      </c>
      <c r="AW221" s="7">
        <v>0</v>
      </c>
      <c r="AX221" s="7">
        <v>0</v>
      </c>
      <c r="AY221" s="7">
        <v>0</v>
      </c>
      <c r="AZ221" s="7">
        <v>0</v>
      </c>
      <c r="BA221" s="7">
        <v>0</v>
      </c>
      <c r="BB221" s="7">
        <v>0</v>
      </c>
      <c r="BC221" s="7">
        <v>0</v>
      </c>
      <c r="BD221" s="7">
        <v>0</v>
      </c>
      <c r="BE221" s="7">
        <v>0</v>
      </c>
      <c r="BF221" s="7">
        <v>0</v>
      </c>
      <c r="BG221" s="7">
        <v>0</v>
      </c>
      <c r="BH221" s="7">
        <v>0</v>
      </c>
      <c r="BI221" s="7">
        <v>0</v>
      </c>
      <c r="BJ221" s="21"/>
    </row>
    <row r="222" spans="1:62" ht="15.6" x14ac:dyDescent="0.3">
      <c r="A222" s="5" t="s">
        <v>367</v>
      </c>
      <c r="B222" s="5" t="s">
        <v>404</v>
      </c>
      <c r="C222" s="7">
        <v>6</v>
      </c>
      <c r="D222" s="7">
        <v>6</v>
      </c>
      <c r="E222" s="7">
        <v>53613.398000000001</v>
      </c>
      <c r="F222" s="7">
        <v>10703.218999999999</v>
      </c>
      <c r="G222" s="7">
        <v>0</v>
      </c>
      <c r="H222" s="7">
        <v>0</v>
      </c>
      <c r="I222" s="7">
        <v>409.60599999999999</v>
      </c>
      <c r="J222" s="7">
        <v>0</v>
      </c>
      <c r="K222" s="7">
        <v>0</v>
      </c>
      <c r="L222" s="7">
        <v>126113.496</v>
      </c>
      <c r="M222" s="7">
        <v>8948.2150000000001</v>
      </c>
      <c r="N222" s="7">
        <v>0</v>
      </c>
      <c r="O222" s="7">
        <v>0</v>
      </c>
      <c r="P222" s="7">
        <v>1.9490000000000001</v>
      </c>
      <c r="Q222" s="7">
        <v>0</v>
      </c>
      <c r="R222" s="7">
        <v>0</v>
      </c>
      <c r="S222" s="7">
        <v>3441.6709999999998</v>
      </c>
      <c r="T222" s="7">
        <v>0</v>
      </c>
      <c r="U222" s="7">
        <v>0</v>
      </c>
      <c r="V222" s="7">
        <v>0</v>
      </c>
      <c r="W222" s="7">
        <v>1183.998</v>
      </c>
      <c r="X222" s="7">
        <v>0</v>
      </c>
      <c r="Y222" s="7">
        <v>23622.204000000002</v>
      </c>
      <c r="Z222" s="7">
        <v>0</v>
      </c>
      <c r="AA222" s="7">
        <v>0</v>
      </c>
      <c r="AB222" s="7">
        <v>0</v>
      </c>
      <c r="AC222" s="7">
        <v>2078.0160000000001</v>
      </c>
      <c r="AD222" s="7">
        <v>0</v>
      </c>
      <c r="AE222" s="7">
        <v>56672.963000000003</v>
      </c>
      <c r="AF222" s="7">
        <v>30775.635999999999</v>
      </c>
      <c r="AG222" s="7">
        <v>0</v>
      </c>
      <c r="AH222" s="7">
        <v>218325.715</v>
      </c>
      <c r="AI222" s="7">
        <v>56138.987000000001</v>
      </c>
      <c r="AJ222" s="7">
        <v>0</v>
      </c>
      <c r="AK222" s="7">
        <v>0</v>
      </c>
      <c r="AL222" s="7">
        <v>0</v>
      </c>
      <c r="AM222" s="7">
        <v>0</v>
      </c>
      <c r="AN222" s="7">
        <v>0</v>
      </c>
      <c r="AO222" s="7">
        <v>1374.424</v>
      </c>
      <c r="AP222" s="7">
        <v>0</v>
      </c>
      <c r="AQ222" s="7">
        <v>10875.485000000001</v>
      </c>
      <c r="AR222" s="7">
        <v>0</v>
      </c>
      <c r="AS222" s="7">
        <v>33.182000000000002</v>
      </c>
      <c r="AT222" s="7">
        <v>0</v>
      </c>
      <c r="AU222" s="7">
        <v>232.815</v>
      </c>
      <c r="AV222" s="7">
        <v>0</v>
      </c>
      <c r="AW222" s="7">
        <v>0</v>
      </c>
      <c r="AX222" s="7">
        <v>0</v>
      </c>
      <c r="AY222" s="7">
        <v>543.09799999999996</v>
      </c>
      <c r="AZ222" s="7">
        <v>9136.1139999999996</v>
      </c>
      <c r="BA222" s="7">
        <v>0</v>
      </c>
      <c r="BB222" s="7">
        <v>528.21400000000006</v>
      </c>
      <c r="BC222" s="7">
        <v>0</v>
      </c>
      <c r="BD222" s="7">
        <v>10899.359</v>
      </c>
      <c r="BE222" s="7">
        <v>121.36</v>
      </c>
      <c r="BF222" s="7">
        <v>121.36</v>
      </c>
      <c r="BG222" s="7">
        <v>3449.0709999999999</v>
      </c>
      <c r="BH222" s="7">
        <v>0</v>
      </c>
      <c r="BI222" s="7">
        <v>0</v>
      </c>
      <c r="BJ222" s="21"/>
    </row>
    <row r="223" spans="1:62" ht="15.6" x14ac:dyDescent="0.3">
      <c r="A223" s="5" t="s">
        <v>369</v>
      </c>
      <c r="B223" s="5" t="s">
        <v>405</v>
      </c>
      <c r="C223" s="7">
        <v>6</v>
      </c>
      <c r="D223" s="7">
        <v>6</v>
      </c>
      <c r="E223" s="7">
        <v>0</v>
      </c>
      <c r="F223" s="7">
        <v>0</v>
      </c>
      <c r="G223" s="7">
        <v>0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0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7">
        <v>0</v>
      </c>
      <c r="AK223" s="7">
        <v>0</v>
      </c>
      <c r="AL223" s="7">
        <v>0</v>
      </c>
      <c r="AM223" s="7">
        <v>0</v>
      </c>
      <c r="AN223" s="7">
        <v>0</v>
      </c>
      <c r="AO223" s="7">
        <v>0</v>
      </c>
      <c r="AP223" s="7">
        <v>0</v>
      </c>
      <c r="AQ223" s="7">
        <v>0</v>
      </c>
      <c r="AR223" s="7">
        <v>0</v>
      </c>
      <c r="AS223" s="7">
        <v>0</v>
      </c>
      <c r="AT223" s="7">
        <v>0</v>
      </c>
      <c r="AU223" s="7">
        <v>0</v>
      </c>
      <c r="AV223" s="7">
        <v>0</v>
      </c>
      <c r="AW223" s="7">
        <v>0</v>
      </c>
      <c r="AX223" s="7">
        <v>0</v>
      </c>
      <c r="AY223" s="7">
        <v>0</v>
      </c>
      <c r="AZ223" s="7">
        <v>0</v>
      </c>
      <c r="BA223" s="7">
        <v>0</v>
      </c>
      <c r="BB223" s="7">
        <v>0</v>
      </c>
      <c r="BC223" s="7">
        <v>0</v>
      </c>
      <c r="BD223" s="7">
        <v>0</v>
      </c>
      <c r="BE223" s="7">
        <v>0</v>
      </c>
      <c r="BF223" s="7">
        <v>0</v>
      </c>
      <c r="BG223" s="7">
        <v>0</v>
      </c>
      <c r="BH223" s="7">
        <v>0</v>
      </c>
      <c r="BI223" s="7">
        <v>0</v>
      </c>
      <c r="BJ223" s="21"/>
    </row>
    <row r="224" spans="1:62" ht="15.6" x14ac:dyDescent="0.3">
      <c r="A224" s="5" t="s">
        <v>371</v>
      </c>
      <c r="B224" s="5" t="s">
        <v>406</v>
      </c>
      <c r="C224" s="7">
        <v>6</v>
      </c>
      <c r="D224" s="7">
        <v>6</v>
      </c>
      <c r="E224" s="7">
        <v>0</v>
      </c>
      <c r="F224" s="7">
        <v>0</v>
      </c>
      <c r="G224" s="7">
        <v>0</v>
      </c>
      <c r="H224" s="7">
        <v>0</v>
      </c>
      <c r="I224" s="7">
        <v>0</v>
      </c>
      <c r="J224" s="7">
        <v>0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>
        <v>0</v>
      </c>
      <c r="AI224" s="7">
        <v>0</v>
      </c>
      <c r="AJ224" s="7">
        <v>0</v>
      </c>
      <c r="AK224" s="7">
        <v>0</v>
      </c>
      <c r="AL224" s="7">
        <v>0</v>
      </c>
      <c r="AM224" s="7">
        <v>0</v>
      </c>
      <c r="AN224" s="7">
        <v>0</v>
      </c>
      <c r="AO224" s="7">
        <v>0</v>
      </c>
      <c r="AP224" s="7">
        <v>0</v>
      </c>
      <c r="AQ224" s="7">
        <v>0</v>
      </c>
      <c r="AR224" s="7">
        <v>0</v>
      </c>
      <c r="AS224" s="7">
        <v>0</v>
      </c>
      <c r="AT224" s="7">
        <v>0</v>
      </c>
      <c r="AU224" s="7">
        <v>0</v>
      </c>
      <c r="AV224" s="7">
        <v>0</v>
      </c>
      <c r="AW224" s="7">
        <v>0</v>
      </c>
      <c r="AX224" s="7">
        <v>0</v>
      </c>
      <c r="AY224" s="7">
        <v>0</v>
      </c>
      <c r="AZ224" s="7">
        <v>0</v>
      </c>
      <c r="BA224" s="7">
        <v>0</v>
      </c>
      <c r="BB224" s="7">
        <v>0</v>
      </c>
      <c r="BC224" s="7">
        <v>0</v>
      </c>
      <c r="BD224" s="7">
        <v>0</v>
      </c>
      <c r="BE224" s="7">
        <v>0</v>
      </c>
      <c r="BF224" s="7">
        <v>0</v>
      </c>
      <c r="BG224" s="7">
        <v>0</v>
      </c>
      <c r="BH224" s="7">
        <v>0</v>
      </c>
      <c r="BI224" s="7">
        <v>0</v>
      </c>
      <c r="BJ224" s="21"/>
    </row>
    <row r="225" spans="1:62" ht="15.6" x14ac:dyDescent="0.3">
      <c r="A225" s="5" t="s">
        <v>373</v>
      </c>
      <c r="B225" s="5" t="s">
        <v>407</v>
      </c>
      <c r="C225" s="7">
        <v>6</v>
      </c>
      <c r="D225" s="7">
        <v>6</v>
      </c>
      <c r="E225" s="7">
        <v>0</v>
      </c>
      <c r="F225" s="7">
        <v>0</v>
      </c>
      <c r="G225" s="7">
        <v>0</v>
      </c>
      <c r="H225" s="7">
        <v>0</v>
      </c>
      <c r="I225" s="7">
        <v>0</v>
      </c>
      <c r="J225" s="7">
        <v>0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0</v>
      </c>
      <c r="U225" s="7">
        <v>0</v>
      </c>
      <c r="V225" s="7">
        <v>0</v>
      </c>
      <c r="W225" s="7">
        <v>0</v>
      </c>
      <c r="X225" s="7">
        <v>0</v>
      </c>
      <c r="Y225" s="7">
        <v>0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7">
        <v>0</v>
      </c>
      <c r="AK225" s="7">
        <v>0</v>
      </c>
      <c r="AL225" s="7">
        <v>0</v>
      </c>
      <c r="AM225" s="7">
        <v>0</v>
      </c>
      <c r="AN225" s="7">
        <v>0</v>
      </c>
      <c r="AO225" s="7">
        <v>0</v>
      </c>
      <c r="AP225" s="7">
        <v>0</v>
      </c>
      <c r="AQ225" s="7">
        <v>0</v>
      </c>
      <c r="AR225" s="7">
        <v>0</v>
      </c>
      <c r="AS225" s="7">
        <v>0</v>
      </c>
      <c r="AT225" s="7">
        <v>0</v>
      </c>
      <c r="AU225" s="7">
        <v>0</v>
      </c>
      <c r="AV225" s="7">
        <v>0</v>
      </c>
      <c r="AW225" s="7">
        <v>0</v>
      </c>
      <c r="AX225" s="7">
        <v>0</v>
      </c>
      <c r="AY225" s="7">
        <v>0</v>
      </c>
      <c r="AZ225" s="7">
        <v>0</v>
      </c>
      <c r="BA225" s="7">
        <v>0</v>
      </c>
      <c r="BB225" s="7">
        <v>0</v>
      </c>
      <c r="BC225" s="7">
        <v>0</v>
      </c>
      <c r="BD225" s="7">
        <v>0</v>
      </c>
      <c r="BE225" s="7">
        <v>0</v>
      </c>
      <c r="BF225" s="7">
        <v>0</v>
      </c>
      <c r="BG225" s="7">
        <v>0</v>
      </c>
      <c r="BH225" s="7">
        <v>0</v>
      </c>
      <c r="BI225" s="7">
        <v>0</v>
      </c>
      <c r="BJ225" s="21"/>
    </row>
    <row r="226" spans="1:62" ht="15.6" x14ac:dyDescent="0.3">
      <c r="A226" s="5" t="s">
        <v>375</v>
      </c>
      <c r="B226" s="5" t="s">
        <v>408</v>
      </c>
      <c r="C226" s="7">
        <v>6</v>
      </c>
      <c r="D226" s="7">
        <v>6</v>
      </c>
      <c r="E226" s="7">
        <v>0</v>
      </c>
      <c r="F226" s="7">
        <v>0</v>
      </c>
      <c r="G226" s="7">
        <v>0</v>
      </c>
      <c r="H226" s="7">
        <v>0</v>
      </c>
      <c r="I226" s="7">
        <v>0</v>
      </c>
      <c r="J226" s="7">
        <v>0</v>
      </c>
      <c r="K226" s="7">
        <v>0</v>
      </c>
      <c r="L226" s="7">
        <v>0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0</v>
      </c>
      <c r="S226" s="7">
        <v>0</v>
      </c>
      <c r="T226" s="7">
        <v>0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0</v>
      </c>
      <c r="AB226" s="7">
        <v>0</v>
      </c>
      <c r="AC226" s="7">
        <v>0</v>
      </c>
      <c r="AD226" s="7">
        <v>0</v>
      </c>
      <c r="AE226" s="7">
        <v>0</v>
      </c>
      <c r="AF226" s="7">
        <v>0</v>
      </c>
      <c r="AG226" s="7">
        <v>0</v>
      </c>
      <c r="AH226" s="7">
        <v>0</v>
      </c>
      <c r="AI226" s="7">
        <v>0</v>
      </c>
      <c r="AJ226" s="7">
        <v>0</v>
      </c>
      <c r="AK226" s="7">
        <v>0</v>
      </c>
      <c r="AL226" s="7">
        <v>0</v>
      </c>
      <c r="AM226" s="7">
        <v>0</v>
      </c>
      <c r="AN226" s="7">
        <v>0</v>
      </c>
      <c r="AO226" s="7">
        <v>0</v>
      </c>
      <c r="AP226" s="7">
        <v>0</v>
      </c>
      <c r="AQ226" s="7">
        <v>0</v>
      </c>
      <c r="AR226" s="7">
        <v>0</v>
      </c>
      <c r="AS226" s="7">
        <v>0</v>
      </c>
      <c r="AT226" s="7">
        <v>0</v>
      </c>
      <c r="AU226" s="7">
        <v>0</v>
      </c>
      <c r="AV226" s="7">
        <v>0</v>
      </c>
      <c r="AW226" s="7">
        <v>0</v>
      </c>
      <c r="AX226" s="7">
        <v>0</v>
      </c>
      <c r="AY226" s="7">
        <v>0</v>
      </c>
      <c r="AZ226" s="7">
        <v>0</v>
      </c>
      <c r="BA226" s="7">
        <v>0</v>
      </c>
      <c r="BB226" s="7">
        <v>0</v>
      </c>
      <c r="BC226" s="7">
        <v>0</v>
      </c>
      <c r="BD226" s="7">
        <v>0</v>
      </c>
      <c r="BE226" s="7">
        <v>0</v>
      </c>
      <c r="BF226" s="7">
        <v>0</v>
      </c>
      <c r="BG226" s="7">
        <v>0</v>
      </c>
      <c r="BH226" s="7">
        <v>0</v>
      </c>
      <c r="BI226" s="7">
        <v>0</v>
      </c>
      <c r="BJ226" s="21"/>
    </row>
    <row r="227" spans="1:62" ht="15.6" x14ac:dyDescent="0.3">
      <c r="A227" s="5" t="s">
        <v>377</v>
      </c>
      <c r="B227" s="5" t="s">
        <v>409</v>
      </c>
      <c r="C227" s="7">
        <v>6</v>
      </c>
      <c r="D227" s="7">
        <v>6</v>
      </c>
      <c r="E227" s="7">
        <v>0</v>
      </c>
      <c r="F227" s="7">
        <v>0</v>
      </c>
      <c r="G227" s="7">
        <v>0</v>
      </c>
      <c r="H227" s="7">
        <v>0</v>
      </c>
      <c r="I227" s="7">
        <v>0</v>
      </c>
      <c r="J227" s="7">
        <v>0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7">
        <v>0</v>
      </c>
      <c r="AK227" s="7">
        <v>0</v>
      </c>
      <c r="AL227" s="7">
        <v>0</v>
      </c>
      <c r="AM227" s="7">
        <v>0</v>
      </c>
      <c r="AN227" s="7">
        <v>0</v>
      </c>
      <c r="AO227" s="7">
        <v>0</v>
      </c>
      <c r="AP227" s="7">
        <v>0</v>
      </c>
      <c r="AQ227" s="7">
        <v>0</v>
      </c>
      <c r="AR227" s="7">
        <v>0</v>
      </c>
      <c r="AS227" s="7">
        <v>0</v>
      </c>
      <c r="AT227" s="7">
        <v>0</v>
      </c>
      <c r="AU227" s="7">
        <v>0</v>
      </c>
      <c r="AV227" s="7">
        <v>0</v>
      </c>
      <c r="AW227" s="7">
        <v>0</v>
      </c>
      <c r="AX227" s="7">
        <v>0</v>
      </c>
      <c r="AY227" s="7">
        <v>0</v>
      </c>
      <c r="AZ227" s="7">
        <v>0</v>
      </c>
      <c r="BA227" s="7">
        <v>0</v>
      </c>
      <c r="BB227" s="7">
        <v>0</v>
      </c>
      <c r="BC227" s="7">
        <v>0</v>
      </c>
      <c r="BD227" s="7">
        <v>0</v>
      </c>
      <c r="BE227" s="7">
        <v>0</v>
      </c>
      <c r="BF227" s="7">
        <v>0</v>
      </c>
      <c r="BG227" s="7">
        <v>0</v>
      </c>
      <c r="BH227" s="7">
        <v>0</v>
      </c>
      <c r="BI227" s="7">
        <v>0</v>
      </c>
      <c r="BJ227" s="21"/>
    </row>
    <row r="228" spans="1:62" ht="15.6" x14ac:dyDescent="0.3">
      <c r="A228" s="5" t="s">
        <v>379</v>
      </c>
      <c r="B228" s="5" t="s">
        <v>410</v>
      </c>
      <c r="C228" s="7">
        <v>6</v>
      </c>
      <c r="D228" s="7">
        <v>6</v>
      </c>
      <c r="E228" s="7">
        <v>0</v>
      </c>
      <c r="F228" s="7">
        <v>0</v>
      </c>
      <c r="G228" s="7">
        <v>0</v>
      </c>
      <c r="H228" s="7">
        <v>0</v>
      </c>
      <c r="I228" s="7">
        <v>0</v>
      </c>
      <c r="J228" s="7">
        <v>0</v>
      </c>
      <c r="K228" s="7">
        <v>0</v>
      </c>
      <c r="L228" s="7">
        <v>0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0</v>
      </c>
      <c r="S228" s="7">
        <v>0</v>
      </c>
      <c r="T228" s="7">
        <v>0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0</v>
      </c>
      <c r="AB228" s="7">
        <v>0</v>
      </c>
      <c r="AC228" s="7">
        <v>0</v>
      </c>
      <c r="AD228" s="7">
        <v>0</v>
      </c>
      <c r="AE228" s="7">
        <v>0</v>
      </c>
      <c r="AF228" s="7">
        <v>0</v>
      </c>
      <c r="AG228" s="7">
        <v>0</v>
      </c>
      <c r="AH228" s="7">
        <v>0</v>
      </c>
      <c r="AI228" s="7">
        <v>0</v>
      </c>
      <c r="AJ228" s="7">
        <v>0</v>
      </c>
      <c r="AK228" s="7">
        <v>0</v>
      </c>
      <c r="AL228" s="7">
        <v>0</v>
      </c>
      <c r="AM228" s="7">
        <v>0</v>
      </c>
      <c r="AN228" s="7">
        <v>0</v>
      </c>
      <c r="AO228" s="7">
        <v>0</v>
      </c>
      <c r="AP228" s="7">
        <v>0</v>
      </c>
      <c r="AQ228" s="7">
        <v>0</v>
      </c>
      <c r="AR228" s="7">
        <v>0</v>
      </c>
      <c r="AS228" s="7">
        <v>0</v>
      </c>
      <c r="AT228" s="7">
        <v>0</v>
      </c>
      <c r="AU228" s="7">
        <v>0</v>
      </c>
      <c r="AV228" s="7">
        <v>0</v>
      </c>
      <c r="AW228" s="7">
        <v>0</v>
      </c>
      <c r="AX228" s="7">
        <v>0</v>
      </c>
      <c r="AY228" s="7">
        <v>0</v>
      </c>
      <c r="AZ228" s="7">
        <v>0</v>
      </c>
      <c r="BA228" s="7">
        <v>0</v>
      </c>
      <c r="BB228" s="7">
        <v>0</v>
      </c>
      <c r="BC228" s="7">
        <v>0</v>
      </c>
      <c r="BD228" s="7">
        <v>0</v>
      </c>
      <c r="BE228" s="7">
        <v>0</v>
      </c>
      <c r="BF228" s="7">
        <v>0</v>
      </c>
      <c r="BG228" s="7">
        <v>0</v>
      </c>
      <c r="BH228" s="7">
        <v>0</v>
      </c>
      <c r="BI228" s="7">
        <v>0</v>
      </c>
      <c r="BJ228" s="21"/>
    </row>
    <row r="229" spans="1:62" ht="15.6" x14ac:dyDescent="0.3">
      <c r="A229" s="5" t="s">
        <v>381</v>
      </c>
      <c r="B229" s="5" t="s">
        <v>411</v>
      </c>
      <c r="C229" s="7">
        <v>6</v>
      </c>
      <c r="D229" s="7">
        <v>6</v>
      </c>
      <c r="E229" s="7">
        <v>0</v>
      </c>
      <c r="F229" s="7">
        <v>0</v>
      </c>
      <c r="G229" s="7">
        <v>0</v>
      </c>
      <c r="H229" s="7">
        <v>0</v>
      </c>
      <c r="I229" s="7">
        <v>0</v>
      </c>
      <c r="J229" s="7">
        <v>0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7">
        <v>0</v>
      </c>
      <c r="AK229" s="7">
        <v>0</v>
      </c>
      <c r="AL229" s="7">
        <v>0</v>
      </c>
      <c r="AM229" s="7">
        <v>0</v>
      </c>
      <c r="AN229" s="7">
        <v>0</v>
      </c>
      <c r="AO229" s="7">
        <v>0</v>
      </c>
      <c r="AP229" s="7">
        <v>0</v>
      </c>
      <c r="AQ229" s="7">
        <v>0</v>
      </c>
      <c r="AR229" s="7">
        <v>0</v>
      </c>
      <c r="AS229" s="7">
        <v>0</v>
      </c>
      <c r="AT229" s="7">
        <v>0</v>
      </c>
      <c r="AU229" s="7">
        <v>0</v>
      </c>
      <c r="AV229" s="7">
        <v>0</v>
      </c>
      <c r="AW229" s="7">
        <v>0</v>
      </c>
      <c r="AX229" s="7">
        <v>0</v>
      </c>
      <c r="AY229" s="7">
        <v>0</v>
      </c>
      <c r="AZ229" s="7">
        <v>0</v>
      </c>
      <c r="BA229" s="7">
        <v>0</v>
      </c>
      <c r="BB229" s="7">
        <v>0</v>
      </c>
      <c r="BC229" s="7">
        <v>0</v>
      </c>
      <c r="BD229" s="7">
        <v>0</v>
      </c>
      <c r="BE229" s="7">
        <v>0</v>
      </c>
      <c r="BF229" s="7">
        <v>0</v>
      </c>
      <c r="BG229" s="7">
        <v>0</v>
      </c>
      <c r="BH229" s="7">
        <v>0</v>
      </c>
      <c r="BI229" s="7">
        <v>0</v>
      </c>
      <c r="BJ229" s="21"/>
    </row>
    <row r="230" spans="1:62" ht="15.6" x14ac:dyDescent="0.3">
      <c r="A230" s="5" t="s">
        <v>383</v>
      </c>
      <c r="B230" s="5" t="s">
        <v>412</v>
      </c>
      <c r="C230" s="7">
        <v>6</v>
      </c>
      <c r="D230" s="7">
        <v>6</v>
      </c>
      <c r="E230" s="7">
        <v>0</v>
      </c>
      <c r="F230" s="7">
        <v>0</v>
      </c>
      <c r="G230" s="7">
        <v>0</v>
      </c>
      <c r="H230" s="7">
        <v>0</v>
      </c>
      <c r="I230" s="7">
        <v>0</v>
      </c>
      <c r="J230" s="7">
        <v>0</v>
      </c>
      <c r="K230" s="7">
        <v>0</v>
      </c>
      <c r="L230" s="7">
        <v>0</v>
      </c>
      <c r="M230" s="7">
        <v>0</v>
      </c>
      <c r="N230" s="7">
        <v>0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0</v>
      </c>
      <c r="U230" s="7">
        <v>0</v>
      </c>
      <c r="V230" s="7">
        <v>0</v>
      </c>
      <c r="W230" s="7">
        <v>0</v>
      </c>
      <c r="X230" s="7">
        <v>0</v>
      </c>
      <c r="Y230" s="7">
        <v>0</v>
      </c>
      <c r="Z230" s="7">
        <v>0</v>
      </c>
      <c r="AA230" s="7">
        <v>0</v>
      </c>
      <c r="AB230" s="7">
        <v>0</v>
      </c>
      <c r="AC230" s="7">
        <v>0</v>
      </c>
      <c r="AD230" s="7">
        <v>0</v>
      </c>
      <c r="AE230" s="7">
        <v>0</v>
      </c>
      <c r="AF230" s="7">
        <v>0</v>
      </c>
      <c r="AG230" s="7">
        <v>0</v>
      </c>
      <c r="AH230" s="7">
        <v>0</v>
      </c>
      <c r="AI230" s="7">
        <v>0</v>
      </c>
      <c r="AJ230" s="7">
        <v>0</v>
      </c>
      <c r="AK230" s="7">
        <v>0</v>
      </c>
      <c r="AL230" s="7">
        <v>0</v>
      </c>
      <c r="AM230" s="7">
        <v>0</v>
      </c>
      <c r="AN230" s="7">
        <v>0</v>
      </c>
      <c r="AO230" s="7">
        <v>0</v>
      </c>
      <c r="AP230" s="7">
        <v>0</v>
      </c>
      <c r="AQ230" s="7">
        <v>0</v>
      </c>
      <c r="AR230" s="7">
        <v>0</v>
      </c>
      <c r="AS230" s="7">
        <v>0</v>
      </c>
      <c r="AT230" s="7">
        <v>0</v>
      </c>
      <c r="AU230" s="7">
        <v>0</v>
      </c>
      <c r="AV230" s="7">
        <v>0</v>
      </c>
      <c r="AW230" s="7">
        <v>0</v>
      </c>
      <c r="AX230" s="7">
        <v>0</v>
      </c>
      <c r="AY230" s="7">
        <v>0</v>
      </c>
      <c r="AZ230" s="7">
        <v>0</v>
      </c>
      <c r="BA230" s="7">
        <v>0</v>
      </c>
      <c r="BB230" s="7">
        <v>0</v>
      </c>
      <c r="BC230" s="7">
        <v>0</v>
      </c>
      <c r="BD230" s="7">
        <v>0</v>
      </c>
      <c r="BE230" s="7">
        <v>0</v>
      </c>
      <c r="BF230" s="7">
        <v>0</v>
      </c>
      <c r="BG230" s="7">
        <v>0</v>
      </c>
      <c r="BH230" s="7">
        <v>0</v>
      </c>
      <c r="BI230" s="7">
        <v>0</v>
      </c>
      <c r="BJ230" s="21"/>
    </row>
    <row r="231" spans="1:62" ht="15.6" x14ac:dyDescent="0.3">
      <c r="A231" s="5" t="s">
        <v>385</v>
      </c>
      <c r="B231" s="5" t="s">
        <v>413</v>
      </c>
      <c r="C231" s="7">
        <v>6</v>
      </c>
      <c r="D231" s="7">
        <v>6</v>
      </c>
      <c r="E231" s="7">
        <v>0</v>
      </c>
      <c r="F231" s="7">
        <v>0</v>
      </c>
      <c r="G231" s="7">
        <v>0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7">
        <v>0</v>
      </c>
      <c r="AK231" s="7">
        <v>0</v>
      </c>
      <c r="AL231" s="7">
        <v>0</v>
      </c>
      <c r="AM231" s="7">
        <v>0</v>
      </c>
      <c r="AN231" s="7">
        <v>0</v>
      </c>
      <c r="AO231" s="7">
        <v>0</v>
      </c>
      <c r="AP231" s="7">
        <v>0</v>
      </c>
      <c r="AQ231" s="7">
        <v>0</v>
      </c>
      <c r="AR231" s="7">
        <v>0</v>
      </c>
      <c r="AS231" s="7">
        <v>0</v>
      </c>
      <c r="AT231" s="7">
        <v>0</v>
      </c>
      <c r="AU231" s="7">
        <v>0</v>
      </c>
      <c r="AV231" s="7">
        <v>0</v>
      </c>
      <c r="AW231" s="7">
        <v>0</v>
      </c>
      <c r="AX231" s="7">
        <v>0</v>
      </c>
      <c r="AY231" s="7">
        <v>0</v>
      </c>
      <c r="AZ231" s="7">
        <v>0</v>
      </c>
      <c r="BA231" s="7">
        <v>0</v>
      </c>
      <c r="BB231" s="7">
        <v>0</v>
      </c>
      <c r="BC231" s="7">
        <v>0</v>
      </c>
      <c r="BD231" s="7">
        <v>0</v>
      </c>
      <c r="BE231" s="7">
        <v>0</v>
      </c>
      <c r="BF231" s="7">
        <v>0</v>
      </c>
      <c r="BG231" s="7">
        <v>0</v>
      </c>
      <c r="BH231" s="7">
        <v>0</v>
      </c>
      <c r="BI231" s="7">
        <v>0</v>
      </c>
      <c r="BJ231" s="21"/>
    </row>
    <row r="232" spans="1:62" ht="15.6" x14ac:dyDescent="0.3">
      <c r="A232" s="5" t="s">
        <v>387</v>
      </c>
      <c r="B232" s="5" t="s">
        <v>414</v>
      </c>
      <c r="C232" s="7">
        <v>6</v>
      </c>
      <c r="D232" s="7">
        <v>6</v>
      </c>
      <c r="E232" s="7">
        <v>0</v>
      </c>
      <c r="F232" s="7">
        <v>0</v>
      </c>
      <c r="G232" s="7">
        <v>0</v>
      </c>
      <c r="H232" s="7">
        <v>0</v>
      </c>
      <c r="I232" s="7">
        <v>0</v>
      </c>
      <c r="J232" s="7">
        <v>0</v>
      </c>
      <c r="K232" s="7">
        <v>0</v>
      </c>
      <c r="L232" s="7">
        <v>0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0</v>
      </c>
      <c r="U232" s="7">
        <v>0</v>
      </c>
      <c r="V232" s="7">
        <v>0</v>
      </c>
      <c r="W232" s="7">
        <v>0</v>
      </c>
      <c r="X232" s="7">
        <v>0</v>
      </c>
      <c r="Y232" s="7">
        <v>0</v>
      </c>
      <c r="Z232" s="7">
        <v>0</v>
      </c>
      <c r="AA232" s="7">
        <v>0</v>
      </c>
      <c r="AB232" s="7">
        <v>0</v>
      </c>
      <c r="AC232" s="7">
        <v>0</v>
      </c>
      <c r="AD232" s="7">
        <v>0</v>
      </c>
      <c r="AE232" s="7">
        <v>0</v>
      </c>
      <c r="AF232" s="7">
        <v>0</v>
      </c>
      <c r="AG232" s="7">
        <v>0</v>
      </c>
      <c r="AH232" s="7">
        <v>0</v>
      </c>
      <c r="AI232" s="7">
        <v>0</v>
      </c>
      <c r="AJ232" s="7">
        <v>0</v>
      </c>
      <c r="AK232" s="7">
        <v>0</v>
      </c>
      <c r="AL232" s="7">
        <v>0</v>
      </c>
      <c r="AM232" s="7">
        <v>0</v>
      </c>
      <c r="AN232" s="7">
        <v>0</v>
      </c>
      <c r="AO232" s="7">
        <v>0</v>
      </c>
      <c r="AP232" s="7">
        <v>0</v>
      </c>
      <c r="AQ232" s="7">
        <v>0</v>
      </c>
      <c r="AR232" s="7">
        <v>0</v>
      </c>
      <c r="AS232" s="7">
        <v>0</v>
      </c>
      <c r="AT232" s="7">
        <v>0</v>
      </c>
      <c r="AU232" s="7">
        <v>0</v>
      </c>
      <c r="AV232" s="7">
        <v>0</v>
      </c>
      <c r="AW232" s="7">
        <v>0</v>
      </c>
      <c r="AX232" s="7">
        <v>0</v>
      </c>
      <c r="AY232" s="7">
        <v>0</v>
      </c>
      <c r="AZ232" s="7">
        <v>0</v>
      </c>
      <c r="BA232" s="7">
        <v>0</v>
      </c>
      <c r="BB232" s="7">
        <v>0</v>
      </c>
      <c r="BC232" s="7">
        <v>0</v>
      </c>
      <c r="BD232" s="7">
        <v>0</v>
      </c>
      <c r="BE232" s="7">
        <v>0</v>
      </c>
      <c r="BF232" s="7">
        <v>0</v>
      </c>
      <c r="BG232" s="7">
        <v>0</v>
      </c>
      <c r="BH232" s="7">
        <v>0</v>
      </c>
      <c r="BI232" s="7">
        <v>0</v>
      </c>
      <c r="BJ232" s="21"/>
    </row>
    <row r="233" spans="1:62" ht="15.6" x14ac:dyDescent="0.3">
      <c r="A233" s="5" t="s">
        <v>389</v>
      </c>
      <c r="B233" s="5" t="s">
        <v>415</v>
      </c>
      <c r="C233" s="7">
        <v>6</v>
      </c>
      <c r="D233" s="7">
        <v>6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21"/>
    </row>
    <row r="234" spans="1:62" ht="15.6" x14ac:dyDescent="0.3">
      <c r="A234" s="5" t="s">
        <v>391</v>
      </c>
      <c r="B234" s="5" t="s">
        <v>416</v>
      </c>
      <c r="C234" s="7">
        <v>6</v>
      </c>
      <c r="D234" s="7">
        <v>6</v>
      </c>
      <c r="E234" s="7">
        <v>0</v>
      </c>
      <c r="F234" s="7">
        <v>0</v>
      </c>
      <c r="G234" s="7">
        <v>0</v>
      </c>
      <c r="H234" s="7">
        <v>0</v>
      </c>
      <c r="I234" s="7">
        <v>0</v>
      </c>
      <c r="J234" s="7">
        <v>0</v>
      </c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>
        <v>0</v>
      </c>
      <c r="AI234" s="7">
        <v>0</v>
      </c>
      <c r="AJ234" s="7">
        <v>0</v>
      </c>
      <c r="AK234" s="7">
        <v>0</v>
      </c>
      <c r="AL234" s="7">
        <v>0</v>
      </c>
      <c r="AM234" s="7">
        <v>0</v>
      </c>
      <c r="AN234" s="7">
        <v>0</v>
      </c>
      <c r="AO234" s="7">
        <v>0</v>
      </c>
      <c r="AP234" s="7">
        <v>0</v>
      </c>
      <c r="AQ234" s="7">
        <v>0</v>
      </c>
      <c r="AR234" s="7">
        <v>0</v>
      </c>
      <c r="AS234" s="7">
        <v>0</v>
      </c>
      <c r="AT234" s="7">
        <v>0</v>
      </c>
      <c r="AU234" s="7">
        <v>0</v>
      </c>
      <c r="AV234" s="7">
        <v>0</v>
      </c>
      <c r="AW234" s="7">
        <v>0</v>
      </c>
      <c r="AX234" s="7">
        <v>0</v>
      </c>
      <c r="AY234" s="7">
        <v>0</v>
      </c>
      <c r="AZ234" s="7">
        <v>0</v>
      </c>
      <c r="BA234" s="7">
        <v>0</v>
      </c>
      <c r="BB234" s="7">
        <v>0</v>
      </c>
      <c r="BC234" s="7">
        <v>0</v>
      </c>
      <c r="BD234" s="7">
        <v>0</v>
      </c>
      <c r="BE234" s="7">
        <v>0</v>
      </c>
      <c r="BF234" s="7">
        <v>0</v>
      </c>
      <c r="BG234" s="7">
        <v>0</v>
      </c>
      <c r="BH234" s="7">
        <v>0</v>
      </c>
      <c r="BI234" s="7">
        <v>0</v>
      </c>
      <c r="BJ234" s="21"/>
    </row>
    <row r="235" spans="1:62" ht="15.6" x14ac:dyDescent="0.3">
      <c r="A235" s="5" t="s">
        <v>393</v>
      </c>
      <c r="B235" s="5" t="s">
        <v>417</v>
      </c>
      <c r="C235" s="7">
        <v>6</v>
      </c>
      <c r="D235" s="7">
        <v>6</v>
      </c>
      <c r="E235" s="7">
        <v>0</v>
      </c>
      <c r="F235" s="7">
        <v>0</v>
      </c>
      <c r="G235" s="7">
        <v>0</v>
      </c>
      <c r="H235" s="7">
        <v>0</v>
      </c>
      <c r="I235" s="7">
        <v>0</v>
      </c>
      <c r="J235" s="7">
        <v>0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7">
        <v>0</v>
      </c>
      <c r="U235" s="7">
        <v>0</v>
      </c>
      <c r="V235" s="7">
        <v>0</v>
      </c>
      <c r="W235" s="7">
        <v>0</v>
      </c>
      <c r="X235" s="7">
        <v>0</v>
      </c>
      <c r="Y235" s="7">
        <v>0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7">
        <v>0</v>
      </c>
      <c r="AK235" s="7">
        <v>0</v>
      </c>
      <c r="AL235" s="7">
        <v>0</v>
      </c>
      <c r="AM235" s="7">
        <v>0</v>
      </c>
      <c r="AN235" s="7">
        <v>0</v>
      </c>
      <c r="AO235" s="7">
        <v>0</v>
      </c>
      <c r="AP235" s="7">
        <v>0</v>
      </c>
      <c r="AQ235" s="7">
        <v>0</v>
      </c>
      <c r="AR235" s="7">
        <v>0</v>
      </c>
      <c r="AS235" s="7">
        <v>0</v>
      </c>
      <c r="AT235" s="7">
        <v>0</v>
      </c>
      <c r="AU235" s="7">
        <v>0</v>
      </c>
      <c r="AV235" s="7">
        <v>0</v>
      </c>
      <c r="AW235" s="7">
        <v>0</v>
      </c>
      <c r="AX235" s="7">
        <v>0</v>
      </c>
      <c r="AY235" s="7">
        <v>0</v>
      </c>
      <c r="AZ235" s="7">
        <v>0</v>
      </c>
      <c r="BA235" s="7">
        <v>0</v>
      </c>
      <c r="BB235" s="7">
        <v>0</v>
      </c>
      <c r="BC235" s="7">
        <v>0</v>
      </c>
      <c r="BD235" s="7">
        <v>0</v>
      </c>
      <c r="BE235" s="7">
        <v>0</v>
      </c>
      <c r="BF235" s="7">
        <v>0</v>
      </c>
      <c r="BG235" s="7">
        <v>0</v>
      </c>
      <c r="BH235" s="7">
        <v>0</v>
      </c>
      <c r="BI235" s="7">
        <v>0</v>
      </c>
      <c r="BJ235" s="21"/>
    </row>
    <row r="236" spans="1:62" ht="15.6" x14ac:dyDescent="0.3">
      <c r="A236" s="5" t="s">
        <v>395</v>
      </c>
      <c r="B236" s="5" t="s">
        <v>418</v>
      </c>
      <c r="C236" s="7">
        <v>6</v>
      </c>
      <c r="D236" s="7">
        <v>6</v>
      </c>
      <c r="E236" s="7">
        <v>0</v>
      </c>
      <c r="F236" s="7">
        <v>0</v>
      </c>
      <c r="G236" s="7">
        <v>0</v>
      </c>
      <c r="H236" s="7">
        <v>0</v>
      </c>
      <c r="I236" s="7">
        <v>0</v>
      </c>
      <c r="J236" s="7">
        <v>0</v>
      </c>
      <c r="K236" s="7">
        <v>0</v>
      </c>
      <c r="L236" s="7">
        <v>0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0</v>
      </c>
      <c r="S236" s="7">
        <v>0</v>
      </c>
      <c r="T236" s="7">
        <v>0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0</v>
      </c>
      <c r="AB236" s="7">
        <v>0</v>
      </c>
      <c r="AC236" s="7">
        <v>0</v>
      </c>
      <c r="AD236" s="7">
        <v>0</v>
      </c>
      <c r="AE236" s="7">
        <v>0</v>
      </c>
      <c r="AF236" s="7">
        <v>0</v>
      </c>
      <c r="AG236" s="7">
        <v>0</v>
      </c>
      <c r="AH236" s="7">
        <v>0</v>
      </c>
      <c r="AI236" s="7">
        <v>0</v>
      </c>
      <c r="AJ236" s="7">
        <v>0</v>
      </c>
      <c r="AK236" s="7">
        <v>0</v>
      </c>
      <c r="AL236" s="7">
        <v>0</v>
      </c>
      <c r="AM236" s="7">
        <v>0</v>
      </c>
      <c r="AN236" s="7">
        <v>0</v>
      </c>
      <c r="AO236" s="7">
        <v>0</v>
      </c>
      <c r="AP236" s="7">
        <v>0</v>
      </c>
      <c r="AQ236" s="7">
        <v>0</v>
      </c>
      <c r="AR236" s="7">
        <v>0</v>
      </c>
      <c r="AS236" s="7">
        <v>0</v>
      </c>
      <c r="AT236" s="7">
        <v>0</v>
      </c>
      <c r="AU236" s="7">
        <v>0</v>
      </c>
      <c r="AV236" s="7">
        <v>0</v>
      </c>
      <c r="AW236" s="7">
        <v>0</v>
      </c>
      <c r="AX236" s="7">
        <v>0</v>
      </c>
      <c r="AY236" s="7">
        <v>0</v>
      </c>
      <c r="AZ236" s="7">
        <v>0</v>
      </c>
      <c r="BA236" s="7">
        <v>0</v>
      </c>
      <c r="BB236" s="7">
        <v>0</v>
      </c>
      <c r="BC236" s="7">
        <v>0</v>
      </c>
      <c r="BD236" s="7">
        <v>0</v>
      </c>
      <c r="BE236" s="7">
        <v>0</v>
      </c>
      <c r="BF236" s="7">
        <v>0</v>
      </c>
      <c r="BG236" s="7">
        <v>0</v>
      </c>
      <c r="BH236" s="7">
        <v>0</v>
      </c>
      <c r="BI236" s="7">
        <v>0</v>
      </c>
      <c r="BJ236" s="21"/>
    </row>
    <row r="237" spans="1:62" ht="15.6" x14ac:dyDescent="0.3">
      <c r="A237" s="5" t="s">
        <v>419</v>
      </c>
      <c r="B237" s="5" t="s">
        <v>420</v>
      </c>
      <c r="C237" s="7">
        <v>6</v>
      </c>
      <c r="D237" s="7">
        <v>6</v>
      </c>
      <c r="E237" s="7">
        <v>0</v>
      </c>
      <c r="F237" s="7">
        <v>0</v>
      </c>
      <c r="G237" s="7">
        <v>0</v>
      </c>
      <c r="H237" s="7">
        <v>0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0</v>
      </c>
      <c r="U237" s="7">
        <v>0</v>
      </c>
      <c r="V237" s="7">
        <v>0</v>
      </c>
      <c r="W237" s="7">
        <v>0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7">
        <v>0</v>
      </c>
      <c r="AK237" s="7">
        <v>0</v>
      </c>
      <c r="AL237" s="7">
        <v>0</v>
      </c>
      <c r="AM237" s="7">
        <v>0</v>
      </c>
      <c r="AN237" s="7">
        <v>0</v>
      </c>
      <c r="AO237" s="7">
        <v>0</v>
      </c>
      <c r="AP237" s="7">
        <v>0</v>
      </c>
      <c r="AQ237" s="7">
        <v>0</v>
      </c>
      <c r="AR237" s="7">
        <v>0</v>
      </c>
      <c r="AS237" s="7">
        <v>0</v>
      </c>
      <c r="AT237" s="7">
        <v>0</v>
      </c>
      <c r="AU237" s="7">
        <v>0</v>
      </c>
      <c r="AV237" s="7">
        <v>0</v>
      </c>
      <c r="AW237" s="7">
        <v>0</v>
      </c>
      <c r="AX237" s="7">
        <v>0</v>
      </c>
      <c r="AY237" s="7">
        <v>0</v>
      </c>
      <c r="AZ237" s="7">
        <v>0</v>
      </c>
      <c r="BA237" s="7">
        <v>0</v>
      </c>
      <c r="BB237" s="7">
        <v>0</v>
      </c>
      <c r="BC237" s="7">
        <v>0</v>
      </c>
      <c r="BD237" s="7">
        <v>0</v>
      </c>
      <c r="BE237" s="7">
        <v>0</v>
      </c>
      <c r="BF237" s="7">
        <v>0</v>
      </c>
      <c r="BG237" s="7">
        <v>0</v>
      </c>
      <c r="BH237" s="7">
        <v>0</v>
      </c>
      <c r="BI237" s="7">
        <v>0</v>
      </c>
      <c r="BJ237" s="21"/>
    </row>
    <row r="238" spans="1:62" ht="15.6" x14ac:dyDescent="0.3">
      <c r="A238" s="5" t="s">
        <v>421</v>
      </c>
      <c r="B238" s="5" t="s">
        <v>422</v>
      </c>
      <c r="C238" s="7">
        <v>6</v>
      </c>
      <c r="D238" s="7">
        <v>6</v>
      </c>
      <c r="E238" s="7">
        <v>0</v>
      </c>
      <c r="F238" s="7">
        <v>0</v>
      </c>
      <c r="G238" s="7">
        <v>0</v>
      </c>
      <c r="H238" s="7">
        <v>0</v>
      </c>
      <c r="I238" s="7">
        <v>0</v>
      </c>
      <c r="J238" s="7">
        <v>0</v>
      </c>
      <c r="K238" s="7">
        <v>0</v>
      </c>
      <c r="L238" s="7">
        <v>0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0</v>
      </c>
      <c r="S238" s="7">
        <v>0</v>
      </c>
      <c r="T238" s="7">
        <v>0</v>
      </c>
      <c r="U238" s="7">
        <v>0</v>
      </c>
      <c r="V238" s="7">
        <v>0</v>
      </c>
      <c r="W238" s="7">
        <v>0</v>
      </c>
      <c r="X238" s="7">
        <v>0</v>
      </c>
      <c r="Y238" s="7">
        <v>0</v>
      </c>
      <c r="Z238" s="7">
        <v>0</v>
      </c>
      <c r="AA238" s="7">
        <v>0</v>
      </c>
      <c r="AB238" s="7">
        <v>0</v>
      </c>
      <c r="AC238" s="7">
        <v>0</v>
      </c>
      <c r="AD238" s="7">
        <v>0</v>
      </c>
      <c r="AE238" s="7">
        <v>0</v>
      </c>
      <c r="AF238" s="7">
        <v>0</v>
      </c>
      <c r="AG238" s="7">
        <v>0</v>
      </c>
      <c r="AH238" s="7">
        <v>0</v>
      </c>
      <c r="AI238" s="7">
        <v>0</v>
      </c>
      <c r="AJ238" s="7">
        <v>0</v>
      </c>
      <c r="AK238" s="7">
        <v>0</v>
      </c>
      <c r="AL238" s="7">
        <v>0</v>
      </c>
      <c r="AM238" s="7">
        <v>0</v>
      </c>
      <c r="AN238" s="7">
        <v>0</v>
      </c>
      <c r="AO238" s="7">
        <v>0</v>
      </c>
      <c r="AP238" s="7">
        <v>0</v>
      </c>
      <c r="AQ238" s="7">
        <v>0</v>
      </c>
      <c r="AR238" s="7">
        <v>0</v>
      </c>
      <c r="AS238" s="7">
        <v>0</v>
      </c>
      <c r="AT238" s="7">
        <v>0</v>
      </c>
      <c r="AU238" s="7">
        <v>0</v>
      </c>
      <c r="AV238" s="7">
        <v>0</v>
      </c>
      <c r="AW238" s="7">
        <v>0</v>
      </c>
      <c r="AX238" s="7">
        <v>0</v>
      </c>
      <c r="AY238" s="7">
        <v>0</v>
      </c>
      <c r="AZ238" s="7">
        <v>0</v>
      </c>
      <c r="BA238" s="7">
        <v>0</v>
      </c>
      <c r="BB238" s="7">
        <v>0</v>
      </c>
      <c r="BC238" s="7">
        <v>0</v>
      </c>
      <c r="BD238" s="7">
        <v>0</v>
      </c>
      <c r="BE238" s="7">
        <v>0</v>
      </c>
      <c r="BF238" s="7">
        <v>0</v>
      </c>
      <c r="BG238" s="7">
        <v>0</v>
      </c>
      <c r="BH238" s="7">
        <v>0</v>
      </c>
      <c r="BI238" s="7">
        <v>0</v>
      </c>
      <c r="BJ238" s="21"/>
    </row>
    <row r="239" spans="1:62" ht="15.6" x14ac:dyDescent="0.3">
      <c r="A239" s="5" t="s">
        <v>423</v>
      </c>
      <c r="B239" s="5" t="s">
        <v>424</v>
      </c>
      <c r="C239" s="7">
        <v>6</v>
      </c>
      <c r="D239" s="7">
        <v>6</v>
      </c>
      <c r="E239" s="7">
        <v>0</v>
      </c>
      <c r="F239" s="7">
        <v>0</v>
      </c>
      <c r="G239" s="7">
        <v>0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7">
        <v>0</v>
      </c>
      <c r="U239" s="7">
        <v>0</v>
      </c>
      <c r="V239" s="7">
        <v>0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7">
        <v>0</v>
      </c>
      <c r="AK239" s="7">
        <v>0</v>
      </c>
      <c r="AL239" s="7">
        <v>0</v>
      </c>
      <c r="AM239" s="7">
        <v>0</v>
      </c>
      <c r="AN239" s="7">
        <v>0</v>
      </c>
      <c r="AO239" s="7">
        <v>0</v>
      </c>
      <c r="AP239" s="7">
        <v>0</v>
      </c>
      <c r="AQ239" s="7">
        <v>0</v>
      </c>
      <c r="AR239" s="7">
        <v>0</v>
      </c>
      <c r="AS239" s="7">
        <v>0</v>
      </c>
      <c r="AT239" s="7">
        <v>0</v>
      </c>
      <c r="AU239" s="7">
        <v>0</v>
      </c>
      <c r="AV239" s="7">
        <v>0</v>
      </c>
      <c r="AW239" s="7">
        <v>0</v>
      </c>
      <c r="AX239" s="7">
        <v>0</v>
      </c>
      <c r="AY239" s="7">
        <v>0</v>
      </c>
      <c r="AZ239" s="7">
        <v>0</v>
      </c>
      <c r="BA239" s="7">
        <v>0</v>
      </c>
      <c r="BB239" s="7">
        <v>0</v>
      </c>
      <c r="BC239" s="7">
        <v>0</v>
      </c>
      <c r="BD239" s="7">
        <v>0</v>
      </c>
      <c r="BE239" s="7">
        <v>0</v>
      </c>
      <c r="BF239" s="7">
        <v>0</v>
      </c>
      <c r="BG239" s="7">
        <v>0</v>
      </c>
      <c r="BH239" s="7">
        <v>0</v>
      </c>
      <c r="BI239" s="7">
        <v>0</v>
      </c>
      <c r="BJ239" s="21"/>
    </row>
    <row r="240" spans="1:62" ht="15.6" x14ac:dyDescent="0.3">
      <c r="A240" s="5" t="s">
        <v>425</v>
      </c>
      <c r="B240" s="5" t="s">
        <v>426</v>
      </c>
      <c r="C240" s="7">
        <v>6</v>
      </c>
      <c r="D240" s="7">
        <v>6</v>
      </c>
      <c r="E240" s="7">
        <v>0</v>
      </c>
      <c r="F240" s="7">
        <v>0</v>
      </c>
      <c r="G240" s="7">
        <v>0</v>
      </c>
      <c r="H240" s="7">
        <v>0</v>
      </c>
      <c r="I240" s="7">
        <v>0</v>
      </c>
      <c r="J240" s="7">
        <v>0</v>
      </c>
      <c r="K240" s="7">
        <v>0</v>
      </c>
      <c r="L240" s="7">
        <v>0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0</v>
      </c>
      <c r="S240" s="7">
        <v>0</v>
      </c>
      <c r="T240" s="7">
        <v>0</v>
      </c>
      <c r="U240" s="7">
        <v>0</v>
      </c>
      <c r="V240" s="7">
        <v>0</v>
      </c>
      <c r="W240" s="7">
        <v>0</v>
      </c>
      <c r="X240" s="7">
        <v>0</v>
      </c>
      <c r="Y240" s="7">
        <v>0</v>
      </c>
      <c r="Z240" s="7">
        <v>0</v>
      </c>
      <c r="AA240" s="7">
        <v>0</v>
      </c>
      <c r="AB240" s="7">
        <v>0</v>
      </c>
      <c r="AC240" s="7">
        <v>0</v>
      </c>
      <c r="AD240" s="7">
        <v>0</v>
      </c>
      <c r="AE240" s="7">
        <v>0</v>
      </c>
      <c r="AF240" s="7">
        <v>0</v>
      </c>
      <c r="AG240" s="7">
        <v>0</v>
      </c>
      <c r="AH240" s="7">
        <v>0</v>
      </c>
      <c r="AI240" s="7">
        <v>0</v>
      </c>
      <c r="AJ240" s="7">
        <v>0</v>
      </c>
      <c r="AK240" s="7">
        <v>0</v>
      </c>
      <c r="AL240" s="7">
        <v>0</v>
      </c>
      <c r="AM240" s="7">
        <v>0</v>
      </c>
      <c r="AN240" s="7">
        <v>0</v>
      </c>
      <c r="AO240" s="7">
        <v>0</v>
      </c>
      <c r="AP240" s="7">
        <v>0</v>
      </c>
      <c r="AQ240" s="7">
        <v>0</v>
      </c>
      <c r="AR240" s="7">
        <v>0</v>
      </c>
      <c r="AS240" s="7">
        <v>0</v>
      </c>
      <c r="AT240" s="7">
        <v>0</v>
      </c>
      <c r="AU240" s="7">
        <v>0</v>
      </c>
      <c r="AV240" s="7">
        <v>0</v>
      </c>
      <c r="AW240" s="7">
        <v>0</v>
      </c>
      <c r="AX240" s="7">
        <v>0</v>
      </c>
      <c r="AY240" s="7">
        <v>0</v>
      </c>
      <c r="AZ240" s="7">
        <v>0</v>
      </c>
      <c r="BA240" s="7">
        <v>0</v>
      </c>
      <c r="BB240" s="7">
        <v>0</v>
      </c>
      <c r="BC240" s="7">
        <v>0</v>
      </c>
      <c r="BD240" s="7">
        <v>0</v>
      </c>
      <c r="BE240" s="7">
        <v>0</v>
      </c>
      <c r="BF240" s="7">
        <v>0</v>
      </c>
      <c r="BG240" s="7">
        <v>0</v>
      </c>
      <c r="BH240" s="7">
        <v>0</v>
      </c>
      <c r="BI240" s="7">
        <v>0</v>
      </c>
      <c r="BJ240" s="21"/>
    </row>
    <row r="241" spans="1:62" ht="15.6" x14ac:dyDescent="0.3">
      <c r="A241" s="5" t="s">
        <v>427</v>
      </c>
      <c r="B241" s="5" t="s">
        <v>428</v>
      </c>
      <c r="C241" s="7">
        <v>6</v>
      </c>
      <c r="D241" s="7">
        <v>6</v>
      </c>
      <c r="E241" s="7">
        <v>0</v>
      </c>
      <c r="F241" s="7">
        <v>0</v>
      </c>
      <c r="G241" s="7">
        <v>0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7">
        <v>0</v>
      </c>
      <c r="AK241" s="7">
        <v>0</v>
      </c>
      <c r="AL241" s="7">
        <v>0</v>
      </c>
      <c r="AM241" s="7">
        <v>0</v>
      </c>
      <c r="AN241" s="7">
        <v>0</v>
      </c>
      <c r="AO241" s="7">
        <v>0</v>
      </c>
      <c r="AP241" s="7">
        <v>0</v>
      </c>
      <c r="AQ241" s="7">
        <v>0</v>
      </c>
      <c r="AR241" s="7">
        <v>0</v>
      </c>
      <c r="AS241" s="7">
        <v>0</v>
      </c>
      <c r="AT241" s="7">
        <v>0</v>
      </c>
      <c r="AU241" s="7">
        <v>0</v>
      </c>
      <c r="AV241" s="7">
        <v>0</v>
      </c>
      <c r="AW241" s="7">
        <v>0</v>
      </c>
      <c r="AX241" s="7">
        <v>0</v>
      </c>
      <c r="AY241" s="7">
        <v>0</v>
      </c>
      <c r="AZ241" s="7">
        <v>0</v>
      </c>
      <c r="BA241" s="7">
        <v>0</v>
      </c>
      <c r="BB241" s="7">
        <v>0</v>
      </c>
      <c r="BC241" s="7">
        <v>0</v>
      </c>
      <c r="BD241" s="7">
        <v>0</v>
      </c>
      <c r="BE241" s="7">
        <v>0</v>
      </c>
      <c r="BF241" s="7">
        <v>0</v>
      </c>
      <c r="BG241" s="7">
        <v>0</v>
      </c>
      <c r="BH241" s="7">
        <v>0</v>
      </c>
      <c r="BI241" s="7">
        <v>0</v>
      </c>
      <c r="BJ241" s="21"/>
    </row>
    <row r="242" spans="1:62" ht="15.6" x14ac:dyDescent="0.3">
      <c r="A242" s="5" t="s">
        <v>429</v>
      </c>
      <c r="B242" s="5" t="s">
        <v>430</v>
      </c>
      <c r="C242" s="7">
        <v>6</v>
      </c>
      <c r="D242" s="7">
        <v>6</v>
      </c>
      <c r="E242" s="7">
        <v>0</v>
      </c>
      <c r="F242" s="7">
        <v>0</v>
      </c>
      <c r="G242" s="7">
        <v>0</v>
      </c>
      <c r="H242" s="7">
        <v>0</v>
      </c>
      <c r="I242" s="7">
        <v>0</v>
      </c>
      <c r="J242" s="7">
        <v>0</v>
      </c>
      <c r="K242" s="7">
        <v>0</v>
      </c>
      <c r="L242" s="7">
        <v>0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0</v>
      </c>
      <c r="S242" s="7">
        <v>0</v>
      </c>
      <c r="T242" s="7">
        <v>0</v>
      </c>
      <c r="U242" s="7">
        <v>0</v>
      </c>
      <c r="V242" s="7">
        <v>0</v>
      </c>
      <c r="W242" s="7">
        <v>0</v>
      </c>
      <c r="X242" s="7">
        <v>0</v>
      </c>
      <c r="Y242" s="7">
        <v>0</v>
      </c>
      <c r="Z242" s="7">
        <v>0</v>
      </c>
      <c r="AA242" s="7">
        <v>0</v>
      </c>
      <c r="AB242" s="7">
        <v>0</v>
      </c>
      <c r="AC242" s="7">
        <v>0</v>
      </c>
      <c r="AD242" s="7">
        <v>0</v>
      </c>
      <c r="AE242" s="7">
        <v>0</v>
      </c>
      <c r="AF242" s="7">
        <v>0</v>
      </c>
      <c r="AG242" s="7">
        <v>0</v>
      </c>
      <c r="AH242" s="7">
        <v>0</v>
      </c>
      <c r="AI242" s="7">
        <v>0</v>
      </c>
      <c r="AJ242" s="7">
        <v>0</v>
      </c>
      <c r="AK242" s="7">
        <v>0</v>
      </c>
      <c r="AL242" s="7">
        <v>0</v>
      </c>
      <c r="AM242" s="7">
        <v>0</v>
      </c>
      <c r="AN242" s="7">
        <v>0</v>
      </c>
      <c r="AO242" s="7">
        <v>0</v>
      </c>
      <c r="AP242" s="7">
        <v>0</v>
      </c>
      <c r="AQ242" s="7">
        <v>0</v>
      </c>
      <c r="AR242" s="7">
        <v>0</v>
      </c>
      <c r="AS242" s="7">
        <v>0</v>
      </c>
      <c r="AT242" s="7">
        <v>0</v>
      </c>
      <c r="AU242" s="7">
        <v>0</v>
      </c>
      <c r="AV242" s="7">
        <v>0</v>
      </c>
      <c r="AW242" s="7">
        <v>0</v>
      </c>
      <c r="AX242" s="7">
        <v>0</v>
      </c>
      <c r="AY242" s="7">
        <v>0</v>
      </c>
      <c r="AZ242" s="7">
        <v>0</v>
      </c>
      <c r="BA242" s="7">
        <v>0</v>
      </c>
      <c r="BB242" s="7">
        <v>0</v>
      </c>
      <c r="BC242" s="7">
        <v>0</v>
      </c>
      <c r="BD242" s="7">
        <v>0</v>
      </c>
      <c r="BE242" s="7">
        <v>0</v>
      </c>
      <c r="BF242" s="7">
        <v>0</v>
      </c>
      <c r="BG242" s="7">
        <v>0</v>
      </c>
      <c r="BH242" s="7">
        <v>0</v>
      </c>
      <c r="BI242" s="7">
        <v>0</v>
      </c>
      <c r="BJ242" s="21"/>
    </row>
    <row r="243" spans="1:62" ht="15.6" x14ac:dyDescent="0.3">
      <c r="A243" s="5" t="s">
        <v>431</v>
      </c>
      <c r="B243" s="5" t="s">
        <v>432</v>
      </c>
      <c r="C243" s="7">
        <v>6</v>
      </c>
      <c r="D243" s="7">
        <v>6</v>
      </c>
      <c r="E243" s="7">
        <v>0</v>
      </c>
      <c r="F243" s="7">
        <v>0</v>
      </c>
      <c r="G243" s="7">
        <v>0</v>
      </c>
      <c r="H243" s="7">
        <v>0</v>
      </c>
      <c r="I243" s="7">
        <v>0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0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7">
        <v>0</v>
      </c>
      <c r="AK243" s="7">
        <v>0</v>
      </c>
      <c r="AL243" s="7">
        <v>0</v>
      </c>
      <c r="AM243" s="7">
        <v>0</v>
      </c>
      <c r="AN243" s="7">
        <v>0</v>
      </c>
      <c r="AO243" s="7">
        <v>0</v>
      </c>
      <c r="AP243" s="7">
        <v>0</v>
      </c>
      <c r="AQ243" s="7">
        <v>0</v>
      </c>
      <c r="AR243" s="7">
        <v>0</v>
      </c>
      <c r="AS243" s="7">
        <v>0</v>
      </c>
      <c r="AT243" s="7">
        <v>0</v>
      </c>
      <c r="AU243" s="7">
        <v>0</v>
      </c>
      <c r="AV243" s="7">
        <v>0</v>
      </c>
      <c r="AW243" s="7">
        <v>0</v>
      </c>
      <c r="AX243" s="7">
        <v>0</v>
      </c>
      <c r="AY243" s="7">
        <v>0</v>
      </c>
      <c r="AZ243" s="7">
        <v>0</v>
      </c>
      <c r="BA243" s="7">
        <v>0</v>
      </c>
      <c r="BB243" s="7">
        <v>0</v>
      </c>
      <c r="BC243" s="7">
        <v>0</v>
      </c>
      <c r="BD243" s="7">
        <v>0</v>
      </c>
      <c r="BE243" s="7">
        <v>0</v>
      </c>
      <c r="BF243" s="7">
        <v>0</v>
      </c>
      <c r="BG243" s="7">
        <v>0</v>
      </c>
      <c r="BH243" s="7">
        <v>0</v>
      </c>
      <c r="BI243" s="7">
        <v>0</v>
      </c>
      <c r="BJ243" s="21"/>
    </row>
    <row r="244" spans="1:62" ht="15.6" x14ac:dyDescent="0.3">
      <c r="A244" s="5" t="s">
        <v>433</v>
      </c>
      <c r="B244" s="5" t="s">
        <v>434</v>
      </c>
      <c r="C244" s="7">
        <v>6</v>
      </c>
      <c r="D244" s="7">
        <v>6</v>
      </c>
      <c r="E244" s="7">
        <v>0</v>
      </c>
      <c r="F244" s="7">
        <v>0</v>
      </c>
      <c r="G244" s="7">
        <v>0</v>
      </c>
      <c r="H244" s="7">
        <v>0</v>
      </c>
      <c r="I244" s="7">
        <v>0</v>
      </c>
      <c r="J244" s="7">
        <v>0</v>
      </c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>
        <v>0</v>
      </c>
      <c r="AI244" s="7">
        <v>0</v>
      </c>
      <c r="AJ244" s="7">
        <v>0</v>
      </c>
      <c r="AK244" s="7">
        <v>0</v>
      </c>
      <c r="AL244" s="7">
        <v>0</v>
      </c>
      <c r="AM244" s="7">
        <v>0</v>
      </c>
      <c r="AN244" s="7">
        <v>0</v>
      </c>
      <c r="AO244" s="7">
        <v>0</v>
      </c>
      <c r="AP244" s="7">
        <v>0</v>
      </c>
      <c r="AQ244" s="7">
        <v>0</v>
      </c>
      <c r="AR244" s="7">
        <v>0</v>
      </c>
      <c r="AS244" s="7">
        <v>0</v>
      </c>
      <c r="AT244" s="7">
        <v>0</v>
      </c>
      <c r="AU244" s="7">
        <v>0</v>
      </c>
      <c r="AV244" s="7">
        <v>0</v>
      </c>
      <c r="AW244" s="7">
        <v>0</v>
      </c>
      <c r="AX244" s="7">
        <v>0</v>
      </c>
      <c r="AY244" s="7">
        <v>0</v>
      </c>
      <c r="AZ244" s="7">
        <v>0</v>
      </c>
      <c r="BA244" s="7">
        <v>0</v>
      </c>
      <c r="BB244" s="7">
        <v>0</v>
      </c>
      <c r="BC244" s="7">
        <v>0</v>
      </c>
      <c r="BD244" s="7">
        <v>0</v>
      </c>
      <c r="BE244" s="7">
        <v>0</v>
      </c>
      <c r="BF244" s="7">
        <v>0</v>
      </c>
      <c r="BG244" s="7">
        <v>0</v>
      </c>
      <c r="BH244" s="7">
        <v>0</v>
      </c>
      <c r="BI244" s="7">
        <v>0</v>
      </c>
      <c r="BJ244" s="21"/>
    </row>
    <row r="245" spans="1:62" ht="15.6" x14ac:dyDescent="0.3">
      <c r="A245" s="5" t="s">
        <v>435</v>
      </c>
      <c r="B245" s="5" t="s">
        <v>436</v>
      </c>
      <c r="C245" s="7">
        <v>6</v>
      </c>
      <c r="D245" s="7">
        <v>6</v>
      </c>
      <c r="E245" s="7">
        <v>0</v>
      </c>
      <c r="F245" s="7">
        <v>0</v>
      </c>
      <c r="G245" s="7">
        <v>0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0</v>
      </c>
      <c r="U245" s="7">
        <v>0</v>
      </c>
      <c r="V245" s="7">
        <v>0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7">
        <v>0</v>
      </c>
      <c r="AK245" s="7">
        <v>0</v>
      </c>
      <c r="AL245" s="7">
        <v>0</v>
      </c>
      <c r="AM245" s="7">
        <v>0</v>
      </c>
      <c r="AN245" s="7">
        <v>0</v>
      </c>
      <c r="AO245" s="7">
        <v>0</v>
      </c>
      <c r="AP245" s="7">
        <v>0</v>
      </c>
      <c r="AQ245" s="7">
        <v>0</v>
      </c>
      <c r="AR245" s="7">
        <v>0</v>
      </c>
      <c r="AS245" s="7">
        <v>0</v>
      </c>
      <c r="AT245" s="7">
        <v>0</v>
      </c>
      <c r="AU245" s="7">
        <v>0</v>
      </c>
      <c r="AV245" s="7">
        <v>0</v>
      </c>
      <c r="AW245" s="7">
        <v>0</v>
      </c>
      <c r="AX245" s="7">
        <v>0</v>
      </c>
      <c r="AY245" s="7">
        <v>0</v>
      </c>
      <c r="AZ245" s="7">
        <v>0</v>
      </c>
      <c r="BA245" s="7">
        <v>0</v>
      </c>
      <c r="BB245" s="7">
        <v>0</v>
      </c>
      <c r="BC245" s="7">
        <v>0</v>
      </c>
      <c r="BD245" s="7">
        <v>0</v>
      </c>
      <c r="BE245" s="7">
        <v>0</v>
      </c>
      <c r="BF245" s="7">
        <v>0</v>
      </c>
      <c r="BG245" s="7">
        <v>0</v>
      </c>
      <c r="BH245" s="7">
        <v>0</v>
      </c>
      <c r="BI245" s="7">
        <v>0</v>
      </c>
      <c r="BJ245" s="21"/>
    </row>
    <row r="246" spans="1:62" ht="15.6" x14ac:dyDescent="0.3">
      <c r="A246" s="5" t="s">
        <v>437</v>
      </c>
      <c r="B246" s="5" t="s">
        <v>438</v>
      </c>
      <c r="C246" s="7">
        <v>6</v>
      </c>
      <c r="D246" s="7">
        <v>6</v>
      </c>
      <c r="E246" s="7">
        <v>0</v>
      </c>
      <c r="F246" s="7">
        <v>0</v>
      </c>
      <c r="G246" s="7">
        <v>0</v>
      </c>
      <c r="H246" s="7">
        <v>0</v>
      </c>
      <c r="I246" s="7">
        <v>0</v>
      </c>
      <c r="J246" s="7">
        <v>0</v>
      </c>
      <c r="K246" s="7">
        <v>0</v>
      </c>
      <c r="L246" s="7">
        <v>0</v>
      </c>
      <c r="M246" s="7">
        <v>0</v>
      </c>
      <c r="N246" s="7">
        <v>0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0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0</v>
      </c>
      <c r="AB246" s="7">
        <v>0</v>
      </c>
      <c r="AC246" s="7">
        <v>0</v>
      </c>
      <c r="AD246" s="7">
        <v>0</v>
      </c>
      <c r="AE246" s="7">
        <v>0</v>
      </c>
      <c r="AF246" s="7">
        <v>0</v>
      </c>
      <c r="AG246" s="7">
        <v>0</v>
      </c>
      <c r="AH246" s="7">
        <v>0</v>
      </c>
      <c r="AI246" s="7">
        <v>0</v>
      </c>
      <c r="AJ246" s="7">
        <v>0</v>
      </c>
      <c r="AK246" s="7">
        <v>0</v>
      </c>
      <c r="AL246" s="7">
        <v>0</v>
      </c>
      <c r="AM246" s="7">
        <v>0</v>
      </c>
      <c r="AN246" s="7">
        <v>0</v>
      </c>
      <c r="AO246" s="7">
        <v>0</v>
      </c>
      <c r="AP246" s="7">
        <v>0</v>
      </c>
      <c r="AQ246" s="7">
        <v>0</v>
      </c>
      <c r="AR246" s="7">
        <v>0</v>
      </c>
      <c r="AS246" s="7">
        <v>0</v>
      </c>
      <c r="AT246" s="7">
        <v>0</v>
      </c>
      <c r="AU246" s="7">
        <v>0</v>
      </c>
      <c r="AV246" s="7">
        <v>0</v>
      </c>
      <c r="AW246" s="7">
        <v>0</v>
      </c>
      <c r="AX246" s="7">
        <v>0</v>
      </c>
      <c r="AY246" s="7">
        <v>0</v>
      </c>
      <c r="AZ246" s="7">
        <v>0</v>
      </c>
      <c r="BA246" s="7">
        <v>0</v>
      </c>
      <c r="BB246" s="7">
        <v>0</v>
      </c>
      <c r="BC246" s="7">
        <v>0</v>
      </c>
      <c r="BD246" s="7">
        <v>0</v>
      </c>
      <c r="BE246" s="7">
        <v>0</v>
      </c>
      <c r="BF246" s="7">
        <v>0</v>
      </c>
      <c r="BG246" s="7">
        <v>0</v>
      </c>
      <c r="BH246" s="7">
        <v>0</v>
      </c>
      <c r="BI246" s="7">
        <v>0</v>
      </c>
      <c r="BJ246" s="21"/>
    </row>
    <row r="247" spans="1:62" ht="15.6" x14ac:dyDescent="0.3">
      <c r="A247" s="5" t="s">
        <v>439</v>
      </c>
      <c r="B247" s="5" t="s">
        <v>440</v>
      </c>
      <c r="C247" s="7">
        <v>6</v>
      </c>
      <c r="D247" s="7">
        <v>6</v>
      </c>
      <c r="E247" s="7">
        <v>0</v>
      </c>
      <c r="F247" s="7">
        <v>0</v>
      </c>
      <c r="G247" s="7">
        <v>0</v>
      </c>
      <c r="H247" s="7">
        <v>0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7">
        <v>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7">
        <v>0</v>
      </c>
      <c r="AK247" s="7">
        <v>0</v>
      </c>
      <c r="AL247" s="7">
        <v>0</v>
      </c>
      <c r="AM247" s="7">
        <v>0</v>
      </c>
      <c r="AN247" s="7">
        <v>0</v>
      </c>
      <c r="AO247" s="7">
        <v>0</v>
      </c>
      <c r="AP247" s="7">
        <v>0</v>
      </c>
      <c r="AQ247" s="7">
        <v>0</v>
      </c>
      <c r="AR247" s="7">
        <v>0</v>
      </c>
      <c r="AS247" s="7">
        <v>0</v>
      </c>
      <c r="AT247" s="7">
        <v>0</v>
      </c>
      <c r="AU247" s="7">
        <v>0</v>
      </c>
      <c r="AV247" s="7">
        <v>0</v>
      </c>
      <c r="AW247" s="7">
        <v>0</v>
      </c>
      <c r="AX247" s="7">
        <v>0</v>
      </c>
      <c r="AY247" s="7">
        <v>0</v>
      </c>
      <c r="AZ247" s="7">
        <v>0</v>
      </c>
      <c r="BA247" s="7">
        <v>0</v>
      </c>
      <c r="BB247" s="7">
        <v>0</v>
      </c>
      <c r="BC247" s="7">
        <v>0</v>
      </c>
      <c r="BD247" s="7">
        <v>0</v>
      </c>
      <c r="BE247" s="7">
        <v>0</v>
      </c>
      <c r="BF247" s="7">
        <v>0</v>
      </c>
      <c r="BG247" s="7">
        <v>0</v>
      </c>
      <c r="BH247" s="7">
        <v>0</v>
      </c>
      <c r="BI247" s="7">
        <v>0</v>
      </c>
      <c r="BJ247" s="21"/>
    </row>
    <row r="248" spans="1:62" ht="15.6" x14ac:dyDescent="0.3">
      <c r="A248" s="5" t="s">
        <v>441</v>
      </c>
      <c r="B248" s="5" t="s">
        <v>442</v>
      </c>
      <c r="C248" s="7">
        <v>6</v>
      </c>
      <c r="D248" s="7">
        <v>6</v>
      </c>
      <c r="E248" s="7">
        <v>0</v>
      </c>
      <c r="F248" s="7">
        <v>0</v>
      </c>
      <c r="G248" s="7">
        <v>0</v>
      </c>
      <c r="H248" s="7">
        <v>0</v>
      </c>
      <c r="I248" s="7">
        <v>0</v>
      </c>
      <c r="J248" s="7">
        <v>0</v>
      </c>
      <c r="K248" s="7">
        <v>0</v>
      </c>
      <c r="L248" s="7">
        <v>0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0</v>
      </c>
      <c r="S248" s="7">
        <v>0</v>
      </c>
      <c r="T248" s="7">
        <v>0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>
        <v>0</v>
      </c>
      <c r="AI248" s="7">
        <v>0</v>
      </c>
      <c r="AJ248" s="7">
        <v>0</v>
      </c>
      <c r="AK248" s="7">
        <v>0</v>
      </c>
      <c r="AL248" s="7">
        <v>0</v>
      </c>
      <c r="AM248" s="7">
        <v>0</v>
      </c>
      <c r="AN248" s="7">
        <v>0</v>
      </c>
      <c r="AO248" s="7">
        <v>0</v>
      </c>
      <c r="AP248" s="7">
        <v>0</v>
      </c>
      <c r="AQ248" s="7">
        <v>0</v>
      </c>
      <c r="AR248" s="7">
        <v>0</v>
      </c>
      <c r="AS248" s="7">
        <v>0</v>
      </c>
      <c r="AT248" s="7">
        <v>0</v>
      </c>
      <c r="AU248" s="7">
        <v>0</v>
      </c>
      <c r="AV248" s="7">
        <v>0</v>
      </c>
      <c r="AW248" s="7">
        <v>0</v>
      </c>
      <c r="AX248" s="7">
        <v>0</v>
      </c>
      <c r="AY248" s="7">
        <v>0</v>
      </c>
      <c r="AZ248" s="7">
        <v>0</v>
      </c>
      <c r="BA248" s="7">
        <v>0</v>
      </c>
      <c r="BB248" s="7">
        <v>0</v>
      </c>
      <c r="BC248" s="7">
        <v>0</v>
      </c>
      <c r="BD248" s="7">
        <v>0</v>
      </c>
      <c r="BE248" s="7">
        <v>0</v>
      </c>
      <c r="BF248" s="7">
        <v>0</v>
      </c>
      <c r="BG248" s="7">
        <v>0</v>
      </c>
      <c r="BH248" s="7">
        <v>0</v>
      </c>
      <c r="BI248" s="7">
        <v>0</v>
      </c>
      <c r="BJ248" s="21"/>
    </row>
    <row r="249" spans="1:62" ht="15.6" x14ac:dyDescent="0.3">
      <c r="A249" s="5" t="s">
        <v>443</v>
      </c>
      <c r="B249" s="5" t="s">
        <v>444</v>
      </c>
      <c r="C249" s="7">
        <v>6</v>
      </c>
      <c r="D249" s="7">
        <v>6</v>
      </c>
      <c r="E249" s="7">
        <v>0</v>
      </c>
      <c r="F249" s="7">
        <v>0</v>
      </c>
      <c r="G249" s="7">
        <v>0</v>
      </c>
      <c r="H249" s="7">
        <v>0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7">
        <v>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7">
        <v>0</v>
      </c>
      <c r="AK249" s="7">
        <v>0</v>
      </c>
      <c r="AL249" s="7">
        <v>0</v>
      </c>
      <c r="AM249" s="7">
        <v>0</v>
      </c>
      <c r="AN249" s="7">
        <v>0</v>
      </c>
      <c r="AO249" s="7">
        <v>0</v>
      </c>
      <c r="AP249" s="7">
        <v>0</v>
      </c>
      <c r="AQ249" s="7">
        <v>0</v>
      </c>
      <c r="AR249" s="7">
        <v>0</v>
      </c>
      <c r="AS249" s="7">
        <v>0</v>
      </c>
      <c r="AT249" s="7">
        <v>0</v>
      </c>
      <c r="AU249" s="7">
        <v>0</v>
      </c>
      <c r="AV249" s="7">
        <v>0</v>
      </c>
      <c r="AW249" s="7">
        <v>0</v>
      </c>
      <c r="AX249" s="7">
        <v>0</v>
      </c>
      <c r="AY249" s="7">
        <v>0</v>
      </c>
      <c r="AZ249" s="7">
        <v>0</v>
      </c>
      <c r="BA249" s="7">
        <v>0</v>
      </c>
      <c r="BB249" s="7">
        <v>0</v>
      </c>
      <c r="BC249" s="7">
        <v>0</v>
      </c>
      <c r="BD249" s="7">
        <v>0</v>
      </c>
      <c r="BE249" s="7">
        <v>0</v>
      </c>
      <c r="BF249" s="7">
        <v>0</v>
      </c>
      <c r="BG249" s="7">
        <v>0</v>
      </c>
      <c r="BH249" s="7">
        <v>0</v>
      </c>
      <c r="BI249" s="7">
        <v>0</v>
      </c>
      <c r="BJ249" s="21"/>
    </row>
    <row r="250" spans="1:62" ht="15.6" x14ac:dyDescent="0.3">
      <c r="A250" s="5" t="s">
        <v>445</v>
      </c>
      <c r="B250" s="5" t="s">
        <v>446</v>
      </c>
      <c r="C250" s="7">
        <v>6</v>
      </c>
      <c r="D250" s="7">
        <v>6</v>
      </c>
      <c r="E250" s="7">
        <v>0</v>
      </c>
      <c r="F250" s="7">
        <v>0</v>
      </c>
      <c r="G250" s="7">
        <v>0</v>
      </c>
      <c r="H250" s="7">
        <v>0</v>
      </c>
      <c r="I250" s="7">
        <v>0</v>
      </c>
      <c r="J250" s="7">
        <v>0</v>
      </c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>
        <v>0</v>
      </c>
      <c r="AI250" s="7">
        <v>0</v>
      </c>
      <c r="AJ250" s="7">
        <v>0</v>
      </c>
      <c r="AK250" s="7">
        <v>0</v>
      </c>
      <c r="AL250" s="7">
        <v>0</v>
      </c>
      <c r="AM250" s="7">
        <v>0</v>
      </c>
      <c r="AN250" s="7">
        <v>0</v>
      </c>
      <c r="AO250" s="7">
        <v>0</v>
      </c>
      <c r="AP250" s="7">
        <v>0</v>
      </c>
      <c r="AQ250" s="7">
        <v>0</v>
      </c>
      <c r="AR250" s="7">
        <v>0</v>
      </c>
      <c r="AS250" s="7">
        <v>0</v>
      </c>
      <c r="AT250" s="7">
        <v>0</v>
      </c>
      <c r="AU250" s="7">
        <v>0</v>
      </c>
      <c r="AV250" s="7">
        <v>0</v>
      </c>
      <c r="AW250" s="7">
        <v>0</v>
      </c>
      <c r="AX250" s="7">
        <v>0</v>
      </c>
      <c r="AY250" s="7">
        <v>0</v>
      </c>
      <c r="AZ250" s="7">
        <v>0</v>
      </c>
      <c r="BA250" s="7">
        <v>0</v>
      </c>
      <c r="BB250" s="7">
        <v>0</v>
      </c>
      <c r="BC250" s="7">
        <v>0</v>
      </c>
      <c r="BD250" s="7">
        <v>0</v>
      </c>
      <c r="BE250" s="7">
        <v>0</v>
      </c>
      <c r="BF250" s="7">
        <v>0</v>
      </c>
      <c r="BG250" s="7">
        <v>0</v>
      </c>
      <c r="BH250" s="7">
        <v>0</v>
      </c>
      <c r="BI250" s="7">
        <v>0</v>
      </c>
      <c r="BJ250" s="21"/>
    </row>
    <row r="251" spans="1:62" ht="15.6" x14ac:dyDescent="0.3">
      <c r="A251" s="5" t="s">
        <v>447</v>
      </c>
      <c r="B251" s="5" t="s">
        <v>448</v>
      </c>
      <c r="C251" s="7">
        <v>6</v>
      </c>
      <c r="D251" s="7">
        <v>6</v>
      </c>
      <c r="E251" s="7">
        <v>0</v>
      </c>
      <c r="F251" s="7">
        <v>0</v>
      </c>
      <c r="G251" s="7">
        <v>0</v>
      </c>
      <c r="H251" s="7">
        <v>0</v>
      </c>
      <c r="I251" s="7">
        <v>0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0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7">
        <v>0</v>
      </c>
      <c r="AK251" s="7">
        <v>0</v>
      </c>
      <c r="AL251" s="7">
        <v>0</v>
      </c>
      <c r="AM251" s="7">
        <v>0</v>
      </c>
      <c r="AN251" s="7">
        <v>0</v>
      </c>
      <c r="AO251" s="7">
        <v>0</v>
      </c>
      <c r="AP251" s="7">
        <v>0</v>
      </c>
      <c r="AQ251" s="7">
        <v>0</v>
      </c>
      <c r="AR251" s="7">
        <v>0</v>
      </c>
      <c r="AS251" s="7">
        <v>0</v>
      </c>
      <c r="AT251" s="7">
        <v>0</v>
      </c>
      <c r="AU251" s="7">
        <v>0</v>
      </c>
      <c r="AV251" s="7">
        <v>0</v>
      </c>
      <c r="AW251" s="7">
        <v>0</v>
      </c>
      <c r="AX251" s="7">
        <v>0</v>
      </c>
      <c r="AY251" s="7">
        <v>0</v>
      </c>
      <c r="AZ251" s="7">
        <v>0</v>
      </c>
      <c r="BA251" s="7">
        <v>0</v>
      </c>
      <c r="BB251" s="7">
        <v>0</v>
      </c>
      <c r="BC251" s="7">
        <v>0</v>
      </c>
      <c r="BD251" s="7">
        <v>0</v>
      </c>
      <c r="BE251" s="7">
        <v>0</v>
      </c>
      <c r="BF251" s="7">
        <v>0</v>
      </c>
      <c r="BG251" s="7">
        <v>0</v>
      </c>
      <c r="BH251" s="7">
        <v>0</v>
      </c>
      <c r="BI251" s="7">
        <v>0</v>
      </c>
      <c r="BJ251" s="21"/>
    </row>
    <row r="252" spans="1:62" ht="15.6" x14ac:dyDescent="0.3">
      <c r="A252" s="5" t="s">
        <v>449</v>
      </c>
      <c r="B252" s="5" t="s">
        <v>450</v>
      </c>
      <c r="C252" s="7">
        <v>6</v>
      </c>
      <c r="D252" s="7">
        <v>6</v>
      </c>
      <c r="E252" s="7">
        <v>0</v>
      </c>
      <c r="F252" s="7">
        <v>0</v>
      </c>
      <c r="G252" s="7">
        <v>0</v>
      </c>
      <c r="H252" s="7">
        <v>0</v>
      </c>
      <c r="I252" s="7">
        <v>0</v>
      </c>
      <c r="J252" s="7">
        <v>0</v>
      </c>
      <c r="K252" s="7">
        <v>0</v>
      </c>
      <c r="L252" s="7">
        <v>0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0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0</v>
      </c>
      <c r="AB252" s="7">
        <v>0</v>
      </c>
      <c r="AC252" s="7">
        <v>0</v>
      </c>
      <c r="AD252" s="7">
        <v>0</v>
      </c>
      <c r="AE252" s="7">
        <v>0</v>
      </c>
      <c r="AF252" s="7">
        <v>0</v>
      </c>
      <c r="AG252" s="7">
        <v>0</v>
      </c>
      <c r="AH252" s="7">
        <v>0</v>
      </c>
      <c r="AI252" s="7">
        <v>0</v>
      </c>
      <c r="AJ252" s="7">
        <v>0</v>
      </c>
      <c r="AK252" s="7">
        <v>0</v>
      </c>
      <c r="AL252" s="7">
        <v>0</v>
      </c>
      <c r="AM252" s="7">
        <v>0</v>
      </c>
      <c r="AN252" s="7">
        <v>0</v>
      </c>
      <c r="AO252" s="7">
        <v>0</v>
      </c>
      <c r="AP252" s="7">
        <v>0</v>
      </c>
      <c r="AQ252" s="7">
        <v>0</v>
      </c>
      <c r="AR252" s="7">
        <v>0</v>
      </c>
      <c r="AS252" s="7">
        <v>0</v>
      </c>
      <c r="AT252" s="7">
        <v>0</v>
      </c>
      <c r="AU252" s="7">
        <v>0</v>
      </c>
      <c r="AV252" s="7">
        <v>0</v>
      </c>
      <c r="AW252" s="7">
        <v>0</v>
      </c>
      <c r="AX252" s="7">
        <v>0</v>
      </c>
      <c r="AY252" s="7">
        <v>0</v>
      </c>
      <c r="AZ252" s="7">
        <v>0</v>
      </c>
      <c r="BA252" s="7">
        <v>0</v>
      </c>
      <c r="BB252" s="7">
        <v>0</v>
      </c>
      <c r="BC252" s="7">
        <v>0</v>
      </c>
      <c r="BD252" s="7">
        <v>0</v>
      </c>
      <c r="BE252" s="7">
        <v>0</v>
      </c>
      <c r="BF252" s="7">
        <v>0</v>
      </c>
      <c r="BG252" s="7">
        <v>0</v>
      </c>
      <c r="BH252" s="7">
        <v>0</v>
      </c>
      <c r="BI252" s="7">
        <v>0</v>
      </c>
      <c r="BJ252" s="21"/>
    </row>
    <row r="253" spans="1:62" ht="15.6" x14ac:dyDescent="0.3">
      <c r="A253" s="5" t="s">
        <v>451</v>
      </c>
      <c r="B253" s="5" t="s">
        <v>452</v>
      </c>
      <c r="C253" s="7">
        <v>6</v>
      </c>
      <c r="D253" s="7">
        <v>6</v>
      </c>
      <c r="E253" s="7">
        <v>0</v>
      </c>
      <c r="F253" s="7">
        <v>0</v>
      </c>
      <c r="G253" s="7">
        <v>0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7">
        <v>0</v>
      </c>
      <c r="U253" s="7">
        <v>0</v>
      </c>
      <c r="V253" s="7">
        <v>0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7">
        <v>0</v>
      </c>
      <c r="AK253" s="7">
        <v>0</v>
      </c>
      <c r="AL253" s="7">
        <v>0</v>
      </c>
      <c r="AM253" s="7">
        <v>0</v>
      </c>
      <c r="AN253" s="7">
        <v>0</v>
      </c>
      <c r="AO253" s="7">
        <v>0</v>
      </c>
      <c r="AP253" s="7">
        <v>0</v>
      </c>
      <c r="AQ253" s="7">
        <v>0</v>
      </c>
      <c r="AR253" s="7">
        <v>0</v>
      </c>
      <c r="AS253" s="7">
        <v>0</v>
      </c>
      <c r="AT253" s="7">
        <v>0</v>
      </c>
      <c r="AU253" s="7">
        <v>0</v>
      </c>
      <c r="AV253" s="7">
        <v>0</v>
      </c>
      <c r="AW253" s="7">
        <v>0</v>
      </c>
      <c r="AX253" s="7">
        <v>0</v>
      </c>
      <c r="AY253" s="7">
        <v>0</v>
      </c>
      <c r="AZ253" s="7">
        <v>0</v>
      </c>
      <c r="BA253" s="7">
        <v>0</v>
      </c>
      <c r="BB253" s="7">
        <v>0</v>
      </c>
      <c r="BC253" s="7">
        <v>0</v>
      </c>
      <c r="BD253" s="7">
        <v>0</v>
      </c>
      <c r="BE253" s="7">
        <v>0</v>
      </c>
      <c r="BF253" s="7">
        <v>0</v>
      </c>
      <c r="BG253" s="7">
        <v>0</v>
      </c>
      <c r="BH253" s="7">
        <v>0</v>
      </c>
      <c r="BI253" s="7">
        <v>0</v>
      </c>
      <c r="BJ253" s="21"/>
    </row>
    <row r="254" spans="1:62" ht="15.6" x14ac:dyDescent="0.3">
      <c r="A254" s="5" t="s">
        <v>453</v>
      </c>
      <c r="B254" s="5" t="s">
        <v>454</v>
      </c>
      <c r="C254" s="7">
        <v>6</v>
      </c>
      <c r="D254" s="7">
        <v>6</v>
      </c>
      <c r="E254" s="7">
        <v>0</v>
      </c>
      <c r="F254" s="7">
        <v>0</v>
      </c>
      <c r="G254" s="7">
        <v>0</v>
      </c>
      <c r="H254" s="7">
        <v>0</v>
      </c>
      <c r="I254" s="7">
        <v>0</v>
      </c>
      <c r="J254" s="7">
        <v>0</v>
      </c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0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>
        <v>0</v>
      </c>
      <c r="AI254" s="7">
        <v>0</v>
      </c>
      <c r="AJ254" s="7">
        <v>0</v>
      </c>
      <c r="AK254" s="7">
        <v>0</v>
      </c>
      <c r="AL254" s="7">
        <v>0</v>
      </c>
      <c r="AM254" s="7">
        <v>0</v>
      </c>
      <c r="AN254" s="7">
        <v>0</v>
      </c>
      <c r="AO254" s="7">
        <v>0</v>
      </c>
      <c r="AP254" s="7">
        <v>0</v>
      </c>
      <c r="AQ254" s="7">
        <v>0</v>
      </c>
      <c r="AR254" s="7">
        <v>0</v>
      </c>
      <c r="AS254" s="7">
        <v>0</v>
      </c>
      <c r="AT254" s="7">
        <v>0</v>
      </c>
      <c r="AU254" s="7">
        <v>0</v>
      </c>
      <c r="AV254" s="7">
        <v>0</v>
      </c>
      <c r="AW254" s="7">
        <v>0</v>
      </c>
      <c r="AX254" s="7">
        <v>0</v>
      </c>
      <c r="AY254" s="7">
        <v>0</v>
      </c>
      <c r="AZ254" s="7">
        <v>0</v>
      </c>
      <c r="BA254" s="7">
        <v>0</v>
      </c>
      <c r="BB254" s="7">
        <v>0</v>
      </c>
      <c r="BC254" s="7">
        <v>0</v>
      </c>
      <c r="BD254" s="7">
        <v>0</v>
      </c>
      <c r="BE254" s="7">
        <v>0</v>
      </c>
      <c r="BF254" s="7">
        <v>0</v>
      </c>
      <c r="BG254" s="7">
        <v>0</v>
      </c>
      <c r="BH254" s="7">
        <v>0</v>
      </c>
      <c r="BI254" s="7">
        <v>0</v>
      </c>
      <c r="BJ254" s="21"/>
    </row>
    <row r="255" spans="1:62" ht="15.6" x14ac:dyDescent="0.3">
      <c r="A255" s="5" t="s">
        <v>455</v>
      </c>
      <c r="B255" s="5" t="s">
        <v>456</v>
      </c>
      <c r="C255" s="7">
        <v>6</v>
      </c>
      <c r="D255" s="7">
        <v>6</v>
      </c>
      <c r="E255" s="7">
        <v>0</v>
      </c>
      <c r="F255" s="7">
        <v>0</v>
      </c>
      <c r="G255" s="7">
        <v>0</v>
      </c>
      <c r="H255" s="7">
        <v>0</v>
      </c>
      <c r="I255" s="7">
        <v>0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7">
        <v>0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7">
        <v>0</v>
      </c>
      <c r="AK255" s="7">
        <v>0</v>
      </c>
      <c r="AL255" s="7">
        <v>0</v>
      </c>
      <c r="AM255" s="7">
        <v>0</v>
      </c>
      <c r="AN255" s="7">
        <v>0</v>
      </c>
      <c r="AO255" s="7">
        <v>0</v>
      </c>
      <c r="AP255" s="7">
        <v>0</v>
      </c>
      <c r="AQ255" s="7">
        <v>0</v>
      </c>
      <c r="AR255" s="7">
        <v>0</v>
      </c>
      <c r="AS255" s="7">
        <v>0</v>
      </c>
      <c r="AT255" s="7">
        <v>0</v>
      </c>
      <c r="AU255" s="7">
        <v>0</v>
      </c>
      <c r="AV255" s="7">
        <v>0</v>
      </c>
      <c r="AW255" s="7">
        <v>0</v>
      </c>
      <c r="AX255" s="7">
        <v>0</v>
      </c>
      <c r="AY255" s="7">
        <v>0</v>
      </c>
      <c r="AZ255" s="7">
        <v>0</v>
      </c>
      <c r="BA255" s="7">
        <v>0</v>
      </c>
      <c r="BB255" s="7">
        <v>0</v>
      </c>
      <c r="BC255" s="7">
        <v>0</v>
      </c>
      <c r="BD255" s="7">
        <v>0</v>
      </c>
      <c r="BE255" s="7">
        <v>0</v>
      </c>
      <c r="BF255" s="7">
        <v>0</v>
      </c>
      <c r="BG255" s="7">
        <v>0</v>
      </c>
      <c r="BH255" s="7">
        <v>0</v>
      </c>
      <c r="BI255" s="7">
        <v>0</v>
      </c>
      <c r="BJ255" s="21"/>
    </row>
    <row r="256" spans="1:62" ht="15.6" x14ac:dyDescent="0.3">
      <c r="A256" s="5" t="s">
        <v>457</v>
      </c>
      <c r="B256" s="5" t="s">
        <v>458</v>
      </c>
      <c r="C256" s="7">
        <v>6</v>
      </c>
      <c r="D256" s="7">
        <v>6</v>
      </c>
      <c r="E256" s="7">
        <v>0</v>
      </c>
      <c r="F256" s="7">
        <v>0</v>
      </c>
      <c r="G256" s="7">
        <v>0</v>
      </c>
      <c r="H256" s="7">
        <v>0</v>
      </c>
      <c r="I256" s="7">
        <v>0</v>
      </c>
      <c r="J256" s="7">
        <v>0</v>
      </c>
      <c r="K256" s="7">
        <v>0</v>
      </c>
      <c r="L256" s="7">
        <v>0</v>
      </c>
      <c r="M256" s="7">
        <v>2372.2489999999998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0</v>
      </c>
      <c r="U256" s="7">
        <v>0</v>
      </c>
      <c r="V256" s="7">
        <v>0</v>
      </c>
      <c r="W256" s="7">
        <v>0</v>
      </c>
      <c r="X256" s="7">
        <v>0</v>
      </c>
      <c r="Y256" s="7">
        <v>0</v>
      </c>
      <c r="Z256" s="7">
        <v>0</v>
      </c>
      <c r="AA256" s="7">
        <v>0</v>
      </c>
      <c r="AB256" s="7">
        <v>0</v>
      </c>
      <c r="AC256" s="7">
        <v>0</v>
      </c>
      <c r="AD256" s="7">
        <v>0</v>
      </c>
      <c r="AE256" s="7">
        <v>0</v>
      </c>
      <c r="AF256" s="7">
        <v>0</v>
      </c>
      <c r="AG256" s="7">
        <v>0</v>
      </c>
      <c r="AH256" s="7">
        <v>0</v>
      </c>
      <c r="AI256" s="7">
        <v>0</v>
      </c>
      <c r="AJ256" s="7">
        <v>0</v>
      </c>
      <c r="AK256" s="7">
        <v>0</v>
      </c>
      <c r="AL256" s="7">
        <v>0</v>
      </c>
      <c r="AM256" s="7">
        <v>0</v>
      </c>
      <c r="AN256" s="7">
        <v>0</v>
      </c>
      <c r="AO256" s="7">
        <v>0</v>
      </c>
      <c r="AP256" s="7">
        <v>0</v>
      </c>
      <c r="AQ256" s="7">
        <v>0</v>
      </c>
      <c r="AR256" s="7">
        <v>0</v>
      </c>
      <c r="AS256" s="7">
        <v>0</v>
      </c>
      <c r="AT256" s="7">
        <v>0</v>
      </c>
      <c r="AU256" s="7">
        <v>0</v>
      </c>
      <c r="AV256" s="7">
        <v>0</v>
      </c>
      <c r="AW256" s="7">
        <v>0</v>
      </c>
      <c r="AX256" s="7">
        <v>0</v>
      </c>
      <c r="AY256" s="7">
        <v>0</v>
      </c>
      <c r="AZ256" s="7">
        <v>0</v>
      </c>
      <c r="BA256" s="7">
        <v>0</v>
      </c>
      <c r="BB256" s="7">
        <v>0</v>
      </c>
      <c r="BC256" s="7">
        <v>0</v>
      </c>
      <c r="BD256" s="7">
        <v>0</v>
      </c>
      <c r="BE256" s="7">
        <v>0</v>
      </c>
      <c r="BF256" s="7">
        <v>0</v>
      </c>
      <c r="BG256" s="7">
        <v>0</v>
      </c>
      <c r="BH256" s="7">
        <v>0</v>
      </c>
      <c r="BI256" s="7">
        <v>0</v>
      </c>
      <c r="BJ256" s="21"/>
    </row>
    <row r="257" spans="1:62" ht="15.6" x14ac:dyDescent="0.3">
      <c r="A257" s="5" t="s">
        <v>459</v>
      </c>
      <c r="B257" s="5" t="s">
        <v>460</v>
      </c>
      <c r="C257" s="7">
        <v>6</v>
      </c>
      <c r="D257" s="7">
        <v>6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5478.4709999999995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21"/>
    </row>
    <row r="258" spans="1:62" ht="15.6" x14ac:dyDescent="0.3">
      <c r="A258" s="5" t="s">
        <v>461</v>
      </c>
      <c r="B258" s="5" t="s">
        <v>462</v>
      </c>
      <c r="C258" s="7">
        <v>6</v>
      </c>
      <c r="D258" s="7">
        <v>6</v>
      </c>
      <c r="E258" s="7">
        <v>0</v>
      </c>
      <c r="F258" s="7">
        <v>0</v>
      </c>
      <c r="G258" s="7">
        <v>0</v>
      </c>
      <c r="H258" s="7">
        <v>0</v>
      </c>
      <c r="I258" s="7">
        <v>0</v>
      </c>
      <c r="J258" s="7">
        <v>0</v>
      </c>
      <c r="K258" s="7">
        <v>0</v>
      </c>
      <c r="L258" s="7">
        <v>515.66999999999996</v>
      </c>
      <c r="M258" s="7">
        <v>0</v>
      </c>
      <c r="N258" s="7">
        <v>0</v>
      </c>
      <c r="O258" s="7">
        <v>0</v>
      </c>
      <c r="P258" s="7">
        <v>0</v>
      </c>
      <c r="Q258" s="7">
        <v>0</v>
      </c>
      <c r="R258" s="7">
        <v>0</v>
      </c>
      <c r="S258" s="7">
        <v>0</v>
      </c>
      <c r="T258" s="7">
        <v>0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0</v>
      </c>
      <c r="AB258" s="7">
        <v>0</v>
      </c>
      <c r="AC258" s="7">
        <v>0</v>
      </c>
      <c r="AD258" s="7">
        <v>0</v>
      </c>
      <c r="AE258" s="7">
        <v>0</v>
      </c>
      <c r="AF258" s="7">
        <v>0</v>
      </c>
      <c r="AG258" s="7">
        <v>0</v>
      </c>
      <c r="AH258" s="7">
        <v>404.60300000000001</v>
      </c>
      <c r="AI258" s="7">
        <v>0</v>
      </c>
      <c r="AJ258" s="7">
        <v>0</v>
      </c>
      <c r="AK258" s="7">
        <v>0</v>
      </c>
      <c r="AL258" s="7">
        <v>0</v>
      </c>
      <c r="AM258" s="7">
        <v>0</v>
      </c>
      <c r="AN258" s="7">
        <v>0</v>
      </c>
      <c r="AO258" s="7">
        <v>0</v>
      </c>
      <c r="AP258" s="7">
        <v>0</v>
      </c>
      <c r="AQ258" s="7">
        <v>0</v>
      </c>
      <c r="AR258" s="7">
        <v>0</v>
      </c>
      <c r="AS258" s="7">
        <v>0</v>
      </c>
      <c r="AT258" s="7">
        <v>0</v>
      </c>
      <c r="AU258" s="7">
        <v>0</v>
      </c>
      <c r="AV258" s="7">
        <v>0</v>
      </c>
      <c r="AW258" s="7">
        <v>0</v>
      </c>
      <c r="AX258" s="7">
        <v>0</v>
      </c>
      <c r="AY258" s="7">
        <v>0</v>
      </c>
      <c r="AZ258" s="7">
        <v>0</v>
      </c>
      <c r="BA258" s="7">
        <v>0</v>
      </c>
      <c r="BB258" s="7">
        <v>0</v>
      </c>
      <c r="BC258" s="7">
        <v>0</v>
      </c>
      <c r="BD258" s="7">
        <v>0</v>
      </c>
      <c r="BE258" s="7">
        <v>0</v>
      </c>
      <c r="BF258" s="7">
        <v>0</v>
      </c>
      <c r="BG258" s="7">
        <v>0</v>
      </c>
      <c r="BH258" s="7">
        <v>0</v>
      </c>
      <c r="BI258" s="7">
        <v>0</v>
      </c>
      <c r="BJ258" s="21"/>
    </row>
    <row r="259" spans="1:62" ht="15.6" x14ac:dyDescent="0.3">
      <c r="A259" s="5" t="s">
        <v>419</v>
      </c>
      <c r="B259" s="5" t="s">
        <v>463</v>
      </c>
      <c r="C259" s="7">
        <v>6</v>
      </c>
      <c r="D259" s="7">
        <v>6</v>
      </c>
      <c r="E259" s="7">
        <v>0</v>
      </c>
      <c r="F259" s="7">
        <v>0</v>
      </c>
      <c r="G259" s="7">
        <v>0</v>
      </c>
      <c r="H259" s="7">
        <v>0</v>
      </c>
      <c r="I259" s="7">
        <v>7.0000000000000001E-3</v>
      </c>
      <c r="J259" s="7">
        <v>0</v>
      </c>
      <c r="K259" s="7">
        <v>0</v>
      </c>
      <c r="L259" s="7">
        <v>3.9E-2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0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4.4999999999999998E-2</v>
      </c>
      <c r="AI259" s="7">
        <v>0</v>
      </c>
      <c r="AJ259" s="7">
        <v>0</v>
      </c>
      <c r="AK259" s="7">
        <v>0</v>
      </c>
      <c r="AL259" s="7">
        <v>0</v>
      </c>
      <c r="AM259" s="7">
        <v>0</v>
      </c>
      <c r="AN259" s="7">
        <v>0</v>
      </c>
      <c r="AO259" s="7">
        <v>0</v>
      </c>
      <c r="AP259" s="7">
        <v>0</v>
      </c>
      <c r="AQ259" s="7">
        <v>0</v>
      </c>
      <c r="AR259" s="7">
        <v>0</v>
      </c>
      <c r="AS259" s="7">
        <v>0</v>
      </c>
      <c r="AT259" s="7">
        <v>0</v>
      </c>
      <c r="AU259" s="7">
        <v>0</v>
      </c>
      <c r="AV259" s="7">
        <v>0</v>
      </c>
      <c r="AW259" s="7">
        <v>0</v>
      </c>
      <c r="AX259" s="7">
        <v>0</v>
      </c>
      <c r="AY259" s="7">
        <v>0</v>
      </c>
      <c r="AZ259" s="7">
        <v>0</v>
      </c>
      <c r="BA259" s="7">
        <v>0</v>
      </c>
      <c r="BB259" s="7">
        <v>0</v>
      </c>
      <c r="BC259" s="7">
        <v>0</v>
      </c>
      <c r="BD259" s="7">
        <v>0</v>
      </c>
      <c r="BE259" s="7">
        <v>0</v>
      </c>
      <c r="BF259" s="7">
        <v>0</v>
      </c>
      <c r="BG259" s="7">
        <v>0</v>
      </c>
      <c r="BH259" s="7">
        <v>0</v>
      </c>
      <c r="BI259" s="7">
        <v>0</v>
      </c>
      <c r="BJ259" s="21"/>
    </row>
    <row r="260" spans="1:62" ht="15.6" x14ac:dyDescent="0.3">
      <c r="A260" s="5" t="s">
        <v>421</v>
      </c>
      <c r="B260" s="5" t="s">
        <v>464</v>
      </c>
      <c r="C260" s="7">
        <v>6</v>
      </c>
      <c r="D260" s="7">
        <v>6</v>
      </c>
      <c r="E260" s="7">
        <v>0</v>
      </c>
      <c r="F260" s="7">
        <v>0</v>
      </c>
      <c r="G260" s="7">
        <v>0</v>
      </c>
      <c r="H260" s="7">
        <v>0</v>
      </c>
      <c r="I260" s="7">
        <v>0</v>
      </c>
      <c r="J260" s="7">
        <v>0</v>
      </c>
      <c r="K260" s="7">
        <v>0</v>
      </c>
      <c r="L260" s="7">
        <v>0</v>
      </c>
      <c r="M260" s="7">
        <v>0</v>
      </c>
      <c r="N260" s="7">
        <v>0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>
        <v>0</v>
      </c>
      <c r="AI260" s="7">
        <v>0</v>
      </c>
      <c r="AJ260" s="7">
        <v>0</v>
      </c>
      <c r="AK260" s="7">
        <v>0</v>
      </c>
      <c r="AL260" s="7">
        <v>0</v>
      </c>
      <c r="AM260" s="7">
        <v>0</v>
      </c>
      <c r="AN260" s="7">
        <v>0</v>
      </c>
      <c r="AO260" s="7">
        <v>0</v>
      </c>
      <c r="AP260" s="7">
        <v>0</v>
      </c>
      <c r="AQ260" s="7">
        <v>0</v>
      </c>
      <c r="AR260" s="7">
        <v>0</v>
      </c>
      <c r="AS260" s="7">
        <v>0</v>
      </c>
      <c r="AT260" s="7">
        <v>0</v>
      </c>
      <c r="AU260" s="7">
        <v>0</v>
      </c>
      <c r="AV260" s="7">
        <v>0</v>
      </c>
      <c r="AW260" s="7">
        <v>0</v>
      </c>
      <c r="AX260" s="7">
        <v>0</v>
      </c>
      <c r="AY260" s="7">
        <v>0</v>
      </c>
      <c r="AZ260" s="7">
        <v>0</v>
      </c>
      <c r="BA260" s="7">
        <v>0</v>
      </c>
      <c r="BB260" s="7">
        <v>0</v>
      </c>
      <c r="BC260" s="7">
        <v>0</v>
      </c>
      <c r="BD260" s="7">
        <v>0</v>
      </c>
      <c r="BE260" s="7">
        <v>0</v>
      </c>
      <c r="BF260" s="7">
        <v>0</v>
      </c>
      <c r="BG260" s="7">
        <v>0</v>
      </c>
      <c r="BH260" s="7">
        <v>0</v>
      </c>
      <c r="BI260" s="7">
        <v>0</v>
      </c>
      <c r="BJ260" s="21"/>
    </row>
    <row r="261" spans="1:62" ht="15.6" x14ac:dyDescent="0.3">
      <c r="A261" s="5" t="s">
        <v>423</v>
      </c>
      <c r="B261" s="5" t="s">
        <v>465</v>
      </c>
      <c r="C261" s="7">
        <v>6</v>
      </c>
      <c r="D261" s="7">
        <v>6</v>
      </c>
      <c r="E261" s="7">
        <v>0</v>
      </c>
      <c r="F261" s="7">
        <v>0</v>
      </c>
      <c r="G261" s="7">
        <v>0</v>
      </c>
      <c r="H261" s="7">
        <v>0</v>
      </c>
      <c r="I261" s="7">
        <v>0</v>
      </c>
      <c r="J261" s="7">
        <v>0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0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7">
        <v>0</v>
      </c>
      <c r="AK261" s="7">
        <v>0</v>
      </c>
      <c r="AL261" s="7">
        <v>0</v>
      </c>
      <c r="AM261" s="7">
        <v>0</v>
      </c>
      <c r="AN261" s="7">
        <v>0</v>
      </c>
      <c r="AO261" s="7">
        <v>0</v>
      </c>
      <c r="AP261" s="7">
        <v>0</v>
      </c>
      <c r="AQ261" s="7">
        <v>0</v>
      </c>
      <c r="AR261" s="7">
        <v>0</v>
      </c>
      <c r="AS261" s="7">
        <v>0</v>
      </c>
      <c r="AT261" s="7">
        <v>0</v>
      </c>
      <c r="AU261" s="7">
        <v>0</v>
      </c>
      <c r="AV261" s="7">
        <v>0</v>
      </c>
      <c r="AW261" s="7">
        <v>0</v>
      </c>
      <c r="AX261" s="7">
        <v>0</v>
      </c>
      <c r="AY261" s="7">
        <v>0</v>
      </c>
      <c r="AZ261" s="7">
        <v>0</v>
      </c>
      <c r="BA261" s="7">
        <v>0</v>
      </c>
      <c r="BB261" s="7">
        <v>0</v>
      </c>
      <c r="BC261" s="7">
        <v>0</v>
      </c>
      <c r="BD261" s="7">
        <v>0</v>
      </c>
      <c r="BE261" s="7">
        <v>0</v>
      </c>
      <c r="BF261" s="7">
        <v>0</v>
      </c>
      <c r="BG261" s="7">
        <v>0</v>
      </c>
      <c r="BH261" s="7">
        <v>0</v>
      </c>
      <c r="BI261" s="7">
        <v>0</v>
      </c>
      <c r="BJ261" s="21"/>
    </row>
    <row r="262" spans="1:62" ht="15.6" x14ac:dyDescent="0.3">
      <c r="A262" s="5" t="s">
        <v>425</v>
      </c>
      <c r="B262" s="5" t="s">
        <v>466</v>
      </c>
      <c r="C262" s="7">
        <v>6</v>
      </c>
      <c r="D262" s="7">
        <v>6</v>
      </c>
      <c r="E262" s="7">
        <v>0</v>
      </c>
      <c r="F262" s="7">
        <v>0</v>
      </c>
      <c r="G262" s="7">
        <v>0</v>
      </c>
      <c r="H262" s="7">
        <v>0</v>
      </c>
      <c r="I262" s="7">
        <v>0</v>
      </c>
      <c r="J262" s="7">
        <v>0</v>
      </c>
      <c r="K262" s="7">
        <v>0</v>
      </c>
      <c r="L262" s="7">
        <v>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>
        <v>0</v>
      </c>
      <c r="AI262" s="7">
        <v>0</v>
      </c>
      <c r="AJ262" s="7">
        <v>0</v>
      </c>
      <c r="AK262" s="7">
        <v>0</v>
      </c>
      <c r="AL262" s="7">
        <v>0</v>
      </c>
      <c r="AM262" s="7">
        <v>0</v>
      </c>
      <c r="AN262" s="7">
        <v>0</v>
      </c>
      <c r="AO262" s="7">
        <v>0</v>
      </c>
      <c r="AP262" s="7">
        <v>0</v>
      </c>
      <c r="AQ262" s="7">
        <v>0</v>
      </c>
      <c r="AR262" s="7">
        <v>0</v>
      </c>
      <c r="AS262" s="7">
        <v>0</v>
      </c>
      <c r="AT262" s="7">
        <v>0</v>
      </c>
      <c r="AU262" s="7">
        <v>0</v>
      </c>
      <c r="AV262" s="7">
        <v>0</v>
      </c>
      <c r="AW262" s="7">
        <v>0</v>
      </c>
      <c r="AX262" s="7">
        <v>0</v>
      </c>
      <c r="AY262" s="7">
        <v>0</v>
      </c>
      <c r="AZ262" s="7">
        <v>0</v>
      </c>
      <c r="BA262" s="7">
        <v>0</v>
      </c>
      <c r="BB262" s="7">
        <v>0</v>
      </c>
      <c r="BC262" s="7">
        <v>0</v>
      </c>
      <c r="BD262" s="7">
        <v>0</v>
      </c>
      <c r="BE262" s="7">
        <v>0</v>
      </c>
      <c r="BF262" s="7">
        <v>0</v>
      </c>
      <c r="BG262" s="7">
        <v>0</v>
      </c>
      <c r="BH262" s="7">
        <v>0</v>
      </c>
      <c r="BI262" s="7">
        <v>0</v>
      </c>
      <c r="BJ262" s="21"/>
    </row>
    <row r="263" spans="1:62" ht="15.6" x14ac:dyDescent="0.3">
      <c r="A263" s="5" t="s">
        <v>427</v>
      </c>
      <c r="B263" s="5" t="s">
        <v>467</v>
      </c>
      <c r="C263" s="7">
        <v>6</v>
      </c>
      <c r="D263" s="7">
        <v>6</v>
      </c>
      <c r="E263" s="7">
        <v>0</v>
      </c>
      <c r="F263" s="7">
        <v>0</v>
      </c>
      <c r="G263" s="7">
        <v>0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7">
        <v>0</v>
      </c>
      <c r="AK263" s="7">
        <v>0</v>
      </c>
      <c r="AL263" s="7">
        <v>0</v>
      </c>
      <c r="AM263" s="7">
        <v>0</v>
      </c>
      <c r="AN263" s="7">
        <v>0</v>
      </c>
      <c r="AO263" s="7">
        <v>0</v>
      </c>
      <c r="AP263" s="7">
        <v>0</v>
      </c>
      <c r="AQ263" s="7">
        <v>0</v>
      </c>
      <c r="AR263" s="7">
        <v>0</v>
      </c>
      <c r="AS263" s="7">
        <v>0</v>
      </c>
      <c r="AT263" s="7">
        <v>0</v>
      </c>
      <c r="AU263" s="7">
        <v>0</v>
      </c>
      <c r="AV263" s="7">
        <v>0</v>
      </c>
      <c r="AW263" s="7">
        <v>0</v>
      </c>
      <c r="AX263" s="7">
        <v>0</v>
      </c>
      <c r="AY263" s="7">
        <v>0</v>
      </c>
      <c r="AZ263" s="7">
        <v>0</v>
      </c>
      <c r="BA263" s="7">
        <v>0</v>
      </c>
      <c r="BB263" s="7">
        <v>0</v>
      </c>
      <c r="BC263" s="7">
        <v>0</v>
      </c>
      <c r="BD263" s="7">
        <v>0</v>
      </c>
      <c r="BE263" s="7">
        <v>0</v>
      </c>
      <c r="BF263" s="7">
        <v>0</v>
      </c>
      <c r="BG263" s="7">
        <v>0</v>
      </c>
      <c r="BH263" s="7">
        <v>0</v>
      </c>
      <c r="BI263" s="7">
        <v>0</v>
      </c>
      <c r="BJ263" s="21"/>
    </row>
    <row r="264" spans="1:62" ht="15.6" x14ac:dyDescent="0.3">
      <c r="A264" s="5" t="s">
        <v>429</v>
      </c>
      <c r="B264" s="5" t="s">
        <v>468</v>
      </c>
      <c r="C264" s="7">
        <v>6</v>
      </c>
      <c r="D264" s="7">
        <v>6</v>
      </c>
      <c r="E264" s="7">
        <v>0</v>
      </c>
      <c r="F264" s="7">
        <v>0</v>
      </c>
      <c r="G264" s="7">
        <v>0</v>
      </c>
      <c r="H264" s="7">
        <v>0</v>
      </c>
      <c r="I264" s="7">
        <v>0</v>
      </c>
      <c r="J264" s="7">
        <v>0</v>
      </c>
      <c r="K264" s="7">
        <v>0</v>
      </c>
      <c r="L264" s="7">
        <v>0</v>
      </c>
      <c r="M264" s="7">
        <v>0</v>
      </c>
      <c r="N264" s="7">
        <v>0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0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0</v>
      </c>
      <c r="AB264" s="7">
        <v>0</v>
      </c>
      <c r="AC264" s="7">
        <v>0</v>
      </c>
      <c r="AD264" s="7">
        <v>0</v>
      </c>
      <c r="AE264" s="7">
        <v>0</v>
      </c>
      <c r="AF264" s="7">
        <v>0</v>
      </c>
      <c r="AG264" s="7">
        <v>0</v>
      </c>
      <c r="AH264" s="7">
        <v>0</v>
      </c>
      <c r="AI264" s="7">
        <v>0</v>
      </c>
      <c r="AJ264" s="7">
        <v>0</v>
      </c>
      <c r="AK264" s="7">
        <v>0</v>
      </c>
      <c r="AL264" s="7">
        <v>0</v>
      </c>
      <c r="AM264" s="7">
        <v>0</v>
      </c>
      <c r="AN264" s="7">
        <v>0</v>
      </c>
      <c r="AO264" s="7">
        <v>0</v>
      </c>
      <c r="AP264" s="7">
        <v>0</v>
      </c>
      <c r="AQ264" s="7">
        <v>0</v>
      </c>
      <c r="AR264" s="7">
        <v>0</v>
      </c>
      <c r="AS264" s="7">
        <v>0</v>
      </c>
      <c r="AT264" s="7">
        <v>0</v>
      </c>
      <c r="AU264" s="7">
        <v>0</v>
      </c>
      <c r="AV264" s="7">
        <v>0</v>
      </c>
      <c r="AW264" s="7">
        <v>0</v>
      </c>
      <c r="AX264" s="7">
        <v>0</v>
      </c>
      <c r="AY264" s="7">
        <v>0</v>
      </c>
      <c r="AZ264" s="7">
        <v>0</v>
      </c>
      <c r="BA264" s="7">
        <v>0</v>
      </c>
      <c r="BB264" s="7">
        <v>0</v>
      </c>
      <c r="BC264" s="7">
        <v>0</v>
      </c>
      <c r="BD264" s="7">
        <v>0</v>
      </c>
      <c r="BE264" s="7">
        <v>0</v>
      </c>
      <c r="BF264" s="7">
        <v>0</v>
      </c>
      <c r="BG264" s="7">
        <v>0</v>
      </c>
      <c r="BH264" s="7">
        <v>0</v>
      </c>
      <c r="BI264" s="7">
        <v>0</v>
      </c>
      <c r="BJ264" s="21"/>
    </row>
    <row r="265" spans="1:62" ht="15.6" x14ac:dyDescent="0.3">
      <c r="A265" s="5" t="s">
        <v>431</v>
      </c>
      <c r="B265" s="5" t="s">
        <v>469</v>
      </c>
      <c r="C265" s="7">
        <v>6</v>
      </c>
      <c r="D265" s="7">
        <v>6</v>
      </c>
      <c r="E265" s="7">
        <v>0</v>
      </c>
      <c r="F265" s="7">
        <v>0</v>
      </c>
      <c r="G265" s="7">
        <v>0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7">
        <v>0</v>
      </c>
      <c r="AK265" s="7">
        <v>0</v>
      </c>
      <c r="AL265" s="7">
        <v>0</v>
      </c>
      <c r="AM265" s="7">
        <v>0</v>
      </c>
      <c r="AN265" s="7">
        <v>0</v>
      </c>
      <c r="AO265" s="7">
        <v>0</v>
      </c>
      <c r="AP265" s="7">
        <v>0</v>
      </c>
      <c r="AQ265" s="7">
        <v>0</v>
      </c>
      <c r="AR265" s="7">
        <v>0</v>
      </c>
      <c r="AS265" s="7">
        <v>0</v>
      </c>
      <c r="AT265" s="7">
        <v>0</v>
      </c>
      <c r="AU265" s="7">
        <v>0</v>
      </c>
      <c r="AV265" s="7">
        <v>0</v>
      </c>
      <c r="AW265" s="7">
        <v>0</v>
      </c>
      <c r="AX265" s="7">
        <v>0</v>
      </c>
      <c r="AY265" s="7">
        <v>0</v>
      </c>
      <c r="AZ265" s="7">
        <v>0</v>
      </c>
      <c r="BA265" s="7">
        <v>0</v>
      </c>
      <c r="BB265" s="7">
        <v>0</v>
      </c>
      <c r="BC265" s="7">
        <v>0</v>
      </c>
      <c r="BD265" s="7">
        <v>0</v>
      </c>
      <c r="BE265" s="7">
        <v>0</v>
      </c>
      <c r="BF265" s="7">
        <v>0</v>
      </c>
      <c r="BG265" s="7">
        <v>0</v>
      </c>
      <c r="BH265" s="7">
        <v>0</v>
      </c>
      <c r="BI265" s="7">
        <v>0</v>
      </c>
      <c r="BJ265" s="21"/>
    </row>
    <row r="266" spans="1:62" ht="15.6" x14ac:dyDescent="0.3">
      <c r="A266" s="5" t="s">
        <v>433</v>
      </c>
      <c r="B266" s="5" t="s">
        <v>470</v>
      </c>
      <c r="C266" s="7">
        <v>6</v>
      </c>
      <c r="D266" s="7">
        <v>6</v>
      </c>
      <c r="E266" s="7">
        <v>0</v>
      </c>
      <c r="F266" s="7">
        <v>0</v>
      </c>
      <c r="G266" s="7">
        <v>0</v>
      </c>
      <c r="H266" s="7">
        <v>0</v>
      </c>
      <c r="I266" s="7">
        <v>0</v>
      </c>
      <c r="J266" s="7">
        <v>0</v>
      </c>
      <c r="K266" s="7">
        <v>0</v>
      </c>
      <c r="L266" s="7">
        <v>0</v>
      </c>
      <c r="M266" s="7">
        <v>0</v>
      </c>
      <c r="N266" s="7">
        <v>0</v>
      </c>
      <c r="O266" s="7">
        <v>0</v>
      </c>
      <c r="P266" s="7">
        <v>0</v>
      </c>
      <c r="Q266" s="7">
        <v>0</v>
      </c>
      <c r="R266" s="7">
        <v>0</v>
      </c>
      <c r="S266" s="7">
        <v>0</v>
      </c>
      <c r="T266" s="7">
        <v>0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>
        <v>0</v>
      </c>
      <c r="AI266" s="7">
        <v>0</v>
      </c>
      <c r="AJ266" s="7">
        <v>0</v>
      </c>
      <c r="AK266" s="7">
        <v>0</v>
      </c>
      <c r="AL266" s="7">
        <v>0</v>
      </c>
      <c r="AM266" s="7">
        <v>0</v>
      </c>
      <c r="AN266" s="7">
        <v>0</v>
      </c>
      <c r="AO266" s="7">
        <v>0</v>
      </c>
      <c r="AP266" s="7">
        <v>0</v>
      </c>
      <c r="AQ266" s="7">
        <v>0</v>
      </c>
      <c r="AR266" s="7">
        <v>0</v>
      </c>
      <c r="AS266" s="7">
        <v>0</v>
      </c>
      <c r="AT266" s="7">
        <v>0</v>
      </c>
      <c r="AU266" s="7">
        <v>0</v>
      </c>
      <c r="AV266" s="7">
        <v>0</v>
      </c>
      <c r="AW266" s="7">
        <v>0</v>
      </c>
      <c r="AX266" s="7">
        <v>0</v>
      </c>
      <c r="AY266" s="7">
        <v>0</v>
      </c>
      <c r="AZ266" s="7">
        <v>0</v>
      </c>
      <c r="BA266" s="7">
        <v>0</v>
      </c>
      <c r="BB266" s="7">
        <v>0</v>
      </c>
      <c r="BC266" s="7">
        <v>0</v>
      </c>
      <c r="BD266" s="7">
        <v>0</v>
      </c>
      <c r="BE266" s="7">
        <v>0</v>
      </c>
      <c r="BF266" s="7">
        <v>0</v>
      </c>
      <c r="BG266" s="7">
        <v>0</v>
      </c>
      <c r="BH266" s="7">
        <v>0</v>
      </c>
      <c r="BI266" s="7">
        <v>0</v>
      </c>
      <c r="BJ266" s="21"/>
    </row>
    <row r="267" spans="1:62" ht="15.6" x14ac:dyDescent="0.3">
      <c r="A267" s="5" t="s">
        <v>435</v>
      </c>
      <c r="B267" s="5" t="s">
        <v>471</v>
      </c>
      <c r="C267" s="7">
        <v>6</v>
      </c>
      <c r="D267" s="7">
        <v>6</v>
      </c>
      <c r="E267" s="7">
        <v>0</v>
      </c>
      <c r="F267" s="7">
        <v>0</v>
      </c>
      <c r="G267" s="7">
        <v>0</v>
      </c>
      <c r="H267" s="7">
        <v>0</v>
      </c>
      <c r="I267" s="7">
        <v>0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0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7">
        <v>0</v>
      </c>
      <c r="AK267" s="7">
        <v>0</v>
      </c>
      <c r="AL267" s="7">
        <v>0</v>
      </c>
      <c r="AM267" s="7">
        <v>0</v>
      </c>
      <c r="AN267" s="7">
        <v>0</v>
      </c>
      <c r="AO267" s="7">
        <v>0</v>
      </c>
      <c r="AP267" s="7">
        <v>0</v>
      </c>
      <c r="AQ267" s="7">
        <v>0</v>
      </c>
      <c r="AR267" s="7">
        <v>0</v>
      </c>
      <c r="AS267" s="7">
        <v>0</v>
      </c>
      <c r="AT267" s="7">
        <v>0</v>
      </c>
      <c r="AU267" s="7">
        <v>0</v>
      </c>
      <c r="AV267" s="7">
        <v>0</v>
      </c>
      <c r="AW267" s="7">
        <v>0</v>
      </c>
      <c r="AX267" s="7">
        <v>0</v>
      </c>
      <c r="AY267" s="7">
        <v>0</v>
      </c>
      <c r="AZ267" s="7">
        <v>0</v>
      </c>
      <c r="BA267" s="7">
        <v>0</v>
      </c>
      <c r="BB267" s="7">
        <v>0</v>
      </c>
      <c r="BC267" s="7">
        <v>0</v>
      </c>
      <c r="BD267" s="7">
        <v>0</v>
      </c>
      <c r="BE267" s="7">
        <v>0</v>
      </c>
      <c r="BF267" s="7">
        <v>0</v>
      </c>
      <c r="BG267" s="7">
        <v>0</v>
      </c>
      <c r="BH267" s="7">
        <v>0</v>
      </c>
      <c r="BI267" s="7">
        <v>0</v>
      </c>
      <c r="BJ267" s="21"/>
    </row>
    <row r="268" spans="1:62" ht="15.6" x14ac:dyDescent="0.3">
      <c r="A268" s="5" t="s">
        <v>437</v>
      </c>
      <c r="B268" s="5" t="s">
        <v>472</v>
      </c>
      <c r="C268" s="7">
        <v>6</v>
      </c>
      <c r="D268" s="7">
        <v>6</v>
      </c>
      <c r="E268" s="7">
        <v>0</v>
      </c>
      <c r="F268" s="7">
        <v>0</v>
      </c>
      <c r="G268" s="7">
        <v>0</v>
      </c>
      <c r="H268" s="7">
        <v>0</v>
      </c>
      <c r="I268" s="7">
        <v>0</v>
      </c>
      <c r="J268" s="7">
        <v>0</v>
      </c>
      <c r="K268" s="7">
        <v>0</v>
      </c>
      <c r="L268" s="7">
        <v>0</v>
      </c>
      <c r="M268" s="7">
        <v>0</v>
      </c>
      <c r="N268" s="7">
        <v>0</v>
      </c>
      <c r="O268" s="7">
        <v>0</v>
      </c>
      <c r="P268" s="7">
        <v>0</v>
      </c>
      <c r="Q268" s="7">
        <v>0</v>
      </c>
      <c r="R268" s="7">
        <v>0</v>
      </c>
      <c r="S268" s="7">
        <v>0</v>
      </c>
      <c r="T268" s="7">
        <v>0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0</v>
      </c>
      <c r="AB268" s="7">
        <v>0</v>
      </c>
      <c r="AC268" s="7">
        <v>0</v>
      </c>
      <c r="AD268" s="7">
        <v>0</v>
      </c>
      <c r="AE268" s="7">
        <v>0</v>
      </c>
      <c r="AF268" s="7">
        <v>0</v>
      </c>
      <c r="AG268" s="7">
        <v>0</v>
      </c>
      <c r="AH268" s="7">
        <v>0</v>
      </c>
      <c r="AI268" s="7">
        <v>0</v>
      </c>
      <c r="AJ268" s="7">
        <v>0</v>
      </c>
      <c r="AK268" s="7">
        <v>0</v>
      </c>
      <c r="AL268" s="7">
        <v>0</v>
      </c>
      <c r="AM268" s="7">
        <v>0</v>
      </c>
      <c r="AN268" s="7">
        <v>0</v>
      </c>
      <c r="AO268" s="7">
        <v>0</v>
      </c>
      <c r="AP268" s="7">
        <v>0</v>
      </c>
      <c r="AQ268" s="7">
        <v>0</v>
      </c>
      <c r="AR268" s="7">
        <v>0</v>
      </c>
      <c r="AS268" s="7">
        <v>0</v>
      </c>
      <c r="AT268" s="7">
        <v>0</v>
      </c>
      <c r="AU268" s="7">
        <v>0</v>
      </c>
      <c r="AV268" s="7">
        <v>0</v>
      </c>
      <c r="AW268" s="7">
        <v>0</v>
      </c>
      <c r="AX268" s="7">
        <v>0</v>
      </c>
      <c r="AY268" s="7">
        <v>0</v>
      </c>
      <c r="AZ268" s="7">
        <v>0</v>
      </c>
      <c r="BA268" s="7">
        <v>0</v>
      </c>
      <c r="BB268" s="7">
        <v>0</v>
      </c>
      <c r="BC268" s="7">
        <v>0</v>
      </c>
      <c r="BD268" s="7">
        <v>0</v>
      </c>
      <c r="BE268" s="7">
        <v>0</v>
      </c>
      <c r="BF268" s="7">
        <v>0</v>
      </c>
      <c r="BG268" s="7">
        <v>0</v>
      </c>
      <c r="BH268" s="7">
        <v>0</v>
      </c>
      <c r="BI268" s="7">
        <v>0</v>
      </c>
      <c r="BJ268" s="21"/>
    </row>
    <row r="269" spans="1:62" ht="15.6" x14ac:dyDescent="0.3">
      <c r="A269" s="5" t="s">
        <v>439</v>
      </c>
      <c r="B269" s="5" t="s">
        <v>473</v>
      </c>
      <c r="C269" s="7">
        <v>6</v>
      </c>
      <c r="D269" s="7">
        <v>6</v>
      </c>
      <c r="E269" s="7">
        <v>0</v>
      </c>
      <c r="F269" s="7">
        <v>0</v>
      </c>
      <c r="G269" s="7">
        <v>0</v>
      </c>
      <c r="H269" s="7">
        <v>0</v>
      </c>
      <c r="I269" s="7">
        <v>0</v>
      </c>
      <c r="J269" s="7">
        <v>0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0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7">
        <v>0</v>
      </c>
      <c r="AK269" s="7">
        <v>0</v>
      </c>
      <c r="AL269" s="7">
        <v>0</v>
      </c>
      <c r="AM269" s="7">
        <v>0</v>
      </c>
      <c r="AN269" s="7">
        <v>0</v>
      </c>
      <c r="AO269" s="7">
        <v>0</v>
      </c>
      <c r="AP269" s="7">
        <v>0</v>
      </c>
      <c r="AQ269" s="7">
        <v>0</v>
      </c>
      <c r="AR269" s="7">
        <v>0</v>
      </c>
      <c r="AS269" s="7">
        <v>0</v>
      </c>
      <c r="AT269" s="7">
        <v>0</v>
      </c>
      <c r="AU269" s="7">
        <v>0</v>
      </c>
      <c r="AV269" s="7">
        <v>0</v>
      </c>
      <c r="AW269" s="7">
        <v>0</v>
      </c>
      <c r="AX269" s="7">
        <v>0</v>
      </c>
      <c r="AY269" s="7">
        <v>0</v>
      </c>
      <c r="AZ269" s="7">
        <v>0</v>
      </c>
      <c r="BA269" s="7">
        <v>0</v>
      </c>
      <c r="BB269" s="7">
        <v>0</v>
      </c>
      <c r="BC269" s="7">
        <v>0</v>
      </c>
      <c r="BD269" s="7">
        <v>0</v>
      </c>
      <c r="BE269" s="7">
        <v>0</v>
      </c>
      <c r="BF269" s="7">
        <v>0</v>
      </c>
      <c r="BG269" s="7">
        <v>0</v>
      </c>
      <c r="BH269" s="7">
        <v>0</v>
      </c>
      <c r="BI269" s="7">
        <v>0</v>
      </c>
      <c r="BJ269" s="21"/>
    </row>
    <row r="270" spans="1:62" ht="15.6" x14ac:dyDescent="0.3">
      <c r="A270" s="5" t="s">
        <v>441</v>
      </c>
      <c r="B270" s="5" t="s">
        <v>474</v>
      </c>
      <c r="C270" s="7">
        <v>6</v>
      </c>
      <c r="D270" s="7">
        <v>6</v>
      </c>
      <c r="E270" s="7">
        <v>0</v>
      </c>
      <c r="F270" s="7">
        <v>0</v>
      </c>
      <c r="G270" s="7">
        <v>0</v>
      </c>
      <c r="H270" s="7">
        <v>0</v>
      </c>
      <c r="I270" s="7">
        <v>0</v>
      </c>
      <c r="J270" s="7">
        <v>0</v>
      </c>
      <c r="K270" s="7">
        <v>0</v>
      </c>
      <c r="L270" s="7">
        <v>0</v>
      </c>
      <c r="M270" s="7">
        <v>0</v>
      </c>
      <c r="N270" s="7">
        <v>0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0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0</v>
      </c>
      <c r="AB270" s="7">
        <v>0</v>
      </c>
      <c r="AC270" s="7">
        <v>0</v>
      </c>
      <c r="AD270" s="7">
        <v>0</v>
      </c>
      <c r="AE270" s="7">
        <v>0</v>
      </c>
      <c r="AF270" s="7">
        <v>0</v>
      </c>
      <c r="AG270" s="7">
        <v>0</v>
      </c>
      <c r="AH270" s="7">
        <v>0</v>
      </c>
      <c r="AI270" s="7">
        <v>0</v>
      </c>
      <c r="AJ270" s="7">
        <v>0</v>
      </c>
      <c r="AK270" s="7">
        <v>0</v>
      </c>
      <c r="AL270" s="7">
        <v>0</v>
      </c>
      <c r="AM270" s="7">
        <v>0</v>
      </c>
      <c r="AN270" s="7">
        <v>0</v>
      </c>
      <c r="AO270" s="7">
        <v>0</v>
      </c>
      <c r="AP270" s="7">
        <v>0</v>
      </c>
      <c r="AQ270" s="7">
        <v>0</v>
      </c>
      <c r="AR270" s="7">
        <v>0</v>
      </c>
      <c r="AS270" s="7">
        <v>0</v>
      </c>
      <c r="AT270" s="7">
        <v>0</v>
      </c>
      <c r="AU270" s="7">
        <v>0</v>
      </c>
      <c r="AV270" s="7">
        <v>0</v>
      </c>
      <c r="AW270" s="7">
        <v>0</v>
      </c>
      <c r="AX270" s="7">
        <v>0</v>
      </c>
      <c r="AY270" s="7">
        <v>0</v>
      </c>
      <c r="AZ270" s="7">
        <v>0</v>
      </c>
      <c r="BA270" s="7">
        <v>0</v>
      </c>
      <c r="BB270" s="7">
        <v>0</v>
      </c>
      <c r="BC270" s="7">
        <v>0</v>
      </c>
      <c r="BD270" s="7">
        <v>0</v>
      </c>
      <c r="BE270" s="7">
        <v>0</v>
      </c>
      <c r="BF270" s="7">
        <v>0</v>
      </c>
      <c r="BG270" s="7">
        <v>0</v>
      </c>
      <c r="BH270" s="7">
        <v>0</v>
      </c>
      <c r="BI270" s="7">
        <v>0</v>
      </c>
      <c r="BJ270" s="21"/>
    </row>
    <row r="271" spans="1:62" ht="15.6" x14ac:dyDescent="0.3">
      <c r="A271" s="5" t="s">
        <v>443</v>
      </c>
      <c r="B271" s="5" t="s">
        <v>475</v>
      </c>
      <c r="C271" s="7">
        <v>6</v>
      </c>
      <c r="D271" s="7">
        <v>6</v>
      </c>
      <c r="E271" s="7">
        <v>0</v>
      </c>
      <c r="F271" s="7">
        <v>0</v>
      </c>
      <c r="G271" s="7">
        <v>0</v>
      </c>
      <c r="H271" s="7">
        <v>0</v>
      </c>
      <c r="I271" s="7">
        <v>0</v>
      </c>
      <c r="J271" s="7">
        <v>0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0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7">
        <v>0</v>
      </c>
      <c r="AK271" s="7">
        <v>0</v>
      </c>
      <c r="AL271" s="7">
        <v>0</v>
      </c>
      <c r="AM271" s="7">
        <v>0</v>
      </c>
      <c r="AN271" s="7">
        <v>0</v>
      </c>
      <c r="AO271" s="7">
        <v>0</v>
      </c>
      <c r="AP271" s="7">
        <v>0</v>
      </c>
      <c r="AQ271" s="7">
        <v>0</v>
      </c>
      <c r="AR271" s="7">
        <v>0</v>
      </c>
      <c r="AS271" s="7">
        <v>0</v>
      </c>
      <c r="AT271" s="7">
        <v>0</v>
      </c>
      <c r="AU271" s="7">
        <v>0</v>
      </c>
      <c r="AV271" s="7">
        <v>0</v>
      </c>
      <c r="AW271" s="7">
        <v>0</v>
      </c>
      <c r="AX271" s="7">
        <v>0</v>
      </c>
      <c r="AY271" s="7">
        <v>0</v>
      </c>
      <c r="AZ271" s="7">
        <v>0</v>
      </c>
      <c r="BA271" s="7">
        <v>0</v>
      </c>
      <c r="BB271" s="7">
        <v>0</v>
      </c>
      <c r="BC271" s="7">
        <v>0</v>
      </c>
      <c r="BD271" s="7">
        <v>0</v>
      </c>
      <c r="BE271" s="7">
        <v>0</v>
      </c>
      <c r="BF271" s="7">
        <v>0</v>
      </c>
      <c r="BG271" s="7">
        <v>0</v>
      </c>
      <c r="BH271" s="7">
        <v>0</v>
      </c>
      <c r="BI271" s="7">
        <v>0</v>
      </c>
      <c r="BJ271" s="21"/>
    </row>
    <row r="272" spans="1:62" ht="15.6" x14ac:dyDescent="0.3">
      <c r="A272" s="5" t="s">
        <v>445</v>
      </c>
      <c r="B272" s="5" t="s">
        <v>476</v>
      </c>
      <c r="C272" s="7">
        <v>6</v>
      </c>
      <c r="D272" s="7">
        <v>6</v>
      </c>
      <c r="E272" s="7">
        <v>0</v>
      </c>
      <c r="F272" s="7">
        <v>0</v>
      </c>
      <c r="G272" s="7">
        <v>0</v>
      </c>
      <c r="H272" s="7">
        <v>0</v>
      </c>
      <c r="I272" s="7">
        <v>0</v>
      </c>
      <c r="J272" s="7">
        <v>0</v>
      </c>
      <c r="K272" s="7">
        <v>0</v>
      </c>
      <c r="L272" s="7">
        <v>0</v>
      </c>
      <c r="M272" s="7">
        <v>0</v>
      </c>
      <c r="N272" s="7">
        <v>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0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>
        <v>0</v>
      </c>
      <c r="AI272" s="7">
        <v>0</v>
      </c>
      <c r="AJ272" s="7">
        <v>0</v>
      </c>
      <c r="AK272" s="7">
        <v>0</v>
      </c>
      <c r="AL272" s="7">
        <v>0</v>
      </c>
      <c r="AM272" s="7">
        <v>0</v>
      </c>
      <c r="AN272" s="7">
        <v>0</v>
      </c>
      <c r="AO272" s="7">
        <v>0</v>
      </c>
      <c r="AP272" s="7">
        <v>0</v>
      </c>
      <c r="AQ272" s="7">
        <v>0</v>
      </c>
      <c r="AR272" s="7">
        <v>0</v>
      </c>
      <c r="AS272" s="7">
        <v>0</v>
      </c>
      <c r="AT272" s="7">
        <v>0</v>
      </c>
      <c r="AU272" s="7">
        <v>0</v>
      </c>
      <c r="AV272" s="7">
        <v>0</v>
      </c>
      <c r="AW272" s="7">
        <v>0</v>
      </c>
      <c r="AX272" s="7">
        <v>0</v>
      </c>
      <c r="AY272" s="7">
        <v>0</v>
      </c>
      <c r="AZ272" s="7">
        <v>0</v>
      </c>
      <c r="BA272" s="7">
        <v>0</v>
      </c>
      <c r="BB272" s="7">
        <v>0</v>
      </c>
      <c r="BC272" s="7">
        <v>0</v>
      </c>
      <c r="BD272" s="7">
        <v>0</v>
      </c>
      <c r="BE272" s="7">
        <v>0</v>
      </c>
      <c r="BF272" s="7">
        <v>0</v>
      </c>
      <c r="BG272" s="7">
        <v>0</v>
      </c>
      <c r="BH272" s="7">
        <v>0</v>
      </c>
      <c r="BI272" s="7">
        <v>0</v>
      </c>
      <c r="BJ272" s="21"/>
    </row>
    <row r="273" spans="1:62" ht="15.6" x14ac:dyDescent="0.3">
      <c r="A273" s="5" t="s">
        <v>447</v>
      </c>
      <c r="B273" s="5" t="s">
        <v>477</v>
      </c>
      <c r="C273" s="7">
        <v>6</v>
      </c>
      <c r="D273" s="7">
        <v>6</v>
      </c>
      <c r="E273" s="7">
        <v>0</v>
      </c>
      <c r="F273" s="7">
        <v>0</v>
      </c>
      <c r="G273" s="7">
        <v>0</v>
      </c>
      <c r="H273" s="7">
        <v>0</v>
      </c>
      <c r="I273" s="7">
        <v>0</v>
      </c>
      <c r="J273" s="7">
        <v>0</v>
      </c>
      <c r="K273" s="7">
        <v>0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0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7">
        <v>0</v>
      </c>
      <c r="AK273" s="7">
        <v>0</v>
      </c>
      <c r="AL273" s="7">
        <v>0</v>
      </c>
      <c r="AM273" s="7">
        <v>0</v>
      </c>
      <c r="AN273" s="7">
        <v>0</v>
      </c>
      <c r="AO273" s="7">
        <v>0</v>
      </c>
      <c r="AP273" s="7">
        <v>0</v>
      </c>
      <c r="AQ273" s="7">
        <v>0</v>
      </c>
      <c r="AR273" s="7">
        <v>0</v>
      </c>
      <c r="AS273" s="7">
        <v>0</v>
      </c>
      <c r="AT273" s="7">
        <v>0</v>
      </c>
      <c r="AU273" s="7">
        <v>0</v>
      </c>
      <c r="AV273" s="7">
        <v>0</v>
      </c>
      <c r="AW273" s="7">
        <v>0</v>
      </c>
      <c r="AX273" s="7">
        <v>0</v>
      </c>
      <c r="AY273" s="7">
        <v>0</v>
      </c>
      <c r="AZ273" s="7">
        <v>0</v>
      </c>
      <c r="BA273" s="7">
        <v>0</v>
      </c>
      <c r="BB273" s="7">
        <v>0</v>
      </c>
      <c r="BC273" s="7">
        <v>0</v>
      </c>
      <c r="BD273" s="7">
        <v>0</v>
      </c>
      <c r="BE273" s="7">
        <v>0</v>
      </c>
      <c r="BF273" s="7">
        <v>0</v>
      </c>
      <c r="BG273" s="7">
        <v>0</v>
      </c>
      <c r="BH273" s="7">
        <v>0</v>
      </c>
      <c r="BI273" s="7">
        <v>0</v>
      </c>
      <c r="BJ273" s="21"/>
    </row>
    <row r="274" spans="1:62" ht="15.6" x14ac:dyDescent="0.3">
      <c r="A274" s="5" t="s">
        <v>449</v>
      </c>
      <c r="B274" s="5" t="s">
        <v>478</v>
      </c>
      <c r="C274" s="7">
        <v>6</v>
      </c>
      <c r="D274" s="7">
        <v>6</v>
      </c>
      <c r="E274" s="7">
        <v>0</v>
      </c>
      <c r="F274" s="7">
        <v>0</v>
      </c>
      <c r="G274" s="7">
        <v>0</v>
      </c>
      <c r="H274" s="7">
        <v>0</v>
      </c>
      <c r="I274" s="7">
        <v>0</v>
      </c>
      <c r="J274" s="7">
        <v>0</v>
      </c>
      <c r="K274" s="7">
        <v>0</v>
      </c>
      <c r="L274" s="7">
        <v>0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0</v>
      </c>
      <c r="S274" s="7">
        <v>0</v>
      </c>
      <c r="T274" s="7">
        <v>0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0</v>
      </c>
      <c r="AB274" s="7">
        <v>0</v>
      </c>
      <c r="AC274" s="7">
        <v>0</v>
      </c>
      <c r="AD274" s="7">
        <v>0</v>
      </c>
      <c r="AE274" s="7">
        <v>0</v>
      </c>
      <c r="AF274" s="7">
        <v>0</v>
      </c>
      <c r="AG274" s="7">
        <v>0</v>
      </c>
      <c r="AH274" s="7">
        <v>0</v>
      </c>
      <c r="AI274" s="7">
        <v>0</v>
      </c>
      <c r="AJ274" s="7">
        <v>0</v>
      </c>
      <c r="AK274" s="7">
        <v>0</v>
      </c>
      <c r="AL274" s="7">
        <v>0</v>
      </c>
      <c r="AM274" s="7">
        <v>0</v>
      </c>
      <c r="AN274" s="7">
        <v>0</v>
      </c>
      <c r="AO274" s="7">
        <v>0</v>
      </c>
      <c r="AP274" s="7">
        <v>0</v>
      </c>
      <c r="AQ274" s="7">
        <v>0</v>
      </c>
      <c r="AR274" s="7">
        <v>0</v>
      </c>
      <c r="AS274" s="7">
        <v>0</v>
      </c>
      <c r="AT274" s="7">
        <v>0</v>
      </c>
      <c r="AU274" s="7">
        <v>0</v>
      </c>
      <c r="AV274" s="7">
        <v>0</v>
      </c>
      <c r="AW274" s="7">
        <v>0</v>
      </c>
      <c r="AX274" s="7">
        <v>0</v>
      </c>
      <c r="AY274" s="7">
        <v>0</v>
      </c>
      <c r="AZ274" s="7">
        <v>0</v>
      </c>
      <c r="BA274" s="7">
        <v>0</v>
      </c>
      <c r="BB274" s="7">
        <v>0</v>
      </c>
      <c r="BC274" s="7">
        <v>0</v>
      </c>
      <c r="BD274" s="7">
        <v>0</v>
      </c>
      <c r="BE274" s="7">
        <v>0</v>
      </c>
      <c r="BF274" s="7">
        <v>0</v>
      </c>
      <c r="BG274" s="7">
        <v>0</v>
      </c>
      <c r="BH274" s="7">
        <v>0</v>
      </c>
      <c r="BI274" s="7">
        <v>0</v>
      </c>
      <c r="BJ274" s="21"/>
    </row>
    <row r="275" spans="1:62" ht="15.6" x14ac:dyDescent="0.3">
      <c r="A275" s="5" t="s">
        <v>451</v>
      </c>
      <c r="B275" s="5" t="s">
        <v>479</v>
      </c>
      <c r="C275" s="7">
        <v>6</v>
      </c>
      <c r="D275" s="7">
        <v>6</v>
      </c>
      <c r="E275" s="7">
        <v>0</v>
      </c>
      <c r="F275" s="7">
        <v>0</v>
      </c>
      <c r="G275" s="7">
        <v>0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7">
        <v>0</v>
      </c>
      <c r="AK275" s="7">
        <v>0</v>
      </c>
      <c r="AL275" s="7">
        <v>0</v>
      </c>
      <c r="AM275" s="7">
        <v>0</v>
      </c>
      <c r="AN275" s="7">
        <v>0</v>
      </c>
      <c r="AO275" s="7">
        <v>0</v>
      </c>
      <c r="AP275" s="7">
        <v>0</v>
      </c>
      <c r="AQ275" s="7">
        <v>0</v>
      </c>
      <c r="AR275" s="7">
        <v>0</v>
      </c>
      <c r="AS275" s="7">
        <v>0</v>
      </c>
      <c r="AT275" s="7">
        <v>0</v>
      </c>
      <c r="AU275" s="7">
        <v>0</v>
      </c>
      <c r="AV275" s="7">
        <v>0</v>
      </c>
      <c r="AW275" s="7">
        <v>0</v>
      </c>
      <c r="AX275" s="7">
        <v>0</v>
      </c>
      <c r="AY275" s="7">
        <v>0</v>
      </c>
      <c r="AZ275" s="7">
        <v>0</v>
      </c>
      <c r="BA275" s="7">
        <v>0</v>
      </c>
      <c r="BB275" s="7">
        <v>0</v>
      </c>
      <c r="BC275" s="7">
        <v>0</v>
      </c>
      <c r="BD275" s="7">
        <v>0</v>
      </c>
      <c r="BE275" s="7">
        <v>0</v>
      </c>
      <c r="BF275" s="7">
        <v>0</v>
      </c>
      <c r="BG275" s="7">
        <v>0</v>
      </c>
      <c r="BH275" s="7">
        <v>0</v>
      </c>
      <c r="BI275" s="7">
        <v>0</v>
      </c>
      <c r="BJ275" s="21"/>
    </row>
    <row r="276" spans="1:62" ht="15.6" x14ac:dyDescent="0.3">
      <c r="A276" s="5" t="s">
        <v>453</v>
      </c>
      <c r="B276" s="5" t="s">
        <v>480</v>
      </c>
      <c r="C276" s="7">
        <v>6</v>
      </c>
      <c r="D276" s="7">
        <v>6</v>
      </c>
      <c r="E276" s="7">
        <v>0</v>
      </c>
      <c r="F276" s="7">
        <v>0</v>
      </c>
      <c r="G276" s="7">
        <v>0</v>
      </c>
      <c r="H276" s="7">
        <v>0</v>
      </c>
      <c r="I276" s="7">
        <v>0</v>
      </c>
      <c r="J276" s="7">
        <v>0</v>
      </c>
      <c r="K276" s="7">
        <v>0</v>
      </c>
      <c r="L276" s="7">
        <v>0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>
        <v>0</v>
      </c>
      <c r="AI276" s="7">
        <v>0</v>
      </c>
      <c r="AJ276" s="7">
        <v>0</v>
      </c>
      <c r="AK276" s="7">
        <v>0</v>
      </c>
      <c r="AL276" s="7">
        <v>0</v>
      </c>
      <c r="AM276" s="7">
        <v>0</v>
      </c>
      <c r="AN276" s="7">
        <v>0</v>
      </c>
      <c r="AO276" s="7">
        <v>0</v>
      </c>
      <c r="AP276" s="7">
        <v>0</v>
      </c>
      <c r="AQ276" s="7">
        <v>0</v>
      </c>
      <c r="AR276" s="7">
        <v>0</v>
      </c>
      <c r="AS276" s="7">
        <v>0</v>
      </c>
      <c r="AT276" s="7">
        <v>0</v>
      </c>
      <c r="AU276" s="7">
        <v>0</v>
      </c>
      <c r="AV276" s="7">
        <v>0</v>
      </c>
      <c r="AW276" s="7">
        <v>0</v>
      </c>
      <c r="AX276" s="7">
        <v>0</v>
      </c>
      <c r="AY276" s="7">
        <v>0</v>
      </c>
      <c r="AZ276" s="7">
        <v>0</v>
      </c>
      <c r="BA276" s="7">
        <v>0</v>
      </c>
      <c r="BB276" s="7">
        <v>0</v>
      </c>
      <c r="BC276" s="7">
        <v>0</v>
      </c>
      <c r="BD276" s="7">
        <v>0</v>
      </c>
      <c r="BE276" s="7">
        <v>0</v>
      </c>
      <c r="BF276" s="7">
        <v>0</v>
      </c>
      <c r="BG276" s="7">
        <v>0</v>
      </c>
      <c r="BH276" s="7">
        <v>0</v>
      </c>
      <c r="BI276" s="7">
        <v>0</v>
      </c>
      <c r="BJ276" s="21"/>
    </row>
    <row r="277" spans="1:62" ht="15.6" x14ac:dyDescent="0.3">
      <c r="A277" s="5" t="s">
        <v>455</v>
      </c>
      <c r="B277" s="5" t="s">
        <v>481</v>
      </c>
      <c r="C277" s="7">
        <v>6</v>
      </c>
      <c r="D277" s="7">
        <v>6</v>
      </c>
      <c r="E277" s="7">
        <v>0</v>
      </c>
      <c r="F277" s="7">
        <v>0</v>
      </c>
      <c r="G277" s="7">
        <v>0</v>
      </c>
      <c r="H277" s="7">
        <v>0</v>
      </c>
      <c r="I277" s="7">
        <v>0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7">
        <v>0</v>
      </c>
      <c r="AK277" s="7">
        <v>0</v>
      </c>
      <c r="AL277" s="7">
        <v>0</v>
      </c>
      <c r="AM277" s="7">
        <v>0</v>
      </c>
      <c r="AN277" s="7">
        <v>0</v>
      </c>
      <c r="AO277" s="7">
        <v>0</v>
      </c>
      <c r="AP277" s="7">
        <v>0</v>
      </c>
      <c r="AQ277" s="7">
        <v>0</v>
      </c>
      <c r="AR277" s="7">
        <v>0</v>
      </c>
      <c r="AS277" s="7">
        <v>0</v>
      </c>
      <c r="AT277" s="7">
        <v>0</v>
      </c>
      <c r="AU277" s="7">
        <v>0</v>
      </c>
      <c r="AV277" s="7">
        <v>0</v>
      </c>
      <c r="AW277" s="7">
        <v>0</v>
      </c>
      <c r="AX277" s="7">
        <v>0</v>
      </c>
      <c r="AY277" s="7">
        <v>0</v>
      </c>
      <c r="AZ277" s="7">
        <v>0</v>
      </c>
      <c r="BA277" s="7">
        <v>0</v>
      </c>
      <c r="BB277" s="7">
        <v>0</v>
      </c>
      <c r="BC277" s="7">
        <v>0</v>
      </c>
      <c r="BD277" s="7">
        <v>0</v>
      </c>
      <c r="BE277" s="7">
        <v>0</v>
      </c>
      <c r="BF277" s="7">
        <v>0</v>
      </c>
      <c r="BG277" s="7">
        <v>0</v>
      </c>
      <c r="BH277" s="7">
        <v>0</v>
      </c>
      <c r="BI277" s="7">
        <v>0</v>
      </c>
      <c r="BJ277" s="21"/>
    </row>
    <row r="278" spans="1:62" ht="15.6" x14ac:dyDescent="0.3">
      <c r="A278" s="5" t="s">
        <v>457</v>
      </c>
      <c r="B278" s="5" t="s">
        <v>482</v>
      </c>
      <c r="C278" s="7">
        <v>6</v>
      </c>
      <c r="D278" s="7">
        <v>6</v>
      </c>
      <c r="E278" s="7">
        <v>0</v>
      </c>
      <c r="F278" s="7">
        <v>0</v>
      </c>
      <c r="G278" s="7">
        <v>0</v>
      </c>
      <c r="H278" s="7">
        <v>0</v>
      </c>
      <c r="I278" s="7">
        <v>0</v>
      </c>
      <c r="J278" s="7">
        <v>0</v>
      </c>
      <c r="K278" s="7">
        <v>0</v>
      </c>
      <c r="L278" s="7">
        <v>0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>
        <v>0</v>
      </c>
      <c r="AI278" s="7">
        <v>0</v>
      </c>
      <c r="AJ278" s="7">
        <v>0</v>
      </c>
      <c r="AK278" s="7">
        <v>0</v>
      </c>
      <c r="AL278" s="7">
        <v>0</v>
      </c>
      <c r="AM278" s="7">
        <v>0</v>
      </c>
      <c r="AN278" s="7">
        <v>0</v>
      </c>
      <c r="AO278" s="7">
        <v>0</v>
      </c>
      <c r="AP278" s="7">
        <v>0</v>
      </c>
      <c r="AQ278" s="7">
        <v>0</v>
      </c>
      <c r="AR278" s="7">
        <v>0</v>
      </c>
      <c r="AS278" s="7">
        <v>0</v>
      </c>
      <c r="AT278" s="7">
        <v>0</v>
      </c>
      <c r="AU278" s="7">
        <v>0</v>
      </c>
      <c r="AV278" s="7">
        <v>0</v>
      </c>
      <c r="AW278" s="7">
        <v>0</v>
      </c>
      <c r="AX278" s="7">
        <v>0</v>
      </c>
      <c r="AY278" s="7">
        <v>0</v>
      </c>
      <c r="AZ278" s="7">
        <v>0</v>
      </c>
      <c r="BA278" s="7">
        <v>0</v>
      </c>
      <c r="BB278" s="7">
        <v>0</v>
      </c>
      <c r="BC278" s="7">
        <v>0</v>
      </c>
      <c r="BD278" s="7">
        <v>0</v>
      </c>
      <c r="BE278" s="7">
        <v>0</v>
      </c>
      <c r="BF278" s="7">
        <v>0</v>
      </c>
      <c r="BG278" s="7">
        <v>0</v>
      </c>
      <c r="BH278" s="7">
        <v>0</v>
      </c>
      <c r="BI278" s="7">
        <v>0</v>
      </c>
      <c r="BJ278" s="21"/>
    </row>
    <row r="279" spans="1:62" ht="15.6" x14ac:dyDescent="0.3">
      <c r="A279" s="5" t="s">
        <v>459</v>
      </c>
      <c r="B279" s="5" t="s">
        <v>483</v>
      </c>
      <c r="C279" s="7">
        <v>6</v>
      </c>
      <c r="D279" s="7">
        <v>6</v>
      </c>
      <c r="E279" s="7">
        <v>3834.0309999999999</v>
      </c>
      <c r="F279" s="7">
        <v>2672.6309999999999</v>
      </c>
      <c r="G279" s="7">
        <v>186.928</v>
      </c>
      <c r="H279" s="7">
        <v>0.52700000000000002</v>
      </c>
      <c r="I279" s="7">
        <v>236.51499999999999</v>
      </c>
      <c r="J279" s="7">
        <v>1985.152</v>
      </c>
      <c r="K279" s="7">
        <v>0</v>
      </c>
      <c r="L279" s="7">
        <v>5728.4350000000004</v>
      </c>
      <c r="M279" s="7">
        <v>2193.1759999999999</v>
      </c>
      <c r="N279" s="7">
        <v>0</v>
      </c>
      <c r="O279" s="7">
        <v>0</v>
      </c>
      <c r="P279" s="7">
        <v>8.0000000000000002E-3</v>
      </c>
      <c r="Q279" s="7">
        <v>0</v>
      </c>
      <c r="R279" s="7">
        <v>0</v>
      </c>
      <c r="S279" s="7">
        <v>1071.08</v>
      </c>
      <c r="T279" s="7">
        <v>0</v>
      </c>
      <c r="U279" s="7">
        <v>0</v>
      </c>
      <c r="V279" s="7">
        <v>348.26600000000002</v>
      </c>
      <c r="W279" s="7">
        <v>3.5350000000000001</v>
      </c>
      <c r="X279" s="7">
        <v>0</v>
      </c>
      <c r="Y279" s="7">
        <v>155.45699999999999</v>
      </c>
      <c r="Z279" s="7">
        <v>0</v>
      </c>
      <c r="AA279" s="7">
        <v>5778.5190000000002</v>
      </c>
      <c r="AB279" s="7">
        <v>0</v>
      </c>
      <c r="AC279" s="7">
        <v>445.113</v>
      </c>
      <c r="AD279" s="7">
        <v>0</v>
      </c>
      <c r="AE279" s="7">
        <v>14.795</v>
      </c>
      <c r="AF279" s="7">
        <v>48.993000000000002</v>
      </c>
      <c r="AG279" s="7">
        <v>0</v>
      </c>
      <c r="AH279" s="7">
        <v>9298.1059999999998</v>
      </c>
      <c r="AI279" s="7">
        <v>3.6999999999999998E-2</v>
      </c>
      <c r="AJ279" s="7">
        <v>0</v>
      </c>
      <c r="AK279" s="7">
        <v>0</v>
      </c>
      <c r="AL279" s="7">
        <v>0</v>
      </c>
      <c r="AM279" s="7">
        <v>0</v>
      </c>
      <c r="AN279" s="7">
        <v>0</v>
      </c>
      <c r="AO279" s="7">
        <v>639.14099999999996</v>
      </c>
      <c r="AP279" s="7">
        <v>0</v>
      </c>
      <c r="AQ279" s="7">
        <v>7.2169999999999996</v>
      </c>
      <c r="AR279" s="7">
        <v>0</v>
      </c>
      <c r="AS279" s="7">
        <v>3.734</v>
      </c>
      <c r="AT279" s="7">
        <v>0</v>
      </c>
      <c r="AU279" s="7">
        <v>0.50800000000000001</v>
      </c>
      <c r="AV279" s="7">
        <v>0</v>
      </c>
      <c r="AW279" s="7">
        <v>0</v>
      </c>
      <c r="AX279" s="7">
        <v>0</v>
      </c>
      <c r="AY279" s="7">
        <v>0</v>
      </c>
      <c r="AZ279" s="7">
        <v>0</v>
      </c>
      <c r="BA279" s="7">
        <v>0</v>
      </c>
      <c r="BB279" s="7">
        <v>227.94499999999999</v>
      </c>
      <c r="BC279" s="7">
        <v>0</v>
      </c>
      <c r="BD279" s="7">
        <v>0</v>
      </c>
      <c r="BE279" s="7">
        <v>52.683</v>
      </c>
      <c r="BF279" s="7">
        <v>52.683</v>
      </c>
      <c r="BG279" s="7">
        <v>0</v>
      </c>
      <c r="BH279" s="7">
        <v>0</v>
      </c>
      <c r="BI279" s="7">
        <v>0</v>
      </c>
      <c r="BJ279" s="21"/>
    </row>
    <row r="280" spans="1:62" ht="15.6" x14ac:dyDescent="0.3">
      <c r="A280" s="5" t="s">
        <v>461</v>
      </c>
      <c r="B280" s="5" t="s">
        <v>484</v>
      </c>
      <c r="C280" s="7">
        <v>6</v>
      </c>
      <c r="D280" s="7">
        <v>6</v>
      </c>
      <c r="E280" s="7">
        <v>0</v>
      </c>
      <c r="F280" s="7">
        <v>0</v>
      </c>
      <c r="G280" s="7">
        <v>0</v>
      </c>
      <c r="H280" s="7">
        <v>0</v>
      </c>
      <c r="I280" s="7">
        <v>0</v>
      </c>
      <c r="J280" s="7">
        <v>0</v>
      </c>
      <c r="K280" s="7">
        <v>0</v>
      </c>
      <c r="L280" s="7">
        <v>0</v>
      </c>
      <c r="M280" s="7">
        <v>0</v>
      </c>
      <c r="N280" s="7">
        <v>0</v>
      </c>
      <c r="O280" s="7">
        <v>0</v>
      </c>
      <c r="P280" s="7">
        <v>0</v>
      </c>
      <c r="Q280" s="7">
        <v>0</v>
      </c>
      <c r="R280" s="7">
        <v>0</v>
      </c>
      <c r="S280" s="7">
        <v>0</v>
      </c>
      <c r="T280" s="7">
        <v>0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0</v>
      </c>
      <c r="AB280" s="7">
        <v>0</v>
      </c>
      <c r="AC280" s="7">
        <v>0</v>
      </c>
      <c r="AD280" s="7">
        <v>0</v>
      </c>
      <c r="AE280" s="7">
        <v>0</v>
      </c>
      <c r="AF280" s="7">
        <v>0</v>
      </c>
      <c r="AG280" s="7">
        <v>0</v>
      </c>
      <c r="AH280" s="7">
        <v>0</v>
      </c>
      <c r="AI280" s="7">
        <v>0</v>
      </c>
      <c r="AJ280" s="7">
        <v>0</v>
      </c>
      <c r="AK280" s="7">
        <v>0</v>
      </c>
      <c r="AL280" s="7">
        <v>0</v>
      </c>
      <c r="AM280" s="7">
        <v>0</v>
      </c>
      <c r="AN280" s="7">
        <v>0</v>
      </c>
      <c r="AO280" s="7">
        <v>0</v>
      </c>
      <c r="AP280" s="7">
        <v>0</v>
      </c>
      <c r="AQ280" s="7">
        <v>0</v>
      </c>
      <c r="AR280" s="7">
        <v>0</v>
      </c>
      <c r="AS280" s="7">
        <v>0</v>
      </c>
      <c r="AT280" s="7">
        <v>0</v>
      </c>
      <c r="AU280" s="7">
        <v>0</v>
      </c>
      <c r="AV280" s="7">
        <v>0</v>
      </c>
      <c r="AW280" s="7">
        <v>0</v>
      </c>
      <c r="AX280" s="7">
        <v>0</v>
      </c>
      <c r="AY280" s="7">
        <v>0</v>
      </c>
      <c r="AZ280" s="7">
        <v>0</v>
      </c>
      <c r="BA280" s="7">
        <v>0</v>
      </c>
      <c r="BB280" s="7">
        <v>0</v>
      </c>
      <c r="BC280" s="7">
        <v>0</v>
      </c>
      <c r="BD280" s="7">
        <v>0</v>
      </c>
      <c r="BE280" s="7">
        <v>0</v>
      </c>
      <c r="BF280" s="7">
        <v>0</v>
      </c>
      <c r="BG280" s="7">
        <v>0</v>
      </c>
      <c r="BH280" s="7">
        <v>0</v>
      </c>
      <c r="BI280" s="7">
        <v>0</v>
      </c>
      <c r="BJ280" s="21"/>
    </row>
    <row r="281" spans="1:62" ht="15.6" x14ac:dyDescent="0.3">
      <c r="A281" s="5" t="s">
        <v>485</v>
      </c>
      <c r="B281" s="5" t="s">
        <v>486</v>
      </c>
      <c r="C281" s="7">
        <v>5</v>
      </c>
      <c r="D281" s="7">
        <v>5</v>
      </c>
      <c r="E281" s="7">
        <v>144471.584</v>
      </c>
      <c r="F281" s="7">
        <v>0</v>
      </c>
      <c r="G281" s="7">
        <v>12430.861999999999</v>
      </c>
      <c r="H281" s="7">
        <v>86.676000000000002</v>
      </c>
      <c r="I281" s="7">
        <v>0</v>
      </c>
      <c r="J281" s="7">
        <v>30787.616000000002</v>
      </c>
      <c r="K281" s="7">
        <v>15653.217000000001</v>
      </c>
      <c r="L281" s="7">
        <v>125706.389</v>
      </c>
      <c r="M281" s="7">
        <v>170878.76500000001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2859.248</v>
      </c>
      <c r="V281" s="7">
        <v>5467.9930000000004</v>
      </c>
      <c r="W281" s="7">
        <v>8511.4339999999993</v>
      </c>
      <c r="X281" s="7">
        <v>0</v>
      </c>
      <c r="Y281" s="7">
        <v>28099.219000000001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76867.194000000003</v>
      </c>
      <c r="AF281" s="7">
        <v>8900.4279999999999</v>
      </c>
      <c r="AG281" s="7">
        <v>9013.7839999999997</v>
      </c>
      <c r="AH281" s="7">
        <v>517501.79700000002</v>
      </c>
      <c r="AI281" s="7">
        <v>91587.986000000004</v>
      </c>
      <c r="AJ281" s="7">
        <v>16.489999999999998</v>
      </c>
      <c r="AK281" s="7">
        <v>422.827</v>
      </c>
      <c r="AL281" s="7">
        <v>114.887</v>
      </c>
      <c r="AM281" s="7">
        <v>671.78599999999994</v>
      </c>
      <c r="AN281" s="7">
        <v>117.324</v>
      </c>
      <c r="AO281" s="7">
        <v>0</v>
      </c>
      <c r="AP281" s="7">
        <v>0</v>
      </c>
      <c r="AQ281" s="7">
        <v>8354.8780000000006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21"/>
    </row>
    <row r="282" spans="1:62" ht="15.6" x14ac:dyDescent="0.3">
      <c r="A282" s="5" t="s">
        <v>487</v>
      </c>
      <c r="B282" s="5" t="s">
        <v>488</v>
      </c>
      <c r="C282" s="7">
        <v>5</v>
      </c>
      <c r="D282" s="7">
        <v>5</v>
      </c>
      <c r="E282" s="7">
        <v>0</v>
      </c>
      <c r="F282" s="7">
        <v>0</v>
      </c>
      <c r="G282" s="7">
        <v>0</v>
      </c>
      <c r="H282" s="7">
        <v>0</v>
      </c>
      <c r="I282" s="7">
        <v>0</v>
      </c>
      <c r="J282" s="7">
        <v>0</v>
      </c>
      <c r="K282" s="7">
        <v>0</v>
      </c>
      <c r="L282" s="7">
        <v>0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0</v>
      </c>
      <c r="U282" s="7">
        <v>0</v>
      </c>
      <c r="V282" s="7">
        <v>0</v>
      </c>
      <c r="W282" s="7">
        <v>0</v>
      </c>
      <c r="X282" s="7">
        <v>0</v>
      </c>
      <c r="Y282" s="7">
        <v>0</v>
      </c>
      <c r="Z282" s="7">
        <v>0</v>
      </c>
      <c r="AA282" s="7">
        <v>0</v>
      </c>
      <c r="AB282" s="7">
        <v>0</v>
      </c>
      <c r="AC282" s="7">
        <v>0</v>
      </c>
      <c r="AD282" s="7">
        <v>0</v>
      </c>
      <c r="AE282" s="7">
        <v>0</v>
      </c>
      <c r="AF282" s="7">
        <v>0</v>
      </c>
      <c r="AG282" s="7">
        <v>0</v>
      </c>
      <c r="AH282" s="7">
        <v>0</v>
      </c>
      <c r="AI282" s="7">
        <v>0</v>
      </c>
      <c r="AJ282" s="7">
        <v>0</v>
      </c>
      <c r="AK282" s="7">
        <v>0</v>
      </c>
      <c r="AL282" s="7">
        <v>0</v>
      </c>
      <c r="AM282" s="7">
        <v>0</v>
      </c>
      <c r="AN282" s="7">
        <v>0</v>
      </c>
      <c r="AO282" s="7">
        <v>0</v>
      </c>
      <c r="AP282" s="7">
        <v>0</v>
      </c>
      <c r="AQ282" s="7">
        <v>0</v>
      </c>
      <c r="AR282" s="7">
        <v>0</v>
      </c>
      <c r="AS282" s="7">
        <v>0</v>
      </c>
      <c r="AT282" s="7">
        <v>0</v>
      </c>
      <c r="AU282" s="7">
        <v>0</v>
      </c>
      <c r="AV282" s="7">
        <v>0</v>
      </c>
      <c r="AW282" s="7">
        <v>0</v>
      </c>
      <c r="AX282" s="7">
        <v>0</v>
      </c>
      <c r="AY282" s="7">
        <v>0</v>
      </c>
      <c r="AZ282" s="7">
        <v>0</v>
      </c>
      <c r="BA282" s="7">
        <v>0</v>
      </c>
      <c r="BB282" s="7">
        <v>0</v>
      </c>
      <c r="BC282" s="7">
        <v>0</v>
      </c>
      <c r="BD282" s="7">
        <v>0</v>
      </c>
      <c r="BE282" s="7">
        <v>0</v>
      </c>
      <c r="BF282" s="7">
        <v>0</v>
      </c>
      <c r="BG282" s="7">
        <v>0</v>
      </c>
      <c r="BH282" s="7">
        <v>0</v>
      </c>
      <c r="BI282" s="7">
        <v>0</v>
      </c>
      <c r="BJ282" s="21"/>
    </row>
    <row r="283" spans="1:62" ht="15.6" x14ac:dyDescent="0.3">
      <c r="A283" s="5" t="s">
        <v>489</v>
      </c>
      <c r="B283" s="5" t="s">
        <v>490</v>
      </c>
      <c r="C283" s="7">
        <v>5</v>
      </c>
      <c r="D283" s="7">
        <v>5</v>
      </c>
      <c r="E283" s="7">
        <v>15309.066000000001</v>
      </c>
      <c r="F283" s="7">
        <v>1393.02</v>
      </c>
      <c r="G283" s="7">
        <v>1972.91</v>
      </c>
      <c r="H283" s="7">
        <v>0</v>
      </c>
      <c r="I283" s="7">
        <v>345.483</v>
      </c>
      <c r="J283" s="7">
        <v>1205.971</v>
      </c>
      <c r="K283" s="7">
        <v>0</v>
      </c>
      <c r="L283" s="7">
        <v>11132.48</v>
      </c>
      <c r="M283" s="7">
        <v>5377.1819999999998</v>
      </c>
      <c r="N283" s="7">
        <v>0</v>
      </c>
      <c r="O283" s="7">
        <v>0</v>
      </c>
      <c r="P283" s="7">
        <v>63.866999999999997</v>
      </c>
      <c r="Q283" s="7">
        <v>0</v>
      </c>
      <c r="R283" s="7">
        <v>0</v>
      </c>
      <c r="S283" s="7">
        <v>0</v>
      </c>
      <c r="T283" s="7">
        <v>0</v>
      </c>
      <c r="U283" s="7">
        <v>0</v>
      </c>
      <c r="V283" s="7">
        <v>179.69200000000001</v>
      </c>
      <c r="W283" s="7">
        <v>547.21600000000001</v>
      </c>
      <c r="X283" s="7">
        <v>0</v>
      </c>
      <c r="Y283" s="7">
        <v>4328.7749999999996</v>
      </c>
      <c r="Z283" s="7">
        <v>0</v>
      </c>
      <c r="AA283" s="7">
        <v>1528.8409999999999</v>
      </c>
      <c r="AB283" s="7">
        <v>0</v>
      </c>
      <c r="AC283" s="7">
        <v>232.416</v>
      </c>
      <c r="AD283" s="7">
        <v>0</v>
      </c>
      <c r="AE283" s="7">
        <v>13867.655000000001</v>
      </c>
      <c r="AF283" s="7">
        <v>0</v>
      </c>
      <c r="AG283" s="7">
        <v>0</v>
      </c>
      <c r="AH283" s="7">
        <v>32158.100999999999</v>
      </c>
      <c r="AI283" s="7">
        <v>0</v>
      </c>
      <c r="AJ283" s="7">
        <v>0</v>
      </c>
      <c r="AK283" s="7">
        <v>0</v>
      </c>
      <c r="AL283" s="7">
        <v>0</v>
      </c>
      <c r="AM283" s="7">
        <v>0</v>
      </c>
      <c r="AN283" s="7">
        <v>0</v>
      </c>
      <c r="AO283" s="7">
        <v>0</v>
      </c>
      <c r="AP283" s="7">
        <v>0</v>
      </c>
      <c r="AQ283" s="7">
        <v>0</v>
      </c>
      <c r="AR283" s="7">
        <v>0</v>
      </c>
      <c r="AS283" s="7">
        <v>0</v>
      </c>
      <c r="AT283" s="7">
        <v>0</v>
      </c>
      <c r="AU283" s="7">
        <v>0</v>
      </c>
      <c r="AV283" s="7">
        <v>0</v>
      </c>
      <c r="AW283" s="7">
        <v>0</v>
      </c>
      <c r="AX283" s="7">
        <v>0</v>
      </c>
      <c r="AY283" s="7">
        <v>0</v>
      </c>
      <c r="AZ283" s="7">
        <v>0</v>
      </c>
      <c r="BA283" s="7">
        <v>0</v>
      </c>
      <c r="BB283" s="7">
        <v>0</v>
      </c>
      <c r="BC283" s="7">
        <v>0</v>
      </c>
      <c r="BD283" s="7">
        <v>0</v>
      </c>
      <c r="BE283" s="7">
        <v>0</v>
      </c>
      <c r="BF283" s="7">
        <v>0</v>
      </c>
      <c r="BG283" s="7">
        <v>0</v>
      </c>
      <c r="BH283" s="7">
        <v>0</v>
      </c>
      <c r="BI283" s="7">
        <v>0</v>
      </c>
      <c r="BJ283" s="21"/>
    </row>
    <row r="284" spans="1:62" ht="15.6" x14ac:dyDescent="0.3">
      <c r="A284" s="5" t="s">
        <v>491</v>
      </c>
      <c r="B284" s="5" t="s">
        <v>492</v>
      </c>
      <c r="C284" s="7">
        <v>5</v>
      </c>
      <c r="D284" s="7">
        <v>5</v>
      </c>
      <c r="E284" s="7">
        <v>0</v>
      </c>
      <c r="F284" s="7">
        <v>0</v>
      </c>
      <c r="G284" s="7">
        <v>0</v>
      </c>
      <c r="H284" s="7">
        <v>0</v>
      </c>
      <c r="I284" s="7">
        <v>0</v>
      </c>
      <c r="J284" s="7">
        <v>0</v>
      </c>
      <c r="K284" s="7">
        <v>0</v>
      </c>
      <c r="L284" s="7">
        <v>0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0</v>
      </c>
      <c r="U284" s="7">
        <v>0</v>
      </c>
      <c r="V284" s="7">
        <v>0</v>
      </c>
      <c r="W284" s="7">
        <v>0</v>
      </c>
      <c r="X284" s="7">
        <v>0</v>
      </c>
      <c r="Y284" s="7">
        <v>0</v>
      </c>
      <c r="Z284" s="7">
        <v>0</v>
      </c>
      <c r="AA284" s="7">
        <v>0</v>
      </c>
      <c r="AB284" s="7">
        <v>0</v>
      </c>
      <c r="AC284" s="7">
        <v>0</v>
      </c>
      <c r="AD284" s="7">
        <v>0</v>
      </c>
      <c r="AE284" s="7">
        <v>0</v>
      </c>
      <c r="AF284" s="7">
        <v>0</v>
      </c>
      <c r="AG284" s="7">
        <v>0</v>
      </c>
      <c r="AH284" s="7">
        <v>0</v>
      </c>
      <c r="AI284" s="7">
        <v>0</v>
      </c>
      <c r="AJ284" s="7">
        <v>0</v>
      </c>
      <c r="AK284" s="7">
        <v>0</v>
      </c>
      <c r="AL284" s="7">
        <v>0</v>
      </c>
      <c r="AM284" s="7">
        <v>0</v>
      </c>
      <c r="AN284" s="7">
        <v>0</v>
      </c>
      <c r="AO284" s="7">
        <v>0</v>
      </c>
      <c r="AP284" s="7">
        <v>0</v>
      </c>
      <c r="AQ284" s="7">
        <v>0</v>
      </c>
      <c r="AR284" s="7">
        <v>0</v>
      </c>
      <c r="AS284" s="7">
        <v>0</v>
      </c>
      <c r="AT284" s="7">
        <v>0</v>
      </c>
      <c r="AU284" s="7">
        <v>0</v>
      </c>
      <c r="AV284" s="7">
        <v>0</v>
      </c>
      <c r="AW284" s="7">
        <v>0</v>
      </c>
      <c r="AX284" s="7">
        <v>0</v>
      </c>
      <c r="AY284" s="7">
        <v>0</v>
      </c>
      <c r="AZ284" s="7">
        <v>0</v>
      </c>
      <c r="BA284" s="7">
        <v>0</v>
      </c>
      <c r="BB284" s="7">
        <v>0</v>
      </c>
      <c r="BC284" s="7">
        <v>0</v>
      </c>
      <c r="BD284" s="7">
        <v>0</v>
      </c>
      <c r="BE284" s="7">
        <v>0</v>
      </c>
      <c r="BF284" s="7">
        <v>0</v>
      </c>
      <c r="BG284" s="7">
        <v>0</v>
      </c>
      <c r="BH284" s="7">
        <v>0</v>
      </c>
      <c r="BI284" s="7">
        <v>0</v>
      </c>
      <c r="BJ284" s="21"/>
    </row>
    <row r="285" spans="1:62" ht="15.6" x14ac:dyDescent="0.3">
      <c r="A285" s="5" t="s">
        <v>493</v>
      </c>
      <c r="B285" s="5" t="s">
        <v>494</v>
      </c>
      <c r="C285" s="7">
        <v>5</v>
      </c>
      <c r="D285" s="7">
        <v>5</v>
      </c>
      <c r="E285" s="7">
        <v>0</v>
      </c>
      <c r="F285" s="7">
        <v>0</v>
      </c>
      <c r="G285" s="7">
        <v>0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7">
        <v>0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7">
        <v>0</v>
      </c>
      <c r="AK285" s="7">
        <v>0</v>
      </c>
      <c r="AL285" s="7">
        <v>0</v>
      </c>
      <c r="AM285" s="7">
        <v>0</v>
      </c>
      <c r="AN285" s="7">
        <v>0</v>
      </c>
      <c r="AO285" s="7">
        <v>0</v>
      </c>
      <c r="AP285" s="7">
        <v>0</v>
      </c>
      <c r="AQ285" s="7">
        <v>0</v>
      </c>
      <c r="AR285" s="7">
        <v>0</v>
      </c>
      <c r="AS285" s="7">
        <v>0</v>
      </c>
      <c r="AT285" s="7">
        <v>0</v>
      </c>
      <c r="AU285" s="7">
        <v>0</v>
      </c>
      <c r="AV285" s="7">
        <v>0</v>
      </c>
      <c r="AW285" s="7">
        <v>0</v>
      </c>
      <c r="AX285" s="7">
        <v>0</v>
      </c>
      <c r="AY285" s="7">
        <v>0</v>
      </c>
      <c r="AZ285" s="7">
        <v>0</v>
      </c>
      <c r="BA285" s="7">
        <v>0</v>
      </c>
      <c r="BB285" s="7">
        <v>0</v>
      </c>
      <c r="BC285" s="7">
        <v>0</v>
      </c>
      <c r="BD285" s="7">
        <v>0</v>
      </c>
      <c r="BE285" s="7">
        <v>0</v>
      </c>
      <c r="BF285" s="7">
        <v>0</v>
      </c>
      <c r="BG285" s="7">
        <v>0</v>
      </c>
      <c r="BH285" s="7">
        <v>0</v>
      </c>
      <c r="BI285" s="7">
        <v>0</v>
      </c>
      <c r="BJ285" s="21"/>
    </row>
    <row r="286" spans="1:62" ht="15.6" x14ac:dyDescent="0.3">
      <c r="A286" s="5" t="s">
        <v>495</v>
      </c>
      <c r="B286" s="5" t="s">
        <v>496</v>
      </c>
      <c r="C286" s="7">
        <v>5</v>
      </c>
      <c r="D286" s="7">
        <v>5</v>
      </c>
      <c r="E286" s="7">
        <v>0</v>
      </c>
      <c r="F286" s="7">
        <v>0</v>
      </c>
      <c r="G286" s="7">
        <v>0</v>
      </c>
      <c r="H286" s="7">
        <v>0</v>
      </c>
      <c r="I286" s="7">
        <v>0</v>
      </c>
      <c r="J286" s="7">
        <v>0</v>
      </c>
      <c r="K286" s="7">
        <v>0</v>
      </c>
      <c r="L286" s="7">
        <v>0</v>
      </c>
      <c r="M286" s="7">
        <v>0</v>
      </c>
      <c r="N286" s="7">
        <v>0</v>
      </c>
      <c r="O286" s="7">
        <v>0</v>
      </c>
      <c r="P286" s="7">
        <v>0</v>
      </c>
      <c r="Q286" s="7">
        <v>0</v>
      </c>
      <c r="R286" s="7">
        <v>0</v>
      </c>
      <c r="S286" s="7">
        <v>0</v>
      </c>
      <c r="T286" s="7">
        <v>0</v>
      </c>
      <c r="U286" s="7">
        <v>0</v>
      </c>
      <c r="V286" s="7">
        <v>0</v>
      </c>
      <c r="W286" s="7">
        <v>0</v>
      </c>
      <c r="X286" s="7">
        <v>0</v>
      </c>
      <c r="Y286" s="7">
        <v>0</v>
      </c>
      <c r="Z286" s="7">
        <v>0</v>
      </c>
      <c r="AA286" s="7">
        <v>0</v>
      </c>
      <c r="AB286" s="7">
        <v>0</v>
      </c>
      <c r="AC286" s="7">
        <v>0</v>
      </c>
      <c r="AD286" s="7">
        <v>0</v>
      </c>
      <c r="AE286" s="7">
        <v>0</v>
      </c>
      <c r="AF286" s="7">
        <v>0</v>
      </c>
      <c r="AG286" s="7">
        <v>0</v>
      </c>
      <c r="AH286" s="7">
        <v>0</v>
      </c>
      <c r="AI286" s="7">
        <v>0</v>
      </c>
      <c r="AJ286" s="7">
        <v>0</v>
      </c>
      <c r="AK286" s="7">
        <v>0</v>
      </c>
      <c r="AL286" s="7">
        <v>0</v>
      </c>
      <c r="AM286" s="7">
        <v>0</v>
      </c>
      <c r="AN286" s="7">
        <v>0</v>
      </c>
      <c r="AO286" s="7">
        <v>0</v>
      </c>
      <c r="AP286" s="7">
        <v>0</v>
      </c>
      <c r="AQ286" s="7">
        <v>0</v>
      </c>
      <c r="AR286" s="7">
        <v>0</v>
      </c>
      <c r="AS286" s="7">
        <v>0</v>
      </c>
      <c r="AT286" s="7">
        <v>0</v>
      </c>
      <c r="AU286" s="7">
        <v>0</v>
      </c>
      <c r="AV286" s="7">
        <v>0</v>
      </c>
      <c r="AW286" s="7">
        <v>0</v>
      </c>
      <c r="AX286" s="7">
        <v>0</v>
      </c>
      <c r="AY286" s="7">
        <v>0</v>
      </c>
      <c r="AZ286" s="7">
        <v>0</v>
      </c>
      <c r="BA286" s="7">
        <v>0</v>
      </c>
      <c r="BB286" s="7">
        <v>0</v>
      </c>
      <c r="BC286" s="7">
        <v>0</v>
      </c>
      <c r="BD286" s="7">
        <v>0</v>
      </c>
      <c r="BE286" s="7">
        <v>0</v>
      </c>
      <c r="BF286" s="7">
        <v>0</v>
      </c>
      <c r="BG286" s="7">
        <v>0</v>
      </c>
      <c r="BH286" s="7">
        <v>0</v>
      </c>
      <c r="BI286" s="7">
        <v>0</v>
      </c>
      <c r="BJ286" s="21"/>
    </row>
    <row r="287" spans="1:62" ht="15.6" x14ac:dyDescent="0.3">
      <c r="A287" s="5" t="s">
        <v>497</v>
      </c>
      <c r="B287" s="5" t="s">
        <v>498</v>
      </c>
      <c r="C287" s="7">
        <v>5</v>
      </c>
      <c r="D287" s="7">
        <v>5</v>
      </c>
      <c r="E287" s="7">
        <v>76671.98</v>
      </c>
      <c r="F287" s="7">
        <v>7331.7129999999997</v>
      </c>
      <c r="G287" s="7">
        <v>11448.537</v>
      </c>
      <c r="H287" s="7">
        <v>0</v>
      </c>
      <c r="I287" s="7">
        <v>1879.8889999999999</v>
      </c>
      <c r="J287" s="7">
        <v>6580.9939999999997</v>
      </c>
      <c r="K287" s="7">
        <v>0</v>
      </c>
      <c r="L287" s="7">
        <v>67441.354999999996</v>
      </c>
      <c r="M287" s="7">
        <v>30968.517</v>
      </c>
      <c r="N287" s="7">
        <v>0</v>
      </c>
      <c r="O287" s="7">
        <v>0</v>
      </c>
      <c r="P287" s="7">
        <v>372.85399999999998</v>
      </c>
      <c r="Q287" s="7">
        <v>0</v>
      </c>
      <c r="R287" s="7">
        <v>0</v>
      </c>
      <c r="S287" s="7">
        <v>0</v>
      </c>
      <c r="T287" s="7">
        <v>0</v>
      </c>
      <c r="U287" s="7">
        <v>0</v>
      </c>
      <c r="V287" s="7">
        <v>799.82500000000005</v>
      </c>
      <c r="W287" s="7">
        <v>2435.7089999999998</v>
      </c>
      <c r="X287" s="7">
        <v>0</v>
      </c>
      <c r="Y287" s="7">
        <v>19876.102999999999</v>
      </c>
      <c r="Z287" s="7">
        <v>0</v>
      </c>
      <c r="AA287" s="7">
        <v>6805.01</v>
      </c>
      <c r="AB287" s="7">
        <v>0</v>
      </c>
      <c r="AC287" s="7">
        <v>1034.5050000000001</v>
      </c>
      <c r="AD287" s="7">
        <v>0</v>
      </c>
      <c r="AE287" s="7">
        <v>64149.521999999997</v>
      </c>
      <c r="AF287" s="7">
        <v>0</v>
      </c>
      <c r="AG287" s="7">
        <v>0</v>
      </c>
      <c r="AH287" s="7">
        <v>173374.05300000001</v>
      </c>
      <c r="AI287" s="7">
        <v>0</v>
      </c>
      <c r="AJ287" s="7">
        <v>0</v>
      </c>
      <c r="AK287" s="7">
        <v>0</v>
      </c>
      <c r="AL287" s="7">
        <v>0</v>
      </c>
      <c r="AM287" s="7">
        <v>0</v>
      </c>
      <c r="AN287" s="7">
        <v>0</v>
      </c>
      <c r="AO287" s="7">
        <v>0</v>
      </c>
      <c r="AP287" s="7">
        <v>0</v>
      </c>
      <c r="AQ287" s="7">
        <v>0</v>
      </c>
      <c r="AR287" s="7">
        <v>0</v>
      </c>
      <c r="AS287" s="7">
        <v>0</v>
      </c>
      <c r="AT287" s="7">
        <v>0</v>
      </c>
      <c r="AU287" s="7">
        <v>0</v>
      </c>
      <c r="AV287" s="7">
        <v>0</v>
      </c>
      <c r="AW287" s="7">
        <v>0</v>
      </c>
      <c r="AX287" s="7">
        <v>0</v>
      </c>
      <c r="AY287" s="7">
        <v>0</v>
      </c>
      <c r="AZ287" s="7">
        <v>0</v>
      </c>
      <c r="BA287" s="7">
        <v>0</v>
      </c>
      <c r="BB287" s="7">
        <v>0</v>
      </c>
      <c r="BC287" s="7">
        <v>0</v>
      </c>
      <c r="BD287" s="7">
        <v>0</v>
      </c>
      <c r="BE287" s="7">
        <v>0</v>
      </c>
      <c r="BF287" s="7">
        <v>0</v>
      </c>
      <c r="BG287" s="7">
        <v>0</v>
      </c>
      <c r="BH287" s="7">
        <v>0</v>
      </c>
      <c r="BI287" s="7">
        <v>0</v>
      </c>
      <c r="BJ287" s="21"/>
    </row>
    <row r="288" spans="1:62" ht="15.6" x14ac:dyDescent="0.3">
      <c r="A288" s="5" t="s">
        <v>499</v>
      </c>
      <c r="B288" s="5" t="s">
        <v>500</v>
      </c>
      <c r="C288" s="7">
        <v>5</v>
      </c>
      <c r="D288" s="7">
        <v>5</v>
      </c>
      <c r="E288" s="7">
        <v>199544.96799999999</v>
      </c>
      <c r="F288" s="7">
        <v>19163.955999999998</v>
      </c>
      <c r="G288" s="7">
        <v>29027.920999999998</v>
      </c>
      <c r="H288" s="7">
        <v>13929.963</v>
      </c>
      <c r="I288" s="7">
        <v>5092.5609999999997</v>
      </c>
      <c r="J288" s="7">
        <v>17176.855</v>
      </c>
      <c r="K288" s="7">
        <v>0</v>
      </c>
      <c r="L288" s="7">
        <v>151277.40700000001</v>
      </c>
      <c r="M288" s="7">
        <v>77942.195999999996</v>
      </c>
      <c r="N288" s="7">
        <v>0</v>
      </c>
      <c r="O288" s="7">
        <v>0</v>
      </c>
      <c r="P288" s="7">
        <v>939.07799999999997</v>
      </c>
      <c r="Q288" s="7">
        <v>0</v>
      </c>
      <c r="R288" s="7">
        <v>0</v>
      </c>
      <c r="S288" s="7">
        <v>0</v>
      </c>
      <c r="T288" s="7">
        <v>0</v>
      </c>
      <c r="U288" s="7">
        <v>0</v>
      </c>
      <c r="V288" s="7">
        <v>2155.3789999999999</v>
      </c>
      <c r="W288" s="7">
        <v>6650.28</v>
      </c>
      <c r="X288" s="7">
        <v>0</v>
      </c>
      <c r="Y288" s="7">
        <v>52269.031000000003</v>
      </c>
      <c r="Z288" s="7">
        <v>0</v>
      </c>
      <c r="AA288" s="7">
        <v>18612.645</v>
      </c>
      <c r="AB288" s="7">
        <v>0</v>
      </c>
      <c r="AC288" s="7">
        <v>2787.7959999999998</v>
      </c>
      <c r="AD288" s="7">
        <v>0</v>
      </c>
      <c r="AE288" s="7">
        <v>167359.125</v>
      </c>
      <c r="AF288" s="7">
        <v>0</v>
      </c>
      <c r="AG288" s="7">
        <v>0</v>
      </c>
      <c r="AH288" s="7">
        <v>417826.53100000002</v>
      </c>
      <c r="AI288" s="7">
        <v>0</v>
      </c>
      <c r="AJ288" s="7">
        <v>0</v>
      </c>
      <c r="AK288" s="7">
        <v>0</v>
      </c>
      <c r="AL288" s="7">
        <v>0</v>
      </c>
      <c r="AM288" s="7">
        <v>0</v>
      </c>
      <c r="AN288" s="7">
        <v>0</v>
      </c>
      <c r="AO288" s="7">
        <v>0</v>
      </c>
      <c r="AP288" s="7">
        <v>0</v>
      </c>
      <c r="AQ288" s="7">
        <v>0</v>
      </c>
      <c r="AR288" s="7">
        <v>0</v>
      </c>
      <c r="AS288" s="7">
        <v>0</v>
      </c>
      <c r="AT288" s="7">
        <v>0</v>
      </c>
      <c r="AU288" s="7">
        <v>-2E-3</v>
      </c>
      <c r="AV288" s="7">
        <v>0</v>
      </c>
      <c r="AW288" s="7">
        <v>0</v>
      </c>
      <c r="AX288" s="7">
        <v>0</v>
      </c>
      <c r="AY288" s="7">
        <v>0</v>
      </c>
      <c r="AZ288" s="7">
        <v>0</v>
      </c>
      <c r="BA288" s="7">
        <v>0</v>
      </c>
      <c r="BB288" s="7">
        <v>0</v>
      </c>
      <c r="BC288" s="7">
        <v>0</v>
      </c>
      <c r="BD288" s="7">
        <v>0</v>
      </c>
      <c r="BE288" s="7">
        <v>0</v>
      </c>
      <c r="BF288" s="7">
        <v>0</v>
      </c>
      <c r="BG288" s="7">
        <v>0</v>
      </c>
      <c r="BH288" s="7">
        <v>0</v>
      </c>
      <c r="BI288" s="7">
        <v>0</v>
      </c>
      <c r="BJ288" s="21"/>
    </row>
    <row r="289" spans="1:62" ht="15.6" x14ac:dyDescent="0.3">
      <c r="A289" s="5" t="s">
        <v>501</v>
      </c>
      <c r="B289" s="5" t="s">
        <v>502</v>
      </c>
      <c r="C289" s="7">
        <v>5</v>
      </c>
      <c r="D289" s="7">
        <v>5</v>
      </c>
      <c r="E289" s="7">
        <v>2135.1819999999998</v>
      </c>
      <c r="F289" s="7">
        <v>0</v>
      </c>
      <c r="G289" s="7">
        <v>0</v>
      </c>
      <c r="H289" s="7">
        <v>0</v>
      </c>
      <c r="I289" s="7">
        <v>0</v>
      </c>
      <c r="J289" s="7">
        <v>0</v>
      </c>
      <c r="K289" s="7">
        <v>0</v>
      </c>
      <c r="L289" s="7">
        <v>6107.0770000000002</v>
      </c>
      <c r="M289" s="7">
        <v>291.78100000000001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7">
        <v>0</v>
      </c>
      <c r="U289" s="7">
        <v>0</v>
      </c>
      <c r="V289" s="7">
        <v>0</v>
      </c>
      <c r="W289" s="7">
        <v>0</v>
      </c>
      <c r="X289" s="7">
        <v>0</v>
      </c>
      <c r="Y289" s="7">
        <v>2425.9969999999998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4969.0280000000002</v>
      </c>
      <c r="AF289" s="7">
        <v>0</v>
      </c>
      <c r="AG289" s="7">
        <v>0</v>
      </c>
      <c r="AH289" s="7">
        <v>12250.304</v>
      </c>
      <c r="AI289" s="7">
        <v>0</v>
      </c>
      <c r="AJ289" s="7">
        <v>0</v>
      </c>
      <c r="AK289" s="7">
        <v>0</v>
      </c>
      <c r="AL289" s="7">
        <v>0</v>
      </c>
      <c r="AM289" s="7">
        <v>0</v>
      </c>
      <c r="AN289" s="7">
        <v>0</v>
      </c>
      <c r="AO289" s="7">
        <v>0</v>
      </c>
      <c r="AP289" s="7">
        <v>0</v>
      </c>
      <c r="AQ289" s="7">
        <v>0</v>
      </c>
      <c r="AR289" s="7">
        <v>0</v>
      </c>
      <c r="AS289" s="7">
        <v>0</v>
      </c>
      <c r="AT289" s="7">
        <v>0</v>
      </c>
      <c r="AU289" s="7">
        <v>0</v>
      </c>
      <c r="AV289" s="7">
        <v>0</v>
      </c>
      <c r="AW289" s="7">
        <v>0</v>
      </c>
      <c r="AX289" s="7">
        <v>0</v>
      </c>
      <c r="AY289" s="7">
        <v>0</v>
      </c>
      <c r="AZ289" s="7">
        <v>0</v>
      </c>
      <c r="BA289" s="7">
        <v>0</v>
      </c>
      <c r="BB289" s="7">
        <v>0</v>
      </c>
      <c r="BC289" s="7">
        <v>0</v>
      </c>
      <c r="BD289" s="7">
        <v>0</v>
      </c>
      <c r="BE289" s="7">
        <v>0</v>
      </c>
      <c r="BF289" s="7">
        <v>0</v>
      </c>
      <c r="BG289" s="7">
        <v>0</v>
      </c>
      <c r="BH289" s="7">
        <v>0</v>
      </c>
      <c r="BI289" s="7">
        <v>0</v>
      </c>
      <c r="BJ289" s="21"/>
    </row>
    <row r="290" spans="1:62" ht="15.6" x14ac:dyDescent="0.3">
      <c r="A290" s="5" t="s">
        <v>503</v>
      </c>
      <c r="B290" s="5" t="s">
        <v>504</v>
      </c>
      <c r="C290" s="7">
        <v>5</v>
      </c>
      <c r="D290" s="7">
        <v>5</v>
      </c>
      <c r="E290" s="7">
        <v>36558.803999999996</v>
      </c>
      <c r="F290" s="7">
        <v>3053.6480000000001</v>
      </c>
      <c r="G290" s="7">
        <v>4324.8280000000004</v>
      </c>
      <c r="H290" s="7">
        <v>101.748</v>
      </c>
      <c r="I290" s="7">
        <v>757.33500000000004</v>
      </c>
      <c r="J290" s="7">
        <v>2643.6170000000002</v>
      </c>
      <c r="K290" s="7">
        <v>0</v>
      </c>
      <c r="L290" s="7">
        <v>30506.027999999998</v>
      </c>
      <c r="M290" s="7">
        <v>12884.308000000001</v>
      </c>
      <c r="N290" s="7">
        <v>0</v>
      </c>
      <c r="O290" s="7">
        <v>0</v>
      </c>
      <c r="P290" s="7">
        <v>140.00299999999999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393.904</v>
      </c>
      <c r="W290" s="7">
        <v>1199.556</v>
      </c>
      <c r="X290" s="7">
        <v>0</v>
      </c>
      <c r="Y290" s="7">
        <v>11597.206</v>
      </c>
      <c r="Z290" s="7">
        <v>0</v>
      </c>
      <c r="AA290" s="7">
        <v>3351.3820000000001</v>
      </c>
      <c r="AB290" s="7">
        <v>0</v>
      </c>
      <c r="AC290" s="7">
        <v>509.48099999999999</v>
      </c>
      <c r="AD290" s="7">
        <v>0</v>
      </c>
      <c r="AE290" s="7">
        <v>34608.012000000002</v>
      </c>
      <c r="AF290" s="7">
        <v>0</v>
      </c>
      <c r="AG290" s="7">
        <v>0</v>
      </c>
      <c r="AH290" s="7">
        <v>80334.544999999998</v>
      </c>
      <c r="AI290" s="7">
        <v>0</v>
      </c>
      <c r="AJ290" s="7">
        <v>0</v>
      </c>
      <c r="AK290" s="7">
        <v>0</v>
      </c>
      <c r="AL290" s="7">
        <v>0</v>
      </c>
      <c r="AM290" s="7">
        <v>0</v>
      </c>
      <c r="AN290" s="7">
        <v>0</v>
      </c>
      <c r="AO290" s="7">
        <v>0</v>
      </c>
      <c r="AP290" s="7">
        <v>0</v>
      </c>
      <c r="AQ290" s="7">
        <v>0</v>
      </c>
      <c r="AR290" s="7">
        <v>0</v>
      </c>
      <c r="AS290" s="7">
        <v>0</v>
      </c>
      <c r="AT290" s="7">
        <v>0</v>
      </c>
      <c r="AU290" s="7">
        <v>0</v>
      </c>
      <c r="AV290" s="7">
        <v>0</v>
      </c>
      <c r="AW290" s="7">
        <v>0</v>
      </c>
      <c r="AX290" s="7">
        <v>0</v>
      </c>
      <c r="AY290" s="7">
        <v>0</v>
      </c>
      <c r="AZ290" s="7">
        <v>0</v>
      </c>
      <c r="BA290" s="7">
        <v>0</v>
      </c>
      <c r="BB290" s="7">
        <v>0</v>
      </c>
      <c r="BC290" s="7">
        <v>0</v>
      </c>
      <c r="BD290" s="7">
        <v>0</v>
      </c>
      <c r="BE290" s="7">
        <v>0</v>
      </c>
      <c r="BF290" s="7">
        <v>0</v>
      </c>
      <c r="BG290" s="7">
        <v>0</v>
      </c>
      <c r="BH290" s="7">
        <v>0</v>
      </c>
      <c r="BI290" s="7">
        <v>0</v>
      </c>
      <c r="BJ290" s="21"/>
    </row>
    <row r="291" spans="1:62" ht="15.6" x14ac:dyDescent="0.3">
      <c r="A291" s="5" t="s">
        <v>505</v>
      </c>
      <c r="B291" s="5" t="s">
        <v>506</v>
      </c>
      <c r="C291" s="7">
        <v>5</v>
      </c>
      <c r="D291" s="7">
        <v>5</v>
      </c>
      <c r="E291" s="7">
        <v>64209.911999999997</v>
      </c>
      <c r="F291" s="7">
        <v>816.27099999999996</v>
      </c>
      <c r="G291" s="7">
        <v>1156.07</v>
      </c>
      <c r="H291" s="7">
        <v>10901.445</v>
      </c>
      <c r="I291" s="7">
        <v>202.44300000000001</v>
      </c>
      <c r="J291" s="7">
        <v>706.66499999999996</v>
      </c>
      <c r="K291" s="7">
        <v>0</v>
      </c>
      <c r="L291" s="7">
        <v>51316.201000000001</v>
      </c>
      <c r="M291" s="7">
        <v>10880.364</v>
      </c>
      <c r="N291" s="7">
        <v>0</v>
      </c>
      <c r="O291" s="7">
        <v>0</v>
      </c>
      <c r="P291" s="7">
        <v>37.423999999999999</v>
      </c>
      <c r="Q291" s="7">
        <v>0</v>
      </c>
      <c r="R291" s="7">
        <v>0</v>
      </c>
      <c r="S291" s="7">
        <v>0</v>
      </c>
      <c r="T291" s="7">
        <v>0</v>
      </c>
      <c r="U291" s="7">
        <v>0</v>
      </c>
      <c r="V291" s="7">
        <v>105.294</v>
      </c>
      <c r="W291" s="7">
        <v>320.65300000000002</v>
      </c>
      <c r="X291" s="7">
        <v>0</v>
      </c>
      <c r="Y291" s="7">
        <v>20175.664000000001</v>
      </c>
      <c r="Z291" s="7">
        <v>0</v>
      </c>
      <c r="AA291" s="7">
        <v>1587.7159999999999</v>
      </c>
      <c r="AB291" s="7">
        <v>0</v>
      </c>
      <c r="AC291" s="7">
        <v>136.18899999999999</v>
      </c>
      <c r="AD291" s="7">
        <v>0</v>
      </c>
      <c r="AE291" s="7">
        <v>53024.593999999997</v>
      </c>
      <c r="AF291" s="7">
        <v>0</v>
      </c>
      <c r="AG291" s="7">
        <v>0</v>
      </c>
      <c r="AH291" s="7">
        <v>130623.5</v>
      </c>
      <c r="AI291" s="7">
        <v>0</v>
      </c>
      <c r="AJ291" s="7">
        <v>0</v>
      </c>
      <c r="AK291" s="7">
        <v>0</v>
      </c>
      <c r="AL291" s="7">
        <v>0</v>
      </c>
      <c r="AM291" s="7">
        <v>0</v>
      </c>
      <c r="AN291" s="7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7">
        <v>0</v>
      </c>
      <c r="BF291" s="7">
        <v>0</v>
      </c>
      <c r="BG291" s="7">
        <v>0</v>
      </c>
      <c r="BH291" s="7">
        <v>0</v>
      </c>
      <c r="BI291" s="7">
        <v>0</v>
      </c>
      <c r="BJ291" s="21"/>
    </row>
    <row r="292" spans="1:62" ht="15.6" x14ac:dyDescent="0.3">
      <c r="A292" s="5" t="s">
        <v>507</v>
      </c>
      <c r="B292" s="5" t="s">
        <v>508</v>
      </c>
      <c r="C292" s="7">
        <v>5</v>
      </c>
      <c r="D292" s="7">
        <v>5</v>
      </c>
      <c r="E292" s="7">
        <v>0</v>
      </c>
      <c r="F292" s="7">
        <v>0</v>
      </c>
      <c r="G292" s="7">
        <v>0</v>
      </c>
      <c r="H292" s="7">
        <v>0</v>
      </c>
      <c r="I292" s="7">
        <v>0</v>
      </c>
      <c r="J292" s="7">
        <v>0</v>
      </c>
      <c r="K292" s="7">
        <v>0</v>
      </c>
      <c r="L292" s="7">
        <v>0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>
        <v>0</v>
      </c>
      <c r="AI292" s="7">
        <v>0</v>
      </c>
      <c r="AJ292" s="7">
        <v>0</v>
      </c>
      <c r="AK292" s="7">
        <v>0</v>
      </c>
      <c r="AL292" s="7">
        <v>0</v>
      </c>
      <c r="AM292" s="7">
        <v>0</v>
      </c>
      <c r="AN292" s="7">
        <v>0</v>
      </c>
      <c r="AO292" s="7">
        <v>0</v>
      </c>
      <c r="AP292" s="7">
        <v>0</v>
      </c>
      <c r="AQ292" s="7">
        <v>0</v>
      </c>
      <c r="AR292" s="7">
        <v>0</v>
      </c>
      <c r="AS292" s="7">
        <v>0</v>
      </c>
      <c r="AT292" s="7">
        <v>0</v>
      </c>
      <c r="AU292" s="7">
        <v>0</v>
      </c>
      <c r="AV292" s="7">
        <v>0</v>
      </c>
      <c r="AW292" s="7">
        <v>0</v>
      </c>
      <c r="AX292" s="7">
        <v>0</v>
      </c>
      <c r="AY292" s="7">
        <v>0</v>
      </c>
      <c r="AZ292" s="7">
        <v>0</v>
      </c>
      <c r="BA292" s="7">
        <v>0</v>
      </c>
      <c r="BB292" s="7">
        <v>0</v>
      </c>
      <c r="BC292" s="7">
        <v>0</v>
      </c>
      <c r="BD292" s="7">
        <v>0</v>
      </c>
      <c r="BE292" s="7">
        <v>0</v>
      </c>
      <c r="BF292" s="7">
        <v>0</v>
      </c>
      <c r="BG292" s="7">
        <v>0</v>
      </c>
      <c r="BH292" s="7">
        <v>0</v>
      </c>
      <c r="BI292" s="7">
        <v>0</v>
      </c>
      <c r="BJ292" s="21"/>
    </row>
    <row r="293" spans="1:62" ht="15.6" x14ac:dyDescent="0.3">
      <c r="A293" s="5" t="s">
        <v>509</v>
      </c>
      <c r="B293" s="5" t="s">
        <v>510</v>
      </c>
      <c r="C293" s="7">
        <v>5</v>
      </c>
      <c r="D293" s="7">
        <v>5</v>
      </c>
      <c r="E293" s="7">
        <v>0</v>
      </c>
      <c r="F293" s="7">
        <v>0</v>
      </c>
      <c r="G293" s="7">
        <v>0</v>
      </c>
      <c r="H293" s="7">
        <v>0</v>
      </c>
      <c r="I293" s="7">
        <v>0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7">
        <v>0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7">
        <v>0</v>
      </c>
      <c r="AK293" s="7">
        <v>0</v>
      </c>
      <c r="AL293" s="7">
        <v>0</v>
      </c>
      <c r="AM293" s="7">
        <v>0</v>
      </c>
      <c r="AN293" s="7">
        <v>0</v>
      </c>
      <c r="AO293" s="7">
        <v>0</v>
      </c>
      <c r="AP293" s="7">
        <v>0</v>
      </c>
      <c r="AQ293" s="7">
        <v>0</v>
      </c>
      <c r="AR293" s="7">
        <v>0</v>
      </c>
      <c r="AS293" s="7">
        <v>0</v>
      </c>
      <c r="AT293" s="7">
        <v>0</v>
      </c>
      <c r="AU293" s="7">
        <v>0</v>
      </c>
      <c r="AV293" s="7">
        <v>0</v>
      </c>
      <c r="AW293" s="7">
        <v>0</v>
      </c>
      <c r="AX293" s="7">
        <v>0</v>
      </c>
      <c r="AY293" s="7">
        <v>0</v>
      </c>
      <c r="AZ293" s="7">
        <v>0</v>
      </c>
      <c r="BA293" s="7">
        <v>0</v>
      </c>
      <c r="BB293" s="7">
        <v>0</v>
      </c>
      <c r="BC293" s="7">
        <v>0</v>
      </c>
      <c r="BD293" s="7">
        <v>0</v>
      </c>
      <c r="BE293" s="7">
        <v>0</v>
      </c>
      <c r="BF293" s="7">
        <v>0</v>
      </c>
      <c r="BG293" s="7">
        <v>0</v>
      </c>
      <c r="BH293" s="7">
        <v>0</v>
      </c>
      <c r="BI293" s="7">
        <v>0</v>
      </c>
      <c r="BJ293" s="21"/>
    </row>
    <row r="294" spans="1:62" ht="15.6" x14ac:dyDescent="0.3">
      <c r="A294" s="5" t="s">
        <v>511</v>
      </c>
      <c r="B294" s="5" t="s">
        <v>512</v>
      </c>
      <c r="C294" s="7">
        <v>5</v>
      </c>
      <c r="D294" s="7">
        <v>5</v>
      </c>
      <c r="E294" s="7">
        <v>227504.807</v>
      </c>
      <c r="F294" s="7">
        <v>15956.698</v>
      </c>
      <c r="G294" s="7">
        <v>20425.519</v>
      </c>
      <c r="H294" s="7">
        <v>0</v>
      </c>
      <c r="I294" s="7">
        <v>3156.431</v>
      </c>
      <c r="J294" s="7">
        <v>13155.335999999999</v>
      </c>
      <c r="K294" s="7">
        <v>0</v>
      </c>
      <c r="L294" s="7">
        <v>143817.478</v>
      </c>
      <c r="M294" s="7">
        <v>57136.754999999997</v>
      </c>
      <c r="N294" s="7">
        <v>0</v>
      </c>
      <c r="O294" s="7">
        <v>0</v>
      </c>
      <c r="P294" s="7">
        <v>528.28899999999999</v>
      </c>
      <c r="Q294" s="7">
        <v>0</v>
      </c>
      <c r="R294" s="7">
        <v>39.823</v>
      </c>
      <c r="S294" s="7">
        <v>0</v>
      </c>
      <c r="T294" s="7">
        <v>0</v>
      </c>
      <c r="U294" s="7">
        <v>0</v>
      </c>
      <c r="V294" s="7">
        <v>2862.6979999999999</v>
      </c>
      <c r="W294" s="7">
        <v>8547.2000000000007</v>
      </c>
      <c r="X294" s="7">
        <v>0</v>
      </c>
      <c r="Y294" s="7">
        <v>69896.274999999994</v>
      </c>
      <c r="Z294" s="7">
        <v>0</v>
      </c>
      <c r="AA294" s="7">
        <v>26658.799999999999</v>
      </c>
      <c r="AB294" s="7">
        <v>0</v>
      </c>
      <c r="AC294" s="7">
        <v>4400.8069999999998</v>
      </c>
      <c r="AD294" s="7">
        <v>0</v>
      </c>
      <c r="AE294" s="7">
        <v>206524.818</v>
      </c>
      <c r="AF294" s="7">
        <v>0</v>
      </c>
      <c r="AG294" s="7">
        <v>0</v>
      </c>
      <c r="AH294" s="7">
        <v>491571.78600000002</v>
      </c>
      <c r="AI294" s="7">
        <v>0</v>
      </c>
      <c r="AJ294" s="7">
        <v>0</v>
      </c>
      <c r="AK294" s="7">
        <v>0</v>
      </c>
      <c r="AL294" s="7">
        <v>0</v>
      </c>
      <c r="AM294" s="7">
        <v>0</v>
      </c>
      <c r="AN294" s="7">
        <v>0</v>
      </c>
      <c r="AO294" s="7">
        <v>0</v>
      </c>
      <c r="AP294" s="7">
        <v>0</v>
      </c>
      <c r="AQ294" s="7">
        <v>0</v>
      </c>
      <c r="AR294" s="7">
        <v>0</v>
      </c>
      <c r="AS294" s="7">
        <v>0</v>
      </c>
      <c r="AT294" s="7">
        <v>0</v>
      </c>
      <c r="AU294" s="7">
        <v>0</v>
      </c>
      <c r="AV294" s="7">
        <v>0</v>
      </c>
      <c r="AW294" s="7">
        <v>0</v>
      </c>
      <c r="AX294" s="7">
        <v>0</v>
      </c>
      <c r="AY294" s="7">
        <v>0</v>
      </c>
      <c r="AZ294" s="7">
        <v>0</v>
      </c>
      <c r="BA294" s="7">
        <v>0</v>
      </c>
      <c r="BB294" s="7">
        <v>0</v>
      </c>
      <c r="BC294" s="7">
        <v>0</v>
      </c>
      <c r="BD294" s="7">
        <v>0</v>
      </c>
      <c r="BE294" s="7">
        <v>0</v>
      </c>
      <c r="BF294" s="7">
        <v>0</v>
      </c>
      <c r="BG294" s="7">
        <v>0</v>
      </c>
      <c r="BH294" s="7">
        <v>0</v>
      </c>
      <c r="BI294" s="7">
        <v>0</v>
      </c>
      <c r="BJ294" s="21"/>
    </row>
    <row r="295" spans="1:62" ht="15.6" x14ac:dyDescent="0.3">
      <c r="A295" s="5" t="s">
        <v>513</v>
      </c>
      <c r="B295" s="5" t="s">
        <v>514</v>
      </c>
      <c r="C295" s="7">
        <v>5</v>
      </c>
      <c r="D295" s="7">
        <v>5</v>
      </c>
      <c r="E295" s="7">
        <v>28371.026000000002</v>
      </c>
      <c r="F295" s="7">
        <v>1236.422</v>
      </c>
      <c r="G295" s="7">
        <v>1608.5229999999999</v>
      </c>
      <c r="H295" s="7">
        <v>0</v>
      </c>
      <c r="I295" s="7">
        <v>254.09700000000001</v>
      </c>
      <c r="J295" s="7">
        <v>1027.183</v>
      </c>
      <c r="K295" s="7">
        <v>0</v>
      </c>
      <c r="L295" s="7">
        <v>31731.478999999999</v>
      </c>
      <c r="M295" s="7">
        <v>8284.7960000000003</v>
      </c>
      <c r="N295" s="7">
        <v>0</v>
      </c>
      <c r="O295" s="7">
        <v>0</v>
      </c>
      <c r="P295" s="7">
        <v>43.350999999999999</v>
      </c>
      <c r="Q295" s="7">
        <v>0</v>
      </c>
      <c r="R295" s="7">
        <v>2.6120000000000001</v>
      </c>
      <c r="S295" s="7">
        <v>0</v>
      </c>
      <c r="T295" s="7">
        <v>0</v>
      </c>
      <c r="U295" s="7">
        <v>0</v>
      </c>
      <c r="V295" s="7">
        <v>212.261</v>
      </c>
      <c r="W295" s="7">
        <v>635.20799999999997</v>
      </c>
      <c r="X295" s="7">
        <v>0</v>
      </c>
      <c r="Y295" s="7">
        <v>5246.32</v>
      </c>
      <c r="Z295" s="7">
        <v>0</v>
      </c>
      <c r="AA295" s="7">
        <v>1957.002</v>
      </c>
      <c r="AB295" s="7">
        <v>0</v>
      </c>
      <c r="AC295" s="7">
        <v>320.34300000000002</v>
      </c>
      <c r="AD295" s="7">
        <v>0</v>
      </c>
      <c r="AE295" s="7">
        <v>18295.735000000001</v>
      </c>
      <c r="AF295" s="7">
        <v>0</v>
      </c>
      <c r="AG295" s="7">
        <v>0</v>
      </c>
      <c r="AH295" s="7">
        <v>51028.849000000002</v>
      </c>
      <c r="AI295" s="7">
        <v>0</v>
      </c>
      <c r="AJ295" s="7">
        <v>0</v>
      </c>
      <c r="AK295" s="7">
        <v>0</v>
      </c>
      <c r="AL295" s="7">
        <v>0</v>
      </c>
      <c r="AM295" s="7">
        <v>0</v>
      </c>
      <c r="AN295" s="7">
        <v>0</v>
      </c>
      <c r="AO295" s="7">
        <v>0</v>
      </c>
      <c r="AP295" s="7">
        <v>0</v>
      </c>
      <c r="AQ295" s="7">
        <v>0</v>
      </c>
      <c r="AR295" s="7">
        <v>0</v>
      </c>
      <c r="AS295" s="7">
        <v>0</v>
      </c>
      <c r="AT295" s="7">
        <v>0</v>
      </c>
      <c r="AU295" s="7">
        <v>0</v>
      </c>
      <c r="AV295" s="7">
        <v>0</v>
      </c>
      <c r="AW295" s="7">
        <v>0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7">
        <v>0</v>
      </c>
      <c r="BF295" s="7">
        <v>0</v>
      </c>
      <c r="BG295" s="7">
        <v>0</v>
      </c>
      <c r="BH295" s="7">
        <v>0</v>
      </c>
      <c r="BI295" s="7">
        <v>0</v>
      </c>
      <c r="BJ295" s="21"/>
    </row>
    <row r="296" spans="1:62" ht="15.6" x14ac:dyDescent="0.3">
      <c r="A296" s="5" t="s">
        <v>515</v>
      </c>
      <c r="B296" s="5" t="s">
        <v>516</v>
      </c>
      <c r="C296" s="7">
        <v>5</v>
      </c>
      <c r="D296" s="7">
        <v>5</v>
      </c>
      <c r="E296" s="7">
        <v>0</v>
      </c>
      <c r="F296" s="7">
        <v>0</v>
      </c>
      <c r="G296" s="7">
        <v>0</v>
      </c>
      <c r="H296" s="7">
        <v>0</v>
      </c>
      <c r="I296" s="7">
        <v>0</v>
      </c>
      <c r="J296" s="7">
        <v>0</v>
      </c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>
        <v>0</v>
      </c>
      <c r="AI296" s="7">
        <v>0</v>
      </c>
      <c r="AJ296" s="7">
        <v>0</v>
      </c>
      <c r="AK296" s="7">
        <v>0</v>
      </c>
      <c r="AL296" s="7">
        <v>0</v>
      </c>
      <c r="AM296" s="7">
        <v>0</v>
      </c>
      <c r="AN296" s="7">
        <v>0</v>
      </c>
      <c r="AO296" s="7">
        <v>0</v>
      </c>
      <c r="AP296" s="7">
        <v>0</v>
      </c>
      <c r="AQ296" s="7">
        <v>0</v>
      </c>
      <c r="AR296" s="7">
        <v>0</v>
      </c>
      <c r="AS296" s="7">
        <v>0</v>
      </c>
      <c r="AT296" s="7">
        <v>0</v>
      </c>
      <c r="AU296" s="7">
        <v>0</v>
      </c>
      <c r="AV296" s="7">
        <v>0</v>
      </c>
      <c r="AW296" s="7">
        <v>0</v>
      </c>
      <c r="AX296" s="7">
        <v>0</v>
      </c>
      <c r="AY296" s="7">
        <v>0</v>
      </c>
      <c r="AZ296" s="7">
        <v>0</v>
      </c>
      <c r="BA296" s="7">
        <v>0</v>
      </c>
      <c r="BB296" s="7">
        <v>0</v>
      </c>
      <c r="BC296" s="7">
        <v>0</v>
      </c>
      <c r="BD296" s="7">
        <v>0</v>
      </c>
      <c r="BE296" s="7">
        <v>0</v>
      </c>
      <c r="BF296" s="7">
        <v>0</v>
      </c>
      <c r="BG296" s="7">
        <v>0</v>
      </c>
      <c r="BH296" s="7">
        <v>0</v>
      </c>
      <c r="BI296" s="7">
        <v>0</v>
      </c>
      <c r="BJ296" s="21"/>
    </row>
    <row r="297" spans="1:62" ht="15.6" x14ac:dyDescent="0.3">
      <c r="A297" s="5" t="s">
        <v>517</v>
      </c>
      <c r="B297" s="5" t="s">
        <v>518</v>
      </c>
      <c r="C297" s="7">
        <v>5</v>
      </c>
      <c r="D297" s="7">
        <v>5</v>
      </c>
      <c r="E297" s="7">
        <v>0</v>
      </c>
      <c r="F297" s="7">
        <v>0</v>
      </c>
      <c r="G297" s="7">
        <v>0</v>
      </c>
      <c r="H297" s="7">
        <v>0</v>
      </c>
      <c r="I297" s="7">
        <v>0</v>
      </c>
      <c r="J297" s="7">
        <v>0</v>
      </c>
      <c r="K297" s="7">
        <v>0</v>
      </c>
      <c r="L297" s="7">
        <v>0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0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0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7">
        <v>0</v>
      </c>
      <c r="AK297" s="7">
        <v>0</v>
      </c>
      <c r="AL297" s="7">
        <v>0</v>
      </c>
      <c r="AM297" s="7">
        <v>0</v>
      </c>
      <c r="AN297" s="7">
        <v>0</v>
      </c>
      <c r="AO297" s="7">
        <v>0</v>
      </c>
      <c r="AP297" s="7">
        <v>0</v>
      </c>
      <c r="AQ297" s="7">
        <v>0</v>
      </c>
      <c r="AR297" s="7">
        <v>0</v>
      </c>
      <c r="AS297" s="7">
        <v>0</v>
      </c>
      <c r="AT297" s="7">
        <v>0</v>
      </c>
      <c r="AU297" s="7">
        <v>0</v>
      </c>
      <c r="AV297" s="7">
        <v>0</v>
      </c>
      <c r="AW297" s="7">
        <v>0</v>
      </c>
      <c r="AX297" s="7">
        <v>0</v>
      </c>
      <c r="AY297" s="7">
        <v>0</v>
      </c>
      <c r="AZ297" s="7">
        <v>0</v>
      </c>
      <c r="BA297" s="7">
        <v>0</v>
      </c>
      <c r="BB297" s="7">
        <v>0</v>
      </c>
      <c r="BC297" s="7">
        <v>0</v>
      </c>
      <c r="BD297" s="7">
        <v>0</v>
      </c>
      <c r="BE297" s="7">
        <v>0</v>
      </c>
      <c r="BF297" s="7">
        <v>0</v>
      </c>
      <c r="BG297" s="7">
        <v>0</v>
      </c>
      <c r="BH297" s="7">
        <v>0</v>
      </c>
      <c r="BI297" s="7">
        <v>0</v>
      </c>
      <c r="BJ297" s="21"/>
    </row>
    <row r="298" spans="1:62" ht="15.6" x14ac:dyDescent="0.3">
      <c r="A298" s="5" t="s">
        <v>519</v>
      </c>
      <c r="B298" s="5" t="s">
        <v>520</v>
      </c>
      <c r="C298" s="7">
        <v>5</v>
      </c>
      <c r="D298" s="7">
        <v>5</v>
      </c>
      <c r="E298" s="7">
        <v>0</v>
      </c>
      <c r="F298" s="7">
        <v>0</v>
      </c>
      <c r="G298" s="7">
        <v>0</v>
      </c>
      <c r="H298" s="7">
        <v>0</v>
      </c>
      <c r="I298" s="7">
        <v>0</v>
      </c>
      <c r="J298" s="7">
        <v>0</v>
      </c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>
        <v>0</v>
      </c>
      <c r="AI298" s="7">
        <v>0</v>
      </c>
      <c r="AJ298" s="7">
        <v>0</v>
      </c>
      <c r="AK298" s="7">
        <v>0</v>
      </c>
      <c r="AL298" s="7">
        <v>0</v>
      </c>
      <c r="AM298" s="7">
        <v>0</v>
      </c>
      <c r="AN298" s="7">
        <v>0</v>
      </c>
      <c r="AO298" s="7">
        <v>0</v>
      </c>
      <c r="AP298" s="7">
        <v>0</v>
      </c>
      <c r="AQ298" s="7">
        <v>0</v>
      </c>
      <c r="AR298" s="7">
        <v>0</v>
      </c>
      <c r="AS298" s="7">
        <v>0</v>
      </c>
      <c r="AT298" s="7">
        <v>0</v>
      </c>
      <c r="AU298" s="7">
        <v>0</v>
      </c>
      <c r="AV298" s="7">
        <v>0</v>
      </c>
      <c r="AW298" s="7">
        <v>0</v>
      </c>
      <c r="AX298" s="7">
        <v>0</v>
      </c>
      <c r="AY298" s="7">
        <v>0</v>
      </c>
      <c r="AZ298" s="7">
        <v>0</v>
      </c>
      <c r="BA298" s="7">
        <v>0</v>
      </c>
      <c r="BB298" s="7">
        <v>0</v>
      </c>
      <c r="BC298" s="7">
        <v>0</v>
      </c>
      <c r="BD298" s="7">
        <v>0</v>
      </c>
      <c r="BE298" s="7">
        <v>0</v>
      </c>
      <c r="BF298" s="7">
        <v>0</v>
      </c>
      <c r="BG298" s="7">
        <v>0</v>
      </c>
      <c r="BH298" s="7">
        <v>0</v>
      </c>
      <c r="BI298" s="7">
        <v>0</v>
      </c>
      <c r="BJ298" s="21"/>
    </row>
    <row r="299" spans="1:62" ht="15.6" x14ac:dyDescent="0.3">
      <c r="A299" s="5" t="s">
        <v>521</v>
      </c>
      <c r="B299" s="5" t="s">
        <v>522</v>
      </c>
      <c r="C299" s="7">
        <v>5</v>
      </c>
      <c r="D299" s="7">
        <v>5</v>
      </c>
      <c r="E299" s="7">
        <v>0</v>
      </c>
      <c r="F299" s="7">
        <v>0</v>
      </c>
      <c r="G299" s="7">
        <v>0</v>
      </c>
      <c r="H299" s="7">
        <v>0</v>
      </c>
      <c r="I299" s="7">
        <v>0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0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7">
        <v>0</v>
      </c>
      <c r="AK299" s="7">
        <v>0</v>
      </c>
      <c r="AL299" s="7">
        <v>0</v>
      </c>
      <c r="AM299" s="7">
        <v>0</v>
      </c>
      <c r="AN299" s="7">
        <v>0</v>
      </c>
      <c r="AO299" s="7">
        <v>0</v>
      </c>
      <c r="AP299" s="7">
        <v>0</v>
      </c>
      <c r="AQ299" s="7">
        <v>0</v>
      </c>
      <c r="AR299" s="7">
        <v>0</v>
      </c>
      <c r="AS299" s="7">
        <v>0</v>
      </c>
      <c r="AT299" s="7">
        <v>0</v>
      </c>
      <c r="AU299" s="7">
        <v>0</v>
      </c>
      <c r="AV299" s="7">
        <v>0</v>
      </c>
      <c r="AW299" s="7">
        <v>0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7">
        <v>0</v>
      </c>
      <c r="BF299" s="7">
        <v>0</v>
      </c>
      <c r="BG299" s="7">
        <v>0</v>
      </c>
      <c r="BH299" s="7">
        <v>0</v>
      </c>
      <c r="BI299" s="7">
        <v>0</v>
      </c>
      <c r="BJ299" s="21"/>
    </row>
    <row r="300" spans="1:62" ht="15.6" x14ac:dyDescent="0.3">
      <c r="A300" s="5" t="s">
        <v>523</v>
      </c>
      <c r="B300" s="5" t="s">
        <v>524</v>
      </c>
      <c r="C300" s="7">
        <v>5</v>
      </c>
      <c r="D300" s="7">
        <v>5</v>
      </c>
      <c r="E300" s="7">
        <v>0</v>
      </c>
      <c r="F300" s="7">
        <v>0</v>
      </c>
      <c r="G300" s="7">
        <v>0</v>
      </c>
      <c r="H300" s="7">
        <v>0</v>
      </c>
      <c r="I300" s="7">
        <v>0</v>
      </c>
      <c r="J300" s="7">
        <v>0</v>
      </c>
      <c r="K300" s="7">
        <v>0</v>
      </c>
      <c r="L300" s="7">
        <v>0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0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0</v>
      </c>
      <c r="AB300" s="7">
        <v>0</v>
      </c>
      <c r="AC300" s="7">
        <v>0</v>
      </c>
      <c r="AD300" s="7">
        <v>0</v>
      </c>
      <c r="AE300" s="7">
        <v>0</v>
      </c>
      <c r="AF300" s="7">
        <v>0</v>
      </c>
      <c r="AG300" s="7">
        <v>0</v>
      </c>
      <c r="AH300" s="7">
        <v>0</v>
      </c>
      <c r="AI300" s="7">
        <v>0</v>
      </c>
      <c r="AJ300" s="7">
        <v>0</v>
      </c>
      <c r="AK300" s="7">
        <v>0</v>
      </c>
      <c r="AL300" s="7">
        <v>0</v>
      </c>
      <c r="AM300" s="7">
        <v>0</v>
      </c>
      <c r="AN300" s="7">
        <v>0</v>
      </c>
      <c r="AO300" s="7">
        <v>0</v>
      </c>
      <c r="AP300" s="7">
        <v>0</v>
      </c>
      <c r="AQ300" s="7">
        <v>0</v>
      </c>
      <c r="AR300" s="7">
        <v>0</v>
      </c>
      <c r="AS300" s="7">
        <v>0</v>
      </c>
      <c r="AT300" s="7">
        <v>0</v>
      </c>
      <c r="AU300" s="7">
        <v>0</v>
      </c>
      <c r="AV300" s="7">
        <v>0</v>
      </c>
      <c r="AW300" s="7">
        <v>0</v>
      </c>
      <c r="AX300" s="7">
        <v>0</v>
      </c>
      <c r="AY300" s="7">
        <v>0</v>
      </c>
      <c r="AZ300" s="7">
        <v>0</v>
      </c>
      <c r="BA300" s="7">
        <v>0</v>
      </c>
      <c r="BB300" s="7">
        <v>0</v>
      </c>
      <c r="BC300" s="7">
        <v>0</v>
      </c>
      <c r="BD300" s="7">
        <v>0</v>
      </c>
      <c r="BE300" s="7">
        <v>0</v>
      </c>
      <c r="BF300" s="7">
        <v>0</v>
      </c>
      <c r="BG300" s="7">
        <v>0</v>
      </c>
      <c r="BH300" s="7">
        <v>0</v>
      </c>
      <c r="BI300" s="7">
        <v>0</v>
      </c>
      <c r="BJ300" s="21"/>
    </row>
    <row r="301" spans="1:62" ht="15.6" x14ac:dyDescent="0.3">
      <c r="A301" s="5" t="s">
        <v>525</v>
      </c>
      <c r="B301" s="5" t="s">
        <v>526</v>
      </c>
      <c r="C301" s="7">
        <v>5</v>
      </c>
      <c r="D301" s="7">
        <v>5</v>
      </c>
      <c r="E301" s="7">
        <v>0</v>
      </c>
      <c r="F301" s="7">
        <v>0</v>
      </c>
      <c r="G301" s="7">
        <v>0</v>
      </c>
      <c r="H301" s="7">
        <v>0</v>
      </c>
      <c r="I301" s="7">
        <v>0</v>
      </c>
      <c r="J301" s="7">
        <v>0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0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7">
        <v>0</v>
      </c>
      <c r="AK301" s="7">
        <v>0</v>
      </c>
      <c r="AL301" s="7">
        <v>0</v>
      </c>
      <c r="AM301" s="7">
        <v>0</v>
      </c>
      <c r="AN301" s="7">
        <v>0</v>
      </c>
      <c r="AO301" s="7">
        <v>0</v>
      </c>
      <c r="AP301" s="7">
        <v>0</v>
      </c>
      <c r="AQ301" s="7">
        <v>0</v>
      </c>
      <c r="AR301" s="7">
        <v>0</v>
      </c>
      <c r="AS301" s="7">
        <v>0</v>
      </c>
      <c r="AT301" s="7">
        <v>0</v>
      </c>
      <c r="AU301" s="7">
        <v>0</v>
      </c>
      <c r="AV301" s="7">
        <v>0</v>
      </c>
      <c r="AW301" s="7">
        <v>0</v>
      </c>
      <c r="AX301" s="7">
        <v>0</v>
      </c>
      <c r="AY301" s="7">
        <v>0</v>
      </c>
      <c r="AZ301" s="7">
        <v>0</v>
      </c>
      <c r="BA301" s="7">
        <v>0</v>
      </c>
      <c r="BB301" s="7">
        <v>0</v>
      </c>
      <c r="BC301" s="7">
        <v>0</v>
      </c>
      <c r="BD301" s="7">
        <v>0</v>
      </c>
      <c r="BE301" s="7">
        <v>0</v>
      </c>
      <c r="BF301" s="7">
        <v>0</v>
      </c>
      <c r="BG301" s="7">
        <v>0</v>
      </c>
      <c r="BH301" s="7">
        <v>0</v>
      </c>
      <c r="BI301" s="7">
        <v>0</v>
      </c>
      <c r="BJ301" s="21"/>
    </row>
    <row r="302" spans="1:62" ht="15.6" x14ac:dyDescent="0.3">
      <c r="A302" s="5" t="s">
        <v>527</v>
      </c>
      <c r="B302" s="5" t="s">
        <v>528</v>
      </c>
      <c r="C302" s="7">
        <v>5</v>
      </c>
      <c r="D302" s="7">
        <v>5</v>
      </c>
      <c r="E302" s="7">
        <v>0</v>
      </c>
      <c r="F302" s="7">
        <v>0</v>
      </c>
      <c r="G302" s="7">
        <v>0</v>
      </c>
      <c r="H302" s="7">
        <v>0</v>
      </c>
      <c r="I302" s="7">
        <v>0</v>
      </c>
      <c r="J302" s="7">
        <v>0</v>
      </c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>
        <v>0</v>
      </c>
      <c r="AI302" s="7">
        <v>0</v>
      </c>
      <c r="AJ302" s="7">
        <v>0</v>
      </c>
      <c r="AK302" s="7">
        <v>0</v>
      </c>
      <c r="AL302" s="7">
        <v>0</v>
      </c>
      <c r="AM302" s="7">
        <v>0</v>
      </c>
      <c r="AN302" s="7">
        <v>0</v>
      </c>
      <c r="AO302" s="7">
        <v>0</v>
      </c>
      <c r="AP302" s="7">
        <v>0</v>
      </c>
      <c r="AQ302" s="7">
        <v>0</v>
      </c>
      <c r="AR302" s="7">
        <v>0</v>
      </c>
      <c r="AS302" s="7">
        <v>0</v>
      </c>
      <c r="AT302" s="7">
        <v>0</v>
      </c>
      <c r="AU302" s="7">
        <v>0</v>
      </c>
      <c r="AV302" s="7">
        <v>0</v>
      </c>
      <c r="AW302" s="7">
        <v>0</v>
      </c>
      <c r="AX302" s="7">
        <v>0</v>
      </c>
      <c r="AY302" s="7">
        <v>0</v>
      </c>
      <c r="AZ302" s="7">
        <v>0</v>
      </c>
      <c r="BA302" s="7">
        <v>0</v>
      </c>
      <c r="BB302" s="7">
        <v>0</v>
      </c>
      <c r="BC302" s="7">
        <v>0</v>
      </c>
      <c r="BD302" s="7">
        <v>0</v>
      </c>
      <c r="BE302" s="7">
        <v>0</v>
      </c>
      <c r="BF302" s="7">
        <v>0</v>
      </c>
      <c r="BG302" s="7">
        <v>0</v>
      </c>
      <c r="BH302" s="7">
        <v>0</v>
      </c>
      <c r="BI302" s="7">
        <v>0</v>
      </c>
      <c r="BJ302" s="21"/>
    </row>
    <row r="303" spans="1:62" ht="15.6" x14ac:dyDescent="0.3">
      <c r="A303" s="5" t="s">
        <v>529</v>
      </c>
      <c r="B303" s="5" t="s">
        <v>530</v>
      </c>
      <c r="C303" s="7">
        <v>5</v>
      </c>
      <c r="D303" s="7">
        <v>5</v>
      </c>
      <c r="E303" s="7">
        <v>0</v>
      </c>
      <c r="F303" s="7">
        <v>0</v>
      </c>
      <c r="G303" s="7">
        <v>0</v>
      </c>
      <c r="H303" s="7">
        <v>0</v>
      </c>
      <c r="I303" s="7">
        <v>0</v>
      </c>
      <c r="J303" s="7">
        <v>0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7">
        <v>0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7">
        <v>0</v>
      </c>
      <c r="AK303" s="7">
        <v>0</v>
      </c>
      <c r="AL303" s="7">
        <v>0</v>
      </c>
      <c r="AM303" s="7">
        <v>0</v>
      </c>
      <c r="AN303" s="7">
        <v>0</v>
      </c>
      <c r="AO303" s="7">
        <v>0</v>
      </c>
      <c r="AP303" s="7">
        <v>0</v>
      </c>
      <c r="AQ303" s="7">
        <v>0</v>
      </c>
      <c r="AR303" s="7">
        <v>0</v>
      </c>
      <c r="AS303" s="7">
        <v>0</v>
      </c>
      <c r="AT303" s="7">
        <v>0</v>
      </c>
      <c r="AU303" s="7">
        <v>0</v>
      </c>
      <c r="AV303" s="7">
        <v>0</v>
      </c>
      <c r="AW303" s="7">
        <v>0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7">
        <v>0</v>
      </c>
      <c r="BF303" s="7">
        <v>0</v>
      </c>
      <c r="BG303" s="7">
        <v>0</v>
      </c>
      <c r="BH303" s="7">
        <v>0</v>
      </c>
      <c r="BI303" s="7">
        <v>0</v>
      </c>
      <c r="BJ303" s="21"/>
    </row>
    <row r="304" spans="1:62" ht="15.6" x14ac:dyDescent="0.3">
      <c r="A304" s="5" t="s">
        <v>531</v>
      </c>
      <c r="B304" s="5" t="s">
        <v>532</v>
      </c>
      <c r="C304" s="7">
        <v>5</v>
      </c>
      <c r="D304" s="7">
        <v>5</v>
      </c>
      <c r="E304" s="7">
        <v>0</v>
      </c>
      <c r="F304" s="7">
        <v>0</v>
      </c>
      <c r="G304" s="7">
        <v>0</v>
      </c>
      <c r="H304" s="7">
        <v>0</v>
      </c>
      <c r="I304" s="7">
        <v>0</v>
      </c>
      <c r="J304" s="7">
        <v>0</v>
      </c>
      <c r="K304" s="7">
        <v>0</v>
      </c>
      <c r="L304" s="7">
        <v>0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0</v>
      </c>
      <c r="T304" s="7">
        <v>0</v>
      </c>
      <c r="U304" s="7">
        <v>0</v>
      </c>
      <c r="V304" s="7">
        <v>0</v>
      </c>
      <c r="W304" s="7">
        <v>0</v>
      </c>
      <c r="X304" s="7">
        <v>0</v>
      </c>
      <c r="Y304" s="7">
        <v>0</v>
      </c>
      <c r="Z304" s="7">
        <v>0</v>
      </c>
      <c r="AA304" s="7">
        <v>0</v>
      </c>
      <c r="AB304" s="7">
        <v>0</v>
      </c>
      <c r="AC304" s="7">
        <v>0</v>
      </c>
      <c r="AD304" s="7">
        <v>0</v>
      </c>
      <c r="AE304" s="7">
        <v>0</v>
      </c>
      <c r="AF304" s="7">
        <v>0</v>
      </c>
      <c r="AG304" s="7">
        <v>0</v>
      </c>
      <c r="AH304" s="7">
        <v>0</v>
      </c>
      <c r="AI304" s="7">
        <v>0</v>
      </c>
      <c r="AJ304" s="7">
        <v>0</v>
      </c>
      <c r="AK304" s="7">
        <v>0</v>
      </c>
      <c r="AL304" s="7">
        <v>0</v>
      </c>
      <c r="AM304" s="7">
        <v>0</v>
      </c>
      <c r="AN304" s="7">
        <v>0</v>
      </c>
      <c r="AO304" s="7">
        <v>0</v>
      </c>
      <c r="AP304" s="7">
        <v>0</v>
      </c>
      <c r="AQ304" s="7">
        <v>0</v>
      </c>
      <c r="AR304" s="7">
        <v>0</v>
      </c>
      <c r="AS304" s="7">
        <v>0</v>
      </c>
      <c r="AT304" s="7">
        <v>0</v>
      </c>
      <c r="AU304" s="7">
        <v>0</v>
      </c>
      <c r="AV304" s="7">
        <v>0</v>
      </c>
      <c r="AW304" s="7">
        <v>0</v>
      </c>
      <c r="AX304" s="7">
        <v>0</v>
      </c>
      <c r="AY304" s="7">
        <v>0</v>
      </c>
      <c r="AZ304" s="7">
        <v>0</v>
      </c>
      <c r="BA304" s="7">
        <v>0</v>
      </c>
      <c r="BB304" s="7">
        <v>0</v>
      </c>
      <c r="BC304" s="7">
        <v>0</v>
      </c>
      <c r="BD304" s="7">
        <v>0</v>
      </c>
      <c r="BE304" s="7">
        <v>0</v>
      </c>
      <c r="BF304" s="7">
        <v>0</v>
      </c>
      <c r="BG304" s="7">
        <v>0</v>
      </c>
      <c r="BH304" s="7">
        <v>0</v>
      </c>
      <c r="BI304" s="7">
        <v>0</v>
      </c>
      <c r="BJ304" s="21"/>
    </row>
    <row r="305" spans="1:62" ht="15.6" x14ac:dyDescent="0.3">
      <c r="A305" s="5" t="s">
        <v>533</v>
      </c>
      <c r="B305" s="5" t="s">
        <v>534</v>
      </c>
      <c r="C305" s="7">
        <v>5</v>
      </c>
      <c r="D305" s="7">
        <v>5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21"/>
    </row>
    <row r="306" spans="1:62" ht="15.6" x14ac:dyDescent="0.3">
      <c r="A306" s="5" t="s">
        <v>535</v>
      </c>
      <c r="B306" s="5" t="s">
        <v>536</v>
      </c>
      <c r="C306" s="7">
        <v>5</v>
      </c>
      <c r="D306" s="7">
        <v>5</v>
      </c>
      <c r="E306" s="7">
        <v>0</v>
      </c>
      <c r="F306" s="7">
        <v>0</v>
      </c>
      <c r="G306" s="7">
        <v>0</v>
      </c>
      <c r="H306" s="7">
        <v>0</v>
      </c>
      <c r="I306" s="7">
        <v>0</v>
      </c>
      <c r="J306" s="7">
        <v>0</v>
      </c>
      <c r="K306" s="7">
        <v>0</v>
      </c>
      <c r="L306" s="7">
        <v>0</v>
      </c>
      <c r="M306" s="7">
        <v>0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0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0</v>
      </c>
      <c r="AB306" s="7">
        <v>0</v>
      </c>
      <c r="AC306" s="7">
        <v>0</v>
      </c>
      <c r="AD306" s="7">
        <v>0</v>
      </c>
      <c r="AE306" s="7">
        <v>0</v>
      </c>
      <c r="AF306" s="7">
        <v>0</v>
      </c>
      <c r="AG306" s="7">
        <v>0</v>
      </c>
      <c r="AH306" s="7">
        <v>0</v>
      </c>
      <c r="AI306" s="7">
        <v>0</v>
      </c>
      <c r="AJ306" s="7">
        <v>0</v>
      </c>
      <c r="AK306" s="7">
        <v>0</v>
      </c>
      <c r="AL306" s="7">
        <v>0</v>
      </c>
      <c r="AM306" s="7">
        <v>0</v>
      </c>
      <c r="AN306" s="7">
        <v>0</v>
      </c>
      <c r="AO306" s="7">
        <v>0</v>
      </c>
      <c r="AP306" s="7">
        <v>0</v>
      </c>
      <c r="AQ306" s="7">
        <v>0</v>
      </c>
      <c r="AR306" s="7">
        <v>0</v>
      </c>
      <c r="AS306" s="7">
        <v>0</v>
      </c>
      <c r="AT306" s="7">
        <v>0</v>
      </c>
      <c r="AU306" s="7">
        <v>0</v>
      </c>
      <c r="AV306" s="7">
        <v>0</v>
      </c>
      <c r="AW306" s="7">
        <v>0</v>
      </c>
      <c r="AX306" s="7">
        <v>0</v>
      </c>
      <c r="AY306" s="7">
        <v>0</v>
      </c>
      <c r="AZ306" s="7">
        <v>0</v>
      </c>
      <c r="BA306" s="7">
        <v>0</v>
      </c>
      <c r="BB306" s="7">
        <v>0</v>
      </c>
      <c r="BC306" s="7">
        <v>0</v>
      </c>
      <c r="BD306" s="7">
        <v>0</v>
      </c>
      <c r="BE306" s="7">
        <v>0</v>
      </c>
      <c r="BF306" s="7">
        <v>0</v>
      </c>
      <c r="BG306" s="7">
        <v>0</v>
      </c>
      <c r="BH306" s="7">
        <v>0</v>
      </c>
      <c r="BI306" s="7">
        <v>0</v>
      </c>
      <c r="BJ306" s="21"/>
    </row>
    <row r="307" spans="1:62" ht="15.6" x14ac:dyDescent="0.3">
      <c r="A307" s="5" t="s">
        <v>537</v>
      </c>
      <c r="B307" s="5" t="s">
        <v>538</v>
      </c>
      <c r="C307" s="7">
        <v>5</v>
      </c>
      <c r="D307" s="7">
        <v>5</v>
      </c>
      <c r="E307" s="7">
        <v>0</v>
      </c>
      <c r="F307" s="7">
        <v>0</v>
      </c>
      <c r="G307" s="7">
        <v>0</v>
      </c>
      <c r="H307" s="7">
        <v>0</v>
      </c>
      <c r="I307" s="7">
        <v>0</v>
      </c>
      <c r="J307" s="7">
        <v>0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0</v>
      </c>
      <c r="U307" s="7">
        <v>0</v>
      </c>
      <c r="V307" s="7">
        <v>0</v>
      </c>
      <c r="W307" s="7">
        <v>0</v>
      </c>
      <c r="X307" s="7">
        <v>0</v>
      </c>
      <c r="Y307" s="7">
        <v>0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7">
        <v>0</v>
      </c>
      <c r="AK307" s="7">
        <v>0</v>
      </c>
      <c r="AL307" s="7">
        <v>0</v>
      </c>
      <c r="AM307" s="7">
        <v>0</v>
      </c>
      <c r="AN307" s="7">
        <v>0</v>
      </c>
      <c r="AO307" s="7">
        <v>0</v>
      </c>
      <c r="AP307" s="7">
        <v>0</v>
      </c>
      <c r="AQ307" s="7">
        <v>0</v>
      </c>
      <c r="AR307" s="7">
        <v>0</v>
      </c>
      <c r="AS307" s="7">
        <v>0</v>
      </c>
      <c r="AT307" s="7">
        <v>0</v>
      </c>
      <c r="AU307" s="7">
        <v>0</v>
      </c>
      <c r="AV307" s="7">
        <v>0</v>
      </c>
      <c r="AW307" s="7">
        <v>0</v>
      </c>
      <c r="AX307" s="7">
        <v>0</v>
      </c>
      <c r="AY307" s="7">
        <v>0</v>
      </c>
      <c r="AZ307" s="7">
        <v>0</v>
      </c>
      <c r="BA307" s="7">
        <v>0</v>
      </c>
      <c r="BB307" s="7">
        <v>0</v>
      </c>
      <c r="BC307" s="7">
        <v>0</v>
      </c>
      <c r="BD307" s="7">
        <v>0</v>
      </c>
      <c r="BE307" s="7">
        <v>0</v>
      </c>
      <c r="BF307" s="7">
        <v>0</v>
      </c>
      <c r="BG307" s="7">
        <v>0</v>
      </c>
      <c r="BH307" s="7">
        <v>0</v>
      </c>
      <c r="BI307" s="7">
        <v>0</v>
      </c>
      <c r="BJ307" s="21"/>
    </row>
    <row r="308" spans="1:62" ht="15.6" x14ac:dyDescent="0.3">
      <c r="A308" s="5" t="s">
        <v>539</v>
      </c>
      <c r="B308" s="5" t="s">
        <v>540</v>
      </c>
      <c r="C308" s="7">
        <v>5</v>
      </c>
      <c r="D308" s="7">
        <v>5</v>
      </c>
      <c r="E308" s="7">
        <v>0</v>
      </c>
      <c r="F308" s="7">
        <v>0</v>
      </c>
      <c r="G308" s="7">
        <v>0</v>
      </c>
      <c r="H308" s="7">
        <v>0</v>
      </c>
      <c r="I308" s="7">
        <v>0</v>
      </c>
      <c r="J308" s="7">
        <v>0</v>
      </c>
      <c r="K308" s="7">
        <v>0</v>
      </c>
      <c r="L308" s="7">
        <v>0</v>
      </c>
      <c r="M308" s="7">
        <v>0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0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0</v>
      </c>
      <c r="AB308" s="7">
        <v>0</v>
      </c>
      <c r="AC308" s="7">
        <v>0</v>
      </c>
      <c r="AD308" s="7">
        <v>0</v>
      </c>
      <c r="AE308" s="7">
        <v>0</v>
      </c>
      <c r="AF308" s="7">
        <v>0</v>
      </c>
      <c r="AG308" s="7">
        <v>0</v>
      </c>
      <c r="AH308" s="7">
        <v>0</v>
      </c>
      <c r="AI308" s="7">
        <v>0</v>
      </c>
      <c r="AJ308" s="7">
        <v>0</v>
      </c>
      <c r="AK308" s="7">
        <v>0</v>
      </c>
      <c r="AL308" s="7">
        <v>0</v>
      </c>
      <c r="AM308" s="7">
        <v>0</v>
      </c>
      <c r="AN308" s="7">
        <v>0</v>
      </c>
      <c r="AO308" s="7">
        <v>0</v>
      </c>
      <c r="AP308" s="7">
        <v>0</v>
      </c>
      <c r="AQ308" s="7">
        <v>0</v>
      </c>
      <c r="AR308" s="7">
        <v>0</v>
      </c>
      <c r="AS308" s="7">
        <v>0</v>
      </c>
      <c r="AT308" s="7">
        <v>0</v>
      </c>
      <c r="AU308" s="7">
        <v>0</v>
      </c>
      <c r="AV308" s="7">
        <v>0</v>
      </c>
      <c r="AW308" s="7">
        <v>0</v>
      </c>
      <c r="AX308" s="7">
        <v>0</v>
      </c>
      <c r="AY308" s="7">
        <v>0</v>
      </c>
      <c r="AZ308" s="7">
        <v>0</v>
      </c>
      <c r="BA308" s="7">
        <v>0</v>
      </c>
      <c r="BB308" s="7">
        <v>0</v>
      </c>
      <c r="BC308" s="7">
        <v>0</v>
      </c>
      <c r="BD308" s="7">
        <v>0</v>
      </c>
      <c r="BE308" s="7">
        <v>0</v>
      </c>
      <c r="BF308" s="7">
        <v>0</v>
      </c>
      <c r="BG308" s="7">
        <v>0</v>
      </c>
      <c r="BH308" s="7">
        <v>0</v>
      </c>
      <c r="BI308" s="7">
        <v>0</v>
      </c>
      <c r="BJ308" s="21"/>
    </row>
    <row r="309" spans="1:62" ht="15.6" x14ac:dyDescent="0.3">
      <c r="A309" s="5" t="s">
        <v>541</v>
      </c>
      <c r="B309" s="5" t="s">
        <v>542</v>
      </c>
      <c r="C309" s="7">
        <v>5</v>
      </c>
      <c r="D309" s="7">
        <v>5</v>
      </c>
      <c r="E309" s="7">
        <v>0</v>
      </c>
      <c r="F309" s="7">
        <v>0</v>
      </c>
      <c r="G309" s="7">
        <v>0</v>
      </c>
      <c r="H309" s="7">
        <v>0</v>
      </c>
      <c r="I309" s="7">
        <v>0</v>
      </c>
      <c r="J309" s="7">
        <v>0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0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7">
        <v>0</v>
      </c>
      <c r="AK309" s="7">
        <v>0</v>
      </c>
      <c r="AL309" s="7">
        <v>0</v>
      </c>
      <c r="AM309" s="7">
        <v>0</v>
      </c>
      <c r="AN309" s="7">
        <v>0</v>
      </c>
      <c r="AO309" s="7">
        <v>0</v>
      </c>
      <c r="AP309" s="7">
        <v>0</v>
      </c>
      <c r="AQ309" s="7">
        <v>0</v>
      </c>
      <c r="AR309" s="7">
        <v>0</v>
      </c>
      <c r="AS309" s="7">
        <v>0</v>
      </c>
      <c r="AT309" s="7">
        <v>0</v>
      </c>
      <c r="AU309" s="7">
        <v>0</v>
      </c>
      <c r="AV309" s="7">
        <v>0</v>
      </c>
      <c r="AW309" s="7">
        <v>0</v>
      </c>
      <c r="AX309" s="7">
        <v>0</v>
      </c>
      <c r="AY309" s="7">
        <v>0</v>
      </c>
      <c r="AZ309" s="7">
        <v>0</v>
      </c>
      <c r="BA309" s="7">
        <v>0</v>
      </c>
      <c r="BB309" s="7">
        <v>0</v>
      </c>
      <c r="BC309" s="7">
        <v>0</v>
      </c>
      <c r="BD309" s="7">
        <v>0</v>
      </c>
      <c r="BE309" s="7">
        <v>0</v>
      </c>
      <c r="BF309" s="7">
        <v>0</v>
      </c>
      <c r="BG309" s="7">
        <v>0</v>
      </c>
      <c r="BH309" s="7">
        <v>0</v>
      </c>
      <c r="BI309" s="7">
        <v>0</v>
      </c>
      <c r="BJ309" s="21"/>
    </row>
    <row r="310" spans="1:62" ht="15.6" x14ac:dyDescent="0.3">
      <c r="A310" s="5" t="s">
        <v>543</v>
      </c>
      <c r="B310" s="5" t="s">
        <v>544</v>
      </c>
      <c r="C310" s="7">
        <v>5</v>
      </c>
      <c r="D310" s="7">
        <v>5</v>
      </c>
      <c r="E310" s="7">
        <v>0</v>
      </c>
      <c r="F310" s="7">
        <v>0</v>
      </c>
      <c r="G310" s="7">
        <v>0</v>
      </c>
      <c r="H310" s="7">
        <v>0</v>
      </c>
      <c r="I310" s="7">
        <v>0</v>
      </c>
      <c r="J310" s="7">
        <v>0</v>
      </c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>
        <v>0</v>
      </c>
      <c r="AI310" s="7">
        <v>0</v>
      </c>
      <c r="AJ310" s="7">
        <v>0</v>
      </c>
      <c r="AK310" s="7">
        <v>0</v>
      </c>
      <c r="AL310" s="7">
        <v>0</v>
      </c>
      <c r="AM310" s="7">
        <v>0</v>
      </c>
      <c r="AN310" s="7">
        <v>0</v>
      </c>
      <c r="AO310" s="7">
        <v>0</v>
      </c>
      <c r="AP310" s="7">
        <v>0</v>
      </c>
      <c r="AQ310" s="7">
        <v>0</v>
      </c>
      <c r="AR310" s="7">
        <v>0</v>
      </c>
      <c r="AS310" s="7">
        <v>0</v>
      </c>
      <c r="AT310" s="7">
        <v>0</v>
      </c>
      <c r="AU310" s="7">
        <v>0</v>
      </c>
      <c r="AV310" s="7">
        <v>0</v>
      </c>
      <c r="AW310" s="7">
        <v>0</v>
      </c>
      <c r="AX310" s="7">
        <v>0</v>
      </c>
      <c r="AY310" s="7">
        <v>0</v>
      </c>
      <c r="AZ310" s="7">
        <v>0</v>
      </c>
      <c r="BA310" s="7">
        <v>0</v>
      </c>
      <c r="BB310" s="7">
        <v>0</v>
      </c>
      <c r="BC310" s="7">
        <v>0</v>
      </c>
      <c r="BD310" s="7">
        <v>0</v>
      </c>
      <c r="BE310" s="7">
        <v>0</v>
      </c>
      <c r="BF310" s="7">
        <v>0</v>
      </c>
      <c r="BG310" s="7">
        <v>0</v>
      </c>
      <c r="BH310" s="7">
        <v>0</v>
      </c>
      <c r="BI310" s="7">
        <v>0</v>
      </c>
      <c r="BJ310" s="21"/>
    </row>
    <row r="311" spans="1:62" ht="15.6" x14ac:dyDescent="0.3">
      <c r="A311" s="5" t="s">
        <v>545</v>
      </c>
      <c r="B311" s="5" t="s">
        <v>546</v>
      </c>
      <c r="C311" s="7">
        <v>5</v>
      </c>
      <c r="D311" s="7">
        <v>5</v>
      </c>
      <c r="E311" s="7">
        <v>0</v>
      </c>
      <c r="F311" s="7">
        <v>0</v>
      </c>
      <c r="G311" s="7">
        <v>0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7">
        <v>0</v>
      </c>
      <c r="AK311" s="7">
        <v>0</v>
      </c>
      <c r="AL311" s="7">
        <v>0</v>
      </c>
      <c r="AM311" s="7">
        <v>0</v>
      </c>
      <c r="AN311" s="7">
        <v>0</v>
      </c>
      <c r="AO311" s="7">
        <v>0</v>
      </c>
      <c r="AP311" s="7">
        <v>0</v>
      </c>
      <c r="AQ311" s="7">
        <v>0</v>
      </c>
      <c r="AR311" s="7">
        <v>0</v>
      </c>
      <c r="AS311" s="7">
        <v>0</v>
      </c>
      <c r="AT311" s="7">
        <v>0</v>
      </c>
      <c r="AU311" s="7">
        <v>0</v>
      </c>
      <c r="AV311" s="7">
        <v>0</v>
      </c>
      <c r="AW311" s="7">
        <v>0</v>
      </c>
      <c r="AX311" s="7">
        <v>0</v>
      </c>
      <c r="AY311" s="7">
        <v>0</v>
      </c>
      <c r="AZ311" s="7">
        <v>0</v>
      </c>
      <c r="BA311" s="7">
        <v>0</v>
      </c>
      <c r="BB311" s="7">
        <v>0</v>
      </c>
      <c r="BC311" s="7">
        <v>0</v>
      </c>
      <c r="BD311" s="7">
        <v>0</v>
      </c>
      <c r="BE311" s="7">
        <v>0</v>
      </c>
      <c r="BF311" s="7">
        <v>0</v>
      </c>
      <c r="BG311" s="7">
        <v>0</v>
      </c>
      <c r="BH311" s="7">
        <v>0</v>
      </c>
      <c r="BI311" s="7">
        <v>0</v>
      </c>
      <c r="BJ311" s="21"/>
    </row>
    <row r="312" spans="1:62" ht="15.6" x14ac:dyDescent="0.3">
      <c r="A312" s="5" t="s">
        <v>547</v>
      </c>
      <c r="B312" s="5" t="s">
        <v>548</v>
      </c>
      <c r="C312" s="7">
        <v>5</v>
      </c>
      <c r="D312" s="7">
        <v>5</v>
      </c>
      <c r="E312" s="7">
        <v>0</v>
      </c>
      <c r="F312" s="7">
        <v>0</v>
      </c>
      <c r="G312" s="7">
        <v>0</v>
      </c>
      <c r="H312" s="7">
        <v>0</v>
      </c>
      <c r="I312" s="7">
        <v>0</v>
      </c>
      <c r="J312" s="7">
        <v>0</v>
      </c>
      <c r="K312" s="7">
        <v>0</v>
      </c>
      <c r="L312" s="7">
        <v>0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0</v>
      </c>
      <c r="S312" s="7">
        <v>0</v>
      </c>
      <c r="T312" s="7">
        <v>0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0</v>
      </c>
      <c r="AB312" s="7">
        <v>0</v>
      </c>
      <c r="AC312" s="7">
        <v>0</v>
      </c>
      <c r="AD312" s="7">
        <v>0</v>
      </c>
      <c r="AE312" s="7">
        <v>0</v>
      </c>
      <c r="AF312" s="7">
        <v>0</v>
      </c>
      <c r="AG312" s="7">
        <v>0</v>
      </c>
      <c r="AH312" s="7">
        <v>0</v>
      </c>
      <c r="AI312" s="7">
        <v>0</v>
      </c>
      <c r="AJ312" s="7">
        <v>0</v>
      </c>
      <c r="AK312" s="7">
        <v>0</v>
      </c>
      <c r="AL312" s="7">
        <v>0</v>
      </c>
      <c r="AM312" s="7">
        <v>0</v>
      </c>
      <c r="AN312" s="7">
        <v>0</v>
      </c>
      <c r="AO312" s="7">
        <v>0</v>
      </c>
      <c r="AP312" s="7">
        <v>0</v>
      </c>
      <c r="AQ312" s="7">
        <v>0</v>
      </c>
      <c r="AR312" s="7">
        <v>0</v>
      </c>
      <c r="AS312" s="7">
        <v>0</v>
      </c>
      <c r="AT312" s="7">
        <v>0</v>
      </c>
      <c r="AU312" s="7">
        <v>0</v>
      </c>
      <c r="AV312" s="7">
        <v>0</v>
      </c>
      <c r="AW312" s="7">
        <v>0</v>
      </c>
      <c r="AX312" s="7">
        <v>0</v>
      </c>
      <c r="AY312" s="7">
        <v>0</v>
      </c>
      <c r="AZ312" s="7">
        <v>0</v>
      </c>
      <c r="BA312" s="7">
        <v>0</v>
      </c>
      <c r="BB312" s="7">
        <v>0</v>
      </c>
      <c r="BC312" s="7">
        <v>0</v>
      </c>
      <c r="BD312" s="7">
        <v>0</v>
      </c>
      <c r="BE312" s="7">
        <v>0</v>
      </c>
      <c r="BF312" s="7">
        <v>0</v>
      </c>
      <c r="BG312" s="7">
        <v>0</v>
      </c>
      <c r="BH312" s="7">
        <v>0</v>
      </c>
      <c r="BI312" s="7">
        <v>0</v>
      </c>
      <c r="BJ312" s="21"/>
    </row>
    <row r="313" spans="1:62" ht="15.6" x14ac:dyDescent="0.3">
      <c r="A313" s="5" t="s">
        <v>549</v>
      </c>
      <c r="B313" s="5" t="s">
        <v>550</v>
      </c>
      <c r="C313" s="7">
        <v>5</v>
      </c>
      <c r="D313" s="7">
        <v>5</v>
      </c>
      <c r="E313" s="7">
        <v>-8602.4159999999993</v>
      </c>
      <c r="F313" s="7">
        <v>-2027.039</v>
      </c>
      <c r="G313" s="7">
        <v>0</v>
      </c>
      <c r="H313" s="7">
        <v>0</v>
      </c>
      <c r="I313" s="7">
        <v>-48.832999999999998</v>
      </c>
      <c r="J313" s="7">
        <v>0</v>
      </c>
      <c r="K313" s="7">
        <v>0</v>
      </c>
      <c r="L313" s="7">
        <v>-22870.755000000001</v>
      </c>
      <c r="M313" s="7">
        <v>-849.78499999999997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-629.06399999999996</v>
      </c>
      <c r="T313" s="7">
        <v>0</v>
      </c>
      <c r="U313" s="7">
        <v>0</v>
      </c>
      <c r="V313" s="7">
        <v>0</v>
      </c>
      <c r="W313" s="7">
        <v>-189.25700000000001</v>
      </c>
      <c r="X313" s="7">
        <v>0</v>
      </c>
      <c r="Y313" s="7">
        <v>-4410.0820000000003</v>
      </c>
      <c r="Z313" s="7">
        <v>0</v>
      </c>
      <c r="AA313" s="7">
        <v>0</v>
      </c>
      <c r="AB313" s="7">
        <v>0</v>
      </c>
      <c r="AC313" s="7">
        <v>-372.99099999999999</v>
      </c>
      <c r="AD313" s="7">
        <v>0</v>
      </c>
      <c r="AE313" s="7">
        <v>-10855.942999999999</v>
      </c>
      <c r="AF313" s="7">
        <v>-6044.9669999999996</v>
      </c>
      <c r="AG313" s="7">
        <v>0</v>
      </c>
      <c r="AH313" s="7">
        <v>-38473.453999999998</v>
      </c>
      <c r="AI313" s="7">
        <v>-9646.5769999999993</v>
      </c>
      <c r="AJ313" s="7">
        <v>0</v>
      </c>
      <c r="AK313" s="7">
        <v>0</v>
      </c>
      <c r="AL313" s="7">
        <v>0</v>
      </c>
      <c r="AM313" s="7">
        <v>0</v>
      </c>
      <c r="AN313" s="7">
        <v>0</v>
      </c>
      <c r="AO313" s="7">
        <v>-293.67200000000003</v>
      </c>
      <c r="AP313" s="7">
        <v>0</v>
      </c>
      <c r="AQ313" s="7">
        <v>-2134.2919999999999</v>
      </c>
      <c r="AR313" s="7">
        <v>0</v>
      </c>
      <c r="AS313" s="7">
        <v>-6.6449999999999996</v>
      </c>
      <c r="AT313" s="7">
        <v>0</v>
      </c>
      <c r="AU313" s="7">
        <v>-44.152000000000001</v>
      </c>
      <c r="AV313" s="7">
        <v>0</v>
      </c>
      <c r="AW313" s="7">
        <v>0</v>
      </c>
      <c r="AX313" s="7">
        <v>0</v>
      </c>
      <c r="AY313" s="7">
        <v>0</v>
      </c>
      <c r="AZ313" s="7">
        <v>0</v>
      </c>
      <c r="BA313" s="7">
        <v>0</v>
      </c>
      <c r="BB313" s="7">
        <v>-108.111</v>
      </c>
      <c r="BC313" s="7">
        <v>0</v>
      </c>
      <c r="BD313" s="7">
        <v>0</v>
      </c>
      <c r="BE313" s="7">
        <v>-27.457999999999998</v>
      </c>
      <c r="BF313" s="7">
        <v>-27.457999999999998</v>
      </c>
      <c r="BG313" s="7">
        <v>0</v>
      </c>
      <c r="BH313" s="7">
        <v>0</v>
      </c>
      <c r="BI313" s="7">
        <v>0</v>
      </c>
      <c r="BJ313" s="21"/>
    </row>
    <row r="314" spans="1:62" ht="15.6" x14ac:dyDescent="0.3">
      <c r="A314" s="5" t="s">
        <v>551</v>
      </c>
      <c r="B314" s="5" t="s">
        <v>552</v>
      </c>
      <c r="C314" s="7">
        <v>5</v>
      </c>
      <c r="D314" s="7">
        <v>5</v>
      </c>
      <c r="E314" s="7">
        <v>0</v>
      </c>
      <c r="F314" s="7">
        <v>0</v>
      </c>
      <c r="G314" s="7">
        <v>0</v>
      </c>
      <c r="H314" s="7">
        <v>0</v>
      </c>
      <c r="I314" s="7">
        <v>0</v>
      </c>
      <c r="J314" s="7">
        <v>0</v>
      </c>
      <c r="K314" s="7">
        <v>0</v>
      </c>
      <c r="L314" s="7">
        <v>0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0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>
        <v>0</v>
      </c>
      <c r="AI314" s="7">
        <v>0</v>
      </c>
      <c r="AJ314" s="7">
        <v>0</v>
      </c>
      <c r="AK314" s="7">
        <v>0</v>
      </c>
      <c r="AL314" s="7">
        <v>0</v>
      </c>
      <c r="AM314" s="7">
        <v>0</v>
      </c>
      <c r="AN314" s="7">
        <v>0</v>
      </c>
      <c r="AO314" s="7">
        <v>0</v>
      </c>
      <c r="AP314" s="7">
        <v>0</v>
      </c>
      <c r="AQ314" s="7">
        <v>0</v>
      </c>
      <c r="AR314" s="7">
        <v>0</v>
      </c>
      <c r="AS314" s="7">
        <v>0</v>
      </c>
      <c r="AT314" s="7">
        <v>0</v>
      </c>
      <c r="AU314" s="7">
        <v>0</v>
      </c>
      <c r="AV314" s="7">
        <v>0</v>
      </c>
      <c r="AW314" s="7">
        <v>0</v>
      </c>
      <c r="AX314" s="7">
        <v>0</v>
      </c>
      <c r="AY314" s="7">
        <v>0</v>
      </c>
      <c r="AZ314" s="7">
        <v>0</v>
      </c>
      <c r="BA314" s="7">
        <v>0</v>
      </c>
      <c r="BB314" s="7">
        <v>0</v>
      </c>
      <c r="BC314" s="7">
        <v>0</v>
      </c>
      <c r="BD314" s="7">
        <v>0</v>
      </c>
      <c r="BE314" s="7">
        <v>0</v>
      </c>
      <c r="BF314" s="7">
        <v>0</v>
      </c>
      <c r="BG314" s="7">
        <v>0</v>
      </c>
      <c r="BH314" s="7">
        <v>0</v>
      </c>
      <c r="BI314" s="7">
        <v>0</v>
      </c>
      <c r="BJ314" s="21"/>
    </row>
    <row r="315" spans="1:62" ht="15.6" x14ac:dyDescent="0.3">
      <c r="A315" s="5" t="s">
        <v>553</v>
      </c>
      <c r="B315" s="5" t="s">
        <v>554</v>
      </c>
      <c r="C315" s="7">
        <v>5</v>
      </c>
      <c r="D315" s="7">
        <v>5</v>
      </c>
      <c r="E315" s="7">
        <v>0</v>
      </c>
      <c r="F315" s="7">
        <v>0</v>
      </c>
      <c r="G315" s="7">
        <v>0</v>
      </c>
      <c r="H315" s="7">
        <v>0</v>
      </c>
      <c r="I315" s="7">
        <v>0</v>
      </c>
      <c r="J315" s="7">
        <v>0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0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7">
        <v>0</v>
      </c>
      <c r="AK315" s="7">
        <v>0</v>
      </c>
      <c r="AL315" s="7">
        <v>0</v>
      </c>
      <c r="AM315" s="7">
        <v>0</v>
      </c>
      <c r="AN315" s="7">
        <v>0</v>
      </c>
      <c r="AO315" s="7">
        <v>0</v>
      </c>
      <c r="AP315" s="7">
        <v>0</v>
      </c>
      <c r="AQ315" s="7">
        <v>0</v>
      </c>
      <c r="AR315" s="7">
        <v>0</v>
      </c>
      <c r="AS315" s="7">
        <v>0</v>
      </c>
      <c r="AT315" s="7">
        <v>0</v>
      </c>
      <c r="AU315" s="7">
        <v>0</v>
      </c>
      <c r="AV315" s="7">
        <v>0</v>
      </c>
      <c r="AW315" s="7">
        <v>0</v>
      </c>
      <c r="AX315" s="7">
        <v>0</v>
      </c>
      <c r="AY315" s="7">
        <v>0</v>
      </c>
      <c r="AZ315" s="7">
        <v>0</v>
      </c>
      <c r="BA315" s="7">
        <v>0</v>
      </c>
      <c r="BB315" s="7">
        <v>0</v>
      </c>
      <c r="BC315" s="7">
        <v>0</v>
      </c>
      <c r="BD315" s="7">
        <v>0</v>
      </c>
      <c r="BE315" s="7">
        <v>0</v>
      </c>
      <c r="BF315" s="7">
        <v>0</v>
      </c>
      <c r="BG315" s="7">
        <v>0</v>
      </c>
      <c r="BH315" s="7">
        <v>0</v>
      </c>
      <c r="BI315" s="7">
        <v>0</v>
      </c>
      <c r="BJ315" s="21"/>
    </row>
    <row r="316" spans="1:62" ht="15.6" x14ac:dyDescent="0.3">
      <c r="A316" s="5" t="s">
        <v>555</v>
      </c>
      <c r="B316" s="5" t="s">
        <v>556</v>
      </c>
      <c r="C316" s="7">
        <v>5</v>
      </c>
      <c r="D316" s="7">
        <v>5</v>
      </c>
      <c r="E316" s="7">
        <v>0</v>
      </c>
      <c r="F316" s="7">
        <v>0</v>
      </c>
      <c r="G316" s="7">
        <v>0</v>
      </c>
      <c r="H316" s="7">
        <v>0</v>
      </c>
      <c r="I316" s="7">
        <v>0</v>
      </c>
      <c r="J316" s="7">
        <v>0</v>
      </c>
      <c r="K316" s="7">
        <v>0</v>
      </c>
      <c r="L316" s="7">
        <v>0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0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0</v>
      </c>
      <c r="AB316" s="7">
        <v>0</v>
      </c>
      <c r="AC316" s="7">
        <v>0</v>
      </c>
      <c r="AD316" s="7">
        <v>0</v>
      </c>
      <c r="AE316" s="7">
        <v>0</v>
      </c>
      <c r="AF316" s="7">
        <v>0</v>
      </c>
      <c r="AG316" s="7">
        <v>0</v>
      </c>
      <c r="AH316" s="7">
        <v>0</v>
      </c>
      <c r="AI316" s="7">
        <v>0</v>
      </c>
      <c r="AJ316" s="7">
        <v>0</v>
      </c>
      <c r="AK316" s="7">
        <v>0</v>
      </c>
      <c r="AL316" s="7">
        <v>0</v>
      </c>
      <c r="AM316" s="7">
        <v>0</v>
      </c>
      <c r="AN316" s="7">
        <v>0</v>
      </c>
      <c r="AO316" s="7">
        <v>0</v>
      </c>
      <c r="AP316" s="7">
        <v>0</v>
      </c>
      <c r="AQ316" s="7">
        <v>0</v>
      </c>
      <c r="AR316" s="7">
        <v>0</v>
      </c>
      <c r="AS316" s="7">
        <v>0</v>
      </c>
      <c r="AT316" s="7">
        <v>0</v>
      </c>
      <c r="AU316" s="7">
        <v>0</v>
      </c>
      <c r="AV316" s="7">
        <v>0</v>
      </c>
      <c r="AW316" s="7">
        <v>0</v>
      </c>
      <c r="AX316" s="7">
        <v>0</v>
      </c>
      <c r="AY316" s="7">
        <v>0</v>
      </c>
      <c r="AZ316" s="7">
        <v>0</v>
      </c>
      <c r="BA316" s="7">
        <v>0</v>
      </c>
      <c r="BB316" s="7">
        <v>0</v>
      </c>
      <c r="BC316" s="7">
        <v>0</v>
      </c>
      <c r="BD316" s="7">
        <v>0</v>
      </c>
      <c r="BE316" s="7">
        <v>0</v>
      </c>
      <c r="BF316" s="7">
        <v>0</v>
      </c>
      <c r="BG316" s="7">
        <v>0</v>
      </c>
      <c r="BH316" s="7">
        <v>0</v>
      </c>
      <c r="BI316" s="7">
        <v>0</v>
      </c>
      <c r="BJ316" s="21"/>
    </row>
    <row r="317" spans="1:62" ht="15.6" x14ac:dyDescent="0.3">
      <c r="A317" s="5" t="s">
        <v>557</v>
      </c>
      <c r="B317" s="5" t="s">
        <v>558</v>
      </c>
      <c r="C317" s="7">
        <v>5</v>
      </c>
      <c r="D317" s="7">
        <v>5</v>
      </c>
      <c r="E317" s="7">
        <v>0</v>
      </c>
      <c r="F317" s="7">
        <v>0</v>
      </c>
      <c r="G317" s="7">
        <v>0</v>
      </c>
      <c r="H317" s="7">
        <v>0</v>
      </c>
      <c r="I317" s="7">
        <v>0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7">
        <v>0</v>
      </c>
      <c r="AK317" s="7">
        <v>0</v>
      </c>
      <c r="AL317" s="7">
        <v>0</v>
      </c>
      <c r="AM317" s="7">
        <v>0</v>
      </c>
      <c r="AN317" s="7">
        <v>0</v>
      </c>
      <c r="AO317" s="7">
        <v>0</v>
      </c>
      <c r="AP317" s="7">
        <v>0</v>
      </c>
      <c r="AQ317" s="7">
        <v>0</v>
      </c>
      <c r="AR317" s="7">
        <v>0</v>
      </c>
      <c r="AS317" s="7">
        <v>0</v>
      </c>
      <c r="AT317" s="7">
        <v>0</v>
      </c>
      <c r="AU317" s="7">
        <v>0</v>
      </c>
      <c r="AV317" s="7">
        <v>0</v>
      </c>
      <c r="AW317" s="7">
        <v>0</v>
      </c>
      <c r="AX317" s="7">
        <v>0</v>
      </c>
      <c r="AY317" s="7">
        <v>0</v>
      </c>
      <c r="AZ317" s="7">
        <v>0</v>
      </c>
      <c r="BA317" s="7">
        <v>0</v>
      </c>
      <c r="BB317" s="7">
        <v>0</v>
      </c>
      <c r="BC317" s="7">
        <v>0</v>
      </c>
      <c r="BD317" s="7">
        <v>0</v>
      </c>
      <c r="BE317" s="7">
        <v>0</v>
      </c>
      <c r="BF317" s="7">
        <v>0</v>
      </c>
      <c r="BG317" s="7">
        <v>0</v>
      </c>
      <c r="BH317" s="7">
        <v>0</v>
      </c>
      <c r="BI317" s="7">
        <v>0</v>
      </c>
      <c r="BJ317" s="21"/>
    </row>
    <row r="318" spans="1:62" ht="15.6" x14ac:dyDescent="0.3">
      <c r="A318" s="5" t="s">
        <v>559</v>
      </c>
      <c r="B318" s="5" t="s">
        <v>560</v>
      </c>
      <c r="C318" s="7">
        <v>5</v>
      </c>
      <c r="D318" s="7">
        <v>5</v>
      </c>
      <c r="E318" s="7">
        <v>0</v>
      </c>
      <c r="F318" s="7">
        <v>0</v>
      </c>
      <c r="G318" s="7">
        <v>0</v>
      </c>
      <c r="H318" s="7">
        <v>0</v>
      </c>
      <c r="I318" s="7">
        <v>0</v>
      </c>
      <c r="J318" s="7">
        <v>0</v>
      </c>
      <c r="K318" s="7">
        <v>0</v>
      </c>
      <c r="L318" s="7">
        <v>0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0</v>
      </c>
      <c r="S318" s="7">
        <v>0</v>
      </c>
      <c r="T318" s="7">
        <v>0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0</v>
      </c>
      <c r="AB318" s="7">
        <v>0</v>
      </c>
      <c r="AC318" s="7">
        <v>0</v>
      </c>
      <c r="AD318" s="7">
        <v>0</v>
      </c>
      <c r="AE318" s="7">
        <v>0</v>
      </c>
      <c r="AF318" s="7">
        <v>0</v>
      </c>
      <c r="AG318" s="7">
        <v>0</v>
      </c>
      <c r="AH318" s="7">
        <v>0</v>
      </c>
      <c r="AI318" s="7">
        <v>0</v>
      </c>
      <c r="AJ318" s="7">
        <v>0</v>
      </c>
      <c r="AK318" s="7">
        <v>0</v>
      </c>
      <c r="AL318" s="7">
        <v>0</v>
      </c>
      <c r="AM318" s="7">
        <v>0</v>
      </c>
      <c r="AN318" s="7">
        <v>0</v>
      </c>
      <c r="AO318" s="7">
        <v>0</v>
      </c>
      <c r="AP318" s="7">
        <v>0</v>
      </c>
      <c r="AQ318" s="7">
        <v>0</v>
      </c>
      <c r="AR318" s="7">
        <v>0</v>
      </c>
      <c r="AS318" s="7">
        <v>0</v>
      </c>
      <c r="AT318" s="7">
        <v>0</v>
      </c>
      <c r="AU318" s="7">
        <v>0</v>
      </c>
      <c r="AV318" s="7">
        <v>0</v>
      </c>
      <c r="AW318" s="7">
        <v>0</v>
      </c>
      <c r="AX318" s="7">
        <v>0</v>
      </c>
      <c r="AY318" s="7">
        <v>0</v>
      </c>
      <c r="AZ318" s="7">
        <v>0</v>
      </c>
      <c r="BA318" s="7">
        <v>0</v>
      </c>
      <c r="BB318" s="7">
        <v>0</v>
      </c>
      <c r="BC318" s="7">
        <v>0</v>
      </c>
      <c r="BD318" s="7">
        <v>0</v>
      </c>
      <c r="BE318" s="7">
        <v>0</v>
      </c>
      <c r="BF318" s="7">
        <v>0</v>
      </c>
      <c r="BG318" s="7">
        <v>0</v>
      </c>
      <c r="BH318" s="7">
        <v>0</v>
      </c>
      <c r="BI318" s="7">
        <v>0</v>
      </c>
      <c r="BJ318" s="21"/>
    </row>
    <row r="319" spans="1:62" ht="15.6" x14ac:dyDescent="0.3">
      <c r="A319" s="5" t="s">
        <v>561</v>
      </c>
      <c r="B319" s="5" t="s">
        <v>562</v>
      </c>
      <c r="C319" s="7">
        <v>5</v>
      </c>
      <c r="D319" s="7">
        <v>5</v>
      </c>
      <c r="E319" s="7">
        <v>0</v>
      </c>
      <c r="F319" s="7">
        <v>0</v>
      </c>
      <c r="G319" s="7">
        <v>0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7">
        <v>0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7">
        <v>0</v>
      </c>
      <c r="AK319" s="7">
        <v>0</v>
      </c>
      <c r="AL319" s="7">
        <v>0</v>
      </c>
      <c r="AM319" s="7">
        <v>0</v>
      </c>
      <c r="AN319" s="7">
        <v>0</v>
      </c>
      <c r="AO319" s="7">
        <v>0</v>
      </c>
      <c r="AP319" s="7">
        <v>0</v>
      </c>
      <c r="AQ319" s="7">
        <v>0</v>
      </c>
      <c r="AR319" s="7">
        <v>0</v>
      </c>
      <c r="AS319" s="7">
        <v>0</v>
      </c>
      <c r="AT319" s="7">
        <v>0</v>
      </c>
      <c r="AU319" s="7">
        <v>0</v>
      </c>
      <c r="AV319" s="7">
        <v>0</v>
      </c>
      <c r="AW319" s="7">
        <v>0</v>
      </c>
      <c r="AX319" s="7">
        <v>0</v>
      </c>
      <c r="AY319" s="7">
        <v>0</v>
      </c>
      <c r="AZ319" s="7">
        <v>0</v>
      </c>
      <c r="BA319" s="7">
        <v>0</v>
      </c>
      <c r="BB319" s="7">
        <v>0</v>
      </c>
      <c r="BC319" s="7">
        <v>0</v>
      </c>
      <c r="BD319" s="7">
        <v>0</v>
      </c>
      <c r="BE319" s="7">
        <v>0</v>
      </c>
      <c r="BF319" s="7">
        <v>0</v>
      </c>
      <c r="BG319" s="7">
        <v>0</v>
      </c>
      <c r="BH319" s="7">
        <v>0</v>
      </c>
      <c r="BI319" s="7">
        <v>0</v>
      </c>
      <c r="BJ319" s="21"/>
    </row>
    <row r="320" spans="1:62" ht="15.6" x14ac:dyDescent="0.3">
      <c r="A320" s="5" t="s">
        <v>563</v>
      </c>
      <c r="B320" s="5" t="s">
        <v>564</v>
      </c>
      <c r="C320" s="7">
        <v>5</v>
      </c>
      <c r="D320" s="7">
        <v>5</v>
      </c>
      <c r="E320" s="7">
        <v>0</v>
      </c>
      <c r="F320" s="7">
        <v>0</v>
      </c>
      <c r="G320" s="7">
        <v>0</v>
      </c>
      <c r="H320" s="7">
        <v>0</v>
      </c>
      <c r="I320" s="7">
        <v>0</v>
      </c>
      <c r="J320" s="7">
        <v>0</v>
      </c>
      <c r="K320" s="7">
        <v>0</v>
      </c>
      <c r="L320" s="7">
        <v>0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0</v>
      </c>
      <c r="S320" s="7">
        <v>0</v>
      </c>
      <c r="T320" s="7">
        <v>0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0</v>
      </c>
      <c r="AB320" s="7">
        <v>0</v>
      </c>
      <c r="AC320" s="7">
        <v>0</v>
      </c>
      <c r="AD320" s="7">
        <v>0</v>
      </c>
      <c r="AE320" s="7">
        <v>0</v>
      </c>
      <c r="AF320" s="7">
        <v>0</v>
      </c>
      <c r="AG320" s="7">
        <v>0</v>
      </c>
      <c r="AH320" s="7">
        <v>0</v>
      </c>
      <c r="AI320" s="7">
        <v>0</v>
      </c>
      <c r="AJ320" s="7">
        <v>0</v>
      </c>
      <c r="AK320" s="7">
        <v>0</v>
      </c>
      <c r="AL320" s="7">
        <v>0</v>
      </c>
      <c r="AM320" s="7">
        <v>0</v>
      </c>
      <c r="AN320" s="7">
        <v>0</v>
      </c>
      <c r="AO320" s="7">
        <v>0</v>
      </c>
      <c r="AP320" s="7">
        <v>0</v>
      </c>
      <c r="AQ320" s="7">
        <v>0</v>
      </c>
      <c r="AR320" s="7">
        <v>0</v>
      </c>
      <c r="AS320" s="7">
        <v>0</v>
      </c>
      <c r="AT320" s="7">
        <v>0</v>
      </c>
      <c r="AU320" s="7">
        <v>0</v>
      </c>
      <c r="AV320" s="7">
        <v>0</v>
      </c>
      <c r="AW320" s="7">
        <v>0</v>
      </c>
      <c r="AX320" s="7">
        <v>0</v>
      </c>
      <c r="AY320" s="7">
        <v>0</v>
      </c>
      <c r="AZ320" s="7">
        <v>0</v>
      </c>
      <c r="BA320" s="7">
        <v>0</v>
      </c>
      <c r="BB320" s="7">
        <v>0</v>
      </c>
      <c r="BC320" s="7">
        <v>0</v>
      </c>
      <c r="BD320" s="7">
        <v>0</v>
      </c>
      <c r="BE320" s="7">
        <v>0</v>
      </c>
      <c r="BF320" s="7">
        <v>0</v>
      </c>
      <c r="BG320" s="7">
        <v>0</v>
      </c>
      <c r="BH320" s="7">
        <v>0</v>
      </c>
      <c r="BI320" s="7">
        <v>0</v>
      </c>
      <c r="BJ320" s="21"/>
    </row>
    <row r="321" spans="1:62" ht="15.6" x14ac:dyDescent="0.3">
      <c r="A321" s="5" t="s">
        <v>565</v>
      </c>
      <c r="B321" s="5" t="s">
        <v>566</v>
      </c>
      <c r="C321" s="7">
        <v>5</v>
      </c>
      <c r="D321" s="7">
        <v>5</v>
      </c>
      <c r="E321" s="7">
        <v>0</v>
      </c>
      <c r="F321" s="7">
        <v>0</v>
      </c>
      <c r="G321" s="7">
        <v>0</v>
      </c>
      <c r="H321" s="7">
        <v>0</v>
      </c>
      <c r="I321" s="7">
        <v>0</v>
      </c>
      <c r="J321" s="7">
        <v>0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7">
        <v>0</v>
      </c>
      <c r="AK321" s="7">
        <v>0</v>
      </c>
      <c r="AL321" s="7">
        <v>0</v>
      </c>
      <c r="AM321" s="7">
        <v>0</v>
      </c>
      <c r="AN321" s="7">
        <v>0</v>
      </c>
      <c r="AO321" s="7">
        <v>0</v>
      </c>
      <c r="AP321" s="7">
        <v>0</v>
      </c>
      <c r="AQ321" s="7">
        <v>0</v>
      </c>
      <c r="AR321" s="7">
        <v>0</v>
      </c>
      <c r="AS321" s="7">
        <v>0</v>
      </c>
      <c r="AT321" s="7">
        <v>0</v>
      </c>
      <c r="AU321" s="7">
        <v>0</v>
      </c>
      <c r="AV321" s="7">
        <v>0</v>
      </c>
      <c r="AW321" s="7">
        <v>0</v>
      </c>
      <c r="AX321" s="7">
        <v>0</v>
      </c>
      <c r="AY321" s="7">
        <v>0</v>
      </c>
      <c r="AZ321" s="7">
        <v>0</v>
      </c>
      <c r="BA321" s="7">
        <v>0</v>
      </c>
      <c r="BB321" s="7">
        <v>0</v>
      </c>
      <c r="BC321" s="7">
        <v>0</v>
      </c>
      <c r="BD321" s="7">
        <v>0</v>
      </c>
      <c r="BE321" s="7">
        <v>0</v>
      </c>
      <c r="BF321" s="7">
        <v>0</v>
      </c>
      <c r="BG321" s="7">
        <v>0</v>
      </c>
      <c r="BH321" s="7">
        <v>0</v>
      </c>
      <c r="BI321" s="7">
        <v>0</v>
      </c>
      <c r="BJ321" s="21"/>
    </row>
    <row r="322" spans="1:62" ht="15.6" x14ac:dyDescent="0.3">
      <c r="A322" s="5" t="s">
        <v>567</v>
      </c>
      <c r="B322" s="5" t="s">
        <v>568</v>
      </c>
      <c r="C322" s="7">
        <v>5</v>
      </c>
      <c r="D322" s="7">
        <v>5</v>
      </c>
      <c r="E322" s="7">
        <v>0</v>
      </c>
      <c r="F322" s="7">
        <v>0</v>
      </c>
      <c r="G322" s="7">
        <v>0</v>
      </c>
      <c r="H322" s="7">
        <v>0</v>
      </c>
      <c r="I322" s="7">
        <v>0</v>
      </c>
      <c r="J322" s="7">
        <v>0</v>
      </c>
      <c r="K322" s="7">
        <v>0</v>
      </c>
      <c r="L322" s="7">
        <v>0</v>
      </c>
      <c r="M322" s="7">
        <v>0</v>
      </c>
      <c r="N322" s="7">
        <v>0</v>
      </c>
      <c r="O322" s="7">
        <v>0</v>
      </c>
      <c r="P322" s="7">
        <v>0</v>
      </c>
      <c r="Q322" s="7">
        <v>0</v>
      </c>
      <c r="R322" s="7">
        <v>0</v>
      </c>
      <c r="S322" s="7">
        <v>0</v>
      </c>
      <c r="T322" s="7">
        <v>0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0</v>
      </c>
      <c r="AB322" s="7">
        <v>0</v>
      </c>
      <c r="AC322" s="7">
        <v>0</v>
      </c>
      <c r="AD322" s="7">
        <v>0</v>
      </c>
      <c r="AE322" s="7">
        <v>0</v>
      </c>
      <c r="AF322" s="7">
        <v>0</v>
      </c>
      <c r="AG322" s="7">
        <v>0</v>
      </c>
      <c r="AH322" s="7">
        <v>0</v>
      </c>
      <c r="AI322" s="7">
        <v>0</v>
      </c>
      <c r="AJ322" s="7">
        <v>0</v>
      </c>
      <c r="AK322" s="7">
        <v>0</v>
      </c>
      <c r="AL322" s="7">
        <v>0</v>
      </c>
      <c r="AM322" s="7">
        <v>0</v>
      </c>
      <c r="AN322" s="7">
        <v>0</v>
      </c>
      <c r="AO322" s="7">
        <v>0</v>
      </c>
      <c r="AP322" s="7">
        <v>0</v>
      </c>
      <c r="AQ322" s="7">
        <v>0</v>
      </c>
      <c r="AR322" s="7">
        <v>0</v>
      </c>
      <c r="AS322" s="7">
        <v>0</v>
      </c>
      <c r="AT322" s="7">
        <v>0</v>
      </c>
      <c r="AU322" s="7">
        <v>0</v>
      </c>
      <c r="AV322" s="7">
        <v>0</v>
      </c>
      <c r="AW322" s="7">
        <v>0</v>
      </c>
      <c r="AX322" s="7">
        <v>0</v>
      </c>
      <c r="AY322" s="7">
        <v>0</v>
      </c>
      <c r="AZ322" s="7">
        <v>0</v>
      </c>
      <c r="BA322" s="7">
        <v>0</v>
      </c>
      <c r="BB322" s="7">
        <v>0</v>
      </c>
      <c r="BC322" s="7">
        <v>0</v>
      </c>
      <c r="BD322" s="7">
        <v>0</v>
      </c>
      <c r="BE322" s="7">
        <v>0</v>
      </c>
      <c r="BF322" s="7">
        <v>0</v>
      </c>
      <c r="BG322" s="7">
        <v>0</v>
      </c>
      <c r="BH322" s="7">
        <v>0</v>
      </c>
      <c r="BI322" s="7">
        <v>0</v>
      </c>
      <c r="BJ322" s="21"/>
    </row>
    <row r="323" spans="1:62" ht="15.6" x14ac:dyDescent="0.3">
      <c r="A323" s="5" t="s">
        <v>569</v>
      </c>
      <c r="B323" s="5" t="s">
        <v>570</v>
      </c>
      <c r="C323" s="7">
        <v>5</v>
      </c>
      <c r="D323" s="7">
        <v>5</v>
      </c>
      <c r="E323" s="7">
        <v>-30828.686000000002</v>
      </c>
      <c r="F323" s="7">
        <v>-7264.3469999999998</v>
      </c>
      <c r="G323" s="7">
        <v>0</v>
      </c>
      <c r="H323" s="7">
        <v>0</v>
      </c>
      <c r="I323" s="7">
        <v>-175.005</v>
      </c>
      <c r="J323" s="7">
        <v>0</v>
      </c>
      <c r="K323" s="7">
        <v>0</v>
      </c>
      <c r="L323" s="7">
        <v>-81962.475000000006</v>
      </c>
      <c r="M323" s="7">
        <v>-3045.393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-2254.393</v>
      </c>
      <c r="T323" s="7">
        <v>0</v>
      </c>
      <c r="U323" s="7">
        <v>0</v>
      </c>
      <c r="V323" s="7">
        <v>0</v>
      </c>
      <c r="W323" s="7">
        <v>-678.24400000000003</v>
      </c>
      <c r="X323" s="7">
        <v>0</v>
      </c>
      <c r="Y323" s="7">
        <v>-15804.516</v>
      </c>
      <c r="Z323" s="7">
        <v>0</v>
      </c>
      <c r="AA323" s="7">
        <v>0</v>
      </c>
      <c r="AB323" s="7">
        <v>0</v>
      </c>
      <c r="AC323" s="7">
        <v>-1336.6980000000001</v>
      </c>
      <c r="AD323" s="7">
        <v>0</v>
      </c>
      <c r="AE323" s="7">
        <v>-38904.703000000001</v>
      </c>
      <c r="AF323" s="7">
        <v>-21663.493999999999</v>
      </c>
      <c r="AG323" s="7">
        <v>0</v>
      </c>
      <c r="AH323" s="7">
        <v>-137878.24100000001</v>
      </c>
      <c r="AI323" s="7">
        <v>-34570.669000000002</v>
      </c>
      <c r="AJ323" s="7">
        <v>0</v>
      </c>
      <c r="AK323" s="7">
        <v>0</v>
      </c>
      <c r="AL323" s="7">
        <v>0</v>
      </c>
      <c r="AM323" s="7">
        <v>0</v>
      </c>
      <c r="AN323" s="7">
        <v>0</v>
      </c>
      <c r="AO323" s="7">
        <v>-1052.44</v>
      </c>
      <c r="AP323" s="7">
        <v>0</v>
      </c>
      <c r="AQ323" s="7">
        <v>-7648.7120000000004</v>
      </c>
      <c r="AR323" s="7">
        <v>0</v>
      </c>
      <c r="AS323" s="7">
        <v>-23.814</v>
      </c>
      <c r="AT323" s="7">
        <v>0</v>
      </c>
      <c r="AU323" s="7">
        <v>-158.22800000000001</v>
      </c>
      <c r="AV323" s="7">
        <v>0</v>
      </c>
      <c r="AW323" s="7">
        <v>0</v>
      </c>
      <c r="AX323" s="7">
        <v>0</v>
      </c>
      <c r="AY323" s="7">
        <v>0</v>
      </c>
      <c r="AZ323" s="7">
        <v>0</v>
      </c>
      <c r="BA323" s="7">
        <v>0</v>
      </c>
      <c r="BB323" s="7">
        <v>-387.44099999999997</v>
      </c>
      <c r="BC323" s="7">
        <v>0</v>
      </c>
      <c r="BD323" s="7">
        <v>0</v>
      </c>
      <c r="BE323" s="7">
        <v>-98.400999999999996</v>
      </c>
      <c r="BF323" s="7">
        <v>-98.400999999999996</v>
      </c>
      <c r="BG323" s="7">
        <v>0</v>
      </c>
      <c r="BH323" s="7">
        <v>0</v>
      </c>
      <c r="BI323" s="7">
        <v>0</v>
      </c>
      <c r="BJ323" s="21"/>
    </row>
    <row r="324" spans="1:62" ht="15.6" x14ac:dyDescent="0.3">
      <c r="A324" s="5" t="s">
        <v>571</v>
      </c>
      <c r="B324" s="5" t="s">
        <v>572</v>
      </c>
      <c r="C324" s="7">
        <v>5</v>
      </c>
      <c r="D324" s="7">
        <v>5</v>
      </c>
      <c r="E324" s="7">
        <v>0</v>
      </c>
      <c r="F324" s="7">
        <v>0</v>
      </c>
      <c r="G324" s="7">
        <v>0</v>
      </c>
      <c r="H324" s="7">
        <v>0</v>
      </c>
      <c r="I324" s="7">
        <v>0</v>
      </c>
      <c r="J324" s="7">
        <v>0</v>
      </c>
      <c r="K324" s="7">
        <v>0</v>
      </c>
      <c r="L324" s="7">
        <v>0</v>
      </c>
      <c r="M324" s="7">
        <v>0</v>
      </c>
      <c r="N324" s="7">
        <v>0</v>
      </c>
      <c r="O324" s="7">
        <v>0</v>
      </c>
      <c r="P324" s="7">
        <v>0</v>
      </c>
      <c r="Q324" s="7">
        <v>0</v>
      </c>
      <c r="R324" s="7">
        <v>0</v>
      </c>
      <c r="S324" s="7">
        <v>0</v>
      </c>
      <c r="T324" s="7">
        <v>0</v>
      </c>
      <c r="U324" s="7">
        <v>0</v>
      </c>
      <c r="V324" s="7">
        <v>0</v>
      </c>
      <c r="W324" s="7">
        <v>0</v>
      </c>
      <c r="X324" s="7">
        <v>0</v>
      </c>
      <c r="Y324" s="7">
        <v>0</v>
      </c>
      <c r="Z324" s="7">
        <v>0</v>
      </c>
      <c r="AA324" s="7">
        <v>0</v>
      </c>
      <c r="AB324" s="7">
        <v>0</v>
      </c>
      <c r="AC324" s="7">
        <v>0</v>
      </c>
      <c r="AD324" s="7">
        <v>0</v>
      </c>
      <c r="AE324" s="7">
        <v>0</v>
      </c>
      <c r="AF324" s="7">
        <v>0</v>
      </c>
      <c r="AG324" s="7">
        <v>0</v>
      </c>
      <c r="AH324" s="7">
        <v>0</v>
      </c>
      <c r="AI324" s="7">
        <v>0</v>
      </c>
      <c r="AJ324" s="7">
        <v>0</v>
      </c>
      <c r="AK324" s="7">
        <v>0</v>
      </c>
      <c r="AL324" s="7">
        <v>0</v>
      </c>
      <c r="AM324" s="7">
        <v>0</v>
      </c>
      <c r="AN324" s="7">
        <v>0</v>
      </c>
      <c r="AO324" s="7">
        <v>0</v>
      </c>
      <c r="AP324" s="7">
        <v>0</v>
      </c>
      <c r="AQ324" s="7">
        <v>0</v>
      </c>
      <c r="AR324" s="7">
        <v>0</v>
      </c>
      <c r="AS324" s="7">
        <v>0</v>
      </c>
      <c r="AT324" s="7">
        <v>0</v>
      </c>
      <c r="AU324" s="7">
        <v>0</v>
      </c>
      <c r="AV324" s="7">
        <v>0</v>
      </c>
      <c r="AW324" s="7">
        <v>0</v>
      </c>
      <c r="AX324" s="7">
        <v>0</v>
      </c>
      <c r="AY324" s="7">
        <v>0</v>
      </c>
      <c r="AZ324" s="7">
        <v>0</v>
      </c>
      <c r="BA324" s="7">
        <v>0</v>
      </c>
      <c r="BB324" s="7">
        <v>0</v>
      </c>
      <c r="BC324" s="7">
        <v>0</v>
      </c>
      <c r="BD324" s="7">
        <v>0</v>
      </c>
      <c r="BE324" s="7">
        <v>0</v>
      </c>
      <c r="BF324" s="7">
        <v>0</v>
      </c>
      <c r="BG324" s="7">
        <v>0</v>
      </c>
      <c r="BH324" s="7">
        <v>0</v>
      </c>
      <c r="BI324" s="7">
        <v>0</v>
      </c>
      <c r="BJ324" s="21"/>
    </row>
    <row r="325" spans="1:62" ht="15.6" x14ac:dyDescent="0.3">
      <c r="A325" s="5" t="s">
        <v>573</v>
      </c>
      <c r="B325" s="5" t="s">
        <v>574</v>
      </c>
      <c r="C325" s="7">
        <v>5</v>
      </c>
      <c r="D325" s="7">
        <v>5</v>
      </c>
      <c r="E325" s="7">
        <v>-5727.7690000000002</v>
      </c>
      <c r="F325" s="7">
        <v>-1349.6679999999999</v>
      </c>
      <c r="G325" s="7">
        <v>0</v>
      </c>
      <c r="H325" s="7">
        <v>0</v>
      </c>
      <c r="I325" s="7">
        <v>-32.515000000000001</v>
      </c>
      <c r="J325" s="7">
        <v>0</v>
      </c>
      <c r="K325" s="7">
        <v>0</v>
      </c>
      <c r="L325" s="7">
        <v>-15228.093999999999</v>
      </c>
      <c r="M325" s="7">
        <v>-565.81399999999996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-418.851</v>
      </c>
      <c r="T325" s="7">
        <v>0</v>
      </c>
      <c r="U325" s="7">
        <v>0</v>
      </c>
      <c r="V325" s="7">
        <v>0</v>
      </c>
      <c r="W325" s="7">
        <v>-126.01300000000001</v>
      </c>
      <c r="X325" s="7">
        <v>0</v>
      </c>
      <c r="Y325" s="7">
        <v>-2936.3760000000002</v>
      </c>
      <c r="Z325" s="7">
        <v>0</v>
      </c>
      <c r="AA325" s="7">
        <v>0</v>
      </c>
      <c r="AB325" s="7">
        <v>0</v>
      </c>
      <c r="AC325" s="7">
        <v>-248.35</v>
      </c>
      <c r="AD325" s="7">
        <v>0</v>
      </c>
      <c r="AE325" s="7">
        <v>-7228.24</v>
      </c>
      <c r="AF325" s="7">
        <v>-4024.9360000000001</v>
      </c>
      <c r="AG325" s="7">
        <v>0</v>
      </c>
      <c r="AH325" s="7">
        <v>-25616.878000000001</v>
      </c>
      <c r="AI325" s="7">
        <v>-6423.0050000000001</v>
      </c>
      <c r="AJ325" s="7">
        <v>0</v>
      </c>
      <c r="AK325" s="7">
        <v>0</v>
      </c>
      <c r="AL325" s="7">
        <v>0</v>
      </c>
      <c r="AM325" s="7">
        <v>0</v>
      </c>
      <c r="AN325" s="7">
        <v>0</v>
      </c>
      <c r="AO325" s="7">
        <v>-195.536</v>
      </c>
      <c r="AP325" s="7">
        <v>0</v>
      </c>
      <c r="AQ325" s="7">
        <v>-1421.0809999999999</v>
      </c>
      <c r="AR325" s="7">
        <v>0</v>
      </c>
      <c r="AS325" s="7">
        <v>-4.4249999999999998</v>
      </c>
      <c r="AT325" s="7">
        <v>0</v>
      </c>
      <c r="AU325" s="7">
        <v>-29.398</v>
      </c>
      <c r="AV325" s="7">
        <v>0</v>
      </c>
      <c r="AW325" s="7">
        <v>0</v>
      </c>
      <c r="AX325" s="7">
        <v>0</v>
      </c>
      <c r="AY325" s="7">
        <v>0</v>
      </c>
      <c r="AZ325" s="7">
        <v>0</v>
      </c>
      <c r="BA325" s="7">
        <v>0</v>
      </c>
      <c r="BB325" s="7">
        <v>-71.983999999999995</v>
      </c>
      <c r="BC325" s="7">
        <v>0</v>
      </c>
      <c r="BD325" s="7">
        <v>0</v>
      </c>
      <c r="BE325" s="7">
        <v>-18.282</v>
      </c>
      <c r="BF325" s="7">
        <v>-18.282</v>
      </c>
      <c r="BG325" s="7">
        <v>0</v>
      </c>
      <c r="BH325" s="7">
        <v>0</v>
      </c>
      <c r="BI325" s="7">
        <v>0</v>
      </c>
      <c r="BJ325" s="21"/>
    </row>
    <row r="326" spans="1:62" ht="15.6" x14ac:dyDescent="0.3">
      <c r="A326" s="5" t="s">
        <v>575</v>
      </c>
      <c r="B326" s="5" t="s">
        <v>576</v>
      </c>
      <c r="C326" s="7">
        <v>6</v>
      </c>
      <c r="D326" s="7">
        <v>6</v>
      </c>
      <c r="E326" s="7">
        <v>64.596000000000004</v>
      </c>
      <c r="F326" s="7">
        <v>0</v>
      </c>
      <c r="G326" s="7">
        <v>0</v>
      </c>
      <c r="H326" s="7">
        <v>0</v>
      </c>
      <c r="I326" s="7">
        <v>91.108999999999995</v>
      </c>
      <c r="J326" s="7">
        <v>0</v>
      </c>
      <c r="K326" s="7">
        <v>0</v>
      </c>
      <c r="L326" s="7">
        <v>14686.08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</v>
      </c>
      <c r="S326" s="7">
        <v>0</v>
      </c>
      <c r="T326" s="7">
        <v>0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0</v>
      </c>
      <c r="AB326" s="7">
        <v>0</v>
      </c>
      <c r="AC326" s="7">
        <v>0</v>
      </c>
      <c r="AD326" s="7">
        <v>0</v>
      </c>
      <c r="AE326" s="7">
        <v>0</v>
      </c>
      <c r="AF326" s="7">
        <v>0</v>
      </c>
      <c r="AG326" s="7">
        <v>0</v>
      </c>
      <c r="AH326" s="7">
        <v>0</v>
      </c>
      <c r="AI326" s="7">
        <v>0</v>
      </c>
      <c r="AJ326" s="7">
        <v>0</v>
      </c>
      <c r="AK326" s="7">
        <v>0</v>
      </c>
      <c r="AL326" s="7">
        <v>0</v>
      </c>
      <c r="AM326" s="7">
        <v>0</v>
      </c>
      <c r="AN326" s="7">
        <v>0</v>
      </c>
      <c r="AO326" s="7">
        <v>0</v>
      </c>
      <c r="AP326" s="7">
        <v>0</v>
      </c>
      <c r="AQ326" s="7">
        <v>0</v>
      </c>
      <c r="AR326" s="7">
        <v>0</v>
      </c>
      <c r="AS326" s="7">
        <v>0</v>
      </c>
      <c r="AT326" s="7">
        <v>0</v>
      </c>
      <c r="AU326" s="7">
        <v>0</v>
      </c>
      <c r="AV326" s="7">
        <v>0</v>
      </c>
      <c r="AW326" s="7">
        <v>0</v>
      </c>
      <c r="AX326" s="7">
        <v>0</v>
      </c>
      <c r="AY326" s="7">
        <v>0</v>
      </c>
      <c r="AZ326" s="7">
        <v>0</v>
      </c>
      <c r="BA326" s="7">
        <v>0</v>
      </c>
      <c r="BB326" s="7">
        <v>0</v>
      </c>
      <c r="BC326" s="7">
        <v>0</v>
      </c>
      <c r="BD326" s="7">
        <v>0</v>
      </c>
      <c r="BE326" s="7">
        <v>0</v>
      </c>
      <c r="BF326" s="7">
        <v>0</v>
      </c>
      <c r="BG326" s="7">
        <v>0</v>
      </c>
      <c r="BH326" s="7">
        <v>0</v>
      </c>
      <c r="BI326" s="7">
        <v>0</v>
      </c>
      <c r="BJ326" s="21"/>
    </row>
    <row r="327" spans="1:62" ht="15.6" x14ac:dyDescent="0.3">
      <c r="A327" s="5" t="s">
        <v>577</v>
      </c>
      <c r="B327" s="5" t="s">
        <v>578</v>
      </c>
      <c r="C327" s="7">
        <v>6</v>
      </c>
      <c r="D327" s="7">
        <v>6</v>
      </c>
      <c r="E327" s="7">
        <v>0</v>
      </c>
      <c r="F327" s="7">
        <v>0</v>
      </c>
      <c r="G327" s="7">
        <v>0</v>
      </c>
      <c r="H327" s="7">
        <v>0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7">
        <v>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7">
        <v>0</v>
      </c>
      <c r="AK327" s="7">
        <v>0</v>
      </c>
      <c r="AL327" s="7">
        <v>0</v>
      </c>
      <c r="AM327" s="7">
        <v>0</v>
      </c>
      <c r="AN327" s="7">
        <v>0</v>
      </c>
      <c r="AO327" s="7">
        <v>0</v>
      </c>
      <c r="AP327" s="7">
        <v>0</v>
      </c>
      <c r="AQ327" s="7">
        <v>0</v>
      </c>
      <c r="AR327" s="7">
        <v>0</v>
      </c>
      <c r="AS327" s="7">
        <v>0</v>
      </c>
      <c r="AT327" s="7">
        <v>0</v>
      </c>
      <c r="AU327" s="7">
        <v>0</v>
      </c>
      <c r="AV327" s="7">
        <v>0</v>
      </c>
      <c r="AW327" s="7">
        <v>0</v>
      </c>
      <c r="AX327" s="7">
        <v>0</v>
      </c>
      <c r="AY327" s="7">
        <v>0</v>
      </c>
      <c r="AZ327" s="7">
        <v>0</v>
      </c>
      <c r="BA327" s="7">
        <v>0</v>
      </c>
      <c r="BB327" s="7">
        <v>0</v>
      </c>
      <c r="BC327" s="7">
        <v>0</v>
      </c>
      <c r="BD327" s="7">
        <v>0</v>
      </c>
      <c r="BE327" s="7">
        <v>0</v>
      </c>
      <c r="BF327" s="7">
        <v>0</v>
      </c>
      <c r="BG327" s="7">
        <v>0</v>
      </c>
      <c r="BH327" s="7">
        <v>0</v>
      </c>
      <c r="BI327" s="7">
        <v>0</v>
      </c>
      <c r="BJ327" s="21"/>
    </row>
    <row r="328" spans="1:62" ht="15.6" x14ac:dyDescent="0.3">
      <c r="A328" s="5" t="s">
        <v>579</v>
      </c>
      <c r="B328" s="5" t="s">
        <v>580</v>
      </c>
      <c r="C328" s="7">
        <v>6</v>
      </c>
      <c r="D328" s="7">
        <v>6</v>
      </c>
      <c r="E328" s="7">
        <v>0</v>
      </c>
      <c r="F328" s="7">
        <v>0</v>
      </c>
      <c r="G328" s="7">
        <v>0</v>
      </c>
      <c r="H328" s="7">
        <v>0</v>
      </c>
      <c r="I328" s="7">
        <v>0</v>
      </c>
      <c r="J328" s="7">
        <v>0</v>
      </c>
      <c r="K328" s="7">
        <v>0</v>
      </c>
      <c r="L328" s="7">
        <v>0</v>
      </c>
      <c r="M328" s="7">
        <v>0</v>
      </c>
      <c r="N328" s="7">
        <v>0</v>
      </c>
      <c r="O328" s="7">
        <v>0</v>
      </c>
      <c r="P328" s="7">
        <v>0</v>
      </c>
      <c r="Q328" s="7">
        <v>0</v>
      </c>
      <c r="R328" s="7">
        <v>0</v>
      </c>
      <c r="S328" s="7">
        <v>0</v>
      </c>
      <c r="T328" s="7">
        <v>0</v>
      </c>
      <c r="U328" s="7">
        <v>0</v>
      </c>
      <c r="V328" s="7">
        <v>0</v>
      </c>
      <c r="W328" s="7">
        <v>0</v>
      </c>
      <c r="X328" s="7">
        <v>0</v>
      </c>
      <c r="Y328" s="7">
        <v>0</v>
      </c>
      <c r="Z328" s="7">
        <v>0</v>
      </c>
      <c r="AA328" s="7">
        <v>0</v>
      </c>
      <c r="AB328" s="7">
        <v>0</v>
      </c>
      <c r="AC328" s="7">
        <v>0</v>
      </c>
      <c r="AD328" s="7">
        <v>0</v>
      </c>
      <c r="AE328" s="7">
        <v>0</v>
      </c>
      <c r="AF328" s="7">
        <v>0</v>
      </c>
      <c r="AG328" s="7">
        <v>0</v>
      </c>
      <c r="AH328" s="7">
        <v>0</v>
      </c>
      <c r="AI328" s="7">
        <v>0</v>
      </c>
      <c r="AJ328" s="7">
        <v>0</v>
      </c>
      <c r="AK328" s="7">
        <v>0</v>
      </c>
      <c r="AL328" s="7">
        <v>0</v>
      </c>
      <c r="AM328" s="7">
        <v>0</v>
      </c>
      <c r="AN328" s="7">
        <v>0</v>
      </c>
      <c r="AO328" s="7">
        <v>0</v>
      </c>
      <c r="AP328" s="7">
        <v>0</v>
      </c>
      <c r="AQ328" s="7">
        <v>0</v>
      </c>
      <c r="AR328" s="7">
        <v>0</v>
      </c>
      <c r="AS328" s="7">
        <v>0</v>
      </c>
      <c r="AT328" s="7">
        <v>0</v>
      </c>
      <c r="AU328" s="7">
        <v>0</v>
      </c>
      <c r="AV328" s="7">
        <v>0</v>
      </c>
      <c r="AW328" s="7">
        <v>0</v>
      </c>
      <c r="AX328" s="7">
        <v>0</v>
      </c>
      <c r="AY328" s="7">
        <v>0</v>
      </c>
      <c r="AZ328" s="7">
        <v>0</v>
      </c>
      <c r="BA328" s="7">
        <v>0</v>
      </c>
      <c r="BB328" s="7">
        <v>0</v>
      </c>
      <c r="BC328" s="7">
        <v>0</v>
      </c>
      <c r="BD328" s="7">
        <v>0</v>
      </c>
      <c r="BE328" s="7">
        <v>0</v>
      </c>
      <c r="BF328" s="7">
        <v>0</v>
      </c>
      <c r="BG328" s="7">
        <v>0</v>
      </c>
      <c r="BH328" s="7">
        <v>0</v>
      </c>
      <c r="BI328" s="7">
        <v>0</v>
      </c>
      <c r="BJ328" s="21"/>
    </row>
    <row r="329" spans="1:62" ht="15.6" x14ac:dyDescent="0.3">
      <c r="A329" s="5" t="s">
        <v>581</v>
      </c>
      <c r="B329" s="5" t="s">
        <v>582</v>
      </c>
      <c r="C329" s="7">
        <v>6</v>
      </c>
      <c r="D329" s="7">
        <v>6</v>
      </c>
      <c r="E329" s="7">
        <v>0</v>
      </c>
      <c r="F329" s="7">
        <v>0</v>
      </c>
      <c r="G329" s="7">
        <v>0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0</v>
      </c>
      <c r="U329" s="7">
        <v>0</v>
      </c>
      <c r="V329" s="7">
        <v>0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7">
        <v>0</v>
      </c>
      <c r="AK329" s="7">
        <v>0</v>
      </c>
      <c r="AL329" s="7">
        <v>0</v>
      </c>
      <c r="AM329" s="7">
        <v>0</v>
      </c>
      <c r="AN329" s="7">
        <v>0</v>
      </c>
      <c r="AO329" s="7">
        <v>0</v>
      </c>
      <c r="AP329" s="7">
        <v>0</v>
      </c>
      <c r="AQ329" s="7">
        <v>0</v>
      </c>
      <c r="AR329" s="7">
        <v>0</v>
      </c>
      <c r="AS329" s="7">
        <v>0</v>
      </c>
      <c r="AT329" s="7">
        <v>0</v>
      </c>
      <c r="AU329" s="7">
        <v>0</v>
      </c>
      <c r="AV329" s="7">
        <v>0</v>
      </c>
      <c r="AW329" s="7">
        <v>0</v>
      </c>
      <c r="AX329" s="7">
        <v>0</v>
      </c>
      <c r="AY329" s="7">
        <v>0</v>
      </c>
      <c r="AZ329" s="7">
        <v>0</v>
      </c>
      <c r="BA329" s="7">
        <v>0</v>
      </c>
      <c r="BB329" s="7">
        <v>0</v>
      </c>
      <c r="BC329" s="7">
        <v>0</v>
      </c>
      <c r="BD329" s="7">
        <v>0</v>
      </c>
      <c r="BE329" s="7">
        <v>0</v>
      </c>
      <c r="BF329" s="7">
        <v>0</v>
      </c>
      <c r="BG329" s="7">
        <v>0</v>
      </c>
      <c r="BH329" s="7">
        <v>0</v>
      </c>
      <c r="BI329" s="7">
        <v>0</v>
      </c>
      <c r="BJ329" s="21"/>
    </row>
    <row r="330" spans="1:62" ht="15.6" x14ac:dyDescent="0.3">
      <c r="A330" s="5" t="s">
        <v>583</v>
      </c>
      <c r="B330" s="5" t="s">
        <v>584</v>
      </c>
      <c r="C330" s="7">
        <v>6</v>
      </c>
      <c r="D330" s="7">
        <v>6</v>
      </c>
      <c r="E330" s="7">
        <v>0</v>
      </c>
      <c r="F330" s="7">
        <v>0</v>
      </c>
      <c r="G330" s="7">
        <v>0</v>
      </c>
      <c r="H330" s="7">
        <v>0</v>
      </c>
      <c r="I330" s="7">
        <v>0</v>
      </c>
      <c r="J330" s="7">
        <v>0</v>
      </c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>
        <v>0</v>
      </c>
      <c r="AI330" s="7">
        <v>0</v>
      </c>
      <c r="AJ330" s="7">
        <v>0</v>
      </c>
      <c r="AK330" s="7">
        <v>0</v>
      </c>
      <c r="AL330" s="7">
        <v>0</v>
      </c>
      <c r="AM330" s="7">
        <v>0</v>
      </c>
      <c r="AN330" s="7">
        <v>0</v>
      </c>
      <c r="AO330" s="7">
        <v>0</v>
      </c>
      <c r="AP330" s="7">
        <v>0</v>
      </c>
      <c r="AQ330" s="7">
        <v>0</v>
      </c>
      <c r="AR330" s="7">
        <v>0</v>
      </c>
      <c r="AS330" s="7">
        <v>0</v>
      </c>
      <c r="AT330" s="7">
        <v>0</v>
      </c>
      <c r="AU330" s="7">
        <v>0</v>
      </c>
      <c r="AV330" s="7">
        <v>0</v>
      </c>
      <c r="AW330" s="7">
        <v>0</v>
      </c>
      <c r="AX330" s="7">
        <v>0</v>
      </c>
      <c r="AY330" s="7">
        <v>0</v>
      </c>
      <c r="AZ330" s="7">
        <v>0</v>
      </c>
      <c r="BA330" s="7">
        <v>0</v>
      </c>
      <c r="BB330" s="7">
        <v>0</v>
      </c>
      <c r="BC330" s="7">
        <v>0</v>
      </c>
      <c r="BD330" s="7">
        <v>0</v>
      </c>
      <c r="BE330" s="7">
        <v>0</v>
      </c>
      <c r="BF330" s="7">
        <v>0</v>
      </c>
      <c r="BG330" s="7">
        <v>0</v>
      </c>
      <c r="BH330" s="7">
        <v>0</v>
      </c>
      <c r="BI330" s="7">
        <v>0</v>
      </c>
      <c r="BJ330" s="21"/>
    </row>
    <row r="331" spans="1:62" ht="15.6" x14ac:dyDescent="0.3">
      <c r="A331" s="5" t="s">
        <v>585</v>
      </c>
      <c r="B331" s="5" t="s">
        <v>586</v>
      </c>
      <c r="C331" s="7">
        <v>6</v>
      </c>
      <c r="D331" s="7">
        <v>6</v>
      </c>
      <c r="E331" s="7">
        <v>0</v>
      </c>
      <c r="F331" s="7">
        <v>0</v>
      </c>
      <c r="G331" s="7">
        <v>0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7">
        <v>0</v>
      </c>
      <c r="AK331" s="7">
        <v>0</v>
      </c>
      <c r="AL331" s="7">
        <v>0</v>
      </c>
      <c r="AM331" s="7">
        <v>0</v>
      </c>
      <c r="AN331" s="7">
        <v>0</v>
      </c>
      <c r="AO331" s="7">
        <v>0</v>
      </c>
      <c r="AP331" s="7">
        <v>0</v>
      </c>
      <c r="AQ331" s="7">
        <v>0</v>
      </c>
      <c r="AR331" s="7">
        <v>0</v>
      </c>
      <c r="AS331" s="7">
        <v>0</v>
      </c>
      <c r="AT331" s="7">
        <v>0</v>
      </c>
      <c r="AU331" s="7">
        <v>0</v>
      </c>
      <c r="AV331" s="7">
        <v>0</v>
      </c>
      <c r="AW331" s="7">
        <v>0</v>
      </c>
      <c r="AX331" s="7">
        <v>0</v>
      </c>
      <c r="AY331" s="7">
        <v>0</v>
      </c>
      <c r="AZ331" s="7">
        <v>0</v>
      </c>
      <c r="BA331" s="7">
        <v>0</v>
      </c>
      <c r="BB331" s="7">
        <v>0</v>
      </c>
      <c r="BC331" s="7">
        <v>0</v>
      </c>
      <c r="BD331" s="7">
        <v>0</v>
      </c>
      <c r="BE331" s="7">
        <v>0</v>
      </c>
      <c r="BF331" s="7">
        <v>0</v>
      </c>
      <c r="BG331" s="7">
        <v>0</v>
      </c>
      <c r="BH331" s="7">
        <v>0</v>
      </c>
      <c r="BI331" s="7">
        <v>0</v>
      </c>
      <c r="BJ331" s="21"/>
    </row>
    <row r="332" spans="1:62" ht="15.6" x14ac:dyDescent="0.3">
      <c r="A332" s="5" t="s">
        <v>587</v>
      </c>
      <c r="B332" s="5" t="s">
        <v>588</v>
      </c>
      <c r="C332" s="7">
        <v>6</v>
      </c>
      <c r="D332" s="7">
        <v>6</v>
      </c>
      <c r="E332" s="7">
        <v>0</v>
      </c>
      <c r="F332" s="7">
        <v>0</v>
      </c>
      <c r="G332" s="7">
        <v>0</v>
      </c>
      <c r="H332" s="7">
        <v>0</v>
      </c>
      <c r="I332" s="7">
        <v>0</v>
      </c>
      <c r="J332" s="7">
        <v>0</v>
      </c>
      <c r="K332" s="7">
        <v>0</v>
      </c>
      <c r="L332" s="7">
        <v>0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0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0</v>
      </c>
      <c r="AB332" s="7">
        <v>0</v>
      </c>
      <c r="AC332" s="7">
        <v>0</v>
      </c>
      <c r="AD332" s="7">
        <v>0</v>
      </c>
      <c r="AE332" s="7">
        <v>0</v>
      </c>
      <c r="AF332" s="7">
        <v>0</v>
      </c>
      <c r="AG332" s="7">
        <v>0</v>
      </c>
      <c r="AH332" s="7">
        <v>0</v>
      </c>
      <c r="AI332" s="7">
        <v>0</v>
      </c>
      <c r="AJ332" s="7">
        <v>0</v>
      </c>
      <c r="AK332" s="7">
        <v>0</v>
      </c>
      <c r="AL332" s="7">
        <v>0</v>
      </c>
      <c r="AM332" s="7">
        <v>0</v>
      </c>
      <c r="AN332" s="7">
        <v>0</v>
      </c>
      <c r="AO332" s="7">
        <v>0</v>
      </c>
      <c r="AP332" s="7">
        <v>0</v>
      </c>
      <c r="AQ332" s="7">
        <v>0</v>
      </c>
      <c r="AR332" s="7">
        <v>0</v>
      </c>
      <c r="AS332" s="7">
        <v>0</v>
      </c>
      <c r="AT332" s="7">
        <v>0</v>
      </c>
      <c r="AU332" s="7">
        <v>0</v>
      </c>
      <c r="AV332" s="7">
        <v>0</v>
      </c>
      <c r="AW332" s="7">
        <v>0</v>
      </c>
      <c r="AX332" s="7">
        <v>0</v>
      </c>
      <c r="AY332" s="7">
        <v>0</v>
      </c>
      <c r="AZ332" s="7">
        <v>0</v>
      </c>
      <c r="BA332" s="7">
        <v>0</v>
      </c>
      <c r="BB332" s="7">
        <v>0</v>
      </c>
      <c r="BC332" s="7">
        <v>0</v>
      </c>
      <c r="BD332" s="7">
        <v>0</v>
      </c>
      <c r="BE332" s="7">
        <v>0</v>
      </c>
      <c r="BF332" s="7">
        <v>0</v>
      </c>
      <c r="BG332" s="7">
        <v>0</v>
      </c>
      <c r="BH332" s="7">
        <v>0</v>
      </c>
      <c r="BI332" s="7">
        <v>0</v>
      </c>
      <c r="BJ332" s="21"/>
    </row>
    <row r="333" spans="1:62" ht="15.6" x14ac:dyDescent="0.3">
      <c r="A333" s="5" t="s">
        <v>589</v>
      </c>
      <c r="B333" s="5" t="s">
        <v>590</v>
      </c>
      <c r="C333" s="7">
        <v>6</v>
      </c>
      <c r="D333" s="7">
        <v>6</v>
      </c>
      <c r="E333" s="7">
        <v>0</v>
      </c>
      <c r="F333" s="7">
        <v>0</v>
      </c>
      <c r="G333" s="7">
        <v>0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0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7">
        <v>0</v>
      </c>
      <c r="AK333" s="7">
        <v>0</v>
      </c>
      <c r="AL333" s="7">
        <v>0</v>
      </c>
      <c r="AM333" s="7">
        <v>0</v>
      </c>
      <c r="AN333" s="7">
        <v>0</v>
      </c>
      <c r="AO333" s="7">
        <v>0</v>
      </c>
      <c r="AP333" s="7">
        <v>0</v>
      </c>
      <c r="AQ333" s="7">
        <v>0</v>
      </c>
      <c r="AR333" s="7">
        <v>0</v>
      </c>
      <c r="AS333" s="7">
        <v>0</v>
      </c>
      <c r="AT333" s="7">
        <v>0</v>
      </c>
      <c r="AU333" s="7">
        <v>0</v>
      </c>
      <c r="AV333" s="7">
        <v>0</v>
      </c>
      <c r="AW333" s="7">
        <v>0</v>
      </c>
      <c r="AX333" s="7">
        <v>0</v>
      </c>
      <c r="AY333" s="7">
        <v>0</v>
      </c>
      <c r="AZ333" s="7">
        <v>0</v>
      </c>
      <c r="BA333" s="7">
        <v>0</v>
      </c>
      <c r="BB333" s="7">
        <v>0</v>
      </c>
      <c r="BC333" s="7">
        <v>0</v>
      </c>
      <c r="BD333" s="7">
        <v>0</v>
      </c>
      <c r="BE333" s="7">
        <v>0</v>
      </c>
      <c r="BF333" s="7">
        <v>0</v>
      </c>
      <c r="BG333" s="7">
        <v>0</v>
      </c>
      <c r="BH333" s="7">
        <v>0</v>
      </c>
      <c r="BI333" s="7">
        <v>0</v>
      </c>
      <c r="BJ333" s="21"/>
    </row>
    <row r="334" spans="1:62" ht="15.6" x14ac:dyDescent="0.3">
      <c r="A334" s="5" t="s">
        <v>591</v>
      </c>
      <c r="B334" s="5" t="s">
        <v>592</v>
      </c>
      <c r="C334" s="7">
        <v>6</v>
      </c>
      <c r="D334" s="7">
        <v>6</v>
      </c>
      <c r="E334" s="7">
        <v>0</v>
      </c>
      <c r="F334" s="7">
        <v>0</v>
      </c>
      <c r="G334" s="7">
        <v>0</v>
      </c>
      <c r="H334" s="7">
        <v>0</v>
      </c>
      <c r="I334" s="7">
        <v>0</v>
      </c>
      <c r="J334" s="7">
        <v>0</v>
      </c>
      <c r="K334" s="7">
        <v>0</v>
      </c>
      <c r="L334" s="7">
        <v>0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0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0</v>
      </c>
      <c r="AB334" s="7">
        <v>0</v>
      </c>
      <c r="AC334" s="7">
        <v>0</v>
      </c>
      <c r="AD334" s="7">
        <v>0</v>
      </c>
      <c r="AE334" s="7">
        <v>0</v>
      </c>
      <c r="AF334" s="7">
        <v>0</v>
      </c>
      <c r="AG334" s="7">
        <v>0</v>
      </c>
      <c r="AH334" s="7">
        <v>0</v>
      </c>
      <c r="AI334" s="7">
        <v>0</v>
      </c>
      <c r="AJ334" s="7">
        <v>0</v>
      </c>
      <c r="AK334" s="7">
        <v>0</v>
      </c>
      <c r="AL334" s="7">
        <v>0</v>
      </c>
      <c r="AM334" s="7">
        <v>0</v>
      </c>
      <c r="AN334" s="7">
        <v>0</v>
      </c>
      <c r="AO334" s="7">
        <v>0</v>
      </c>
      <c r="AP334" s="7">
        <v>0</v>
      </c>
      <c r="AQ334" s="7">
        <v>0</v>
      </c>
      <c r="AR334" s="7">
        <v>0</v>
      </c>
      <c r="AS334" s="7">
        <v>0</v>
      </c>
      <c r="AT334" s="7">
        <v>0</v>
      </c>
      <c r="AU334" s="7">
        <v>0</v>
      </c>
      <c r="AV334" s="7">
        <v>0</v>
      </c>
      <c r="AW334" s="7">
        <v>0</v>
      </c>
      <c r="AX334" s="7">
        <v>0</v>
      </c>
      <c r="AY334" s="7">
        <v>0</v>
      </c>
      <c r="AZ334" s="7">
        <v>0</v>
      </c>
      <c r="BA334" s="7">
        <v>0</v>
      </c>
      <c r="BB334" s="7">
        <v>0</v>
      </c>
      <c r="BC334" s="7">
        <v>0</v>
      </c>
      <c r="BD334" s="7">
        <v>0</v>
      </c>
      <c r="BE334" s="7">
        <v>0</v>
      </c>
      <c r="BF334" s="7">
        <v>0</v>
      </c>
      <c r="BG334" s="7">
        <v>0</v>
      </c>
      <c r="BH334" s="7">
        <v>0</v>
      </c>
      <c r="BI334" s="7">
        <v>0</v>
      </c>
      <c r="BJ334" s="21"/>
    </row>
    <row r="335" spans="1:62" ht="15.6" x14ac:dyDescent="0.3">
      <c r="A335" s="5" t="s">
        <v>593</v>
      </c>
      <c r="B335" s="5" t="s">
        <v>594</v>
      </c>
      <c r="C335" s="7">
        <v>6</v>
      </c>
      <c r="D335" s="7">
        <v>6</v>
      </c>
      <c r="E335" s="7">
        <v>0</v>
      </c>
      <c r="F335" s="7">
        <v>0</v>
      </c>
      <c r="G335" s="7">
        <v>0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7">
        <v>0</v>
      </c>
      <c r="U335" s="7">
        <v>0</v>
      </c>
      <c r="V335" s="7">
        <v>0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7">
        <v>0</v>
      </c>
      <c r="AK335" s="7">
        <v>0</v>
      </c>
      <c r="AL335" s="7">
        <v>0</v>
      </c>
      <c r="AM335" s="7">
        <v>0</v>
      </c>
      <c r="AN335" s="7">
        <v>0</v>
      </c>
      <c r="AO335" s="7">
        <v>0</v>
      </c>
      <c r="AP335" s="7">
        <v>0</v>
      </c>
      <c r="AQ335" s="7">
        <v>0</v>
      </c>
      <c r="AR335" s="7">
        <v>0</v>
      </c>
      <c r="AS335" s="7">
        <v>0</v>
      </c>
      <c r="AT335" s="7">
        <v>0</v>
      </c>
      <c r="AU335" s="7">
        <v>0</v>
      </c>
      <c r="AV335" s="7">
        <v>0</v>
      </c>
      <c r="AW335" s="7">
        <v>0</v>
      </c>
      <c r="AX335" s="7">
        <v>0</v>
      </c>
      <c r="AY335" s="7">
        <v>0</v>
      </c>
      <c r="AZ335" s="7">
        <v>0</v>
      </c>
      <c r="BA335" s="7">
        <v>0</v>
      </c>
      <c r="BB335" s="7">
        <v>0</v>
      </c>
      <c r="BC335" s="7">
        <v>0</v>
      </c>
      <c r="BD335" s="7">
        <v>0</v>
      </c>
      <c r="BE335" s="7">
        <v>0</v>
      </c>
      <c r="BF335" s="7">
        <v>0</v>
      </c>
      <c r="BG335" s="7">
        <v>0</v>
      </c>
      <c r="BH335" s="7">
        <v>0</v>
      </c>
      <c r="BI335" s="7">
        <v>0</v>
      </c>
      <c r="BJ335" s="21"/>
    </row>
    <row r="336" spans="1:62" ht="15.6" x14ac:dyDescent="0.3">
      <c r="A336" s="5" t="s">
        <v>595</v>
      </c>
      <c r="B336" s="5" t="s">
        <v>596</v>
      </c>
      <c r="C336" s="7">
        <v>6</v>
      </c>
      <c r="D336" s="7">
        <v>6</v>
      </c>
      <c r="E336" s="7">
        <v>19485.080000000002</v>
      </c>
      <c r="F336" s="7">
        <v>1621.27</v>
      </c>
      <c r="G336" s="7">
        <v>1289.251</v>
      </c>
      <c r="H336" s="7">
        <v>1720.586</v>
      </c>
      <c r="I336" s="7">
        <v>186.90600000000001</v>
      </c>
      <c r="J336" s="7">
        <v>933.005</v>
      </c>
      <c r="K336" s="7">
        <v>0</v>
      </c>
      <c r="L336" s="7">
        <v>14192.156000000001</v>
      </c>
      <c r="M336" s="7">
        <v>3936.6289999999999</v>
      </c>
      <c r="N336" s="7">
        <v>0</v>
      </c>
      <c r="O336" s="7">
        <v>0.29499999999999998</v>
      </c>
      <c r="P336" s="7">
        <v>21.408999999999999</v>
      </c>
      <c r="Q336" s="7">
        <v>2.62</v>
      </c>
      <c r="R336" s="7">
        <v>20.562000000000001</v>
      </c>
      <c r="S336" s="7">
        <v>117.515</v>
      </c>
      <c r="T336" s="7">
        <v>0</v>
      </c>
      <c r="U336" s="7">
        <v>0</v>
      </c>
      <c r="V336" s="7">
        <v>231.511</v>
      </c>
      <c r="W336" s="7">
        <v>684.35</v>
      </c>
      <c r="X336" s="7">
        <v>24.82</v>
      </c>
      <c r="Y336" s="7">
        <v>6515.8720000000003</v>
      </c>
      <c r="Z336" s="7">
        <v>0</v>
      </c>
      <c r="AA336" s="7">
        <v>2308.5360000000001</v>
      </c>
      <c r="AB336" s="7">
        <v>17.302</v>
      </c>
      <c r="AC336" s="7">
        <v>411.55799999999999</v>
      </c>
      <c r="AD336" s="7">
        <v>0.33200000000000002</v>
      </c>
      <c r="AE336" s="7">
        <v>16405.144</v>
      </c>
      <c r="AF336" s="7">
        <v>883.96799999999996</v>
      </c>
      <c r="AG336" s="7">
        <v>1.2090000000000001</v>
      </c>
      <c r="AH336" s="7">
        <v>42964.898999999998</v>
      </c>
      <c r="AI336" s="7">
        <v>1261.239</v>
      </c>
      <c r="AJ336" s="7">
        <v>0</v>
      </c>
      <c r="AK336" s="7">
        <v>4.9569999999999999</v>
      </c>
      <c r="AL336" s="7">
        <v>12.064</v>
      </c>
      <c r="AM336" s="7">
        <v>0</v>
      </c>
      <c r="AN336" s="7">
        <v>10.474</v>
      </c>
      <c r="AO336" s="7">
        <v>43.956000000000003</v>
      </c>
      <c r="AP336" s="7">
        <v>14.935</v>
      </c>
      <c r="AQ336" s="7">
        <v>241.661</v>
      </c>
      <c r="AR336" s="7">
        <v>6.3040000000000003</v>
      </c>
      <c r="AS336" s="7">
        <v>1.0029999999999999</v>
      </c>
      <c r="AT336" s="7">
        <v>0</v>
      </c>
      <c r="AU336" s="7">
        <v>25.204000000000001</v>
      </c>
      <c r="AV336" s="7">
        <v>16.727</v>
      </c>
      <c r="AW336" s="7">
        <v>21.664999999999999</v>
      </c>
      <c r="AX336" s="7">
        <v>25.102</v>
      </c>
      <c r="AY336" s="7">
        <v>24.327999999999999</v>
      </c>
      <c r="AZ336" s="7">
        <v>196.94800000000001</v>
      </c>
      <c r="BA336" s="7">
        <v>17.390999999999998</v>
      </c>
      <c r="BB336" s="7">
        <v>16.798999999999999</v>
      </c>
      <c r="BC336" s="7">
        <v>6.4109999999999996</v>
      </c>
      <c r="BD336" s="7">
        <v>234.958</v>
      </c>
      <c r="BE336" s="7">
        <v>3.9049999999999998</v>
      </c>
      <c r="BF336" s="7">
        <v>3.9049999999999998</v>
      </c>
      <c r="BG336" s="7">
        <v>74.352000000000004</v>
      </c>
      <c r="BH336" s="7">
        <v>0.317</v>
      </c>
      <c r="BI336" s="7">
        <v>2.7490000000000001</v>
      </c>
      <c r="BJ336" s="21"/>
    </row>
    <row r="337" spans="1:62" ht="15.6" x14ac:dyDescent="0.3">
      <c r="A337" s="5" t="s">
        <v>597</v>
      </c>
      <c r="B337" s="5" t="s">
        <v>598</v>
      </c>
      <c r="C337" s="7">
        <v>6</v>
      </c>
      <c r="D337" s="7">
        <v>6</v>
      </c>
      <c r="E337" s="7">
        <v>-18291.043000000001</v>
      </c>
      <c r="F337" s="7">
        <v>-2617.0050000000001</v>
      </c>
      <c r="G337" s="7">
        <v>-1650.3420000000001</v>
      </c>
      <c r="H337" s="7">
        <v>-9119.6990000000005</v>
      </c>
      <c r="I337" s="7">
        <v>-433.18200000000002</v>
      </c>
      <c r="J337" s="7">
        <v>-1336.6210000000001</v>
      </c>
      <c r="K337" s="7">
        <v>-141.27000000000001</v>
      </c>
      <c r="L337" s="7">
        <v>-25489.338</v>
      </c>
      <c r="M337" s="7">
        <v>-6648.8</v>
      </c>
      <c r="N337" s="7">
        <v>-6.16</v>
      </c>
      <c r="O337" s="7">
        <v>-12.208</v>
      </c>
      <c r="P337" s="7">
        <v>-91.346999999999994</v>
      </c>
      <c r="Q337" s="7">
        <v>-5.7930000000000001</v>
      </c>
      <c r="R337" s="7">
        <v>-146.47399999999999</v>
      </c>
      <c r="S337" s="7">
        <v>-56.887</v>
      </c>
      <c r="T337" s="7">
        <v>-0.871</v>
      </c>
      <c r="U337" s="7">
        <v>-100.167</v>
      </c>
      <c r="V337" s="7">
        <v>-166.56899999999999</v>
      </c>
      <c r="W337" s="7">
        <v>-451.07600000000002</v>
      </c>
      <c r="X337" s="7">
        <v>-110.348</v>
      </c>
      <c r="Y337" s="7">
        <v>-4039.373</v>
      </c>
      <c r="Z337" s="7">
        <v>-66.313000000000002</v>
      </c>
      <c r="AA337" s="7">
        <v>-2381.3760000000002</v>
      </c>
      <c r="AB337" s="7">
        <v>-21.66</v>
      </c>
      <c r="AC337" s="7">
        <v>-176.44200000000001</v>
      </c>
      <c r="AD337" s="7">
        <v>-0.52800000000000002</v>
      </c>
      <c r="AE337" s="7">
        <v>-11885.981</v>
      </c>
      <c r="AF337" s="7">
        <v>-700.97699999999998</v>
      </c>
      <c r="AG337" s="7">
        <v>-142.82900000000001</v>
      </c>
      <c r="AH337" s="7">
        <v>-46296.222999999998</v>
      </c>
      <c r="AI337" s="7">
        <v>-1681.817</v>
      </c>
      <c r="AJ337" s="7">
        <v>-328.56400000000002</v>
      </c>
      <c r="AK337" s="7">
        <v>-4862.259</v>
      </c>
      <c r="AL337" s="7">
        <v>-2651.3879999999999</v>
      </c>
      <c r="AM337" s="7">
        <v>-26.786000000000001</v>
      </c>
      <c r="AN337" s="7">
        <v>-1852.277</v>
      </c>
      <c r="AO337" s="7">
        <v>-59.029000000000003</v>
      </c>
      <c r="AP337" s="7">
        <v>-31.45</v>
      </c>
      <c r="AQ337" s="7">
        <v>-250.49</v>
      </c>
      <c r="AR337" s="7">
        <v>-14.236000000000001</v>
      </c>
      <c r="AS337" s="7">
        <v>-3.9870000000000001</v>
      </c>
      <c r="AT337" s="7">
        <v>0</v>
      </c>
      <c r="AU337" s="7">
        <v>-28.195</v>
      </c>
      <c r="AV337" s="7">
        <v>-0.22600000000000001</v>
      </c>
      <c r="AW337" s="7">
        <v>-49.911000000000001</v>
      </c>
      <c r="AX337" s="7">
        <v>-176.803</v>
      </c>
      <c r="AY337" s="7">
        <v>-20.187999999999999</v>
      </c>
      <c r="AZ337" s="7">
        <v>-73.852000000000004</v>
      </c>
      <c r="BA337" s="7">
        <v>-67.375</v>
      </c>
      <c r="BB337" s="7">
        <v>-26.832999999999998</v>
      </c>
      <c r="BC337" s="7">
        <v>-11.894</v>
      </c>
      <c r="BD337" s="7">
        <v>-77.661000000000001</v>
      </c>
      <c r="BE337" s="7">
        <v>-5.6130000000000004</v>
      </c>
      <c r="BF337" s="7">
        <v>-5.6130000000000004</v>
      </c>
      <c r="BG337" s="7">
        <v>-29.972000000000001</v>
      </c>
      <c r="BH337" s="7">
        <v>-291.25200000000001</v>
      </c>
      <c r="BI337" s="7">
        <v>-5.556</v>
      </c>
      <c r="BJ337" s="21"/>
    </row>
    <row r="338" spans="1:62" ht="15.6" x14ac:dyDescent="0.3">
      <c r="A338" s="5" t="s">
        <v>599</v>
      </c>
      <c r="B338" s="5" t="s">
        <v>600</v>
      </c>
      <c r="C338" s="7">
        <v>6</v>
      </c>
      <c r="D338" s="7">
        <v>6</v>
      </c>
      <c r="E338" s="7">
        <v>-631.54600000000005</v>
      </c>
      <c r="F338" s="7">
        <v>-369.2</v>
      </c>
      <c r="G338" s="7">
        <v>-83.218000000000004</v>
      </c>
      <c r="H338" s="7">
        <v>-245.554</v>
      </c>
      <c r="I338" s="7">
        <v>0</v>
      </c>
      <c r="J338" s="7">
        <v>-56.076999999999998</v>
      </c>
      <c r="K338" s="7">
        <v>-33.002000000000002</v>
      </c>
      <c r="L338" s="7">
        <v>-919.27200000000005</v>
      </c>
      <c r="M338" s="7">
        <v>-115.32599999999999</v>
      </c>
      <c r="N338" s="7">
        <v>0</v>
      </c>
      <c r="O338" s="7">
        <v>-0.67200000000000004</v>
      </c>
      <c r="P338" s="7">
        <v>0</v>
      </c>
      <c r="Q338" s="7">
        <v>0</v>
      </c>
      <c r="R338" s="7">
        <v>0</v>
      </c>
      <c r="S338" s="7">
        <v>0</v>
      </c>
      <c r="T338" s="7">
        <v>0</v>
      </c>
      <c r="U338" s="7">
        <v>-25.899000000000001</v>
      </c>
      <c r="V338" s="7">
        <v>-26.254999999999999</v>
      </c>
      <c r="W338" s="7">
        <v>-12.428000000000001</v>
      </c>
      <c r="X338" s="7">
        <v>-5.0679999999999996</v>
      </c>
      <c r="Y338" s="7">
        <v>-188.227</v>
      </c>
      <c r="Z338" s="7">
        <v>-7.0629999999999997</v>
      </c>
      <c r="AA338" s="7">
        <v>-121.024</v>
      </c>
      <c r="AB338" s="7">
        <v>-33.445999999999998</v>
      </c>
      <c r="AC338" s="7">
        <v>-21.245000000000001</v>
      </c>
      <c r="AD338" s="7">
        <v>-3.1669999999999998</v>
      </c>
      <c r="AE338" s="7">
        <v>-615.93899999999996</v>
      </c>
      <c r="AF338" s="7">
        <v>-125.871</v>
      </c>
      <c r="AG338" s="7">
        <v>-2.746</v>
      </c>
      <c r="AH338" s="7">
        <v>-1485.8889999999999</v>
      </c>
      <c r="AI338" s="7">
        <v>-101.83</v>
      </c>
      <c r="AJ338" s="7">
        <v>-40.982999999999997</v>
      </c>
      <c r="AK338" s="7">
        <v>-578.90700000000004</v>
      </c>
      <c r="AL338" s="7">
        <v>-748.19799999999998</v>
      </c>
      <c r="AM338" s="7">
        <v>-7.1349999999999998</v>
      </c>
      <c r="AN338" s="7">
        <v>-569.08500000000004</v>
      </c>
      <c r="AO338" s="7">
        <v>0</v>
      </c>
      <c r="AP338" s="7">
        <v>-1.758</v>
      </c>
      <c r="AQ338" s="7">
        <v>-94.322000000000003</v>
      </c>
      <c r="AR338" s="7">
        <v>-13.733000000000001</v>
      </c>
      <c r="AS338" s="7">
        <v>0</v>
      </c>
      <c r="AT338" s="7">
        <v>0</v>
      </c>
      <c r="AU338" s="7">
        <v>0</v>
      </c>
      <c r="AV338" s="7">
        <v>-4.4790000000000001</v>
      </c>
      <c r="AW338" s="7">
        <v>-9.8670000000000009</v>
      </c>
      <c r="AX338" s="7">
        <v>-7.7960000000000003</v>
      </c>
      <c r="AY338" s="7">
        <v>0</v>
      </c>
      <c r="AZ338" s="7">
        <v>-0.11799999999999999</v>
      </c>
      <c r="BA338" s="7">
        <v>0</v>
      </c>
      <c r="BB338" s="7">
        <v>0</v>
      </c>
      <c r="BC338" s="7">
        <v>0</v>
      </c>
      <c r="BD338" s="7">
        <v>-0.317</v>
      </c>
      <c r="BE338" s="7">
        <v>-0.39300000000000002</v>
      </c>
      <c r="BF338" s="7">
        <v>-0.39300000000000002</v>
      </c>
      <c r="BG338" s="7">
        <v>-1.7769999999999999</v>
      </c>
      <c r="BH338" s="7">
        <v>-21.367999999999999</v>
      </c>
      <c r="BI338" s="7">
        <v>-1.33</v>
      </c>
      <c r="BJ338" s="21"/>
    </row>
    <row r="339" spans="1:62" ht="15.6" x14ac:dyDescent="0.3">
      <c r="A339" s="5" t="s">
        <v>601</v>
      </c>
      <c r="B339" s="5" t="s">
        <v>602</v>
      </c>
      <c r="C339" s="7">
        <v>6</v>
      </c>
      <c r="D339" s="7">
        <v>6</v>
      </c>
      <c r="E339" s="7">
        <v>0</v>
      </c>
      <c r="F339" s="7">
        <v>0</v>
      </c>
      <c r="G339" s="7">
        <v>0</v>
      </c>
      <c r="H339" s="7">
        <v>0</v>
      </c>
      <c r="I339" s="7">
        <v>0</v>
      </c>
      <c r="J339" s="7">
        <v>0</v>
      </c>
      <c r="K339" s="7">
        <v>0</v>
      </c>
      <c r="L339" s="7">
        <v>0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7">
        <v>0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0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7">
        <v>0</v>
      </c>
      <c r="AK339" s="7">
        <v>0</v>
      </c>
      <c r="AL339" s="7">
        <v>0</v>
      </c>
      <c r="AM339" s="7">
        <v>0</v>
      </c>
      <c r="AN339" s="7">
        <v>0</v>
      </c>
      <c r="AO339" s="7">
        <v>0</v>
      </c>
      <c r="AP339" s="7">
        <v>0</v>
      </c>
      <c r="AQ339" s="7">
        <v>0</v>
      </c>
      <c r="AR339" s="7">
        <v>0</v>
      </c>
      <c r="AS339" s="7">
        <v>0</v>
      </c>
      <c r="AT339" s="7">
        <v>0</v>
      </c>
      <c r="AU339" s="7">
        <v>0</v>
      </c>
      <c r="AV339" s="7">
        <v>0</v>
      </c>
      <c r="AW339" s="7">
        <v>0</v>
      </c>
      <c r="AX339" s="7">
        <v>0</v>
      </c>
      <c r="AY339" s="7">
        <v>0</v>
      </c>
      <c r="AZ339" s="7">
        <v>0</v>
      </c>
      <c r="BA339" s="7">
        <v>0</v>
      </c>
      <c r="BB339" s="7">
        <v>0</v>
      </c>
      <c r="BC339" s="7">
        <v>0</v>
      </c>
      <c r="BD339" s="7">
        <v>0</v>
      </c>
      <c r="BE339" s="7">
        <v>0</v>
      </c>
      <c r="BF339" s="7">
        <v>0</v>
      </c>
      <c r="BG339" s="7">
        <v>0</v>
      </c>
      <c r="BH339" s="7">
        <v>0</v>
      </c>
      <c r="BI339" s="7">
        <v>0</v>
      </c>
      <c r="BJ339" s="21"/>
    </row>
    <row r="340" spans="1:62" ht="15.6" x14ac:dyDescent="0.3">
      <c r="A340" s="5" t="s">
        <v>603</v>
      </c>
      <c r="B340" s="5" t="s">
        <v>604</v>
      </c>
      <c r="C340" s="7">
        <v>6</v>
      </c>
      <c r="D340" s="7">
        <v>6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 s="21"/>
    </row>
    <row r="341" spans="1:62" ht="15.6" x14ac:dyDescent="0.3">
      <c r="A341" s="5" t="s">
        <v>605</v>
      </c>
      <c r="B341" s="5" t="s">
        <v>606</v>
      </c>
      <c r="C341" s="5"/>
      <c r="D341" s="5"/>
      <c r="E341">
        <v>8560473.8650000002</v>
      </c>
      <c r="F341">
        <v>953346.63399999996</v>
      </c>
      <c r="G341">
        <v>993654.31299999997</v>
      </c>
      <c r="H341">
        <v>1107320.676</v>
      </c>
      <c r="I341">
        <v>139437.94500000001</v>
      </c>
      <c r="J341">
        <v>711568.73800000001</v>
      </c>
      <c r="K341">
        <v>286903.48599999998</v>
      </c>
      <c r="L341">
        <v>8944493.1190000009</v>
      </c>
      <c r="M341">
        <v>3006775.9640000002</v>
      </c>
      <c r="N341">
        <v>14927.687</v>
      </c>
      <c r="O341">
        <v>11209.012000000001</v>
      </c>
      <c r="P341">
        <v>19665.778999999999</v>
      </c>
      <c r="Q341">
        <v>12303.748</v>
      </c>
      <c r="R341">
        <v>18908.031999999999</v>
      </c>
      <c r="S341">
        <v>296255.22499999998</v>
      </c>
      <c r="T341">
        <v>985.64300000000003</v>
      </c>
      <c r="U341">
        <v>220865.201</v>
      </c>
      <c r="V341">
        <v>107678.45</v>
      </c>
      <c r="W341">
        <v>233860.97200000001</v>
      </c>
      <c r="X341">
        <v>201585.96299999999</v>
      </c>
      <c r="Y341">
        <v>2068100.1240000001</v>
      </c>
      <c r="Z341">
        <v>125650.144</v>
      </c>
      <c r="AA341">
        <v>1433533.507</v>
      </c>
      <c r="AB341">
        <v>320642.86900000001</v>
      </c>
      <c r="AC341">
        <v>166552.33100000001</v>
      </c>
      <c r="AD341">
        <v>57299.559000000001</v>
      </c>
      <c r="AE341">
        <v>5429775.4019999998</v>
      </c>
      <c r="AF341">
        <v>1226441.716</v>
      </c>
      <c r="AG341">
        <v>259641.48300000001</v>
      </c>
      <c r="AH341">
        <v>18622690.668000001</v>
      </c>
      <c r="AI341">
        <v>2179771.19</v>
      </c>
      <c r="AJ341">
        <v>648398.69200000004</v>
      </c>
      <c r="AK341">
        <v>10340545.721000001</v>
      </c>
      <c r="AL341">
        <v>5762545.6890000002</v>
      </c>
      <c r="AM341">
        <v>51711.48</v>
      </c>
      <c r="AN341">
        <v>3705183.5079999999</v>
      </c>
      <c r="AO341">
        <v>113827.183</v>
      </c>
      <c r="AP341">
        <v>60718.584000000003</v>
      </c>
      <c r="AQ341">
        <v>429171.53399999999</v>
      </c>
      <c r="AR341">
        <v>24615.101999999999</v>
      </c>
      <c r="AS341">
        <v>3549.9029999999998</v>
      </c>
      <c r="AT341">
        <v>0</v>
      </c>
      <c r="AU341">
        <v>78711.804999999993</v>
      </c>
      <c r="AV341">
        <v>66911.270999999993</v>
      </c>
      <c r="AW341">
        <v>91345.376999999993</v>
      </c>
      <c r="AX341">
        <v>204138.109</v>
      </c>
      <c r="AY341">
        <v>42260.788</v>
      </c>
      <c r="AZ341">
        <v>162134.06</v>
      </c>
      <c r="BA341">
        <v>142650.758</v>
      </c>
      <c r="BB341">
        <v>43162.067000000003</v>
      </c>
      <c r="BC341">
        <v>26341.645</v>
      </c>
      <c r="BD341">
        <v>176803.152</v>
      </c>
      <c r="BE341">
        <v>10219.145</v>
      </c>
      <c r="BF341">
        <v>10219.145</v>
      </c>
      <c r="BG341">
        <v>55440.658000000003</v>
      </c>
      <c r="BH341">
        <v>421121.60700000002</v>
      </c>
      <c r="BI341">
        <v>11091.146000000001</v>
      </c>
      <c r="BJ341" s="21"/>
    </row>
    <row r="342" spans="1:62" x14ac:dyDescent="0.25">
      <c r="BJ342" s="21"/>
    </row>
    <row r="343" spans="1:62" ht="15.6" x14ac:dyDescent="0.3">
      <c r="A343" s="5" t="s">
        <v>607</v>
      </c>
      <c r="E343">
        <f t="shared" ref="E343:AW343" si="0">SUM(E8:E340)-E341</f>
        <v>0</v>
      </c>
      <c r="F343">
        <f t="shared" si="0"/>
        <v>0</v>
      </c>
      <c r="G343">
        <f t="shared" si="0"/>
        <v>0</v>
      </c>
      <c r="H343">
        <f t="shared" si="0"/>
        <v>0</v>
      </c>
      <c r="I343">
        <f t="shared" si="0"/>
        <v>0</v>
      </c>
      <c r="J343">
        <f t="shared" si="0"/>
        <v>0</v>
      </c>
      <c r="K343">
        <f t="shared" si="0"/>
        <v>0</v>
      </c>
      <c r="L343">
        <f t="shared" si="0"/>
        <v>0</v>
      </c>
      <c r="M343">
        <f t="shared" si="0"/>
        <v>0</v>
      </c>
      <c r="N343">
        <f t="shared" si="0"/>
        <v>0</v>
      </c>
      <c r="O343">
        <f t="shared" si="0"/>
        <v>0</v>
      </c>
      <c r="P343">
        <f t="shared" si="0"/>
        <v>0</v>
      </c>
      <c r="Q343">
        <f t="shared" si="0"/>
        <v>0</v>
      </c>
      <c r="R343">
        <f t="shared" si="0"/>
        <v>0</v>
      </c>
      <c r="S343">
        <f t="shared" si="0"/>
        <v>0</v>
      </c>
      <c r="T343">
        <f t="shared" si="0"/>
        <v>0</v>
      </c>
      <c r="U343">
        <f t="shared" si="0"/>
        <v>0</v>
      </c>
      <c r="V343">
        <f t="shared" si="0"/>
        <v>0</v>
      </c>
      <c r="W343">
        <f t="shared" si="0"/>
        <v>0</v>
      </c>
      <c r="X343">
        <f t="shared" si="0"/>
        <v>0</v>
      </c>
      <c r="Y343">
        <f t="shared" si="0"/>
        <v>0</v>
      </c>
      <c r="Z343">
        <f t="shared" si="0"/>
        <v>0</v>
      </c>
      <c r="AA343">
        <f t="shared" si="0"/>
        <v>0</v>
      </c>
      <c r="AB343">
        <f t="shared" si="0"/>
        <v>0</v>
      </c>
      <c r="AC343">
        <f t="shared" si="0"/>
        <v>0</v>
      </c>
      <c r="AD343">
        <f t="shared" si="0"/>
        <v>0</v>
      </c>
      <c r="AE343">
        <f t="shared" si="0"/>
        <v>0</v>
      </c>
      <c r="AF343">
        <f t="shared" si="0"/>
        <v>0</v>
      </c>
      <c r="AG343">
        <f t="shared" si="0"/>
        <v>0</v>
      </c>
      <c r="AH343">
        <f t="shared" si="0"/>
        <v>0</v>
      </c>
      <c r="AI343">
        <f t="shared" si="0"/>
        <v>0</v>
      </c>
      <c r="AJ343">
        <f t="shared" si="0"/>
        <v>0</v>
      </c>
      <c r="AK343">
        <f t="shared" si="0"/>
        <v>0</v>
      </c>
      <c r="AL343">
        <f t="shared" si="0"/>
        <v>0</v>
      </c>
      <c r="AM343">
        <f>SUM(AM8:AM340)-AM341</f>
        <v>0</v>
      </c>
      <c r="AN343">
        <f>SUM(AN8:AN340)-AN341</f>
        <v>0</v>
      </c>
      <c r="AO343">
        <f>SUM(AO8:AO340)-AO341</f>
        <v>0</v>
      </c>
      <c r="AP343">
        <f t="shared" si="0"/>
        <v>0</v>
      </c>
      <c r="AQ343">
        <f t="shared" si="0"/>
        <v>0</v>
      </c>
      <c r="AR343">
        <f t="shared" si="0"/>
        <v>0</v>
      </c>
      <c r="AS343">
        <f t="shared" si="0"/>
        <v>0</v>
      </c>
      <c r="AT343">
        <f t="shared" si="0"/>
        <v>0</v>
      </c>
      <c r="AU343">
        <f t="shared" si="0"/>
        <v>0</v>
      </c>
      <c r="AV343">
        <f t="shared" si="0"/>
        <v>0</v>
      </c>
      <c r="AW343">
        <f t="shared" si="0"/>
        <v>0</v>
      </c>
      <c r="AX343">
        <f>SUM(AX8:AX340)-AX341</f>
        <v>0</v>
      </c>
      <c r="AY343">
        <f t="shared" ref="AY343:BI343" si="1">SUM(AY8:AY340)-AY341</f>
        <v>0</v>
      </c>
      <c r="AZ343">
        <f t="shared" si="1"/>
        <v>0</v>
      </c>
      <c r="BA343">
        <f t="shared" si="1"/>
        <v>0</v>
      </c>
      <c r="BB343">
        <f t="shared" si="1"/>
        <v>0</v>
      </c>
      <c r="BC343">
        <f t="shared" si="1"/>
        <v>0</v>
      </c>
      <c r="BD343">
        <f t="shared" si="1"/>
        <v>0</v>
      </c>
      <c r="BE343">
        <f t="shared" si="1"/>
        <v>0</v>
      </c>
      <c r="BF343">
        <f t="shared" si="1"/>
        <v>0</v>
      </c>
      <c r="BG343">
        <f t="shared" si="1"/>
        <v>0</v>
      </c>
      <c r="BH343">
        <f t="shared" si="1"/>
        <v>0</v>
      </c>
      <c r="BI343">
        <f t="shared" si="1"/>
        <v>0</v>
      </c>
      <c r="BJ343" s="21"/>
    </row>
    <row r="344" spans="1:62" x14ac:dyDescent="0.25">
      <c r="BJ344" s="21"/>
    </row>
    <row r="345" spans="1:62" x14ac:dyDescent="0.25">
      <c r="A345" t="s">
        <v>608</v>
      </c>
      <c r="D345">
        <v>1</v>
      </c>
      <c r="E345" s="16">
        <f t="shared" ref="E345:AW345" si="2">SUMIF($D$7:$D$339,$D$345,E7:E339)</f>
        <v>863388.48699999996</v>
      </c>
      <c r="F345" s="16">
        <f t="shared" si="2"/>
        <v>142020.56500000003</v>
      </c>
      <c r="G345" s="16">
        <f t="shared" si="2"/>
        <v>37143.74</v>
      </c>
      <c r="H345" s="16">
        <f t="shared" si="2"/>
        <v>-27.900000000000002</v>
      </c>
      <c r="I345" s="16">
        <f t="shared" si="2"/>
        <v>10070.746999999999</v>
      </c>
      <c r="J345" s="16">
        <f t="shared" si="2"/>
        <v>46788.187000000005</v>
      </c>
      <c r="K345" s="16">
        <f t="shared" si="2"/>
        <v>17437.788</v>
      </c>
      <c r="L345" s="16">
        <f t="shared" si="2"/>
        <v>1552932.7290000001</v>
      </c>
      <c r="M345" s="16">
        <f t="shared" si="2"/>
        <v>142045.10500000001</v>
      </c>
      <c r="N345" s="16">
        <f>SUMIF($D$7:$D$339,$D$345,N7:N339)</f>
        <v>225.77200000000002</v>
      </c>
      <c r="O345" s="16">
        <f t="shared" si="2"/>
        <v>8893.3809999999994</v>
      </c>
      <c r="P345" s="16">
        <f t="shared" si="2"/>
        <v>652.39099999999996</v>
      </c>
      <c r="Q345" s="16">
        <f t="shared" si="2"/>
        <v>5545.2960000000003</v>
      </c>
      <c r="R345" s="16">
        <f t="shared" si="2"/>
        <v>1812.4039999999998</v>
      </c>
      <c r="S345" s="16">
        <f t="shared" si="2"/>
        <v>42788.345999999998</v>
      </c>
      <c r="T345" s="16">
        <f t="shared" si="2"/>
        <v>37.332000000000001</v>
      </c>
      <c r="U345" s="16">
        <f t="shared" si="2"/>
        <v>17648.548999999999</v>
      </c>
      <c r="V345" s="16">
        <f t="shared" si="2"/>
        <v>5014.9840000000004</v>
      </c>
      <c r="W345" s="16">
        <f t="shared" si="2"/>
        <v>19880.27</v>
      </c>
      <c r="X345" s="16">
        <f t="shared" si="2"/>
        <v>34927.756999999998</v>
      </c>
      <c r="Y345" s="16">
        <f t="shared" si="2"/>
        <v>308444.52800000005</v>
      </c>
      <c r="Z345" s="16">
        <f t="shared" si="2"/>
        <v>71880.98599999999</v>
      </c>
      <c r="AA345" s="16">
        <f t="shared" si="2"/>
        <v>149595.90400000001</v>
      </c>
      <c r="AB345" s="16">
        <f t="shared" si="2"/>
        <v>261854.258</v>
      </c>
      <c r="AC345" s="16">
        <f t="shared" si="2"/>
        <v>26306.395000000004</v>
      </c>
      <c r="AD345" s="16">
        <f t="shared" si="2"/>
        <v>17057.703000000001</v>
      </c>
      <c r="AE345" s="16">
        <f t="shared" si="2"/>
        <v>896088.20399999991</v>
      </c>
      <c r="AF345" s="16">
        <f t="shared" si="2"/>
        <v>366490.54400000005</v>
      </c>
      <c r="AG345" s="16">
        <f t="shared" si="2"/>
        <v>87070.156999999992</v>
      </c>
      <c r="AH345" s="16">
        <f t="shared" si="2"/>
        <v>2722526.8939999999</v>
      </c>
      <c r="AI345" s="16">
        <f t="shared" si="2"/>
        <v>586168.32900000003</v>
      </c>
      <c r="AJ345" s="16">
        <f t="shared" si="2"/>
        <v>368318.62799999997</v>
      </c>
      <c r="AK345" s="16">
        <f t="shared" si="2"/>
        <v>8013772.585</v>
      </c>
      <c r="AL345" s="16">
        <f t="shared" si="2"/>
        <v>4464533.8769999994</v>
      </c>
      <c r="AM345" s="16">
        <f>SUMIF($D$7:$D$339,$D$345,AM7:AM339)</f>
        <v>3538.9340000000002</v>
      </c>
      <c r="AN345" s="16">
        <f>SUMIF($D$7:$D$339,$D$345,AN7:AN339)</f>
        <v>2871619.0120000001</v>
      </c>
      <c r="AO345" s="16">
        <f>SUMIF($D$7:$D$339,$D$345,AO7:AO339)</f>
        <v>21881.659</v>
      </c>
      <c r="AP345" s="16">
        <f t="shared" si="2"/>
        <v>7106.6139999999996</v>
      </c>
      <c r="AQ345" s="16">
        <f t="shared" si="2"/>
        <v>129334.77899999999</v>
      </c>
      <c r="AR345" s="16">
        <f t="shared" si="2"/>
        <v>2443.3630000000003</v>
      </c>
      <c r="AS345" s="16">
        <f t="shared" si="2"/>
        <v>579.58499999999992</v>
      </c>
      <c r="AT345" s="16">
        <f t="shared" si="2"/>
        <v>0</v>
      </c>
      <c r="AU345" s="16">
        <f t="shared" si="2"/>
        <v>12211.777999999998</v>
      </c>
      <c r="AV345" s="16">
        <f t="shared" si="2"/>
        <v>6712.7219999999998</v>
      </c>
      <c r="AW345" s="16">
        <f t="shared" si="2"/>
        <v>11200.98</v>
      </c>
      <c r="AX345" s="16">
        <f>SUMIF($D$7:$D$339,$D$345,AX7:AX339)</f>
        <v>37058.555999999997</v>
      </c>
      <c r="AY345" s="16">
        <f t="shared" ref="AY345:BI345" si="3">SUMIF($D$7:$D$339,$D$345,AY7:AY339)</f>
        <v>1827.4490000000001</v>
      </c>
      <c r="AZ345" s="16">
        <f t="shared" si="3"/>
        <v>13793.497999999998</v>
      </c>
      <c r="BA345" s="16">
        <f t="shared" si="3"/>
        <v>25481.387000000002</v>
      </c>
      <c r="BB345" s="16">
        <f t="shared" si="3"/>
        <v>7989.9520000000002</v>
      </c>
      <c r="BC345" s="16">
        <f t="shared" si="3"/>
        <v>1559.9949999999999</v>
      </c>
      <c r="BD345" s="16">
        <f t="shared" si="3"/>
        <v>11918.601999999999</v>
      </c>
      <c r="BE345" s="16">
        <f t="shared" si="3"/>
        <v>2011.4769999999999</v>
      </c>
      <c r="BF345" s="16">
        <f t="shared" si="3"/>
        <v>2011.4769999999999</v>
      </c>
      <c r="BG345" s="16">
        <f t="shared" si="3"/>
        <v>3274.9239999999995</v>
      </c>
      <c r="BH345" s="16">
        <f t="shared" si="3"/>
        <v>248087.99500000002</v>
      </c>
      <c r="BI345" s="16">
        <f t="shared" si="3"/>
        <v>644.30000000000007</v>
      </c>
      <c r="BJ345" s="21"/>
    </row>
    <row r="346" spans="1:62" x14ac:dyDescent="0.25">
      <c r="A346" t="s">
        <v>609</v>
      </c>
      <c r="D346">
        <v>2</v>
      </c>
      <c r="E346" s="16">
        <f t="shared" ref="E346:AW346" si="4">SUMIF($D$7:$D$339,$D$346,E7:E339)</f>
        <v>1968543.2370000002</v>
      </c>
      <c r="F346" s="16">
        <f t="shared" si="4"/>
        <v>168269.52799999999</v>
      </c>
      <c r="G346" s="16">
        <f t="shared" si="4"/>
        <v>350975.51799999998</v>
      </c>
      <c r="H346" s="16">
        <f t="shared" si="4"/>
        <v>0</v>
      </c>
      <c r="I346" s="16">
        <f t="shared" si="4"/>
        <v>51838.067999999999</v>
      </c>
      <c r="J346" s="16">
        <f t="shared" si="4"/>
        <v>241180.66500000001</v>
      </c>
      <c r="K346" s="16">
        <f t="shared" si="4"/>
        <v>212108.334</v>
      </c>
      <c r="L346" s="16">
        <f t="shared" si="4"/>
        <v>777666.14699999988</v>
      </c>
      <c r="M346" s="16">
        <f t="shared" si="4"/>
        <v>621246.01600000006</v>
      </c>
      <c r="N346" s="16">
        <f>SUMIF($D$7:$D$339,$D$346,N7:N339)</f>
        <v>11518.24</v>
      </c>
      <c r="O346" s="16">
        <f t="shared" si="4"/>
        <v>172.24600000000001</v>
      </c>
      <c r="P346" s="16">
        <f t="shared" si="4"/>
        <v>15474.109</v>
      </c>
      <c r="Q346" s="16">
        <f t="shared" si="4"/>
        <v>1896.5959999999998</v>
      </c>
      <c r="R346" s="16">
        <f t="shared" si="4"/>
        <v>4022.3389999999999</v>
      </c>
      <c r="S346" s="16">
        <f t="shared" si="4"/>
        <v>51284.036999999997</v>
      </c>
      <c r="T346" s="16">
        <f t="shared" si="4"/>
        <v>949.18200000000002</v>
      </c>
      <c r="U346" s="16">
        <f t="shared" si="4"/>
        <v>167426.90099999998</v>
      </c>
      <c r="V346" s="16">
        <f t="shared" si="4"/>
        <v>28623.727999999999</v>
      </c>
      <c r="W346" s="16">
        <f t="shared" si="4"/>
        <v>52852.744000000006</v>
      </c>
      <c r="X346" s="16">
        <f t="shared" si="4"/>
        <v>2628.5129999999999</v>
      </c>
      <c r="Y346" s="16">
        <f t="shared" si="4"/>
        <v>368038.36800000002</v>
      </c>
      <c r="Z346" s="16">
        <f t="shared" si="4"/>
        <v>98.266000000000005</v>
      </c>
      <c r="AA346" s="16">
        <f t="shared" si="4"/>
        <v>513484.30600000004</v>
      </c>
      <c r="AB346" s="16">
        <f t="shared" si="4"/>
        <v>3390.3330000000001</v>
      </c>
      <c r="AC346" s="16">
        <f t="shared" si="4"/>
        <v>24585.475999999999</v>
      </c>
      <c r="AD346" s="16">
        <f t="shared" si="4"/>
        <v>10036.298999999999</v>
      </c>
      <c r="AE346" s="16">
        <f t="shared" si="4"/>
        <v>851935.99499999988</v>
      </c>
      <c r="AF346" s="16">
        <f t="shared" si="4"/>
        <v>56507.923999999999</v>
      </c>
      <c r="AG346" s="16">
        <f t="shared" si="4"/>
        <v>35193.847000000002</v>
      </c>
      <c r="AH346" s="16">
        <f t="shared" si="4"/>
        <v>2440814.4560000002</v>
      </c>
      <c r="AI346" s="16">
        <f t="shared" si="4"/>
        <v>90949.111000000004</v>
      </c>
      <c r="AJ346" s="16">
        <f t="shared" si="4"/>
        <v>515.53499999999997</v>
      </c>
      <c r="AK346" s="16">
        <f t="shared" si="4"/>
        <v>849783.02300000004</v>
      </c>
      <c r="AL346" s="16">
        <f t="shared" si="4"/>
        <v>474232.69199999998</v>
      </c>
      <c r="AM346" s="16">
        <f>SUMIF($D$7:$D$339,$D$346,AM7:AM339)</f>
        <v>39696.959999999999</v>
      </c>
      <c r="AN346" s="16">
        <f>SUMIF($D$7:$D$339,$D$346,AN7:AN339)</f>
        <v>304615.38500000001</v>
      </c>
      <c r="AO346" s="16">
        <f>SUMIF($D$7:$D$339,$D$346,AO7:AO339)</f>
        <v>18537.078000000001</v>
      </c>
      <c r="AP346" s="16">
        <f t="shared" si="4"/>
        <v>0</v>
      </c>
      <c r="AQ346" s="16">
        <f t="shared" si="4"/>
        <v>19952.258999999998</v>
      </c>
      <c r="AR346" s="16">
        <f t="shared" si="4"/>
        <v>0</v>
      </c>
      <c r="AS346" s="16">
        <f t="shared" si="4"/>
        <v>1209.7549999999997</v>
      </c>
      <c r="AT346" s="16">
        <f t="shared" si="4"/>
        <v>0</v>
      </c>
      <c r="AU346" s="16">
        <f t="shared" si="4"/>
        <v>29892.639000000003</v>
      </c>
      <c r="AV346" s="16">
        <f t="shared" si="4"/>
        <v>0</v>
      </c>
      <c r="AW346" s="16">
        <f t="shared" si="4"/>
        <v>0</v>
      </c>
      <c r="AX346" s="16">
        <f>SUMIF($D$7:$D$339,$D$346,AX7:AX339)</f>
        <v>2636.241</v>
      </c>
      <c r="AY346" s="16">
        <f t="shared" ref="AY346:BI346" si="5">SUMIF($D$7:$D$339,$D$346,AY7:AY339)</f>
        <v>11203.307000000001</v>
      </c>
      <c r="AZ346" s="16">
        <f t="shared" si="5"/>
        <v>1005.766</v>
      </c>
      <c r="BA346" s="16">
        <f t="shared" si="5"/>
        <v>1847.771</v>
      </c>
      <c r="BB346" s="16">
        <f t="shared" si="5"/>
        <v>7474.3099999999995</v>
      </c>
      <c r="BC346" s="16">
        <f t="shared" si="5"/>
        <v>7200.1139999999996</v>
      </c>
      <c r="BD346" s="16">
        <f t="shared" si="5"/>
        <v>1199.876</v>
      </c>
      <c r="BE346" s="16">
        <f t="shared" si="5"/>
        <v>1611.9950000000001</v>
      </c>
      <c r="BF346" s="16">
        <f t="shared" si="5"/>
        <v>1611.9950000000001</v>
      </c>
      <c r="BG346" s="16">
        <f t="shared" si="5"/>
        <v>379.697</v>
      </c>
      <c r="BH346" s="16">
        <f t="shared" si="5"/>
        <v>29195.776999999998</v>
      </c>
      <c r="BI346" s="16">
        <f t="shared" si="5"/>
        <v>2905.529</v>
      </c>
      <c r="BJ346" s="21"/>
    </row>
    <row r="347" spans="1:62" x14ac:dyDescent="0.25">
      <c r="A347" t="s">
        <v>610</v>
      </c>
      <c r="D347">
        <v>3</v>
      </c>
      <c r="E347" s="16">
        <f t="shared" ref="E347:AW347" si="6">SUMIF($D$7:$D$339,$D$347,E7:E339)</f>
        <v>1879144.4839999999</v>
      </c>
      <c r="F347" s="16">
        <f t="shared" si="6"/>
        <v>266737.74800000002</v>
      </c>
      <c r="G347" s="16">
        <f t="shared" si="6"/>
        <v>451802.80699999997</v>
      </c>
      <c r="H347" s="16">
        <f t="shared" si="6"/>
        <v>59240.034</v>
      </c>
      <c r="I347" s="16">
        <f t="shared" si="6"/>
        <v>46619.579999999994</v>
      </c>
      <c r="J347" s="16">
        <f t="shared" si="6"/>
        <v>302733.29499999998</v>
      </c>
      <c r="K347" s="16">
        <f t="shared" si="6"/>
        <v>41878.418999999994</v>
      </c>
      <c r="L347" s="16">
        <f t="shared" si="6"/>
        <v>886534.51500000001</v>
      </c>
      <c r="M347" s="16">
        <f t="shared" si="6"/>
        <v>1103373.7079999999</v>
      </c>
      <c r="N347" s="16">
        <f>SUMIF($D$7:$D$339,$D$347,N7:N339)</f>
        <v>3189.835</v>
      </c>
      <c r="O347" s="16">
        <f t="shared" si="6"/>
        <v>0</v>
      </c>
      <c r="P347" s="16">
        <f t="shared" si="6"/>
        <v>55.468000000000004</v>
      </c>
      <c r="Q347" s="16">
        <f t="shared" si="6"/>
        <v>3917.6149999999998</v>
      </c>
      <c r="R347" s="16">
        <f t="shared" si="6"/>
        <v>12062.232000000004</v>
      </c>
      <c r="S347" s="16">
        <f t="shared" si="6"/>
        <v>110478.417</v>
      </c>
      <c r="T347" s="16">
        <f t="shared" si="6"/>
        <v>0</v>
      </c>
      <c r="U347" s="16">
        <f t="shared" si="6"/>
        <v>33056.569000000003</v>
      </c>
      <c r="V347" s="16">
        <f t="shared" si="6"/>
        <v>55124.523000000001</v>
      </c>
      <c r="W347" s="16">
        <f t="shared" si="6"/>
        <v>87686.558999999979</v>
      </c>
      <c r="X347" s="16">
        <f t="shared" si="6"/>
        <v>0</v>
      </c>
      <c r="Y347" s="16">
        <f t="shared" si="6"/>
        <v>300153.13899999997</v>
      </c>
      <c r="Z347" s="16">
        <f t="shared" si="6"/>
        <v>11244.552</v>
      </c>
      <c r="AA347" s="16">
        <f t="shared" si="6"/>
        <v>616951.3670000002</v>
      </c>
      <c r="AB347" s="16">
        <f t="shared" si="6"/>
        <v>0</v>
      </c>
      <c r="AC347" s="16">
        <f t="shared" si="6"/>
        <v>48548.398999999998</v>
      </c>
      <c r="AD347" s="16">
        <f t="shared" si="6"/>
        <v>13486.091</v>
      </c>
      <c r="AE347" s="16">
        <f t="shared" si="6"/>
        <v>549371.39399999997</v>
      </c>
      <c r="AF347" s="16">
        <f t="shared" si="6"/>
        <v>12504.546</v>
      </c>
      <c r="AG347" s="16">
        <f t="shared" si="6"/>
        <v>53684.489000000001</v>
      </c>
      <c r="AH347" s="16">
        <f t="shared" si="6"/>
        <v>2110519.3030000003</v>
      </c>
      <c r="AI347" s="16">
        <f t="shared" si="6"/>
        <v>21667.912</v>
      </c>
      <c r="AJ347" s="16">
        <f t="shared" si="6"/>
        <v>56977.311999999998</v>
      </c>
      <c r="AK347" s="16">
        <f t="shared" si="6"/>
        <v>0</v>
      </c>
      <c r="AL347" s="16">
        <f t="shared" si="6"/>
        <v>0</v>
      </c>
      <c r="AM347" s="16">
        <f>SUMIF($D$7:$D$339,$D$347,AM7:AM339)</f>
        <v>7837.7209999999995</v>
      </c>
      <c r="AN347" s="16">
        <f>SUMIF($D$7:$D$339,$D$347,AN7:AN339)</f>
        <v>0</v>
      </c>
      <c r="AO347" s="16">
        <f>SUMIF($D$7:$D$339,$D$347,AO7:AO339)</f>
        <v>36909.588000000003</v>
      </c>
      <c r="AP347" s="16">
        <f t="shared" si="6"/>
        <v>0</v>
      </c>
      <c r="AQ347" s="16">
        <f t="shared" si="6"/>
        <v>4285.6949999999997</v>
      </c>
      <c r="AR347" s="16">
        <f t="shared" si="6"/>
        <v>0</v>
      </c>
      <c r="AS347" s="16">
        <f t="shared" si="6"/>
        <v>817.54999999999984</v>
      </c>
      <c r="AT347" s="16">
        <f t="shared" si="6"/>
        <v>0</v>
      </c>
      <c r="AU347" s="16">
        <f t="shared" si="6"/>
        <v>25687.176999999996</v>
      </c>
      <c r="AV347" s="16">
        <f t="shared" si="6"/>
        <v>0</v>
      </c>
      <c r="AW347" s="16">
        <f t="shared" si="6"/>
        <v>0</v>
      </c>
      <c r="AX347" s="16">
        <f>SUMIF($D$7:$D$339,$D$347,AX7:AX339)</f>
        <v>0</v>
      </c>
      <c r="AY347" s="16">
        <f t="shared" ref="AY347:BI347" si="7">SUMIF($D$7:$D$339,$D$347,AY7:AY339)</f>
        <v>20185.857</v>
      </c>
      <c r="AZ347" s="16">
        <f t="shared" si="7"/>
        <v>3521.904</v>
      </c>
      <c r="BA347" s="16">
        <f t="shared" si="7"/>
        <v>0</v>
      </c>
      <c r="BB347" s="16">
        <f t="shared" si="7"/>
        <v>13919.066000000001</v>
      </c>
      <c r="BC347" s="16">
        <f t="shared" si="7"/>
        <v>16655.501</v>
      </c>
      <c r="BD347" s="16">
        <f t="shared" si="7"/>
        <v>4201.6220000000003</v>
      </c>
      <c r="BE347" s="16">
        <f t="shared" si="7"/>
        <v>3284.721</v>
      </c>
      <c r="BF347" s="16">
        <f t="shared" si="7"/>
        <v>3284.721</v>
      </c>
      <c r="BG347" s="16">
        <f t="shared" si="7"/>
        <v>1329.59</v>
      </c>
      <c r="BH347" s="16">
        <f t="shared" si="7"/>
        <v>38914.959999999999</v>
      </c>
      <c r="BI347" s="16">
        <f t="shared" si="7"/>
        <v>7142.8099999999995</v>
      </c>
      <c r="BJ347" s="21"/>
    </row>
    <row r="348" spans="1:62" x14ac:dyDescent="0.25">
      <c r="A348" t="s">
        <v>611</v>
      </c>
      <c r="B348">
        <v>7</v>
      </c>
      <c r="D348">
        <v>4</v>
      </c>
      <c r="E348" s="16">
        <f t="shared" ref="E348:AW348" si="8">SUMIF($D$7:$D$339,$D$348,E7:E339)</f>
        <v>1221755.8739999998</v>
      </c>
      <c r="F348" s="16">
        <f t="shared" si="8"/>
        <v>267443.46600000001</v>
      </c>
      <c r="G348" s="16">
        <f t="shared" si="8"/>
        <v>456.90000000000003</v>
      </c>
      <c r="H348" s="16">
        <f t="shared" si="8"/>
        <v>25680.043999999998</v>
      </c>
      <c r="I348" s="16">
        <f t="shared" si="8"/>
        <v>8748.3270000000011</v>
      </c>
      <c r="J348" s="16">
        <f t="shared" si="8"/>
        <v>296.62900000000002</v>
      </c>
      <c r="K348" s="16">
        <f t="shared" si="8"/>
        <v>0</v>
      </c>
      <c r="L348" s="16">
        <f t="shared" si="8"/>
        <v>3015825.0080000008</v>
      </c>
      <c r="M348" s="16">
        <f t="shared" si="8"/>
        <v>178144.158</v>
      </c>
      <c r="N348" s="16">
        <f>SUMIF($D$7:$D$339,$D$348,N7:N339)</f>
        <v>0</v>
      </c>
      <c r="O348" s="16">
        <f t="shared" si="8"/>
        <v>1910.308</v>
      </c>
      <c r="P348" s="16">
        <f t="shared" si="8"/>
        <v>29.201000000000001</v>
      </c>
      <c r="Q348" s="16">
        <f t="shared" si="8"/>
        <v>786.6350000000001</v>
      </c>
      <c r="R348" s="16">
        <f t="shared" si="8"/>
        <v>102.017</v>
      </c>
      <c r="S348" s="16">
        <f t="shared" si="8"/>
        <v>82862.522999999986</v>
      </c>
      <c r="T348" s="16">
        <f t="shared" si="8"/>
        <v>0</v>
      </c>
      <c r="U348" s="16">
        <f t="shared" si="8"/>
        <v>0</v>
      </c>
      <c r="V348" s="16">
        <f t="shared" si="8"/>
        <v>51.100999999999999</v>
      </c>
      <c r="W348" s="16">
        <f t="shared" si="8"/>
        <v>27061.653999999999</v>
      </c>
      <c r="X348" s="16">
        <f t="shared" si="8"/>
        <v>163857.55300000001</v>
      </c>
      <c r="Y348" s="16">
        <f t="shared" si="8"/>
        <v>567320.75599999994</v>
      </c>
      <c r="Z348" s="16">
        <f t="shared" si="8"/>
        <v>43208.508000000002</v>
      </c>
      <c r="AA348" s="16">
        <f t="shared" si="8"/>
        <v>640.07200000000012</v>
      </c>
      <c r="AB348" s="16">
        <f t="shared" si="8"/>
        <v>50390.716</v>
      </c>
      <c r="AC348" s="16">
        <f t="shared" si="8"/>
        <v>49530.433000000005</v>
      </c>
      <c r="AD348" s="16">
        <f t="shared" si="8"/>
        <v>16259.838000000002</v>
      </c>
      <c r="AE348" s="16">
        <f t="shared" si="8"/>
        <v>1398577.6060000004</v>
      </c>
      <c r="AF348" s="16">
        <f t="shared" si="8"/>
        <v>761895.68500000017</v>
      </c>
      <c r="AG348" s="16">
        <f t="shared" si="8"/>
        <v>71810.83199999998</v>
      </c>
      <c r="AH348" s="16">
        <f t="shared" si="8"/>
        <v>5247129.972000001</v>
      </c>
      <c r="AI348" s="16">
        <f t="shared" si="8"/>
        <v>1312130.4839999999</v>
      </c>
      <c r="AJ348" s="16">
        <f t="shared" si="8"/>
        <v>226713.766</v>
      </c>
      <c r="AK348" s="16">
        <f t="shared" si="8"/>
        <v>1165692.0190000001</v>
      </c>
      <c r="AL348" s="16">
        <f t="shared" si="8"/>
        <v>650529.93900000001</v>
      </c>
      <c r="AM348" s="16">
        <f>SUMIF($D$7:$D$339,$D$348,AM7:AM339)</f>
        <v>0</v>
      </c>
      <c r="AN348" s="16">
        <f>SUMIF($D$7:$D$339,$D$348,AN7:AN339)</f>
        <v>417856.85800000001</v>
      </c>
      <c r="AO348" s="16">
        <f>SUMIF($D$7:$D$339,$D$348,AO7:AO339)</f>
        <v>35069.501000000004</v>
      </c>
      <c r="AP348" s="16">
        <f t="shared" si="8"/>
        <v>53630.243000000002</v>
      </c>
      <c r="AQ348" s="16">
        <f t="shared" si="8"/>
        <v>267590.78000000003</v>
      </c>
      <c r="AR348" s="16">
        <f t="shared" si="8"/>
        <v>22193.403999999999</v>
      </c>
      <c r="AS348" s="16">
        <f t="shared" si="8"/>
        <v>822.399</v>
      </c>
      <c r="AT348" s="16">
        <f t="shared" si="8"/>
        <v>0</v>
      </c>
      <c r="AU348" s="16">
        <f t="shared" si="8"/>
        <v>9638.4990000000034</v>
      </c>
      <c r="AV348" s="16">
        <f t="shared" si="8"/>
        <v>60186.527000000002</v>
      </c>
      <c r="AW348" s="16">
        <f t="shared" si="8"/>
        <v>80182.509999999995</v>
      </c>
      <c r="AX348" s="16">
        <f>SUMIF($D$7:$D$339,$D$348,AX7:AX339)</f>
        <v>164339.30100000001</v>
      </c>
      <c r="AY348" s="16">
        <f t="shared" ref="AY348:BI348" si="9">SUMIF($D$7:$D$339,$D$348,AY7:AY339)</f>
        <v>7405.9059999999999</v>
      </c>
      <c r="AZ348" s="16">
        <f t="shared" si="9"/>
        <v>134455.60399999996</v>
      </c>
      <c r="BA348" s="16">
        <f t="shared" si="9"/>
        <v>115187.29699999999</v>
      </c>
      <c r="BB348" s="16">
        <f t="shared" si="9"/>
        <v>13213.325000000001</v>
      </c>
      <c r="BC348" s="16">
        <f t="shared" si="9"/>
        <v>12.868</v>
      </c>
      <c r="BD348" s="16">
        <f t="shared" si="9"/>
        <v>148294.56699999998</v>
      </c>
      <c r="BE348" s="16">
        <f t="shared" si="9"/>
        <v>3181.4839999999995</v>
      </c>
      <c r="BF348" s="16">
        <f t="shared" si="9"/>
        <v>3181.4839999999995</v>
      </c>
      <c r="BG348" s="16">
        <f t="shared" si="9"/>
        <v>46927.388999999996</v>
      </c>
      <c r="BH348" s="16">
        <f t="shared" si="9"/>
        <v>105892.05899999999</v>
      </c>
      <c r="BI348" s="16">
        <f t="shared" si="9"/>
        <v>5.4350000000000005</v>
      </c>
      <c r="BJ348" s="21"/>
    </row>
    <row r="349" spans="1:62" x14ac:dyDescent="0.25">
      <c r="A349" t="s">
        <v>612</v>
      </c>
      <c r="D349">
        <v>5</v>
      </c>
      <c r="E349" s="16">
        <f t="shared" ref="E349:AW349" si="10">SUMIF($D$7:$D$339,$D$349,E7:E339)</f>
        <v>749618.45799999998</v>
      </c>
      <c r="F349" s="16">
        <f t="shared" si="10"/>
        <v>38310.673999999999</v>
      </c>
      <c r="G349" s="16">
        <f t="shared" si="10"/>
        <v>82395.17</v>
      </c>
      <c r="H349" s="16">
        <f t="shared" si="10"/>
        <v>992664.34799999988</v>
      </c>
      <c r="I349" s="16">
        <f t="shared" si="10"/>
        <v>11431.886</v>
      </c>
      <c r="J349" s="16">
        <f t="shared" si="10"/>
        <v>73284.237000000008</v>
      </c>
      <c r="K349" s="16">
        <f t="shared" si="10"/>
        <v>15653.217000000001</v>
      </c>
      <c r="L349" s="16">
        <f t="shared" si="10"/>
        <v>498974.57000000012</v>
      </c>
      <c r="M349" s="16">
        <f t="shared" si="10"/>
        <v>370183.67200000008</v>
      </c>
      <c r="N349" s="16">
        <f>SUMIF($D$7:$D$339,$D$349,N7:N339)</f>
        <v>0</v>
      </c>
      <c r="O349" s="16">
        <f t="shared" si="10"/>
        <v>0</v>
      </c>
      <c r="P349" s="16">
        <f t="shared" si="10"/>
        <v>2124.866</v>
      </c>
      <c r="Q349" s="16">
        <f t="shared" si="10"/>
        <v>0</v>
      </c>
      <c r="R349" s="16">
        <f t="shared" si="10"/>
        <v>42.435000000000002</v>
      </c>
      <c r="S349" s="16">
        <f t="shared" si="10"/>
        <v>-3302.308</v>
      </c>
      <c r="T349" s="16">
        <f t="shared" si="10"/>
        <v>0</v>
      </c>
      <c r="U349" s="16">
        <f t="shared" si="10"/>
        <v>2859.248</v>
      </c>
      <c r="V349" s="16">
        <f t="shared" si="10"/>
        <v>12177.046</v>
      </c>
      <c r="W349" s="16">
        <f t="shared" si="10"/>
        <v>27853.741999999998</v>
      </c>
      <c r="X349" s="16">
        <f t="shared" si="10"/>
        <v>0</v>
      </c>
      <c r="Y349" s="16">
        <f t="shared" si="10"/>
        <v>190763.61600000001</v>
      </c>
      <c r="Z349" s="16">
        <f t="shared" si="10"/>
        <v>0</v>
      </c>
      <c r="AA349" s="16">
        <f t="shared" si="10"/>
        <v>60501.396000000001</v>
      </c>
      <c r="AB349" s="16">
        <f t="shared" si="10"/>
        <v>0</v>
      </c>
      <c r="AC349" s="16">
        <f t="shared" si="10"/>
        <v>7463.4979999999996</v>
      </c>
      <c r="AD349" s="16">
        <f t="shared" si="10"/>
        <v>0</v>
      </c>
      <c r="AE349" s="16">
        <f t="shared" si="10"/>
        <v>582676.79700000002</v>
      </c>
      <c r="AF349" s="16">
        <f t="shared" si="10"/>
        <v>-22832.969000000001</v>
      </c>
      <c r="AG349" s="16">
        <f t="shared" si="10"/>
        <v>9013.7839999999997</v>
      </c>
      <c r="AH349" s="16">
        <f t="shared" si="10"/>
        <v>1704700.8930000002</v>
      </c>
      <c r="AI349" s="16">
        <f t="shared" si="10"/>
        <v>40947.735000000001</v>
      </c>
      <c r="AJ349" s="16">
        <f t="shared" si="10"/>
        <v>16.489999999999998</v>
      </c>
      <c r="AK349" s="16">
        <f t="shared" si="10"/>
        <v>422.827</v>
      </c>
      <c r="AL349" s="16">
        <f t="shared" si="10"/>
        <v>114.887</v>
      </c>
      <c r="AM349" s="16">
        <f>SUMIF($D$7:$D$339,$D$349,AM7:AM339)</f>
        <v>671.78599999999994</v>
      </c>
      <c r="AN349" s="16">
        <f>SUMIF($D$7:$D$339,$D$349,AN7:AN339)</f>
        <v>117.324</v>
      </c>
      <c r="AO349" s="16">
        <f>SUMIF($D$7:$D$339,$D$349,AO7:AO339)</f>
        <v>-1541.6480000000001</v>
      </c>
      <c r="AP349" s="16">
        <f t="shared" si="10"/>
        <v>0</v>
      </c>
      <c r="AQ349" s="16">
        <f t="shared" si="10"/>
        <v>-2849.2069999999994</v>
      </c>
      <c r="AR349" s="16">
        <f t="shared" si="10"/>
        <v>0</v>
      </c>
      <c r="AS349" s="16">
        <f t="shared" si="10"/>
        <v>-34.884</v>
      </c>
      <c r="AT349" s="16">
        <f t="shared" si="10"/>
        <v>0</v>
      </c>
      <c r="AU349" s="16">
        <f t="shared" si="10"/>
        <v>-231.78</v>
      </c>
      <c r="AV349" s="16">
        <f t="shared" si="10"/>
        <v>0</v>
      </c>
      <c r="AW349" s="16">
        <f t="shared" si="10"/>
        <v>0</v>
      </c>
      <c r="AX349" s="16">
        <f>SUMIF($D$7:$D$339,$D$349,AX7:AX339)</f>
        <v>0</v>
      </c>
      <c r="AY349" s="16">
        <f t="shared" ref="AY349:BI349" si="11">SUMIF($D$7:$D$339,$D$349,AY7:AY339)</f>
        <v>0</v>
      </c>
      <c r="AZ349" s="16">
        <f t="shared" si="11"/>
        <v>0</v>
      </c>
      <c r="BA349" s="16">
        <f t="shared" si="11"/>
        <v>0</v>
      </c>
      <c r="BB349" s="16">
        <f t="shared" si="11"/>
        <v>-567.53599999999994</v>
      </c>
      <c r="BC349" s="16">
        <f t="shared" si="11"/>
        <v>0</v>
      </c>
      <c r="BD349" s="16">
        <f t="shared" si="11"/>
        <v>0</v>
      </c>
      <c r="BE349" s="16">
        <f t="shared" si="11"/>
        <v>-144.14099999999999</v>
      </c>
      <c r="BF349" s="16">
        <f t="shared" si="11"/>
        <v>-144.14099999999999</v>
      </c>
      <c r="BG349" s="16">
        <f t="shared" si="11"/>
        <v>0</v>
      </c>
      <c r="BH349" s="16">
        <f t="shared" si="11"/>
        <v>0</v>
      </c>
      <c r="BI349" s="16">
        <f t="shared" si="11"/>
        <v>0</v>
      </c>
      <c r="BJ349" s="21"/>
    </row>
    <row r="350" spans="1:62" x14ac:dyDescent="0.25">
      <c r="A350" t="s">
        <v>613</v>
      </c>
      <c r="B350">
        <v>7</v>
      </c>
      <c r="D350">
        <v>6</v>
      </c>
      <c r="E350" s="16">
        <f t="shared" ref="E350:AW350" si="12">SUMIF($D$7:$D$339,$D$350,E7:E339)+SUMIF($D$7:$D$339,$B$350,E7:E339)</f>
        <v>1878023.3249999997</v>
      </c>
      <c r="F350" s="16">
        <f t="shared" si="12"/>
        <v>70564.652999999991</v>
      </c>
      <c r="G350" s="16">
        <f t="shared" si="12"/>
        <v>70880.177999999985</v>
      </c>
      <c r="H350" s="16">
        <f t="shared" si="12"/>
        <v>29764.150000000005</v>
      </c>
      <c r="I350" s="16">
        <f t="shared" si="12"/>
        <v>10729.336999999998</v>
      </c>
      <c r="J350" s="16">
        <f t="shared" si="12"/>
        <v>47285.725000000006</v>
      </c>
      <c r="K350" s="16">
        <f t="shared" si="12"/>
        <v>-174.27200000000002</v>
      </c>
      <c r="L350" s="16">
        <f t="shared" si="12"/>
        <v>2212560.15</v>
      </c>
      <c r="M350" s="16">
        <f t="shared" si="12"/>
        <v>591783.30499999993</v>
      </c>
      <c r="N350" s="16">
        <f>SUMIF($D$7:$D$339,$D$350,N7:N339)+SUMIF($D$7:$D$339,$B$350,N7:N339)</f>
        <v>-6.16</v>
      </c>
      <c r="O350" s="16">
        <f t="shared" si="12"/>
        <v>233.07699999999997</v>
      </c>
      <c r="P350" s="16">
        <f t="shared" si="12"/>
        <v>1329.7440000000004</v>
      </c>
      <c r="Q350" s="16">
        <f t="shared" si="12"/>
        <v>157.60600000000011</v>
      </c>
      <c r="R350" s="16">
        <f t="shared" si="12"/>
        <v>866.60499999999979</v>
      </c>
      <c r="S350" s="16">
        <f t="shared" si="12"/>
        <v>12144.209999999995</v>
      </c>
      <c r="T350" s="16">
        <f t="shared" si="12"/>
        <v>-0.871</v>
      </c>
      <c r="U350" s="16">
        <f t="shared" si="12"/>
        <v>-126.066</v>
      </c>
      <c r="V350" s="16">
        <f t="shared" si="12"/>
        <v>6687.0680000000002</v>
      </c>
      <c r="W350" s="16">
        <f t="shared" si="12"/>
        <v>18526.002999999997</v>
      </c>
      <c r="X350" s="16">
        <f t="shared" si="12"/>
        <v>172.13999999999996</v>
      </c>
      <c r="Y350" s="16">
        <f t="shared" si="12"/>
        <v>333379.71699999989</v>
      </c>
      <c r="Z350" s="16">
        <f t="shared" si="12"/>
        <v>-782.16800000000126</v>
      </c>
      <c r="AA350" s="16">
        <f t="shared" si="12"/>
        <v>92360.461999999985</v>
      </c>
      <c r="AB350" s="16">
        <f t="shared" si="12"/>
        <v>5007.5619999999999</v>
      </c>
      <c r="AC350" s="16">
        <f t="shared" si="12"/>
        <v>10118.129999999999</v>
      </c>
      <c r="AD350" s="16">
        <f t="shared" si="12"/>
        <v>459.62799999999999</v>
      </c>
      <c r="AE350" s="16">
        <f t="shared" si="12"/>
        <v>1151125.4060000007</v>
      </c>
      <c r="AF350" s="16">
        <f t="shared" si="12"/>
        <v>51875.986000000012</v>
      </c>
      <c r="AG350" s="16">
        <f t="shared" si="12"/>
        <v>2868.3740000000012</v>
      </c>
      <c r="AH350" s="16">
        <f t="shared" si="12"/>
        <v>4396999.1500000004</v>
      </c>
      <c r="AI350" s="16">
        <f t="shared" si="12"/>
        <v>127907.61900000002</v>
      </c>
      <c r="AJ350" s="16">
        <f t="shared" si="12"/>
        <v>-4143.039000000028</v>
      </c>
      <c r="AK350" s="16">
        <f t="shared" si="12"/>
        <v>310875.26699999999</v>
      </c>
      <c r="AL350" s="16">
        <f t="shared" si="12"/>
        <v>173134.29399999999</v>
      </c>
      <c r="AM350" s="16">
        <f>SUMIF($D$7:$D$339,$D$350,AM7:AM339)+SUMIF($D$7:$D$339,$B$350,AM7:AM339)</f>
        <v>-33.920999999999999</v>
      </c>
      <c r="AN350" s="16">
        <f>SUMIF($D$7:$D$339,$D$350,AN7:AN339)+SUMIF($D$7:$D$339,$B$350,AN7:AN339)</f>
        <v>110974.929</v>
      </c>
      <c r="AO350" s="16">
        <f>SUMIF($D$7:$D$339,$D$350,AO7:AO339)+SUMIF($D$7:$D$339,$B$350,AO7:AO339)</f>
        <v>2971.0050000000006</v>
      </c>
      <c r="AP350" s="16">
        <f t="shared" si="12"/>
        <v>-18.273</v>
      </c>
      <c r="AQ350" s="16">
        <f t="shared" si="12"/>
        <v>10857.228000000001</v>
      </c>
      <c r="AR350" s="16">
        <f t="shared" si="12"/>
        <v>-21.664999999999999</v>
      </c>
      <c r="AS350" s="16">
        <f t="shared" si="12"/>
        <v>155.49800000000005</v>
      </c>
      <c r="AT350" s="16">
        <f t="shared" si="12"/>
        <v>0</v>
      </c>
      <c r="AU350" s="16">
        <f t="shared" si="12"/>
        <v>1513.492</v>
      </c>
      <c r="AV350" s="16">
        <f t="shared" si="12"/>
        <v>12.022000000000002</v>
      </c>
      <c r="AW350" s="16">
        <f t="shared" si="12"/>
        <v>-38.113</v>
      </c>
      <c r="AX350" s="16">
        <f>SUMIF($D$7:$D$339,$D$350,AX7:AX339)+SUMIF($D$7:$D$339,$B$350,AX7:AX339)</f>
        <v>104.01099999999995</v>
      </c>
      <c r="AY350" s="16">
        <f t="shared" ref="AY350:BI350" si="13">SUMIF($D$7:$D$339,$D$350,AY7:AY339)+SUMIF($D$7:$D$339,$B$350,AY7:AY339)</f>
        <v>1638.2689999999996</v>
      </c>
      <c r="AZ350" s="16">
        <f t="shared" si="13"/>
        <v>9357.2879999999986</v>
      </c>
      <c r="BA350" s="16">
        <f t="shared" si="13"/>
        <v>134.303</v>
      </c>
      <c r="BB350" s="16">
        <f t="shared" si="13"/>
        <v>1132.9499999999998</v>
      </c>
      <c r="BC350" s="16">
        <f t="shared" si="13"/>
        <v>913.16700000000003</v>
      </c>
      <c r="BD350" s="16">
        <f t="shared" si="13"/>
        <v>11188.485000000002</v>
      </c>
      <c r="BE350" s="16">
        <f t="shared" si="13"/>
        <v>273.60900000000004</v>
      </c>
      <c r="BF350" s="16">
        <f t="shared" si="13"/>
        <v>273.60900000000004</v>
      </c>
      <c r="BG350" s="16">
        <f t="shared" si="13"/>
        <v>3529.0579999999995</v>
      </c>
      <c r="BH350" s="16">
        <f t="shared" si="13"/>
        <v>-969.18399999999394</v>
      </c>
      <c r="BI350" s="16">
        <f t="shared" si="13"/>
        <v>393.07200000000006</v>
      </c>
      <c r="BJ350" s="21"/>
    </row>
    <row r="351" spans="1:62" x14ac:dyDescent="0.25"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  <c r="AA351" s="16"/>
      <c r="AB351" s="16"/>
      <c r="AC351" s="16"/>
      <c r="AD351" s="16"/>
      <c r="AE351" s="16"/>
      <c r="AF351" s="16"/>
      <c r="AG351" s="16"/>
      <c r="AH351" s="16"/>
      <c r="AI351" s="16"/>
      <c r="AJ351" s="16"/>
      <c r="AK351" s="16"/>
      <c r="AL351" s="16"/>
      <c r="AM351" s="16"/>
      <c r="AN351" s="16"/>
      <c r="AO351" s="16"/>
      <c r="AP351" s="16"/>
      <c r="AQ351" s="16"/>
      <c r="AR351" s="16"/>
      <c r="AS351" s="16"/>
      <c r="AT351" s="16"/>
      <c r="AU351" s="16"/>
      <c r="AV351" s="16"/>
      <c r="AW351" s="16"/>
      <c r="AX351" s="16"/>
      <c r="AY351" s="16"/>
      <c r="AZ351" s="16"/>
      <c r="BA351" s="16"/>
      <c r="BB351" s="16"/>
      <c r="BC351" s="16"/>
      <c r="BD351" s="16"/>
      <c r="BE351" s="16"/>
      <c r="BF351" s="16"/>
      <c r="BG351" s="16"/>
      <c r="BH351" s="16"/>
      <c r="BI351" s="16"/>
      <c r="BJ351" s="21"/>
    </row>
    <row r="352" spans="1:62" x14ac:dyDescent="0.25">
      <c r="E352">
        <f t="shared" ref="E352:M352" si="14">SUM(E345:E351)</f>
        <v>8560473.8650000002</v>
      </c>
      <c r="F352">
        <f t="shared" si="14"/>
        <v>953346.63400000008</v>
      </c>
      <c r="G352">
        <f t="shared" si="14"/>
        <v>993654.31299999997</v>
      </c>
      <c r="H352">
        <f t="shared" si="14"/>
        <v>1107320.6759999997</v>
      </c>
      <c r="I352">
        <f t="shared" si="14"/>
        <v>139437.94499999998</v>
      </c>
      <c r="J352">
        <f t="shared" si="14"/>
        <v>711568.7379999999</v>
      </c>
      <c r="K352">
        <f t="shared" si="14"/>
        <v>286903.48599999998</v>
      </c>
      <c r="L352" s="17">
        <f t="shared" si="14"/>
        <v>8944493.1190000009</v>
      </c>
      <c r="M352">
        <f t="shared" si="14"/>
        <v>3006775.9639999997</v>
      </c>
      <c r="N352">
        <f>SUM(N345:N351)</f>
        <v>14927.687000000002</v>
      </c>
      <c r="O352">
        <f t="shared" ref="O352:AL352" si="15">SUM(O345:O351)</f>
        <v>11209.011999999997</v>
      </c>
      <c r="P352">
        <f t="shared" si="15"/>
        <v>19665.778999999999</v>
      </c>
      <c r="Q352">
        <f t="shared" si="15"/>
        <v>12303.748</v>
      </c>
      <c r="R352">
        <f t="shared" si="15"/>
        <v>18908.032000000003</v>
      </c>
      <c r="S352">
        <f t="shared" si="15"/>
        <v>296255.22499999998</v>
      </c>
      <c r="T352">
        <f t="shared" si="15"/>
        <v>985.64300000000003</v>
      </c>
      <c r="U352">
        <f t="shared" si="15"/>
        <v>220865.20099999997</v>
      </c>
      <c r="V352">
        <f t="shared" si="15"/>
        <v>107678.45</v>
      </c>
      <c r="W352">
        <f t="shared" si="15"/>
        <v>233860.97199999998</v>
      </c>
      <c r="X352">
        <f t="shared" si="15"/>
        <v>201585.96300000002</v>
      </c>
      <c r="Y352">
        <f t="shared" si="15"/>
        <v>2068100.1239999998</v>
      </c>
      <c r="Z352">
        <f t="shared" si="15"/>
        <v>125650.14399999999</v>
      </c>
      <c r="AA352">
        <f t="shared" si="15"/>
        <v>1433533.5070000002</v>
      </c>
      <c r="AB352">
        <f t="shared" si="15"/>
        <v>320642.86900000001</v>
      </c>
      <c r="AC352">
        <f t="shared" si="15"/>
        <v>166552.33099999998</v>
      </c>
      <c r="AD352">
        <f t="shared" si="15"/>
        <v>57299.559000000001</v>
      </c>
      <c r="AE352">
        <f t="shared" si="15"/>
        <v>5429775.4020000007</v>
      </c>
      <c r="AF352">
        <f t="shared" si="15"/>
        <v>1226441.7160000002</v>
      </c>
      <c r="AG352">
        <f t="shared" si="15"/>
        <v>259641.48299999995</v>
      </c>
      <c r="AH352">
        <f t="shared" si="15"/>
        <v>18622690.667999998</v>
      </c>
      <c r="AI352">
        <f t="shared" si="15"/>
        <v>2179771.1900000004</v>
      </c>
      <c r="AJ352">
        <f t="shared" si="15"/>
        <v>648398.69199999992</v>
      </c>
      <c r="AK352">
        <f t="shared" si="15"/>
        <v>10340545.720999997</v>
      </c>
      <c r="AL352">
        <f t="shared" si="15"/>
        <v>5762545.6889999993</v>
      </c>
      <c r="AM352">
        <f>SUM(AM345:AM351)</f>
        <v>51711.479999999996</v>
      </c>
      <c r="AN352">
        <f>SUM(AN345:AN351)</f>
        <v>3705183.5079999999</v>
      </c>
      <c r="AO352">
        <f>SUM(AO345:AO351)</f>
        <v>113827.18300000002</v>
      </c>
      <c r="AP352">
        <f>SUM(AP345:AP351)</f>
        <v>60718.584000000003</v>
      </c>
      <c r="AQ352">
        <f t="shared" ref="AQ352:AW352" si="16">SUM(AQ345:AQ351)</f>
        <v>429171.53400000004</v>
      </c>
      <c r="AR352">
        <f t="shared" si="16"/>
        <v>24615.101999999999</v>
      </c>
      <c r="AS352">
        <f t="shared" si="16"/>
        <v>3549.9029999999993</v>
      </c>
      <c r="AT352">
        <f t="shared" si="16"/>
        <v>0</v>
      </c>
      <c r="AU352">
        <f t="shared" si="16"/>
        <v>78711.804999999993</v>
      </c>
      <c r="AV352">
        <f t="shared" si="16"/>
        <v>66911.270999999993</v>
      </c>
      <c r="AW352">
        <f t="shared" si="16"/>
        <v>91345.376999999993</v>
      </c>
      <c r="AX352">
        <f>SUM(AX345:AX351)</f>
        <v>204138.109</v>
      </c>
      <c r="AY352">
        <f t="shared" ref="AY352:BI352" si="17">SUM(AY345:AY351)</f>
        <v>42260.788</v>
      </c>
      <c r="AZ352">
        <f t="shared" si="17"/>
        <v>162134.05999999997</v>
      </c>
      <c r="BA352">
        <f t="shared" si="17"/>
        <v>142650.758</v>
      </c>
      <c r="BB352">
        <f t="shared" si="17"/>
        <v>43162.067000000003</v>
      </c>
      <c r="BC352">
        <f t="shared" si="17"/>
        <v>26341.645</v>
      </c>
      <c r="BD352">
        <f t="shared" si="17"/>
        <v>176803.152</v>
      </c>
      <c r="BE352">
        <f t="shared" si="17"/>
        <v>10219.145</v>
      </c>
      <c r="BF352">
        <f t="shared" si="17"/>
        <v>10219.145</v>
      </c>
      <c r="BG352">
        <f t="shared" si="17"/>
        <v>55440.657999999989</v>
      </c>
      <c r="BH352">
        <f t="shared" si="17"/>
        <v>421121.60700000002</v>
      </c>
      <c r="BI352">
        <f t="shared" si="17"/>
        <v>11091.145999999999</v>
      </c>
      <c r="BJ352" s="21"/>
    </row>
    <row r="353" spans="1:62" x14ac:dyDescent="0.25"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  <c r="AA353" s="16"/>
      <c r="AB353" s="16"/>
      <c r="AC353" s="16"/>
      <c r="AD353" s="16"/>
      <c r="AE353" s="16"/>
      <c r="AF353" s="16"/>
      <c r="AG353" s="16"/>
      <c r="AH353" s="16"/>
      <c r="AI353" s="16"/>
      <c r="AJ353" s="16"/>
      <c r="AK353" s="16"/>
      <c r="AL353" s="16"/>
      <c r="AM353" s="16"/>
      <c r="AN353" s="16"/>
      <c r="AO353" s="16"/>
      <c r="AP353" s="16"/>
      <c r="AQ353" s="16"/>
      <c r="AR353" s="16"/>
      <c r="AS353" s="16"/>
      <c r="AT353" s="16"/>
      <c r="AU353" s="16"/>
      <c r="AV353" s="16"/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21"/>
    </row>
    <row r="354" spans="1:62" x14ac:dyDescent="0.25">
      <c r="A354" s="8"/>
      <c r="B354" s="8"/>
      <c r="C354" s="8"/>
      <c r="D354" s="8"/>
      <c r="E354" s="8">
        <f t="shared" ref="E354:AJ354" si="18">E352-E340</f>
        <v>8560473.8650000002</v>
      </c>
      <c r="F354" s="8">
        <f t="shared" si="18"/>
        <v>953346.63400000008</v>
      </c>
      <c r="G354" s="8">
        <f t="shared" si="18"/>
        <v>993654.31299999997</v>
      </c>
      <c r="H354" s="8">
        <f t="shared" si="18"/>
        <v>1107320.6759999997</v>
      </c>
      <c r="I354" s="8">
        <f t="shared" si="18"/>
        <v>139437.94499999998</v>
      </c>
      <c r="J354" s="8">
        <f t="shared" si="18"/>
        <v>711568.7379999999</v>
      </c>
      <c r="K354" s="8">
        <f t="shared" si="18"/>
        <v>286903.48599999998</v>
      </c>
      <c r="L354" s="18">
        <f t="shared" si="18"/>
        <v>8944493.1190000009</v>
      </c>
      <c r="M354" s="8">
        <f t="shared" si="18"/>
        <v>3006775.9639999997</v>
      </c>
      <c r="N354" s="8">
        <f>N352-N340</f>
        <v>14927.687000000002</v>
      </c>
      <c r="O354" s="8">
        <f t="shared" si="18"/>
        <v>11209.011999999997</v>
      </c>
      <c r="P354" s="8">
        <f t="shared" si="18"/>
        <v>19665.778999999999</v>
      </c>
      <c r="Q354" s="8">
        <f t="shared" si="18"/>
        <v>12303.748</v>
      </c>
      <c r="R354" s="8">
        <f t="shared" si="18"/>
        <v>18908.032000000003</v>
      </c>
      <c r="S354" s="8">
        <f t="shared" si="18"/>
        <v>296255.22499999998</v>
      </c>
      <c r="T354" s="8">
        <f t="shared" si="18"/>
        <v>985.64300000000003</v>
      </c>
      <c r="U354" s="8">
        <f t="shared" si="18"/>
        <v>220865.20099999997</v>
      </c>
      <c r="V354" s="8">
        <f t="shared" si="18"/>
        <v>107678.45</v>
      </c>
      <c r="W354" s="8">
        <f t="shared" si="18"/>
        <v>233860.97199999998</v>
      </c>
      <c r="X354" s="8">
        <f t="shared" si="18"/>
        <v>201585.96300000002</v>
      </c>
      <c r="Y354" s="8">
        <f t="shared" si="18"/>
        <v>2068100.1239999998</v>
      </c>
      <c r="Z354" s="8">
        <f t="shared" si="18"/>
        <v>125650.14399999999</v>
      </c>
      <c r="AA354" s="8">
        <f t="shared" si="18"/>
        <v>1433533.5070000002</v>
      </c>
      <c r="AB354" s="8">
        <f t="shared" si="18"/>
        <v>320642.86900000001</v>
      </c>
      <c r="AC354" s="8">
        <f t="shared" si="18"/>
        <v>166552.33099999998</v>
      </c>
      <c r="AD354" s="8">
        <f t="shared" si="18"/>
        <v>57299.559000000001</v>
      </c>
      <c r="AE354" s="8">
        <f t="shared" si="18"/>
        <v>5429775.4020000007</v>
      </c>
      <c r="AF354" s="8">
        <f t="shared" si="18"/>
        <v>1226441.7160000002</v>
      </c>
      <c r="AG354" s="8">
        <f t="shared" si="18"/>
        <v>259641.48299999995</v>
      </c>
      <c r="AH354" s="8">
        <f t="shared" si="18"/>
        <v>18622690.667999998</v>
      </c>
      <c r="AI354" s="8">
        <f t="shared" si="18"/>
        <v>2179771.1900000004</v>
      </c>
      <c r="AJ354" s="8">
        <f t="shared" si="18"/>
        <v>648398.69199999992</v>
      </c>
      <c r="AK354" s="8">
        <f>AK352-AK340</f>
        <v>10340545.720999997</v>
      </c>
      <c r="AL354" s="8">
        <f>AL352-AL340</f>
        <v>5762545.6889999993</v>
      </c>
      <c r="AM354" s="8">
        <f>AM352-AM340</f>
        <v>51711.479999999996</v>
      </c>
      <c r="AN354" s="8">
        <f>AN352-AN340</f>
        <v>3705183.5079999999</v>
      </c>
      <c r="AO354" s="8">
        <f>AO352-AO340</f>
        <v>113827.18300000002</v>
      </c>
      <c r="AP354" s="8">
        <f t="shared" ref="AP354:AW354" si="19">AP352-AP340</f>
        <v>60718.584000000003</v>
      </c>
      <c r="AQ354" s="8">
        <f t="shared" si="19"/>
        <v>429171.53400000004</v>
      </c>
      <c r="AR354" s="8">
        <f t="shared" si="19"/>
        <v>24615.101999999999</v>
      </c>
      <c r="AS354" s="8">
        <f t="shared" si="19"/>
        <v>3549.9029999999993</v>
      </c>
      <c r="AT354" s="8">
        <f t="shared" si="19"/>
        <v>0</v>
      </c>
      <c r="AU354" s="8">
        <f t="shared" si="19"/>
        <v>78711.804999999993</v>
      </c>
      <c r="AV354" s="8">
        <f t="shared" si="19"/>
        <v>66911.270999999993</v>
      </c>
      <c r="AW354" s="8">
        <f t="shared" si="19"/>
        <v>91345.376999999993</v>
      </c>
      <c r="AX354" s="8">
        <f>AX352-AX340</f>
        <v>204138.109</v>
      </c>
      <c r="AY354" s="8">
        <f t="shared" ref="AY354:BI354" si="20">AY352-AY340</f>
        <v>42260.788</v>
      </c>
      <c r="AZ354" s="8">
        <f t="shared" si="20"/>
        <v>162134.05999999997</v>
      </c>
      <c r="BA354" s="8">
        <f t="shared" si="20"/>
        <v>142650.758</v>
      </c>
      <c r="BB354" s="8">
        <f t="shared" si="20"/>
        <v>43162.067000000003</v>
      </c>
      <c r="BC354" s="8">
        <f t="shared" si="20"/>
        <v>26341.645</v>
      </c>
      <c r="BD354" s="8">
        <f t="shared" si="20"/>
        <v>176803.152</v>
      </c>
      <c r="BE354" s="8">
        <f t="shared" si="20"/>
        <v>10219.145</v>
      </c>
      <c r="BF354" s="8">
        <f t="shared" si="20"/>
        <v>10219.145</v>
      </c>
      <c r="BG354" s="8">
        <f t="shared" si="20"/>
        <v>55440.657999999989</v>
      </c>
      <c r="BH354" s="8">
        <f t="shared" si="20"/>
        <v>421121.60700000002</v>
      </c>
      <c r="BI354" s="8">
        <f t="shared" si="20"/>
        <v>11091.145999999999</v>
      </c>
      <c r="BJ354" s="21"/>
    </row>
    <row r="355" spans="1:62" x14ac:dyDescent="0.25">
      <c r="E355" s="19">
        <f t="shared" ref="E355:M355" si="21">E5</f>
        <v>401</v>
      </c>
      <c r="F355" s="19">
        <f t="shared" si="21"/>
        <v>242</v>
      </c>
      <c r="G355" s="19">
        <f t="shared" si="21"/>
        <v>385</v>
      </c>
      <c r="H355" s="19">
        <f t="shared" si="21"/>
        <v>528</v>
      </c>
      <c r="I355" s="19">
        <f t="shared" si="21"/>
        <v>384</v>
      </c>
      <c r="J355" s="19">
        <f t="shared" si="21"/>
        <v>716</v>
      </c>
      <c r="K355" s="19">
        <f t="shared" si="21"/>
        <v>715</v>
      </c>
      <c r="L355" s="19">
        <f t="shared" si="21"/>
        <v>9916</v>
      </c>
      <c r="M355" s="19">
        <f t="shared" si="21"/>
        <v>1100</v>
      </c>
      <c r="N355" s="19">
        <f>N5</f>
        <v>801</v>
      </c>
      <c r="O355" s="19">
        <f t="shared" ref="O355:T355" si="22">O5</f>
        <v>804</v>
      </c>
      <c r="P355" s="19">
        <f t="shared" si="22"/>
        <v>806</v>
      </c>
      <c r="Q355" s="19">
        <f t="shared" si="22"/>
        <v>8765</v>
      </c>
      <c r="R355" s="19">
        <f t="shared" si="22"/>
        <v>8766</v>
      </c>
      <c r="S355" s="19">
        <f t="shared" si="22"/>
        <v>9418</v>
      </c>
      <c r="T355" s="19">
        <f t="shared" si="22"/>
        <v>9475</v>
      </c>
      <c r="U355" s="19">
        <f>U5</f>
        <v>9906</v>
      </c>
      <c r="V355" s="19">
        <f>V5</f>
        <v>7905</v>
      </c>
      <c r="W355" s="19">
        <f t="shared" ref="W355:AJ355" si="23">W5</f>
        <v>7906</v>
      </c>
      <c r="X355" s="19">
        <f t="shared" si="23"/>
        <v>7907</v>
      </c>
      <c r="Y355" s="19">
        <f t="shared" si="23"/>
        <v>7908</v>
      </c>
      <c r="Z355" s="19">
        <f t="shared" si="23"/>
        <v>7909</v>
      </c>
      <c r="AA355" s="19">
        <f t="shared" si="23"/>
        <v>11310</v>
      </c>
      <c r="AB355" s="19">
        <f t="shared" si="23"/>
        <v>11311</v>
      </c>
      <c r="AC355" s="19">
        <f t="shared" si="23"/>
        <v>11312</v>
      </c>
      <c r="AD355" s="19">
        <f t="shared" si="23"/>
        <v>11335</v>
      </c>
      <c r="AE355" s="19">
        <f t="shared" si="23"/>
        <v>9529</v>
      </c>
      <c r="AF355" s="19">
        <f t="shared" si="23"/>
        <v>961</v>
      </c>
      <c r="AG355" s="19">
        <f t="shared" si="23"/>
        <v>9528</v>
      </c>
      <c r="AH355" s="19">
        <f t="shared" si="23"/>
        <v>964</v>
      </c>
      <c r="AI355" s="19">
        <f t="shared" si="23"/>
        <v>968</v>
      </c>
      <c r="AJ355" s="19">
        <f t="shared" si="23"/>
        <v>8629</v>
      </c>
      <c r="AK355" s="19">
        <f>AK5</f>
        <v>13264</v>
      </c>
      <c r="AL355" s="19">
        <f>AL5</f>
        <v>13263</v>
      </c>
      <c r="AM355" s="19">
        <f>AM5</f>
        <v>13209</v>
      </c>
      <c r="AN355" s="19">
        <f>AN5</f>
        <v>13250</v>
      </c>
      <c r="AO355" s="19">
        <f>AO5</f>
        <v>14281</v>
      </c>
      <c r="AP355" s="19">
        <f t="shared" ref="AP355:AW355" si="24">AP5</f>
        <v>2049</v>
      </c>
      <c r="AQ355" s="19">
        <f t="shared" si="24"/>
        <v>7975</v>
      </c>
      <c r="AR355" s="19">
        <f t="shared" si="24"/>
        <v>8004</v>
      </c>
      <c r="AS355" s="19">
        <f t="shared" si="24"/>
        <v>1008</v>
      </c>
      <c r="AT355" s="19">
        <f t="shared" si="24"/>
        <v>9484</v>
      </c>
      <c r="AU355" s="19">
        <f t="shared" si="24"/>
        <v>682</v>
      </c>
      <c r="AV355" s="19">
        <f t="shared" si="24"/>
        <v>11352</v>
      </c>
      <c r="AW355" s="19">
        <f t="shared" si="24"/>
        <v>2058</v>
      </c>
      <c r="AX355" s="19">
        <f>AX5</f>
        <v>15007</v>
      </c>
      <c r="AY355" s="19">
        <f t="shared" ref="AY355:BI355" si="25">AY5</f>
        <v>15208</v>
      </c>
      <c r="AZ355" s="19">
        <f t="shared" si="25"/>
        <v>15209</v>
      </c>
      <c r="BA355" s="19">
        <f t="shared" si="25"/>
        <v>15210</v>
      </c>
      <c r="BB355" s="19">
        <f t="shared" si="25"/>
        <v>15211</v>
      </c>
      <c r="BC355" s="19">
        <f t="shared" si="25"/>
        <v>15212</v>
      </c>
      <c r="BD355" s="19">
        <f t="shared" si="25"/>
        <v>15232</v>
      </c>
      <c r="BE355" s="19">
        <f t="shared" si="25"/>
        <v>15214</v>
      </c>
      <c r="BF355" s="19">
        <f t="shared" si="25"/>
        <v>15214</v>
      </c>
      <c r="BG355" s="19">
        <f t="shared" si="25"/>
        <v>15233</v>
      </c>
      <c r="BH355" s="19">
        <f t="shared" si="25"/>
        <v>15234</v>
      </c>
      <c r="BI355" s="19">
        <f t="shared" si="25"/>
        <v>15215</v>
      </c>
      <c r="BJ355" s="21"/>
    </row>
    <row r="356" spans="1:62" x14ac:dyDescent="0.25">
      <c r="A356" t="s">
        <v>608</v>
      </c>
      <c r="E356" s="20">
        <f t="shared" ref="E356:AL356" si="26">E345/E352</f>
        <v>0.10085755772586544</v>
      </c>
      <c r="F356" s="20">
        <f t="shared" si="26"/>
        <v>0.14897054222986852</v>
      </c>
      <c r="G356" s="20">
        <f t="shared" si="26"/>
        <v>3.7380947794467025E-2</v>
      </c>
      <c r="H356" s="20">
        <f t="shared" si="26"/>
        <v>-2.5195953263316477E-5</v>
      </c>
      <c r="I356" s="20">
        <f t="shared" si="26"/>
        <v>7.2223862736932917E-2</v>
      </c>
      <c r="J356" s="20">
        <f t="shared" si="26"/>
        <v>6.5753573058180095E-2</v>
      </c>
      <c r="K356" s="20">
        <f t="shared" si="26"/>
        <v>6.0779282409973934E-2</v>
      </c>
      <c r="L356" s="20">
        <f t="shared" si="26"/>
        <v>0.17361886339889307</v>
      </c>
      <c r="M356" s="20">
        <f t="shared" si="26"/>
        <v>4.7241665724583402E-2</v>
      </c>
      <c r="N356" s="20">
        <f>N345/N352</f>
        <v>1.5124379282604197E-2</v>
      </c>
      <c r="O356" s="20">
        <f t="shared" si="26"/>
        <v>0.79341346052622674</v>
      </c>
      <c r="P356" s="20">
        <f t="shared" si="26"/>
        <v>3.317392105341975E-2</v>
      </c>
      <c r="Q356" s="20">
        <f t="shared" si="26"/>
        <v>0.45069973799853513</v>
      </c>
      <c r="R356" s="20">
        <f t="shared" si="26"/>
        <v>9.5853656266289347E-2</v>
      </c>
      <c r="S356" s="20">
        <f t="shared" si="26"/>
        <v>0.14443068810010018</v>
      </c>
      <c r="T356" s="20">
        <f t="shared" si="26"/>
        <v>3.787578261094534E-2</v>
      </c>
      <c r="U356" s="20">
        <f t="shared" si="26"/>
        <v>7.9906426725865259E-2</v>
      </c>
      <c r="V356" s="20">
        <f t="shared" si="26"/>
        <v>4.6573701608817741E-2</v>
      </c>
      <c r="W356" s="20">
        <f t="shared" si="26"/>
        <v>8.5008925730454946E-2</v>
      </c>
      <c r="X356" s="20">
        <f t="shared" si="26"/>
        <v>0.17326482697607271</v>
      </c>
      <c r="Y356" s="20">
        <f t="shared" si="26"/>
        <v>0.14914390479481451</v>
      </c>
      <c r="Z356" s="20">
        <f t="shared" si="26"/>
        <v>0.57207245222098591</v>
      </c>
      <c r="AA356" s="20">
        <f t="shared" si="26"/>
        <v>0.10435466158936457</v>
      </c>
      <c r="AB356" s="20">
        <f t="shared" si="26"/>
        <v>0.81665392658397151</v>
      </c>
      <c r="AC356" s="20">
        <f t="shared" si="26"/>
        <v>0.15794672366368748</v>
      </c>
      <c r="AD356" s="20">
        <f t="shared" si="26"/>
        <v>0.29769344298094863</v>
      </c>
      <c r="AE356" s="20">
        <f t="shared" si="26"/>
        <v>0.16503227806990603</v>
      </c>
      <c r="AF356" s="20">
        <f t="shared" si="26"/>
        <v>0.29882426471540535</v>
      </c>
      <c r="AG356" s="20">
        <f t="shared" si="26"/>
        <v>0.33534763395262229</v>
      </c>
      <c r="AH356" s="20">
        <f t="shared" si="26"/>
        <v>0.14619406736311258</v>
      </c>
      <c r="AI356" s="20">
        <f t="shared" si="26"/>
        <v>0.26891277932708152</v>
      </c>
      <c r="AJ356" s="20">
        <f t="shared" si="26"/>
        <v>0.56804344694760733</v>
      </c>
      <c r="AK356" s="20">
        <f t="shared" si="26"/>
        <v>0.77498546026688975</v>
      </c>
      <c r="AL356" s="20">
        <f t="shared" si="26"/>
        <v>0.77475027842681632</v>
      </c>
      <c r="AM356" s="20">
        <f>AM345/AM352</f>
        <v>6.8436138358445753E-2</v>
      </c>
      <c r="AN356" s="20">
        <f>AN345/AN352</f>
        <v>0.77502747321415533</v>
      </c>
      <c r="AO356" s="20">
        <f>AO345/AO352</f>
        <v>0.19223579485402881</v>
      </c>
      <c r="AP356" s="20">
        <f>AP345/AP352</f>
        <v>0.11704182693061484</v>
      </c>
      <c r="AQ356" s="20">
        <f t="shared" ref="AQ356:AW356" si="27">AQ345/AQ352</f>
        <v>0.30135917402201234</v>
      </c>
      <c r="AR356" s="20">
        <f t="shared" si="27"/>
        <v>9.926276153558089E-2</v>
      </c>
      <c r="AS356" s="20">
        <f t="shared" si="27"/>
        <v>0.16326784140299044</v>
      </c>
      <c r="AT356" s="20" t="e">
        <f t="shared" si="27"/>
        <v>#DIV/0!</v>
      </c>
      <c r="AU356" s="20">
        <f t="shared" si="27"/>
        <v>0.15514544482876488</v>
      </c>
      <c r="AV356" s="20">
        <f t="shared" si="27"/>
        <v>0.10032273934835284</v>
      </c>
      <c r="AW356" s="20">
        <f t="shared" si="27"/>
        <v>0.12262229756849108</v>
      </c>
      <c r="AX356" s="20">
        <f>AX345/AX352</f>
        <v>0.18153668700830378</v>
      </c>
      <c r="AY356" s="20">
        <f t="shared" ref="AY356:BI356" si="28">AY345/AY352</f>
        <v>4.3242189426283294E-2</v>
      </c>
      <c r="AZ356" s="20">
        <f t="shared" si="28"/>
        <v>8.5074647486160532E-2</v>
      </c>
      <c r="BA356" s="20">
        <f t="shared" si="28"/>
        <v>0.17862777146967562</v>
      </c>
      <c r="BB356" s="20">
        <f t="shared" si="28"/>
        <v>0.1851151382532259</v>
      </c>
      <c r="BC356" s="20">
        <f t="shared" si="28"/>
        <v>5.9221624162044545E-2</v>
      </c>
      <c r="BD356" s="20">
        <f t="shared" si="28"/>
        <v>6.7411705420274401E-2</v>
      </c>
      <c r="BE356" s="20">
        <f t="shared" si="28"/>
        <v>0.19683417741895234</v>
      </c>
      <c r="BF356" s="20">
        <f t="shared" si="28"/>
        <v>0.19683417741895234</v>
      </c>
      <c r="BG356" s="20">
        <f t="shared" si="28"/>
        <v>5.9070799628676847E-2</v>
      </c>
      <c r="BH356" s="20">
        <f t="shared" si="28"/>
        <v>0.58911248170650155</v>
      </c>
      <c r="BI356" s="20">
        <f t="shared" si="28"/>
        <v>5.8091382080805727E-2</v>
      </c>
      <c r="BJ356" s="21"/>
    </row>
    <row r="357" spans="1:62" x14ac:dyDescent="0.25">
      <c r="A357" t="s">
        <v>609</v>
      </c>
      <c r="E357" s="20">
        <f t="shared" ref="E357:AL357" si="29">E346/E352</f>
        <v>0.229957274333668</v>
      </c>
      <c r="F357" s="20">
        <f t="shared" si="29"/>
        <v>0.17650403536223108</v>
      </c>
      <c r="G357" s="20">
        <f t="shared" si="29"/>
        <v>0.35321692203030775</v>
      </c>
      <c r="H357" s="20">
        <f t="shared" si="29"/>
        <v>0</v>
      </c>
      <c r="I357" s="20">
        <f t="shared" si="29"/>
        <v>0.37176442897232892</v>
      </c>
      <c r="J357" s="20">
        <f t="shared" si="29"/>
        <v>0.33894218804199355</v>
      </c>
      <c r="K357" s="20">
        <f t="shared" si="29"/>
        <v>0.73930204528780119</v>
      </c>
      <c r="L357" s="20">
        <f t="shared" si="29"/>
        <v>8.6943568143405689E-2</v>
      </c>
      <c r="M357" s="20">
        <f t="shared" si="29"/>
        <v>0.20661533264804299</v>
      </c>
      <c r="N357" s="20">
        <f>N346/N352</f>
        <v>0.77160245924234605</v>
      </c>
      <c r="O357" s="20">
        <f t="shared" si="29"/>
        <v>1.5366742403344742E-2</v>
      </c>
      <c r="P357" s="20">
        <f t="shared" si="29"/>
        <v>0.78685461684482483</v>
      </c>
      <c r="Q357" s="20">
        <f t="shared" si="29"/>
        <v>0.15414782552438491</v>
      </c>
      <c r="R357" s="20">
        <f t="shared" si="29"/>
        <v>0.21273176394031909</v>
      </c>
      <c r="S357" s="20">
        <f t="shared" si="29"/>
        <v>0.17310762029597959</v>
      </c>
      <c r="T357" s="20">
        <f t="shared" si="29"/>
        <v>0.96300790448468665</v>
      </c>
      <c r="U357" s="20">
        <f t="shared" si="29"/>
        <v>0.75805016019703353</v>
      </c>
      <c r="V357" s="20">
        <f t="shared" si="29"/>
        <v>0.26582596610556708</v>
      </c>
      <c r="W357" s="20">
        <f t="shared" si="29"/>
        <v>0.22600070267389469</v>
      </c>
      <c r="X357" s="20">
        <f t="shared" si="29"/>
        <v>1.3039166819368269E-2</v>
      </c>
      <c r="Y357" s="20">
        <f t="shared" si="29"/>
        <v>0.17795964698660791</v>
      </c>
      <c r="Z357" s="20">
        <f t="shared" si="29"/>
        <v>7.8206038506410322E-4</v>
      </c>
      <c r="AA357" s="20">
        <f t="shared" si="29"/>
        <v>0.35819484057584711</v>
      </c>
      <c r="AB357" s="20">
        <f t="shared" si="29"/>
        <v>1.0573548729069038E-2</v>
      </c>
      <c r="AC357" s="20">
        <f t="shared" si="29"/>
        <v>0.14761412135384644</v>
      </c>
      <c r="AD357" s="20">
        <f t="shared" si="29"/>
        <v>0.17515490826028868</v>
      </c>
      <c r="AE357" s="20">
        <f t="shared" si="29"/>
        <v>0.15690077985291956</v>
      </c>
      <c r="AF357" s="20">
        <f t="shared" si="29"/>
        <v>4.6074691738551388E-2</v>
      </c>
      <c r="AG357" s="20">
        <f t="shared" si="29"/>
        <v>0.13554785850610784</v>
      </c>
      <c r="AH357" s="20">
        <f t="shared" si="29"/>
        <v>0.13106669167813298</v>
      </c>
      <c r="AI357" s="20">
        <f t="shared" si="29"/>
        <v>4.1724155001791718E-2</v>
      </c>
      <c r="AJ357" s="20">
        <f t="shared" si="29"/>
        <v>7.9508951261116989E-4</v>
      </c>
      <c r="AK357" s="20">
        <f t="shared" si="29"/>
        <v>8.2179707524935211E-2</v>
      </c>
      <c r="AL357" s="20">
        <f t="shared" si="29"/>
        <v>8.2295693187344726E-2</v>
      </c>
      <c r="AM357" s="20">
        <f>AM346/AM352</f>
        <v>0.76766242234799709</v>
      </c>
      <c r="AN357" s="20">
        <f>AN346/AN352</f>
        <v>8.2213305857130575E-2</v>
      </c>
      <c r="AO357" s="20">
        <f>AO346/AO352</f>
        <v>0.16285282224721312</v>
      </c>
      <c r="AP357" s="20">
        <f>AP346/AP352</f>
        <v>0</v>
      </c>
      <c r="AQ357" s="20">
        <f t="shared" ref="AQ357:AW357" si="30">AQ346/AQ352</f>
        <v>4.6490173320768276E-2</v>
      </c>
      <c r="AR357" s="20">
        <f t="shared" si="30"/>
        <v>0</v>
      </c>
      <c r="AS357" s="20">
        <f t="shared" si="30"/>
        <v>0.34078536793822251</v>
      </c>
      <c r="AT357" s="20" t="e">
        <f t="shared" si="30"/>
        <v>#DIV/0!</v>
      </c>
      <c r="AU357" s="20">
        <f t="shared" si="30"/>
        <v>0.37977326272723649</v>
      </c>
      <c r="AV357" s="20">
        <f t="shared" si="30"/>
        <v>0</v>
      </c>
      <c r="AW357" s="20">
        <f t="shared" si="30"/>
        <v>0</v>
      </c>
      <c r="AX357" s="20">
        <f>AX346/AX352</f>
        <v>1.2914007153852885E-2</v>
      </c>
      <c r="AY357" s="20">
        <f t="shared" ref="AY357:BI357" si="31">AY346/AY352</f>
        <v>0.26509933984193573</v>
      </c>
      <c r="AZ357" s="20">
        <f t="shared" si="31"/>
        <v>6.2032986776498419E-3</v>
      </c>
      <c r="BA357" s="20">
        <f t="shared" si="31"/>
        <v>1.295311028070387E-2</v>
      </c>
      <c r="BB357" s="20">
        <f t="shared" si="31"/>
        <v>0.17316849074906443</v>
      </c>
      <c r="BC357" s="20">
        <f t="shared" si="31"/>
        <v>0.27333577686587152</v>
      </c>
      <c r="BD357" s="20">
        <f t="shared" si="31"/>
        <v>6.7865079690434477E-3</v>
      </c>
      <c r="BE357" s="20">
        <f t="shared" si="31"/>
        <v>0.15774264872452637</v>
      </c>
      <c r="BF357" s="20">
        <f t="shared" si="31"/>
        <v>0.15774264872452637</v>
      </c>
      <c r="BG357" s="20">
        <f t="shared" si="31"/>
        <v>6.8487102010946566E-3</v>
      </c>
      <c r="BH357" s="20">
        <f t="shared" si="31"/>
        <v>6.9328613195570363E-2</v>
      </c>
      <c r="BI357" s="20">
        <f t="shared" si="31"/>
        <v>0.26196833041418804</v>
      </c>
      <c r="BJ357" s="21"/>
    </row>
    <row r="358" spans="1:62" x14ac:dyDescent="0.25">
      <c r="A358" t="s">
        <v>610</v>
      </c>
      <c r="E358" s="20">
        <f t="shared" ref="E358:AL358" si="32">E347/E352</f>
        <v>0.21951407289297295</v>
      </c>
      <c r="F358" s="20">
        <f t="shared" si="32"/>
        <v>0.27979093698672458</v>
      </c>
      <c r="G358" s="20">
        <f t="shared" si="32"/>
        <v>0.45468811546335025</v>
      </c>
      <c r="H358" s="20">
        <f t="shared" si="32"/>
        <v>5.349853505309244E-2</v>
      </c>
      <c r="I358" s="20">
        <f t="shared" si="32"/>
        <v>0.33433926468150404</v>
      </c>
      <c r="J358" s="20">
        <f t="shared" si="32"/>
        <v>0.42544490620946873</v>
      </c>
      <c r="K358" s="20">
        <f t="shared" si="32"/>
        <v>0.14596692282783905</v>
      </c>
      <c r="L358" s="20">
        <f t="shared" si="32"/>
        <v>9.9115120689937442E-2</v>
      </c>
      <c r="M358" s="20">
        <f t="shared" si="32"/>
        <v>0.36696239467477665</v>
      </c>
      <c r="N358" s="20">
        <f>N347/N352</f>
        <v>0.21368581750139856</v>
      </c>
      <c r="O358" s="20">
        <f t="shared" si="32"/>
        <v>0</v>
      </c>
      <c r="P358" s="20">
        <f t="shared" si="32"/>
        <v>2.8205340861401935E-3</v>
      </c>
      <c r="Q358" s="20">
        <f t="shared" si="32"/>
        <v>0.31840826063732774</v>
      </c>
      <c r="R358" s="20">
        <f t="shared" si="32"/>
        <v>0.63794222476458695</v>
      </c>
      <c r="S358" s="20">
        <f t="shared" si="32"/>
        <v>0.3729163494078459</v>
      </c>
      <c r="T358" s="20">
        <f t="shared" si="32"/>
        <v>0</v>
      </c>
      <c r="U358" s="20">
        <f t="shared" si="32"/>
        <v>0.14966852564519662</v>
      </c>
      <c r="V358" s="20">
        <f t="shared" si="32"/>
        <v>0.51193644596481469</v>
      </c>
      <c r="W358" s="20">
        <f t="shared" si="32"/>
        <v>0.37495165717518691</v>
      </c>
      <c r="X358" s="20">
        <f t="shared" si="32"/>
        <v>0</v>
      </c>
      <c r="Y358" s="20">
        <f t="shared" si="32"/>
        <v>0.14513472317745482</v>
      </c>
      <c r="Z358" s="20">
        <f t="shared" si="32"/>
        <v>8.9490959914856935E-2</v>
      </c>
      <c r="AA358" s="20">
        <f t="shared" si="32"/>
        <v>0.43037108235517518</v>
      </c>
      <c r="AB358" s="20">
        <f t="shared" si="32"/>
        <v>0</v>
      </c>
      <c r="AC358" s="20">
        <f t="shared" si="32"/>
        <v>0.29149036046814625</v>
      </c>
      <c r="AD358" s="20">
        <f t="shared" si="32"/>
        <v>0.23536116569413737</v>
      </c>
      <c r="AE358" s="20">
        <f t="shared" si="32"/>
        <v>0.10117755401036381</v>
      </c>
      <c r="AF358" s="20">
        <f t="shared" si="32"/>
        <v>1.019579311178616E-2</v>
      </c>
      <c r="AG358" s="20">
        <f t="shared" si="32"/>
        <v>0.20676391299151534</v>
      </c>
      <c r="AH358" s="20">
        <f t="shared" si="32"/>
        <v>0.11333052460709006</v>
      </c>
      <c r="AI358" s="20">
        <f t="shared" si="32"/>
        <v>9.9404525114399726E-3</v>
      </c>
      <c r="AJ358" s="20">
        <f t="shared" si="32"/>
        <v>8.7873884853549342E-2</v>
      </c>
      <c r="AK358" s="20">
        <f t="shared" si="32"/>
        <v>0</v>
      </c>
      <c r="AL358" s="20">
        <f t="shared" si="32"/>
        <v>0</v>
      </c>
      <c r="AM358" s="20">
        <f>AM347/AM352</f>
        <v>0.15156636398726164</v>
      </c>
      <c r="AN358" s="20">
        <f>AN347/AN352</f>
        <v>0</v>
      </c>
      <c r="AO358" s="20">
        <f>AO347/AO352</f>
        <v>0.32425987384753252</v>
      </c>
      <c r="AP358" s="20">
        <f>AP347/AP352</f>
        <v>0</v>
      </c>
      <c r="AQ358" s="20">
        <f t="shared" ref="AQ358:AW358" si="33">AQ347/AQ352</f>
        <v>9.9859721823954885E-3</v>
      </c>
      <c r="AR358" s="20">
        <f t="shared" si="33"/>
        <v>0</v>
      </c>
      <c r="AS358" s="20">
        <f t="shared" si="33"/>
        <v>0.23030206740860243</v>
      </c>
      <c r="AT358" s="20" t="e">
        <f t="shared" si="33"/>
        <v>#DIV/0!</v>
      </c>
      <c r="AU358" s="20">
        <f t="shared" si="33"/>
        <v>0.32634465694186532</v>
      </c>
      <c r="AV358" s="20">
        <f t="shared" si="33"/>
        <v>0</v>
      </c>
      <c r="AW358" s="20">
        <f t="shared" si="33"/>
        <v>0</v>
      </c>
      <c r="AX358" s="20">
        <f>AX347/AX352</f>
        <v>0</v>
      </c>
      <c r="AY358" s="20">
        <f t="shared" ref="AY358:BI358" si="34">AY347/AY352</f>
        <v>0.47764980151340292</v>
      </c>
      <c r="AZ358" s="20">
        <f t="shared" si="34"/>
        <v>2.172217238006623E-2</v>
      </c>
      <c r="BA358" s="20">
        <f t="shared" si="34"/>
        <v>0</v>
      </c>
      <c r="BB358" s="20">
        <f t="shared" si="34"/>
        <v>0.32248376798080591</v>
      </c>
      <c r="BC358" s="20">
        <f t="shared" si="34"/>
        <v>0.63228780890487291</v>
      </c>
      <c r="BD358" s="20">
        <f t="shared" si="34"/>
        <v>2.3764406643610066E-2</v>
      </c>
      <c r="BE358" s="20">
        <f t="shared" si="34"/>
        <v>0.32142816253218837</v>
      </c>
      <c r="BF358" s="20">
        <f t="shared" si="34"/>
        <v>0.32142816253218837</v>
      </c>
      <c r="BG358" s="20">
        <f t="shared" si="34"/>
        <v>2.398221897005624E-2</v>
      </c>
      <c r="BH358" s="20">
        <f t="shared" si="34"/>
        <v>9.2407892051000834E-2</v>
      </c>
      <c r="BI358" s="20">
        <f t="shared" si="34"/>
        <v>0.64401009598106451</v>
      </c>
      <c r="BJ358" s="21"/>
    </row>
    <row r="359" spans="1:62" x14ac:dyDescent="0.25">
      <c r="A359" t="s">
        <v>611</v>
      </c>
      <c r="E359" s="20">
        <f t="shared" ref="E359:AL359" si="35">E348/E352</f>
        <v>0.14272058921822312</v>
      </c>
      <c r="F359" s="20">
        <f t="shared" si="35"/>
        <v>0.28053119029526041</v>
      </c>
      <c r="G359" s="20">
        <f t="shared" si="35"/>
        <v>4.5981786021795292E-4</v>
      </c>
      <c r="H359" s="20">
        <f t="shared" si="35"/>
        <v>2.3191153706950202E-2</v>
      </c>
      <c r="I359" s="20">
        <f t="shared" si="35"/>
        <v>6.2739930655174261E-2</v>
      </c>
      <c r="J359" s="20">
        <f t="shared" si="35"/>
        <v>4.168662620476169E-4</v>
      </c>
      <c r="K359" s="20">
        <f t="shared" si="35"/>
        <v>0</v>
      </c>
      <c r="L359" s="20">
        <f t="shared" si="35"/>
        <v>0.33717114741736998</v>
      </c>
      <c r="M359" s="20">
        <f t="shared" si="35"/>
        <v>5.9247566208095445E-2</v>
      </c>
      <c r="N359" s="20">
        <f>N348/N352</f>
        <v>0</v>
      </c>
      <c r="O359" s="20">
        <f t="shared" si="35"/>
        <v>0.17042608215603663</v>
      </c>
      <c r="P359" s="20">
        <f t="shared" si="35"/>
        <v>1.4848636303702997E-3</v>
      </c>
      <c r="Q359" s="20">
        <f t="shared" si="35"/>
        <v>6.3934583185546401E-2</v>
      </c>
      <c r="R359" s="20">
        <f t="shared" si="35"/>
        <v>5.3954319518816117E-3</v>
      </c>
      <c r="S359" s="20">
        <f t="shared" si="35"/>
        <v>0.27969978588563288</v>
      </c>
      <c r="T359" s="20">
        <f t="shared" si="35"/>
        <v>0</v>
      </c>
      <c r="U359" s="20">
        <f t="shared" si="35"/>
        <v>0</v>
      </c>
      <c r="V359" s="20">
        <f t="shared" si="35"/>
        <v>4.7457035274931983E-4</v>
      </c>
      <c r="W359" s="20">
        <f t="shared" si="35"/>
        <v>0.1157168456479348</v>
      </c>
      <c r="X359" s="20">
        <f t="shared" si="35"/>
        <v>0.81284207769962635</v>
      </c>
      <c r="Y359" s="20">
        <f t="shared" si="35"/>
        <v>0.27431977273069397</v>
      </c>
      <c r="Z359" s="20">
        <f t="shared" si="35"/>
        <v>0.34387949447952887</v>
      </c>
      <c r="AA359" s="20">
        <f t="shared" si="35"/>
        <v>4.4649950410960296E-4</v>
      </c>
      <c r="AB359" s="20">
        <f t="shared" si="35"/>
        <v>0.15715526796886289</v>
      </c>
      <c r="AC359" s="20">
        <f t="shared" si="35"/>
        <v>0.29738660937744554</v>
      </c>
      <c r="AD359" s="20">
        <f t="shared" si="35"/>
        <v>0.28376899026395652</v>
      </c>
      <c r="AE359" s="20">
        <f t="shared" si="35"/>
        <v>0.25757559060082835</v>
      </c>
      <c r="AF359" s="20">
        <f t="shared" si="35"/>
        <v>0.62122453522283816</v>
      </c>
      <c r="AG359" s="20">
        <f t="shared" si="35"/>
        <v>0.27657688274719949</v>
      </c>
      <c r="AH359" s="20">
        <f t="shared" si="35"/>
        <v>0.28176003487059592</v>
      </c>
      <c r="AI359" s="20">
        <f t="shared" si="35"/>
        <v>0.60195789815902634</v>
      </c>
      <c r="AJ359" s="20">
        <f t="shared" si="35"/>
        <v>0.34965179417727765</v>
      </c>
      <c r="AK359" s="20">
        <f t="shared" si="35"/>
        <v>0.11273022241298791</v>
      </c>
      <c r="AL359" s="20">
        <f t="shared" si="35"/>
        <v>0.11288933296299633</v>
      </c>
      <c r="AM359" s="20">
        <f>AM348/AM352</f>
        <v>0</v>
      </c>
      <c r="AN359" s="20">
        <f>AN348/AN352</f>
        <v>0.11277629221273108</v>
      </c>
      <c r="AO359" s="20">
        <f>AO348/AO352</f>
        <v>0.3080942537249648</v>
      </c>
      <c r="AP359" s="20">
        <f>AP348/AP352</f>
        <v>0.88325911882266561</v>
      </c>
      <c r="AQ359" s="20">
        <f t="shared" ref="AQ359:AW359" si="36">AQ348/AQ352</f>
        <v>0.6235054256883682</v>
      </c>
      <c r="AR359" s="20">
        <f t="shared" si="36"/>
        <v>0.90161738919464962</v>
      </c>
      <c r="AS359" s="20">
        <f t="shared" si="36"/>
        <v>0.231668020224778</v>
      </c>
      <c r="AT359" s="20" t="e">
        <f t="shared" si="36"/>
        <v>#DIV/0!</v>
      </c>
      <c r="AU359" s="20">
        <f t="shared" si="36"/>
        <v>0.12245302975836984</v>
      </c>
      <c r="AV359" s="20">
        <f t="shared" si="36"/>
        <v>0.89949758987540396</v>
      </c>
      <c r="AW359" s="20">
        <f t="shared" si="36"/>
        <v>0.87779494303253025</v>
      </c>
      <c r="AX359" s="20">
        <f>AX348/AX352</f>
        <v>0.80503979293743733</v>
      </c>
      <c r="AY359" s="20">
        <f t="shared" ref="AY359:BI359" si="37">AY348/AY352</f>
        <v>0.17524296991338636</v>
      </c>
      <c r="AZ359" s="20">
        <f t="shared" si="37"/>
        <v>0.82928660393750697</v>
      </c>
      <c r="BA359" s="20">
        <f t="shared" si="37"/>
        <v>0.8074776370974488</v>
      </c>
      <c r="BB359" s="20">
        <f t="shared" si="37"/>
        <v>0.30613281333352271</v>
      </c>
      <c r="BC359" s="20">
        <f t="shared" si="37"/>
        <v>4.88504039895762E-4</v>
      </c>
      <c r="BD359" s="20">
        <f t="shared" si="37"/>
        <v>0.83875522196572594</v>
      </c>
      <c r="BE359" s="20">
        <f t="shared" si="37"/>
        <v>0.31132584966746235</v>
      </c>
      <c r="BF359" s="20">
        <f t="shared" si="37"/>
        <v>0.31132584966746235</v>
      </c>
      <c r="BG359" s="20">
        <f t="shared" si="37"/>
        <v>0.84644357936733017</v>
      </c>
      <c r="BH359" s="20">
        <f t="shared" si="37"/>
        <v>0.25145244803361511</v>
      </c>
      <c r="BI359" s="20">
        <f t="shared" si="37"/>
        <v>4.9003051623339926E-4</v>
      </c>
      <c r="BJ359" s="21"/>
    </row>
    <row r="360" spans="1:62" x14ac:dyDescent="0.25">
      <c r="A360" t="s">
        <v>612</v>
      </c>
      <c r="E360" s="20">
        <f t="shared" ref="E360:AL360" si="38">E349/E352</f>
        <v>8.7567402204784373E-2</v>
      </c>
      <c r="F360" s="20">
        <f t="shared" si="38"/>
        <v>4.0185461020886132E-2</v>
      </c>
      <c r="G360" s="20">
        <f t="shared" si="38"/>
        <v>8.292136301530853E-2</v>
      </c>
      <c r="H360" s="20">
        <f t="shared" si="38"/>
        <v>0.89645607592718701</v>
      </c>
      <c r="I360" s="20">
        <f t="shared" si="38"/>
        <v>8.1985473896649882E-2</v>
      </c>
      <c r="J360" s="20">
        <f t="shared" si="38"/>
        <v>0.10298968052753327</v>
      </c>
      <c r="K360" s="20">
        <f t="shared" si="38"/>
        <v>5.4559173254520865E-2</v>
      </c>
      <c r="L360" s="20">
        <f t="shared" si="38"/>
        <v>5.5785673191482733E-2</v>
      </c>
      <c r="M360" s="20">
        <f t="shared" si="38"/>
        <v>0.12311647972186601</v>
      </c>
      <c r="N360" s="20">
        <f>N349/N352</f>
        <v>0</v>
      </c>
      <c r="O360" s="20">
        <f t="shared" si="38"/>
        <v>0</v>
      </c>
      <c r="P360" s="20">
        <f t="shared" si="38"/>
        <v>0.1080489107499886</v>
      </c>
      <c r="Q360" s="20">
        <f t="shared" si="38"/>
        <v>0</v>
      </c>
      <c r="R360" s="20">
        <f t="shared" si="38"/>
        <v>2.2442843337688446E-3</v>
      </c>
      <c r="S360" s="20">
        <f t="shared" si="38"/>
        <v>-1.1146834625448378E-2</v>
      </c>
      <c r="T360" s="20">
        <f t="shared" si="38"/>
        <v>0</v>
      </c>
      <c r="U360" s="20">
        <f t="shared" si="38"/>
        <v>1.2945669969983186E-2</v>
      </c>
      <c r="V360" s="20">
        <f t="shared" si="38"/>
        <v>0.11308712188929169</v>
      </c>
      <c r="W360" s="20">
        <f t="shared" si="38"/>
        <v>0.11910384944436134</v>
      </c>
      <c r="X360" s="20">
        <f t="shared" si="38"/>
        <v>0</v>
      </c>
      <c r="Y360" s="20">
        <f t="shared" si="38"/>
        <v>9.2240996355164875E-2</v>
      </c>
      <c r="Z360" s="20">
        <f t="shared" si="38"/>
        <v>0</v>
      </c>
      <c r="AA360" s="20">
        <f t="shared" si="38"/>
        <v>4.2204382181908771E-2</v>
      </c>
      <c r="AB360" s="20">
        <f t="shared" si="38"/>
        <v>0</v>
      </c>
      <c r="AC360" s="20">
        <f t="shared" si="38"/>
        <v>4.4811729473783229E-2</v>
      </c>
      <c r="AD360" s="20">
        <f t="shared" si="38"/>
        <v>0</v>
      </c>
      <c r="AE360" s="20">
        <f t="shared" si="38"/>
        <v>0.10731139943382872</v>
      </c>
      <c r="AF360" s="20">
        <f t="shared" si="38"/>
        <v>-1.8617247523566784E-2</v>
      </c>
      <c r="AG360" s="20">
        <f t="shared" si="38"/>
        <v>3.4716270666193975E-2</v>
      </c>
      <c r="AH360" s="20">
        <f t="shared" si="38"/>
        <v>9.1538914724564782E-2</v>
      </c>
      <c r="AI360" s="20">
        <f t="shared" si="38"/>
        <v>1.8785336363675856E-2</v>
      </c>
      <c r="AJ360" s="20">
        <f t="shared" si="38"/>
        <v>2.5431883505403495E-5</v>
      </c>
      <c r="AK360" s="20">
        <f t="shared" si="38"/>
        <v>4.0890201678747565E-5</v>
      </c>
      <c r="AL360" s="20">
        <f t="shared" si="38"/>
        <v>1.9936848434764753E-5</v>
      </c>
      <c r="AM360" s="20">
        <f>AM349/AM352</f>
        <v>1.2991041834424387E-2</v>
      </c>
      <c r="AN360" s="20">
        <f>AN349/AN352</f>
        <v>3.16648284077378E-5</v>
      </c>
      <c r="AO360" s="20">
        <f>AO349/AO352</f>
        <v>-1.3543759578061419E-2</v>
      </c>
      <c r="AP360" s="20">
        <f>AP349/AP352</f>
        <v>0</v>
      </c>
      <c r="AQ360" s="20">
        <f t="shared" ref="AQ360:AW360" si="39">AQ349/AQ352</f>
        <v>-6.6388536384148888E-3</v>
      </c>
      <c r="AR360" s="20">
        <f t="shared" si="39"/>
        <v>0</v>
      </c>
      <c r="AS360" s="20">
        <f t="shared" si="39"/>
        <v>-9.826747378731196E-3</v>
      </c>
      <c r="AT360" s="20" t="e">
        <f t="shared" si="39"/>
        <v>#DIV/0!</v>
      </c>
      <c r="AU360" s="20">
        <f t="shared" si="39"/>
        <v>-2.9446663051368219E-3</v>
      </c>
      <c r="AV360" s="20">
        <f t="shared" si="39"/>
        <v>0</v>
      </c>
      <c r="AW360" s="20">
        <f t="shared" si="39"/>
        <v>0</v>
      </c>
      <c r="AX360" s="20">
        <f>AX349/AX352</f>
        <v>0</v>
      </c>
      <c r="AY360" s="20">
        <f t="shared" ref="AY360:BI360" si="40">AY349/AY352</f>
        <v>0</v>
      </c>
      <c r="AZ360" s="20">
        <f t="shared" si="40"/>
        <v>0</v>
      </c>
      <c r="BA360" s="20">
        <f t="shared" si="40"/>
        <v>0</v>
      </c>
      <c r="BB360" s="20">
        <f t="shared" si="40"/>
        <v>-1.3148953223208701E-2</v>
      </c>
      <c r="BC360" s="20">
        <f t="shared" si="40"/>
        <v>0</v>
      </c>
      <c r="BD360" s="20">
        <f t="shared" si="40"/>
        <v>0</v>
      </c>
      <c r="BE360" s="20">
        <f t="shared" si="40"/>
        <v>-1.4104996063760714E-2</v>
      </c>
      <c r="BF360" s="20">
        <f t="shared" si="40"/>
        <v>-1.4104996063760714E-2</v>
      </c>
      <c r="BG360" s="20">
        <f t="shared" si="40"/>
        <v>0</v>
      </c>
      <c r="BH360" s="20">
        <f t="shared" si="40"/>
        <v>0</v>
      </c>
      <c r="BI360" s="20">
        <f t="shared" si="40"/>
        <v>0</v>
      </c>
      <c r="BJ360" s="21"/>
    </row>
    <row r="361" spans="1:62" x14ac:dyDescent="0.25">
      <c r="A361" t="s">
        <v>613</v>
      </c>
      <c r="E361" s="20">
        <f t="shared" ref="E361:M361" si="41">E350/E352</f>
        <v>0.21938310362448607</v>
      </c>
      <c r="F361" s="20">
        <f t="shared" si="41"/>
        <v>7.4017834105029198E-2</v>
      </c>
      <c r="G361" s="20">
        <f t="shared" si="41"/>
        <v>7.1332833836348461E-2</v>
      </c>
      <c r="H361" s="20">
        <f t="shared" si="41"/>
        <v>2.6879431266033735E-2</v>
      </c>
      <c r="I361" s="20">
        <f t="shared" si="41"/>
        <v>7.6947039057410085E-2</v>
      </c>
      <c r="J361" s="20">
        <f t="shared" si="41"/>
        <v>6.6452785900776898E-2</v>
      </c>
      <c r="K361" s="20">
        <f t="shared" si="41"/>
        <v>-6.074237801348989E-4</v>
      </c>
      <c r="L361" s="20">
        <f t="shared" si="41"/>
        <v>0.24736562715891108</v>
      </c>
      <c r="M361" s="20">
        <f t="shared" si="41"/>
        <v>0.19681656102263562</v>
      </c>
      <c r="N361" s="20">
        <f>N350/N352</f>
        <v>-4.1265602634889113E-4</v>
      </c>
      <c r="O361" s="20">
        <f t="shared" ref="O361:AL361" si="42">O350/O352</f>
        <v>2.0793714914392102E-2</v>
      </c>
      <c r="P361" s="20">
        <f t="shared" si="42"/>
        <v>6.7617153635256472E-2</v>
      </c>
      <c r="Q361" s="20">
        <f t="shared" si="42"/>
        <v>1.2809592654205866E-2</v>
      </c>
      <c r="R361" s="20">
        <f t="shared" si="42"/>
        <v>4.5832638743154214E-2</v>
      </c>
      <c r="S361" s="20">
        <f t="shared" si="42"/>
        <v>4.0992390935889814E-2</v>
      </c>
      <c r="T361" s="20">
        <f t="shared" si="42"/>
        <v>-8.8368709563198841E-4</v>
      </c>
      <c r="U361" s="20">
        <f t="shared" si="42"/>
        <v>-5.7078253807850887E-4</v>
      </c>
      <c r="V361" s="20">
        <f t="shared" si="42"/>
        <v>6.2102194078759498E-2</v>
      </c>
      <c r="W361" s="20">
        <f t="shared" si="42"/>
        <v>7.9218019328167327E-2</v>
      </c>
      <c r="X361" s="20">
        <f t="shared" si="42"/>
        <v>8.539285049326571E-4</v>
      </c>
      <c r="Y361" s="20">
        <f t="shared" si="42"/>
        <v>0.16120095595526396</v>
      </c>
      <c r="Z361" s="20">
        <f t="shared" si="42"/>
        <v>-6.2249670004357605E-3</v>
      </c>
      <c r="AA361" s="20">
        <f t="shared" si="42"/>
        <v>6.4428533793594797E-2</v>
      </c>
      <c r="AB361" s="20">
        <f t="shared" si="42"/>
        <v>1.5617256718096544E-2</v>
      </c>
      <c r="AC361" s="20">
        <f t="shared" si="42"/>
        <v>6.0750455663091264E-2</v>
      </c>
      <c r="AD361" s="20">
        <f t="shared" si="42"/>
        <v>8.0214928006688488E-3</v>
      </c>
      <c r="AE361" s="20">
        <f t="shared" si="42"/>
        <v>0.21200239803215354</v>
      </c>
      <c r="AF361" s="20">
        <f t="shared" si="42"/>
        <v>4.2297962734985768E-2</v>
      </c>
      <c r="AG361" s="20">
        <f t="shared" si="42"/>
        <v>1.1047441136361101E-2</v>
      </c>
      <c r="AH361" s="20">
        <f t="shared" si="42"/>
        <v>0.23610976675650386</v>
      </c>
      <c r="AI361" s="20">
        <f t="shared" si="42"/>
        <v>5.8679378636984372E-2</v>
      </c>
      <c r="AJ361" s="20">
        <f t="shared" si="42"/>
        <v>-6.389647374550886E-3</v>
      </c>
      <c r="AK361" s="20">
        <f t="shared" si="42"/>
        <v>3.0063719593508682E-2</v>
      </c>
      <c r="AL361" s="20">
        <f t="shared" si="42"/>
        <v>3.0044758574407898E-2</v>
      </c>
      <c r="AM361" s="20">
        <f>AM350/AM352</f>
        <v>-6.5596652812876372E-4</v>
      </c>
      <c r="AN361" s="20">
        <f>AN350/AN352</f>
        <v>2.9951263887575311E-2</v>
      </c>
      <c r="AO361" s="20">
        <f>AO350/AO352</f>
        <v>2.6101014904322109E-2</v>
      </c>
      <c r="AP361" s="20">
        <f>AP350/AP352</f>
        <v>-3.0094575328041244E-4</v>
      </c>
      <c r="AQ361" s="20">
        <f t="shared" ref="AQ361:AW361" si="43">AQ350/AQ352</f>
        <v>2.529810842487051E-2</v>
      </c>
      <c r="AR361" s="20">
        <f t="shared" si="43"/>
        <v>-8.8015073023057144E-4</v>
      </c>
      <c r="AS361" s="20">
        <f t="shared" si="43"/>
        <v>4.3803450404137828E-2</v>
      </c>
      <c r="AT361" s="20" t="e">
        <f t="shared" si="43"/>
        <v>#DIV/0!</v>
      </c>
      <c r="AU361" s="20">
        <f t="shared" si="43"/>
        <v>1.9228272048900416E-2</v>
      </c>
      <c r="AV361" s="20">
        <f t="shared" si="43"/>
        <v>1.7967077624336268E-4</v>
      </c>
      <c r="AW361" s="20">
        <f t="shared" si="43"/>
        <v>-4.1724060102133029E-4</v>
      </c>
      <c r="AX361" s="20">
        <f>AX350/AX352</f>
        <v>5.0951290040606746E-4</v>
      </c>
      <c r="AY361" s="20">
        <f t="shared" ref="AY361:BI361" si="44">AY350/AY352</f>
        <v>3.8765699304991651E-2</v>
      </c>
      <c r="AZ361" s="20">
        <f t="shared" si="44"/>
        <v>5.7713277518616386E-2</v>
      </c>
      <c r="BA361" s="20">
        <f t="shared" si="44"/>
        <v>9.4148115217165546E-4</v>
      </c>
      <c r="BB361" s="20">
        <f t="shared" si="44"/>
        <v>2.6248742906589708E-2</v>
      </c>
      <c r="BC361" s="20">
        <f t="shared" si="44"/>
        <v>3.46662860273153E-2</v>
      </c>
      <c r="BD361" s="20">
        <f t="shared" si="44"/>
        <v>6.3282158001346053E-2</v>
      </c>
      <c r="BE361" s="20">
        <f t="shared" si="44"/>
        <v>2.6774157720631228E-2</v>
      </c>
      <c r="BF361" s="20">
        <f t="shared" si="44"/>
        <v>2.6774157720631228E-2</v>
      </c>
      <c r="BG361" s="20">
        <f t="shared" si="44"/>
        <v>6.3654691832842253E-2</v>
      </c>
      <c r="BH361" s="20">
        <f t="shared" si="44"/>
        <v>-2.3014349866878094E-3</v>
      </c>
      <c r="BI361" s="20">
        <f t="shared" si="44"/>
        <v>3.5440161007708318E-2</v>
      </c>
      <c r="BJ361" s="21"/>
    </row>
    <row r="362" spans="1:62" x14ac:dyDescent="0.25">
      <c r="A362" s="21" t="s">
        <v>695</v>
      </c>
      <c r="B362" s="21"/>
      <c r="C362" s="21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  <c r="AH362" s="21"/>
      <c r="AI362" s="21"/>
      <c r="AJ362" s="21"/>
      <c r="AK362" s="21"/>
      <c r="AL362" s="21"/>
      <c r="AM362" s="21"/>
      <c r="AN362" s="21"/>
      <c r="AO362" s="21"/>
      <c r="AP362" s="21"/>
      <c r="AQ362" s="21"/>
      <c r="AR362" s="21"/>
      <c r="AS362" s="21"/>
      <c r="AT362" s="21"/>
      <c r="AU362" s="21"/>
      <c r="AV362" s="21"/>
      <c r="AW362" s="21"/>
      <c r="AX362" s="21"/>
      <c r="AY362" s="21"/>
      <c r="AZ362" s="21"/>
      <c r="BA362" s="21"/>
      <c r="BB362" s="21"/>
      <c r="BC362" s="21"/>
      <c r="BD362" s="21"/>
      <c r="BE362" s="21"/>
      <c r="BF362" s="21"/>
      <c r="BG362" s="21"/>
      <c r="BH362" s="21"/>
      <c r="BI362" s="21"/>
      <c r="BJ362" s="21"/>
    </row>
  </sheetData>
  <mergeCells count="3">
    <mergeCell ref="A3:BI3"/>
    <mergeCell ref="A362:BI362"/>
    <mergeCell ref="BJ3:BJ362"/>
  </mergeCells>
  <conditionalFormatting sqref="A19:A35">
    <cfRule type="cellIs" dxfId="3" priority="17" stopIfTrue="1" operator="lessThan">
      <formula>0</formula>
    </cfRule>
  </conditionalFormatting>
  <conditionalFormatting sqref="B25:B35">
    <cfRule type="cellIs" dxfId="2" priority="26" stopIfTrue="1" operator="lessThan">
      <formula>0</formula>
    </cfRule>
  </conditionalFormatting>
  <conditionalFormatting sqref="C18:D26">
    <cfRule type="cellIs" dxfId="1" priority="18" stopIfTrue="1" operator="lessThan">
      <formula>0</formula>
    </cfRule>
  </conditionalFormatting>
  <conditionalFormatting sqref="E17:BI25">
    <cfRule type="cellIs" dxfId="0" priority="1" stopIfTrue="1" operator="lessThan">
      <formula>0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A316BE08C83926469E01954DBB50B1CF" ma:contentTypeVersion="57" ma:contentTypeDescription="צור מסמך חדש." ma:contentTypeScope="" ma:versionID="88846259896006661451f43edd8d670e">
  <xsd:schema xmlns:xsd="http://www.w3.org/2001/XMLSchema" xmlns:xs="http://www.w3.org/2001/XMLSchema" xmlns:p="http://schemas.microsoft.com/office/2006/metadata/properties" xmlns:ns2="7c67d0cd-db71-4ceb-ba14-b5862b768686" xmlns:ns3="e7c93c0b-31f4-4d6d-a404-57fd37393f5c" targetNamespace="http://schemas.microsoft.com/office/2006/metadata/properties" ma:root="true" ma:fieldsID="518585d3c03b905f732db284d8a74df5" ns2:_="" ns3:_="">
    <xsd:import namespace="7c67d0cd-db71-4ceb-ba14-b5862b768686"/>
    <xsd:import namespace="e7c93c0b-31f4-4d6d-a404-57fd37393f5c"/>
    <xsd:element name="properties">
      <xsd:complexType>
        <xsd:sequence>
          <xsd:element name="documentManagement">
            <xsd:complexType>
              <xsd:all>
                <xsd:element ref="ns2:KupotIsHidden" minOccurs="0"/>
                <xsd:element ref="ns3:Category"/>
                <xsd:element ref="ns3:kupa_ktp" minOccurs="0"/>
                <xsd:element ref="ns3:kupa_tagmulim" minOccurs="0"/>
                <xsd:element ref="ns3:Kupa_kgl" minOccurs="0"/>
                <xsd:element ref="ns3:Kupa_Hishtalmut" minOccurs="0"/>
                <xsd:element ref="ns3:Kupa_kml" minOccurs="0"/>
                <xsd:element ref="ns3:Kupa_hl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67d0cd-db71-4ceb-ba14-b5862b768686" elementFormDefault="qualified">
    <xsd:import namespace="http://schemas.microsoft.com/office/2006/documentManagement/types"/>
    <xsd:import namespace="http://schemas.microsoft.com/office/infopath/2007/PartnerControls"/>
    <xsd:element name="KupotIsHidden" ma:index="2" nillable="true" ma:displayName="האם מוסתר" ma:default="0" ma:internalName="KupotIsHidden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93c0b-31f4-4d6d-a404-57fd37393f5c" elementFormDefault="qualified">
    <xsd:import namespace="http://schemas.microsoft.com/office/2006/documentManagement/types"/>
    <xsd:import namespace="http://schemas.microsoft.com/office/infopath/2007/PartnerControls"/>
    <xsd:element name="Category" ma:index="3" ma:displayName="קטגוריה" ma:list="{f5f4faa8-66df-4408-84bb-4d6db3e5f2c7}" ma:internalName="Category" ma:readOnly="false" ma:showField="Title">
      <xsd:simpleType>
        <xsd:restriction base="dms:Lookup"/>
      </xsd:simpleType>
    </xsd:element>
    <xsd:element name="kupa_ktp" ma:index="4" nillable="true" ma:displayName="שיוך לקופות תגמולים ופיצויים" ma:description="שיוך לקופות תגמולים ופיצויים" ma:list="{763891f0-3d44-4a85-960a-71e94bff38e3}" ma:internalName="kupa_ktp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tagmulim" ma:index="5" nillable="true" ma:displayName="שיוך לקופת תגמולים" ma:list="{505babb9-963f-493a-9c84-f3592782ad29}" ma:internalName="kupa_tagmulim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gl" ma:index="6" nillable="true" ma:displayName="שיוך לקופת גמל והשקעה" ma:list="{c9e47831-bd9a-4373-857c-573decdec21e}" ma:internalName="Kupa_kg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ishtalmut" ma:index="7" nillable="true" ma:displayName="שיוך לקופת גמל השתלמות" ma:list="{92efcb00-7ec5-4c24-acc8-93a4fd9f89bd}" ma:internalName="Kupa_Hishtalmut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kml" ma:index="8" nillable="true" ma:displayName="שיוך לקופה מרכזית לפיצויים" ma:list="{8977dd3e-4455-4c9c-8ca5-39e21ff81916}" ma:internalName="Kupa_kml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Kupa_hly" ma:index="9" nillable="true" ma:displayName="שיוך לקופת חיסכון לכל ילד" ma:list="{e96ab951-ee60-47b3-8728-1be65f70838a}" ma:internalName="Kupa_hly" ma:readOnly="false" ma:showField="Titl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סוג תוכן"/>
        <xsd:element ref="dc:title" minOccurs="0" maxOccurs="1" ma:index="1" ma:displayName="תאור מסמך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KupotIsHidden xmlns="7c67d0cd-db71-4ceb-ba14-b5862b768686">false</KupotIsHidden>
    <Category xmlns="e7c93c0b-31f4-4d6d-a404-57fd37393f5c">1</Category>
    <Kupa_kml xmlns="e7c93c0b-31f4-4d6d-a404-57fd37393f5c">
      <Value>12</Value>
      <Value>1</Value>
      <Value>2</Value>
      <Value>3</Value>
      <Value>4</Value>
      <Value>5</Value>
      <Value>6</Value>
      <Value>7</Value>
      <Value>8</Value>
      <Value>9</Value>
      <Value>10</Value>
      <Value>11</Value>
    </Kupa_kml>
    <kupa_ktp xmlns="e7c93c0b-31f4-4d6d-a404-57fd37393f5c">
      <Value>14</Value>
      <Value>15</Value>
      <Value>19</Value>
      <Value>20</Value>
      <Value>21</Value>
      <Value>22</Value>
      <Value>6</Value>
      <Value>2</Value>
      <Value>3</Value>
      <Value>4</Value>
      <Value>9</Value>
      <Value>5</Value>
      <Value>11</Value>
      <Value>12</Value>
    </kupa_ktp>
    <Kupa_Hishtalmut xmlns="e7c93c0b-31f4-4d6d-a404-57fd37393f5c">
      <Value>6</Value>
      <Value>13</Value>
      <Value>14</Value>
      <Value>16</Value>
      <Value>17</Value>
      <Value>18</Value>
      <Value>9</Value>
      <Value>2</Value>
      <Value>3</Value>
      <Value>11</Value>
      <Value>12</Value>
      <Value>4</Value>
      <Value>5</Value>
    </Kupa_Hishtalmut>
    <kupa_tagmulim xmlns="e7c93c0b-31f4-4d6d-a404-57fd37393f5c"/>
    <Kupa_hly xmlns="e7c93c0b-31f4-4d6d-a404-57fd37393f5c">
      <Value>1</Value>
      <Value>2</Value>
      <Value>3</Value>
      <Value>4</Value>
      <Value>5</Value>
    </Kupa_hly>
    <Kupa_kgl xmlns="e7c93c0b-31f4-4d6d-a404-57fd37393f5c">
      <Value>8</Value>
      <Value>9</Value>
      <Value>11</Value>
      <Value>12</Value>
      <Value>13</Value>
      <Value>1</Value>
      <Value>2</Value>
      <Value>3</Value>
      <Value>4</Value>
      <Value>5</Value>
      <Value>6</Value>
      <Value>7</Value>
    </Kupa_kgl>
  </documentManagement>
</p:properties>
</file>

<file path=customXml/itemProps1.xml><?xml version="1.0" encoding="utf-8"?>
<ds:datastoreItem xmlns:ds="http://schemas.openxmlformats.org/officeDocument/2006/customXml" ds:itemID="{9124F19F-2AB0-49E0-83F7-887B554BA216}"/>
</file>

<file path=customXml/itemProps2.xml><?xml version="1.0" encoding="utf-8"?>
<ds:datastoreItem xmlns:ds="http://schemas.openxmlformats.org/officeDocument/2006/customXml" ds:itemID="{12D2B598-510A-4060-9918-38852C726C8A}"/>
</file>

<file path=customXml/itemProps3.xml><?xml version="1.0" encoding="utf-8"?>
<ds:datastoreItem xmlns:ds="http://schemas.openxmlformats.org/officeDocument/2006/customXml" ds:itemID="{1D47D898-95A1-4559-960B-6BEA9AA119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UMTB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דוח חודשי 4/2025</dc:title>
  <dc:creator>פרידמן אמיר</dc:creator>
  <cp:lastModifiedBy>Tami Berman</cp:lastModifiedBy>
  <dcterms:created xsi:type="dcterms:W3CDTF">2025-05-18T11:09:41Z</dcterms:created>
  <dcterms:modified xsi:type="dcterms:W3CDTF">2025-05-22T17:46:27Z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0x010100A316BE08C83926469E01954DBB50B1CF</vt:lpwstr>
  </property>
</Properties>
</file>