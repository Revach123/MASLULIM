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f22338\Desktop\מחשב ישן\משימות הזנת תוכן אתר\שנת 2026\ספטמבר26\170926\מטי לנדו-דוח חודשי גמל 8-26\"/>
    </mc:Choice>
  </mc:AlternateContent>
  <bookViews>
    <workbookView xWindow="-120" yWindow="-120" windowWidth="29040" windowHeight="15720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I353" i="1" l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W350" i="1" s="1"/>
  <c r="AW352" i="1" s="1"/>
  <c r="AV343" i="1"/>
  <c r="AV350" i="1" s="1"/>
  <c r="AV352" i="1" s="1"/>
  <c r="AU343" i="1"/>
  <c r="AU350" i="1" s="1"/>
  <c r="AU352" i="1" s="1"/>
  <c r="AT343" i="1"/>
  <c r="AS343" i="1"/>
  <c r="AS350" i="1" s="1"/>
  <c r="AS352" i="1" s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C350" i="1" s="1"/>
  <c r="AB343" i="1"/>
  <c r="AA343" i="1"/>
  <c r="AA350" i="1" s="1"/>
  <c r="Z343" i="1"/>
  <c r="Z350" i="1" s="1"/>
  <c r="Y343" i="1"/>
  <c r="Y350" i="1" s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AB350" i="1" l="1"/>
  <c r="AC357" i="1"/>
  <c r="AC352" i="1"/>
  <c r="AU359" i="1"/>
  <c r="AS359" i="1"/>
  <c r="AU354" i="1"/>
  <c r="AV359" i="1"/>
  <c r="AU357" i="1"/>
  <c r="AS357" i="1"/>
  <c r="AS356" i="1"/>
  <c r="AV358" i="1"/>
  <c r="BD350" i="1"/>
  <c r="BD352" i="1" s="1"/>
  <c r="AU356" i="1"/>
  <c r="AC359" i="1"/>
  <c r="AV356" i="1"/>
  <c r="AV357" i="1"/>
  <c r="AS355" i="1"/>
  <c r="AV354" i="1"/>
  <c r="AS358" i="1"/>
  <c r="AU358" i="1"/>
  <c r="M350" i="1"/>
  <c r="M352" i="1" s="1"/>
  <c r="AP350" i="1"/>
  <c r="AP352" i="1" s="1"/>
  <c r="AS354" i="1"/>
  <c r="AJ350" i="1"/>
  <c r="AJ352" i="1" s="1"/>
  <c r="AQ350" i="1"/>
  <c r="AQ352" i="1" s="1"/>
  <c r="AU355" i="1"/>
  <c r="AR350" i="1"/>
  <c r="AR352" i="1" s="1"/>
  <c r="AV355" i="1"/>
  <c r="AT350" i="1"/>
  <c r="AT352" i="1" s="1"/>
  <c r="AP355" i="1"/>
  <c r="AR355" i="1"/>
  <c r="AR357" i="1"/>
  <c r="Y357" i="1"/>
  <c r="Y352" i="1"/>
  <c r="Y356" i="1"/>
  <c r="Y355" i="1"/>
  <c r="Y354" i="1"/>
  <c r="Y358" i="1"/>
  <c r="Y359" i="1"/>
  <c r="AR359" i="1"/>
  <c r="Z352" i="1"/>
  <c r="Z357" i="1"/>
  <c r="Z356" i="1"/>
  <c r="Z355" i="1"/>
  <c r="Z354" i="1"/>
  <c r="Z358" i="1"/>
  <c r="Z359" i="1"/>
  <c r="AA352" i="1"/>
  <c r="AA357" i="1"/>
  <c r="AA354" i="1"/>
  <c r="AA356" i="1"/>
  <c r="AA355" i="1"/>
  <c r="AA358" i="1"/>
  <c r="AA359" i="1"/>
  <c r="AB352" i="1"/>
  <c r="AB356" i="1"/>
  <c r="AB357" i="1"/>
  <c r="AB355" i="1"/>
  <c r="AB354" i="1"/>
  <c r="AB358" i="1"/>
  <c r="AB359" i="1"/>
  <c r="F350" i="1"/>
  <c r="F352" i="1" s="1"/>
  <c r="G350" i="1"/>
  <c r="G352" i="1" s="1"/>
  <c r="H350" i="1"/>
  <c r="H352" i="1" s="1"/>
  <c r="AW354" i="1"/>
  <c r="AW356" i="1"/>
  <c r="AC358" i="1"/>
  <c r="AW358" i="1"/>
  <c r="AW359" i="1"/>
  <c r="V350" i="1"/>
  <c r="V355" i="1" s="1"/>
  <c r="W350" i="1"/>
  <c r="W358" i="1" s="1"/>
  <c r="I350" i="1"/>
  <c r="AC354" i="1"/>
  <c r="AW355" i="1"/>
  <c r="X350" i="1"/>
  <c r="X354" i="1" s="1"/>
  <c r="M355" i="1"/>
  <c r="AG356" i="1"/>
  <c r="M359" i="1"/>
  <c r="AC355" i="1"/>
  <c r="AC356" i="1"/>
  <c r="AW357" i="1"/>
  <c r="L355" i="1"/>
  <c r="BB357" i="1"/>
  <c r="BD357" i="1"/>
  <c r="AN357" i="1"/>
  <c r="J350" i="1"/>
  <c r="J352" i="1" s="1"/>
  <c r="AD350" i="1"/>
  <c r="AD352" i="1" s="1"/>
  <c r="AX350" i="1"/>
  <c r="AX352" i="1" s="1"/>
  <c r="K350" i="1"/>
  <c r="K352" i="1" s="1"/>
  <c r="AE350" i="1"/>
  <c r="AE352" i="1" s="1"/>
  <c r="AY350" i="1"/>
  <c r="AY352" i="1" s="1"/>
  <c r="L350" i="1"/>
  <c r="L352" i="1" s="1"/>
  <c r="AF350" i="1"/>
  <c r="AF352" i="1" s="1"/>
  <c r="AZ350" i="1"/>
  <c r="AZ352" i="1" s="1"/>
  <c r="AG350" i="1"/>
  <c r="AG352" i="1" s="1"/>
  <c r="N350" i="1"/>
  <c r="N352" i="1" s="1"/>
  <c r="AH350" i="1"/>
  <c r="AH352" i="1" s="1"/>
  <c r="BB350" i="1"/>
  <c r="BB352" i="1" s="1"/>
  <c r="BA350" i="1"/>
  <c r="BA352" i="1" s="1"/>
  <c r="O350" i="1"/>
  <c r="O352" i="1" s="1"/>
  <c r="AI350" i="1"/>
  <c r="AI352" i="1" s="1"/>
  <c r="BC350" i="1"/>
  <c r="BC352" i="1" s="1"/>
  <c r="Q350" i="1"/>
  <c r="Q352" i="1" s="1"/>
  <c r="AK350" i="1"/>
  <c r="AK352" i="1" s="1"/>
  <c r="BE350" i="1"/>
  <c r="BE352" i="1" s="1"/>
  <c r="R350" i="1"/>
  <c r="R352" i="1" s="1"/>
  <c r="AL350" i="1"/>
  <c r="AL352" i="1" s="1"/>
  <c r="BF350" i="1"/>
  <c r="BF352" i="1" s="1"/>
  <c r="P350" i="1"/>
  <c r="P352" i="1" s="1"/>
  <c r="S350" i="1"/>
  <c r="S352" i="1" s="1"/>
  <c r="AM350" i="1"/>
  <c r="AM352" i="1" s="1"/>
  <c r="BG350" i="1"/>
  <c r="BG352" i="1" s="1"/>
  <c r="T350" i="1"/>
  <c r="T352" i="1" s="1"/>
  <c r="AN350" i="1"/>
  <c r="AN352" i="1" s="1"/>
  <c r="BH350" i="1"/>
  <c r="BH352" i="1" s="1"/>
  <c r="U350" i="1"/>
  <c r="U352" i="1" s="1"/>
  <c r="AO350" i="1"/>
  <c r="AO352" i="1" s="1"/>
  <c r="BI350" i="1"/>
  <c r="BI352" i="1" s="1"/>
  <c r="BD354" i="1" l="1"/>
  <c r="AG355" i="1"/>
  <c r="AF354" i="1"/>
  <c r="BD359" i="1"/>
  <c r="AF359" i="1"/>
  <c r="BD358" i="1"/>
  <c r="AJ358" i="1"/>
  <c r="BA359" i="1"/>
  <c r="AQ355" i="1"/>
  <c r="O355" i="1"/>
  <c r="AG354" i="1"/>
  <c r="AO359" i="1"/>
  <c r="X359" i="1"/>
  <c r="T358" i="1"/>
  <c r="N358" i="1"/>
  <c r="U354" i="1"/>
  <c r="H359" i="1"/>
  <c r="X358" i="1"/>
  <c r="T357" i="1"/>
  <c r="BB356" i="1"/>
  <c r="AQ358" i="1"/>
  <c r="AQ356" i="1"/>
  <c r="AF356" i="1"/>
  <c r="BA358" i="1"/>
  <c r="W354" i="1"/>
  <c r="AI358" i="1"/>
  <c r="H356" i="1"/>
  <c r="BH359" i="1"/>
  <c r="AM358" i="1"/>
  <c r="Q355" i="1"/>
  <c r="O358" i="1"/>
  <c r="AH356" i="1"/>
  <c r="BA356" i="1"/>
  <c r="AZ358" i="1"/>
  <c r="U356" i="1"/>
  <c r="H355" i="1"/>
  <c r="AM356" i="1"/>
  <c r="BG358" i="1"/>
  <c r="U357" i="1"/>
  <c r="M357" i="1"/>
  <c r="AN359" i="1"/>
  <c r="S358" i="1"/>
  <c r="N356" i="1"/>
  <c r="L358" i="1"/>
  <c r="BI355" i="1"/>
  <c r="T359" i="1"/>
  <c r="S357" i="1"/>
  <c r="AJ359" i="1"/>
  <c r="AH358" i="1"/>
  <c r="AF358" i="1"/>
  <c r="BI354" i="1"/>
  <c r="M356" i="1"/>
  <c r="AO354" i="1"/>
  <c r="AQ357" i="1"/>
  <c r="AP356" i="1"/>
  <c r="BG356" i="1"/>
  <c r="AP359" i="1"/>
  <c r="M354" i="1"/>
  <c r="S354" i="1"/>
  <c r="AH357" i="1"/>
  <c r="H358" i="1"/>
  <c r="AP358" i="1"/>
  <c r="T356" i="1"/>
  <c r="U359" i="1"/>
  <c r="AJ356" i="1"/>
  <c r="N357" i="1"/>
  <c r="L354" i="1"/>
  <c r="M358" i="1"/>
  <c r="H357" i="1"/>
  <c r="AP357" i="1"/>
  <c r="F359" i="1"/>
  <c r="P357" i="1"/>
  <c r="F358" i="1"/>
  <c r="AY355" i="1"/>
  <c r="P355" i="1"/>
  <c r="BA355" i="1"/>
  <c r="F357" i="1"/>
  <c r="G354" i="1"/>
  <c r="BD355" i="1"/>
  <c r="AO355" i="1"/>
  <c r="BH357" i="1"/>
  <c r="AL354" i="1"/>
  <c r="P354" i="1"/>
  <c r="J354" i="1"/>
  <c r="F356" i="1"/>
  <c r="AT354" i="1"/>
  <c r="AJ357" i="1"/>
  <c r="AR356" i="1"/>
  <c r="AN354" i="1"/>
  <c r="BD356" i="1"/>
  <c r="AI357" i="1"/>
  <c r="AT358" i="1"/>
  <c r="AT359" i="1"/>
  <c r="O357" i="1"/>
  <c r="AR354" i="1"/>
  <c r="AT355" i="1"/>
  <c r="AY357" i="1"/>
  <c r="AY356" i="1"/>
  <c r="F354" i="1"/>
  <c r="BC357" i="1"/>
  <c r="AJ355" i="1"/>
  <c r="BI359" i="1"/>
  <c r="AQ354" i="1"/>
  <c r="AY358" i="1"/>
  <c r="BC358" i="1"/>
  <c r="AT356" i="1"/>
  <c r="P359" i="1"/>
  <c r="BH354" i="1"/>
  <c r="P356" i="1"/>
  <c r="BG359" i="1"/>
  <c r="AM359" i="1"/>
  <c r="BE355" i="1"/>
  <c r="AI356" i="1"/>
  <c r="AO358" i="1"/>
  <c r="AZ356" i="1"/>
  <c r="AP354" i="1"/>
  <c r="AQ359" i="1"/>
  <c r="AY359" i="1"/>
  <c r="R354" i="1"/>
  <c r="BA354" i="1"/>
  <c r="AT357" i="1"/>
  <c r="P358" i="1"/>
  <c r="T354" i="1"/>
  <c r="BC356" i="1"/>
  <c r="AJ354" i="1"/>
  <c r="S359" i="1"/>
  <c r="AK355" i="1"/>
  <c r="O356" i="1"/>
  <c r="AO357" i="1"/>
  <c r="L356" i="1"/>
  <c r="G359" i="1"/>
  <c r="AR358" i="1"/>
  <c r="AE354" i="1"/>
  <c r="I352" i="1"/>
  <c r="I359" i="1"/>
  <c r="V359" i="1"/>
  <c r="AD359" i="1"/>
  <c r="J359" i="1"/>
  <c r="K359" i="1"/>
  <c r="AX358" i="1"/>
  <c r="BF358" i="1"/>
  <c r="AD358" i="1"/>
  <c r="BH358" i="1"/>
  <c r="AL358" i="1"/>
  <c r="BE359" i="1"/>
  <c r="BB355" i="1"/>
  <c r="AE358" i="1"/>
  <c r="J358" i="1"/>
  <c r="AN358" i="1"/>
  <c r="BG357" i="1"/>
  <c r="R358" i="1"/>
  <c r="AK359" i="1"/>
  <c r="BC355" i="1"/>
  <c r="AH355" i="1"/>
  <c r="X352" i="1"/>
  <c r="X355" i="1"/>
  <c r="X357" i="1"/>
  <c r="X356" i="1"/>
  <c r="K358" i="1"/>
  <c r="AX357" i="1"/>
  <c r="H354" i="1"/>
  <c r="V356" i="1"/>
  <c r="AM357" i="1"/>
  <c r="BF357" i="1"/>
  <c r="Q359" i="1"/>
  <c r="AI355" i="1"/>
  <c r="N355" i="1"/>
  <c r="AO356" i="1"/>
  <c r="AZ359" i="1"/>
  <c r="AD357" i="1"/>
  <c r="K354" i="1"/>
  <c r="W352" i="1"/>
  <c r="W357" i="1"/>
  <c r="W356" i="1"/>
  <c r="AL357" i="1"/>
  <c r="BB354" i="1"/>
  <c r="AE357" i="1"/>
  <c r="BF356" i="1"/>
  <c r="Q358" i="1"/>
  <c r="AI354" i="1"/>
  <c r="N354" i="1"/>
  <c r="AG359" i="1"/>
  <c r="AD356" i="1"/>
  <c r="BH356" i="1"/>
  <c r="S356" i="1"/>
  <c r="AL356" i="1"/>
  <c r="BE357" i="1"/>
  <c r="O354" i="1"/>
  <c r="L359" i="1"/>
  <c r="AF357" i="1"/>
  <c r="AE356" i="1"/>
  <c r="J356" i="1"/>
  <c r="G358" i="1"/>
  <c r="F355" i="1"/>
  <c r="AX359" i="1"/>
  <c r="AE359" i="1"/>
  <c r="W359" i="1"/>
  <c r="R357" i="1"/>
  <c r="AH354" i="1"/>
  <c r="AX356" i="1"/>
  <c r="I358" i="1"/>
  <c r="AM355" i="1"/>
  <c r="U355" i="1"/>
  <c r="AG358" i="1"/>
  <c r="AD355" i="1"/>
  <c r="BH355" i="1"/>
  <c r="S355" i="1"/>
  <c r="AL355" i="1"/>
  <c r="BE356" i="1"/>
  <c r="BC359" i="1"/>
  <c r="AH359" i="1"/>
  <c r="L357" i="1"/>
  <c r="AF355" i="1"/>
  <c r="AE355" i="1"/>
  <c r="J355" i="1"/>
  <c r="U358" i="1"/>
  <c r="G356" i="1"/>
  <c r="I356" i="1"/>
  <c r="V352" i="1"/>
  <c r="V357" i="1"/>
  <c r="BE354" i="1"/>
  <c r="BF359" i="1"/>
  <c r="AK354" i="1"/>
  <c r="I354" i="1"/>
  <c r="AL359" i="1"/>
  <c r="Q354" i="1"/>
  <c r="R359" i="1"/>
  <c r="BE358" i="1"/>
  <c r="J357" i="1"/>
  <c r="V358" i="1"/>
  <c r="AK358" i="1"/>
  <c r="BC354" i="1"/>
  <c r="K357" i="1"/>
  <c r="AN356" i="1"/>
  <c r="BG355" i="1"/>
  <c r="R356" i="1"/>
  <c r="AK357" i="1"/>
  <c r="K356" i="1"/>
  <c r="AX355" i="1"/>
  <c r="V354" i="1"/>
  <c r="BF355" i="1"/>
  <c r="Q357" i="1"/>
  <c r="BB359" i="1"/>
  <c r="AZ357" i="1"/>
  <c r="BI358" i="1"/>
  <c r="G357" i="1"/>
  <c r="I357" i="1"/>
  <c r="AN355" i="1"/>
  <c r="BG354" i="1"/>
  <c r="R355" i="1"/>
  <c r="AK356" i="1"/>
  <c r="AI359" i="1"/>
  <c r="N359" i="1"/>
  <c r="BA357" i="1"/>
  <c r="AZ354" i="1"/>
  <c r="K355" i="1"/>
  <c r="AX354" i="1"/>
  <c r="BI357" i="1"/>
  <c r="W355" i="1"/>
  <c r="I355" i="1"/>
  <c r="T355" i="1"/>
  <c r="AM354" i="1"/>
  <c r="BF354" i="1"/>
  <c r="Q356" i="1"/>
  <c r="O359" i="1"/>
  <c r="BB358" i="1"/>
  <c r="AZ355" i="1"/>
  <c r="AG357" i="1"/>
  <c r="AY354" i="1"/>
  <c r="AD354" i="1"/>
  <c r="BI356" i="1"/>
  <c r="G355" i="1"/>
</calcChain>
</file>

<file path=xl/sharedStrings.xml><?xml version="1.0" encoding="utf-8"?>
<sst xmlns="http://schemas.openxmlformats.org/spreadsheetml/2006/main" count="776" uniqueCount="707">
  <si>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</si>
  <si>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</si>
  <si>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</si>
  <si>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</si>
  <si>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</si>
  <si>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</si>
  <si>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</si>
  <si>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</si>
  <si>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</si>
  <si>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</si>
  <si>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</si>
  <si>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</si>
  <si>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</si>
  <si>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</si>
  <si>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</si>
  <si>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</si>
  <si>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</si>
  <si>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</si>
  <si>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</si>
  <si>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</si>
  <si>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</si>
  <si>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</si>
  <si>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</si>
  <si>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</si>
  <si>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</si>
  <si>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</si>
  <si>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</si>
  <si>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</si>
  <si>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</si>
  <si>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</si>
  <si>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</si>
  <si>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</si>
  <si>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</si>
  <si>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</si>
  <si>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</si>
  <si>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</si>
  <si>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</si>
  <si>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</si>
  <si>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</si>
  <si>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</si>
  <si>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</si>
  <si>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</si>
  <si>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</si>
  <si>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</si>
  <si>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</si>
  <si>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</si>
  <si>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</si>
  <si>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</si>
  <si>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</si>
  <si>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</si>
  <si>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</si>
  <si>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</si>
  <si>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</si>
  <si>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</si>
  <si>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</si>
  <si>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</si>
  <si>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</si>
  <si>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</si>
  <si>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</si>
  <si>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</si>
  <si>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</si>
  <si>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</si>
  <si>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</si>
  <si>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</si>
  <si>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</si>
  <si>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</si>
  <si>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</si>
  <si>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</si>
  <si>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</si>
  <si>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</si>
  <si>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</si>
  <si>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</si>
  <si>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</si>
  <si>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</si>
  <si>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</si>
  <si>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</si>
  <si>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</si>
  <si>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</si>
  <si>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</si>
  <si>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</si>
  <si>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</si>
  <si>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</si>
  <si>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</si>
  <si>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</si>
  <si>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</si>
  <si>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</si>
  <si>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</si>
  <si>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</si>
  <si>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</si>
  <si>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</si>
  <si>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</si>
  <si>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</si>
  <si>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</si>
  <si>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</si>
  <si>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</si>
  <si>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</si>
  <si>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</si>
  <si>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</si>
  <si>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</si>
  <si>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</si>
  <si>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</si>
  <si>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</si>
  <si>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</si>
  <si>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</si>
  <si>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</si>
  <si>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</si>
  <si>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</si>
  <si>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</si>
  <si>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</si>
  <si>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</si>
  <si>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</si>
  <si>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</si>
  <si>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</si>
  <si>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</si>
  <si>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</si>
  <si>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</si>
  <si>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</si>
  <si>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</si>
  <si>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</si>
  <si>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</si>
  <si>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</si>
  <si>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</si>
  <si>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</si>
  <si>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</si>
  <si>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</si>
  <si>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</si>
  <si>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</si>
  <si>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</si>
  <si>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</si>
  <si>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</si>
  <si>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</si>
  <si>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</si>
  <si>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</si>
  <si>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</si>
  <si>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</si>
  <si>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</si>
  <si>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</si>
  <si>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</si>
  <si>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</si>
  <si>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</si>
  <si>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</si>
  <si>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</si>
  <si>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</si>
  <si>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</si>
  <si>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</si>
  <si>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</si>
  <si>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</si>
  <si>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</si>
  <si>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</si>
  <si>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</si>
  <si>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</si>
  <si>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</si>
  <si>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</si>
  <si>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</si>
  <si>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</si>
  <si>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</si>
  <si>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</si>
  <si>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</si>
  <si>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</si>
  <si>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</si>
  <si>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</si>
  <si>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</si>
  <si>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</si>
  <si>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</si>
  <si>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</si>
  <si>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</si>
  <si>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</si>
  <si>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</si>
  <si>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</si>
  <si>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</si>
  <si>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</si>
  <si>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</si>
  <si>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</si>
  <si>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</si>
  <si>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</si>
  <si>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</si>
  <si>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</si>
  <si>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</si>
  <si>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</si>
  <si>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</si>
  <si>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</si>
  <si>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</si>
  <si>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</si>
  <si>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</si>
  <si>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</si>
  <si>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</si>
  <si>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</si>
  <si>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</si>
  <si>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</si>
  <si>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</si>
  <si>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</si>
  <si>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</si>
  <si>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</si>
  <si>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</si>
  <si>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</si>
  <si>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</si>
  <si>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</si>
  <si>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</si>
  <si>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</si>
  <si>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</si>
  <si>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</si>
  <si>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</si>
  <si>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</si>
  <si>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</si>
  <si>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</si>
  <si>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</si>
  <si>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</si>
  <si>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</si>
  <si>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</si>
  <si>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</si>
  <si>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</si>
  <si>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</si>
  <si>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</si>
  <si>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</si>
  <si>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</si>
  <si>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</si>
  <si>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</si>
  <si>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</si>
  <si>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</si>
  <si>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</si>
  <si>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</si>
  <si>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</si>
  <si>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</si>
  <si>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</si>
  <si>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</si>
  <si>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</si>
  <si>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</si>
  <si>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</si>
  <si>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</si>
  <si>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</si>
  <si>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</si>
  <si>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</si>
  <si>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</si>
  <si>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</si>
  <si>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</si>
  <si>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</si>
  <si>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</si>
  <si>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</si>
  <si>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</si>
  <si>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</si>
  <si>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</si>
  <si>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</si>
  <si>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</si>
  <si>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</si>
  <si>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</si>
  <si>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</si>
  <si>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</si>
  <si>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</si>
  <si>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</si>
  <si>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</si>
  <si>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</si>
  <si>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</si>
  <si>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</si>
  <si>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</si>
  <si>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</si>
  <si>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</si>
  <si>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</si>
  <si>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</si>
  <si>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</si>
  <si>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</si>
  <si>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</si>
  <si>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</si>
  <si>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</si>
  <si>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</si>
  <si>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</si>
  <si>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</si>
  <si>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</si>
  <si>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</si>
  <si>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</si>
  <si>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</si>
  <si>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</si>
  <si>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</si>
  <si>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</si>
  <si>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</si>
  <si>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</si>
  <si>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</si>
  <si>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</si>
  <si>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</si>
  <si>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</si>
  <si>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</si>
  <si>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</si>
  <si>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</si>
  <si>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</si>
  <si>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</si>
  <si>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</si>
  <si>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</si>
  <si>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</si>
  <si>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</si>
  <si>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</si>
  <si>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</si>
  <si>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</si>
  <si>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</si>
  <si>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</si>
  <si>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</si>
  <si>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</si>
  <si>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</si>
  <si>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</si>
  <si>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</si>
  <si>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</si>
  <si>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</si>
  <si>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</si>
  <si>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</si>
  <si>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</si>
  <si>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</si>
  <si>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</si>
  <si>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</si>
  <si>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</si>
  <si>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</si>
  <si>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</si>
  <si>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</si>
  <si>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</si>
  <si>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</si>
  <si>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</si>
  <si>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</si>
  <si>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</si>
  <si>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</si>
  <si>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</si>
  <si>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</si>
  <si>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</si>
  <si>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</si>
  <si>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</si>
  <si>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</si>
  <si>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</si>
  <si>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</si>
  <si>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</si>
  <si>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</si>
  <si>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</si>
  <si>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</si>
  <si>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</si>
  <si>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</si>
  <si>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</si>
  <si>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</si>
  <si>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</si>
  <si>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</si>
  <si>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</si>
  <si>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</si>
  <si>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</si>
  <si>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</si>
  <si>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</si>
  <si>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</si>
  <si>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</si>
  <si>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</si>
  <si>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</si>
  <si>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</si>
  <si>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</si>
  <si>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</si>
  <si>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</si>
  <si>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</si>
  <si>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</si>
  <si>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</si>
  <si>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</si>
  <si>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</si>
  <si>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</si>
  <si>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</si>
  <si>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</si>
  <si>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</si>
  <si>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</si>
  <si>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</si>
  <si>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</si>
  <si>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</si>
  <si>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</si>
  <si>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</si>
  <si>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</si>
  <si>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</si>
  <si>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</si>
  <si>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</si>
  <si>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</si>
  <si>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</si>
  <si>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</si>
  <si>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</si>
  <si>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</si>
  <si>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</si>
  <si>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</si>
  <si>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</si>
  <si>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</si>
  <si>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</si>
  <si>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</si>
  <si>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</si>
  <si>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</si>
  <si>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</si>
  <si>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</si>
  <si>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</si>
  <si>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</si>
  <si>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</si>
  <si>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</si>
  <si>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</si>
  <si>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</si>
  <si>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</si>
  <si>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</si>
  <si>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</si>
  <si>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</si>
  <si>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</si>
  <si>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</si>
  <si>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</si>
  <si>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</si>
  <si>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</si>
  <si>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</si>
  <si>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</si>
  <si>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</si>
  <si>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</si>
  <si>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</si>
  <si>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</si>
  <si>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</si>
  <si>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</si>
  <si>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</si>
  <si>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</si>
  <si>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</si>
  <si>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</si>
  <si>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</si>
  <si>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</si>
  <si>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</si>
  <si>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</si>
  <si>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</si>
  <si>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</si>
  <si>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</si>
  <si>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</si>
  <si>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</si>
  <si>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</si>
  <si>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</si>
  <si>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</si>
  <si>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</si>
  <si>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</si>
  <si>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</si>
  <si>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</si>
  <si>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</si>
  <si>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</si>
  <si>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</si>
  <si>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</si>
  <si>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</si>
  <si>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</si>
  <si>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</si>
  <si>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</si>
  <si>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</si>
  <si>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</si>
  <si>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</si>
  <si>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</si>
  <si>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</si>
  <si>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</si>
  <si>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</si>
  <si>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</si>
  <si>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</si>
  <si>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</si>
  <si>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</si>
  <si>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</si>
  <si>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</si>
  <si>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</si>
  <si>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</si>
  <si>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</si>
  <si>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</si>
  <si>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</si>
  <si>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</si>
  <si>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</si>
  <si>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</si>
  <si>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</si>
  <si>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</si>
  <si>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</si>
  <si>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</si>
  <si>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</si>
  <si>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</si>
  <si>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</si>
  <si>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</si>
  <si>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</si>
  <si>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</si>
  <si>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</si>
  <si>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</si>
  <si>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</si>
  <si>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</si>
  <si>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</si>
  <si>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</si>
  <si>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</si>
  <si>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</si>
  <si>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</si>
  <si>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</si>
  <si>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</si>
  <si>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</si>
  <si>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</si>
  <si>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</si>
  <si>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</si>
  <si>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</si>
  <si>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</si>
  <si>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</si>
  <si>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</si>
  <si>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</si>
  <si>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</si>
  <si>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</si>
  <si>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</si>
  <si>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</si>
  <si>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</si>
  <si>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</si>
  <si>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</si>
  <si>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</si>
  <si>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</si>
  <si>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</si>
  <si>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</si>
  <si>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</si>
  <si>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</si>
  <si>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</si>
  <si>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</si>
  <si>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</si>
  <si>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</si>
  <si>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</si>
  <si>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</si>
  <si>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</si>
  <si>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</si>
  <si>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</si>
  <si>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</si>
  <si>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</si>
  <si>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</si>
  <si>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</si>
  <si>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</si>
  <si>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</si>
  <si>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</si>
  <si>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</si>
  <si>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</si>
  <si>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</si>
  <si>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</si>
  <si>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</si>
  <si>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</si>
  <si>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</si>
  <si>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</si>
  <si>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</si>
  <si>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</si>
  <si>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</si>
  <si>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</si>
  <si>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</si>
  <si>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</si>
  <si>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</si>
  <si>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</si>
  <si>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</si>
  <si>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</si>
  <si>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</si>
  <si>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</si>
  <si>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</si>
  <si>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</si>
  <si>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</si>
  <si>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</si>
  <si>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</si>
  <si>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</si>
  <si>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</si>
  <si>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</si>
  <si>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</si>
  <si>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</si>
  <si>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</si>
  <si>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</si>
  <si>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</si>
  <si>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</si>
  <si>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</si>
  <si>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</si>
  <si>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</si>
  <si>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</si>
  <si>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</si>
  <si>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</si>
  <si>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</si>
  <si>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</si>
  <si>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</si>
  <si>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</si>
  <si>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</si>
  <si>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</si>
  <si>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</si>
  <si>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</si>
  <si>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</si>
  <si>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</si>
  <si>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</si>
  <si>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</si>
  <si>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</si>
  <si>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</si>
  <si>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</si>
  <si>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</si>
  <si>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</si>
  <si>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</si>
  <si>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</si>
  <si>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</si>
  <si>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</si>
  <si>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</si>
  <si>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</si>
  <si>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</si>
  <si>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</si>
  <si>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</si>
  <si>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</si>
  <si>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</si>
  <si>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</si>
  <si>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</si>
  <si>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</si>
  <si>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</si>
  <si>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</si>
  <si>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</si>
  <si>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</si>
  <si>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</si>
  <si>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</si>
  <si>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</si>
  <si>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</si>
  <si>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</si>
  <si>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</si>
  <si>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</si>
  <si>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</si>
  <si>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</si>
  <si>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</si>
  <si>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</si>
  <si>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</si>
  <si>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</si>
  <si>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</si>
  <si>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</si>
  <si>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</si>
  <si>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</si>
  <si>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</si>
  <si>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</si>
  <si>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</si>
  <si>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</si>
  <si>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</si>
  <si>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</si>
  <si>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</si>
  <si>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</si>
  <si>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</si>
  <si>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</si>
  <si>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</si>
  <si>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</si>
  <si>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</si>
  <si>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</si>
  <si>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</si>
  <si>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</si>
  <si>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</si>
  <si>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</si>
  <si>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</si>
  <si>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</si>
  <si>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</si>
  <si>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</si>
  <si>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</si>
  <si>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</si>
  <si>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</si>
  <si>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</si>
  <si>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</si>
  <si>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</si>
  <si>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</si>
  <si>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</si>
  <si>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</si>
  <si>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</si>
  <si>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</si>
  <si>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</si>
  <si>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</si>
  <si>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</si>
  <si>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</si>
  <si>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</si>
  <si>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</si>
  <si>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</si>
  <si>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</si>
  <si>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</si>
  <si>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</si>
  <si>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</si>
  <si>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</si>
  <si>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</si>
  <si>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</si>
  <si>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</si>
  <si>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</si>
  <si>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</si>
  <si>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</si>
  <si>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</si>
  <si>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</si>
  <si>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</si>
  <si>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</si>
  <si>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</si>
  <si>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הפניקס גמל אגח סחיר</t>
  </si>
  <si>
    <t>הפניקס גמל מניות סחיר</t>
  </si>
  <si>
    <t>הפניקס גמל עוקב מדדי מניות</t>
  </si>
  <si>
    <t>הפניקס השתלמות משולב סחיר</t>
  </si>
  <si>
    <t>הפניקס השתלמות אגח סחיר</t>
  </si>
  <si>
    <t>הפניקס גמל להשקעה משולב סחיר</t>
  </si>
  <si>
    <t>הפניקס גמל להשקעה מניות סחיר</t>
  </si>
  <si>
    <t xml:space="preserve">הפניקס גמל עוקב מדדים גמיש </t>
  </si>
  <si>
    <t>הפניקס גמל להשקעה אגח סחיר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</si>
  <si>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</si>
  <si>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</si>
  <si>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</si>
  <si>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</si>
  <si>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</si>
  <si>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</si>
  <si>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</si>
  <si>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</si>
  <si>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</si>
  <si>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</si>
  <si>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</si>
  <si>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</si>
  <si>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</si>
  <si>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</si>
  <si>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</si>
  <si>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</si>
  <si>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</si>
  <si>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</si>
  <si>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</si>
  <si>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</si>
  <si>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</si>
  <si>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</si>
  <si>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</si>
  <si>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</si>
  <si>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</si>
  <si>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</si>
  <si>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</si>
  <si>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</si>
  <si>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</si>
  <si>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</si>
  <si>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</si>
  <si>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</si>
  <si>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</si>
  <si>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</si>
  <si>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>תחילת מידע טבלה</t>
  </si>
  <si>
    <t>תחילת מידע טבלה צד ימין</t>
  </si>
  <si>
    <t>סוף מידע טבלה צד שמאל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</si>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</sst>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0</xdr:rowOff>
    </xdr:from>
    <xdr:to>
      <xdr:col>4</xdr:col>
      <xdr:colOff>257175</xdr:colOff>
      <xdr:row>4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SpPr/>
      </xdr:nvSpPr>
      <xdr:spPr>
        <a:xfrm>
          <a:off x="11279419275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64</xdr:col>
      <xdr:colOff>0</xdr:colOff>
      <xdr:row>0</xdr:row>
      <xdr:rowOff>0</xdr:rowOff>
    </xdr:from>
    <xdr:to>
      <xdr:col>64</xdr:col>
      <xdr:colOff>561975</xdr:colOff>
      <xdr:row>2</xdr:row>
      <xdr:rowOff>161210</xdr:rowOff>
    </xdr:to>
    <xdr:pic>
      <xdr:nvPicPr>
        <xdr:cNvPr id="3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xmlns="" id="{00CF7B4E-D807-4A00-9792-75C7952D6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8110025" y="0"/>
          <a:ext cx="561975" cy="551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גיליון224"/>
      <sheetName val="גיליון226"/>
      <sheetName val="גיליון228"/>
      <sheetName val="גיליון230"/>
      <sheetName val="גיליון232"/>
      <sheetName val="גיליון234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60"/>
  <sheetViews>
    <sheetView rightToLeft="1" tabSelected="1" topLeftCell="A2" workbookViewId="0">
      <selection activeCell="C3" sqref="C3"/>
    </sheetView>
  </sheetViews>
  <sheetFormatPr defaultRowHeight="14.25"/>
  <sheetData>
    <row r="1" spans="1:64">
      <c r="B1" s="22" t="s">
        <v>703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</row>
    <row r="2" spans="1:64" ht="15.75">
      <c r="A2" s="22" t="s">
        <v>704</v>
      </c>
      <c r="B2" s="1"/>
      <c r="C2" s="2"/>
      <c r="D2" s="2"/>
      <c r="E2" s="2"/>
      <c r="F2">
        <v>6</v>
      </c>
      <c r="G2">
        <v>10</v>
      </c>
      <c r="H2">
        <v>30</v>
      </c>
      <c r="I2">
        <v>50</v>
      </c>
      <c r="J2">
        <v>93</v>
      </c>
      <c r="K2">
        <v>99</v>
      </c>
      <c r="L2">
        <v>102</v>
      </c>
      <c r="M2">
        <v>122</v>
      </c>
      <c r="N2">
        <v>142</v>
      </c>
      <c r="O2">
        <v>164</v>
      </c>
      <c r="P2">
        <v>167</v>
      </c>
      <c r="Q2">
        <v>169</v>
      </c>
      <c r="R2">
        <v>425</v>
      </c>
      <c r="S2">
        <v>426</v>
      </c>
      <c r="T2">
        <v>499</v>
      </c>
      <c r="U2">
        <v>519</v>
      </c>
      <c r="V2">
        <v>526</v>
      </c>
      <c r="W2">
        <v>570</v>
      </c>
      <c r="X2">
        <v>571</v>
      </c>
      <c r="Y2">
        <v>572</v>
      </c>
      <c r="Z2">
        <v>573</v>
      </c>
      <c r="AA2">
        <v>574</v>
      </c>
      <c r="AB2">
        <v>628</v>
      </c>
      <c r="AC2">
        <v>629</v>
      </c>
      <c r="AD2">
        <v>631</v>
      </c>
      <c r="AE2">
        <v>632</v>
      </c>
      <c r="AF2">
        <v>658</v>
      </c>
      <c r="AG2">
        <v>660</v>
      </c>
      <c r="AH2">
        <v>662</v>
      </c>
      <c r="AI2">
        <v>664</v>
      </c>
      <c r="AJ2">
        <v>666</v>
      </c>
      <c r="AK2">
        <v>726</v>
      </c>
      <c r="AL2">
        <v>737</v>
      </c>
      <c r="AM2">
        <v>827</v>
      </c>
      <c r="AN2">
        <v>575</v>
      </c>
      <c r="AO2">
        <v>576</v>
      </c>
      <c r="AP2">
        <v>359</v>
      </c>
      <c r="AQ2" s="10">
        <v>828</v>
      </c>
      <c r="AR2" s="10">
        <v>844</v>
      </c>
      <c r="AS2" s="10">
        <v>839</v>
      </c>
      <c r="AT2" s="10">
        <v>857</v>
      </c>
      <c r="AU2" s="10">
        <v>608</v>
      </c>
      <c r="AV2" s="10">
        <v>849</v>
      </c>
      <c r="AW2" s="10">
        <v>846</v>
      </c>
      <c r="AX2" s="10">
        <v>834</v>
      </c>
      <c r="AY2" s="10">
        <v>506</v>
      </c>
      <c r="AZ2" s="10">
        <v>521</v>
      </c>
      <c r="BA2" s="10">
        <v>522</v>
      </c>
      <c r="BB2" s="10">
        <v>528</v>
      </c>
      <c r="BC2" s="10">
        <v>548</v>
      </c>
      <c r="BD2" s="10">
        <v>551</v>
      </c>
      <c r="BE2" s="10">
        <v>555</v>
      </c>
      <c r="BF2" s="10">
        <v>558</v>
      </c>
      <c r="BG2" s="10">
        <v>578</v>
      </c>
      <c r="BH2" s="10">
        <v>580</v>
      </c>
      <c r="BI2" s="10">
        <v>577</v>
      </c>
      <c r="BL2" s="22" t="s">
        <v>705</v>
      </c>
    </row>
    <row r="3" spans="1:64">
      <c r="A3" s="22"/>
      <c r="F3" s="11">
        <v>401</v>
      </c>
      <c r="G3" s="11">
        <v>242</v>
      </c>
      <c r="H3" s="11">
        <v>385</v>
      </c>
      <c r="I3" s="11">
        <v>528</v>
      </c>
      <c r="J3" s="11">
        <v>384</v>
      </c>
      <c r="K3" s="11">
        <v>716</v>
      </c>
      <c r="L3" s="11">
        <v>715</v>
      </c>
      <c r="M3" s="11">
        <v>9916</v>
      </c>
      <c r="N3" s="11">
        <v>1100</v>
      </c>
      <c r="O3" s="11">
        <v>801</v>
      </c>
      <c r="P3" s="11">
        <v>804</v>
      </c>
      <c r="Q3" s="11">
        <v>806</v>
      </c>
      <c r="R3" s="11">
        <v>8765</v>
      </c>
      <c r="S3" s="11">
        <v>8766</v>
      </c>
      <c r="T3" s="11">
        <v>9418</v>
      </c>
      <c r="U3" s="11">
        <v>9475</v>
      </c>
      <c r="V3" s="11">
        <v>9906</v>
      </c>
      <c r="W3" s="11">
        <v>7905</v>
      </c>
      <c r="X3" s="11">
        <v>7906</v>
      </c>
      <c r="Y3" s="11">
        <v>7907</v>
      </c>
      <c r="Z3" s="11">
        <v>7908</v>
      </c>
      <c r="AA3" s="11">
        <v>7909</v>
      </c>
      <c r="AB3" s="11">
        <v>11310</v>
      </c>
      <c r="AC3" s="11">
        <v>11311</v>
      </c>
      <c r="AD3" s="11">
        <v>11312</v>
      </c>
      <c r="AE3" s="11">
        <v>11335</v>
      </c>
      <c r="AF3" s="11">
        <v>9529</v>
      </c>
      <c r="AG3" s="11">
        <v>961</v>
      </c>
      <c r="AH3" s="11">
        <v>9528</v>
      </c>
      <c r="AI3" s="11">
        <v>964</v>
      </c>
      <c r="AJ3" s="11">
        <v>968</v>
      </c>
      <c r="AK3" s="11">
        <v>8629</v>
      </c>
      <c r="AL3" s="11">
        <v>13264</v>
      </c>
      <c r="AM3" s="11">
        <v>13263</v>
      </c>
      <c r="AN3" s="11">
        <v>13209</v>
      </c>
      <c r="AO3" s="11">
        <v>13250</v>
      </c>
      <c r="AP3" s="11">
        <v>14281</v>
      </c>
      <c r="AQ3" s="12">
        <v>2049</v>
      </c>
      <c r="AR3" s="13">
        <v>7975</v>
      </c>
      <c r="AS3" s="13">
        <v>8004</v>
      </c>
      <c r="AT3" s="12">
        <v>1008</v>
      </c>
      <c r="AU3" s="12">
        <v>9484</v>
      </c>
      <c r="AV3" s="12">
        <v>682</v>
      </c>
      <c r="AW3" s="12">
        <v>11352</v>
      </c>
      <c r="AX3" s="12">
        <v>2058</v>
      </c>
      <c r="AY3" s="12">
        <v>15007</v>
      </c>
      <c r="AZ3" s="12">
        <v>15208</v>
      </c>
      <c r="BA3" s="12">
        <v>15209</v>
      </c>
      <c r="BB3" s="12">
        <v>15210</v>
      </c>
      <c r="BC3" s="12">
        <v>15211</v>
      </c>
      <c r="BD3" s="12">
        <v>15212</v>
      </c>
      <c r="BE3" s="12">
        <v>15232</v>
      </c>
      <c r="BF3" s="12">
        <v>15214</v>
      </c>
      <c r="BG3" s="12">
        <v>15233</v>
      </c>
      <c r="BH3" s="12">
        <v>15234</v>
      </c>
      <c r="BI3" s="12">
        <v>15215</v>
      </c>
      <c r="BL3" s="22"/>
    </row>
    <row r="4" spans="1:64" ht="15.75">
      <c r="A4" s="22"/>
      <c r="B4" s="3">
        <v>46235</v>
      </c>
      <c r="C4" s="2"/>
      <c r="D4" s="2"/>
      <c r="E4" s="2"/>
      <c r="F4" t="s">
        <v>614</v>
      </c>
      <c r="G4" t="s">
        <v>615</v>
      </c>
      <c r="H4" t="s">
        <v>616</v>
      </c>
      <c r="I4" t="s">
        <v>617</v>
      </c>
      <c r="J4" t="s">
        <v>618</v>
      </c>
      <c r="K4" t="s">
        <v>619</v>
      </c>
      <c r="L4" t="s">
        <v>620</v>
      </c>
      <c r="M4" t="s">
        <v>621</v>
      </c>
      <c r="N4" t="s">
        <v>622</v>
      </c>
      <c r="O4" t="s">
        <v>623</v>
      </c>
      <c r="P4" t="s">
        <v>624</v>
      </c>
      <c r="Q4" t="s">
        <v>625</v>
      </c>
      <c r="R4" t="s">
        <v>626</v>
      </c>
      <c r="S4" t="s">
        <v>627</v>
      </c>
      <c r="T4" t="s">
        <v>628</v>
      </c>
      <c r="U4" t="s">
        <v>629</v>
      </c>
      <c r="V4" t="s">
        <v>630</v>
      </c>
      <c r="W4" t="s">
        <v>631</v>
      </c>
      <c r="X4" t="s">
        <v>632</v>
      </c>
      <c r="Y4" t="s">
        <v>633</v>
      </c>
      <c r="Z4" t="s">
        <v>634</v>
      </c>
      <c r="AA4" t="s">
        <v>635</v>
      </c>
      <c r="AB4" t="s">
        <v>636</v>
      </c>
      <c r="AC4" t="s">
        <v>637</v>
      </c>
      <c r="AD4" t="s">
        <v>638</v>
      </c>
      <c r="AE4" t="s">
        <v>639</v>
      </c>
      <c r="AF4" t="s">
        <v>640</v>
      </c>
      <c r="AG4" t="s">
        <v>641</v>
      </c>
      <c r="AH4" t="s">
        <v>642</v>
      </c>
      <c r="AI4" t="s">
        <v>643</v>
      </c>
      <c r="AJ4" t="s">
        <v>644</v>
      </c>
      <c r="AK4" t="s">
        <v>645</v>
      </c>
      <c r="AL4" t="s">
        <v>646</v>
      </c>
      <c r="AM4" t="s">
        <v>647</v>
      </c>
      <c r="AN4" t="s">
        <v>648</v>
      </c>
      <c r="AO4" t="s">
        <v>649</v>
      </c>
      <c r="AP4" t="s">
        <v>650</v>
      </c>
      <c r="AQ4" s="14" t="s">
        <v>651</v>
      </c>
      <c r="AR4" s="15" t="s">
        <v>652</v>
      </c>
      <c r="AS4" s="14" t="s">
        <v>653</v>
      </c>
      <c r="AT4" s="14" t="s">
        <v>654</v>
      </c>
      <c r="AU4" s="14" t="s">
        <v>655</v>
      </c>
      <c r="AV4" s="14" t="s">
        <v>656</v>
      </c>
      <c r="AW4" s="14" t="s">
        <v>657</v>
      </c>
      <c r="AX4" s="14" t="s">
        <v>658</v>
      </c>
      <c r="AY4" s="14" t="s">
        <v>659</v>
      </c>
      <c r="AZ4" t="s">
        <v>660</v>
      </c>
      <c r="BA4" t="s">
        <v>661</v>
      </c>
      <c r="BB4" t="s">
        <v>662</v>
      </c>
      <c r="BC4" t="s">
        <v>663</v>
      </c>
      <c r="BD4" t="s">
        <v>664</v>
      </c>
      <c r="BE4" t="s">
        <v>664</v>
      </c>
      <c r="BF4" t="s">
        <v>665</v>
      </c>
      <c r="BG4" t="s">
        <v>666</v>
      </c>
      <c r="BH4" t="s">
        <v>667</v>
      </c>
      <c r="BI4" t="s">
        <v>668</v>
      </c>
      <c r="BL4" s="22"/>
    </row>
    <row r="5" spans="1:64" ht="15.75">
      <c r="A5" s="22"/>
      <c r="B5" s="4"/>
      <c r="C5" s="5"/>
      <c r="D5" s="5"/>
      <c r="E5" s="6" t="s">
        <v>0</v>
      </c>
      <c r="F5" s="16" t="s">
        <v>669</v>
      </c>
      <c r="G5" s="16" t="s">
        <v>670</v>
      </c>
      <c r="H5" s="16" t="s">
        <v>671</v>
      </c>
      <c r="I5" s="16" t="s">
        <v>672</v>
      </c>
      <c r="J5" s="16" t="s">
        <v>673</v>
      </c>
      <c r="K5" s="16" t="s">
        <v>674</v>
      </c>
      <c r="L5" s="16" t="s">
        <v>675</v>
      </c>
      <c r="M5" s="16" t="s">
        <v>676</v>
      </c>
      <c r="N5" s="16" t="s">
        <v>677</v>
      </c>
      <c r="O5" s="16" t="s">
        <v>678</v>
      </c>
      <c r="P5" s="16" t="s">
        <v>679</v>
      </c>
      <c r="Q5" s="16" t="s">
        <v>680</v>
      </c>
      <c r="R5" s="16" t="s">
        <v>681</v>
      </c>
      <c r="S5" s="16" t="s">
        <v>682</v>
      </c>
      <c r="T5" s="16" t="s">
        <v>683</v>
      </c>
      <c r="U5" s="16" t="s">
        <v>684</v>
      </c>
      <c r="V5" s="16" t="s">
        <v>685</v>
      </c>
      <c r="W5" s="16" t="s">
        <v>686</v>
      </c>
      <c r="X5" s="16" t="s">
        <v>687</v>
      </c>
      <c r="Y5" s="16" t="s">
        <v>688</v>
      </c>
      <c r="Z5" s="16" t="s">
        <v>689</v>
      </c>
      <c r="AA5" s="16" t="s">
        <v>690</v>
      </c>
      <c r="AB5" s="16" t="s">
        <v>691</v>
      </c>
      <c r="AC5" s="16" t="s">
        <v>692</v>
      </c>
      <c r="AD5" s="16" t="s">
        <v>693</v>
      </c>
      <c r="AE5" s="16" t="s">
        <v>694</v>
      </c>
      <c r="AF5" s="16" t="s">
        <v>695</v>
      </c>
      <c r="AG5" s="16" t="s">
        <v>696</v>
      </c>
      <c r="AH5" s="16" t="s">
        <v>697</v>
      </c>
      <c r="AI5" s="16" t="s">
        <v>698</v>
      </c>
      <c r="AJ5" s="16" t="s">
        <v>699</v>
      </c>
      <c r="AK5" s="16" t="s">
        <v>700</v>
      </c>
      <c r="AL5" s="16" t="s">
        <v>701</v>
      </c>
      <c r="AM5" s="16" t="s">
        <v>702</v>
      </c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L5" s="22"/>
    </row>
    <row r="6" spans="1:64" ht="15.75">
      <c r="A6" s="22"/>
      <c r="B6" s="7" t="s">
        <v>1</v>
      </c>
      <c r="C6" s="7" t="s">
        <v>2</v>
      </c>
      <c r="D6" s="8">
        <v>1</v>
      </c>
      <c r="E6" s="8">
        <v>1</v>
      </c>
      <c r="F6" s="8">
        <v>243434.179</v>
      </c>
      <c r="G6" s="8">
        <v>26611.847000000002</v>
      </c>
      <c r="H6" s="8">
        <v>30025.098000000002</v>
      </c>
      <c r="I6" s="8">
        <v>8.3480000000000008</v>
      </c>
      <c r="J6" s="8">
        <v>3481.4259999999999</v>
      </c>
      <c r="K6" s="8">
        <v>17821.875</v>
      </c>
      <c r="L6" s="8">
        <v>-85.238</v>
      </c>
      <c r="M6" s="8">
        <v>231734.3</v>
      </c>
      <c r="N6" s="8">
        <v>55176.033000000003</v>
      </c>
      <c r="O6" s="8">
        <v>0.04</v>
      </c>
      <c r="P6" s="8">
        <v>1226.577</v>
      </c>
      <c r="Q6" s="8">
        <v>80.980999999999995</v>
      </c>
      <c r="R6" s="8">
        <v>647.399</v>
      </c>
      <c r="S6" s="8">
        <v>431.49</v>
      </c>
      <c r="T6" s="8">
        <v>8497.7049999999999</v>
      </c>
      <c r="U6" s="8">
        <v>3.6999999999999998E-2</v>
      </c>
      <c r="V6" s="8">
        <v>-70.915000000000006</v>
      </c>
      <c r="W6" s="8">
        <v>3560.7339999999999</v>
      </c>
      <c r="X6" s="8">
        <v>6685.8689999999997</v>
      </c>
      <c r="Y6" s="8">
        <v>9315.6990000000005</v>
      </c>
      <c r="Z6" s="8">
        <v>71993.784</v>
      </c>
      <c r="AA6" s="8">
        <v>3616.33</v>
      </c>
      <c r="AB6" s="8">
        <v>41846.874000000003</v>
      </c>
      <c r="AC6" s="8">
        <v>36683.5</v>
      </c>
      <c r="AD6" s="8">
        <v>5428.4210000000003</v>
      </c>
      <c r="AE6" s="8">
        <v>2260.21</v>
      </c>
      <c r="AF6" s="8">
        <v>233392.72099999999</v>
      </c>
      <c r="AG6" s="8">
        <v>92927.49</v>
      </c>
      <c r="AH6" s="8">
        <v>14373.076999999999</v>
      </c>
      <c r="AI6" s="8">
        <v>525363.73100000003</v>
      </c>
      <c r="AJ6" s="8">
        <v>136010.34899999999</v>
      </c>
      <c r="AK6" s="8">
        <v>18274.38</v>
      </c>
      <c r="AL6" s="8">
        <v>154387.538</v>
      </c>
      <c r="AM6" s="8">
        <v>78829.346000000005</v>
      </c>
      <c r="AN6" s="8">
        <v>-18.396999999999998</v>
      </c>
      <c r="AO6" s="8">
        <v>51983.402999999998</v>
      </c>
      <c r="AP6" s="8">
        <v>6908.5339999999997</v>
      </c>
      <c r="AQ6" s="8">
        <v>5658.23</v>
      </c>
      <c r="AR6" s="8">
        <v>54156.063000000002</v>
      </c>
      <c r="AS6" s="8">
        <v>1091.7909999999999</v>
      </c>
      <c r="AT6" s="8">
        <v>163.56299999999999</v>
      </c>
      <c r="AU6" s="8">
        <v>0</v>
      </c>
      <c r="AV6" s="8">
        <v>8062.0249999999996</v>
      </c>
      <c r="AW6" s="8">
        <v>3131.6210000000001</v>
      </c>
      <c r="AX6" s="8">
        <v>10592.11</v>
      </c>
      <c r="AY6" s="8">
        <v>13476.494000000001</v>
      </c>
      <c r="AZ6" s="8">
        <v>5524.22</v>
      </c>
      <c r="BA6" s="8">
        <v>15564.061</v>
      </c>
      <c r="BB6" s="8">
        <v>12706.346</v>
      </c>
      <c r="BC6" s="8">
        <v>4625.9960000000001</v>
      </c>
      <c r="BD6" s="8">
        <v>1842.96</v>
      </c>
      <c r="BE6" s="8">
        <v>19544.213</v>
      </c>
      <c r="BF6" s="8">
        <v>1307.932</v>
      </c>
      <c r="BG6" s="8">
        <v>6787.1459999999997</v>
      </c>
      <c r="BH6" s="8">
        <v>11837.891</v>
      </c>
      <c r="BI6" s="8">
        <v>618.90300000000002</v>
      </c>
      <c r="BL6" s="22"/>
    </row>
    <row r="7" spans="1:64" ht="15.75">
      <c r="A7" s="22"/>
      <c r="B7" s="7" t="s">
        <v>3</v>
      </c>
      <c r="C7" s="7" t="s">
        <v>4</v>
      </c>
      <c r="D7" s="8">
        <v>1</v>
      </c>
      <c r="E7" s="8">
        <v>1</v>
      </c>
      <c r="F7" s="8">
        <v>136121.28899999999</v>
      </c>
      <c r="G7" s="8">
        <v>20370.862000000001</v>
      </c>
      <c r="H7" s="8">
        <v>15014.450999999999</v>
      </c>
      <c r="I7" s="8">
        <v>265.137</v>
      </c>
      <c r="J7" s="8">
        <v>4909.0889999999999</v>
      </c>
      <c r="K7" s="8">
        <v>7045.1030000000001</v>
      </c>
      <c r="L7" s="8">
        <v>0</v>
      </c>
      <c r="M7" s="8">
        <v>140124.454</v>
      </c>
      <c r="N7" s="8">
        <v>37485.724999999999</v>
      </c>
      <c r="O7" s="8">
        <v>0</v>
      </c>
      <c r="P7" s="8">
        <v>73.201999999999998</v>
      </c>
      <c r="Q7" s="8">
        <v>710.54499999999996</v>
      </c>
      <c r="R7" s="8">
        <v>45.787999999999997</v>
      </c>
      <c r="S7" s="8">
        <v>277.363</v>
      </c>
      <c r="T7" s="8">
        <v>2808.9589999999998</v>
      </c>
      <c r="U7" s="8">
        <v>0</v>
      </c>
      <c r="V7" s="8">
        <v>0</v>
      </c>
      <c r="W7" s="8">
        <v>876.22699999999998</v>
      </c>
      <c r="X7" s="8">
        <v>3470.44</v>
      </c>
      <c r="Y7" s="8">
        <v>259.14400000000001</v>
      </c>
      <c r="Z7" s="8">
        <v>39893.97</v>
      </c>
      <c r="AA7" s="8">
        <v>1926.7819999999999</v>
      </c>
      <c r="AB7" s="8">
        <v>25648.962</v>
      </c>
      <c r="AC7" s="8">
        <v>2179.6010000000001</v>
      </c>
      <c r="AD7" s="8">
        <v>4772.7209999999995</v>
      </c>
      <c r="AE7" s="8">
        <v>474.654</v>
      </c>
      <c r="AF7" s="8">
        <v>100458.33900000001</v>
      </c>
      <c r="AG7" s="8">
        <v>50805.406999999999</v>
      </c>
      <c r="AH7" s="8">
        <v>2425.1089999999999</v>
      </c>
      <c r="AI7" s="8">
        <v>244281.24299999999</v>
      </c>
      <c r="AJ7" s="8">
        <v>75473.505000000005</v>
      </c>
      <c r="AK7" s="8">
        <v>9005.8259999999991</v>
      </c>
      <c r="AL7" s="8">
        <v>205933.79500000001</v>
      </c>
      <c r="AM7" s="8">
        <v>103796.12699999999</v>
      </c>
      <c r="AN7" s="8">
        <v>0</v>
      </c>
      <c r="AO7" s="8">
        <v>68879.599000000002</v>
      </c>
      <c r="AP7" s="8">
        <v>2179.64</v>
      </c>
      <c r="AQ7" s="8">
        <v>10492.790999999999</v>
      </c>
      <c r="AR7" s="8">
        <v>18013.771000000001</v>
      </c>
      <c r="AS7" s="8">
        <v>2741.402</v>
      </c>
      <c r="AT7" s="8">
        <v>41.478000000000002</v>
      </c>
      <c r="AU7" s="8">
        <v>0</v>
      </c>
      <c r="AV7" s="8">
        <v>251.50299999999999</v>
      </c>
      <c r="AW7" s="8">
        <v>5786.2439999999997</v>
      </c>
      <c r="AX7" s="8">
        <v>13195.868</v>
      </c>
      <c r="AY7" s="8">
        <v>333.233</v>
      </c>
      <c r="AZ7" s="8">
        <v>485.71300000000002</v>
      </c>
      <c r="BA7" s="8">
        <v>2012.742</v>
      </c>
      <c r="BB7" s="8">
        <v>233.1</v>
      </c>
      <c r="BC7" s="8">
        <v>957.97199999999998</v>
      </c>
      <c r="BD7" s="8">
        <v>291.38099999999997</v>
      </c>
      <c r="BE7" s="8">
        <v>2615.7510000000002</v>
      </c>
      <c r="BF7" s="8">
        <v>285.50099999999998</v>
      </c>
      <c r="BG7" s="8">
        <v>900.09699999999998</v>
      </c>
      <c r="BH7" s="8">
        <v>6392.23</v>
      </c>
      <c r="BI7" s="8">
        <v>63.814999999999998</v>
      </c>
      <c r="BL7" s="22"/>
    </row>
    <row r="8" spans="1:64" ht="15.75">
      <c r="A8" s="22"/>
      <c r="B8" s="7" t="s">
        <v>5</v>
      </c>
      <c r="C8" s="7" t="s">
        <v>6</v>
      </c>
      <c r="D8" s="8">
        <v>1</v>
      </c>
      <c r="E8" s="8">
        <v>1</v>
      </c>
      <c r="F8" s="8">
        <v>141374.258</v>
      </c>
      <c r="G8" s="8">
        <v>6693.46</v>
      </c>
      <c r="H8" s="8">
        <v>3611.181</v>
      </c>
      <c r="I8" s="8">
        <v>12116.745000000001</v>
      </c>
      <c r="J8" s="8">
        <v>1564.1210000000001</v>
      </c>
      <c r="K8" s="8">
        <v>6603.0540000000001</v>
      </c>
      <c r="L8" s="8">
        <v>2759.7150000000001</v>
      </c>
      <c r="M8" s="8">
        <v>156553.76199999999</v>
      </c>
      <c r="N8" s="8">
        <v>20317.940999999999</v>
      </c>
      <c r="O8" s="8">
        <v>90.911000000000001</v>
      </c>
      <c r="P8" s="8">
        <v>1872.204</v>
      </c>
      <c r="Q8" s="8">
        <v>241.393</v>
      </c>
      <c r="R8" s="8">
        <v>773.57600000000002</v>
      </c>
      <c r="S8" s="8">
        <v>394.62200000000001</v>
      </c>
      <c r="T8" s="8">
        <v>3078.0940000000001</v>
      </c>
      <c r="U8" s="8">
        <v>8.0649999999999995</v>
      </c>
      <c r="V8" s="8">
        <v>1655.0630000000001</v>
      </c>
      <c r="W8" s="8">
        <v>2391.4119999999998</v>
      </c>
      <c r="X8" s="8">
        <v>2774.703</v>
      </c>
      <c r="Y8" s="8">
        <v>11608.664000000001</v>
      </c>
      <c r="Z8" s="8">
        <v>47698.091</v>
      </c>
      <c r="AA8" s="8">
        <v>3540.12</v>
      </c>
      <c r="AB8" s="8">
        <v>24078.165000000001</v>
      </c>
      <c r="AC8" s="8">
        <v>68769.611000000004</v>
      </c>
      <c r="AD8" s="8">
        <v>2641.393</v>
      </c>
      <c r="AE8" s="8">
        <v>4378.34</v>
      </c>
      <c r="AF8" s="8">
        <v>151525.26800000001</v>
      </c>
      <c r="AG8" s="8">
        <v>88405.933999999994</v>
      </c>
      <c r="AH8" s="8">
        <v>25596.273000000001</v>
      </c>
      <c r="AI8" s="8">
        <v>243223.9</v>
      </c>
      <c r="AJ8" s="8">
        <v>92079.630999999994</v>
      </c>
      <c r="AK8" s="8">
        <v>16914.337</v>
      </c>
      <c r="AL8" s="8">
        <v>154061.84400000001</v>
      </c>
      <c r="AM8" s="8">
        <v>73866.907999999996</v>
      </c>
      <c r="AN8" s="8">
        <v>507.44900000000001</v>
      </c>
      <c r="AO8" s="8">
        <v>50403.773999999998</v>
      </c>
      <c r="AP8" s="8">
        <v>7082.0460000000003</v>
      </c>
      <c r="AQ8" s="8">
        <v>0</v>
      </c>
      <c r="AR8" s="8">
        <v>9255.5030000000006</v>
      </c>
      <c r="AS8" s="8">
        <v>0</v>
      </c>
      <c r="AT8" s="8">
        <v>11.276</v>
      </c>
      <c r="AU8" s="8">
        <v>0</v>
      </c>
      <c r="AV8" s="8">
        <v>158.83799999999999</v>
      </c>
      <c r="AW8" s="8">
        <v>0</v>
      </c>
      <c r="AX8" s="8">
        <v>0</v>
      </c>
      <c r="AY8" s="8">
        <v>21129.219000000001</v>
      </c>
      <c r="AZ8" s="8">
        <v>355.22300000000001</v>
      </c>
      <c r="BA8" s="8">
        <v>1530.104</v>
      </c>
      <c r="BB8" s="8">
        <v>10381.014999999999</v>
      </c>
      <c r="BC8" s="8">
        <v>399.75700000000001</v>
      </c>
      <c r="BD8" s="8">
        <v>140.99700000000001</v>
      </c>
      <c r="BE8" s="8">
        <v>2000.5909999999999</v>
      </c>
      <c r="BF8" s="8">
        <v>113.592</v>
      </c>
      <c r="BG8" s="8">
        <v>685.10299999999995</v>
      </c>
      <c r="BH8" s="8">
        <v>7310.7049999999999</v>
      </c>
      <c r="BI8" s="8">
        <v>50.252000000000002</v>
      </c>
      <c r="BL8" s="22"/>
    </row>
    <row r="9" spans="1:64" ht="15.75">
      <c r="A9" s="22"/>
      <c r="B9" s="7" t="s">
        <v>7</v>
      </c>
      <c r="C9" s="7" t="s">
        <v>8</v>
      </c>
      <c r="D9" s="8">
        <v>1</v>
      </c>
      <c r="E9" s="8">
        <v>1</v>
      </c>
      <c r="F9" s="8">
        <v>770958.85600000003</v>
      </c>
      <c r="G9" s="8">
        <v>110490.91800000001</v>
      </c>
      <c r="H9" s="8">
        <v>0</v>
      </c>
      <c r="I9" s="8">
        <v>0</v>
      </c>
      <c r="J9" s="8">
        <v>3060.0430000000001</v>
      </c>
      <c r="K9" s="8">
        <v>0</v>
      </c>
      <c r="L9" s="8">
        <v>0</v>
      </c>
      <c r="M9" s="8">
        <v>1675122.054</v>
      </c>
      <c r="N9" s="8">
        <v>39570.182000000001</v>
      </c>
      <c r="O9" s="8">
        <v>0</v>
      </c>
      <c r="P9" s="8">
        <v>9774.8340000000007</v>
      </c>
      <c r="Q9" s="8">
        <v>0</v>
      </c>
      <c r="R9" s="8">
        <v>5495.94</v>
      </c>
      <c r="S9" s="8">
        <v>1252.6400000000001</v>
      </c>
      <c r="T9" s="8">
        <v>35591.514000000003</v>
      </c>
      <c r="U9" s="8">
        <v>0</v>
      </c>
      <c r="V9" s="8">
        <v>0</v>
      </c>
      <c r="W9" s="8">
        <v>0</v>
      </c>
      <c r="X9" s="8">
        <v>13729.108</v>
      </c>
      <c r="Y9" s="8">
        <v>106904.78</v>
      </c>
      <c r="Z9" s="8">
        <v>392066.61</v>
      </c>
      <c r="AA9" s="8">
        <v>30052.307000000001</v>
      </c>
      <c r="AB9" s="8">
        <v>68914.082999999999</v>
      </c>
      <c r="AC9" s="8">
        <v>361279.72200000001</v>
      </c>
      <c r="AD9" s="8">
        <v>24900.243999999999</v>
      </c>
      <c r="AE9" s="8">
        <v>14909.045</v>
      </c>
      <c r="AF9" s="8">
        <v>1160033.888</v>
      </c>
      <c r="AG9" s="8">
        <v>1088915.048</v>
      </c>
      <c r="AH9" s="8">
        <v>94777.252999999997</v>
      </c>
      <c r="AI9" s="8">
        <v>2827337.71</v>
      </c>
      <c r="AJ9" s="8">
        <v>1575346.6629999999</v>
      </c>
      <c r="AK9" s="8">
        <v>147740.68400000001</v>
      </c>
      <c r="AL9" s="8">
        <v>5759031.5860000001</v>
      </c>
      <c r="AM9" s="8">
        <v>2940471.2140000002</v>
      </c>
      <c r="AN9" s="8">
        <v>0</v>
      </c>
      <c r="AO9" s="8">
        <v>1939141.15</v>
      </c>
      <c r="AP9" s="8">
        <v>37464.934999999998</v>
      </c>
      <c r="AQ9" s="8">
        <v>0</v>
      </c>
      <c r="AR9" s="8">
        <v>454343.47399999999</v>
      </c>
      <c r="AS9" s="8">
        <v>0</v>
      </c>
      <c r="AT9" s="8">
        <v>360.28300000000002</v>
      </c>
      <c r="AU9" s="8">
        <v>0</v>
      </c>
      <c r="AV9" s="8">
        <v>2143.0160000000001</v>
      </c>
      <c r="AW9" s="8">
        <v>0</v>
      </c>
      <c r="AX9" s="8">
        <v>0</v>
      </c>
      <c r="AY9" s="8">
        <v>154653.72</v>
      </c>
      <c r="AZ9" s="8">
        <v>0</v>
      </c>
      <c r="BA9" s="8">
        <v>0</v>
      </c>
      <c r="BB9" s="8">
        <v>118170.401</v>
      </c>
      <c r="BC9" s="8">
        <v>17590.91</v>
      </c>
      <c r="BD9" s="8">
        <v>0</v>
      </c>
      <c r="BE9" s="8">
        <v>0</v>
      </c>
      <c r="BF9" s="8">
        <v>5026.2579999999998</v>
      </c>
      <c r="BG9" s="8">
        <v>0</v>
      </c>
      <c r="BH9" s="8">
        <v>82245.959000000003</v>
      </c>
      <c r="BI9" s="8">
        <v>0</v>
      </c>
      <c r="BL9" s="22"/>
    </row>
    <row r="10" spans="1:64" ht="15.75">
      <c r="A10" s="22"/>
      <c r="B10" s="7" t="s">
        <v>9</v>
      </c>
      <c r="C10" s="7" t="s">
        <v>10</v>
      </c>
      <c r="D10" s="8">
        <v>1</v>
      </c>
      <c r="E10" s="8">
        <v>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L10" s="22"/>
    </row>
    <row r="11" spans="1:64" ht="15.75">
      <c r="A11" s="22"/>
      <c r="B11" s="7" t="s">
        <v>11</v>
      </c>
      <c r="C11" s="7" t="s">
        <v>12</v>
      </c>
      <c r="D11" s="8">
        <v>1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L11" s="22"/>
    </row>
    <row r="12" spans="1:64" ht="15.75">
      <c r="A12" s="22"/>
      <c r="B12" s="7" t="s">
        <v>13</v>
      </c>
      <c r="C12" s="7" t="s">
        <v>14</v>
      </c>
      <c r="D12" s="8">
        <v>1</v>
      </c>
      <c r="E12" s="8">
        <v>1</v>
      </c>
      <c r="F12" s="8">
        <v>113878.997</v>
      </c>
      <c r="G12" s="8">
        <v>15238.066000000001</v>
      </c>
      <c r="H12" s="8">
        <v>2647.09</v>
      </c>
      <c r="I12" s="8">
        <v>0</v>
      </c>
      <c r="J12" s="8">
        <v>752.01</v>
      </c>
      <c r="K12" s="8">
        <v>2404.7089999999998</v>
      </c>
      <c r="L12" s="8">
        <v>0</v>
      </c>
      <c r="M12" s="8">
        <v>202702.421</v>
      </c>
      <c r="N12" s="8">
        <v>9991.1200000000008</v>
      </c>
      <c r="O12" s="8">
        <v>0</v>
      </c>
      <c r="P12" s="8">
        <v>147.315</v>
      </c>
      <c r="Q12" s="8">
        <v>27.443000000000001</v>
      </c>
      <c r="R12" s="8">
        <v>139.339</v>
      </c>
      <c r="S12" s="8">
        <v>10.481999999999999</v>
      </c>
      <c r="T12" s="8">
        <v>5171.38</v>
      </c>
      <c r="U12" s="8">
        <v>0</v>
      </c>
      <c r="V12" s="8">
        <v>0</v>
      </c>
      <c r="W12" s="8">
        <v>490.23599999999999</v>
      </c>
      <c r="X12" s="8">
        <v>2175</v>
      </c>
      <c r="Y12" s="8">
        <v>9575.7549999999992</v>
      </c>
      <c r="Z12" s="8">
        <v>49057.728000000003</v>
      </c>
      <c r="AA12" s="8">
        <v>124.53</v>
      </c>
      <c r="AB12" s="8">
        <v>12759.925999999999</v>
      </c>
      <c r="AC12" s="8">
        <v>9960.3150000000005</v>
      </c>
      <c r="AD12" s="8">
        <v>3341.8580000000002</v>
      </c>
      <c r="AE12" s="8">
        <v>93.753</v>
      </c>
      <c r="AF12" s="8">
        <v>143347.68400000001</v>
      </c>
      <c r="AG12" s="8">
        <v>120216.378</v>
      </c>
      <c r="AH12" s="8">
        <v>426.29700000000003</v>
      </c>
      <c r="AI12" s="8">
        <v>360646.72200000001</v>
      </c>
      <c r="AJ12" s="8">
        <v>174109.94099999999</v>
      </c>
      <c r="AK12" s="8">
        <v>576.79700000000003</v>
      </c>
      <c r="AL12" s="8">
        <v>230704.05499999999</v>
      </c>
      <c r="AM12" s="8">
        <v>117793.872</v>
      </c>
      <c r="AN12" s="8">
        <v>0</v>
      </c>
      <c r="AO12" s="8">
        <v>77681.067999999999</v>
      </c>
      <c r="AP12" s="8">
        <v>4929.2659999999996</v>
      </c>
      <c r="AQ12" s="8">
        <v>0</v>
      </c>
      <c r="AR12" s="8">
        <v>49991.370999999999</v>
      </c>
      <c r="AS12" s="8">
        <v>0</v>
      </c>
      <c r="AT12" s="8">
        <v>44.231999999999999</v>
      </c>
      <c r="AU12" s="8">
        <v>0</v>
      </c>
      <c r="AV12" s="8">
        <v>291.80700000000002</v>
      </c>
      <c r="AW12" s="8">
        <v>0</v>
      </c>
      <c r="AX12" s="8">
        <v>0</v>
      </c>
      <c r="AY12" s="8">
        <v>13852.759</v>
      </c>
      <c r="AZ12" s="8">
        <v>163.61600000000001</v>
      </c>
      <c r="BA12" s="8">
        <v>1009.658</v>
      </c>
      <c r="BB12" s="8">
        <v>10584.848</v>
      </c>
      <c r="BC12" s="8">
        <v>2319.1990000000001</v>
      </c>
      <c r="BD12" s="8">
        <v>63.08</v>
      </c>
      <c r="BE12" s="8">
        <v>1320.114</v>
      </c>
      <c r="BF12" s="8">
        <v>664.10799999999995</v>
      </c>
      <c r="BG12" s="8">
        <v>452.07400000000001</v>
      </c>
      <c r="BH12" s="8">
        <v>349.99299999999999</v>
      </c>
      <c r="BI12" s="8">
        <v>22.483000000000001</v>
      </c>
      <c r="BL12" s="22"/>
    </row>
    <row r="13" spans="1:64" ht="15.75">
      <c r="A13" s="22"/>
      <c r="B13" s="7" t="s">
        <v>3</v>
      </c>
      <c r="C13" s="7" t="s">
        <v>15</v>
      </c>
      <c r="D13" s="8">
        <v>1</v>
      </c>
      <c r="E13" s="8">
        <v>1</v>
      </c>
      <c r="F13" s="8">
        <v>27.282</v>
      </c>
      <c r="G13" s="8">
        <v>3.774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121.619</v>
      </c>
      <c r="N13" s="8">
        <v>9.0269999999999992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8.3320000000000007</v>
      </c>
      <c r="AG13" s="8">
        <v>1.24</v>
      </c>
      <c r="AH13" s="8">
        <v>0</v>
      </c>
      <c r="AI13" s="8">
        <v>78.093000000000004</v>
      </c>
      <c r="AJ13" s="8">
        <v>0.84099999999999997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L13" s="22"/>
    </row>
    <row r="14" spans="1:64" ht="15.75">
      <c r="A14" s="22"/>
      <c r="B14" s="7" t="s">
        <v>16</v>
      </c>
      <c r="C14" s="7" t="s">
        <v>17</v>
      </c>
      <c r="D14" s="8">
        <v>1</v>
      </c>
      <c r="E14" s="8">
        <v>1</v>
      </c>
      <c r="F14" s="8">
        <v>35586.654000000002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15565.712</v>
      </c>
      <c r="N14" s="8">
        <v>23286.09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0.02</v>
      </c>
      <c r="Z14" s="8">
        <v>5330.2529999999997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23009.937000000002</v>
      </c>
      <c r="AG14" s="8">
        <v>15796.088</v>
      </c>
      <c r="AH14" s="8">
        <v>0</v>
      </c>
      <c r="AI14" s="8">
        <v>54659.040000000001</v>
      </c>
      <c r="AJ14" s="8">
        <v>55695.834999999999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6185.8519999999999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L14" s="22"/>
    </row>
    <row r="15" spans="1:64" ht="15.75">
      <c r="A15" s="22"/>
      <c r="B15" s="7" t="s">
        <v>18</v>
      </c>
      <c r="C15" s="7" t="s">
        <v>19</v>
      </c>
      <c r="D15" s="8">
        <v>2</v>
      </c>
      <c r="E15" s="8">
        <v>2</v>
      </c>
      <c r="F15" s="8">
        <v>1126180.4820000001</v>
      </c>
      <c r="G15" s="8">
        <v>81305.963000000003</v>
      </c>
      <c r="H15" s="8">
        <v>192778.88800000001</v>
      </c>
      <c r="I15" s="8">
        <v>0</v>
      </c>
      <c r="J15" s="8">
        <v>24063.73</v>
      </c>
      <c r="K15" s="8">
        <v>113718.90700000001</v>
      </c>
      <c r="L15" s="8">
        <v>0</v>
      </c>
      <c r="M15" s="8">
        <v>397261.86700000003</v>
      </c>
      <c r="N15" s="8">
        <v>271644.48800000001</v>
      </c>
      <c r="O15" s="8">
        <v>0</v>
      </c>
      <c r="P15" s="8">
        <v>0</v>
      </c>
      <c r="Q15" s="8">
        <v>12971.734</v>
      </c>
      <c r="R15" s="8">
        <v>920.99</v>
      </c>
      <c r="S15" s="8">
        <v>1307.68</v>
      </c>
      <c r="T15" s="8">
        <v>25175.544999999998</v>
      </c>
      <c r="U15" s="8">
        <v>0</v>
      </c>
      <c r="V15" s="8">
        <v>0</v>
      </c>
      <c r="W15" s="8">
        <v>17597.397000000001</v>
      </c>
      <c r="X15" s="8">
        <v>25652.857</v>
      </c>
      <c r="Y15" s="8">
        <v>0</v>
      </c>
      <c r="Z15" s="8">
        <v>243314.06599999999</v>
      </c>
      <c r="AA15" s="8">
        <v>0</v>
      </c>
      <c r="AB15" s="8">
        <v>249449.46599999999</v>
      </c>
      <c r="AC15" s="8">
        <v>0</v>
      </c>
      <c r="AD15" s="8">
        <v>10973.438</v>
      </c>
      <c r="AE15" s="8">
        <v>6549.1289999999999</v>
      </c>
      <c r="AF15" s="8">
        <v>704540.16399999999</v>
      </c>
      <c r="AG15" s="8">
        <v>0</v>
      </c>
      <c r="AH15" s="8">
        <v>29394.208999999999</v>
      </c>
      <c r="AI15" s="8">
        <v>1414074.8929999999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18528.23</v>
      </c>
      <c r="AQ15" s="8">
        <v>0</v>
      </c>
      <c r="AR15" s="8">
        <v>0</v>
      </c>
      <c r="AS15" s="8">
        <v>0</v>
      </c>
      <c r="AT15" s="8">
        <v>676.36699999999996</v>
      </c>
      <c r="AU15" s="8">
        <v>0</v>
      </c>
      <c r="AV15" s="8">
        <v>15356.919</v>
      </c>
      <c r="AW15" s="8">
        <v>0</v>
      </c>
      <c r="AX15" s="8">
        <v>0</v>
      </c>
      <c r="AY15" s="8">
        <v>0</v>
      </c>
      <c r="AZ15" s="8">
        <v>17912.672999999999</v>
      </c>
      <c r="BA15" s="8">
        <v>0</v>
      </c>
      <c r="BB15" s="8">
        <v>0</v>
      </c>
      <c r="BC15" s="8">
        <v>9445.4089999999997</v>
      </c>
      <c r="BD15" s="8">
        <v>7237.46</v>
      </c>
      <c r="BE15" s="8">
        <v>0</v>
      </c>
      <c r="BF15" s="8">
        <v>2501.357</v>
      </c>
      <c r="BG15" s="8">
        <v>0</v>
      </c>
      <c r="BH15" s="8">
        <v>0</v>
      </c>
      <c r="BI15" s="8">
        <v>2498.5039999999999</v>
      </c>
      <c r="BL15" s="22"/>
    </row>
    <row r="16" spans="1:64" ht="15.75">
      <c r="A16" s="22"/>
      <c r="B16" s="7" t="s">
        <v>20</v>
      </c>
      <c r="C16" s="7" t="s">
        <v>21</v>
      </c>
      <c r="D16" s="8">
        <v>2</v>
      </c>
      <c r="E16" s="8">
        <v>2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L16" s="22"/>
    </row>
    <row r="17" spans="1:64" ht="15.75">
      <c r="A17" s="22"/>
      <c r="B17" s="7" t="s">
        <v>22</v>
      </c>
      <c r="C17" s="7" t="s">
        <v>23</v>
      </c>
      <c r="D17" s="8">
        <v>2</v>
      </c>
      <c r="E17" s="8">
        <v>2</v>
      </c>
      <c r="F17" s="8">
        <v>1033591.165</v>
      </c>
      <c r="G17" s="8">
        <v>76911.039000000004</v>
      </c>
      <c r="H17" s="8">
        <v>171828.329</v>
      </c>
      <c r="I17" s="8">
        <v>0</v>
      </c>
      <c r="J17" s="8">
        <v>21571.561000000002</v>
      </c>
      <c r="K17" s="8">
        <v>101360.32000000001</v>
      </c>
      <c r="L17" s="8">
        <v>57283.211000000003</v>
      </c>
      <c r="M17" s="8">
        <v>421419.576</v>
      </c>
      <c r="N17" s="8">
        <v>243713.58799999999</v>
      </c>
      <c r="O17" s="8">
        <v>12355.768</v>
      </c>
      <c r="P17" s="8">
        <v>0</v>
      </c>
      <c r="Q17" s="8">
        <v>0</v>
      </c>
      <c r="R17" s="8">
        <v>1428.229</v>
      </c>
      <c r="S17" s="8">
        <v>2027.886</v>
      </c>
      <c r="T17" s="8">
        <v>23870.135999999999</v>
      </c>
      <c r="U17" s="8">
        <v>0</v>
      </c>
      <c r="V17" s="8">
        <v>46052.633000000002</v>
      </c>
      <c r="W17" s="8">
        <v>15684.97</v>
      </c>
      <c r="X17" s="8">
        <v>23416.826000000001</v>
      </c>
      <c r="Y17" s="8">
        <v>0</v>
      </c>
      <c r="Z17" s="8">
        <v>232430.465</v>
      </c>
      <c r="AA17" s="8">
        <v>0</v>
      </c>
      <c r="AB17" s="8">
        <v>225087.84700000001</v>
      </c>
      <c r="AC17" s="8">
        <v>0</v>
      </c>
      <c r="AD17" s="8">
        <v>10781.735000000001</v>
      </c>
      <c r="AE17" s="8">
        <v>5837.393</v>
      </c>
      <c r="AF17" s="8">
        <v>673146.46600000001</v>
      </c>
      <c r="AG17" s="8">
        <v>43768.434000000001</v>
      </c>
      <c r="AH17" s="8">
        <v>26199.744999999999</v>
      </c>
      <c r="AI17" s="8">
        <v>1374094.024</v>
      </c>
      <c r="AJ17" s="8">
        <v>63320.360999999997</v>
      </c>
      <c r="AK17" s="8">
        <v>0</v>
      </c>
      <c r="AL17" s="8">
        <v>0</v>
      </c>
      <c r="AM17" s="8">
        <v>0</v>
      </c>
      <c r="AN17" s="8">
        <v>11942.697</v>
      </c>
      <c r="AO17" s="8">
        <v>0</v>
      </c>
      <c r="AP17" s="8">
        <v>18020.53</v>
      </c>
      <c r="AQ17" s="8">
        <v>0</v>
      </c>
      <c r="AR17" s="8">
        <v>18262.134999999998</v>
      </c>
      <c r="AS17" s="8">
        <v>0</v>
      </c>
      <c r="AT17" s="8">
        <v>617.346</v>
      </c>
      <c r="AU17" s="8">
        <v>0</v>
      </c>
      <c r="AV17" s="8">
        <v>14533.036</v>
      </c>
      <c r="AW17" s="8">
        <v>0</v>
      </c>
      <c r="AX17" s="8">
        <v>0</v>
      </c>
      <c r="AY17" s="8">
        <v>0</v>
      </c>
      <c r="AZ17" s="8">
        <v>15965.983</v>
      </c>
      <c r="BA17" s="8">
        <v>0</v>
      </c>
      <c r="BB17" s="8">
        <v>0</v>
      </c>
      <c r="BC17" s="8">
        <v>9125.9719999999998</v>
      </c>
      <c r="BD17" s="8">
        <v>6450.9179999999997</v>
      </c>
      <c r="BE17" s="8">
        <v>0</v>
      </c>
      <c r="BF17" s="8">
        <v>2431.5450000000001</v>
      </c>
      <c r="BG17" s="8">
        <v>0</v>
      </c>
      <c r="BH17" s="8">
        <v>0</v>
      </c>
      <c r="BI17" s="8">
        <v>2226.9740000000002</v>
      </c>
      <c r="BL17" s="22"/>
    </row>
    <row r="18" spans="1:64" ht="15.75">
      <c r="A18" s="22"/>
      <c r="B18" s="7" t="s">
        <v>24</v>
      </c>
      <c r="C18" s="7" t="s">
        <v>25</v>
      </c>
      <c r="D18" s="8">
        <v>2</v>
      </c>
      <c r="E18" s="8">
        <v>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L18" s="22"/>
    </row>
    <row r="19" spans="1:64" ht="15.75">
      <c r="A19" s="22"/>
      <c r="B19" s="7" t="s">
        <v>26</v>
      </c>
      <c r="C19" s="7" t="s">
        <v>27</v>
      </c>
      <c r="D19" s="8">
        <v>2</v>
      </c>
      <c r="E19" s="8">
        <v>2</v>
      </c>
      <c r="F19" s="8">
        <v>137586.47099999999</v>
      </c>
      <c r="G19" s="8">
        <v>20504.572</v>
      </c>
      <c r="H19" s="8">
        <v>0</v>
      </c>
      <c r="I19" s="8">
        <v>0</v>
      </c>
      <c r="J19" s="8">
        <v>567.87400000000002</v>
      </c>
      <c r="K19" s="8">
        <v>0</v>
      </c>
      <c r="L19" s="8">
        <v>115818.55100000001</v>
      </c>
      <c r="M19" s="8">
        <v>310864.09399999998</v>
      </c>
      <c r="N19" s="8">
        <v>7343.3149999999996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6604.9650000000001</v>
      </c>
      <c r="U19" s="8">
        <v>1018.211</v>
      </c>
      <c r="V19" s="8">
        <v>93111.909</v>
      </c>
      <c r="W19" s="8">
        <v>0</v>
      </c>
      <c r="X19" s="8">
        <v>2547.806</v>
      </c>
      <c r="Y19" s="8">
        <v>31659.384999999998</v>
      </c>
      <c r="Z19" s="8">
        <v>71835.183000000005</v>
      </c>
      <c r="AA19" s="8">
        <v>0</v>
      </c>
      <c r="AB19" s="8">
        <v>12686.081</v>
      </c>
      <c r="AC19" s="8">
        <v>0</v>
      </c>
      <c r="AD19" s="8">
        <v>4620.9120000000003</v>
      </c>
      <c r="AE19" s="8">
        <v>0</v>
      </c>
      <c r="AF19" s="8">
        <v>208563.91699999999</v>
      </c>
      <c r="AG19" s="8">
        <v>202077.45699999999</v>
      </c>
      <c r="AH19" s="8">
        <v>0</v>
      </c>
      <c r="AI19" s="8">
        <v>524061.81900000002</v>
      </c>
      <c r="AJ19" s="8">
        <v>292348.07799999998</v>
      </c>
      <c r="AK19" s="8">
        <v>0</v>
      </c>
      <c r="AL19" s="8">
        <v>0</v>
      </c>
      <c r="AM19" s="8">
        <v>0</v>
      </c>
      <c r="AN19" s="8">
        <v>24146.442999999999</v>
      </c>
      <c r="AO19" s="8">
        <v>0</v>
      </c>
      <c r="AP19" s="8">
        <v>6952.6279999999997</v>
      </c>
      <c r="AQ19" s="8">
        <v>0</v>
      </c>
      <c r="AR19" s="8">
        <v>84315.69</v>
      </c>
      <c r="AS19" s="8">
        <v>0</v>
      </c>
      <c r="AT19" s="8">
        <v>66.861000000000004</v>
      </c>
      <c r="AU19" s="8">
        <v>0</v>
      </c>
      <c r="AV19" s="8">
        <v>480.24299999999999</v>
      </c>
      <c r="AW19" s="8">
        <v>0</v>
      </c>
      <c r="AX19" s="8">
        <v>0</v>
      </c>
      <c r="AY19" s="8">
        <v>45800.023000000001</v>
      </c>
      <c r="AZ19" s="8">
        <v>0</v>
      </c>
      <c r="BA19" s="8">
        <v>0</v>
      </c>
      <c r="BB19" s="8">
        <v>34995.648000000001</v>
      </c>
      <c r="BC19" s="8">
        <v>3264.4690000000001</v>
      </c>
      <c r="BD19" s="8">
        <v>0</v>
      </c>
      <c r="BE19" s="8">
        <v>0</v>
      </c>
      <c r="BF19" s="8">
        <v>932.75599999999997</v>
      </c>
      <c r="BG19" s="8">
        <v>0</v>
      </c>
      <c r="BH19" s="8">
        <v>0</v>
      </c>
      <c r="BI19" s="8">
        <v>0</v>
      </c>
      <c r="BL19" s="22"/>
    </row>
    <row r="20" spans="1:64" ht="15.75">
      <c r="A20" s="22"/>
      <c r="B20" s="7" t="s">
        <v>28</v>
      </c>
      <c r="C20" s="7" t="s">
        <v>29</v>
      </c>
      <c r="D20" s="8">
        <v>6</v>
      </c>
      <c r="E20" s="8">
        <v>6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L20" s="22"/>
    </row>
    <row r="21" spans="1:64" ht="15.75">
      <c r="A21" s="22"/>
      <c r="B21" s="7" t="s">
        <v>30</v>
      </c>
      <c r="C21" s="7" t="s">
        <v>31</v>
      </c>
      <c r="D21" s="8">
        <v>5</v>
      </c>
      <c r="E21" s="8">
        <v>5</v>
      </c>
      <c r="F21" s="8">
        <v>0</v>
      </c>
      <c r="G21" s="8">
        <v>0</v>
      </c>
      <c r="H21" s="8">
        <v>0</v>
      </c>
      <c r="I21" s="8">
        <v>954295.79799999995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L21" s="22"/>
    </row>
    <row r="22" spans="1:64" ht="15.75">
      <c r="A22" s="22"/>
      <c r="B22" s="7" t="s">
        <v>32</v>
      </c>
      <c r="C22" s="7" t="s">
        <v>33</v>
      </c>
      <c r="D22" s="8">
        <v>2</v>
      </c>
      <c r="E22" s="8">
        <v>2</v>
      </c>
      <c r="F22" s="8">
        <v>32051.917000000001</v>
      </c>
      <c r="G22" s="8">
        <v>1958.674</v>
      </c>
      <c r="H22" s="8">
        <v>6165.1139999999996</v>
      </c>
      <c r="I22" s="8">
        <v>0</v>
      </c>
      <c r="J22" s="8">
        <v>579.69899999999996</v>
      </c>
      <c r="K22" s="8">
        <v>3906.5590000000002</v>
      </c>
      <c r="L22" s="8">
        <v>0</v>
      </c>
      <c r="M22" s="8">
        <v>13281.439</v>
      </c>
      <c r="N22" s="8">
        <v>8302.2669999999998</v>
      </c>
      <c r="O22" s="8">
        <v>0</v>
      </c>
      <c r="P22" s="8">
        <v>0</v>
      </c>
      <c r="Q22" s="8">
        <v>0</v>
      </c>
      <c r="R22" s="8">
        <v>119.871</v>
      </c>
      <c r="S22" s="8">
        <v>309.33699999999999</v>
      </c>
      <c r="T22" s="8">
        <v>606.48299999999995</v>
      </c>
      <c r="U22" s="8">
        <v>0</v>
      </c>
      <c r="V22" s="8">
        <v>0</v>
      </c>
      <c r="W22" s="8">
        <v>423.92399999999998</v>
      </c>
      <c r="X22" s="8">
        <v>617.98199999999997</v>
      </c>
      <c r="Y22" s="8">
        <v>0</v>
      </c>
      <c r="Z22" s="8">
        <v>5861.4750000000004</v>
      </c>
      <c r="AA22" s="8">
        <v>0</v>
      </c>
      <c r="AB22" s="8">
        <v>6009.2780000000002</v>
      </c>
      <c r="AC22" s="8">
        <v>0</v>
      </c>
      <c r="AD22" s="8">
        <v>264.35199999999998</v>
      </c>
      <c r="AE22" s="8">
        <v>157.77000000000001</v>
      </c>
      <c r="AF22" s="8">
        <v>17663.867999999999</v>
      </c>
      <c r="AG22" s="8">
        <v>0</v>
      </c>
      <c r="AH22" s="8">
        <v>708.11099999999999</v>
      </c>
      <c r="AI22" s="8">
        <v>37555.389000000003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446.34800000000001</v>
      </c>
      <c r="AQ22" s="8">
        <v>0</v>
      </c>
      <c r="AR22" s="8">
        <v>0</v>
      </c>
      <c r="AS22" s="8">
        <v>0</v>
      </c>
      <c r="AT22" s="8">
        <v>16.294</v>
      </c>
      <c r="AU22" s="8">
        <v>0</v>
      </c>
      <c r="AV22" s="8">
        <v>283.142</v>
      </c>
      <c r="AW22" s="8">
        <v>0</v>
      </c>
      <c r="AX22" s="8">
        <v>0</v>
      </c>
      <c r="AY22" s="8">
        <v>0</v>
      </c>
      <c r="AZ22" s="8">
        <v>431.51900000000001</v>
      </c>
      <c r="BA22" s="8">
        <v>0</v>
      </c>
      <c r="BB22" s="8">
        <v>0</v>
      </c>
      <c r="BC22" s="8">
        <v>227.541</v>
      </c>
      <c r="BD22" s="8">
        <v>174.352</v>
      </c>
      <c r="BE22" s="8">
        <v>0</v>
      </c>
      <c r="BF22" s="8">
        <v>60.258000000000003</v>
      </c>
      <c r="BG22" s="8">
        <v>0</v>
      </c>
      <c r="BH22" s="8">
        <v>7041.1440000000002</v>
      </c>
      <c r="BI22" s="8">
        <v>60.189</v>
      </c>
      <c r="BL22" s="22"/>
    </row>
    <row r="23" spans="1:64" ht="15.75">
      <c r="A23" s="22"/>
      <c r="B23" s="7" t="s">
        <v>34</v>
      </c>
      <c r="C23" s="7" t="s">
        <v>35</v>
      </c>
      <c r="D23" s="8">
        <v>2</v>
      </c>
      <c r="E23" s="8">
        <v>2</v>
      </c>
      <c r="F23" s="8">
        <v>88924.569000000003</v>
      </c>
      <c r="G23" s="8">
        <v>8901.9410000000007</v>
      </c>
      <c r="H23" s="8">
        <v>9091.6560000000009</v>
      </c>
      <c r="I23" s="8">
        <v>0</v>
      </c>
      <c r="J23" s="8">
        <v>1322.885</v>
      </c>
      <c r="K23" s="8">
        <v>5818.6660000000002</v>
      </c>
      <c r="L23" s="8">
        <v>0</v>
      </c>
      <c r="M23" s="8">
        <v>80686.103000000003</v>
      </c>
      <c r="N23" s="8">
        <v>15648.601000000001</v>
      </c>
      <c r="O23" s="8">
        <v>0</v>
      </c>
      <c r="P23" s="8">
        <v>151.22</v>
      </c>
      <c r="Q23" s="8">
        <v>0</v>
      </c>
      <c r="R23" s="8">
        <v>50.451000000000001</v>
      </c>
      <c r="S23" s="8">
        <v>0</v>
      </c>
      <c r="T23" s="8">
        <v>2835.8150000000001</v>
      </c>
      <c r="U23" s="8">
        <v>0</v>
      </c>
      <c r="V23" s="8">
        <v>0</v>
      </c>
      <c r="W23" s="8">
        <v>1186.7829999999999</v>
      </c>
      <c r="X23" s="8">
        <v>2721.6869999999999</v>
      </c>
      <c r="Y23" s="8">
        <v>0</v>
      </c>
      <c r="Z23" s="8">
        <v>33167.106</v>
      </c>
      <c r="AA23" s="8">
        <v>21.687000000000001</v>
      </c>
      <c r="AB23" s="8">
        <v>8409.9539999999997</v>
      </c>
      <c r="AC23" s="8">
        <v>3995.6970000000001</v>
      </c>
      <c r="AD23" s="8">
        <v>1740.8920000000001</v>
      </c>
      <c r="AE23" s="8">
        <v>276.55599999999998</v>
      </c>
      <c r="AF23" s="8">
        <v>120096.974</v>
      </c>
      <c r="AG23" s="8">
        <v>11548.795</v>
      </c>
      <c r="AH23" s="8">
        <v>2168.9630000000002</v>
      </c>
      <c r="AI23" s="8">
        <v>214324.20499999999</v>
      </c>
      <c r="AJ23" s="8">
        <v>16707.792000000001</v>
      </c>
      <c r="AK23" s="8">
        <v>109.163</v>
      </c>
      <c r="AL23" s="8">
        <v>1206834.773</v>
      </c>
      <c r="AM23" s="8">
        <v>616190.90899999999</v>
      </c>
      <c r="AN23" s="8">
        <v>0</v>
      </c>
      <c r="AO23" s="8">
        <v>406357.03</v>
      </c>
      <c r="AP23" s="8">
        <v>1469.4639999999999</v>
      </c>
      <c r="AQ23" s="8">
        <v>0</v>
      </c>
      <c r="AR23" s="8">
        <v>4818.67</v>
      </c>
      <c r="AS23" s="8">
        <v>0</v>
      </c>
      <c r="AT23" s="8">
        <v>9.593</v>
      </c>
      <c r="AU23" s="8">
        <v>0</v>
      </c>
      <c r="AV23" s="8">
        <v>148.45699999999999</v>
      </c>
      <c r="AW23" s="8">
        <v>0</v>
      </c>
      <c r="AX23" s="8">
        <v>0</v>
      </c>
      <c r="AY23" s="8">
        <v>0</v>
      </c>
      <c r="AZ23" s="8">
        <v>60.8</v>
      </c>
      <c r="BA23" s="8">
        <v>0</v>
      </c>
      <c r="BB23" s="8">
        <v>0</v>
      </c>
      <c r="BC23" s="8">
        <v>719.06700000000001</v>
      </c>
      <c r="BD23" s="8">
        <v>24.565999999999999</v>
      </c>
      <c r="BE23" s="8">
        <v>0</v>
      </c>
      <c r="BF23" s="8">
        <v>229.386</v>
      </c>
      <c r="BG23" s="8">
        <v>0</v>
      </c>
      <c r="BH23" s="8">
        <v>6497.1170000000002</v>
      </c>
      <c r="BI23" s="8">
        <v>8.4809999999999999</v>
      </c>
      <c r="BL23" s="22"/>
    </row>
    <row r="24" spans="1:64" ht="15.75">
      <c r="A24" s="22"/>
      <c r="B24" s="7" t="s">
        <v>36</v>
      </c>
      <c r="C24" s="7" t="s">
        <v>37</v>
      </c>
      <c r="D24" s="8">
        <v>6</v>
      </c>
      <c r="E24" s="8">
        <v>6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L24" s="22"/>
    </row>
    <row r="25" spans="1:64" ht="15.75">
      <c r="A25" s="22"/>
      <c r="B25" s="7" t="s">
        <v>38</v>
      </c>
      <c r="C25" s="7" t="s">
        <v>39</v>
      </c>
      <c r="D25" s="8">
        <v>6</v>
      </c>
      <c r="E25" s="8">
        <v>6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L25" s="22"/>
    </row>
    <row r="26" spans="1:64" ht="15.75">
      <c r="A26" s="22"/>
      <c r="B26" s="7" t="s">
        <v>40</v>
      </c>
      <c r="C26" s="7" t="s">
        <v>41</v>
      </c>
      <c r="D26" s="8">
        <v>6</v>
      </c>
      <c r="E26" s="8">
        <v>6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L26" s="22"/>
    </row>
    <row r="27" spans="1:64" ht="15.75">
      <c r="A27" s="22"/>
      <c r="B27" s="7" t="s">
        <v>42</v>
      </c>
      <c r="C27" s="7" t="s">
        <v>43</v>
      </c>
      <c r="D27" s="8">
        <v>6</v>
      </c>
      <c r="E27" s="8">
        <v>6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L27" s="22"/>
    </row>
    <row r="28" spans="1:64" ht="15.75">
      <c r="A28" s="22"/>
      <c r="B28" s="7" t="s">
        <v>44</v>
      </c>
      <c r="C28" s="7" t="s">
        <v>45</v>
      </c>
      <c r="D28" s="8">
        <v>6</v>
      </c>
      <c r="E28" s="8">
        <v>6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L28" s="22"/>
    </row>
    <row r="29" spans="1:64" ht="15.75">
      <c r="A29" s="22"/>
      <c r="B29" s="7" t="s">
        <v>46</v>
      </c>
      <c r="C29" s="7" t="s">
        <v>47</v>
      </c>
      <c r="D29" s="8">
        <v>6</v>
      </c>
      <c r="E29" s="8">
        <v>6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L29" s="22"/>
    </row>
    <row r="30" spans="1:64" ht="15.75">
      <c r="A30" s="22"/>
      <c r="B30" s="7" t="s">
        <v>48</v>
      </c>
      <c r="C30" s="7" t="s">
        <v>49</v>
      </c>
      <c r="D30" s="8">
        <v>6</v>
      </c>
      <c r="E30" s="8">
        <v>6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L30" s="22"/>
    </row>
    <row r="31" spans="1:64" ht="15.75">
      <c r="A31" s="22"/>
      <c r="B31" s="7" t="s">
        <v>50</v>
      </c>
      <c r="C31" s="7" t="s">
        <v>51</v>
      </c>
      <c r="D31" s="8">
        <v>6</v>
      </c>
      <c r="E31" s="8">
        <v>6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L31" s="22"/>
    </row>
    <row r="32" spans="1:64" ht="15.75">
      <c r="A32" s="22"/>
      <c r="B32" s="7" t="s">
        <v>52</v>
      </c>
      <c r="C32" s="7" t="s">
        <v>53</v>
      </c>
      <c r="D32" s="8">
        <v>6</v>
      </c>
      <c r="E32" s="8">
        <v>6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L32" s="22"/>
    </row>
    <row r="33" spans="1:64" ht="15.75">
      <c r="A33" s="22"/>
      <c r="B33" s="7" t="s">
        <v>54</v>
      </c>
      <c r="C33" s="7" t="s">
        <v>55</v>
      </c>
      <c r="D33" s="8">
        <v>6</v>
      </c>
      <c r="E33" s="8">
        <v>6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L33" s="22"/>
    </row>
    <row r="34" spans="1:64" ht="15.75">
      <c r="A34" s="22"/>
      <c r="B34" s="7" t="s">
        <v>56</v>
      </c>
      <c r="C34" s="7" t="s">
        <v>57</v>
      </c>
      <c r="D34" s="8">
        <v>6</v>
      </c>
      <c r="E34" s="8">
        <v>6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L34" s="22"/>
    </row>
    <row r="35" spans="1:64" ht="15.75">
      <c r="A35" s="22"/>
      <c r="B35" s="7" t="s">
        <v>58</v>
      </c>
      <c r="C35" s="7" t="s">
        <v>59</v>
      </c>
      <c r="D35" s="8">
        <v>6</v>
      </c>
      <c r="E35" s="8">
        <v>6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L35" s="22"/>
    </row>
    <row r="36" spans="1:64" ht="15.75">
      <c r="A36" s="22"/>
      <c r="B36" s="7" t="s">
        <v>60</v>
      </c>
      <c r="C36" s="7" t="s">
        <v>61</v>
      </c>
      <c r="D36" s="8">
        <v>6</v>
      </c>
      <c r="E36" s="8">
        <v>6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L36" s="22"/>
    </row>
    <row r="37" spans="1:64" ht="15.75">
      <c r="A37" s="22"/>
      <c r="B37" s="7" t="s">
        <v>62</v>
      </c>
      <c r="C37" s="7" t="s">
        <v>63</v>
      </c>
      <c r="D37" s="8">
        <v>6</v>
      </c>
      <c r="E37" s="8">
        <v>6</v>
      </c>
      <c r="F37" s="8">
        <v>1996.153</v>
      </c>
      <c r="G37" s="8">
        <v>286.60599999999999</v>
      </c>
      <c r="H37" s="8">
        <v>467.512</v>
      </c>
      <c r="I37" s="8">
        <v>0</v>
      </c>
      <c r="J37" s="8">
        <v>40.655000000000001</v>
      </c>
      <c r="K37" s="8">
        <v>266.97300000000001</v>
      </c>
      <c r="L37" s="8">
        <v>3217.991</v>
      </c>
      <c r="M37" s="8">
        <v>672.04399999999998</v>
      </c>
      <c r="N37" s="8">
        <v>924.96</v>
      </c>
      <c r="O37" s="8">
        <v>0</v>
      </c>
      <c r="P37" s="8">
        <v>0</v>
      </c>
      <c r="Q37" s="8">
        <v>2.5000000000000001E-2</v>
      </c>
      <c r="R37" s="8">
        <v>0</v>
      </c>
      <c r="S37" s="8">
        <v>0</v>
      </c>
      <c r="T37" s="8">
        <v>133.94900000000001</v>
      </c>
      <c r="U37" s="8">
        <v>0</v>
      </c>
      <c r="V37" s="8">
        <v>2587.0929999999998</v>
      </c>
      <c r="W37" s="8">
        <v>68.364999999999995</v>
      </c>
      <c r="X37" s="8">
        <v>93.906000000000006</v>
      </c>
      <c r="Y37" s="8">
        <v>0</v>
      </c>
      <c r="Z37" s="8">
        <v>305.928</v>
      </c>
      <c r="AA37" s="8">
        <v>0</v>
      </c>
      <c r="AB37" s="8">
        <v>548.88499999999999</v>
      </c>
      <c r="AC37" s="8">
        <v>0</v>
      </c>
      <c r="AD37" s="8">
        <v>45.94</v>
      </c>
      <c r="AE37" s="8">
        <v>0</v>
      </c>
      <c r="AF37" s="8">
        <v>328.52800000000002</v>
      </c>
      <c r="AG37" s="8">
        <v>0</v>
      </c>
      <c r="AH37" s="8">
        <v>0</v>
      </c>
      <c r="AI37" s="8">
        <v>1485.825</v>
      </c>
      <c r="AJ37" s="8">
        <v>0</v>
      </c>
      <c r="AK37" s="8">
        <v>0</v>
      </c>
      <c r="AL37" s="8">
        <v>0</v>
      </c>
      <c r="AM37" s="8">
        <v>0</v>
      </c>
      <c r="AN37" s="8">
        <v>670.90300000000002</v>
      </c>
      <c r="AO37" s="8">
        <v>0</v>
      </c>
      <c r="AP37" s="8">
        <v>62.953000000000003</v>
      </c>
      <c r="AQ37" s="8">
        <v>0</v>
      </c>
      <c r="AR37" s="8">
        <v>0</v>
      </c>
      <c r="AS37" s="8">
        <v>0</v>
      </c>
      <c r="AT37" s="8">
        <v>1.2030000000000001</v>
      </c>
      <c r="AU37" s="8">
        <v>0</v>
      </c>
      <c r="AV37" s="8">
        <v>32.113</v>
      </c>
      <c r="AW37" s="8">
        <v>0</v>
      </c>
      <c r="AX37" s="8">
        <v>0</v>
      </c>
      <c r="AY37" s="8">
        <v>0</v>
      </c>
      <c r="AZ37" s="8">
        <v>80.465000000000003</v>
      </c>
      <c r="BA37" s="8">
        <v>0</v>
      </c>
      <c r="BB37" s="8">
        <v>0</v>
      </c>
      <c r="BC37" s="8">
        <v>30.103999999999999</v>
      </c>
      <c r="BD37" s="8">
        <v>38.854999999999997</v>
      </c>
      <c r="BE37" s="8">
        <v>0</v>
      </c>
      <c r="BF37" s="8">
        <v>8.7149999999999999</v>
      </c>
      <c r="BG37" s="8">
        <v>0</v>
      </c>
      <c r="BH37" s="8">
        <v>0</v>
      </c>
      <c r="BI37" s="8">
        <v>13.898999999999999</v>
      </c>
      <c r="BL37" s="22"/>
    </row>
    <row r="38" spans="1:64" ht="15.75">
      <c r="A38" s="22"/>
      <c r="B38" s="7" t="s">
        <v>64</v>
      </c>
      <c r="C38" s="7" t="s">
        <v>65</v>
      </c>
      <c r="D38" s="8">
        <v>6</v>
      </c>
      <c r="E38" s="8">
        <v>6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L38" s="22"/>
    </row>
    <row r="39" spans="1:64" ht="15.75">
      <c r="A39" s="22"/>
      <c r="B39" s="7" t="s">
        <v>66</v>
      </c>
      <c r="C39" s="7" t="s">
        <v>67</v>
      </c>
      <c r="D39" s="8">
        <v>6</v>
      </c>
      <c r="E39" s="8">
        <v>6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L39" s="22"/>
    </row>
    <row r="40" spans="1:64" ht="15.75">
      <c r="A40" s="22"/>
      <c r="B40" s="7" t="s">
        <v>68</v>
      </c>
      <c r="C40" s="7" t="s">
        <v>69</v>
      </c>
      <c r="D40" s="8">
        <v>6</v>
      </c>
      <c r="E40" s="8">
        <v>6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L40" s="22"/>
    </row>
    <row r="41" spans="1:64" ht="15.75">
      <c r="A41" s="22"/>
      <c r="B41" s="7" t="s">
        <v>70</v>
      </c>
      <c r="C41" s="7" t="s">
        <v>71</v>
      </c>
      <c r="D41" s="8">
        <v>6</v>
      </c>
      <c r="E41" s="8">
        <v>6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L41" s="22"/>
    </row>
    <row r="42" spans="1:64" ht="15.75">
      <c r="A42" s="22"/>
      <c r="B42" s="7" t="s">
        <v>72</v>
      </c>
      <c r="C42" s="7" t="s">
        <v>73</v>
      </c>
      <c r="D42" s="8">
        <v>6</v>
      </c>
      <c r="E42" s="8">
        <v>6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L42" s="22"/>
    </row>
    <row r="43" spans="1:64" ht="15.75">
      <c r="A43" s="22"/>
      <c r="B43" s="7" t="s">
        <v>74</v>
      </c>
      <c r="C43" s="7" t="s">
        <v>75</v>
      </c>
      <c r="D43" s="8">
        <v>6</v>
      </c>
      <c r="E43" s="8">
        <v>6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L43" s="22"/>
    </row>
    <row r="44" spans="1:64" ht="15.75">
      <c r="A44" s="22"/>
      <c r="B44" s="7" t="s">
        <v>76</v>
      </c>
      <c r="C44" s="7" t="s">
        <v>77</v>
      </c>
      <c r="D44" s="8">
        <v>6</v>
      </c>
      <c r="E44" s="8">
        <v>6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L44" s="22"/>
    </row>
    <row r="45" spans="1:64" ht="15.75">
      <c r="A45" s="22"/>
      <c r="B45" s="7" t="s">
        <v>78</v>
      </c>
      <c r="C45" s="7" t="s">
        <v>79</v>
      </c>
      <c r="D45" s="8">
        <v>6</v>
      </c>
      <c r="E45" s="8">
        <v>6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L45" s="22"/>
    </row>
    <row r="46" spans="1:64" ht="15.75">
      <c r="A46" s="22"/>
      <c r="B46" s="7" t="s">
        <v>80</v>
      </c>
      <c r="C46" s="7" t="s">
        <v>81</v>
      </c>
      <c r="D46" s="8">
        <v>6</v>
      </c>
      <c r="E46" s="8">
        <v>6</v>
      </c>
      <c r="F46" s="8">
        <v>1494.6110000000001</v>
      </c>
      <c r="G46" s="8">
        <v>214.595</v>
      </c>
      <c r="H46" s="8">
        <v>350.048</v>
      </c>
      <c r="I46" s="8">
        <v>0</v>
      </c>
      <c r="J46" s="8">
        <v>30.44</v>
      </c>
      <c r="K46" s="8">
        <v>199.89500000000001</v>
      </c>
      <c r="L46" s="8">
        <v>8092.5649999999996</v>
      </c>
      <c r="M46" s="8">
        <v>503.19</v>
      </c>
      <c r="N46" s="8">
        <v>692.56</v>
      </c>
      <c r="O46" s="8">
        <v>0</v>
      </c>
      <c r="P46" s="8">
        <v>0</v>
      </c>
      <c r="Q46" s="8">
        <v>1.9E-2</v>
      </c>
      <c r="R46" s="8">
        <v>0</v>
      </c>
      <c r="S46" s="8">
        <v>0</v>
      </c>
      <c r="T46" s="8">
        <v>100.294</v>
      </c>
      <c r="U46" s="8">
        <v>0</v>
      </c>
      <c r="V46" s="8">
        <v>6505.9889999999996</v>
      </c>
      <c r="W46" s="8">
        <v>51.188000000000002</v>
      </c>
      <c r="X46" s="8">
        <v>70.311999999999998</v>
      </c>
      <c r="Y46" s="8">
        <v>0</v>
      </c>
      <c r="Z46" s="8">
        <v>229.06299999999999</v>
      </c>
      <c r="AA46" s="8">
        <v>0</v>
      </c>
      <c r="AB46" s="8">
        <v>410.97500000000002</v>
      </c>
      <c r="AC46" s="8">
        <v>0</v>
      </c>
      <c r="AD46" s="8">
        <v>34.398000000000003</v>
      </c>
      <c r="AE46" s="8">
        <v>0</v>
      </c>
      <c r="AF46" s="8">
        <v>245.98400000000001</v>
      </c>
      <c r="AG46" s="8">
        <v>0</v>
      </c>
      <c r="AH46" s="8">
        <v>0</v>
      </c>
      <c r="AI46" s="8">
        <v>1145.729</v>
      </c>
      <c r="AJ46" s="8">
        <v>0</v>
      </c>
      <c r="AK46" s="8">
        <v>0</v>
      </c>
      <c r="AL46" s="8">
        <v>0</v>
      </c>
      <c r="AM46" s="8">
        <v>0</v>
      </c>
      <c r="AN46" s="8">
        <v>1687.1790000000001</v>
      </c>
      <c r="AO46" s="8">
        <v>0</v>
      </c>
      <c r="AP46" s="8">
        <v>47.136000000000003</v>
      </c>
      <c r="AQ46" s="8">
        <v>0</v>
      </c>
      <c r="AR46" s="8">
        <v>0</v>
      </c>
      <c r="AS46" s="8">
        <v>0</v>
      </c>
      <c r="AT46" s="8">
        <v>0.90100000000000002</v>
      </c>
      <c r="AU46" s="8">
        <v>0</v>
      </c>
      <c r="AV46" s="8">
        <v>28.100999999999999</v>
      </c>
      <c r="AW46" s="8">
        <v>0</v>
      </c>
      <c r="AX46" s="8">
        <v>0</v>
      </c>
      <c r="AY46" s="8">
        <v>0</v>
      </c>
      <c r="AZ46" s="8">
        <v>60.247999999999998</v>
      </c>
      <c r="BA46" s="8">
        <v>0</v>
      </c>
      <c r="BB46" s="8">
        <v>0</v>
      </c>
      <c r="BC46" s="8">
        <v>22.54</v>
      </c>
      <c r="BD46" s="8">
        <v>29.093</v>
      </c>
      <c r="BE46" s="8">
        <v>0</v>
      </c>
      <c r="BF46" s="8">
        <v>6.5259999999999998</v>
      </c>
      <c r="BG46" s="8">
        <v>0</v>
      </c>
      <c r="BH46" s="8">
        <v>0</v>
      </c>
      <c r="BI46" s="8">
        <v>10.407</v>
      </c>
      <c r="BL46" s="22"/>
    </row>
    <row r="47" spans="1:64" ht="15.75">
      <c r="A47" s="22"/>
      <c r="B47" s="7" t="s">
        <v>82</v>
      </c>
      <c r="C47" s="7" t="s">
        <v>83</v>
      </c>
      <c r="D47" s="8">
        <v>6</v>
      </c>
      <c r="E47" s="8">
        <v>6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L47" s="22"/>
    </row>
    <row r="48" spans="1:64" ht="15.75">
      <c r="A48" s="22"/>
      <c r="B48" s="7" t="s">
        <v>84</v>
      </c>
      <c r="C48" s="7" t="s">
        <v>85</v>
      </c>
      <c r="D48" s="8">
        <v>6</v>
      </c>
      <c r="E48" s="8">
        <v>6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L48" s="22"/>
    </row>
    <row r="49" spans="1:64" ht="15.75">
      <c r="A49" s="22"/>
      <c r="B49" s="7" t="s">
        <v>86</v>
      </c>
      <c r="C49" s="7" t="s">
        <v>87</v>
      </c>
      <c r="D49" s="8">
        <v>6</v>
      </c>
      <c r="E49" s="8">
        <v>6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L49" s="22"/>
    </row>
    <row r="50" spans="1:64" ht="15.75">
      <c r="A50" s="22"/>
      <c r="B50" s="7" t="s">
        <v>88</v>
      </c>
      <c r="C50" s="7" t="s">
        <v>89</v>
      </c>
      <c r="D50" s="8">
        <v>6</v>
      </c>
      <c r="E50" s="8">
        <v>6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L50" s="22"/>
    </row>
    <row r="51" spans="1:64" ht="15.75">
      <c r="A51" s="22"/>
      <c r="B51" s="7" t="s">
        <v>90</v>
      </c>
      <c r="C51" s="7" t="s">
        <v>91</v>
      </c>
      <c r="D51" s="8">
        <v>6</v>
      </c>
      <c r="E51" s="8">
        <v>6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L51" s="22"/>
    </row>
    <row r="52" spans="1:64" ht="15.75">
      <c r="A52" s="22"/>
      <c r="B52" s="7" t="s">
        <v>92</v>
      </c>
      <c r="C52" s="7" t="s">
        <v>93</v>
      </c>
      <c r="D52" s="8">
        <v>6</v>
      </c>
      <c r="E52" s="8">
        <v>6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L52" s="22"/>
    </row>
    <row r="53" spans="1:64" ht="15.75">
      <c r="A53" s="22"/>
      <c r="B53" s="7" t="s">
        <v>94</v>
      </c>
      <c r="C53" s="7" t="s">
        <v>95</v>
      </c>
      <c r="D53" s="8">
        <v>6</v>
      </c>
      <c r="E53" s="8">
        <v>6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L53" s="22"/>
    </row>
    <row r="54" spans="1:64" ht="15.75">
      <c r="A54" s="22"/>
      <c r="B54" s="7" t="s">
        <v>96</v>
      </c>
      <c r="C54" s="7" t="s">
        <v>97</v>
      </c>
      <c r="D54" s="8">
        <v>6</v>
      </c>
      <c r="E54" s="8">
        <v>6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L54" s="22"/>
    </row>
    <row r="55" spans="1:64" ht="15.75">
      <c r="A55" s="22"/>
      <c r="B55" s="7" t="s">
        <v>98</v>
      </c>
      <c r="C55" s="7" t="s">
        <v>99</v>
      </c>
      <c r="D55" s="8">
        <v>6</v>
      </c>
      <c r="E55" s="8">
        <v>6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L55" s="22"/>
    </row>
    <row r="56" spans="1:64" ht="15.75">
      <c r="A56" s="22"/>
      <c r="B56" s="7" t="s">
        <v>100</v>
      </c>
      <c r="C56" s="7" t="s">
        <v>101</v>
      </c>
      <c r="D56" s="8">
        <v>6</v>
      </c>
      <c r="E56" s="8">
        <v>6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L56" s="22"/>
    </row>
    <row r="57" spans="1:64" ht="15.75">
      <c r="A57" s="22"/>
      <c r="B57" s="7" t="s">
        <v>102</v>
      </c>
      <c r="C57" s="7" t="s">
        <v>103</v>
      </c>
      <c r="D57" s="8">
        <v>6</v>
      </c>
      <c r="E57" s="8">
        <v>6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L57" s="22"/>
    </row>
    <row r="58" spans="1:64" ht="15.75">
      <c r="A58" s="22"/>
      <c r="B58" s="7" t="s">
        <v>104</v>
      </c>
      <c r="C58" s="7" t="s">
        <v>105</v>
      </c>
      <c r="D58" s="8">
        <v>6</v>
      </c>
      <c r="E58" s="8">
        <v>6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L58" s="22"/>
    </row>
    <row r="59" spans="1:64" ht="15.75">
      <c r="A59" s="22"/>
      <c r="B59" s="7" t="s">
        <v>106</v>
      </c>
      <c r="C59" s="7" t="s">
        <v>107</v>
      </c>
      <c r="D59" s="8">
        <v>6</v>
      </c>
      <c r="E59" s="8">
        <v>6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L59" s="22"/>
    </row>
    <row r="60" spans="1:64" ht="15.75">
      <c r="A60" s="22"/>
      <c r="B60" s="7" t="s">
        <v>108</v>
      </c>
      <c r="C60" s="7" t="s">
        <v>109</v>
      </c>
      <c r="D60" s="8">
        <v>6</v>
      </c>
      <c r="E60" s="8">
        <v>6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L60" s="22"/>
    </row>
    <row r="61" spans="1:64" ht="15.75">
      <c r="A61" s="22"/>
      <c r="B61" s="7" t="s">
        <v>110</v>
      </c>
      <c r="C61" s="7" t="s">
        <v>111</v>
      </c>
      <c r="D61" s="8">
        <v>3</v>
      </c>
      <c r="E61" s="8">
        <v>3</v>
      </c>
      <c r="F61" s="8">
        <v>1036846.91</v>
      </c>
      <c r="G61" s="8">
        <v>102772.007</v>
      </c>
      <c r="H61" s="8">
        <v>228563.77900000001</v>
      </c>
      <c r="I61" s="8">
        <v>0</v>
      </c>
      <c r="J61" s="8">
        <v>18872.996999999999</v>
      </c>
      <c r="K61" s="8">
        <v>156554.89499999999</v>
      </c>
      <c r="L61" s="8">
        <v>0</v>
      </c>
      <c r="M61" s="8">
        <v>421549.74599999998</v>
      </c>
      <c r="N61" s="8">
        <v>468198.46100000001</v>
      </c>
      <c r="O61" s="8">
        <v>0</v>
      </c>
      <c r="P61" s="8">
        <v>0</v>
      </c>
      <c r="Q61" s="8">
        <v>19.533999999999999</v>
      </c>
      <c r="R61" s="8">
        <v>1872.0070000000001</v>
      </c>
      <c r="S61" s="8">
        <v>4830.8549999999996</v>
      </c>
      <c r="T61" s="8">
        <v>42137.646000000001</v>
      </c>
      <c r="U61" s="8">
        <v>0</v>
      </c>
      <c r="V61" s="8">
        <v>0</v>
      </c>
      <c r="W61" s="8">
        <v>27127.577000000001</v>
      </c>
      <c r="X61" s="8">
        <v>53437.525999999998</v>
      </c>
      <c r="Y61" s="8">
        <v>0</v>
      </c>
      <c r="Z61" s="8">
        <v>214117.391</v>
      </c>
      <c r="AA61" s="8">
        <v>0</v>
      </c>
      <c r="AB61" s="8">
        <v>249146.19399999999</v>
      </c>
      <c r="AC61" s="8">
        <v>0</v>
      </c>
      <c r="AD61" s="8">
        <v>18043.414000000001</v>
      </c>
      <c r="AE61" s="8">
        <v>194.19</v>
      </c>
      <c r="AF61" s="8">
        <v>634258.67700000003</v>
      </c>
      <c r="AG61" s="8">
        <v>0</v>
      </c>
      <c r="AH61" s="8">
        <v>4.891</v>
      </c>
      <c r="AI61" s="8">
        <v>1244674.8189999999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25957.258000000002</v>
      </c>
      <c r="AQ61" s="8">
        <v>0</v>
      </c>
      <c r="AR61" s="8">
        <v>0</v>
      </c>
      <c r="AS61" s="8">
        <v>0</v>
      </c>
      <c r="AT61" s="8">
        <v>282.25799999999998</v>
      </c>
      <c r="AU61" s="8">
        <v>0</v>
      </c>
      <c r="AV61" s="8">
        <v>9288.1229999999996</v>
      </c>
      <c r="AW61" s="8">
        <v>0</v>
      </c>
      <c r="AX61" s="8">
        <v>0</v>
      </c>
      <c r="AY61" s="8">
        <v>0</v>
      </c>
      <c r="AZ61" s="8">
        <v>32891.762000000002</v>
      </c>
      <c r="BA61" s="8">
        <v>0</v>
      </c>
      <c r="BB61" s="8">
        <v>0</v>
      </c>
      <c r="BC61" s="8">
        <v>12658.035</v>
      </c>
      <c r="BD61" s="8">
        <v>15926.369000000001</v>
      </c>
      <c r="BE61" s="8">
        <v>0</v>
      </c>
      <c r="BF61" s="8">
        <v>3704.549</v>
      </c>
      <c r="BG61" s="8">
        <v>0</v>
      </c>
      <c r="BH61" s="8">
        <v>0</v>
      </c>
      <c r="BI61" s="8">
        <v>5752.4859999999999</v>
      </c>
      <c r="BL61" s="22"/>
    </row>
    <row r="62" spans="1:64" ht="15.75">
      <c r="A62" s="22"/>
      <c r="B62" s="7" t="s">
        <v>112</v>
      </c>
      <c r="C62" s="7" t="s">
        <v>113</v>
      </c>
      <c r="D62" s="8">
        <v>3</v>
      </c>
      <c r="E62" s="8">
        <v>3</v>
      </c>
      <c r="F62" s="8">
        <v>3169.683</v>
      </c>
      <c r="G62" s="8">
        <v>446.18400000000003</v>
      </c>
      <c r="H62" s="8">
        <v>739.59900000000005</v>
      </c>
      <c r="I62" s="8">
        <v>0</v>
      </c>
      <c r="J62" s="8">
        <v>64.122</v>
      </c>
      <c r="K62" s="8">
        <v>427.38299999999998</v>
      </c>
      <c r="L62" s="8">
        <v>0</v>
      </c>
      <c r="M62" s="8">
        <v>1081.155</v>
      </c>
      <c r="N62" s="8">
        <v>1466.373</v>
      </c>
      <c r="O62" s="8">
        <v>0</v>
      </c>
      <c r="P62" s="8">
        <v>0</v>
      </c>
      <c r="Q62" s="8">
        <v>0.04</v>
      </c>
      <c r="R62" s="8">
        <v>2.6850000000000001</v>
      </c>
      <c r="S62" s="8">
        <v>6.93</v>
      </c>
      <c r="T62" s="8">
        <v>207.39</v>
      </c>
      <c r="U62" s="8">
        <v>0</v>
      </c>
      <c r="V62" s="8">
        <v>0</v>
      </c>
      <c r="W62" s="8">
        <v>106.93600000000001</v>
      </c>
      <c r="X62" s="8">
        <v>150.01499999999999</v>
      </c>
      <c r="Y62" s="8">
        <v>0</v>
      </c>
      <c r="Z62" s="8">
        <v>496.46100000000001</v>
      </c>
      <c r="AA62" s="8">
        <v>0</v>
      </c>
      <c r="AB62" s="8">
        <v>864.61699999999996</v>
      </c>
      <c r="AC62" s="8">
        <v>0</v>
      </c>
      <c r="AD62" s="8">
        <v>71.823999999999998</v>
      </c>
      <c r="AE62" s="8">
        <v>0</v>
      </c>
      <c r="AF62" s="8">
        <v>611.34500000000003</v>
      </c>
      <c r="AG62" s="8">
        <v>0</v>
      </c>
      <c r="AH62" s="8">
        <v>0</v>
      </c>
      <c r="AI62" s="8">
        <v>2422.8249999999998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98.658000000000001</v>
      </c>
      <c r="AQ62" s="8">
        <v>0</v>
      </c>
      <c r="AR62" s="8">
        <v>0</v>
      </c>
      <c r="AS62" s="8">
        <v>0</v>
      </c>
      <c r="AT62" s="8">
        <v>1.8440000000000001</v>
      </c>
      <c r="AU62" s="8">
        <v>0</v>
      </c>
      <c r="AV62" s="8">
        <v>46.084000000000003</v>
      </c>
      <c r="AW62" s="8">
        <v>0</v>
      </c>
      <c r="AX62" s="8">
        <v>0</v>
      </c>
      <c r="AY62" s="8">
        <v>0</v>
      </c>
      <c r="AZ62" s="8">
        <v>126.047</v>
      </c>
      <c r="BA62" s="8">
        <v>0</v>
      </c>
      <c r="BB62" s="8">
        <v>0</v>
      </c>
      <c r="BC62" s="8">
        <v>47.226999999999997</v>
      </c>
      <c r="BD62" s="8">
        <v>60.875</v>
      </c>
      <c r="BE62" s="8">
        <v>0</v>
      </c>
      <c r="BF62" s="8">
        <v>13.679</v>
      </c>
      <c r="BG62" s="8">
        <v>0</v>
      </c>
      <c r="BH62" s="8">
        <v>0</v>
      </c>
      <c r="BI62" s="8">
        <v>21.786999999999999</v>
      </c>
      <c r="BL62" s="22"/>
    </row>
    <row r="63" spans="1:64" ht="15.75">
      <c r="A63" s="22"/>
      <c r="B63" s="7" t="s">
        <v>114</v>
      </c>
      <c r="C63" s="7" t="s">
        <v>115</v>
      </c>
      <c r="D63" s="8">
        <v>3</v>
      </c>
      <c r="E63" s="8">
        <v>3</v>
      </c>
      <c r="F63" s="8">
        <v>312209.24900000001</v>
      </c>
      <c r="G63" s="8">
        <v>35644.857000000004</v>
      </c>
      <c r="H63" s="8">
        <v>70278.592000000004</v>
      </c>
      <c r="I63" s="8">
        <v>0</v>
      </c>
      <c r="J63" s="8">
        <v>5911.6679999999997</v>
      </c>
      <c r="K63" s="8">
        <v>45318.048000000003</v>
      </c>
      <c r="L63" s="8">
        <v>12978.334999999999</v>
      </c>
      <c r="M63" s="8">
        <v>119547.20600000001</v>
      </c>
      <c r="N63" s="8">
        <v>142229.511</v>
      </c>
      <c r="O63" s="8">
        <v>0</v>
      </c>
      <c r="P63" s="8">
        <v>0</v>
      </c>
      <c r="Q63" s="8">
        <v>5.2030000000000003</v>
      </c>
      <c r="R63" s="8">
        <v>747.40300000000002</v>
      </c>
      <c r="S63" s="8">
        <v>1928.7239999999999</v>
      </c>
      <c r="T63" s="8">
        <v>15485.071</v>
      </c>
      <c r="U63" s="8">
        <v>0</v>
      </c>
      <c r="V63" s="8">
        <v>10433.886</v>
      </c>
      <c r="W63" s="8">
        <v>9022.9670000000006</v>
      </c>
      <c r="X63" s="8">
        <v>15615.757</v>
      </c>
      <c r="Y63" s="8">
        <v>0</v>
      </c>
      <c r="Z63" s="8">
        <v>58846.048000000003</v>
      </c>
      <c r="AA63" s="8">
        <v>0</v>
      </c>
      <c r="AB63" s="8">
        <v>78686.557000000001</v>
      </c>
      <c r="AC63" s="8">
        <v>0</v>
      </c>
      <c r="AD63" s="8">
        <v>6026.2719999999999</v>
      </c>
      <c r="AE63" s="8">
        <v>0</v>
      </c>
      <c r="AF63" s="8">
        <v>143727.84299999999</v>
      </c>
      <c r="AG63" s="8">
        <v>0</v>
      </c>
      <c r="AH63" s="8">
        <v>0</v>
      </c>
      <c r="AI63" s="8">
        <v>325665.63699999999</v>
      </c>
      <c r="AJ63" s="8">
        <v>0</v>
      </c>
      <c r="AK63" s="8">
        <v>0</v>
      </c>
      <c r="AL63" s="8">
        <v>0</v>
      </c>
      <c r="AM63" s="8">
        <v>0</v>
      </c>
      <c r="AN63" s="8">
        <v>2705.7890000000002</v>
      </c>
      <c r="AO63" s="8">
        <v>0</v>
      </c>
      <c r="AP63" s="8">
        <v>8503.2980000000007</v>
      </c>
      <c r="AQ63" s="8">
        <v>0</v>
      </c>
      <c r="AR63" s="8">
        <v>0</v>
      </c>
      <c r="AS63" s="8">
        <v>0</v>
      </c>
      <c r="AT63" s="8">
        <v>119.914</v>
      </c>
      <c r="AU63" s="8">
        <v>0</v>
      </c>
      <c r="AV63" s="8">
        <v>3440.23</v>
      </c>
      <c r="AW63" s="8">
        <v>0</v>
      </c>
      <c r="AX63" s="8">
        <v>0</v>
      </c>
      <c r="AY63" s="8">
        <v>0</v>
      </c>
      <c r="AZ63" s="8">
        <v>10811.714</v>
      </c>
      <c r="BA63" s="8">
        <v>0</v>
      </c>
      <c r="BB63" s="8">
        <v>0</v>
      </c>
      <c r="BC63" s="8">
        <v>4115.1419999999998</v>
      </c>
      <c r="BD63" s="8">
        <v>5229.4570000000003</v>
      </c>
      <c r="BE63" s="8">
        <v>0</v>
      </c>
      <c r="BF63" s="8">
        <v>1199.3240000000001</v>
      </c>
      <c r="BG63" s="8">
        <v>0</v>
      </c>
      <c r="BH63" s="8">
        <v>0</v>
      </c>
      <c r="BI63" s="8">
        <v>1881.691</v>
      </c>
      <c r="BL63" s="22"/>
    </row>
    <row r="64" spans="1:64" ht="15.75">
      <c r="A64" s="22"/>
      <c r="B64" s="7" t="s">
        <v>116</v>
      </c>
      <c r="C64" s="7" t="s">
        <v>117</v>
      </c>
      <c r="D64" s="8">
        <v>3</v>
      </c>
      <c r="E64" s="8">
        <v>3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L64" s="22"/>
    </row>
    <row r="65" spans="1:64" ht="15.75">
      <c r="A65" s="22"/>
      <c r="B65" s="7" t="s">
        <v>118</v>
      </c>
      <c r="C65" s="7" t="s">
        <v>119</v>
      </c>
      <c r="D65" s="8">
        <v>3</v>
      </c>
      <c r="E65" s="8">
        <v>3</v>
      </c>
      <c r="F65" s="8">
        <v>189765.35399999999</v>
      </c>
      <c r="G65" s="8">
        <v>27274.809000000001</v>
      </c>
      <c r="H65" s="8">
        <v>44687.186999999998</v>
      </c>
      <c r="I65" s="8">
        <v>673.25199999999995</v>
      </c>
      <c r="J65" s="8">
        <v>3835.3960000000002</v>
      </c>
      <c r="K65" s="8">
        <v>25685.244999999999</v>
      </c>
      <c r="L65" s="8">
        <v>0</v>
      </c>
      <c r="M65" s="8">
        <v>66922.381999999998</v>
      </c>
      <c r="N65" s="8">
        <v>88277.354000000007</v>
      </c>
      <c r="O65" s="8">
        <v>0</v>
      </c>
      <c r="P65" s="8">
        <v>0</v>
      </c>
      <c r="Q65" s="8">
        <v>2.3319999999999999</v>
      </c>
      <c r="R65" s="8">
        <v>561.21600000000001</v>
      </c>
      <c r="S65" s="8">
        <v>1448.2639999999999</v>
      </c>
      <c r="T65" s="8">
        <v>12636.782999999999</v>
      </c>
      <c r="U65" s="8">
        <v>0</v>
      </c>
      <c r="V65" s="8">
        <v>0</v>
      </c>
      <c r="W65" s="8">
        <v>6449.59</v>
      </c>
      <c r="X65" s="8">
        <v>8859.1509999999998</v>
      </c>
      <c r="Y65" s="8">
        <v>0</v>
      </c>
      <c r="Z65" s="8">
        <v>29001.151999999998</v>
      </c>
      <c r="AA65" s="8">
        <v>0</v>
      </c>
      <c r="AB65" s="8">
        <v>51872.735999999997</v>
      </c>
      <c r="AC65" s="8">
        <v>0</v>
      </c>
      <c r="AD65" s="8">
        <v>4334.027</v>
      </c>
      <c r="AE65" s="8">
        <v>0</v>
      </c>
      <c r="AF65" s="8">
        <v>31854.413</v>
      </c>
      <c r="AG65" s="8">
        <v>0</v>
      </c>
      <c r="AH65" s="8">
        <v>0</v>
      </c>
      <c r="AI65" s="8">
        <v>141365.11300000001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5938.97</v>
      </c>
      <c r="AQ65" s="8">
        <v>0</v>
      </c>
      <c r="AR65" s="8">
        <v>0</v>
      </c>
      <c r="AS65" s="8">
        <v>0</v>
      </c>
      <c r="AT65" s="8">
        <v>113.488</v>
      </c>
      <c r="AU65" s="8">
        <v>0</v>
      </c>
      <c r="AV65" s="8">
        <v>2828.672</v>
      </c>
      <c r="AW65" s="8">
        <v>0</v>
      </c>
      <c r="AX65" s="8">
        <v>0</v>
      </c>
      <c r="AY65" s="8">
        <v>0</v>
      </c>
      <c r="AZ65" s="8">
        <v>7591.0659999999998</v>
      </c>
      <c r="BA65" s="8">
        <v>0</v>
      </c>
      <c r="BB65" s="8">
        <v>0</v>
      </c>
      <c r="BC65" s="8">
        <v>2840.03</v>
      </c>
      <c r="BD65" s="8">
        <v>3665.5940000000001</v>
      </c>
      <c r="BE65" s="8">
        <v>0</v>
      </c>
      <c r="BF65" s="8">
        <v>822.21299999999997</v>
      </c>
      <c r="BG65" s="8">
        <v>0</v>
      </c>
      <c r="BH65" s="8">
        <v>0</v>
      </c>
      <c r="BI65" s="8">
        <v>1311.25</v>
      </c>
      <c r="BL65" s="22"/>
    </row>
    <row r="66" spans="1:64" ht="15.75">
      <c r="A66" s="22"/>
      <c r="B66" s="7" t="s">
        <v>120</v>
      </c>
      <c r="C66" s="7" t="s">
        <v>121</v>
      </c>
      <c r="D66" s="8">
        <v>3</v>
      </c>
      <c r="E66" s="8">
        <v>3</v>
      </c>
      <c r="F66" s="8">
        <v>3057.192</v>
      </c>
      <c r="G66" s="8">
        <v>438.94900000000001</v>
      </c>
      <c r="H66" s="8">
        <v>716.01499999999999</v>
      </c>
      <c r="I66" s="8">
        <v>0</v>
      </c>
      <c r="J66" s="8">
        <v>62.265000000000001</v>
      </c>
      <c r="K66" s="8">
        <v>408.88</v>
      </c>
      <c r="L66" s="8">
        <v>0</v>
      </c>
      <c r="M66" s="8">
        <v>1029.2650000000001</v>
      </c>
      <c r="N66" s="8">
        <v>1416.616</v>
      </c>
      <c r="O66" s="8">
        <v>0</v>
      </c>
      <c r="P66" s="8">
        <v>0</v>
      </c>
      <c r="Q66" s="8">
        <v>3.7999999999999999E-2</v>
      </c>
      <c r="R66" s="8">
        <v>21.928999999999998</v>
      </c>
      <c r="S66" s="8">
        <v>56.59</v>
      </c>
      <c r="T66" s="8">
        <v>205.149</v>
      </c>
      <c r="U66" s="8">
        <v>0</v>
      </c>
      <c r="V66" s="8">
        <v>0</v>
      </c>
      <c r="W66" s="8">
        <v>104.70399999999999</v>
      </c>
      <c r="X66" s="8">
        <v>143.822</v>
      </c>
      <c r="Y66" s="8">
        <v>0</v>
      </c>
      <c r="Z66" s="8">
        <v>468.54199999999997</v>
      </c>
      <c r="AA66" s="8">
        <v>0</v>
      </c>
      <c r="AB66" s="8">
        <v>840.64099999999996</v>
      </c>
      <c r="AC66" s="8">
        <v>0</v>
      </c>
      <c r="AD66" s="8">
        <v>70.36</v>
      </c>
      <c r="AE66" s="8">
        <v>0</v>
      </c>
      <c r="AF66" s="8">
        <v>503.15499999999997</v>
      </c>
      <c r="AG66" s="8">
        <v>0</v>
      </c>
      <c r="AH66" s="8">
        <v>0</v>
      </c>
      <c r="AI66" s="8">
        <v>2246.7910000000002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96.415000000000006</v>
      </c>
      <c r="AQ66" s="8">
        <v>0</v>
      </c>
      <c r="AR66" s="8">
        <v>0</v>
      </c>
      <c r="AS66" s="8">
        <v>0</v>
      </c>
      <c r="AT66" s="8">
        <v>1.8420000000000001</v>
      </c>
      <c r="AU66" s="8">
        <v>0</v>
      </c>
      <c r="AV66" s="8">
        <v>53.701000000000001</v>
      </c>
      <c r="AW66" s="8">
        <v>0</v>
      </c>
      <c r="AX66" s="8">
        <v>0</v>
      </c>
      <c r="AY66" s="8">
        <v>0</v>
      </c>
      <c r="AZ66" s="8">
        <v>123.236</v>
      </c>
      <c r="BA66" s="8">
        <v>0</v>
      </c>
      <c r="BB66" s="8">
        <v>0</v>
      </c>
      <c r="BC66" s="8">
        <v>46.106000000000002</v>
      </c>
      <c r="BD66" s="8">
        <v>59.508000000000003</v>
      </c>
      <c r="BE66" s="8">
        <v>0</v>
      </c>
      <c r="BF66" s="8">
        <v>13.348000000000001</v>
      </c>
      <c r="BG66" s="8">
        <v>0</v>
      </c>
      <c r="BH66" s="8">
        <v>0</v>
      </c>
      <c r="BI66" s="8">
        <v>21.286999999999999</v>
      </c>
      <c r="BL66" s="22"/>
    </row>
    <row r="67" spans="1:64" ht="15.75">
      <c r="A67" s="22"/>
      <c r="B67" s="7" t="s">
        <v>122</v>
      </c>
      <c r="C67" s="7" t="s">
        <v>123</v>
      </c>
      <c r="D67" s="8">
        <v>3</v>
      </c>
      <c r="E67" s="8">
        <v>3</v>
      </c>
      <c r="F67" s="8">
        <v>150405.774</v>
      </c>
      <c r="G67" s="8">
        <v>21595.132000000001</v>
      </c>
      <c r="H67" s="8">
        <v>35226.010999999999</v>
      </c>
      <c r="I67" s="8">
        <v>0</v>
      </c>
      <c r="J67" s="8">
        <v>3063.2649999999999</v>
      </c>
      <c r="K67" s="8">
        <v>20115.82</v>
      </c>
      <c r="L67" s="8">
        <v>1103.501</v>
      </c>
      <c r="M67" s="8">
        <v>50637.093999999997</v>
      </c>
      <c r="N67" s="8">
        <v>69693.764999999999</v>
      </c>
      <c r="O67" s="8">
        <v>0</v>
      </c>
      <c r="P67" s="8">
        <v>0</v>
      </c>
      <c r="Q67" s="8">
        <v>1.86</v>
      </c>
      <c r="R67" s="8">
        <v>772.37400000000002</v>
      </c>
      <c r="S67" s="8">
        <v>1993.18</v>
      </c>
      <c r="T67" s="8">
        <v>10092.782999999999</v>
      </c>
      <c r="U67" s="8">
        <v>0</v>
      </c>
      <c r="V67" s="8">
        <v>887.15499999999997</v>
      </c>
      <c r="W67" s="8">
        <v>5151.17</v>
      </c>
      <c r="X67" s="8">
        <v>7075.6419999999998</v>
      </c>
      <c r="Y67" s="8">
        <v>0</v>
      </c>
      <c r="Z67" s="8">
        <v>23051.037</v>
      </c>
      <c r="AA67" s="8">
        <v>0</v>
      </c>
      <c r="AB67" s="8">
        <v>41357.281000000003</v>
      </c>
      <c r="AC67" s="8">
        <v>0</v>
      </c>
      <c r="AD67" s="8">
        <v>3461.518</v>
      </c>
      <c r="AE67" s="8">
        <v>0</v>
      </c>
      <c r="AF67" s="8">
        <v>24753.903999999999</v>
      </c>
      <c r="AG67" s="8">
        <v>0</v>
      </c>
      <c r="AH67" s="8">
        <v>0</v>
      </c>
      <c r="AI67" s="8">
        <v>110542.624</v>
      </c>
      <c r="AJ67" s="8">
        <v>0</v>
      </c>
      <c r="AK67" s="8">
        <v>0</v>
      </c>
      <c r="AL67" s="8">
        <v>0</v>
      </c>
      <c r="AM67" s="8">
        <v>0</v>
      </c>
      <c r="AN67" s="8">
        <v>230.06299999999999</v>
      </c>
      <c r="AO67" s="8">
        <v>0</v>
      </c>
      <c r="AP67" s="8">
        <v>4743.3509999999997</v>
      </c>
      <c r="AQ67" s="8">
        <v>0</v>
      </c>
      <c r="AR67" s="8">
        <v>0</v>
      </c>
      <c r="AS67" s="8">
        <v>0</v>
      </c>
      <c r="AT67" s="8">
        <v>90.643000000000001</v>
      </c>
      <c r="AU67" s="8">
        <v>0</v>
      </c>
      <c r="AV67" s="8">
        <v>2291.34</v>
      </c>
      <c r="AW67" s="8">
        <v>0</v>
      </c>
      <c r="AX67" s="8">
        <v>0</v>
      </c>
      <c r="AY67" s="8">
        <v>0</v>
      </c>
      <c r="AZ67" s="8">
        <v>6062.8490000000002</v>
      </c>
      <c r="BA67" s="8">
        <v>0</v>
      </c>
      <c r="BB67" s="8">
        <v>0</v>
      </c>
      <c r="BC67" s="8">
        <v>2268.2820000000002</v>
      </c>
      <c r="BD67" s="8">
        <v>2927.6460000000002</v>
      </c>
      <c r="BE67" s="8">
        <v>0</v>
      </c>
      <c r="BF67" s="8">
        <v>656.68799999999999</v>
      </c>
      <c r="BG67" s="8">
        <v>0</v>
      </c>
      <c r="BH67" s="8">
        <v>0</v>
      </c>
      <c r="BI67" s="8">
        <v>1047.271</v>
      </c>
      <c r="BL67" s="22"/>
    </row>
    <row r="68" spans="1:64" ht="15.75">
      <c r="A68" s="22"/>
      <c r="B68" s="7" t="s">
        <v>124</v>
      </c>
      <c r="C68" s="7" t="s">
        <v>125</v>
      </c>
      <c r="D68" s="8">
        <v>3</v>
      </c>
      <c r="E68" s="8">
        <v>3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L68" s="22"/>
    </row>
    <row r="69" spans="1:64" ht="15.75">
      <c r="A69" s="22"/>
      <c r="B69" s="7" t="s">
        <v>126</v>
      </c>
      <c r="C69" s="7" t="s">
        <v>127</v>
      </c>
      <c r="D69" s="8">
        <v>3</v>
      </c>
      <c r="E69" s="8">
        <v>3</v>
      </c>
      <c r="F69" s="8">
        <v>83000.596999999994</v>
      </c>
      <c r="G69" s="8">
        <v>11917.151</v>
      </c>
      <c r="H69" s="8">
        <v>19439.28</v>
      </c>
      <c r="I69" s="8">
        <v>13700.217000000001</v>
      </c>
      <c r="J69" s="8">
        <v>1690.444</v>
      </c>
      <c r="K69" s="8">
        <v>11100.805</v>
      </c>
      <c r="L69" s="8">
        <v>0</v>
      </c>
      <c r="M69" s="8">
        <v>27943.802</v>
      </c>
      <c r="N69" s="8">
        <v>38460.118000000002</v>
      </c>
      <c r="O69" s="8">
        <v>0</v>
      </c>
      <c r="P69" s="8">
        <v>0</v>
      </c>
      <c r="Q69" s="8">
        <v>1.028</v>
      </c>
      <c r="R69" s="8">
        <v>41.966999999999999</v>
      </c>
      <c r="S69" s="8">
        <v>108.29900000000001</v>
      </c>
      <c r="T69" s="8">
        <v>5569.6459999999997</v>
      </c>
      <c r="U69" s="8">
        <v>0</v>
      </c>
      <c r="V69" s="8">
        <v>0</v>
      </c>
      <c r="W69" s="8">
        <v>2842.6469999999999</v>
      </c>
      <c r="X69" s="8">
        <v>3904.6590000000001</v>
      </c>
      <c r="Y69" s="8">
        <v>0</v>
      </c>
      <c r="Z69" s="8">
        <v>12720.589</v>
      </c>
      <c r="AA69" s="8">
        <v>0</v>
      </c>
      <c r="AB69" s="8">
        <v>22822.789000000001</v>
      </c>
      <c r="AC69" s="8">
        <v>0</v>
      </c>
      <c r="AD69" s="8">
        <v>1910.2190000000001</v>
      </c>
      <c r="AE69" s="8">
        <v>0</v>
      </c>
      <c r="AF69" s="8">
        <v>13660.305</v>
      </c>
      <c r="AG69" s="8">
        <v>0</v>
      </c>
      <c r="AH69" s="8">
        <v>0</v>
      </c>
      <c r="AI69" s="8">
        <v>60998.781999999999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2617.5940000000001</v>
      </c>
      <c r="AQ69" s="8">
        <v>0</v>
      </c>
      <c r="AR69" s="8">
        <v>0</v>
      </c>
      <c r="AS69" s="8">
        <v>0</v>
      </c>
      <c r="AT69" s="8">
        <v>50.018000000000001</v>
      </c>
      <c r="AU69" s="8">
        <v>0</v>
      </c>
      <c r="AV69" s="8">
        <v>1240.096</v>
      </c>
      <c r="AW69" s="8">
        <v>0</v>
      </c>
      <c r="AX69" s="8">
        <v>0</v>
      </c>
      <c r="AY69" s="8">
        <v>0</v>
      </c>
      <c r="AZ69" s="8">
        <v>3345.752</v>
      </c>
      <c r="BA69" s="8">
        <v>0</v>
      </c>
      <c r="BB69" s="8">
        <v>0</v>
      </c>
      <c r="BC69" s="8">
        <v>1251.741</v>
      </c>
      <c r="BD69" s="8">
        <v>1615.605</v>
      </c>
      <c r="BE69" s="8">
        <v>0</v>
      </c>
      <c r="BF69" s="8">
        <v>362.39</v>
      </c>
      <c r="BG69" s="8">
        <v>0</v>
      </c>
      <c r="BH69" s="8">
        <v>0</v>
      </c>
      <c r="BI69" s="8">
        <v>577.93100000000004</v>
      </c>
      <c r="BL69" s="22"/>
    </row>
    <row r="70" spans="1:64" ht="15.75">
      <c r="A70" s="22"/>
      <c r="B70" s="7" t="s">
        <v>128</v>
      </c>
      <c r="C70" s="7" t="s">
        <v>129</v>
      </c>
      <c r="D70" s="8">
        <v>3</v>
      </c>
      <c r="E70" s="8">
        <v>3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L70" s="22"/>
    </row>
    <row r="71" spans="1:64" ht="15.75">
      <c r="A71" s="22"/>
      <c r="B71" s="7" t="s">
        <v>130</v>
      </c>
      <c r="C71" s="7" t="s">
        <v>131</v>
      </c>
      <c r="D71" s="8">
        <v>3</v>
      </c>
      <c r="E71" s="8">
        <v>3</v>
      </c>
      <c r="F71" s="8">
        <v>91127.600999999995</v>
      </c>
      <c r="G71" s="8">
        <v>13084.022999999999</v>
      </c>
      <c r="H71" s="8">
        <v>21342.675999999999</v>
      </c>
      <c r="I71" s="8">
        <v>26463.471000000001</v>
      </c>
      <c r="J71" s="8">
        <v>1855.963</v>
      </c>
      <c r="K71" s="8">
        <v>12187.742</v>
      </c>
      <c r="L71" s="8">
        <v>7348.3980000000001</v>
      </c>
      <c r="M71" s="8">
        <v>30679.920999999998</v>
      </c>
      <c r="N71" s="8">
        <v>42225.944000000003</v>
      </c>
      <c r="O71" s="8">
        <v>0</v>
      </c>
      <c r="P71" s="8">
        <v>0</v>
      </c>
      <c r="Q71" s="8">
        <v>1.131</v>
      </c>
      <c r="R71" s="8">
        <v>37.149000000000001</v>
      </c>
      <c r="S71" s="8">
        <v>95.864000000000004</v>
      </c>
      <c r="T71" s="8">
        <v>6114.9960000000001</v>
      </c>
      <c r="U71" s="8">
        <v>0</v>
      </c>
      <c r="V71" s="8">
        <v>5907.7190000000001</v>
      </c>
      <c r="W71" s="8">
        <v>3120.982</v>
      </c>
      <c r="X71" s="8">
        <v>4286.9830000000002</v>
      </c>
      <c r="Y71" s="8">
        <v>0</v>
      </c>
      <c r="Z71" s="8">
        <v>13966.121999999999</v>
      </c>
      <c r="AA71" s="8">
        <v>0</v>
      </c>
      <c r="AB71" s="8">
        <v>25057.482</v>
      </c>
      <c r="AC71" s="8">
        <v>0</v>
      </c>
      <c r="AD71" s="8">
        <v>2097.2570000000001</v>
      </c>
      <c r="AE71" s="8">
        <v>0</v>
      </c>
      <c r="AF71" s="8">
        <v>14997.858</v>
      </c>
      <c r="AG71" s="8">
        <v>11.507999999999999</v>
      </c>
      <c r="AH71" s="8">
        <v>0</v>
      </c>
      <c r="AI71" s="8">
        <v>67014.433000000005</v>
      </c>
      <c r="AJ71" s="8">
        <v>39.94</v>
      </c>
      <c r="AK71" s="8">
        <v>0</v>
      </c>
      <c r="AL71" s="8">
        <v>0</v>
      </c>
      <c r="AM71" s="8">
        <v>0</v>
      </c>
      <c r="AN71" s="8">
        <v>1532.0319999999999</v>
      </c>
      <c r="AO71" s="8">
        <v>0</v>
      </c>
      <c r="AP71" s="8">
        <v>2873.895</v>
      </c>
      <c r="AQ71" s="8">
        <v>0</v>
      </c>
      <c r="AR71" s="8">
        <v>0</v>
      </c>
      <c r="AS71" s="8">
        <v>0</v>
      </c>
      <c r="AT71" s="8">
        <v>54.920999999999999</v>
      </c>
      <c r="AU71" s="8">
        <v>0</v>
      </c>
      <c r="AV71" s="8">
        <v>1366.7570000000001</v>
      </c>
      <c r="AW71" s="8">
        <v>0</v>
      </c>
      <c r="AX71" s="8">
        <v>0</v>
      </c>
      <c r="AY71" s="8">
        <v>0</v>
      </c>
      <c r="AZ71" s="8">
        <v>3673.348</v>
      </c>
      <c r="BA71" s="8">
        <v>0</v>
      </c>
      <c r="BB71" s="8">
        <v>0</v>
      </c>
      <c r="BC71" s="8">
        <v>1374.3019999999999</v>
      </c>
      <c r="BD71" s="8">
        <v>1773.797</v>
      </c>
      <c r="BE71" s="8">
        <v>0</v>
      </c>
      <c r="BF71" s="8">
        <v>397.87599999999998</v>
      </c>
      <c r="BG71" s="8">
        <v>0</v>
      </c>
      <c r="BH71" s="8">
        <v>0</v>
      </c>
      <c r="BI71" s="8">
        <v>634.51900000000001</v>
      </c>
      <c r="BL71" s="22"/>
    </row>
    <row r="72" spans="1:64" ht="15.75">
      <c r="A72" s="22"/>
      <c r="B72" s="7" t="s">
        <v>132</v>
      </c>
      <c r="C72" s="7" t="s">
        <v>133</v>
      </c>
      <c r="D72" s="8">
        <v>3</v>
      </c>
      <c r="E72" s="8">
        <v>3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L72" s="22"/>
    </row>
    <row r="73" spans="1:64" ht="15.75">
      <c r="A73" s="22"/>
      <c r="B73" s="7" t="s">
        <v>134</v>
      </c>
      <c r="C73" s="7" t="s">
        <v>135</v>
      </c>
      <c r="D73" s="8">
        <v>6</v>
      </c>
      <c r="E73" s="8">
        <v>6</v>
      </c>
      <c r="F73" s="8">
        <v>80944.957999999999</v>
      </c>
      <c r="G73" s="8">
        <v>7241.152</v>
      </c>
      <c r="H73" s="8">
        <v>17853.530999999999</v>
      </c>
      <c r="I73" s="8">
        <v>1834.45</v>
      </c>
      <c r="J73" s="8">
        <v>1390.327</v>
      </c>
      <c r="K73" s="8">
        <v>13198.105</v>
      </c>
      <c r="L73" s="8">
        <v>0</v>
      </c>
      <c r="M73" s="8">
        <v>36765.303</v>
      </c>
      <c r="N73" s="8">
        <v>36209.991000000002</v>
      </c>
      <c r="O73" s="8">
        <v>0</v>
      </c>
      <c r="P73" s="8">
        <v>0</v>
      </c>
      <c r="Q73" s="8">
        <v>24.443000000000001</v>
      </c>
      <c r="R73" s="8">
        <v>0</v>
      </c>
      <c r="S73" s="8">
        <v>121.533</v>
      </c>
      <c r="T73" s="8">
        <v>2424.46</v>
      </c>
      <c r="U73" s="8">
        <v>0</v>
      </c>
      <c r="V73" s="8">
        <v>0</v>
      </c>
      <c r="W73" s="8">
        <v>1799.175</v>
      </c>
      <c r="X73" s="8">
        <v>3994.9589999999998</v>
      </c>
      <c r="Y73" s="8">
        <v>0</v>
      </c>
      <c r="Z73" s="8">
        <v>17525.861000000001</v>
      </c>
      <c r="AA73" s="8">
        <v>0</v>
      </c>
      <c r="AB73" s="8">
        <v>17164.932000000001</v>
      </c>
      <c r="AC73" s="8">
        <v>0</v>
      </c>
      <c r="AD73" s="8">
        <v>1239.067</v>
      </c>
      <c r="AE73" s="8">
        <v>0</v>
      </c>
      <c r="AF73" s="8">
        <v>62797.446000000004</v>
      </c>
      <c r="AG73" s="8">
        <v>0</v>
      </c>
      <c r="AH73" s="8">
        <v>0</v>
      </c>
      <c r="AI73" s="8">
        <v>112700.35799999999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1672.47</v>
      </c>
      <c r="AQ73" s="8">
        <v>0</v>
      </c>
      <c r="AR73" s="8">
        <v>0</v>
      </c>
      <c r="AS73" s="8">
        <v>0</v>
      </c>
      <c r="AT73" s="8">
        <v>13.443</v>
      </c>
      <c r="AU73" s="8">
        <v>0</v>
      </c>
      <c r="AV73" s="8">
        <v>503.17399999999998</v>
      </c>
      <c r="AW73" s="8">
        <v>0</v>
      </c>
      <c r="AX73" s="8">
        <v>0</v>
      </c>
      <c r="AY73" s="8">
        <v>0</v>
      </c>
      <c r="AZ73" s="8">
        <v>2112.922</v>
      </c>
      <c r="BA73" s="8">
        <v>0</v>
      </c>
      <c r="BB73" s="8">
        <v>0</v>
      </c>
      <c r="BC73" s="8">
        <v>821.02</v>
      </c>
      <c r="BD73" s="8">
        <v>1024.0619999999999</v>
      </c>
      <c r="BE73" s="8">
        <v>0</v>
      </c>
      <c r="BF73" s="8">
        <v>241.15100000000001</v>
      </c>
      <c r="BG73" s="8">
        <v>0</v>
      </c>
      <c r="BH73" s="8">
        <v>0</v>
      </c>
      <c r="BI73" s="8">
        <v>371.11900000000003</v>
      </c>
      <c r="BL73" s="22"/>
    </row>
    <row r="74" spans="1:64" ht="15.75">
      <c r="A74" s="22"/>
      <c r="B74" s="7" t="s">
        <v>136</v>
      </c>
      <c r="C74" s="7" t="s">
        <v>137</v>
      </c>
      <c r="D74" s="8">
        <v>6</v>
      </c>
      <c r="E74" s="8">
        <v>6</v>
      </c>
      <c r="F74" s="8">
        <v>352.06099999999998</v>
      </c>
      <c r="G74" s="8">
        <v>30.76</v>
      </c>
      <c r="H74" s="8">
        <v>43.082000000000001</v>
      </c>
      <c r="I74" s="8">
        <v>0</v>
      </c>
      <c r="J74" s="8">
        <v>7.47</v>
      </c>
      <c r="K74" s="8">
        <v>26.177</v>
      </c>
      <c r="L74" s="8">
        <v>0</v>
      </c>
      <c r="M74" s="8">
        <v>251.679</v>
      </c>
      <c r="N74" s="8">
        <v>116.321</v>
      </c>
      <c r="O74" s="8">
        <v>0</v>
      </c>
      <c r="P74" s="8">
        <v>0</v>
      </c>
      <c r="Q74" s="8">
        <v>1.3460000000000001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4.3860000000000001</v>
      </c>
      <c r="X74" s="8">
        <v>13.202</v>
      </c>
      <c r="Y74" s="8">
        <v>0</v>
      </c>
      <c r="Z74" s="8">
        <v>104.161</v>
      </c>
      <c r="AA74" s="8">
        <v>0</v>
      </c>
      <c r="AB74" s="8">
        <v>35.478999999999999</v>
      </c>
      <c r="AC74" s="8">
        <v>0</v>
      </c>
      <c r="AD74" s="8">
        <v>5.6509999999999998</v>
      </c>
      <c r="AE74" s="8">
        <v>0</v>
      </c>
      <c r="AF74" s="8">
        <v>338.85199999999998</v>
      </c>
      <c r="AG74" s="8">
        <v>0</v>
      </c>
      <c r="AH74" s="8">
        <v>0</v>
      </c>
      <c r="AI74" s="8">
        <v>738.89400000000001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L74" s="22"/>
    </row>
    <row r="75" spans="1:64" ht="15.75">
      <c r="A75" s="22"/>
      <c r="B75" s="7" t="s">
        <v>138</v>
      </c>
      <c r="C75" s="7" t="s">
        <v>139</v>
      </c>
      <c r="D75" s="8">
        <v>6</v>
      </c>
      <c r="E75" s="8">
        <v>6</v>
      </c>
      <c r="F75" s="8">
        <v>7504.63</v>
      </c>
      <c r="G75" s="8">
        <v>1284.8</v>
      </c>
      <c r="H75" s="8">
        <v>1083.644</v>
      </c>
      <c r="I75" s="8">
        <v>0</v>
      </c>
      <c r="J75" s="8">
        <v>108.67100000000001</v>
      </c>
      <c r="K75" s="8">
        <v>1027.33</v>
      </c>
      <c r="L75" s="8">
        <v>0</v>
      </c>
      <c r="M75" s="8">
        <v>11140.624</v>
      </c>
      <c r="N75" s="8">
        <v>2989.2559999999999</v>
      </c>
      <c r="O75" s="8">
        <v>0</v>
      </c>
      <c r="P75" s="8">
        <v>0</v>
      </c>
      <c r="Q75" s="8">
        <v>5.2690000000000001</v>
      </c>
      <c r="R75" s="8">
        <v>0</v>
      </c>
      <c r="S75" s="8">
        <v>140.63</v>
      </c>
      <c r="T75" s="8">
        <v>262.61500000000001</v>
      </c>
      <c r="U75" s="8">
        <v>0</v>
      </c>
      <c r="V75" s="8">
        <v>0</v>
      </c>
      <c r="W75" s="8">
        <v>151.04</v>
      </c>
      <c r="X75" s="8">
        <v>235.3</v>
      </c>
      <c r="Y75" s="8">
        <v>0</v>
      </c>
      <c r="Z75" s="8">
        <v>1003.686</v>
      </c>
      <c r="AA75" s="8">
        <v>0</v>
      </c>
      <c r="AB75" s="8">
        <v>1213.6959999999999</v>
      </c>
      <c r="AC75" s="8">
        <v>0</v>
      </c>
      <c r="AD75" s="8">
        <v>111.983</v>
      </c>
      <c r="AE75" s="8">
        <v>0</v>
      </c>
      <c r="AF75" s="8">
        <v>2945.6019999999999</v>
      </c>
      <c r="AG75" s="8">
        <v>0</v>
      </c>
      <c r="AH75" s="8">
        <v>0</v>
      </c>
      <c r="AI75" s="8">
        <v>11518.972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123.42400000000001</v>
      </c>
      <c r="AQ75" s="8">
        <v>0</v>
      </c>
      <c r="AR75" s="8">
        <v>0</v>
      </c>
      <c r="AS75" s="8">
        <v>0</v>
      </c>
      <c r="AT75" s="8">
        <v>2.359</v>
      </c>
      <c r="AU75" s="8">
        <v>0</v>
      </c>
      <c r="AV75" s="8">
        <v>58.472000000000001</v>
      </c>
      <c r="AW75" s="8">
        <v>0</v>
      </c>
      <c r="AX75" s="8">
        <v>0</v>
      </c>
      <c r="AY75" s="8">
        <v>0</v>
      </c>
      <c r="AZ75" s="8">
        <v>157.756</v>
      </c>
      <c r="BA75" s="8">
        <v>0</v>
      </c>
      <c r="BB75" s="8">
        <v>0</v>
      </c>
      <c r="BC75" s="8">
        <v>59.021000000000001</v>
      </c>
      <c r="BD75" s="8">
        <v>76.179000000000002</v>
      </c>
      <c r="BE75" s="8">
        <v>0</v>
      </c>
      <c r="BF75" s="8">
        <v>17.087</v>
      </c>
      <c r="BG75" s="8">
        <v>0</v>
      </c>
      <c r="BH75" s="8">
        <v>0</v>
      </c>
      <c r="BI75" s="8">
        <v>27.25</v>
      </c>
      <c r="BL75" s="22"/>
    </row>
    <row r="76" spans="1:64" ht="15.75">
      <c r="A76" s="22"/>
      <c r="B76" s="7" t="s">
        <v>140</v>
      </c>
      <c r="C76" s="7" t="s">
        <v>141</v>
      </c>
      <c r="D76" s="8">
        <v>6</v>
      </c>
      <c r="E76" s="8">
        <v>6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L76" s="22"/>
    </row>
    <row r="77" spans="1:64" ht="15.75">
      <c r="A77" s="22"/>
      <c r="B77" s="7" t="s">
        <v>142</v>
      </c>
      <c r="C77" s="7" t="s">
        <v>143</v>
      </c>
      <c r="D77" s="8">
        <v>6</v>
      </c>
      <c r="E77" s="8">
        <v>6</v>
      </c>
      <c r="F77" s="8">
        <v>8800.1270000000004</v>
      </c>
      <c r="G77" s="8">
        <v>1142.394</v>
      </c>
      <c r="H77" s="8">
        <v>1820.056</v>
      </c>
      <c r="I77" s="8">
        <v>5044.491</v>
      </c>
      <c r="J77" s="8">
        <v>181.06200000000001</v>
      </c>
      <c r="K77" s="8">
        <v>1048.9829999999999</v>
      </c>
      <c r="L77" s="8">
        <v>0</v>
      </c>
      <c r="M77" s="8">
        <v>3777.7240000000002</v>
      </c>
      <c r="N77" s="8">
        <v>3791.1930000000002</v>
      </c>
      <c r="O77" s="8">
        <v>0</v>
      </c>
      <c r="P77" s="8">
        <v>0</v>
      </c>
      <c r="Q77" s="8">
        <v>8.3219999999999992</v>
      </c>
      <c r="R77" s="8">
        <v>0</v>
      </c>
      <c r="S77" s="8">
        <v>0</v>
      </c>
      <c r="T77" s="8">
        <v>445.92</v>
      </c>
      <c r="U77" s="8">
        <v>0</v>
      </c>
      <c r="V77" s="8">
        <v>0</v>
      </c>
      <c r="W77" s="8">
        <v>254.43199999999999</v>
      </c>
      <c r="X77" s="8">
        <v>393.42099999999999</v>
      </c>
      <c r="Y77" s="8">
        <v>0</v>
      </c>
      <c r="Z77" s="8">
        <v>1655.9880000000001</v>
      </c>
      <c r="AA77" s="8">
        <v>0</v>
      </c>
      <c r="AB77" s="8">
        <v>2044.4090000000001</v>
      </c>
      <c r="AC77" s="8">
        <v>0</v>
      </c>
      <c r="AD77" s="8">
        <v>187.52600000000001</v>
      </c>
      <c r="AE77" s="8">
        <v>0</v>
      </c>
      <c r="AF77" s="8">
        <v>3167.7179999999998</v>
      </c>
      <c r="AG77" s="8">
        <v>0</v>
      </c>
      <c r="AH77" s="8">
        <v>0</v>
      </c>
      <c r="AI77" s="8">
        <v>9406.32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209.571</v>
      </c>
      <c r="AQ77" s="8">
        <v>0</v>
      </c>
      <c r="AR77" s="8">
        <v>0</v>
      </c>
      <c r="AS77" s="8">
        <v>0</v>
      </c>
      <c r="AT77" s="8">
        <v>4.0049999999999999</v>
      </c>
      <c r="AU77" s="8">
        <v>0</v>
      </c>
      <c r="AV77" s="8">
        <v>99.281000000000006</v>
      </c>
      <c r="AW77" s="8">
        <v>0</v>
      </c>
      <c r="AX77" s="8">
        <v>0</v>
      </c>
      <c r="AY77" s="8">
        <v>0</v>
      </c>
      <c r="AZ77" s="8">
        <v>267.86900000000003</v>
      </c>
      <c r="BA77" s="8">
        <v>0</v>
      </c>
      <c r="BB77" s="8">
        <v>0</v>
      </c>
      <c r="BC77" s="8">
        <v>100.217</v>
      </c>
      <c r="BD77" s="8">
        <v>129.35</v>
      </c>
      <c r="BE77" s="8">
        <v>0</v>
      </c>
      <c r="BF77" s="8">
        <v>29.013999999999999</v>
      </c>
      <c r="BG77" s="8">
        <v>0</v>
      </c>
      <c r="BH77" s="8">
        <v>0</v>
      </c>
      <c r="BI77" s="8">
        <v>46.271000000000001</v>
      </c>
      <c r="BL77" s="22"/>
    </row>
    <row r="78" spans="1:64" ht="15.75">
      <c r="A78" s="22"/>
      <c r="B78" s="7" t="s">
        <v>144</v>
      </c>
      <c r="C78" s="7" t="s">
        <v>145</v>
      </c>
      <c r="D78" s="8">
        <v>6</v>
      </c>
      <c r="E78" s="8">
        <v>6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L78" s="22"/>
    </row>
    <row r="79" spans="1:64" ht="15.75">
      <c r="A79" s="22"/>
      <c r="B79" s="7" t="s">
        <v>146</v>
      </c>
      <c r="C79" s="7" t="s">
        <v>147</v>
      </c>
      <c r="D79" s="8">
        <v>6</v>
      </c>
      <c r="E79" s="8">
        <v>6</v>
      </c>
      <c r="F79" s="8">
        <v>3886.5659999999998</v>
      </c>
      <c r="G79" s="8">
        <v>631.64300000000003</v>
      </c>
      <c r="H79" s="8">
        <v>1002.3049999999999</v>
      </c>
      <c r="I79" s="8">
        <v>0</v>
      </c>
      <c r="J79" s="8">
        <v>52.866999999999997</v>
      </c>
      <c r="K79" s="8">
        <v>722.39800000000002</v>
      </c>
      <c r="L79" s="8">
        <v>0</v>
      </c>
      <c r="M79" s="8">
        <v>5193.5450000000001</v>
      </c>
      <c r="N79" s="8">
        <v>1531.768</v>
      </c>
      <c r="O79" s="8">
        <v>0</v>
      </c>
      <c r="P79" s="8">
        <v>0</v>
      </c>
      <c r="Q79" s="8">
        <v>2.6059999999999999</v>
      </c>
      <c r="R79" s="8">
        <v>0</v>
      </c>
      <c r="S79" s="8">
        <v>77.866</v>
      </c>
      <c r="T79" s="8">
        <v>126.983</v>
      </c>
      <c r="U79" s="8">
        <v>0</v>
      </c>
      <c r="V79" s="8">
        <v>0</v>
      </c>
      <c r="W79" s="8">
        <v>73.22</v>
      </c>
      <c r="X79" s="8">
        <v>114.342</v>
      </c>
      <c r="Y79" s="8">
        <v>0</v>
      </c>
      <c r="Z79" s="8">
        <v>611.04899999999998</v>
      </c>
      <c r="AA79" s="8">
        <v>0</v>
      </c>
      <c r="AB79" s="8">
        <v>648.41200000000003</v>
      </c>
      <c r="AC79" s="8">
        <v>0</v>
      </c>
      <c r="AD79" s="8">
        <v>54.389000000000003</v>
      </c>
      <c r="AE79" s="8">
        <v>0</v>
      </c>
      <c r="AF79" s="8">
        <v>1737.2149999999999</v>
      </c>
      <c r="AG79" s="8">
        <v>0</v>
      </c>
      <c r="AH79" s="8">
        <v>0</v>
      </c>
      <c r="AI79" s="8">
        <v>6026.1750000000002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59.679000000000002</v>
      </c>
      <c r="AQ79" s="8">
        <v>0</v>
      </c>
      <c r="AR79" s="8">
        <v>0</v>
      </c>
      <c r="AS79" s="8">
        <v>0</v>
      </c>
      <c r="AT79" s="8">
        <v>1.1399999999999999</v>
      </c>
      <c r="AU79" s="8">
        <v>0</v>
      </c>
      <c r="AV79" s="8">
        <v>28.273</v>
      </c>
      <c r="AW79" s="8">
        <v>0</v>
      </c>
      <c r="AX79" s="8">
        <v>0</v>
      </c>
      <c r="AY79" s="8">
        <v>0</v>
      </c>
      <c r="AZ79" s="8">
        <v>76.28</v>
      </c>
      <c r="BA79" s="8">
        <v>0</v>
      </c>
      <c r="BB79" s="8">
        <v>0</v>
      </c>
      <c r="BC79" s="8">
        <v>28.538</v>
      </c>
      <c r="BD79" s="8">
        <v>36.834000000000003</v>
      </c>
      <c r="BE79" s="8">
        <v>0</v>
      </c>
      <c r="BF79" s="8">
        <v>8.2629999999999999</v>
      </c>
      <c r="BG79" s="8">
        <v>0</v>
      </c>
      <c r="BH79" s="8">
        <v>0</v>
      </c>
      <c r="BI79" s="8">
        <v>13.176</v>
      </c>
      <c r="BL79" s="22"/>
    </row>
    <row r="80" spans="1:64" ht="15.75">
      <c r="A80" s="22"/>
      <c r="B80" s="7" t="s">
        <v>148</v>
      </c>
      <c r="C80" s="7" t="s">
        <v>149</v>
      </c>
      <c r="D80" s="8">
        <v>6</v>
      </c>
      <c r="E80" s="8">
        <v>6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L80" s="22"/>
    </row>
    <row r="81" spans="1:64" ht="15.75">
      <c r="A81" s="22"/>
      <c r="B81" s="7" t="s">
        <v>150</v>
      </c>
      <c r="C81" s="7" t="s">
        <v>151</v>
      </c>
      <c r="D81" s="8">
        <v>6</v>
      </c>
      <c r="E81" s="8">
        <v>6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L81" s="22"/>
    </row>
    <row r="82" spans="1:64" ht="15.75">
      <c r="A82" s="22"/>
      <c r="B82" s="7" t="s">
        <v>152</v>
      </c>
      <c r="C82" s="7" t="s">
        <v>153</v>
      </c>
      <c r="D82" s="8">
        <v>6</v>
      </c>
      <c r="E82" s="8">
        <v>6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L82" s="22"/>
    </row>
    <row r="83" spans="1:64" ht="15.75">
      <c r="A83" s="22"/>
      <c r="B83" s="7" t="s">
        <v>154</v>
      </c>
      <c r="C83" s="7" t="s">
        <v>155</v>
      </c>
      <c r="D83" s="8">
        <v>6</v>
      </c>
      <c r="E83" s="8">
        <v>6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L83" s="22"/>
    </row>
    <row r="84" spans="1:64" ht="15.75">
      <c r="A84" s="22"/>
      <c r="B84" s="7" t="s">
        <v>156</v>
      </c>
      <c r="C84" s="7" t="s">
        <v>157</v>
      </c>
      <c r="D84" s="8">
        <v>6</v>
      </c>
      <c r="E84" s="8">
        <v>6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L84" s="22"/>
    </row>
    <row r="85" spans="1:64" ht="15.75">
      <c r="A85" s="22"/>
      <c r="B85" s="7" t="s">
        <v>158</v>
      </c>
      <c r="C85" s="7" t="s">
        <v>159</v>
      </c>
      <c r="D85" s="8">
        <v>6</v>
      </c>
      <c r="E85" s="8">
        <v>6</v>
      </c>
      <c r="F85" s="8">
        <v>13561.284</v>
      </c>
      <c r="G85" s="8">
        <v>2318.9789999999998</v>
      </c>
      <c r="H85" s="8">
        <v>2736.4780000000001</v>
      </c>
      <c r="I85" s="8">
        <v>2107.098</v>
      </c>
      <c r="J85" s="8">
        <v>408.80900000000003</v>
      </c>
      <c r="K85" s="8">
        <v>1772.001</v>
      </c>
      <c r="L85" s="8">
        <v>0</v>
      </c>
      <c r="M85" s="8">
        <v>13826.709000000001</v>
      </c>
      <c r="N85" s="8">
        <v>5655.527</v>
      </c>
      <c r="O85" s="8">
        <v>0</v>
      </c>
      <c r="P85" s="8">
        <v>0</v>
      </c>
      <c r="Q85" s="8">
        <v>61.582999999999998</v>
      </c>
      <c r="R85" s="8">
        <v>0</v>
      </c>
      <c r="S85" s="8">
        <v>99.828999999999994</v>
      </c>
      <c r="T85" s="8">
        <v>689.84299999999996</v>
      </c>
      <c r="U85" s="8">
        <v>0</v>
      </c>
      <c r="V85" s="8">
        <v>0</v>
      </c>
      <c r="W85" s="8">
        <v>352.072</v>
      </c>
      <c r="X85" s="8">
        <v>483.56700000000001</v>
      </c>
      <c r="Y85" s="8">
        <v>0</v>
      </c>
      <c r="Z85" s="8">
        <v>1575.365</v>
      </c>
      <c r="AA85" s="8">
        <v>0</v>
      </c>
      <c r="AB85" s="8">
        <v>2826.9609999999998</v>
      </c>
      <c r="AC85" s="8">
        <v>0</v>
      </c>
      <c r="AD85" s="8">
        <v>236.61600000000001</v>
      </c>
      <c r="AE85" s="8">
        <v>0</v>
      </c>
      <c r="AF85" s="8">
        <v>2510.4560000000001</v>
      </c>
      <c r="AG85" s="8">
        <v>6.0000000000000001E-3</v>
      </c>
      <c r="AH85" s="8">
        <v>0</v>
      </c>
      <c r="AI85" s="8">
        <v>17771.526999999998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324.30200000000002</v>
      </c>
      <c r="AQ85" s="8">
        <v>0</v>
      </c>
      <c r="AR85" s="8">
        <v>1E-3</v>
      </c>
      <c r="AS85" s="8">
        <v>0</v>
      </c>
      <c r="AT85" s="8">
        <v>6.1950000000000003</v>
      </c>
      <c r="AU85" s="8">
        <v>0</v>
      </c>
      <c r="AV85" s="8">
        <v>153.56299999999999</v>
      </c>
      <c r="AW85" s="8">
        <v>0</v>
      </c>
      <c r="AX85" s="8">
        <v>0</v>
      </c>
      <c r="AY85" s="8">
        <v>0</v>
      </c>
      <c r="AZ85" s="8">
        <v>414.315</v>
      </c>
      <c r="BA85" s="8">
        <v>0</v>
      </c>
      <c r="BB85" s="8">
        <v>0</v>
      </c>
      <c r="BC85" s="8">
        <v>155.08000000000001</v>
      </c>
      <c r="BD85" s="8">
        <v>200.065</v>
      </c>
      <c r="BE85" s="8">
        <v>0</v>
      </c>
      <c r="BF85" s="8">
        <v>44.896999999999998</v>
      </c>
      <c r="BG85" s="8">
        <v>0</v>
      </c>
      <c r="BH85" s="8">
        <v>0</v>
      </c>
      <c r="BI85" s="8">
        <v>71.566999999999993</v>
      </c>
      <c r="BL85" s="22"/>
    </row>
    <row r="86" spans="1:64" ht="15.75">
      <c r="A86" s="22"/>
      <c r="B86" s="7" t="s">
        <v>160</v>
      </c>
      <c r="C86" s="7" t="s">
        <v>161</v>
      </c>
      <c r="D86" s="8">
        <v>6</v>
      </c>
      <c r="E86" s="8">
        <v>6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L86" s="22"/>
    </row>
    <row r="87" spans="1:64" ht="15.75">
      <c r="A87" s="22"/>
      <c r="B87" s="7" t="s">
        <v>162</v>
      </c>
      <c r="C87" s="7" t="s">
        <v>163</v>
      </c>
      <c r="D87" s="8">
        <v>6</v>
      </c>
      <c r="E87" s="8">
        <v>6</v>
      </c>
      <c r="F87" s="8">
        <v>28010.304</v>
      </c>
      <c r="G87" s="8">
        <v>3982.9740000000002</v>
      </c>
      <c r="H87" s="8">
        <v>6487.5360000000001</v>
      </c>
      <c r="I87" s="8">
        <v>970.85199999999998</v>
      </c>
      <c r="J87" s="8">
        <v>569.14599999999996</v>
      </c>
      <c r="K87" s="8">
        <v>3706.8180000000002</v>
      </c>
      <c r="L87" s="8">
        <v>0</v>
      </c>
      <c r="M87" s="8">
        <v>9814.27</v>
      </c>
      <c r="N87" s="8">
        <v>12887.691000000001</v>
      </c>
      <c r="O87" s="8">
        <v>0</v>
      </c>
      <c r="P87" s="8">
        <v>0</v>
      </c>
      <c r="Q87" s="8">
        <v>2.1419999999999999</v>
      </c>
      <c r="R87" s="8">
        <v>0</v>
      </c>
      <c r="S87" s="8">
        <v>0</v>
      </c>
      <c r="T87" s="8">
        <v>1842.2439999999999</v>
      </c>
      <c r="U87" s="8">
        <v>0</v>
      </c>
      <c r="V87" s="8">
        <v>0</v>
      </c>
      <c r="W87" s="8">
        <v>946.12199999999996</v>
      </c>
      <c r="X87" s="8">
        <v>1309.2070000000001</v>
      </c>
      <c r="Y87" s="8">
        <v>0</v>
      </c>
      <c r="Z87" s="8">
        <v>4453.7629999999999</v>
      </c>
      <c r="AA87" s="8">
        <v>0</v>
      </c>
      <c r="AB87" s="8">
        <v>7596.4979999999996</v>
      </c>
      <c r="AC87" s="8">
        <v>0</v>
      </c>
      <c r="AD87" s="8">
        <v>639.40200000000004</v>
      </c>
      <c r="AE87" s="8">
        <v>0</v>
      </c>
      <c r="AF87" s="8">
        <v>5185.2749999999996</v>
      </c>
      <c r="AG87" s="8">
        <v>0</v>
      </c>
      <c r="AH87" s="8">
        <v>0</v>
      </c>
      <c r="AI87" s="8">
        <v>21613.71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865.80799999999999</v>
      </c>
      <c r="AQ87" s="8">
        <v>0</v>
      </c>
      <c r="AR87" s="8">
        <v>0</v>
      </c>
      <c r="AS87" s="8">
        <v>0</v>
      </c>
      <c r="AT87" s="8">
        <v>16.545000000000002</v>
      </c>
      <c r="AU87" s="8">
        <v>0</v>
      </c>
      <c r="AV87" s="8">
        <v>410.18599999999998</v>
      </c>
      <c r="AW87" s="8">
        <v>0</v>
      </c>
      <c r="AX87" s="8">
        <v>0</v>
      </c>
      <c r="AY87" s="8">
        <v>0</v>
      </c>
      <c r="AZ87" s="8">
        <v>1106.6559999999999</v>
      </c>
      <c r="BA87" s="8">
        <v>0</v>
      </c>
      <c r="BB87" s="8">
        <v>0</v>
      </c>
      <c r="BC87" s="8">
        <v>414.03199999999998</v>
      </c>
      <c r="BD87" s="8">
        <v>534.38499999999999</v>
      </c>
      <c r="BE87" s="8">
        <v>0</v>
      </c>
      <c r="BF87" s="8">
        <v>119.866</v>
      </c>
      <c r="BG87" s="8">
        <v>0</v>
      </c>
      <c r="BH87" s="8">
        <v>0</v>
      </c>
      <c r="BI87" s="8">
        <v>191.161</v>
      </c>
      <c r="BL87" s="22"/>
    </row>
    <row r="88" spans="1:64" ht="15.75">
      <c r="A88" s="22"/>
      <c r="B88" s="7" t="s">
        <v>164</v>
      </c>
      <c r="C88" s="7" t="s">
        <v>165</v>
      </c>
      <c r="D88" s="8">
        <v>6</v>
      </c>
      <c r="E88" s="8">
        <v>6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L88" s="22"/>
    </row>
    <row r="89" spans="1:64" ht="15.75">
      <c r="A89" s="22"/>
      <c r="B89" s="7" t="s">
        <v>166</v>
      </c>
      <c r="C89" s="7" t="s">
        <v>167</v>
      </c>
      <c r="D89" s="8">
        <v>3</v>
      </c>
      <c r="E89" s="8">
        <v>3</v>
      </c>
      <c r="F89" s="8">
        <v>21527.477999999999</v>
      </c>
      <c r="G89" s="8">
        <v>3090.8969999999999</v>
      </c>
      <c r="H89" s="8">
        <v>5041.875</v>
      </c>
      <c r="I89" s="8">
        <v>0</v>
      </c>
      <c r="J89" s="8">
        <v>438.44200000000001</v>
      </c>
      <c r="K89" s="8">
        <v>2879.1640000000002</v>
      </c>
      <c r="L89" s="8">
        <v>0</v>
      </c>
      <c r="M89" s="8">
        <v>7247.6540000000005</v>
      </c>
      <c r="N89" s="8">
        <v>9975.2219999999998</v>
      </c>
      <c r="O89" s="8">
        <v>0</v>
      </c>
      <c r="P89" s="8">
        <v>0</v>
      </c>
      <c r="Q89" s="8">
        <v>0.26700000000000002</v>
      </c>
      <c r="R89" s="8">
        <v>0</v>
      </c>
      <c r="S89" s="8">
        <v>0</v>
      </c>
      <c r="T89" s="8">
        <v>1444.5730000000001</v>
      </c>
      <c r="U89" s="8">
        <v>0</v>
      </c>
      <c r="V89" s="8">
        <v>0</v>
      </c>
      <c r="W89" s="8">
        <v>737.28399999999999</v>
      </c>
      <c r="X89" s="8">
        <v>1012.7329999999999</v>
      </c>
      <c r="Y89" s="8">
        <v>0</v>
      </c>
      <c r="Z89" s="8">
        <v>3299.279</v>
      </c>
      <c r="AA89" s="8">
        <v>0</v>
      </c>
      <c r="AB89" s="8">
        <v>5919.44</v>
      </c>
      <c r="AC89" s="8">
        <v>0</v>
      </c>
      <c r="AD89" s="8">
        <v>495.44400000000002</v>
      </c>
      <c r="AE89" s="8">
        <v>0</v>
      </c>
      <c r="AF89" s="8">
        <v>3543.01</v>
      </c>
      <c r="AG89" s="8">
        <v>0</v>
      </c>
      <c r="AH89" s="8">
        <v>0</v>
      </c>
      <c r="AI89" s="8">
        <v>15820.968999999999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678.91300000000001</v>
      </c>
      <c r="AQ89" s="8">
        <v>0</v>
      </c>
      <c r="AR89" s="8">
        <v>0</v>
      </c>
      <c r="AS89" s="8">
        <v>0</v>
      </c>
      <c r="AT89" s="8">
        <v>12.973000000000001</v>
      </c>
      <c r="AU89" s="8">
        <v>0</v>
      </c>
      <c r="AV89" s="8">
        <v>321.63799999999998</v>
      </c>
      <c r="AW89" s="8">
        <v>0</v>
      </c>
      <c r="AX89" s="8">
        <v>0</v>
      </c>
      <c r="AY89" s="8">
        <v>0</v>
      </c>
      <c r="AZ89" s="8">
        <v>867.77200000000005</v>
      </c>
      <c r="BA89" s="8">
        <v>0</v>
      </c>
      <c r="BB89" s="8">
        <v>0</v>
      </c>
      <c r="BC89" s="8">
        <v>324.65800000000002</v>
      </c>
      <c r="BD89" s="8">
        <v>419.03199999999998</v>
      </c>
      <c r="BE89" s="8">
        <v>0</v>
      </c>
      <c r="BF89" s="8">
        <v>93.992000000000004</v>
      </c>
      <c r="BG89" s="8">
        <v>0</v>
      </c>
      <c r="BH89" s="8">
        <v>0</v>
      </c>
      <c r="BI89" s="8">
        <v>149.89500000000001</v>
      </c>
      <c r="BL89" s="22"/>
    </row>
    <row r="90" spans="1:64" ht="15.75">
      <c r="A90" s="22"/>
      <c r="B90" s="7" t="s">
        <v>168</v>
      </c>
      <c r="C90" s="7" t="s">
        <v>169</v>
      </c>
      <c r="D90" s="8">
        <v>3</v>
      </c>
      <c r="E90" s="8">
        <v>3</v>
      </c>
      <c r="F90" s="8">
        <v>63582.694000000003</v>
      </c>
      <c r="G90" s="8">
        <v>6628.3850000000002</v>
      </c>
      <c r="H90" s="8">
        <v>14967.075000000001</v>
      </c>
      <c r="I90" s="8">
        <v>0</v>
      </c>
      <c r="J90" s="8">
        <v>1136.6120000000001</v>
      </c>
      <c r="K90" s="8">
        <v>10525.11</v>
      </c>
      <c r="L90" s="8">
        <v>0</v>
      </c>
      <c r="M90" s="8">
        <v>25369.111000000001</v>
      </c>
      <c r="N90" s="8">
        <v>29480.343000000001</v>
      </c>
      <c r="O90" s="8">
        <v>0</v>
      </c>
      <c r="P90" s="8">
        <v>0</v>
      </c>
      <c r="Q90" s="8">
        <v>1.113</v>
      </c>
      <c r="R90" s="8">
        <v>0</v>
      </c>
      <c r="S90" s="8">
        <v>117.425</v>
      </c>
      <c r="T90" s="8">
        <v>2693.605</v>
      </c>
      <c r="U90" s="8">
        <v>0</v>
      </c>
      <c r="V90" s="8">
        <v>0</v>
      </c>
      <c r="W90" s="8">
        <v>1669.5889999999999</v>
      </c>
      <c r="X90" s="8">
        <v>3141.681</v>
      </c>
      <c r="Y90" s="8">
        <v>0</v>
      </c>
      <c r="Z90" s="8">
        <v>12334.349</v>
      </c>
      <c r="AA90" s="8">
        <v>0</v>
      </c>
      <c r="AB90" s="8">
        <v>15048.674999999999</v>
      </c>
      <c r="AC90" s="8">
        <v>0</v>
      </c>
      <c r="AD90" s="8">
        <v>1112.1880000000001</v>
      </c>
      <c r="AE90" s="8">
        <v>0</v>
      </c>
      <c r="AF90" s="8">
        <v>38110.879000000001</v>
      </c>
      <c r="AG90" s="8">
        <v>0</v>
      </c>
      <c r="AH90" s="8">
        <v>0</v>
      </c>
      <c r="AI90" s="8">
        <v>74490.205000000002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1588.6679999999999</v>
      </c>
      <c r="AQ90" s="8">
        <v>0</v>
      </c>
      <c r="AR90" s="8">
        <v>0</v>
      </c>
      <c r="AS90" s="8">
        <v>0</v>
      </c>
      <c r="AT90" s="8">
        <v>19.148</v>
      </c>
      <c r="AU90" s="8">
        <v>0</v>
      </c>
      <c r="AV90" s="8">
        <v>577.54700000000003</v>
      </c>
      <c r="AW90" s="8">
        <v>0</v>
      </c>
      <c r="AX90" s="8">
        <v>0</v>
      </c>
      <c r="AY90" s="8">
        <v>0</v>
      </c>
      <c r="AZ90" s="8">
        <v>2015.586</v>
      </c>
      <c r="BA90" s="8">
        <v>0</v>
      </c>
      <c r="BB90" s="8">
        <v>0</v>
      </c>
      <c r="BC90" s="8">
        <v>772.56500000000005</v>
      </c>
      <c r="BD90" s="8">
        <v>975.572</v>
      </c>
      <c r="BE90" s="8">
        <v>0</v>
      </c>
      <c r="BF90" s="8">
        <v>225.756</v>
      </c>
      <c r="BG90" s="8">
        <v>0</v>
      </c>
      <c r="BH90" s="8">
        <v>0</v>
      </c>
      <c r="BI90" s="8">
        <v>351.88200000000001</v>
      </c>
      <c r="BL90" s="22"/>
    </row>
    <row r="91" spans="1:64" ht="15.75">
      <c r="A91" s="22"/>
      <c r="B91" s="7" t="s">
        <v>170</v>
      </c>
      <c r="C91" s="7" t="s">
        <v>171</v>
      </c>
      <c r="D91" s="8">
        <v>3</v>
      </c>
      <c r="E91" s="8">
        <v>3</v>
      </c>
      <c r="F91" s="8">
        <v>58061.23</v>
      </c>
      <c r="G91" s="8">
        <v>8336.3799999999992</v>
      </c>
      <c r="H91" s="8">
        <v>13598.317999999999</v>
      </c>
      <c r="I91" s="8">
        <v>0</v>
      </c>
      <c r="J91" s="8">
        <v>1182.5129999999999</v>
      </c>
      <c r="K91" s="8">
        <v>7765.3220000000001</v>
      </c>
      <c r="L91" s="8">
        <v>0</v>
      </c>
      <c r="M91" s="8">
        <v>19547.468000000001</v>
      </c>
      <c r="N91" s="8">
        <v>26903.925999999999</v>
      </c>
      <c r="O91" s="8">
        <v>0</v>
      </c>
      <c r="P91" s="8">
        <v>0</v>
      </c>
      <c r="Q91" s="8">
        <v>0.71899999999999997</v>
      </c>
      <c r="R91" s="8">
        <v>0</v>
      </c>
      <c r="S91" s="8">
        <v>0</v>
      </c>
      <c r="T91" s="8">
        <v>3896.1210000000001</v>
      </c>
      <c r="U91" s="8">
        <v>0</v>
      </c>
      <c r="V91" s="8">
        <v>0</v>
      </c>
      <c r="W91" s="8">
        <v>1988.51</v>
      </c>
      <c r="X91" s="8">
        <v>2731.4169999999999</v>
      </c>
      <c r="Y91" s="8">
        <v>0</v>
      </c>
      <c r="Z91" s="8">
        <v>8898.4060000000009</v>
      </c>
      <c r="AA91" s="8">
        <v>0</v>
      </c>
      <c r="AB91" s="8">
        <v>15965.177</v>
      </c>
      <c r="AC91" s="8">
        <v>0</v>
      </c>
      <c r="AD91" s="8">
        <v>1336.25</v>
      </c>
      <c r="AE91" s="8">
        <v>0</v>
      </c>
      <c r="AF91" s="8">
        <v>9555.7639999999992</v>
      </c>
      <c r="AG91" s="8">
        <v>0</v>
      </c>
      <c r="AH91" s="8">
        <v>0</v>
      </c>
      <c r="AI91" s="8">
        <v>42670.347000000002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1831.079</v>
      </c>
      <c r="AQ91" s="8">
        <v>0</v>
      </c>
      <c r="AR91" s="8">
        <v>0</v>
      </c>
      <c r="AS91" s="8">
        <v>0</v>
      </c>
      <c r="AT91" s="8">
        <v>34.99</v>
      </c>
      <c r="AU91" s="8">
        <v>0</v>
      </c>
      <c r="AV91" s="8">
        <v>867.47799999999995</v>
      </c>
      <c r="AW91" s="8">
        <v>0</v>
      </c>
      <c r="AX91" s="8">
        <v>0</v>
      </c>
      <c r="AY91" s="8">
        <v>0</v>
      </c>
      <c r="AZ91" s="8">
        <v>2340.4459999999999</v>
      </c>
      <c r="BA91" s="8">
        <v>0</v>
      </c>
      <c r="BB91" s="8">
        <v>0</v>
      </c>
      <c r="BC91" s="8">
        <v>875.62699999999995</v>
      </c>
      <c r="BD91" s="8">
        <v>1130.1600000000001</v>
      </c>
      <c r="BE91" s="8">
        <v>0</v>
      </c>
      <c r="BF91" s="8">
        <v>253.501</v>
      </c>
      <c r="BG91" s="8">
        <v>0</v>
      </c>
      <c r="BH91" s="8">
        <v>0</v>
      </c>
      <c r="BI91" s="8">
        <v>404.279</v>
      </c>
      <c r="BL91" s="22"/>
    </row>
    <row r="92" spans="1:64" ht="15.75">
      <c r="A92" s="22"/>
      <c r="B92" s="7" t="s">
        <v>172</v>
      </c>
      <c r="C92" s="7" t="s">
        <v>173</v>
      </c>
      <c r="D92" s="8">
        <v>3</v>
      </c>
      <c r="E92" s="8">
        <v>3</v>
      </c>
      <c r="F92" s="8">
        <v>25032.799999999999</v>
      </c>
      <c r="G92" s="8">
        <v>1994.277</v>
      </c>
      <c r="H92" s="8">
        <v>5662.9790000000003</v>
      </c>
      <c r="I92" s="8">
        <v>0</v>
      </c>
      <c r="J92" s="8">
        <v>34.283000000000001</v>
      </c>
      <c r="K92" s="8">
        <v>1603.7159999999999</v>
      </c>
      <c r="L92" s="8">
        <v>0</v>
      </c>
      <c r="M92" s="8">
        <v>26140.487000000001</v>
      </c>
      <c r="N92" s="8">
        <v>3492.5479999999998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822.69899999999996</v>
      </c>
      <c r="U92" s="8">
        <v>0</v>
      </c>
      <c r="V92" s="8">
        <v>0</v>
      </c>
      <c r="W92" s="8">
        <v>473.435</v>
      </c>
      <c r="X92" s="8">
        <v>178.50200000000001</v>
      </c>
      <c r="Y92" s="8">
        <v>0</v>
      </c>
      <c r="Z92" s="8">
        <v>6692.91</v>
      </c>
      <c r="AA92" s="8">
        <v>0</v>
      </c>
      <c r="AB92" s="8">
        <v>2876.7109999999998</v>
      </c>
      <c r="AC92" s="8">
        <v>0</v>
      </c>
      <c r="AD92" s="8">
        <v>915.23699999999997</v>
      </c>
      <c r="AE92" s="8">
        <v>0</v>
      </c>
      <c r="AF92" s="8">
        <v>68074.406000000003</v>
      </c>
      <c r="AG92" s="8">
        <v>9.6170000000000009</v>
      </c>
      <c r="AH92" s="8">
        <v>0</v>
      </c>
      <c r="AI92" s="8">
        <v>94028.099000000002</v>
      </c>
      <c r="AJ92" s="8">
        <v>16.346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1182.3889999999999</v>
      </c>
      <c r="AQ92" s="8">
        <v>0</v>
      </c>
      <c r="AR92" s="8">
        <v>1.1930000000000001</v>
      </c>
      <c r="AS92" s="8">
        <v>0</v>
      </c>
      <c r="AT92" s="8">
        <v>2.5070000000000001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560.68299999999999</v>
      </c>
      <c r="BD92" s="8">
        <v>0</v>
      </c>
      <c r="BE92" s="8">
        <v>0</v>
      </c>
      <c r="BF92" s="8">
        <v>161.03899999999999</v>
      </c>
      <c r="BG92" s="8">
        <v>0</v>
      </c>
      <c r="BH92" s="8">
        <v>0</v>
      </c>
      <c r="BI92" s="8">
        <v>0</v>
      </c>
      <c r="BL92" s="22"/>
    </row>
    <row r="93" spans="1:64" ht="15.75">
      <c r="A93" s="22"/>
      <c r="B93" s="7" t="s">
        <v>174</v>
      </c>
      <c r="C93" s="7" t="s">
        <v>175</v>
      </c>
      <c r="D93" s="8">
        <v>3</v>
      </c>
      <c r="E93" s="8">
        <v>3</v>
      </c>
      <c r="F93" s="8">
        <v>97226.116999999998</v>
      </c>
      <c r="G93" s="8">
        <v>15037.281000000001</v>
      </c>
      <c r="H93" s="8">
        <v>19246.754000000001</v>
      </c>
      <c r="I93" s="8">
        <v>0</v>
      </c>
      <c r="J93" s="8">
        <v>702.24900000000002</v>
      </c>
      <c r="K93" s="8">
        <v>11684.307000000001</v>
      </c>
      <c r="L93" s="8">
        <v>0</v>
      </c>
      <c r="M93" s="8">
        <v>106939.25199999999</v>
      </c>
      <c r="N93" s="8">
        <v>13764.463</v>
      </c>
      <c r="O93" s="8">
        <v>0</v>
      </c>
      <c r="P93" s="8">
        <v>0</v>
      </c>
      <c r="Q93" s="8">
        <v>0.188</v>
      </c>
      <c r="R93" s="8">
        <v>0</v>
      </c>
      <c r="S93" s="8">
        <v>0</v>
      </c>
      <c r="T93" s="8">
        <v>6289.3770000000004</v>
      </c>
      <c r="U93" s="8">
        <v>0</v>
      </c>
      <c r="V93" s="8">
        <v>0</v>
      </c>
      <c r="W93" s="8">
        <v>2778.8670000000002</v>
      </c>
      <c r="X93" s="8">
        <v>749.13699999999994</v>
      </c>
      <c r="Y93" s="8">
        <v>0</v>
      </c>
      <c r="Z93" s="8">
        <v>24062.418000000001</v>
      </c>
      <c r="AA93" s="8">
        <v>0</v>
      </c>
      <c r="AB93" s="8">
        <v>25864.65</v>
      </c>
      <c r="AC93" s="8">
        <v>0</v>
      </c>
      <c r="AD93" s="8">
        <v>4432.5360000000001</v>
      </c>
      <c r="AE93" s="8">
        <v>0</v>
      </c>
      <c r="AF93" s="8">
        <v>230725.08300000001</v>
      </c>
      <c r="AG93" s="8">
        <v>4569.91</v>
      </c>
      <c r="AH93" s="8">
        <v>0</v>
      </c>
      <c r="AI93" s="8">
        <v>345083.13500000001</v>
      </c>
      <c r="AJ93" s="8">
        <v>6904.9470000000001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7943.9859999999999</v>
      </c>
      <c r="AQ93" s="8">
        <v>0</v>
      </c>
      <c r="AR93" s="8">
        <v>1833.261</v>
      </c>
      <c r="AS93" s="8">
        <v>0</v>
      </c>
      <c r="AT93" s="8">
        <v>22.18</v>
      </c>
      <c r="AU93" s="8">
        <v>0</v>
      </c>
      <c r="AV93" s="8">
        <v>25.242999999999999</v>
      </c>
      <c r="AW93" s="8">
        <v>0</v>
      </c>
      <c r="AX93" s="8">
        <v>0</v>
      </c>
      <c r="AY93" s="8">
        <v>0</v>
      </c>
      <c r="AZ93" s="8">
        <v>138.51</v>
      </c>
      <c r="BA93" s="8">
        <v>2932.5120000000002</v>
      </c>
      <c r="BB93" s="8">
        <v>0</v>
      </c>
      <c r="BC93" s="8">
        <v>3759.9450000000002</v>
      </c>
      <c r="BD93" s="8">
        <v>26.38</v>
      </c>
      <c r="BE93" s="8">
        <v>3834.221</v>
      </c>
      <c r="BF93" s="8">
        <v>1083.3620000000001</v>
      </c>
      <c r="BG93" s="8">
        <v>1313.0309999999999</v>
      </c>
      <c r="BH93" s="8">
        <v>0</v>
      </c>
      <c r="BI93" s="8">
        <v>9.5960000000000001</v>
      </c>
      <c r="BL93" s="22"/>
    </row>
    <row r="94" spans="1:64" ht="15.75">
      <c r="A94" s="22"/>
      <c r="B94" s="7" t="s">
        <v>176</v>
      </c>
      <c r="C94" s="7" t="s">
        <v>177</v>
      </c>
      <c r="D94" s="8">
        <v>3</v>
      </c>
      <c r="E94" s="8">
        <v>3</v>
      </c>
      <c r="F94" s="8">
        <v>46787.050999999999</v>
      </c>
      <c r="G94" s="8">
        <v>25291.173999999999</v>
      </c>
      <c r="H94" s="8">
        <v>3606.1379999999999</v>
      </c>
      <c r="I94" s="8">
        <v>236.65799999999999</v>
      </c>
      <c r="J94" s="8">
        <v>1769.1759999999999</v>
      </c>
      <c r="K94" s="8">
        <v>19340.945</v>
      </c>
      <c r="L94" s="8">
        <v>0</v>
      </c>
      <c r="M94" s="8">
        <v>58116.480000000003</v>
      </c>
      <c r="N94" s="8">
        <v>6908.5950000000003</v>
      </c>
      <c r="O94" s="8">
        <v>0</v>
      </c>
      <c r="P94" s="8">
        <v>0</v>
      </c>
      <c r="Q94" s="8">
        <v>0.317</v>
      </c>
      <c r="R94" s="8">
        <v>0</v>
      </c>
      <c r="S94" s="8">
        <v>0</v>
      </c>
      <c r="T94" s="8">
        <v>10830.183000000001</v>
      </c>
      <c r="U94" s="8">
        <v>0</v>
      </c>
      <c r="V94" s="8">
        <v>0</v>
      </c>
      <c r="W94" s="8">
        <v>3836.529</v>
      </c>
      <c r="X94" s="8">
        <v>425.85500000000002</v>
      </c>
      <c r="Y94" s="8">
        <v>0</v>
      </c>
      <c r="Z94" s="8">
        <v>5070.826</v>
      </c>
      <c r="AA94" s="8">
        <v>0</v>
      </c>
      <c r="AB94" s="8">
        <v>49510.512999999999</v>
      </c>
      <c r="AC94" s="8">
        <v>0</v>
      </c>
      <c r="AD94" s="8">
        <v>4363.7910000000002</v>
      </c>
      <c r="AE94" s="8">
        <v>0</v>
      </c>
      <c r="AF94" s="8">
        <v>27808.036</v>
      </c>
      <c r="AG94" s="8">
        <v>6716.1530000000002</v>
      </c>
      <c r="AH94" s="8">
        <v>0</v>
      </c>
      <c r="AI94" s="8">
        <v>111637.66</v>
      </c>
      <c r="AJ94" s="8">
        <v>9802.8719999999994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12179.620999999999</v>
      </c>
      <c r="AQ94" s="8">
        <v>0</v>
      </c>
      <c r="AR94" s="8">
        <v>2633.3159999999998</v>
      </c>
      <c r="AS94" s="8">
        <v>0</v>
      </c>
      <c r="AT94" s="8">
        <v>42.417999999999999</v>
      </c>
      <c r="AU94" s="8">
        <v>0</v>
      </c>
      <c r="AV94" s="8">
        <v>116.828</v>
      </c>
      <c r="AW94" s="8">
        <v>0</v>
      </c>
      <c r="AX94" s="8">
        <v>0</v>
      </c>
      <c r="AY94" s="8">
        <v>0</v>
      </c>
      <c r="AZ94" s="8">
        <v>373.44400000000002</v>
      </c>
      <c r="BA94" s="8">
        <v>4156.3050000000003</v>
      </c>
      <c r="BB94" s="8">
        <v>0</v>
      </c>
      <c r="BC94" s="8">
        <v>5752.8360000000002</v>
      </c>
      <c r="BD94" s="8">
        <v>122.746</v>
      </c>
      <c r="BE94" s="8">
        <v>5434.3149999999996</v>
      </c>
      <c r="BF94" s="8">
        <v>1662.6679999999999</v>
      </c>
      <c r="BG94" s="8">
        <v>1860.9829999999999</v>
      </c>
      <c r="BH94" s="8">
        <v>0</v>
      </c>
      <c r="BI94" s="8">
        <v>43.908000000000001</v>
      </c>
      <c r="BL94" s="22"/>
    </row>
    <row r="95" spans="1:64" ht="15.75">
      <c r="A95" s="22"/>
      <c r="B95" s="7" t="s">
        <v>178</v>
      </c>
      <c r="C95" s="7" t="s">
        <v>179</v>
      </c>
      <c r="D95" s="8">
        <v>6</v>
      </c>
      <c r="E95" s="8">
        <v>6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L95" s="22"/>
    </row>
    <row r="96" spans="1:64" ht="15.75">
      <c r="A96" s="22"/>
      <c r="B96" s="7" t="s">
        <v>180</v>
      </c>
      <c r="C96" s="7" t="s">
        <v>181</v>
      </c>
      <c r="D96" s="8">
        <v>6</v>
      </c>
      <c r="E96" s="8">
        <v>6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L96" s="22"/>
    </row>
    <row r="97" spans="1:64" ht="15.75">
      <c r="A97" s="22"/>
      <c r="B97" s="7" t="s">
        <v>182</v>
      </c>
      <c r="C97" s="7" t="s">
        <v>183</v>
      </c>
      <c r="D97" s="8">
        <v>6</v>
      </c>
      <c r="E97" s="8">
        <v>6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L97" s="22"/>
    </row>
    <row r="98" spans="1:64" ht="15.75">
      <c r="A98" s="22"/>
      <c r="B98" s="7" t="s">
        <v>184</v>
      </c>
      <c r="C98" s="7" t="s">
        <v>185</v>
      </c>
      <c r="D98" s="8">
        <v>6</v>
      </c>
      <c r="E98" s="8">
        <v>6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L98" s="22"/>
    </row>
    <row r="99" spans="1:64" ht="15.75">
      <c r="A99" s="22"/>
      <c r="B99" s="7" t="s">
        <v>186</v>
      </c>
      <c r="C99" s="7" t="s">
        <v>187</v>
      </c>
      <c r="D99" s="8">
        <v>6</v>
      </c>
      <c r="E99" s="8">
        <v>6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L99" s="22"/>
    </row>
    <row r="100" spans="1:64" ht="15.75">
      <c r="A100" s="22"/>
      <c r="B100" s="7" t="s">
        <v>188</v>
      </c>
      <c r="C100" s="7" t="s">
        <v>189</v>
      </c>
      <c r="D100" s="8">
        <v>6</v>
      </c>
      <c r="E100" s="8">
        <v>6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L100" s="22"/>
    </row>
    <row r="101" spans="1:64" ht="15.75">
      <c r="A101" s="22"/>
      <c r="B101" s="7" t="s">
        <v>190</v>
      </c>
      <c r="C101" s="7" t="s">
        <v>191</v>
      </c>
      <c r="D101" s="8">
        <v>6</v>
      </c>
      <c r="E101" s="8">
        <v>6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L101" s="22"/>
    </row>
    <row r="102" spans="1:64" ht="15.75">
      <c r="A102" s="22"/>
      <c r="B102" s="7" t="s">
        <v>192</v>
      </c>
      <c r="C102" s="7" t="s">
        <v>193</v>
      </c>
      <c r="D102" s="8">
        <v>6</v>
      </c>
      <c r="E102" s="8">
        <v>6</v>
      </c>
      <c r="F102" s="8">
        <v>28976.495999999999</v>
      </c>
      <c r="G102" s="8">
        <v>0</v>
      </c>
      <c r="H102" s="8">
        <v>0</v>
      </c>
      <c r="I102" s="8">
        <v>1526.1</v>
      </c>
      <c r="J102" s="8">
        <v>0</v>
      </c>
      <c r="K102" s="8">
        <v>0</v>
      </c>
      <c r="L102" s="8">
        <v>0</v>
      </c>
      <c r="M102" s="8">
        <v>21451.582999999999</v>
      </c>
      <c r="N102" s="8">
        <v>19063.713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353.23500000000001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4282.0649999999996</v>
      </c>
      <c r="AG102" s="8">
        <v>0</v>
      </c>
      <c r="AH102" s="8">
        <v>0</v>
      </c>
      <c r="AI102" s="8">
        <v>25086.857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L102" s="22"/>
    </row>
    <row r="103" spans="1:64" ht="15.75">
      <c r="A103" s="22"/>
      <c r="B103" s="7" t="s">
        <v>194</v>
      </c>
      <c r="C103" s="7" t="s">
        <v>195</v>
      </c>
      <c r="D103" s="8">
        <v>4</v>
      </c>
      <c r="E103" s="8">
        <v>4</v>
      </c>
      <c r="F103" s="8">
        <v>506492.70799999998</v>
      </c>
      <c r="G103" s="8">
        <v>102056.976</v>
      </c>
      <c r="H103" s="8">
        <v>876.53899999999999</v>
      </c>
      <c r="I103" s="8">
        <v>11810.960999999999</v>
      </c>
      <c r="J103" s="8">
        <v>2085.7950000000001</v>
      </c>
      <c r="K103" s="8">
        <v>500.548</v>
      </c>
      <c r="L103" s="8">
        <v>0</v>
      </c>
      <c r="M103" s="8">
        <v>1170829.2549999999</v>
      </c>
      <c r="N103" s="8">
        <v>51785.902000000002</v>
      </c>
      <c r="O103" s="8">
        <v>0</v>
      </c>
      <c r="P103" s="8">
        <v>259.06400000000002</v>
      </c>
      <c r="Q103" s="8">
        <v>20.05</v>
      </c>
      <c r="R103" s="8">
        <v>230.84399999999999</v>
      </c>
      <c r="S103" s="8">
        <v>0</v>
      </c>
      <c r="T103" s="8">
        <v>31908.592000000001</v>
      </c>
      <c r="U103" s="8">
        <v>0</v>
      </c>
      <c r="V103" s="8">
        <v>0</v>
      </c>
      <c r="W103" s="8">
        <v>128.178</v>
      </c>
      <c r="X103" s="8">
        <v>9722.6689999999999</v>
      </c>
      <c r="Y103" s="8">
        <v>0</v>
      </c>
      <c r="Z103" s="8">
        <v>262472.245</v>
      </c>
      <c r="AA103" s="8">
        <v>0</v>
      </c>
      <c r="AB103" s="8">
        <v>35523.409</v>
      </c>
      <c r="AC103" s="8">
        <v>17515.72</v>
      </c>
      <c r="AD103" s="8">
        <v>18242.793000000001</v>
      </c>
      <c r="AE103" s="8">
        <v>0</v>
      </c>
      <c r="AF103" s="8">
        <v>770906.50600000005</v>
      </c>
      <c r="AG103" s="8">
        <v>739340.23199999996</v>
      </c>
      <c r="AH103" s="8">
        <v>0</v>
      </c>
      <c r="AI103" s="8">
        <v>1965248.7660000001</v>
      </c>
      <c r="AJ103" s="8">
        <v>1154597.142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25380.957999999999</v>
      </c>
      <c r="AQ103" s="8">
        <v>0</v>
      </c>
      <c r="AR103" s="8">
        <v>302893.27100000001</v>
      </c>
      <c r="AS103" s="8">
        <v>0</v>
      </c>
      <c r="AT103" s="8">
        <v>300.34300000000002</v>
      </c>
      <c r="AU103" s="8">
        <v>0</v>
      </c>
      <c r="AV103" s="8">
        <v>2224.1379999999999</v>
      </c>
      <c r="AW103" s="8">
        <v>0</v>
      </c>
      <c r="AX103" s="8">
        <v>0</v>
      </c>
      <c r="AY103" s="8">
        <v>0</v>
      </c>
      <c r="AZ103" s="8">
        <v>14220.007</v>
      </c>
      <c r="BA103" s="8">
        <v>490362.14600000001</v>
      </c>
      <c r="BB103" s="8">
        <v>0</v>
      </c>
      <c r="BC103" s="8">
        <v>12033.73</v>
      </c>
      <c r="BD103" s="8">
        <v>72.849000000000004</v>
      </c>
      <c r="BE103" s="8">
        <v>641141.995</v>
      </c>
      <c r="BF103" s="8">
        <v>3410.79</v>
      </c>
      <c r="BG103" s="8">
        <v>219559.416</v>
      </c>
      <c r="BH103" s="8">
        <v>0</v>
      </c>
      <c r="BI103" s="8">
        <v>26.059000000000001</v>
      </c>
      <c r="BL103" s="22"/>
    </row>
    <row r="104" spans="1:64" ht="15.75">
      <c r="A104" s="22"/>
      <c r="B104" s="7" t="s">
        <v>196</v>
      </c>
      <c r="C104" s="7" t="s">
        <v>197</v>
      </c>
      <c r="D104" s="8">
        <v>4</v>
      </c>
      <c r="E104" s="8">
        <v>4</v>
      </c>
      <c r="F104" s="8">
        <v>209971.06299999999</v>
      </c>
      <c r="G104" s="8">
        <v>40255.732000000004</v>
      </c>
      <c r="H104" s="8">
        <v>217.06700000000001</v>
      </c>
      <c r="I104" s="8">
        <v>29992.652999999998</v>
      </c>
      <c r="J104" s="8">
        <v>861.048</v>
      </c>
      <c r="K104" s="8">
        <v>123.956</v>
      </c>
      <c r="L104" s="8">
        <v>0</v>
      </c>
      <c r="M104" s="8">
        <v>484093.14899999998</v>
      </c>
      <c r="N104" s="8">
        <v>21405.083999999999</v>
      </c>
      <c r="O104" s="8">
        <v>0</v>
      </c>
      <c r="P104" s="8">
        <v>67.402000000000001</v>
      </c>
      <c r="Q104" s="8">
        <v>8.3940000000000001</v>
      </c>
      <c r="R104" s="8">
        <v>60.064999999999998</v>
      </c>
      <c r="S104" s="8">
        <v>0</v>
      </c>
      <c r="T104" s="8">
        <v>13329.168</v>
      </c>
      <c r="U104" s="8">
        <v>0</v>
      </c>
      <c r="V104" s="8">
        <v>0</v>
      </c>
      <c r="W104" s="8">
        <v>31.742000000000001</v>
      </c>
      <c r="X104" s="8">
        <v>4044.386</v>
      </c>
      <c r="Y104" s="8">
        <v>0</v>
      </c>
      <c r="Z104" s="8">
        <v>109898.29399999999</v>
      </c>
      <c r="AA104" s="8">
        <v>0</v>
      </c>
      <c r="AB104" s="8">
        <v>14710.689</v>
      </c>
      <c r="AC104" s="8">
        <v>4557.4250000000002</v>
      </c>
      <c r="AD104" s="8">
        <v>7630.4070000000002</v>
      </c>
      <c r="AE104" s="8">
        <v>0</v>
      </c>
      <c r="AF104" s="8">
        <v>322613.516</v>
      </c>
      <c r="AG104" s="8">
        <v>309842.02399999998</v>
      </c>
      <c r="AH104" s="8">
        <v>0</v>
      </c>
      <c r="AI104" s="8">
        <v>816328.87399999995</v>
      </c>
      <c r="AJ104" s="8">
        <v>483867.50699999998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10616.388999999999</v>
      </c>
      <c r="AQ104" s="8">
        <v>0</v>
      </c>
      <c r="AR104" s="8">
        <v>126936.23</v>
      </c>
      <c r="AS104" s="8">
        <v>0</v>
      </c>
      <c r="AT104" s="8">
        <v>125.483</v>
      </c>
      <c r="AU104" s="8">
        <v>0</v>
      </c>
      <c r="AV104" s="8">
        <v>922.49699999999996</v>
      </c>
      <c r="AW104" s="8">
        <v>0</v>
      </c>
      <c r="AX104" s="8">
        <v>0</v>
      </c>
      <c r="AY104" s="8">
        <v>0</v>
      </c>
      <c r="AZ104" s="8">
        <v>5933.4480000000003</v>
      </c>
      <c r="BA104" s="8">
        <v>205500.516</v>
      </c>
      <c r="BB104" s="8">
        <v>0</v>
      </c>
      <c r="BC104" s="8">
        <v>5033.41</v>
      </c>
      <c r="BD104" s="8">
        <v>18.041</v>
      </c>
      <c r="BE104" s="8">
        <v>268689.18599999999</v>
      </c>
      <c r="BF104" s="8">
        <v>1426.5889999999999</v>
      </c>
      <c r="BG104" s="8">
        <v>92012.758000000002</v>
      </c>
      <c r="BH104" s="8">
        <v>0</v>
      </c>
      <c r="BI104" s="8">
        <v>6.4530000000000003</v>
      </c>
      <c r="BL104" s="22"/>
    </row>
    <row r="105" spans="1:64" ht="15.75">
      <c r="A105" s="22"/>
      <c r="B105" s="7" t="s">
        <v>198</v>
      </c>
      <c r="C105" s="7" t="s">
        <v>199</v>
      </c>
      <c r="D105" s="8">
        <v>4</v>
      </c>
      <c r="E105" s="8">
        <v>4</v>
      </c>
      <c r="F105" s="8">
        <v>104966.719</v>
      </c>
      <c r="G105" s="8">
        <v>19963.311000000002</v>
      </c>
      <c r="H105" s="8">
        <v>1075.2670000000001</v>
      </c>
      <c r="I105" s="8">
        <v>8354.4869999999992</v>
      </c>
      <c r="J105" s="8">
        <v>493.27100000000002</v>
      </c>
      <c r="K105" s="8">
        <v>614.03099999999995</v>
      </c>
      <c r="L105" s="8">
        <v>0</v>
      </c>
      <c r="M105" s="8">
        <v>232865.935</v>
      </c>
      <c r="N105" s="8">
        <v>12822.421</v>
      </c>
      <c r="O105" s="8">
        <v>0</v>
      </c>
      <c r="P105" s="8">
        <v>120.381</v>
      </c>
      <c r="Q105" s="8">
        <v>4.032</v>
      </c>
      <c r="R105" s="8">
        <v>107.267</v>
      </c>
      <c r="S105" s="8">
        <v>0</v>
      </c>
      <c r="T105" s="8">
        <v>6605.7730000000001</v>
      </c>
      <c r="U105" s="8">
        <v>0</v>
      </c>
      <c r="V105" s="8">
        <v>0</v>
      </c>
      <c r="W105" s="8">
        <v>157.238</v>
      </c>
      <c r="X105" s="8">
        <v>2115.11</v>
      </c>
      <c r="Y105" s="8">
        <v>0</v>
      </c>
      <c r="Z105" s="8">
        <v>52803.745000000003</v>
      </c>
      <c r="AA105" s="8">
        <v>0</v>
      </c>
      <c r="AB105" s="8">
        <v>8124.4530000000004</v>
      </c>
      <c r="AC105" s="8">
        <v>8138.9459999999999</v>
      </c>
      <c r="AD105" s="8">
        <v>3717.6089999999999</v>
      </c>
      <c r="AE105" s="8">
        <v>0</v>
      </c>
      <c r="AF105" s="8">
        <v>154579.467</v>
      </c>
      <c r="AG105" s="8">
        <v>147086.481</v>
      </c>
      <c r="AH105" s="8">
        <v>0</v>
      </c>
      <c r="AI105" s="8">
        <v>392787.39899999998</v>
      </c>
      <c r="AJ105" s="8">
        <v>229713.75200000001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5170.4059999999999</v>
      </c>
      <c r="AQ105" s="8">
        <v>0</v>
      </c>
      <c r="AR105" s="8">
        <v>60255.267</v>
      </c>
      <c r="AS105" s="8">
        <v>0</v>
      </c>
      <c r="AT105" s="8">
        <v>62.067999999999998</v>
      </c>
      <c r="AU105" s="8">
        <v>0</v>
      </c>
      <c r="AV105" s="8">
        <v>499.83300000000003</v>
      </c>
      <c r="AW105" s="8">
        <v>0</v>
      </c>
      <c r="AX105" s="8">
        <v>0</v>
      </c>
      <c r="AY105" s="8">
        <v>0</v>
      </c>
      <c r="AZ105" s="8">
        <v>2983.877</v>
      </c>
      <c r="BA105" s="8">
        <v>97548.892999999996</v>
      </c>
      <c r="BB105" s="8">
        <v>0</v>
      </c>
      <c r="BC105" s="8">
        <v>2451.9059999999999</v>
      </c>
      <c r="BD105" s="8">
        <v>89.367000000000004</v>
      </c>
      <c r="BE105" s="8">
        <v>127543.88400000001</v>
      </c>
      <c r="BF105" s="8">
        <v>695.31500000000005</v>
      </c>
      <c r="BG105" s="8">
        <v>43677.474000000002</v>
      </c>
      <c r="BH105" s="8">
        <v>0</v>
      </c>
      <c r="BI105" s="8">
        <v>31.968</v>
      </c>
      <c r="BL105" s="22"/>
    </row>
    <row r="106" spans="1:64" ht="15.75">
      <c r="A106" s="22"/>
      <c r="B106" s="7" t="s">
        <v>200</v>
      </c>
      <c r="C106" s="7" t="s">
        <v>201</v>
      </c>
      <c r="D106" s="8">
        <v>4</v>
      </c>
      <c r="E106" s="8">
        <v>4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L106" s="22"/>
    </row>
    <row r="107" spans="1:64" ht="15.75">
      <c r="A107" s="22"/>
      <c r="B107" s="7" t="s">
        <v>202</v>
      </c>
      <c r="C107" s="7" t="s">
        <v>203</v>
      </c>
      <c r="D107" s="8">
        <v>4</v>
      </c>
      <c r="E107" s="8">
        <v>4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L107" s="22"/>
    </row>
    <row r="108" spans="1:64" ht="15.75">
      <c r="A108" s="22"/>
      <c r="B108" s="7" t="s">
        <v>204</v>
      </c>
      <c r="C108" s="7" t="s">
        <v>205</v>
      </c>
      <c r="D108" s="8">
        <v>4</v>
      </c>
      <c r="E108" s="8">
        <v>4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L108" s="22"/>
    </row>
    <row r="109" spans="1:64" ht="15.75">
      <c r="A109" s="22"/>
      <c r="B109" s="7" t="s">
        <v>206</v>
      </c>
      <c r="C109" s="7" t="s">
        <v>207</v>
      </c>
      <c r="D109" s="8">
        <v>6</v>
      </c>
      <c r="E109" s="8">
        <v>6</v>
      </c>
      <c r="F109" s="8">
        <v>128638.103</v>
      </c>
      <c r="G109" s="8">
        <v>386.48500000000001</v>
      </c>
      <c r="H109" s="8">
        <v>0</v>
      </c>
      <c r="I109" s="8">
        <v>7987.3770000000004</v>
      </c>
      <c r="J109" s="8">
        <v>2.1000000000000001E-2</v>
      </c>
      <c r="K109" s="8">
        <v>0</v>
      </c>
      <c r="L109" s="8">
        <v>0</v>
      </c>
      <c r="M109" s="8">
        <v>170165.25399999999</v>
      </c>
      <c r="N109" s="8">
        <v>25882.865000000002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0.32500000000000001</v>
      </c>
      <c r="U109" s="8">
        <v>0</v>
      </c>
      <c r="V109" s="8">
        <v>0</v>
      </c>
      <c r="W109" s="8">
        <v>0</v>
      </c>
      <c r="X109" s="8">
        <v>9.8000000000000004E-2</v>
      </c>
      <c r="Y109" s="8">
        <v>0</v>
      </c>
      <c r="Z109" s="8">
        <v>47782.34</v>
      </c>
      <c r="AA109" s="8">
        <v>0</v>
      </c>
      <c r="AB109" s="8">
        <v>0.35499999999999998</v>
      </c>
      <c r="AC109" s="8">
        <v>0</v>
      </c>
      <c r="AD109" s="8">
        <v>0.187</v>
      </c>
      <c r="AE109" s="8">
        <v>0</v>
      </c>
      <c r="AF109" s="8">
        <v>158382.761</v>
      </c>
      <c r="AG109" s="8">
        <v>12644.366</v>
      </c>
      <c r="AH109" s="8">
        <v>0</v>
      </c>
      <c r="AI109" s="8">
        <v>408904.17</v>
      </c>
      <c r="AJ109" s="8">
        <v>14930.395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0.26</v>
      </c>
      <c r="AQ109" s="8">
        <v>0</v>
      </c>
      <c r="AR109" s="8">
        <v>3.117</v>
      </c>
      <c r="AS109" s="8">
        <v>0</v>
      </c>
      <c r="AT109" s="8">
        <v>8.0000000000000002E-3</v>
      </c>
      <c r="AU109" s="8">
        <v>0</v>
      </c>
      <c r="AV109" s="8">
        <v>1.2999999999999999E-2</v>
      </c>
      <c r="AW109" s="8">
        <v>0</v>
      </c>
      <c r="AX109" s="8">
        <v>0</v>
      </c>
      <c r="AY109" s="8">
        <v>0</v>
      </c>
      <c r="AZ109" s="8">
        <v>0.14499999999999999</v>
      </c>
      <c r="BA109" s="8">
        <v>5.0460000000000003</v>
      </c>
      <c r="BB109" s="8">
        <v>0</v>
      </c>
      <c r="BC109" s="8">
        <v>0.122</v>
      </c>
      <c r="BD109" s="8">
        <v>0</v>
      </c>
      <c r="BE109" s="8">
        <v>6.5960000000000001</v>
      </c>
      <c r="BF109" s="8">
        <v>3.5000000000000003E-2</v>
      </c>
      <c r="BG109" s="8">
        <v>2.2599999999999998</v>
      </c>
      <c r="BH109" s="8">
        <v>0</v>
      </c>
      <c r="BI109" s="8">
        <v>0</v>
      </c>
      <c r="BL109" s="22"/>
    </row>
    <row r="110" spans="1:64" ht="15.75">
      <c r="A110" s="22"/>
      <c r="B110" s="7" t="s">
        <v>208</v>
      </c>
      <c r="C110" s="7" t="s">
        <v>209</v>
      </c>
      <c r="D110" s="8">
        <v>4</v>
      </c>
      <c r="E110" s="8">
        <v>4</v>
      </c>
      <c r="F110" s="8">
        <v>167185.774</v>
      </c>
      <c r="G110" s="8">
        <v>32139.916000000001</v>
      </c>
      <c r="H110" s="8">
        <v>0</v>
      </c>
      <c r="I110" s="8">
        <v>0</v>
      </c>
      <c r="J110" s="8">
        <v>673.86599999999999</v>
      </c>
      <c r="K110" s="8">
        <v>0</v>
      </c>
      <c r="L110" s="8">
        <v>0</v>
      </c>
      <c r="M110" s="8">
        <v>387961.60800000001</v>
      </c>
      <c r="N110" s="8">
        <v>16795.71</v>
      </c>
      <c r="O110" s="8">
        <v>0</v>
      </c>
      <c r="P110" s="8">
        <v>0</v>
      </c>
      <c r="Q110" s="8">
        <v>6.7069999999999999</v>
      </c>
      <c r="R110" s="8">
        <v>0</v>
      </c>
      <c r="S110" s="8">
        <v>0</v>
      </c>
      <c r="T110" s="8">
        <v>10615.455</v>
      </c>
      <c r="U110" s="8">
        <v>0</v>
      </c>
      <c r="V110" s="8">
        <v>0</v>
      </c>
      <c r="W110" s="8">
        <v>0</v>
      </c>
      <c r="X110" s="8">
        <v>3201.194</v>
      </c>
      <c r="Y110" s="8">
        <v>0</v>
      </c>
      <c r="Z110" s="8">
        <v>87856.077000000005</v>
      </c>
      <c r="AA110" s="8">
        <v>0</v>
      </c>
      <c r="AB110" s="8">
        <v>11566.647000000001</v>
      </c>
      <c r="AC110" s="8">
        <v>6.0129999999999999</v>
      </c>
      <c r="AD110" s="8">
        <v>6088.33</v>
      </c>
      <c r="AE110" s="8">
        <v>0</v>
      </c>
      <c r="AF110" s="8">
        <v>257720.38099999999</v>
      </c>
      <c r="AG110" s="8">
        <v>247976.514</v>
      </c>
      <c r="AH110" s="8">
        <v>0</v>
      </c>
      <c r="AI110" s="8">
        <v>654228.80500000005</v>
      </c>
      <c r="AJ110" s="8">
        <v>387220.984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8471.1759999999995</v>
      </c>
      <c r="AQ110" s="8">
        <v>0</v>
      </c>
      <c r="AR110" s="8">
        <v>101572.395</v>
      </c>
      <c r="AS110" s="8">
        <v>0</v>
      </c>
      <c r="AT110" s="8">
        <v>99.954999999999998</v>
      </c>
      <c r="AU110" s="8">
        <v>0</v>
      </c>
      <c r="AV110" s="8">
        <v>944.81</v>
      </c>
      <c r="AW110" s="8">
        <v>0</v>
      </c>
      <c r="AX110" s="8">
        <v>0</v>
      </c>
      <c r="AY110" s="8">
        <v>0</v>
      </c>
      <c r="AZ110" s="8">
        <v>4717.674</v>
      </c>
      <c r="BA110" s="8">
        <v>164428.478</v>
      </c>
      <c r="BB110" s="8">
        <v>0</v>
      </c>
      <c r="BC110" s="8">
        <v>4016.2280000000001</v>
      </c>
      <c r="BD110" s="8">
        <v>0</v>
      </c>
      <c r="BE110" s="8">
        <v>214988.05300000001</v>
      </c>
      <c r="BF110" s="8">
        <v>1138.23</v>
      </c>
      <c r="BG110" s="8">
        <v>73622.769</v>
      </c>
      <c r="BH110" s="8">
        <v>0</v>
      </c>
      <c r="BI110" s="8">
        <v>0</v>
      </c>
      <c r="BL110" s="22"/>
    </row>
    <row r="111" spans="1:64" ht="15.75">
      <c r="A111" s="22"/>
      <c r="B111" s="7" t="s">
        <v>210</v>
      </c>
      <c r="C111" s="7" t="s">
        <v>211</v>
      </c>
      <c r="D111" s="8">
        <v>4</v>
      </c>
      <c r="E111" s="8">
        <v>4</v>
      </c>
      <c r="F111" s="8">
        <v>304917.01</v>
      </c>
      <c r="G111" s="8">
        <v>47272.767</v>
      </c>
      <c r="H111" s="8">
        <v>14.297000000000001</v>
      </c>
      <c r="I111" s="8">
        <v>0</v>
      </c>
      <c r="J111" s="8">
        <v>1443.357</v>
      </c>
      <c r="K111" s="8">
        <v>153.14599999999999</v>
      </c>
      <c r="L111" s="8">
        <v>0</v>
      </c>
      <c r="M111" s="8">
        <v>675980.43700000003</v>
      </c>
      <c r="N111" s="8">
        <v>30056.206999999999</v>
      </c>
      <c r="O111" s="8">
        <v>0</v>
      </c>
      <c r="P111" s="8">
        <v>1.698</v>
      </c>
      <c r="Q111" s="8">
        <v>0.67500000000000004</v>
      </c>
      <c r="R111" s="8">
        <v>1.5129999999999999</v>
      </c>
      <c r="S111" s="8">
        <v>0</v>
      </c>
      <c r="T111" s="8">
        <v>15160.395</v>
      </c>
      <c r="U111" s="8">
        <v>0</v>
      </c>
      <c r="V111" s="8">
        <v>0</v>
      </c>
      <c r="W111" s="8">
        <v>29.879000000000001</v>
      </c>
      <c r="X111" s="8">
        <v>5693.2610000000004</v>
      </c>
      <c r="Y111" s="8">
        <v>25910.581999999999</v>
      </c>
      <c r="Z111" s="8">
        <v>153720.76999999999</v>
      </c>
      <c r="AA111" s="8">
        <v>0</v>
      </c>
      <c r="AB111" s="8">
        <v>26415.653999999999</v>
      </c>
      <c r="AC111" s="8">
        <v>114.81399999999999</v>
      </c>
      <c r="AD111" s="8">
        <v>10217.374</v>
      </c>
      <c r="AE111" s="8">
        <v>0</v>
      </c>
      <c r="AF111" s="8">
        <v>448639.67800000001</v>
      </c>
      <c r="AG111" s="8">
        <v>428533.51500000001</v>
      </c>
      <c r="AH111" s="8">
        <v>0</v>
      </c>
      <c r="AI111" s="8">
        <v>1264905.6189999999</v>
      </c>
      <c r="AJ111" s="8">
        <v>626067.81200000003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14572.883</v>
      </c>
      <c r="AQ111" s="8">
        <v>134300.34400000001</v>
      </c>
      <c r="AR111" s="8">
        <v>176377.606</v>
      </c>
      <c r="AS111" s="8">
        <v>32944.123</v>
      </c>
      <c r="AT111" s="8">
        <v>141.364</v>
      </c>
      <c r="AU111" s="8">
        <v>0</v>
      </c>
      <c r="AV111" s="8">
        <v>852.39200000000005</v>
      </c>
      <c r="AW111" s="8">
        <v>79286.914000000004</v>
      </c>
      <c r="AX111" s="8">
        <v>191562.929</v>
      </c>
      <c r="AY111" s="8">
        <v>37483.527000000002</v>
      </c>
      <c r="AZ111" s="8">
        <v>474.16300000000001</v>
      </c>
      <c r="BA111" s="8">
        <v>16526.334999999999</v>
      </c>
      <c r="BB111" s="8">
        <v>28641.037</v>
      </c>
      <c r="BC111" s="8">
        <v>6846.5619999999999</v>
      </c>
      <c r="BD111" s="8">
        <v>0</v>
      </c>
      <c r="BE111" s="8">
        <v>21607.964</v>
      </c>
      <c r="BF111" s="8">
        <v>1955.4880000000001</v>
      </c>
      <c r="BG111" s="8">
        <v>7399.6580000000004</v>
      </c>
      <c r="BH111" s="8">
        <v>0</v>
      </c>
      <c r="BI111" s="8">
        <v>0</v>
      </c>
      <c r="BL111" s="22"/>
    </row>
    <row r="112" spans="1:64" ht="15.75">
      <c r="A112" s="22"/>
      <c r="B112" s="7" t="s">
        <v>212</v>
      </c>
      <c r="C112" s="7" t="s">
        <v>213</v>
      </c>
      <c r="D112" s="8">
        <v>4</v>
      </c>
      <c r="E112" s="8">
        <v>4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L112" s="22"/>
    </row>
    <row r="113" spans="1:64" ht="15.75">
      <c r="A113" s="22"/>
      <c r="B113" s="7" t="s">
        <v>214</v>
      </c>
      <c r="C113" s="7" t="s">
        <v>215</v>
      </c>
      <c r="D113" s="8">
        <v>6</v>
      </c>
      <c r="E113" s="8">
        <v>6</v>
      </c>
      <c r="F113" s="8">
        <v>0</v>
      </c>
      <c r="G113" s="8">
        <v>0.17299999999999999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1.452</v>
      </c>
      <c r="AG113" s="8">
        <v>9.7000000000000003E-2</v>
      </c>
      <c r="AH113" s="8">
        <v>0</v>
      </c>
      <c r="AI113" s="8">
        <v>1.2130000000000001</v>
      </c>
      <c r="AJ113" s="8">
        <v>5.0999999999999997E-2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L113" s="22"/>
    </row>
    <row r="114" spans="1:64" ht="15.75">
      <c r="A114" s="22"/>
      <c r="B114" s="7" t="s">
        <v>216</v>
      </c>
      <c r="C114" s="7" t="s">
        <v>217</v>
      </c>
      <c r="D114" s="8">
        <v>6</v>
      </c>
      <c r="E114" s="8">
        <v>6</v>
      </c>
      <c r="F114" s="8">
        <v>68000.540999999997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158087.93299999999</v>
      </c>
      <c r="N114" s="8">
        <v>31744.067999999999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16683.757000000001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48819.430999999997</v>
      </c>
      <c r="AG114" s="8">
        <v>7.0000000000000001E-3</v>
      </c>
      <c r="AH114" s="8">
        <v>0</v>
      </c>
      <c r="AI114" s="8">
        <v>224408.17800000001</v>
      </c>
      <c r="AJ114" s="8">
        <v>0.01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L114" s="22"/>
    </row>
    <row r="115" spans="1:64" ht="15.75">
      <c r="A115" s="22"/>
      <c r="B115" s="7" t="s">
        <v>218</v>
      </c>
      <c r="C115" s="7" t="s">
        <v>219</v>
      </c>
      <c r="D115" s="8">
        <v>4</v>
      </c>
      <c r="E115" s="8">
        <v>4</v>
      </c>
      <c r="F115" s="8">
        <v>43820.129000000001</v>
      </c>
      <c r="G115" s="8">
        <v>8421.7669999999998</v>
      </c>
      <c r="H115" s="8">
        <v>0</v>
      </c>
      <c r="I115" s="8">
        <v>18285.451000000001</v>
      </c>
      <c r="J115" s="8">
        <v>176.77099999999999</v>
      </c>
      <c r="K115" s="8">
        <v>0</v>
      </c>
      <c r="L115" s="8">
        <v>0</v>
      </c>
      <c r="M115" s="8">
        <v>101545.898</v>
      </c>
      <c r="N115" s="8">
        <v>4402.7920000000004</v>
      </c>
      <c r="O115" s="8">
        <v>0</v>
      </c>
      <c r="P115" s="8">
        <v>0</v>
      </c>
      <c r="Q115" s="8">
        <v>1.7589999999999999</v>
      </c>
      <c r="R115" s="8">
        <v>0</v>
      </c>
      <c r="S115" s="8">
        <v>0</v>
      </c>
      <c r="T115" s="8">
        <v>2784.7449999999999</v>
      </c>
      <c r="U115" s="8">
        <v>0</v>
      </c>
      <c r="V115" s="8">
        <v>0</v>
      </c>
      <c r="W115" s="8">
        <v>0</v>
      </c>
      <c r="X115" s="8">
        <v>839.76599999999996</v>
      </c>
      <c r="Y115" s="8">
        <v>0</v>
      </c>
      <c r="Z115" s="8">
        <v>23037.892</v>
      </c>
      <c r="AA115" s="8">
        <v>0</v>
      </c>
      <c r="AB115" s="8">
        <v>3034.288</v>
      </c>
      <c r="AC115" s="8">
        <v>0</v>
      </c>
      <c r="AD115" s="8">
        <v>1597.1489999999999</v>
      </c>
      <c r="AE115" s="8">
        <v>14918.18</v>
      </c>
      <c r="AF115" s="8">
        <v>67563.839000000007</v>
      </c>
      <c r="AG115" s="8">
        <v>65035.995000000003</v>
      </c>
      <c r="AH115" s="8">
        <v>69380.796000000002</v>
      </c>
      <c r="AI115" s="8">
        <v>171204.86600000001</v>
      </c>
      <c r="AJ115" s="8">
        <v>101564.03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2222.2510000000002</v>
      </c>
      <c r="AQ115" s="8">
        <v>0</v>
      </c>
      <c r="AR115" s="8">
        <v>26643.977999999999</v>
      </c>
      <c r="AS115" s="8">
        <v>0</v>
      </c>
      <c r="AT115" s="8">
        <v>26.221</v>
      </c>
      <c r="AU115" s="8">
        <v>0</v>
      </c>
      <c r="AV115" s="8">
        <v>3147.4490000000001</v>
      </c>
      <c r="AW115" s="8">
        <v>0</v>
      </c>
      <c r="AX115" s="8">
        <v>0</v>
      </c>
      <c r="AY115" s="8">
        <v>0</v>
      </c>
      <c r="AZ115" s="8">
        <v>1237.5920000000001</v>
      </c>
      <c r="BA115" s="8">
        <v>69065.620999999999</v>
      </c>
      <c r="BB115" s="8">
        <v>0</v>
      </c>
      <c r="BC115" s="8">
        <v>1053.5809999999999</v>
      </c>
      <c r="BD115" s="8">
        <v>0</v>
      </c>
      <c r="BE115" s="8">
        <v>56397.995999999999</v>
      </c>
      <c r="BF115" s="8">
        <v>298.59300000000002</v>
      </c>
      <c r="BG115" s="8">
        <v>19313.523000000001</v>
      </c>
      <c r="BH115" s="8">
        <v>0</v>
      </c>
      <c r="BI115" s="8">
        <v>0</v>
      </c>
      <c r="BL115" s="22"/>
    </row>
    <row r="116" spans="1:64" ht="15.75">
      <c r="A116" s="22"/>
      <c r="B116" s="7" t="s">
        <v>220</v>
      </c>
      <c r="C116" s="7" t="s">
        <v>221</v>
      </c>
      <c r="D116" s="8">
        <v>4</v>
      </c>
      <c r="E116" s="8">
        <v>4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254.69300000000001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741234.147</v>
      </c>
      <c r="AM116" s="8">
        <v>378462.53</v>
      </c>
      <c r="AN116" s="8">
        <v>0</v>
      </c>
      <c r="AO116" s="8">
        <v>249583.21799999999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798.09699999999998</v>
      </c>
      <c r="AW116" s="8">
        <v>0</v>
      </c>
      <c r="AX116" s="8">
        <v>0</v>
      </c>
      <c r="AY116" s="8">
        <v>368.452</v>
      </c>
      <c r="AZ116" s="8">
        <v>0</v>
      </c>
      <c r="BA116" s="8">
        <v>0</v>
      </c>
      <c r="BB116" s="8">
        <v>281.53300000000002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L116" s="22"/>
    </row>
    <row r="117" spans="1:64" ht="15.75">
      <c r="A117" s="22"/>
      <c r="B117" s="7" t="s">
        <v>222</v>
      </c>
      <c r="C117" s="7" t="s">
        <v>223</v>
      </c>
      <c r="D117" s="8">
        <v>4</v>
      </c>
      <c r="E117" s="8">
        <v>3</v>
      </c>
      <c r="F117" s="8">
        <v>9098.76</v>
      </c>
      <c r="G117" s="8">
        <v>1305.597</v>
      </c>
      <c r="H117" s="8">
        <v>2130.741</v>
      </c>
      <c r="I117" s="8">
        <v>0</v>
      </c>
      <c r="J117" s="8">
        <v>185.27199999999999</v>
      </c>
      <c r="K117" s="8">
        <v>1217.21</v>
      </c>
      <c r="L117" s="8">
        <v>11292.404</v>
      </c>
      <c r="M117" s="8">
        <v>3064.53</v>
      </c>
      <c r="N117" s="8">
        <v>4215.8950000000004</v>
      </c>
      <c r="O117" s="8">
        <v>3008.239</v>
      </c>
      <c r="P117" s="8">
        <v>0</v>
      </c>
      <c r="Q117" s="8">
        <v>0.112</v>
      </c>
      <c r="R117" s="8">
        <v>0</v>
      </c>
      <c r="S117" s="8">
        <v>0</v>
      </c>
      <c r="T117" s="8">
        <v>610.08500000000004</v>
      </c>
      <c r="U117" s="8">
        <v>0</v>
      </c>
      <c r="V117" s="8">
        <v>9078.4879999999994</v>
      </c>
      <c r="W117" s="8">
        <v>311.47199999999998</v>
      </c>
      <c r="X117" s="8">
        <v>428.12</v>
      </c>
      <c r="Y117" s="8">
        <v>0</v>
      </c>
      <c r="Z117" s="8">
        <v>1395.4190000000001</v>
      </c>
      <c r="AA117" s="8">
        <v>0</v>
      </c>
      <c r="AB117" s="8">
        <v>2501.277</v>
      </c>
      <c r="AC117" s="8">
        <v>0</v>
      </c>
      <c r="AD117" s="8">
        <v>209.303</v>
      </c>
      <c r="AE117" s="8">
        <v>12152.156999999999</v>
      </c>
      <c r="AF117" s="8">
        <v>1505.489</v>
      </c>
      <c r="AG117" s="8">
        <v>0</v>
      </c>
      <c r="AH117" s="8">
        <v>50459.402000000002</v>
      </c>
      <c r="AI117" s="8">
        <v>6761.2110000000002</v>
      </c>
      <c r="AJ117" s="8">
        <v>0</v>
      </c>
      <c r="AK117" s="8">
        <v>0</v>
      </c>
      <c r="AL117" s="8">
        <v>0</v>
      </c>
      <c r="AM117" s="8">
        <v>0</v>
      </c>
      <c r="AN117" s="8">
        <v>2354.2979999999998</v>
      </c>
      <c r="AO117" s="8">
        <v>0</v>
      </c>
      <c r="AP117" s="8">
        <v>286.83199999999999</v>
      </c>
      <c r="AQ117" s="8">
        <v>0</v>
      </c>
      <c r="AR117" s="8">
        <v>0</v>
      </c>
      <c r="AS117" s="8">
        <v>0</v>
      </c>
      <c r="AT117" s="8">
        <v>53.435000000000002</v>
      </c>
      <c r="AU117" s="8">
        <v>0</v>
      </c>
      <c r="AV117" s="8">
        <v>2494.9360000000001</v>
      </c>
      <c r="AW117" s="8">
        <v>0</v>
      </c>
      <c r="AX117" s="8">
        <v>0</v>
      </c>
      <c r="AY117" s="8">
        <v>0</v>
      </c>
      <c r="AZ117" s="8">
        <v>366.61599999999999</v>
      </c>
      <c r="BA117" s="8">
        <v>0</v>
      </c>
      <c r="BB117" s="8">
        <v>0</v>
      </c>
      <c r="BC117" s="8">
        <v>137.167</v>
      </c>
      <c r="BD117" s="8">
        <v>177.03399999999999</v>
      </c>
      <c r="BE117" s="8">
        <v>0</v>
      </c>
      <c r="BF117" s="8">
        <v>39.712000000000003</v>
      </c>
      <c r="BG117" s="8">
        <v>0</v>
      </c>
      <c r="BH117" s="8">
        <v>0</v>
      </c>
      <c r="BI117" s="8">
        <v>63.328000000000003</v>
      </c>
      <c r="BL117" s="22"/>
    </row>
    <row r="118" spans="1:64" ht="15.75">
      <c r="A118" s="22"/>
      <c r="B118" s="7" t="s">
        <v>224</v>
      </c>
      <c r="C118" s="7" t="s">
        <v>225</v>
      </c>
      <c r="D118" s="8">
        <v>4</v>
      </c>
      <c r="E118" s="8">
        <v>3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L118" s="22"/>
    </row>
    <row r="119" spans="1:64" ht="15.75">
      <c r="A119" s="22"/>
      <c r="B119" s="7" t="s">
        <v>226</v>
      </c>
      <c r="C119" s="7" t="s">
        <v>227</v>
      </c>
      <c r="D119" s="8">
        <v>4</v>
      </c>
      <c r="E119" s="8">
        <v>4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L119" s="22"/>
    </row>
    <row r="120" spans="1:64" ht="15.75">
      <c r="A120" s="22"/>
      <c r="B120" s="7" t="s">
        <v>228</v>
      </c>
      <c r="C120" s="7" t="s">
        <v>229</v>
      </c>
      <c r="D120" s="8">
        <v>4</v>
      </c>
      <c r="E120" s="8">
        <v>6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L120" s="22"/>
    </row>
    <row r="121" spans="1:64" ht="15.75">
      <c r="A121" s="22"/>
      <c r="B121" s="7" t="s">
        <v>230</v>
      </c>
      <c r="C121" s="7" t="s">
        <v>231</v>
      </c>
      <c r="D121" s="8">
        <v>4</v>
      </c>
      <c r="E121" s="8">
        <v>4</v>
      </c>
      <c r="F121" s="8">
        <v>550102.73899999994</v>
      </c>
      <c r="G121" s="8">
        <v>82067.021999999997</v>
      </c>
      <c r="H121" s="8">
        <v>0</v>
      </c>
      <c r="I121" s="8">
        <v>0</v>
      </c>
      <c r="J121" s="8">
        <v>2276.2750000000001</v>
      </c>
      <c r="K121" s="8">
        <v>0</v>
      </c>
      <c r="L121" s="8">
        <v>0</v>
      </c>
      <c r="M121" s="8">
        <v>1242913.477</v>
      </c>
      <c r="N121" s="8">
        <v>29483.824000000001</v>
      </c>
      <c r="O121" s="8">
        <v>0</v>
      </c>
      <c r="P121" s="8">
        <v>3118.5949999999998</v>
      </c>
      <c r="Q121" s="8">
        <v>0</v>
      </c>
      <c r="R121" s="8">
        <v>724.06700000000001</v>
      </c>
      <c r="S121" s="8">
        <v>0</v>
      </c>
      <c r="T121" s="8">
        <v>26432.870999999999</v>
      </c>
      <c r="U121" s="8">
        <v>0</v>
      </c>
      <c r="V121" s="8">
        <v>0</v>
      </c>
      <c r="W121" s="8">
        <v>0</v>
      </c>
      <c r="X121" s="8">
        <v>10195.475</v>
      </c>
      <c r="Y121" s="8">
        <v>31003.763999999999</v>
      </c>
      <c r="Z121" s="8">
        <v>287212.96899999998</v>
      </c>
      <c r="AA121" s="8">
        <v>31841.634999999998</v>
      </c>
      <c r="AB121" s="8">
        <v>50721.73</v>
      </c>
      <c r="AC121" s="8">
        <v>71105.345000000001</v>
      </c>
      <c r="AD121" s="8">
        <v>18487.428</v>
      </c>
      <c r="AE121" s="8">
        <v>8165.7830000000004</v>
      </c>
      <c r="AF121" s="8">
        <v>851035.94700000004</v>
      </c>
      <c r="AG121" s="8">
        <v>808127.10199999996</v>
      </c>
      <c r="AH121" s="8">
        <v>35472.591</v>
      </c>
      <c r="AI121" s="8">
        <v>2095465.2239999999</v>
      </c>
      <c r="AJ121" s="8">
        <v>1169172.7849999999</v>
      </c>
      <c r="AK121" s="8">
        <v>166421.272</v>
      </c>
      <c r="AL121" s="8">
        <v>1380411.0930000001</v>
      </c>
      <c r="AM121" s="8">
        <v>704816.25600000005</v>
      </c>
      <c r="AN121" s="8">
        <v>0</v>
      </c>
      <c r="AO121" s="8">
        <v>464802.44400000002</v>
      </c>
      <c r="AP121" s="8">
        <v>27798.135999999999</v>
      </c>
      <c r="AQ121" s="8">
        <v>0</v>
      </c>
      <c r="AR121" s="8">
        <v>337134.587</v>
      </c>
      <c r="AS121" s="8">
        <v>0</v>
      </c>
      <c r="AT121" s="8">
        <v>267.32400000000001</v>
      </c>
      <c r="AU121" s="8">
        <v>0</v>
      </c>
      <c r="AV121" s="8">
        <v>1590.076</v>
      </c>
      <c r="AW121" s="8">
        <v>0</v>
      </c>
      <c r="AX121" s="8">
        <v>0</v>
      </c>
      <c r="AY121" s="8">
        <v>44851.571000000004</v>
      </c>
      <c r="AZ121" s="8">
        <v>0</v>
      </c>
      <c r="BA121" s="8">
        <v>0</v>
      </c>
      <c r="BB121" s="8">
        <v>34270.938999999998</v>
      </c>
      <c r="BC121" s="8">
        <v>13052.058000000001</v>
      </c>
      <c r="BD121" s="8">
        <v>0</v>
      </c>
      <c r="BE121" s="8">
        <v>0</v>
      </c>
      <c r="BF121" s="8">
        <v>3729.3679999999999</v>
      </c>
      <c r="BG121" s="8">
        <v>0</v>
      </c>
      <c r="BH121" s="8">
        <v>64554.947</v>
      </c>
      <c r="BI121" s="8">
        <v>0</v>
      </c>
      <c r="BL121" s="22"/>
    </row>
    <row r="122" spans="1:64" ht="15.75">
      <c r="A122" s="22"/>
      <c r="B122" s="7" t="s">
        <v>232</v>
      </c>
      <c r="C122" s="7" t="s">
        <v>233</v>
      </c>
      <c r="D122" s="8">
        <v>4</v>
      </c>
      <c r="E122" s="8">
        <v>3</v>
      </c>
      <c r="F122" s="8">
        <v>5261.4759999999997</v>
      </c>
      <c r="G122" s="8">
        <v>942.29200000000003</v>
      </c>
      <c r="H122" s="8">
        <v>1036.4079999999999</v>
      </c>
      <c r="I122" s="8">
        <v>0</v>
      </c>
      <c r="J122" s="8">
        <v>47.02</v>
      </c>
      <c r="K122" s="8">
        <v>746.84</v>
      </c>
      <c r="L122" s="8">
        <v>0</v>
      </c>
      <c r="M122" s="8">
        <v>5705.6260000000002</v>
      </c>
      <c r="N122" s="8">
        <v>680.81500000000005</v>
      </c>
      <c r="O122" s="8">
        <v>0</v>
      </c>
      <c r="P122" s="8">
        <v>0</v>
      </c>
      <c r="Q122" s="8">
        <v>2E-3</v>
      </c>
      <c r="R122" s="8">
        <v>269.26</v>
      </c>
      <c r="S122" s="8">
        <v>349.54300000000001</v>
      </c>
      <c r="T122" s="8">
        <v>399.31400000000002</v>
      </c>
      <c r="U122" s="8">
        <v>0</v>
      </c>
      <c r="V122" s="8">
        <v>0</v>
      </c>
      <c r="W122" s="8">
        <v>173.85900000000001</v>
      </c>
      <c r="X122" s="8">
        <v>32.097000000000001</v>
      </c>
      <c r="Y122" s="8">
        <v>0</v>
      </c>
      <c r="Z122" s="8">
        <v>1208.8889999999999</v>
      </c>
      <c r="AA122" s="8">
        <v>4155.3559999999998</v>
      </c>
      <c r="AB122" s="8">
        <v>1702.0319999999999</v>
      </c>
      <c r="AC122" s="8">
        <v>0</v>
      </c>
      <c r="AD122" s="8">
        <v>261.63</v>
      </c>
      <c r="AE122" s="8">
        <v>1927.5039999999999</v>
      </c>
      <c r="AF122" s="8">
        <v>12323.444</v>
      </c>
      <c r="AG122" s="8">
        <v>11.147</v>
      </c>
      <c r="AH122" s="8">
        <v>7804.8450000000003</v>
      </c>
      <c r="AI122" s="8">
        <v>18574.936000000002</v>
      </c>
      <c r="AJ122" s="8">
        <v>8.0000000000000002E-3</v>
      </c>
      <c r="AK122" s="8">
        <v>19246.778999999999</v>
      </c>
      <c r="AL122" s="8">
        <v>0</v>
      </c>
      <c r="AM122" s="8">
        <v>0</v>
      </c>
      <c r="AN122" s="8">
        <v>0</v>
      </c>
      <c r="AO122" s="8">
        <v>0</v>
      </c>
      <c r="AP122" s="8">
        <v>503.22500000000002</v>
      </c>
      <c r="AQ122" s="8">
        <v>0</v>
      </c>
      <c r="AR122" s="8">
        <v>1.6419999999999999</v>
      </c>
      <c r="AS122" s="8">
        <v>0</v>
      </c>
      <c r="AT122" s="8">
        <v>1.349</v>
      </c>
      <c r="AU122" s="8">
        <v>0</v>
      </c>
      <c r="AV122" s="8">
        <v>39.612000000000002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238.03200000000001</v>
      </c>
      <c r="BD122" s="8">
        <v>0</v>
      </c>
      <c r="BE122" s="8">
        <v>0</v>
      </c>
      <c r="BF122" s="8">
        <v>68.632999999999996</v>
      </c>
      <c r="BG122" s="8">
        <v>0</v>
      </c>
      <c r="BH122" s="8">
        <v>11678.69</v>
      </c>
      <c r="BI122" s="8">
        <v>0</v>
      </c>
      <c r="BL122" s="22"/>
    </row>
    <row r="123" spans="1:64" ht="15.75">
      <c r="A123" s="22"/>
      <c r="B123" s="7" t="s">
        <v>234</v>
      </c>
      <c r="C123" s="7" t="s">
        <v>235</v>
      </c>
      <c r="D123" s="8">
        <v>4</v>
      </c>
      <c r="E123" s="8">
        <v>4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L123" s="22"/>
    </row>
    <row r="124" spans="1:64" ht="15.75">
      <c r="A124" s="22"/>
      <c r="B124" s="7" t="s">
        <v>228</v>
      </c>
      <c r="C124" s="7" t="s">
        <v>236</v>
      </c>
      <c r="D124" s="8">
        <v>4</v>
      </c>
      <c r="E124" s="8">
        <v>6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L124" s="22"/>
    </row>
    <row r="125" spans="1:64" ht="15.75">
      <c r="A125" s="22"/>
      <c r="B125" s="7" t="s">
        <v>237</v>
      </c>
      <c r="C125" s="7" t="s">
        <v>238</v>
      </c>
      <c r="D125" s="8">
        <v>4</v>
      </c>
      <c r="E125" s="8">
        <v>4</v>
      </c>
      <c r="F125" s="8">
        <v>0</v>
      </c>
      <c r="G125" s="8">
        <v>0</v>
      </c>
      <c r="H125" s="8">
        <v>0</v>
      </c>
      <c r="I125" s="8">
        <v>4584.0519999999997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1.804</v>
      </c>
      <c r="S125" s="8">
        <v>92.962000000000003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L125" s="22"/>
    </row>
    <row r="126" spans="1:64" ht="15.75">
      <c r="A126" s="22"/>
      <c r="B126" s="7" t="s">
        <v>239</v>
      </c>
      <c r="C126" s="7" t="s">
        <v>240</v>
      </c>
      <c r="D126" s="8">
        <v>4</v>
      </c>
      <c r="E126" s="8">
        <v>3</v>
      </c>
      <c r="F126" s="8">
        <v>2185.451</v>
      </c>
      <c r="G126" s="8">
        <v>1486.7950000000001</v>
      </c>
      <c r="H126" s="8">
        <v>108.917</v>
      </c>
      <c r="I126" s="8">
        <v>0</v>
      </c>
      <c r="J126" s="8">
        <v>102.883</v>
      </c>
      <c r="K126" s="8">
        <v>1166.645</v>
      </c>
      <c r="L126" s="8">
        <v>0</v>
      </c>
      <c r="M126" s="8">
        <v>2811.8440000000001</v>
      </c>
      <c r="N126" s="8">
        <v>175.239</v>
      </c>
      <c r="O126" s="8">
        <v>0</v>
      </c>
      <c r="P126" s="8">
        <v>0</v>
      </c>
      <c r="Q126" s="8">
        <v>4.0000000000000001E-3</v>
      </c>
      <c r="R126" s="8">
        <v>0</v>
      </c>
      <c r="S126" s="8">
        <v>0</v>
      </c>
      <c r="T126" s="8">
        <v>639.63300000000004</v>
      </c>
      <c r="U126" s="8">
        <v>0</v>
      </c>
      <c r="V126" s="8">
        <v>0</v>
      </c>
      <c r="W126" s="8">
        <v>227.61</v>
      </c>
      <c r="X126" s="8">
        <v>2.21</v>
      </c>
      <c r="Y126" s="8">
        <v>0</v>
      </c>
      <c r="Z126" s="8">
        <v>88.613</v>
      </c>
      <c r="AA126" s="8">
        <v>0</v>
      </c>
      <c r="AB126" s="8">
        <v>3000.5819999999999</v>
      </c>
      <c r="AC126" s="8">
        <v>0</v>
      </c>
      <c r="AD126" s="8">
        <v>253.721</v>
      </c>
      <c r="AE126" s="8">
        <v>0</v>
      </c>
      <c r="AF126" s="8">
        <v>970.62199999999996</v>
      </c>
      <c r="AG126" s="8">
        <v>27.927</v>
      </c>
      <c r="AH126" s="8">
        <v>0</v>
      </c>
      <c r="AI126" s="8">
        <v>5300.049</v>
      </c>
      <c r="AJ126" s="8">
        <v>2.1000000000000001E-2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741.37099999999998</v>
      </c>
      <c r="AQ126" s="8">
        <v>0</v>
      </c>
      <c r="AR126" s="8">
        <v>4.1139999999999999</v>
      </c>
      <c r="AS126" s="8">
        <v>0</v>
      </c>
      <c r="AT126" s="8">
        <v>2.2799999999999998</v>
      </c>
      <c r="AU126" s="8">
        <v>0</v>
      </c>
      <c r="AV126" s="8">
        <v>0.27200000000000002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350.06599999999997</v>
      </c>
      <c r="BD126" s="8">
        <v>0</v>
      </c>
      <c r="BE126" s="8">
        <v>0</v>
      </c>
      <c r="BF126" s="8">
        <v>101.212</v>
      </c>
      <c r="BG126" s="8">
        <v>0</v>
      </c>
      <c r="BH126" s="8">
        <v>0</v>
      </c>
      <c r="BI126" s="8">
        <v>0</v>
      </c>
      <c r="BL126" s="22"/>
    </row>
    <row r="127" spans="1:64" ht="15.75">
      <c r="A127" s="22"/>
      <c r="B127" s="7" t="s">
        <v>241</v>
      </c>
      <c r="C127" s="7" t="s">
        <v>242</v>
      </c>
      <c r="D127" s="8">
        <v>2</v>
      </c>
      <c r="E127" s="8">
        <v>2</v>
      </c>
      <c r="F127" s="8">
        <v>107042.894</v>
      </c>
      <c r="G127" s="8">
        <v>10475.321</v>
      </c>
      <c r="H127" s="8">
        <v>10697.412</v>
      </c>
      <c r="I127" s="8">
        <v>0</v>
      </c>
      <c r="J127" s="8">
        <v>1796.8019999999999</v>
      </c>
      <c r="K127" s="8">
        <v>7582.3389999999999</v>
      </c>
      <c r="L127" s="8">
        <v>0</v>
      </c>
      <c r="M127" s="8">
        <v>83227.561000000002</v>
      </c>
      <c r="N127" s="8">
        <v>20219.391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3270.7220000000002</v>
      </c>
      <c r="U127" s="8">
        <v>0</v>
      </c>
      <c r="V127" s="8">
        <v>0</v>
      </c>
      <c r="W127" s="8">
        <v>1525.172</v>
      </c>
      <c r="X127" s="8">
        <v>3663.1570000000002</v>
      </c>
      <c r="Y127" s="8">
        <v>0</v>
      </c>
      <c r="Z127" s="8">
        <v>39966.821000000004</v>
      </c>
      <c r="AA127" s="8">
        <v>0</v>
      </c>
      <c r="AB127" s="8">
        <v>9252.3619999999992</v>
      </c>
      <c r="AC127" s="8">
        <v>0</v>
      </c>
      <c r="AD127" s="8">
        <v>1842.7180000000001</v>
      </c>
      <c r="AE127" s="8">
        <v>0</v>
      </c>
      <c r="AF127" s="8">
        <v>135118.068</v>
      </c>
      <c r="AG127" s="8">
        <v>0</v>
      </c>
      <c r="AH127" s="8">
        <v>0</v>
      </c>
      <c r="AI127" s="8">
        <v>236795.86499999999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1107.884</v>
      </c>
      <c r="AQ127" s="8">
        <v>0</v>
      </c>
      <c r="AR127" s="8">
        <v>0</v>
      </c>
      <c r="AS127" s="8">
        <v>0</v>
      </c>
      <c r="AT127" s="8">
        <v>4.3520000000000003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558.07100000000003</v>
      </c>
      <c r="BD127" s="8">
        <v>0</v>
      </c>
      <c r="BE127" s="8">
        <v>0</v>
      </c>
      <c r="BF127" s="8">
        <v>195.98</v>
      </c>
      <c r="BG127" s="8">
        <v>0</v>
      </c>
      <c r="BH127" s="8">
        <v>0</v>
      </c>
      <c r="BI127" s="8">
        <v>0</v>
      </c>
      <c r="BL127" s="22"/>
    </row>
    <row r="128" spans="1:64" ht="15.75">
      <c r="A128" s="22"/>
      <c r="B128" s="7" t="s">
        <v>243</v>
      </c>
      <c r="C128" s="7" t="s">
        <v>244</v>
      </c>
      <c r="D128" s="8">
        <v>4</v>
      </c>
      <c r="E128" s="8">
        <v>4</v>
      </c>
      <c r="F128" s="8">
        <v>44919.3</v>
      </c>
      <c r="G128" s="8">
        <v>6719.7560000000003</v>
      </c>
      <c r="H128" s="8">
        <v>0</v>
      </c>
      <c r="I128" s="8">
        <v>0</v>
      </c>
      <c r="J128" s="8">
        <v>185.345</v>
      </c>
      <c r="K128" s="8">
        <v>0</v>
      </c>
      <c r="L128" s="8">
        <v>0</v>
      </c>
      <c r="M128" s="8">
        <v>101525.173</v>
      </c>
      <c r="N128" s="8">
        <v>2425.1840000000002</v>
      </c>
      <c r="O128" s="8">
        <v>0</v>
      </c>
      <c r="P128" s="8">
        <v>0</v>
      </c>
      <c r="Q128" s="8">
        <v>2.3E-2</v>
      </c>
      <c r="R128" s="8">
        <v>0</v>
      </c>
      <c r="S128" s="8">
        <v>0</v>
      </c>
      <c r="T128" s="8">
        <v>2165.5450000000001</v>
      </c>
      <c r="U128" s="8">
        <v>0</v>
      </c>
      <c r="V128" s="8">
        <v>0</v>
      </c>
      <c r="W128" s="8">
        <v>0</v>
      </c>
      <c r="X128" s="8">
        <v>832.18899999999996</v>
      </c>
      <c r="Y128" s="8">
        <v>0</v>
      </c>
      <c r="Z128" s="8">
        <v>23454.921999999999</v>
      </c>
      <c r="AA128" s="8">
        <v>0</v>
      </c>
      <c r="AB128" s="8">
        <v>4128.2389999999996</v>
      </c>
      <c r="AC128" s="8">
        <v>0</v>
      </c>
      <c r="AD128" s="8">
        <v>1510.3230000000001</v>
      </c>
      <c r="AE128" s="8">
        <v>0</v>
      </c>
      <c r="AF128" s="8">
        <v>68107.343999999997</v>
      </c>
      <c r="AG128" s="8">
        <v>65983.433999999994</v>
      </c>
      <c r="AH128" s="8">
        <v>0</v>
      </c>
      <c r="AI128" s="8">
        <v>170935.52799999999</v>
      </c>
      <c r="AJ128" s="8">
        <v>95559.543000000005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2270.0039999999999</v>
      </c>
      <c r="AQ128" s="8">
        <v>0</v>
      </c>
      <c r="AR128" s="8">
        <v>27524.608</v>
      </c>
      <c r="AS128" s="8">
        <v>0</v>
      </c>
      <c r="AT128" s="8">
        <v>21.893999999999998</v>
      </c>
      <c r="AU128" s="8">
        <v>0</v>
      </c>
      <c r="AV128" s="8">
        <v>130.69200000000001</v>
      </c>
      <c r="AW128" s="8">
        <v>0</v>
      </c>
      <c r="AX128" s="8">
        <v>0</v>
      </c>
      <c r="AY128" s="8">
        <v>0</v>
      </c>
      <c r="AZ128" s="8">
        <v>16.631</v>
      </c>
      <c r="BA128" s="8">
        <v>579.62099999999998</v>
      </c>
      <c r="BB128" s="8">
        <v>0</v>
      </c>
      <c r="BC128" s="8">
        <v>1065.973</v>
      </c>
      <c r="BD128" s="8">
        <v>0</v>
      </c>
      <c r="BE128" s="8">
        <v>757.84699999999998</v>
      </c>
      <c r="BF128" s="8">
        <v>304.54700000000003</v>
      </c>
      <c r="BG128" s="8">
        <v>259.52499999999998</v>
      </c>
      <c r="BH128" s="8">
        <v>0</v>
      </c>
      <c r="BI128" s="8">
        <v>0</v>
      </c>
      <c r="BL128" s="22"/>
    </row>
    <row r="129" spans="1:64" ht="15.75">
      <c r="A129" s="22"/>
      <c r="B129" s="7" t="s">
        <v>245</v>
      </c>
      <c r="C129" s="7" t="s">
        <v>246</v>
      </c>
      <c r="D129" s="8">
        <v>4</v>
      </c>
      <c r="E129" s="8">
        <v>6</v>
      </c>
      <c r="F129" s="8">
        <v>9.109</v>
      </c>
      <c r="G129" s="8">
        <v>6.1970000000000001</v>
      </c>
      <c r="H129" s="8">
        <v>0.45400000000000001</v>
      </c>
      <c r="I129" s="8">
        <v>0</v>
      </c>
      <c r="J129" s="8">
        <v>0.42899999999999999</v>
      </c>
      <c r="K129" s="8">
        <v>4.8620000000000001</v>
      </c>
      <c r="L129" s="8">
        <v>0</v>
      </c>
      <c r="M129" s="8">
        <v>11.718999999999999</v>
      </c>
      <c r="N129" s="8">
        <v>0.73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2.6659999999999999</v>
      </c>
      <c r="U129" s="8">
        <v>0</v>
      </c>
      <c r="V129" s="8">
        <v>0</v>
      </c>
      <c r="W129" s="8">
        <v>0.94899999999999995</v>
      </c>
      <c r="X129" s="8">
        <v>8.9999999999999993E-3</v>
      </c>
      <c r="Y129" s="8">
        <v>0</v>
      </c>
      <c r="Z129" s="8">
        <v>0.36899999999999999</v>
      </c>
      <c r="AA129" s="8">
        <v>0</v>
      </c>
      <c r="AB129" s="8">
        <v>12.506</v>
      </c>
      <c r="AC129" s="8">
        <v>0</v>
      </c>
      <c r="AD129" s="8">
        <v>1.0569999999999999</v>
      </c>
      <c r="AE129" s="8">
        <v>0</v>
      </c>
      <c r="AF129" s="8">
        <v>4.0449999999999999</v>
      </c>
      <c r="AG129" s="8">
        <v>0.11600000000000001</v>
      </c>
      <c r="AH129" s="8">
        <v>0</v>
      </c>
      <c r="AI129" s="8">
        <v>22.09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3.09</v>
      </c>
      <c r="AQ129" s="8">
        <v>0</v>
      </c>
      <c r="AR129" s="8">
        <v>1.7000000000000001E-2</v>
      </c>
      <c r="AS129" s="8">
        <v>0</v>
      </c>
      <c r="AT129" s="8">
        <v>8.9999999999999993E-3</v>
      </c>
      <c r="AU129" s="8">
        <v>0</v>
      </c>
      <c r="AV129" s="8">
        <v>1E-3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1.4590000000000001</v>
      </c>
      <c r="BD129" s="8">
        <v>0</v>
      </c>
      <c r="BE129" s="8">
        <v>0</v>
      </c>
      <c r="BF129" s="8">
        <v>0.42199999999999999</v>
      </c>
      <c r="BG129" s="8">
        <v>0</v>
      </c>
      <c r="BH129" s="8">
        <v>0</v>
      </c>
      <c r="BI129" s="8">
        <v>0</v>
      </c>
      <c r="BL129" s="22"/>
    </row>
    <row r="130" spans="1:64" ht="15.75">
      <c r="A130" s="22"/>
      <c r="B130" s="7" t="s">
        <v>247</v>
      </c>
      <c r="C130" s="7" t="s">
        <v>248</v>
      </c>
      <c r="D130" s="8">
        <v>6</v>
      </c>
      <c r="E130" s="8">
        <v>6</v>
      </c>
      <c r="F130" s="8">
        <v>58750.671000000002</v>
      </c>
      <c r="G130" s="8">
        <v>170.91800000000001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78942.918999999994</v>
      </c>
      <c r="N130" s="8">
        <v>12890.212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6578.8850000000002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30170.386999999999</v>
      </c>
      <c r="AG130" s="8">
        <v>222.9</v>
      </c>
      <c r="AH130" s="8">
        <v>0</v>
      </c>
      <c r="AI130" s="8">
        <v>155818.084</v>
      </c>
      <c r="AJ130" s="8">
        <v>568.62400000000002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L130" s="22"/>
    </row>
    <row r="131" spans="1:64" ht="15.75">
      <c r="A131" s="22"/>
      <c r="B131" s="7" t="s">
        <v>249</v>
      </c>
      <c r="C131" s="7" t="s">
        <v>250</v>
      </c>
      <c r="D131" s="8">
        <v>6</v>
      </c>
      <c r="E131" s="8">
        <v>6</v>
      </c>
      <c r="F131" s="8">
        <v>7083.6450000000004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17238.187999999998</v>
      </c>
      <c r="N131" s="8">
        <v>590.26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1053.7449999999999</v>
      </c>
      <c r="AG131" s="8">
        <v>0</v>
      </c>
      <c r="AH131" s="8">
        <v>0</v>
      </c>
      <c r="AI131" s="8">
        <v>7416.0320000000002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L131" s="22"/>
    </row>
    <row r="132" spans="1:64" ht="15.75">
      <c r="A132" s="22"/>
      <c r="B132" s="7" t="s">
        <v>251</v>
      </c>
      <c r="C132" s="7" t="s">
        <v>252</v>
      </c>
      <c r="D132" s="8">
        <v>6</v>
      </c>
      <c r="E132" s="8">
        <v>6</v>
      </c>
      <c r="F132" s="8">
        <v>18656.228999999999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109023.30100000001</v>
      </c>
      <c r="N132" s="8">
        <v>2397.0859999999998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277.899</v>
      </c>
      <c r="AC132" s="8">
        <v>0</v>
      </c>
      <c r="AD132" s="8">
        <v>0</v>
      </c>
      <c r="AE132" s="8">
        <v>0</v>
      </c>
      <c r="AF132" s="8">
        <v>22387.702000000001</v>
      </c>
      <c r="AG132" s="8">
        <v>0</v>
      </c>
      <c r="AH132" s="8">
        <v>0</v>
      </c>
      <c r="AI132" s="8">
        <v>147561.647</v>
      </c>
      <c r="AJ132" s="8">
        <v>25421.273000000001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L132" s="22"/>
    </row>
    <row r="133" spans="1:64" ht="15.75">
      <c r="A133" s="22"/>
      <c r="B133" s="7" t="s">
        <v>253</v>
      </c>
      <c r="C133" s="7" t="s">
        <v>254</v>
      </c>
      <c r="D133" s="8">
        <v>6</v>
      </c>
      <c r="E133" s="8">
        <v>6</v>
      </c>
      <c r="F133" s="8">
        <v>277433.80699999997</v>
      </c>
      <c r="G133" s="8">
        <v>13264.191000000001</v>
      </c>
      <c r="H133" s="8">
        <v>11732.463</v>
      </c>
      <c r="I133" s="8">
        <v>3832.4450000000002</v>
      </c>
      <c r="J133" s="8">
        <v>2072.2600000000002</v>
      </c>
      <c r="K133" s="8">
        <v>7499.6940000000004</v>
      </c>
      <c r="L133" s="8">
        <v>0</v>
      </c>
      <c r="M133" s="8">
        <v>317521.326</v>
      </c>
      <c r="N133" s="8">
        <v>67771.812999999995</v>
      </c>
      <c r="O133" s="8">
        <v>0</v>
      </c>
      <c r="P133" s="8">
        <v>0</v>
      </c>
      <c r="Q133" s="8">
        <v>275.83999999999997</v>
      </c>
      <c r="R133" s="8">
        <v>0</v>
      </c>
      <c r="S133" s="8">
        <v>70.754999999999995</v>
      </c>
      <c r="T133" s="8">
        <v>3439.4569999999999</v>
      </c>
      <c r="U133" s="8">
        <v>0</v>
      </c>
      <c r="V133" s="8">
        <v>0</v>
      </c>
      <c r="W133" s="8">
        <v>1308.396</v>
      </c>
      <c r="X133" s="8">
        <v>3663.835</v>
      </c>
      <c r="Y133" s="8">
        <v>0</v>
      </c>
      <c r="Z133" s="8">
        <v>54554.182999999997</v>
      </c>
      <c r="AA133" s="8">
        <v>0</v>
      </c>
      <c r="AB133" s="8">
        <v>11733.905000000001</v>
      </c>
      <c r="AC133" s="8">
        <v>0</v>
      </c>
      <c r="AD133" s="8">
        <v>2002.05</v>
      </c>
      <c r="AE133" s="8">
        <v>0</v>
      </c>
      <c r="AF133" s="8">
        <v>193591.04800000001</v>
      </c>
      <c r="AG133" s="8">
        <v>11448.696</v>
      </c>
      <c r="AH133" s="8">
        <v>0</v>
      </c>
      <c r="AI133" s="8">
        <v>623285.71499999997</v>
      </c>
      <c r="AJ133" s="8">
        <v>14568.12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31.552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L133" s="22"/>
    </row>
    <row r="134" spans="1:64" ht="15.75">
      <c r="A134" s="22"/>
      <c r="B134" s="7" t="s">
        <v>255</v>
      </c>
      <c r="C134" s="7" t="s">
        <v>256</v>
      </c>
      <c r="D134" s="8">
        <v>6</v>
      </c>
      <c r="E134" s="8">
        <v>6</v>
      </c>
      <c r="F134" s="8">
        <v>17625.912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13353.246999999999</v>
      </c>
      <c r="N134" s="8">
        <v>1608.105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2141.3510000000001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9502.4490000000005</v>
      </c>
      <c r="AG134" s="8">
        <v>1189.163</v>
      </c>
      <c r="AH134" s="8">
        <v>0</v>
      </c>
      <c r="AI134" s="8">
        <v>34137.116999999998</v>
      </c>
      <c r="AJ134" s="8">
        <v>3925.81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L134" s="22"/>
    </row>
    <row r="135" spans="1:64" ht="15.75">
      <c r="A135" s="22"/>
      <c r="B135" s="7" t="s">
        <v>257</v>
      </c>
      <c r="C135" s="7" t="s">
        <v>258</v>
      </c>
      <c r="D135" s="8">
        <v>6</v>
      </c>
      <c r="E135" s="8">
        <v>6</v>
      </c>
      <c r="F135" s="8">
        <v>100025.75900000001</v>
      </c>
      <c r="G135" s="8">
        <v>4891.47</v>
      </c>
      <c r="H135" s="8">
        <v>4538.9549999999999</v>
      </c>
      <c r="I135" s="8">
        <v>0</v>
      </c>
      <c r="J135" s="8">
        <v>801.25699999999995</v>
      </c>
      <c r="K135" s="8">
        <v>2758.922</v>
      </c>
      <c r="L135" s="8">
        <v>0</v>
      </c>
      <c r="M135" s="8">
        <v>109188.496</v>
      </c>
      <c r="N135" s="8">
        <v>35656.667999999998</v>
      </c>
      <c r="O135" s="8">
        <v>0</v>
      </c>
      <c r="P135" s="8">
        <v>0</v>
      </c>
      <c r="Q135" s="8">
        <v>128.303</v>
      </c>
      <c r="R135" s="8">
        <v>0</v>
      </c>
      <c r="S135" s="8">
        <v>1.2999999999999999E-2</v>
      </c>
      <c r="T135" s="8">
        <v>0</v>
      </c>
      <c r="U135" s="8">
        <v>0</v>
      </c>
      <c r="V135" s="8">
        <v>0</v>
      </c>
      <c r="W135" s="8">
        <v>502.07600000000002</v>
      </c>
      <c r="X135" s="8">
        <v>1454.9770000000001</v>
      </c>
      <c r="Y135" s="8">
        <v>0</v>
      </c>
      <c r="Z135" s="8">
        <v>15528.463</v>
      </c>
      <c r="AA135" s="8">
        <v>0</v>
      </c>
      <c r="AB135" s="8">
        <v>4229.3469999999998</v>
      </c>
      <c r="AC135" s="8">
        <v>0</v>
      </c>
      <c r="AD135" s="8">
        <v>711.84400000000005</v>
      </c>
      <c r="AE135" s="8">
        <v>0</v>
      </c>
      <c r="AF135" s="8">
        <v>90294.845000000001</v>
      </c>
      <c r="AG135" s="8">
        <v>1444.067</v>
      </c>
      <c r="AH135" s="8">
        <v>0</v>
      </c>
      <c r="AI135" s="8">
        <v>259705.81099999999</v>
      </c>
      <c r="AJ135" s="8">
        <v>1928.1079999999999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L135" s="22"/>
    </row>
    <row r="136" spans="1:64" ht="15.75">
      <c r="A136" s="22"/>
      <c r="B136" s="7" t="s">
        <v>259</v>
      </c>
      <c r="C136" s="7" t="s">
        <v>260</v>
      </c>
      <c r="D136" s="8">
        <v>6</v>
      </c>
      <c r="E136" s="8">
        <v>6</v>
      </c>
      <c r="F136" s="8">
        <v>13716.859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36420.464999999997</v>
      </c>
      <c r="N136" s="8">
        <v>2317.9180000000001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4649.0609999999997</v>
      </c>
      <c r="AG136" s="8">
        <v>0</v>
      </c>
      <c r="AH136" s="8">
        <v>0</v>
      </c>
      <c r="AI136" s="8">
        <v>63091.79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L136" s="22"/>
    </row>
    <row r="137" spans="1:64" ht="15.75">
      <c r="A137" s="22"/>
      <c r="B137" s="7" t="s">
        <v>261</v>
      </c>
      <c r="C137" s="7" t="s">
        <v>262</v>
      </c>
      <c r="D137" s="8">
        <v>6</v>
      </c>
      <c r="E137" s="8">
        <v>6</v>
      </c>
      <c r="F137" s="8">
        <v>904529.88</v>
      </c>
      <c r="G137" s="8">
        <v>14694.207</v>
      </c>
      <c r="H137" s="8">
        <v>15654.885</v>
      </c>
      <c r="I137" s="8">
        <v>590.10500000000002</v>
      </c>
      <c r="J137" s="8">
        <v>3309.6039999999998</v>
      </c>
      <c r="K137" s="8">
        <v>9393.9089999999997</v>
      </c>
      <c r="L137" s="8">
        <v>0</v>
      </c>
      <c r="M137" s="8">
        <v>857489.05</v>
      </c>
      <c r="N137" s="8">
        <v>216449.136</v>
      </c>
      <c r="O137" s="8">
        <v>0</v>
      </c>
      <c r="P137" s="8">
        <v>0</v>
      </c>
      <c r="Q137" s="8">
        <v>756.70799999999997</v>
      </c>
      <c r="R137" s="8">
        <v>0</v>
      </c>
      <c r="S137" s="8">
        <v>7.0000000000000007E-2</v>
      </c>
      <c r="T137" s="8">
        <v>0</v>
      </c>
      <c r="U137" s="8">
        <v>0</v>
      </c>
      <c r="V137" s="8">
        <v>0</v>
      </c>
      <c r="W137" s="8">
        <v>1518.4559999999999</v>
      </c>
      <c r="X137" s="8">
        <v>4659.4750000000004</v>
      </c>
      <c r="Y137" s="8">
        <v>0</v>
      </c>
      <c r="Z137" s="8">
        <v>187714.576</v>
      </c>
      <c r="AA137" s="8">
        <v>0</v>
      </c>
      <c r="AB137" s="8">
        <v>32691.302</v>
      </c>
      <c r="AC137" s="8">
        <v>0</v>
      </c>
      <c r="AD137" s="8">
        <v>2298.9859999999999</v>
      </c>
      <c r="AE137" s="8">
        <v>0</v>
      </c>
      <c r="AF137" s="8">
        <v>621452.07900000003</v>
      </c>
      <c r="AG137" s="8">
        <v>27480.971000000001</v>
      </c>
      <c r="AH137" s="8">
        <v>0</v>
      </c>
      <c r="AI137" s="8">
        <v>2103879.284</v>
      </c>
      <c r="AJ137" s="8">
        <v>79264.418999999994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60.027999999999999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L137" s="22"/>
    </row>
    <row r="138" spans="1:64" ht="15.75">
      <c r="A138" s="22"/>
      <c r="B138" s="7" t="s">
        <v>263</v>
      </c>
      <c r="C138" s="7" t="s">
        <v>264</v>
      </c>
      <c r="D138" s="8">
        <v>4</v>
      </c>
      <c r="E138" s="8">
        <v>4</v>
      </c>
      <c r="F138" s="8">
        <v>3206.3710000000001</v>
      </c>
      <c r="G138" s="8">
        <v>535.22199999999998</v>
      </c>
      <c r="H138" s="8">
        <v>390.29500000000002</v>
      </c>
      <c r="I138" s="8">
        <v>279.16399999999999</v>
      </c>
      <c r="J138" s="8">
        <v>40.151000000000003</v>
      </c>
      <c r="K138" s="8">
        <v>222.87799999999999</v>
      </c>
      <c r="L138" s="8">
        <v>0</v>
      </c>
      <c r="M138" s="8">
        <v>4129.5479999999998</v>
      </c>
      <c r="N138" s="8">
        <v>926.90800000000002</v>
      </c>
      <c r="O138" s="8">
        <v>0</v>
      </c>
      <c r="P138" s="8">
        <v>0</v>
      </c>
      <c r="Q138" s="8">
        <v>8.3000000000000004E-2</v>
      </c>
      <c r="R138" s="8">
        <v>0</v>
      </c>
      <c r="S138" s="8">
        <v>0</v>
      </c>
      <c r="T138" s="8">
        <v>209.68600000000001</v>
      </c>
      <c r="U138" s="8">
        <v>0</v>
      </c>
      <c r="V138" s="8">
        <v>0</v>
      </c>
      <c r="W138" s="8">
        <v>57.073</v>
      </c>
      <c r="X138" s="8">
        <v>107.907</v>
      </c>
      <c r="Y138" s="8">
        <v>0</v>
      </c>
      <c r="Z138" s="8">
        <v>1064.99</v>
      </c>
      <c r="AA138" s="8">
        <v>0</v>
      </c>
      <c r="AB138" s="8">
        <v>564.85799999999995</v>
      </c>
      <c r="AC138" s="8">
        <v>0</v>
      </c>
      <c r="AD138" s="8">
        <v>94.478999999999999</v>
      </c>
      <c r="AE138" s="8">
        <v>0</v>
      </c>
      <c r="AF138" s="8">
        <v>2648.5790000000002</v>
      </c>
      <c r="AG138" s="8">
        <v>2286.7040000000002</v>
      </c>
      <c r="AH138" s="8">
        <v>0</v>
      </c>
      <c r="AI138" s="8">
        <v>7241.1549999999997</v>
      </c>
      <c r="AJ138" s="8">
        <v>3573.393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130.649</v>
      </c>
      <c r="AQ138" s="8">
        <v>0</v>
      </c>
      <c r="AR138" s="8">
        <v>936.31600000000003</v>
      </c>
      <c r="AS138" s="8">
        <v>0</v>
      </c>
      <c r="AT138" s="8">
        <v>1.925</v>
      </c>
      <c r="AU138" s="8">
        <v>0</v>
      </c>
      <c r="AV138" s="8">
        <v>31.59</v>
      </c>
      <c r="AW138" s="8">
        <v>0</v>
      </c>
      <c r="AX138" s="8">
        <v>0</v>
      </c>
      <c r="AY138" s="8">
        <v>0</v>
      </c>
      <c r="AZ138" s="8">
        <v>110.666</v>
      </c>
      <c r="BA138" s="8">
        <v>1515.83</v>
      </c>
      <c r="BB138" s="8">
        <v>0</v>
      </c>
      <c r="BC138" s="8">
        <v>62.158000000000001</v>
      </c>
      <c r="BD138" s="8">
        <v>32.436999999999998</v>
      </c>
      <c r="BE138" s="8">
        <v>1981.9259999999999</v>
      </c>
      <c r="BF138" s="8">
        <v>17.768999999999998</v>
      </c>
      <c r="BG138" s="8">
        <v>678.71199999999999</v>
      </c>
      <c r="BH138" s="8">
        <v>0</v>
      </c>
      <c r="BI138" s="8">
        <v>11.605</v>
      </c>
      <c r="BL138" s="22"/>
    </row>
    <row r="139" spans="1:64" ht="15.75">
      <c r="A139" s="22"/>
      <c r="B139" s="7" t="s">
        <v>265</v>
      </c>
      <c r="C139" s="7" t="s">
        <v>266</v>
      </c>
      <c r="D139" s="8">
        <v>6</v>
      </c>
      <c r="E139" s="8">
        <v>6</v>
      </c>
      <c r="F139" s="8">
        <v>3718.8739999999998</v>
      </c>
      <c r="G139" s="8">
        <v>0</v>
      </c>
      <c r="H139" s="8">
        <v>0</v>
      </c>
      <c r="I139" s="8">
        <v>1.0999999999999999E-2</v>
      </c>
      <c r="J139" s="8">
        <v>0</v>
      </c>
      <c r="K139" s="8">
        <v>0</v>
      </c>
      <c r="L139" s="8">
        <v>0</v>
      </c>
      <c r="M139" s="8">
        <v>6035.4920000000002</v>
      </c>
      <c r="N139" s="8">
        <v>1165.9839999999999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1002.818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4262.4840000000004</v>
      </c>
      <c r="AG139" s="8">
        <v>6.0000000000000001E-3</v>
      </c>
      <c r="AH139" s="8">
        <v>0</v>
      </c>
      <c r="AI139" s="8">
        <v>13857.28</v>
      </c>
      <c r="AJ139" s="8">
        <v>8.9999999999999993E-3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L139" s="22"/>
    </row>
    <row r="140" spans="1:64" ht="15.75">
      <c r="A140" s="22"/>
      <c r="B140" s="7" t="s">
        <v>267</v>
      </c>
      <c r="C140" s="7" t="s">
        <v>268</v>
      </c>
      <c r="D140" s="8">
        <v>4</v>
      </c>
      <c r="E140" s="8">
        <v>4</v>
      </c>
      <c r="F140" s="8">
        <v>3.5000000000000003E-2</v>
      </c>
      <c r="G140" s="8">
        <v>4.0000000000000001E-3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8.1000000000000003E-2</v>
      </c>
      <c r="N140" s="8">
        <v>2E-3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1E-3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1.7999999999999999E-2</v>
      </c>
      <c r="AA140" s="8">
        <v>0</v>
      </c>
      <c r="AB140" s="8">
        <v>3.0000000000000001E-3</v>
      </c>
      <c r="AC140" s="8">
        <v>0</v>
      </c>
      <c r="AD140" s="8">
        <v>1E-3</v>
      </c>
      <c r="AE140" s="8">
        <v>0</v>
      </c>
      <c r="AF140" s="8">
        <v>5.3999999999999999E-2</v>
      </c>
      <c r="AG140" s="8">
        <v>5.1999999999999998E-2</v>
      </c>
      <c r="AH140" s="8">
        <v>0</v>
      </c>
      <c r="AI140" s="8">
        <v>0.13500000000000001</v>
      </c>
      <c r="AJ140" s="8">
        <v>7.4999999999999997E-2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2E-3</v>
      </c>
      <c r="AQ140" s="8">
        <v>0</v>
      </c>
      <c r="AR140" s="8">
        <v>2.1999999999999999E-2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L140" s="22"/>
    </row>
    <row r="141" spans="1:64" ht="15.75">
      <c r="A141" s="22"/>
      <c r="B141" s="7" t="s">
        <v>269</v>
      </c>
      <c r="C141" s="7" t="s">
        <v>270</v>
      </c>
      <c r="D141" s="8">
        <v>6</v>
      </c>
      <c r="E141" s="8">
        <v>6</v>
      </c>
      <c r="F141" s="8">
        <v>1329.432</v>
      </c>
      <c r="G141" s="8">
        <v>11.204000000000001</v>
      </c>
      <c r="H141" s="8">
        <v>15.693</v>
      </c>
      <c r="I141" s="8">
        <v>0</v>
      </c>
      <c r="J141" s="8">
        <v>2.7210000000000001</v>
      </c>
      <c r="K141" s="8">
        <v>9.5350000000000001</v>
      </c>
      <c r="L141" s="8">
        <v>0</v>
      </c>
      <c r="M141" s="8">
        <v>1986.5150000000001</v>
      </c>
      <c r="N141" s="8">
        <v>438.25599999999997</v>
      </c>
      <c r="O141" s="8">
        <v>0</v>
      </c>
      <c r="P141" s="8">
        <v>0</v>
      </c>
      <c r="Q141" s="8">
        <v>0.49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1.597</v>
      </c>
      <c r="X141" s="8">
        <v>4.8090000000000002</v>
      </c>
      <c r="Y141" s="8">
        <v>0</v>
      </c>
      <c r="Z141" s="8">
        <v>399.99</v>
      </c>
      <c r="AA141" s="8">
        <v>0</v>
      </c>
      <c r="AB141" s="8">
        <v>12.923</v>
      </c>
      <c r="AC141" s="8">
        <v>0</v>
      </c>
      <c r="AD141" s="8">
        <v>2.0579999999999998</v>
      </c>
      <c r="AE141" s="8">
        <v>0</v>
      </c>
      <c r="AF141" s="8">
        <v>1561.4749999999999</v>
      </c>
      <c r="AG141" s="8">
        <v>0</v>
      </c>
      <c r="AH141" s="8">
        <v>0</v>
      </c>
      <c r="AI141" s="8">
        <v>4204.32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L141" s="22"/>
    </row>
    <row r="142" spans="1:64" ht="15.75">
      <c r="A142" s="22"/>
      <c r="B142" s="7" t="s">
        <v>271</v>
      </c>
      <c r="C142" s="7" t="s">
        <v>272</v>
      </c>
      <c r="D142" s="8">
        <v>4</v>
      </c>
      <c r="E142" s="8">
        <v>4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L142" s="22"/>
    </row>
    <row r="143" spans="1:64" ht="15.75">
      <c r="A143" s="22"/>
      <c r="B143" s="7" t="s">
        <v>273</v>
      </c>
      <c r="C143" s="7" t="s">
        <v>274</v>
      </c>
      <c r="D143" s="8">
        <v>6</v>
      </c>
      <c r="E143" s="8">
        <v>6</v>
      </c>
      <c r="F143" s="8">
        <v>-1260.768</v>
      </c>
      <c r="G143" s="8">
        <v>-165.369</v>
      </c>
      <c r="H143" s="8">
        <v>0</v>
      </c>
      <c r="I143" s="8">
        <v>0</v>
      </c>
      <c r="J143" s="8">
        <v>-3.4710000000000001</v>
      </c>
      <c r="K143" s="8">
        <v>0</v>
      </c>
      <c r="L143" s="8">
        <v>0</v>
      </c>
      <c r="M143" s="8">
        <v>-1993.934</v>
      </c>
      <c r="N143" s="8">
        <v>-86.451999999999998</v>
      </c>
      <c r="O143" s="8">
        <v>0</v>
      </c>
      <c r="P143" s="8">
        <v>-97.046000000000006</v>
      </c>
      <c r="Q143" s="8">
        <v>-3.5999999999999997E-2</v>
      </c>
      <c r="R143" s="8">
        <v>-86.475999999999999</v>
      </c>
      <c r="S143" s="8">
        <v>0</v>
      </c>
      <c r="T143" s="8">
        <v>-54.68</v>
      </c>
      <c r="U143" s="8">
        <v>0</v>
      </c>
      <c r="V143" s="8">
        <v>0</v>
      </c>
      <c r="W143" s="8">
        <v>0</v>
      </c>
      <c r="X143" s="8">
        <v>-16.492000000000001</v>
      </c>
      <c r="Y143" s="8">
        <v>0</v>
      </c>
      <c r="Z143" s="8">
        <v>-452.36799999999999</v>
      </c>
      <c r="AA143" s="8">
        <v>0</v>
      </c>
      <c r="AB143" s="8">
        <v>-59.58</v>
      </c>
      <c r="AC143" s="8">
        <v>-6561.5649999999996</v>
      </c>
      <c r="AD143" s="8">
        <v>-31.361000000000001</v>
      </c>
      <c r="AE143" s="8">
        <v>0</v>
      </c>
      <c r="AF143" s="8">
        <v>-2155.8139999999999</v>
      </c>
      <c r="AG143" s="8">
        <v>-1277.0340000000001</v>
      </c>
      <c r="AH143" s="8">
        <v>0</v>
      </c>
      <c r="AI143" s="8">
        <v>-3361.7429999999999</v>
      </c>
      <c r="AJ143" s="8">
        <v>-1994.2909999999999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-43.634999999999998</v>
      </c>
      <c r="AQ143" s="8">
        <v>0</v>
      </c>
      <c r="AR143" s="8">
        <v>-523.17499999999995</v>
      </c>
      <c r="AS143" s="8">
        <v>0</v>
      </c>
      <c r="AT143" s="8">
        <v>-0.51600000000000001</v>
      </c>
      <c r="AU143" s="8">
        <v>0</v>
      </c>
      <c r="AV143" s="8">
        <v>-3.7440000000000002</v>
      </c>
      <c r="AW143" s="8">
        <v>0</v>
      </c>
      <c r="AX143" s="8">
        <v>0</v>
      </c>
      <c r="AY143" s="8">
        <v>0</v>
      </c>
      <c r="AZ143" s="8">
        <v>-24.3</v>
      </c>
      <c r="BA143" s="8">
        <v>-846.98299999999995</v>
      </c>
      <c r="BB143" s="8">
        <v>0</v>
      </c>
      <c r="BC143" s="8">
        <v>-20.687999999999999</v>
      </c>
      <c r="BD143" s="8">
        <v>0</v>
      </c>
      <c r="BE143" s="8">
        <v>-1107.421</v>
      </c>
      <c r="BF143" s="8">
        <v>-5.8630000000000004</v>
      </c>
      <c r="BG143" s="8">
        <v>-379.23500000000001</v>
      </c>
      <c r="BH143" s="8">
        <v>0</v>
      </c>
      <c r="BI143" s="8">
        <v>0</v>
      </c>
      <c r="BL143" s="22"/>
    </row>
    <row r="144" spans="1:64" ht="15.75">
      <c r="A144" s="22"/>
      <c r="B144" s="7" t="s">
        <v>275</v>
      </c>
      <c r="C144" s="7" t="s">
        <v>276</v>
      </c>
      <c r="D144" s="8">
        <v>6</v>
      </c>
      <c r="E144" s="8">
        <v>6</v>
      </c>
      <c r="F144" s="8">
        <v>10415.397999999999</v>
      </c>
      <c r="G144" s="8">
        <v>2848.009</v>
      </c>
      <c r="H144" s="8">
        <v>2511.1439999999998</v>
      </c>
      <c r="I144" s="8">
        <v>0</v>
      </c>
      <c r="J144" s="8">
        <v>236.72200000000001</v>
      </c>
      <c r="K144" s="8">
        <v>1600.2860000000001</v>
      </c>
      <c r="L144" s="8">
        <v>0</v>
      </c>
      <c r="M144" s="8">
        <v>15502.904</v>
      </c>
      <c r="N144" s="8">
        <v>6243.4610000000002</v>
      </c>
      <c r="O144" s="8">
        <v>0</v>
      </c>
      <c r="P144" s="8">
        <v>-9.0129999999999999</v>
      </c>
      <c r="Q144" s="8">
        <v>20.59</v>
      </c>
      <c r="R144" s="8">
        <v>-0.82899999999999996</v>
      </c>
      <c r="S144" s="8">
        <v>1.296</v>
      </c>
      <c r="T144" s="8">
        <v>194.34399999999999</v>
      </c>
      <c r="U144" s="8">
        <v>0</v>
      </c>
      <c r="V144" s="8">
        <v>0</v>
      </c>
      <c r="W144" s="8">
        <v>166.12</v>
      </c>
      <c r="X144" s="8">
        <v>669.51400000000001</v>
      </c>
      <c r="Y144" s="8">
        <v>546.74800000000005</v>
      </c>
      <c r="Z144" s="8">
        <v>5713.82</v>
      </c>
      <c r="AA144" s="8">
        <v>-50.506</v>
      </c>
      <c r="AB144" s="8">
        <v>2597.7829999999999</v>
      </c>
      <c r="AC144" s="8">
        <v>-192.50399999999999</v>
      </c>
      <c r="AD144" s="8">
        <v>402.68</v>
      </c>
      <c r="AE144" s="8">
        <v>-17.428000000000001</v>
      </c>
      <c r="AF144" s="8">
        <v>23279.956999999999</v>
      </c>
      <c r="AG144" s="8">
        <v>9147.3330000000005</v>
      </c>
      <c r="AH144" s="8">
        <v>-63.741</v>
      </c>
      <c r="AI144" s="8">
        <v>84452.29</v>
      </c>
      <c r="AJ144" s="8">
        <v>14330.14</v>
      </c>
      <c r="AK144" s="8">
        <v>-271.56400000000002</v>
      </c>
      <c r="AL144" s="8">
        <v>42276.635000000002</v>
      </c>
      <c r="AM144" s="8">
        <v>21585.788</v>
      </c>
      <c r="AN144" s="8">
        <v>0</v>
      </c>
      <c r="AO144" s="8">
        <v>14235.099</v>
      </c>
      <c r="AP144" s="8">
        <v>350.85199999999998</v>
      </c>
      <c r="AQ144" s="8">
        <v>0</v>
      </c>
      <c r="AR144" s="8">
        <v>3849.6779999999999</v>
      </c>
      <c r="AS144" s="8">
        <v>0</v>
      </c>
      <c r="AT144" s="8">
        <v>9.2959999999999994</v>
      </c>
      <c r="AU144" s="8">
        <v>0</v>
      </c>
      <c r="AV144" s="8">
        <v>51.582999999999998</v>
      </c>
      <c r="AW144" s="8">
        <v>0</v>
      </c>
      <c r="AX144" s="8">
        <v>0</v>
      </c>
      <c r="AY144" s="8">
        <v>790.95</v>
      </c>
      <c r="AZ144" s="8">
        <v>204.41800000000001</v>
      </c>
      <c r="BA144" s="8">
        <v>-109.122</v>
      </c>
      <c r="BB144" s="8">
        <v>614.71400000000006</v>
      </c>
      <c r="BC144" s="8">
        <v>188.428</v>
      </c>
      <c r="BD144" s="8">
        <v>103.402</v>
      </c>
      <c r="BE144" s="8">
        <v>463.33499999999998</v>
      </c>
      <c r="BF144" s="8">
        <v>52.418999999999997</v>
      </c>
      <c r="BG144" s="8">
        <v>70.043999999999997</v>
      </c>
      <c r="BH144" s="8">
        <v>-140.64099999999999</v>
      </c>
      <c r="BI144" s="8">
        <v>38.057000000000002</v>
      </c>
      <c r="BL144" s="22"/>
    </row>
    <row r="145" spans="1:64" ht="15.75">
      <c r="A145" s="22"/>
      <c r="B145" s="7" t="s">
        <v>277</v>
      </c>
      <c r="C145" s="7" t="s">
        <v>278</v>
      </c>
      <c r="D145" s="8">
        <v>6</v>
      </c>
      <c r="E145" s="8">
        <v>6</v>
      </c>
      <c r="F145" s="8">
        <v>-2271.46</v>
      </c>
      <c r="G145" s="8">
        <v>-222.274</v>
      </c>
      <c r="H145" s="8">
        <v>228.54599999999999</v>
      </c>
      <c r="I145" s="8">
        <v>0</v>
      </c>
      <c r="J145" s="8">
        <v>-18.215</v>
      </c>
      <c r="K145" s="8">
        <v>214.62299999999999</v>
      </c>
      <c r="L145" s="8">
        <v>0</v>
      </c>
      <c r="M145" s="8">
        <v>-6771.9530000000004</v>
      </c>
      <c r="N145" s="8">
        <v>-331.04300000000001</v>
      </c>
      <c r="O145" s="8">
        <v>0</v>
      </c>
      <c r="P145" s="8">
        <v>0</v>
      </c>
      <c r="Q145" s="8">
        <v>4.1500000000000004</v>
      </c>
      <c r="R145" s="8">
        <v>0</v>
      </c>
      <c r="S145" s="8">
        <v>-2E-3</v>
      </c>
      <c r="T145" s="8">
        <v>-134.23099999999999</v>
      </c>
      <c r="U145" s="8">
        <v>0</v>
      </c>
      <c r="V145" s="8">
        <v>0</v>
      </c>
      <c r="W145" s="8">
        <v>28.757000000000001</v>
      </c>
      <c r="X145" s="8">
        <v>-26.224</v>
      </c>
      <c r="Y145" s="8">
        <v>0</v>
      </c>
      <c r="Z145" s="8">
        <v>-1145.1600000000001</v>
      </c>
      <c r="AA145" s="8">
        <v>0</v>
      </c>
      <c r="AB145" s="8">
        <v>103.154</v>
      </c>
      <c r="AC145" s="8">
        <v>0</v>
      </c>
      <c r="AD145" s="8">
        <v>-52.552999999999997</v>
      </c>
      <c r="AE145" s="8">
        <v>0</v>
      </c>
      <c r="AF145" s="8">
        <v>-3236.288</v>
      </c>
      <c r="AG145" s="8">
        <v>-3802.8470000000002</v>
      </c>
      <c r="AH145" s="8">
        <v>0</v>
      </c>
      <c r="AI145" s="8">
        <v>-10043.151</v>
      </c>
      <c r="AJ145" s="8">
        <v>-5399.0240000000003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-83.808999999999997</v>
      </c>
      <c r="AQ145" s="8">
        <v>0</v>
      </c>
      <c r="AR145" s="8">
        <v>-1636.0250000000001</v>
      </c>
      <c r="AS145" s="8">
        <v>0</v>
      </c>
      <c r="AT145" s="8">
        <v>-0.79300000000000004</v>
      </c>
      <c r="AU145" s="8">
        <v>0</v>
      </c>
      <c r="AV145" s="8">
        <v>-7.9409999999999998</v>
      </c>
      <c r="AW145" s="8">
        <v>0</v>
      </c>
      <c r="AX145" s="8">
        <v>0</v>
      </c>
      <c r="AY145" s="8">
        <v>0</v>
      </c>
      <c r="AZ145" s="8">
        <v>2.7010000000000001</v>
      </c>
      <c r="BA145" s="8">
        <v>-6.9880000000000004</v>
      </c>
      <c r="BB145" s="8">
        <v>0</v>
      </c>
      <c r="BC145" s="8">
        <v>-42.177999999999997</v>
      </c>
      <c r="BD145" s="8">
        <v>1.2190000000000001</v>
      </c>
      <c r="BE145" s="8">
        <v>-7.8849999999999998</v>
      </c>
      <c r="BF145" s="8">
        <v>-12.25</v>
      </c>
      <c r="BG145" s="8">
        <v>-2.73</v>
      </c>
      <c r="BH145" s="8">
        <v>0</v>
      </c>
      <c r="BI145" s="8">
        <v>0.53800000000000003</v>
      </c>
      <c r="BL145" s="22"/>
    </row>
    <row r="146" spans="1:64" ht="15.75">
      <c r="A146" s="22"/>
      <c r="B146" s="7" t="s">
        <v>279</v>
      </c>
      <c r="C146" s="7" t="s">
        <v>280</v>
      </c>
      <c r="D146" s="8">
        <v>6</v>
      </c>
      <c r="E146" s="8">
        <v>6</v>
      </c>
      <c r="F146" s="8">
        <v>1829.4269999999999</v>
      </c>
      <c r="G146" s="8">
        <v>132.25700000000001</v>
      </c>
      <c r="H146" s="8">
        <v>312.66300000000001</v>
      </c>
      <c r="I146" s="8">
        <v>0</v>
      </c>
      <c r="J146" s="8">
        <v>39.064</v>
      </c>
      <c r="K146" s="8">
        <v>184.52500000000001</v>
      </c>
      <c r="L146" s="8">
        <v>0</v>
      </c>
      <c r="M146" s="8">
        <v>648.30200000000002</v>
      </c>
      <c r="N146" s="8">
        <v>440.90499999999997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40.953000000000003</v>
      </c>
      <c r="U146" s="8">
        <v>0</v>
      </c>
      <c r="V146" s="8">
        <v>0</v>
      </c>
      <c r="W146" s="8">
        <v>28.576000000000001</v>
      </c>
      <c r="X146" s="8">
        <v>41.755000000000003</v>
      </c>
      <c r="Y146" s="8">
        <v>0</v>
      </c>
      <c r="Z146" s="8">
        <v>396.35</v>
      </c>
      <c r="AA146" s="8">
        <v>0</v>
      </c>
      <c r="AB146" s="8">
        <v>404.27300000000002</v>
      </c>
      <c r="AC146" s="8">
        <v>0</v>
      </c>
      <c r="AD146" s="8">
        <v>17.88</v>
      </c>
      <c r="AE146" s="8">
        <v>10.597</v>
      </c>
      <c r="AF146" s="8">
        <v>1148.944</v>
      </c>
      <c r="AG146" s="8">
        <v>0</v>
      </c>
      <c r="AH146" s="8">
        <v>47.567</v>
      </c>
      <c r="AI146" s="8">
        <v>2303.7869999999998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30.053999999999998</v>
      </c>
      <c r="AQ146" s="8">
        <v>0</v>
      </c>
      <c r="AR146" s="8">
        <v>0</v>
      </c>
      <c r="AS146" s="8">
        <v>0</v>
      </c>
      <c r="AT146" s="8">
        <v>1.0940000000000001</v>
      </c>
      <c r="AU146" s="8">
        <v>0</v>
      </c>
      <c r="AV146" s="8">
        <v>19.023</v>
      </c>
      <c r="AW146" s="8">
        <v>0</v>
      </c>
      <c r="AX146" s="8">
        <v>0</v>
      </c>
      <c r="AY146" s="8">
        <v>0</v>
      </c>
      <c r="AZ146" s="8">
        <v>28.986000000000001</v>
      </c>
      <c r="BA146" s="8">
        <v>0</v>
      </c>
      <c r="BB146" s="8">
        <v>0</v>
      </c>
      <c r="BC146" s="8">
        <v>15.324</v>
      </c>
      <c r="BD146" s="8">
        <v>11.711</v>
      </c>
      <c r="BE146" s="8">
        <v>0</v>
      </c>
      <c r="BF146" s="8">
        <v>4.0609999999999999</v>
      </c>
      <c r="BG146" s="8">
        <v>0</v>
      </c>
      <c r="BH146" s="8">
        <v>0</v>
      </c>
      <c r="BI146" s="8">
        <v>4.0460000000000003</v>
      </c>
      <c r="BL146" s="22"/>
    </row>
    <row r="147" spans="1:64" ht="15.75">
      <c r="A147" s="22"/>
      <c r="B147" s="7" t="s">
        <v>281</v>
      </c>
      <c r="C147" s="7" t="s">
        <v>282</v>
      </c>
      <c r="D147" s="8">
        <v>6</v>
      </c>
      <c r="E147" s="8">
        <v>6</v>
      </c>
      <c r="F147" s="8">
        <v>-350.762</v>
      </c>
      <c r="G147" s="8">
        <v>-25.324000000000002</v>
      </c>
      <c r="H147" s="8">
        <v>288.88799999999998</v>
      </c>
      <c r="I147" s="8">
        <v>0</v>
      </c>
      <c r="J147" s="8">
        <v>-7.4950000000000001</v>
      </c>
      <c r="K147" s="8">
        <v>232.30600000000001</v>
      </c>
      <c r="L147" s="8">
        <v>0</v>
      </c>
      <c r="M147" s="8">
        <v>19.013999999999999</v>
      </c>
      <c r="N147" s="8">
        <v>170.428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-7.8410000000000002</v>
      </c>
      <c r="U147" s="8">
        <v>0</v>
      </c>
      <c r="V147" s="8">
        <v>0</v>
      </c>
      <c r="W147" s="8">
        <v>-5.48</v>
      </c>
      <c r="X147" s="8">
        <v>-7.99</v>
      </c>
      <c r="Y147" s="8">
        <v>0</v>
      </c>
      <c r="Z147" s="8">
        <v>-75.783000000000001</v>
      </c>
      <c r="AA147" s="8">
        <v>0</v>
      </c>
      <c r="AB147" s="8">
        <v>-77.692999999999998</v>
      </c>
      <c r="AC147" s="8">
        <v>0</v>
      </c>
      <c r="AD147" s="8">
        <v>-3.4180000000000001</v>
      </c>
      <c r="AE147" s="8">
        <v>-2.04</v>
      </c>
      <c r="AF147" s="8">
        <v>-60.832999999999998</v>
      </c>
      <c r="AG147" s="8">
        <v>0</v>
      </c>
      <c r="AH147" s="8">
        <v>-9.1560000000000006</v>
      </c>
      <c r="AI147" s="8">
        <v>-440.43099999999998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-5.77</v>
      </c>
      <c r="AQ147" s="8">
        <v>0</v>
      </c>
      <c r="AR147" s="8">
        <v>0</v>
      </c>
      <c r="AS147" s="8">
        <v>0</v>
      </c>
      <c r="AT147" s="8">
        <v>-0.21</v>
      </c>
      <c r="AU147" s="8">
        <v>0</v>
      </c>
      <c r="AV147" s="8">
        <v>-3.665</v>
      </c>
      <c r="AW147" s="8">
        <v>0</v>
      </c>
      <c r="AX147" s="8">
        <v>0</v>
      </c>
      <c r="AY147" s="8">
        <v>0</v>
      </c>
      <c r="AZ147" s="8">
        <v>-5.58</v>
      </c>
      <c r="BA147" s="8">
        <v>0</v>
      </c>
      <c r="BB147" s="8">
        <v>0</v>
      </c>
      <c r="BC147" s="8">
        <v>-2.9430000000000001</v>
      </c>
      <c r="BD147" s="8">
        <v>-2.2549999999999999</v>
      </c>
      <c r="BE147" s="8">
        <v>0</v>
      </c>
      <c r="BF147" s="8">
        <v>-0.78</v>
      </c>
      <c r="BG147" s="8">
        <v>0</v>
      </c>
      <c r="BH147" s="8">
        <v>0</v>
      </c>
      <c r="BI147" s="8">
        <v>-0.77800000000000002</v>
      </c>
      <c r="BL147" s="22"/>
    </row>
    <row r="148" spans="1:64" ht="15.75">
      <c r="A148" s="22"/>
      <c r="B148" s="7" t="s">
        <v>283</v>
      </c>
      <c r="C148" s="7" t="s">
        <v>284</v>
      </c>
      <c r="D148" s="8">
        <v>4</v>
      </c>
      <c r="E148" s="8">
        <v>4</v>
      </c>
      <c r="F148" s="8">
        <v>4657.866</v>
      </c>
      <c r="G148" s="8">
        <v>608.34500000000003</v>
      </c>
      <c r="H148" s="8">
        <v>-449.23099999999999</v>
      </c>
      <c r="I148" s="8">
        <v>0</v>
      </c>
      <c r="J148" s="8">
        <v>-34.143999999999998</v>
      </c>
      <c r="K148" s="8">
        <v>-266.565</v>
      </c>
      <c r="L148" s="8">
        <v>0</v>
      </c>
      <c r="M148" s="8">
        <v>11130.607</v>
      </c>
      <c r="N148" s="8">
        <v>822.89800000000002</v>
      </c>
      <c r="O148" s="8">
        <v>0</v>
      </c>
      <c r="P148" s="8">
        <v>22.326000000000001</v>
      </c>
      <c r="Q148" s="8">
        <v>0</v>
      </c>
      <c r="R148" s="8">
        <v>7.4089999999999998</v>
      </c>
      <c r="S148" s="8">
        <v>0</v>
      </c>
      <c r="T148" s="8">
        <v>198.22399999999999</v>
      </c>
      <c r="U148" s="8">
        <v>0</v>
      </c>
      <c r="V148" s="8">
        <v>0</v>
      </c>
      <c r="W148" s="8">
        <v>-41.682000000000002</v>
      </c>
      <c r="X148" s="8">
        <v>37.401000000000003</v>
      </c>
      <c r="Y148" s="8">
        <v>-102.45</v>
      </c>
      <c r="Z148" s="8">
        <v>2859.6329999999998</v>
      </c>
      <c r="AA148" s="8">
        <v>5.5389999999999997</v>
      </c>
      <c r="AB148" s="8">
        <v>-80.575000000000003</v>
      </c>
      <c r="AC148" s="8">
        <v>588.49099999999999</v>
      </c>
      <c r="AD148" s="8">
        <v>153.93899999999999</v>
      </c>
      <c r="AE148" s="8">
        <v>22.129000000000001</v>
      </c>
      <c r="AF148" s="8">
        <v>9183.7019999999993</v>
      </c>
      <c r="AG148" s="8">
        <v>12935.050999999999</v>
      </c>
      <c r="AH148" s="8">
        <v>234.232</v>
      </c>
      <c r="AI148" s="8">
        <v>22229.914000000001</v>
      </c>
      <c r="AJ148" s="8">
        <v>23173.528999999999</v>
      </c>
      <c r="AK148" s="8">
        <v>28.280999999999999</v>
      </c>
      <c r="AL148" s="8">
        <v>-3008.86</v>
      </c>
      <c r="AM148" s="8">
        <v>-1536.277</v>
      </c>
      <c r="AN148" s="8">
        <v>0</v>
      </c>
      <c r="AO148" s="8">
        <v>-1013.123</v>
      </c>
      <c r="AP148" s="8">
        <v>228.04400000000001</v>
      </c>
      <c r="AQ148" s="8">
        <v>0</v>
      </c>
      <c r="AR148" s="8">
        <v>5140.1769999999997</v>
      </c>
      <c r="AS148" s="8">
        <v>0</v>
      </c>
      <c r="AT148" s="8">
        <v>1.073</v>
      </c>
      <c r="AU148" s="8">
        <v>0</v>
      </c>
      <c r="AV148" s="8">
        <v>-11.065</v>
      </c>
      <c r="AW148" s="8">
        <v>0</v>
      </c>
      <c r="AX148" s="8">
        <v>0</v>
      </c>
      <c r="AY148" s="8">
        <v>-148.209</v>
      </c>
      <c r="AZ148" s="8">
        <v>-40.517000000000003</v>
      </c>
      <c r="BA148" s="8">
        <v>0</v>
      </c>
      <c r="BB148" s="8">
        <v>-113.246</v>
      </c>
      <c r="BC148" s="8">
        <v>105.34</v>
      </c>
      <c r="BD148" s="8">
        <v>-16.37</v>
      </c>
      <c r="BE148" s="8">
        <v>0</v>
      </c>
      <c r="BF148" s="8">
        <v>30.498999999999999</v>
      </c>
      <c r="BG148" s="8">
        <v>0</v>
      </c>
      <c r="BH148" s="8">
        <v>7.117</v>
      </c>
      <c r="BI148" s="8">
        <v>-5.6509999999999998</v>
      </c>
      <c r="BL148" s="22"/>
    </row>
    <row r="149" spans="1:64" ht="15.75">
      <c r="A149" s="22"/>
      <c r="B149" s="7" t="s">
        <v>285</v>
      </c>
      <c r="C149" s="7" t="s">
        <v>286</v>
      </c>
      <c r="D149" s="8">
        <v>6</v>
      </c>
      <c r="E149" s="8">
        <v>6</v>
      </c>
      <c r="F149" s="8">
        <v>5276.88</v>
      </c>
      <c r="G149" s="8">
        <v>806.62</v>
      </c>
      <c r="H149" s="8">
        <v>0</v>
      </c>
      <c r="I149" s="8">
        <v>0</v>
      </c>
      <c r="J149" s="8">
        <v>22.341000000000001</v>
      </c>
      <c r="K149" s="8">
        <v>0</v>
      </c>
      <c r="L149" s="8">
        <v>0</v>
      </c>
      <c r="M149" s="8">
        <v>12228.989</v>
      </c>
      <c r="N149" s="8">
        <v>288.87400000000002</v>
      </c>
      <c r="O149" s="8">
        <v>0</v>
      </c>
      <c r="P149" s="8">
        <v>137.78399999999999</v>
      </c>
      <c r="Q149" s="8">
        <v>0</v>
      </c>
      <c r="R149" s="8">
        <v>24.823</v>
      </c>
      <c r="S149" s="8">
        <v>0</v>
      </c>
      <c r="T149" s="8">
        <v>259.83100000000002</v>
      </c>
      <c r="U149" s="8">
        <v>0</v>
      </c>
      <c r="V149" s="8">
        <v>0</v>
      </c>
      <c r="W149" s="8">
        <v>0</v>
      </c>
      <c r="X149" s="8">
        <v>100.22799999999999</v>
      </c>
      <c r="Y149" s="8">
        <v>-70.72</v>
      </c>
      <c r="Z149" s="8">
        <v>2825.902</v>
      </c>
      <c r="AA149" s="8">
        <v>190.65700000000001</v>
      </c>
      <c r="AB149" s="8">
        <v>499.05599999999998</v>
      </c>
      <c r="AC149" s="8">
        <v>2186.0459999999998</v>
      </c>
      <c r="AD149" s="8">
        <v>181.779</v>
      </c>
      <c r="AE149" s="8">
        <v>244.05799999999999</v>
      </c>
      <c r="AF149" s="8">
        <v>8076.7730000000001</v>
      </c>
      <c r="AG149" s="8">
        <v>7949.4610000000002</v>
      </c>
      <c r="AH149" s="8">
        <v>1996.145</v>
      </c>
      <c r="AI149" s="8">
        <v>20589.268</v>
      </c>
      <c r="AJ149" s="8">
        <v>11500.59</v>
      </c>
      <c r="AK149" s="8">
        <v>988.50599999999997</v>
      </c>
      <c r="AL149" s="8">
        <v>100999.321</v>
      </c>
      <c r="AM149" s="8">
        <v>51568.671000000002</v>
      </c>
      <c r="AN149" s="8">
        <v>0</v>
      </c>
      <c r="AO149" s="8">
        <v>34007.792999999998</v>
      </c>
      <c r="AP149" s="8">
        <v>273.51</v>
      </c>
      <c r="AQ149" s="8">
        <v>0</v>
      </c>
      <c r="AR149" s="8">
        <v>3316.8679999999999</v>
      </c>
      <c r="AS149" s="8">
        <v>0</v>
      </c>
      <c r="AT149" s="8">
        <v>2.633</v>
      </c>
      <c r="AU149" s="8">
        <v>0</v>
      </c>
      <c r="AV149" s="8">
        <v>15.645</v>
      </c>
      <c r="AW149" s="8">
        <v>0</v>
      </c>
      <c r="AX149" s="8">
        <v>0</v>
      </c>
      <c r="AY149" s="8">
        <v>-102.306</v>
      </c>
      <c r="AZ149" s="8">
        <v>0</v>
      </c>
      <c r="BA149" s="8">
        <v>0</v>
      </c>
      <c r="BB149" s="8">
        <v>-78.173000000000002</v>
      </c>
      <c r="BC149" s="8">
        <v>128.41499999999999</v>
      </c>
      <c r="BD149" s="8">
        <v>0</v>
      </c>
      <c r="BE149" s="8">
        <v>0</v>
      </c>
      <c r="BF149" s="8">
        <v>36.695999999999998</v>
      </c>
      <c r="BG149" s="8">
        <v>0</v>
      </c>
      <c r="BH149" s="8">
        <v>476.32900000000001</v>
      </c>
      <c r="BI149" s="8">
        <v>0</v>
      </c>
      <c r="BL149" s="22"/>
    </row>
    <row r="150" spans="1:64" ht="15.75">
      <c r="A150" s="22"/>
      <c r="B150" s="7" t="s">
        <v>287</v>
      </c>
      <c r="C150" s="7" t="s">
        <v>288</v>
      </c>
      <c r="D150" s="8">
        <v>6</v>
      </c>
      <c r="E150" s="8">
        <v>6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L150" s="22"/>
    </row>
    <row r="151" spans="1:64" ht="15.75">
      <c r="A151" s="22"/>
      <c r="B151" s="7" t="s">
        <v>289</v>
      </c>
      <c r="C151" s="7" t="s">
        <v>290</v>
      </c>
      <c r="D151" s="8">
        <v>6</v>
      </c>
      <c r="E151" s="8">
        <v>6</v>
      </c>
      <c r="F151" s="8">
        <v>-135.828</v>
      </c>
      <c r="G151" s="8">
        <v>6.9509999999999996</v>
      </c>
      <c r="H151" s="8">
        <v>-35.938000000000002</v>
      </c>
      <c r="I151" s="8">
        <v>0</v>
      </c>
      <c r="J151" s="8">
        <v>1.1659999999999999</v>
      </c>
      <c r="K151" s="8">
        <v>5.173</v>
      </c>
      <c r="L151" s="8">
        <v>0</v>
      </c>
      <c r="M151" s="8">
        <v>-134.67599999999999</v>
      </c>
      <c r="N151" s="8">
        <v>-20.649000000000001</v>
      </c>
      <c r="O151" s="8">
        <v>0</v>
      </c>
      <c r="P151" s="8">
        <v>0</v>
      </c>
      <c r="Q151" s="8">
        <v>0</v>
      </c>
      <c r="R151" s="8">
        <v>9.7539999999999996</v>
      </c>
      <c r="S151" s="8">
        <v>12.664999999999999</v>
      </c>
      <c r="T151" s="8">
        <v>3.22</v>
      </c>
      <c r="U151" s="8">
        <v>0</v>
      </c>
      <c r="V151" s="8">
        <v>0</v>
      </c>
      <c r="W151" s="8">
        <v>-0.05</v>
      </c>
      <c r="X151" s="8">
        <v>-1.145</v>
      </c>
      <c r="Y151" s="8">
        <v>0</v>
      </c>
      <c r="Z151" s="8">
        <v>-43.015999999999998</v>
      </c>
      <c r="AA151" s="8">
        <v>150.55500000000001</v>
      </c>
      <c r="AB151" s="8">
        <v>21.550999999999998</v>
      </c>
      <c r="AC151" s="8">
        <v>0</v>
      </c>
      <c r="AD151" s="8">
        <v>-2.6120000000000001</v>
      </c>
      <c r="AE151" s="8">
        <v>-16.486999999999998</v>
      </c>
      <c r="AF151" s="8">
        <v>-436.58</v>
      </c>
      <c r="AG151" s="8">
        <v>0.378</v>
      </c>
      <c r="AH151" s="8">
        <v>-107.858</v>
      </c>
      <c r="AI151" s="8">
        <v>-548.49099999999999</v>
      </c>
      <c r="AJ151" s="8">
        <v>1E-3</v>
      </c>
      <c r="AK151" s="8">
        <v>697.34400000000005</v>
      </c>
      <c r="AL151" s="8">
        <v>0</v>
      </c>
      <c r="AM151" s="8">
        <v>0</v>
      </c>
      <c r="AN151" s="8">
        <v>0</v>
      </c>
      <c r="AO151" s="8">
        <v>0</v>
      </c>
      <c r="AP151" s="8">
        <v>2.21</v>
      </c>
      <c r="AQ151" s="8">
        <v>0</v>
      </c>
      <c r="AR151" s="8">
        <v>5.5E-2</v>
      </c>
      <c r="AS151" s="8">
        <v>0</v>
      </c>
      <c r="AT151" s="8">
        <v>1.6E-2</v>
      </c>
      <c r="AU151" s="8">
        <v>0</v>
      </c>
      <c r="AV151" s="8">
        <v>3.0000000000000001E-3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1.0269999999999999</v>
      </c>
      <c r="BD151" s="8">
        <v>0</v>
      </c>
      <c r="BE151" s="8">
        <v>0</v>
      </c>
      <c r="BF151" s="8">
        <v>0.30399999999999999</v>
      </c>
      <c r="BG151" s="8">
        <v>0</v>
      </c>
      <c r="BH151" s="8">
        <v>423.14</v>
      </c>
      <c r="BI151" s="8">
        <v>0</v>
      </c>
      <c r="BL151" s="22"/>
    </row>
    <row r="152" spans="1:64" ht="15.75">
      <c r="A152" s="22"/>
      <c r="B152" s="7" t="s">
        <v>291</v>
      </c>
      <c r="C152" s="7" t="s">
        <v>292</v>
      </c>
      <c r="D152" s="8">
        <v>6</v>
      </c>
      <c r="E152" s="8">
        <v>6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L152" s="22"/>
    </row>
    <row r="153" spans="1:64" ht="15.75">
      <c r="A153" s="22"/>
      <c r="B153" s="7" t="s">
        <v>293</v>
      </c>
      <c r="C153" s="7" t="s">
        <v>294</v>
      </c>
      <c r="D153" s="8">
        <v>4</v>
      </c>
      <c r="E153" s="8">
        <v>4</v>
      </c>
      <c r="F153" s="8">
        <v>8170.8890000000001</v>
      </c>
      <c r="G153" s="8">
        <v>1570.3579999999999</v>
      </c>
      <c r="H153" s="8">
        <v>0</v>
      </c>
      <c r="I153" s="8">
        <v>0</v>
      </c>
      <c r="J153" s="8">
        <v>32.960999999999999</v>
      </c>
      <c r="K153" s="8">
        <v>0</v>
      </c>
      <c r="L153" s="8">
        <v>0</v>
      </c>
      <c r="M153" s="8">
        <v>18934.684000000001</v>
      </c>
      <c r="N153" s="8">
        <v>820.96299999999997</v>
      </c>
      <c r="O153" s="8">
        <v>0</v>
      </c>
      <c r="P153" s="8">
        <v>0</v>
      </c>
      <c r="Q153" s="8">
        <v>0.32900000000000001</v>
      </c>
      <c r="R153" s="8">
        <v>0</v>
      </c>
      <c r="S153" s="8">
        <v>0</v>
      </c>
      <c r="T153" s="8">
        <v>519.255</v>
      </c>
      <c r="U153" s="8">
        <v>0</v>
      </c>
      <c r="V153" s="8">
        <v>0</v>
      </c>
      <c r="W153" s="8">
        <v>0</v>
      </c>
      <c r="X153" s="8">
        <v>156.58799999999999</v>
      </c>
      <c r="Y153" s="8">
        <v>0</v>
      </c>
      <c r="Z153" s="8">
        <v>4295.7449999999999</v>
      </c>
      <c r="AA153" s="8">
        <v>0</v>
      </c>
      <c r="AB153" s="8">
        <v>565.78599999999994</v>
      </c>
      <c r="AC153" s="8">
        <v>0</v>
      </c>
      <c r="AD153" s="8">
        <v>297.81200000000001</v>
      </c>
      <c r="AE153" s="8">
        <v>0</v>
      </c>
      <c r="AF153" s="8">
        <v>12598.244000000001</v>
      </c>
      <c r="AG153" s="8">
        <v>12126.892</v>
      </c>
      <c r="AH153" s="8">
        <v>0</v>
      </c>
      <c r="AI153" s="8">
        <v>31923.596000000001</v>
      </c>
      <c r="AJ153" s="8">
        <v>18938.064999999999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414.36900000000003</v>
      </c>
      <c r="AQ153" s="8">
        <v>0</v>
      </c>
      <c r="AR153" s="8">
        <v>4968.1509999999998</v>
      </c>
      <c r="AS153" s="8">
        <v>0</v>
      </c>
      <c r="AT153" s="8">
        <v>4.8899999999999997</v>
      </c>
      <c r="AU153" s="8">
        <v>0</v>
      </c>
      <c r="AV153" s="8">
        <v>35.566000000000003</v>
      </c>
      <c r="AW153" s="8">
        <v>0</v>
      </c>
      <c r="AX153" s="8">
        <v>0</v>
      </c>
      <c r="AY153" s="8">
        <v>0</v>
      </c>
      <c r="AZ153" s="8">
        <v>230.76599999999999</v>
      </c>
      <c r="BA153" s="8">
        <v>8043.0749999999998</v>
      </c>
      <c r="BB153" s="8">
        <v>0</v>
      </c>
      <c r="BC153" s="8">
        <v>196.45599999999999</v>
      </c>
      <c r="BD153" s="8">
        <v>0</v>
      </c>
      <c r="BE153" s="8">
        <v>10516.214</v>
      </c>
      <c r="BF153" s="8">
        <v>55.677999999999997</v>
      </c>
      <c r="BG153" s="8">
        <v>3601.2829999999999</v>
      </c>
      <c r="BH153" s="8">
        <v>0</v>
      </c>
      <c r="BI153" s="8">
        <v>0</v>
      </c>
      <c r="BL153" s="22"/>
    </row>
    <row r="154" spans="1:64" ht="15.75">
      <c r="A154" s="22"/>
      <c r="B154" s="7" t="s">
        <v>295</v>
      </c>
      <c r="C154" s="7" t="s">
        <v>296</v>
      </c>
      <c r="D154" s="8">
        <v>4</v>
      </c>
      <c r="E154" s="8">
        <v>4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L154" s="22"/>
    </row>
    <row r="155" spans="1:64" ht="15.75">
      <c r="A155" s="22"/>
      <c r="B155" s="7" t="s">
        <v>297</v>
      </c>
      <c r="C155" s="7" t="s">
        <v>298</v>
      </c>
      <c r="D155" s="8">
        <v>4</v>
      </c>
      <c r="E155" s="8">
        <v>4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L155" s="22"/>
    </row>
    <row r="156" spans="1:64" ht="15.75">
      <c r="A156" s="22"/>
      <c r="B156" s="7" t="s">
        <v>299</v>
      </c>
      <c r="C156" s="7" t="s">
        <v>300</v>
      </c>
      <c r="D156" s="8">
        <v>4</v>
      </c>
      <c r="E156" s="8">
        <v>4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L156" s="22"/>
    </row>
    <row r="157" spans="1:64" ht="15.75">
      <c r="A157" s="22"/>
      <c r="B157" s="7" t="s">
        <v>301</v>
      </c>
      <c r="C157" s="7" t="s">
        <v>302</v>
      </c>
      <c r="D157" s="8">
        <v>4</v>
      </c>
      <c r="E157" s="8">
        <v>4</v>
      </c>
      <c r="F157" s="8">
        <v>-0.57899999999999996</v>
      </c>
      <c r="G157" s="8">
        <v>-0.111</v>
      </c>
      <c r="H157" s="8">
        <v>0</v>
      </c>
      <c r="I157" s="8">
        <v>0</v>
      </c>
      <c r="J157" s="8">
        <v>-2E-3</v>
      </c>
      <c r="K157" s="8">
        <v>0</v>
      </c>
      <c r="L157" s="8">
        <v>0</v>
      </c>
      <c r="M157" s="8">
        <v>-1.345</v>
      </c>
      <c r="N157" s="8">
        <v>-5.8000000000000003E-2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-3.6999999999999998E-2</v>
      </c>
      <c r="U157" s="8">
        <v>0</v>
      </c>
      <c r="V157" s="8">
        <v>0</v>
      </c>
      <c r="W157" s="8">
        <v>0</v>
      </c>
      <c r="X157" s="8">
        <v>-1.0999999999999999E-2</v>
      </c>
      <c r="Y157" s="8">
        <v>0</v>
      </c>
      <c r="Z157" s="8">
        <v>-0.30499999999999999</v>
      </c>
      <c r="AA157" s="8">
        <v>0</v>
      </c>
      <c r="AB157" s="8">
        <v>-4.1000000000000002E-2</v>
      </c>
      <c r="AC157" s="8">
        <v>0</v>
      </c>
      <c r="AD157" s="8">
        <v>-2.1000000000000001E-2</v>
      </c>
      <c r="AE157" s="8">
        <v>0</v>
      </c>
      <c r="AF157" s="8">
        <v>-0.89500000000000002</v>
      </c>
      <c r="AG157" s="8">
        <v>-0.86099999999999999</v>
      </c>
      <c r="AH157" s="8">
        <v>0</v>
      </c>
      <c r="AI157" s="8">
        <v>-2.2669999999999999</v>
      </c>
      <c r="AJ157" s="8">
        <v>-1.345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-3.1E-2</v>
      </c>
      <c r="AQ157" s="8">
        <v>0</v>
      </c>
      <c r="AR157" s="8">
        <v>-0.35299999999999998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-1.6E-2</v>
      </c>
      <c r="BA157" s="8">
        <v>-0.57199999999999995</v>
      </c>
      <c r="BB157" s="8">
        <v>0</v>
      </c>
      <c r="BC157" s="8">
        <v>-1.4E-2</v>
      </c>
      <c r="BD157" s="8">
        <v>0</v>
      </c>
      <c r="BE157" s="8">
        <v>-0.747</v>
      </c>
      <c r="BF157" s="8">
        <v>-3.0000000000000001E-3</v>
      </c>
      <c r="BG157" s="8">
        <v>-0.255</v>
      </c>
      <c r="BH157" s="8">
        <v>0</v>
      </c>
      <c r="BI157" s="8">
        <v>0</v>
      </c>
      <c r="BL157" s="22"/>
    </row>
    <row r="158" spans="1:64" ht="15.75">
      <c r="A158" s="22"/>
      <c r="B158" s="7" t="s">
        <v>303</v>
      </c>
      <c r="C158" s="7" t="s">
        <v>304</v>
      </c>
      <c r="D158" s="8">
        <v>4</v>
      </c>
      <c r="E158" s="8">
        <v>4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L158" s="22"/>
    </row>
    <row r="159" spans="1:64" ht="15.75">
      <c r="A159" s="22"/>
      <c r="B159" s="7" t="s">
        <v>305</v>
      </c>
      <c r="C159" s="7" t="s">
        <v>306</v>
      </c>
      <c r="D159" s="8">
        <v>4</v>
      </c>
      <c r="E159" s="8">
        <v>4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0</v>
      </c>
      <c r="BH159" s="8">
        <v>0</v>
      </c>
      <c r="BI159" s="8">
        <v>0</v>
      </c>
      <c r="BL159" s="22"/>
    </row>
    <row r="160" spans="1:64" ht="15.75">
      <c r="A160" s="22"/>
      <c r="B160" s="7" t="s">
        <v>307</v>
      </c>
      <c r="C160" s="7" t="s">
        <v>308</v>
      </c>
      <c r="D160" s="8">
        <v>4</v>
      </c>
      <c r="E160" s="8">
        <v>4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L160" s="22"/>
    </row>
    <row r="161" spans="1:64" ht="15.75">
      <c r="A161" s="22"/>
      <c r="B161" s="7" t="s">
        <v>293</v>
      </c>
      <c r="C161" s="7" t="s">
        <v>309</v>
      </c>
      <c r="D161" s="8">
        <v>6</v>
      </c>
      <c r="E161" s="8">
        <v>6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L161" s="22"/>
    </row>
    <row r="162" spans="1:64" ht="15.75">
      <c r="A162" s="22"/>
      <c r="B162" s="7" t="s">
        <v>310</v>
      </c>
      <c r="C162" s="7" t="s">
        <v>311</v>
      </c>
      <c r="D162" s="8">
        <v>6</v>
      </c>
      <c r="E162" s="8">
        <v>6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0</v>
      </c>
      <c r="BI162" s="8">
        <v>0</v>
      </c>
      <c r="BL162" s="22"/>
    </row>
    <row r="163" spans="1:64" ht="15.75">
      <c r="A163" s="22"/>
      <c r="B163" s="7" t="s">
        <v>312</v>
      </c>
      <c r="C163" s="7" t="s">
        <v>313</v>
      </c>
      <c r="D163" s="8">
        <v>6</v>
      </c>
      <c r="E163" s="8">
        <v>6</v>
      </c>
      <c r="F163" s="8">
        <v>147.53899999999999</v>
      </c>
      <c r="G163" s="8">
        <v>16.594999999999999</v>
      </c>
      <c r="H163" s="8">
        <v>10.532</v>
      </c>
      <c r="I163" s="8">
        <v>0</v>
      </c>
      <c r="J163" s="8">
        <v>1.9430000000000001</v>
      </c>
      <c r="K163" s="8">
        <v>7.4660000000000002</v>
      </c>
      <c r="L163" s="8">
        <v>0</v>
      </c>
      <c r="M163" s="8">
        <v>177.17</v>
      </c>
      <c r="N163" s="8">
        <v>22.155999999999999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5.2430000000000003</v>
      </c>
      <c r="U163" s="8">
        <v>0</v>
      </c>
      <c r="V163" s="8">
        <v>0</v>
      </c>
      <c r="W163" s="8">
        <v>1.502</v>
      </c>
      <c r="X163" s="8">
        <v>4.3869999999999996</v>
      </c>
      <c r="Y163" s="8">
        <v>0</v>
      </c>
      <c r="Z163" s="8">
        <v>61.354999999999997</v>
      </c>
      <c r="AA163" s="8">
        <v>0</v>
      </c>
      <c r="AB163" s="8">
        <v>12.996</v>
      </c>
      <c r="AC163" s="8">
        <v>0</v>
      </c>
      <c r="AD163" s="8">
        <v>3.2290000000000001</v>
      </c>
      <c r="AE163" s="8">
        <v>0</v>
      </c>
      <c r="AF163" s="8">
        <v>196.923</v>
      </c>
      <c r="AG163" s="8">
        <v>61.901000000000003</v>
      </c>
      <c r="AH163" s="8">
        <v>0</v>
      </c>
      <c r="AI163" s="8">
        <v>393.471</v>
      </c>
      <c r="AJ163" s="8">
        <v>89.552999999999997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3.2210000000000001</v>
      </c>
      <c r="AQ163" s="8">
        <v>0</v>
      </c>
      <c r="AR163" s="8">
        <v>25.827999999999999</v>
      </c>
      <c r="AS163" s="8">
        <v>0</v>
      </c>
      <c r="AT163" s="8">
        <v>2.4E-2</v>
      </c>
      <c r="AU163" s="8">
        <v>0</v>
      </c>
      <c r="AV163" s="8">
        <v>0.124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1.5489999999999999</v>
      </c>
      <c r="BD163" s="8">
        <v>0</v>
      </c>
      <c r="BE163" s="8">
        <v>0</v>
      </c>
      <c r="BF163" s="8">
        <v>0.47899999999999998</v>
      </c>
      <c r="BG163" s="8">
        <v>0</v>
      </c>
      <c r="BH163" s="8">
        <v>0</v>
      </c>
      <c r="BI163" s="8">
        <v>0</v>
      </c>
      <c r="BL163" s="22"/>
    </row>
    <row r="164" spans="1:64" ht="15.75">
      <c r="A164" s="22"/>
      <c r="B164" s="7" t="s">
        <v>297</v>
      </c>
      <c r="C164" s="7" t="s">
        <v>314</v>
      </c>
      <c r="D164" s="8">
        <v>6</v>
      </c>
      <c r="E164" s="8">
        <v>6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L164" s="22"/>
    </row>
    <row r="165" spans="1:64" ht="15.75">
      <c r="A165" s="22"/>
      <c r="B165" s="7" t="s">
        <v>299</v>
      </c>
      <c r="C165" s="7" t="s">
        <v>315</v>
      </c>
      <c r="D165" s="8">
        <v>6</v>
      </c>
      <c r="E165" s="8">
        <v>6</v>
      </c>
      <c r="F165" s="8">
        <v>1352.886</v>
      </c>
      <c r="G165" s="8">
        <v>118.203</v>
      </c>
      <c r="H165" s="8">
        <v>165.55500000000001</v>
      </c>
      <c r="I165" s="8">
        <v>3568.6289999999999</v>
      </c>
      <c r="J165" s="8">
        <v>28.704000000000001</v>
      </c>
      <c r="K165" s="8">
        <v>100.592</v>
      </c>
      <c r="L165" s="8">
        <v>0</v>
      </c>
      <c r="M165" s="8">
        <v>967.14200000000005</v>
      </c>
      <c r="N165" s="8">
        <v>446.995</v>
      </c>
      <c r="O165" s="8">
        <v>0</v>
      </c>
      <c r="P165" s="8">
        <v>0</v>
      </c>
      <c r="Q165" s="8">
        <v>5.173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16.853000000000002</v>
      </c>
      <c r="X165" s="8">
        <v>50.731000000000002</v>
      </c>
      <c r="Y165" s="8">
        <v>0</v>
      </c>
      <c r="Z165" s="8">
        <v>400.26600000000002</v>
      </c>
      <c r="AA165" s="8">
        <v>0</v>
      </c>
      <c r="AB165" s="8">
        <v>136.33699999999999</v>
      </c>
      <c r="AC165" s="8">
        <v>0</v>
      </c>
      <c r="AD165" s="8">
        <v>21.715</v>
      </c>
      <c r="AE165" s="8">
        <v>0</v>
      </c>
      <c r="AF165" s="8">
        <v>1302.1279999999999</v>
      </c>
      <c r="AG165" s="8">
        <v>0</v>
      </c>
      <c r="AH165" s="8">
        <v>0</v>
      </c>
      <c r="AI165" s="8">
        <v>2839.3910000000001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L165" s="22"/>
    </row>
    <row r="166" spans="1:64" ht="15.75">
      <c r="A166" s="22"/>
      <c r="B166" s="7" t="s">
        <v>301</v>
      </c>
      <c r="C166" s="7" t="s">
        <v>316</v>
      </c>
      <c r="D166" s="8">
        <v>6</v>
      </c>
      <c r="E166" s="8">
        <v>6</v>
      </c>
      <c r="F166" s="8">
        <v>627.88699999999994</v>
      </c>
      <c r="G166" s="8">
        <v>117.711</v>
      </c>
      <c r="H166" s="8">
        <v>14.273</v>
      </c>
      <c r="I166" s="8">
        <v>0</v>
      </c>
      <c r="J166" s="8">
        <v>3.528</v>
      </c>
      <c r="K166" s="8">
        <v>8.1509999999999998</v>
      </c>
      <c r="L166" s="8">
        <v>0</v>
      </c>
      <c r="M166" s="8">
        <v>1334.3140000000001</v>
      </c>
      <c r="N166" s="8">
        <v>85.201999999999998</v>
      </c>
      <c r="O166" s="8">
        <v>0</v>
      </c>
      <c r="P166" s="8">
        <v>0</v>
      </c>
      <c r="Q166" s="8">
        <v>2.1999999999999999E-2</v>
      </c>
      <c r="R166" s="8">
        <v>0</v>
      </c>
      <c r="S166" s="8">
        <v>0</v>
      </c>
      <c r="T166" s="8">
        <v>40.118000000000002</v>
      </c>
      <c r="U166" s="8">
        <v>0</v>
      </c>
      <c r="V166" s="8">
        <v>0</v>
      </c>
      <c r="W166" s="8">
        <v>2.0870000000000002</v>
      </c>
      <c r="X166" s="8">
        <v>13.731999999999999</v>
      </c>
      <c r="Y166" s="8">
        <v>0</v>
      </c>
      <c r="Z166" s="8">
        <v>307.404</v>
      </c>
      <c r="AA166" s="8">
        <v>0</v>
      </c>
      <c r="AB166" s="8">
        <v>56.015000000000001</v>
      </c>
      <c r="AC166" s="8">
        <v>0</v>
      </c>
      <c r="AD166" s="8">
        <v>22.067</v>
      </c>
      <c r="AE166" s="8">
        <v>0</v>
      </c>
      <c r="AF166" s="8">
        <v>884.16899999999998</v>
      </c>
      <c r="AG166" s="8">
        <v>841.43399999999997</v>
      </c>
      <c r="AH166" s="8">
        <v>0</v>
      </c>
      <c r="AI166" s="8">
        <v>2259.8290000000002</v>
      </c>
      <c r="AJ166" s="8">
        <v>1314.0329999999999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30.672999999999998</v>
      </c>
      <c r="AQ166" s="8">
        <v>0</v>
      </c>
      <c r="AR166" s="8">
        <v>344.71899999999999</v>
      </c>
      <c r="AS166" s="8">
        <v>0</v>
      </c>
      <c r="AT166" s="8">
        <v>0.376</v>
      </c>
      <c r="AU166" s="8">
        <v>0</v>
      </c>
      <c r="AV166" s="8">
        <v>3.3620000000000001</v>
      </c>
      <c r="AW166" s="8">
        <v>0</v>
      </c>
      <c r="AX166" s="8">
        <v>0</v>
      </c>
      <c r="AY166" s="8">
        <v>0</v>
      </c>
      <c r="AZ166" s="8">
        <v>18.468</v>
      </c>
      <c r="BA166" s="8">
        <v>558.07500000000005</v>
      </c>
      <c r="BB166" s="8">
        <v>0</v>
      </c>
      <c r="BC166" s="8">
        <v>14.55</v>
      </c>
      <c r="BD166" s="8">
        <v>1.1859999999999999</v>
      </c>
      <c r="BE166" s="8">
        <v>729.67600000000004</v>
      </c>
      <c r="BF166" s="8">
        <v>4.1280000000000001</v>
      </c>
      <c r="BG166" s="8">
        <v>249.87700000000001</v>
      </c>
      <c r="BH166" s="8">
        <v>0</v>
      </c>
      <c r="BI166" s="8">
        <v>0.42399999999999999</v>
      </c>
      <c r="BL166" s="22"/>
    </row>
    <row r="167" spans="1:64" ht="15.75">
      <c r="A167" s="22"/>
      <c r="B167" s="7" t="s">
        <v>317</v>
      </c>
      <c r="C167" s="7" t="s">
        <v>318</v>
      </c>
      <c r="D167" s="8">
        <v>6</v>
      </c>
      <c r="E167" s="8">
        <v>6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0</v>
      </c>
      <c r="BI167" s="8">
        <v>0</v>
      </c>
      <c r="BL167" s="22"/>
    </row>
    <row r="168" spans="1:64" ht="15.75">
      <c r="A168" s="22"/>
      <c r="B168" s="7" t="s">
        <v>319</v>
      </c>
      <c r="C168" s="7" t="s">
        <v>320</v>
      </c>
      <c r="D168" s="8">
        <v>6</v>
      </c>
      <c r="E168" s="8">
        <v>6</v>
      </c>
      <c r="F168" s="8">
        <v>-199.208</v>
      </c>
      <c r="G168" s="8">
        <v>-23.754999999999999</v>
      </c>
      <c r="H168" s="8">
        <v>-11.585000000000001</v>
      </c>
      <c r="I168" s="8">
        <v>0</v>
      </c>
      <c r="J168" s="8">
        <v>-2.29</v>
      </c>
      <c r="K168" s="8">
        <v>-8.2100000000000009</v>
      </c>
      <c r="L168" s="8">
        <v>0</v>
      </c>
      <c r="M168" s="8">
        <v>-278.30599999999998</v>
      </c>
      <c r="N168" s="8">
        <v>-26.343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-7.5410000000000004</v>
      </c>
      <c r="U168" s="8">
        <v>0</v>
      </c>
      <c r="V168" s="8">
        <v>0</v>
      </c>
      <c r="W168" s="8">
        <v>-1.651</v>
      </c>
      <c r="X168" s="8">
        <v>-5.508</v>
      </c>
      <c r="Y168" s="8">
        <v>0</v>
      </c>
      <c r="Z168" s="8">
        <v>-86.766000000000005</v>
      </c>
      <c r="AA168" s="8">
        <v>0</v>
      </c>
      <c r="AB168" s="8">
        <v>-17.698</v>
      </c>
      <c r="AC168" s="8">
        <v>0</v>
      </c>
      <c r="AD168" s="8">
        <v>-4.7919999999999998</v>
      </c>
      <c r="AE168" s="8">
        <v>0</v>
      </c>
      <c r="AF168" s="8">
        <v>-272.57600000000002</v>
      </c>
      <c r="AG168" s="8">
        <v>-122.321</v>
      </c>
      <c r="AH168" s="8">
        <v>0</v>
      </c>
      <c r="AI168" s="8">
        <v>-573.26099999999997</v>
      </c>
      <c r="AJ168" s="8">
        <v>-176.964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-5.41</v>
      </c>
      <c r="AQ168" s="8">
        <v>0</v>
      </c>
      <c r="AR168" s="8">
        <v>-51.037999999999997</v>
      </c>
      <c r="AS168" s="8">
        <v>0</v>
      </c>
      <c r="AT168" s="8">
        <v>-4.4999999999999998E-2</v>
      </c>
      <c r="AU168" s="8">
        <v>0</v>
      </c>
      <c r="AV168" s="8">
        <v>-0.23400000000000001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-2.58</v>
      </c>
      <c r="BD168" s="8">
        <v>0</v>
      </c>
      <c r="BE168" s="8">
        <v>0</v>
      </c>
      <c r="BF168" s="8">
        <v>-0.77800000000000002</v>
      </c>
      <c r="BG168" s="8">
        <v>0</v>
      </c>
      <c r="BH168" s="8">
        <v>0</v>
      </c>
      <c r="BI168" s="8">
        <v>0</v>
      </c>
      <c r="BL168" s="22"/>
    </row>
    <row r="169" spans="1:64" ht="15.75">
      <c r="A169" s="22"/>
      <c r="B169" s="7" t="s">
        <v>305</v>
      </c>
      <c r="C169" s="7" t="s">
        <v>321</v>
      </c>
      <c r="D169" s="8">
        <v>6</v>
      </c>
      <c r="E169" s="8">
        <v>6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  <c r="BF169" s="8">
        <v>0</v>
      </c>
      <c r="BG169" s="8">
        <v>0</v>
      </c>
      <c r="BH169" s="8">
        <v>0</v>
      </c>
      <c r="BI169" s="8">
        <v>0</v>
      </c>
      <c r="BL169" s="22"/>
    </row>
    <row r="170" spans="1:64" ht="15.75">
      <c r="A170" s="22"/>
      <c r="B170" s="7" t="s">
        <v>307</v>
      </c>
      <c r="C170" s="7" t="s">
        <v>322</v>
      </c>
      <c r="D170" s="8">
        <v>6</v>
      </c>
      <c r="E170" s="8">
        <v>6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0</v>
      </c>
      <c r="BG170" s="8">
        <v>0</v>
      </c>
      <c r="BH170" s="8">
        <v>0</v>
      </c>
      <c r="BI170" s="8">
        <v>0</v>
      </c>
      <c r="BL170" s="22"/>
    </row>
    <row r="171" spans="1:64" ht="15.75">
      <c r="A171" s="22"/>
      <c r="B171" s="7" t="s">
        <v>323</v>
      </c>
      <c r="C171" s="7" t="s">
        <v>324</v>
      </c>
      <c r="D171" s="8">
        <v>4</v>
      </c>
      <c r="E171" s="8">
        <v>4</v>
      </c>
      <c r="F171" s="8">
        <v>823.68200000000002</v>
      </c>
      <c r="G171" s="8">
        <v>19.103000000000002</v>
      </c>
      <c r="H171" s="8">
        <v>0</v>
      </c>
      <c r="I171" s="8">
        <v>0</v>
      </c>
      <c r="J171" s="8">
        <v>1.081</v>
      </c>
      <c r="K171" s="8">
        <v>0</v>
      </c>
      <c r="L171" s="8">
        <v>0</v>
      </c>
      <c r="M171" s="8">
        <v>1286.355</v>
      </c>
      <c r="N171" s="8">
        <v>447.61</v>
      </c>
      <c r="O171" s="8">
        <v>0</v>
      </c>
      <c r="P171" s="8">
        <v>0</v>
      </c>
      <c r="Q171" s="8">
        <v>1E-3</v>
      </c>
      <c r="R171" s="8">
        <v>0</v>
      </c>
      <c r="S171" s="8">
        <v>0</v>
      </c>
      <c r="T171" s="8">
        <v>5.7359999999999998</v>
      </c>
      <c r="U171" s="8">
        <v>0</v>
      </c>
      <c r="V171" s="8">
        <v>0</v>
      </c>
      <c r="W171" s="8">
        <v>0</v>
      </c>
      <c r="X171" s="8">
        <v>1.954</v>
      </c>
      <c r="Y171" s="8">
        <v>0</v>
      </c>
      <c r="Z171" s="8">
        <v>143.13800000000001</v>
      </c>
      <c r="AA171" s="8">
        <v>0</v>
      </c>
      <c r="AB171" s="8">
        <v>1.659</v>
      </c>
      <c r="AC171" s="8">
        <v>0</v>
      </c>
      <c r="AD171" s="8">
        <v>2.915</v>
      </c>
      <c r="AE171" s="8">
        <v>0</v>
      </c>
      <c r="AF171" s="8">
        <v>37.005000000000003</v>
      </c>
      <c r="AG171" s="8">
        <v>65.679000000000002</v>
      </c>
      <c r="AH171" s="8">
        <v>0</v>
      </c>
      <c r="AI171" s="8">
        <v>2374.3020000000001</v>
      </c>
      <c r="AJ171" s="8">
        <v>106.729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1.2150000000000001</v>
      </c>
      <c r="AQ171" s="8">
        <v>0</v>
      </c>
      <c r="AR171" s="8">
        <v>18.303000000000001</v>
      </c>
      <c r="AS171" s="8">
        <v>0</v>
      </c>
      <c r="AT171" s="8">
        <v>1.4E-2</v>
      </c>
      <c r="AU171" s="8">
        <v>0</v>
      </c>
      <c r="AV171" s="8">
        <v>0.105</v>
      </c>
      <c r="AW171" s="8">
        <v>0</v>
      </c>
      <c r="AX171" s="8">
        <v>0</v>
      </c>
      <c r="AY171" s="8">
        <v>0</v>
      </c>
      <c r="AZ171" s="8">
        <v>0.67700000000000005</v>
      </c>
      <c r="BA171" s="8">
        <v>23.58</v>
      </c>
      <c r="BB171" s="8">
        <v>0</v>
      </c>
      <c r="BC171" s="8">
        <v>0.57599999999999996</v>
      </c>
      <c r="BD171" s="8">
        <v>0</v>
      </c>
      <c r="BE171" s="8">
        <v>30.83</v>
      </c>
      <c r="BF171" s="8">
        <v>0.16300000000000001</v>
      </c>
      <c r="BG171" s="8">
        <v>10.558</v>
      </c>
      <c r="BH171" s="8">
        <v>0</v>
      </c>
      <c r="BI171" s="8">
        <v>0</v>
      </c>
      <c r="BL171" s="22"/>
    </row>
    <row r="172" spans="1:64" ht="15.75">
      <c r="A172" s="22"/>
      <c r="B172" s="7" t="s">
        <v>325</v>
      </c>
      <c r="C172" s="7" t="s">
        <v>326</v>
      </c>
      <c r="D172" s="8">
        <v>4</v>
      </c>
      <c r="E172" s="8">
        <v>4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0</v>
      </c>
      <c r="BI172" s="8">
        <v>0</v>
      </c>
      <c r="BL172" s="22"/>
    </row>
    <row r="173" spans="1:64" ht="15.75">
      <c r="A173" s="22"/>
      <c r="B173" s="7" t="s">
        <v>327</v>
      </c>
      <c r="C173" s="7" t="s">
        <v>328</v>
      </c>
      <c r="D173" s="8">
        <v>4</v>
      </c>
      <c r="E173" s="8">
        <v>4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L173" s="22"/>
    </row>
    <row r="174" spans="1:64" ht="15.75">
      <c r="A174" s="22"/>
      <c r="B174" s="7" t="s">
        <v>329</v>
      </c>
      <c r="C174" s="7" t="s">
        <v>330</v>
      </c>
      <c r="D174" s="8">
        <v>4</v>
      </c>
      <c r="E174" s="8">
        <v>4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L174" s="22"/>
    </row>
    <row r="175" spans="1:64" ht="15.75">
      <c r="A175" s="22"/>
      <c r="B175" s="7" t="s">
        <v>331</v>
      </c>
      <c r="C175" s="7" t="s">
        <v>332</v>
      </c>
      <c r="D175" s="8">
        <v>4</v>
      </c>
      <c r="E175" s="8">
        <v>4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8">
        <v>0</v>
      </c>
      <c r="BI175" s="8">
        <v>0</v>
      </c>
      <c r="BL175" s="22"/>
    </row>
    <row r="176" spans="1:64" ht="15.75">
      <c r="A176" s="22"/>
      <c r="B176" s="7" t="s">
        <v>333</v>
      </c>
      <c r="C176" s="7" t="s">
        <v>334</v>
      </c>
      <c r="D176" s="8">
        <v>4</v>
      </c>
      <c r="E176" s="8">
        <v>4</v>
      </c>
      <c r="F176" s="8">
        <v>-384.05700000000002</v>
      </c>
      <c r="G176" s="8">
        <v>-7.4909999999999997</v>
      </c>
      <c r="H176" s="8">
        <v>0</v>
      </c>
      <c r="I176" s="8">
        <v>0</v>
      </c>
      <c r="J176" s="8">
        <v>-0.50600000000000001</v>
      </c>
      <c r="K176" s="8">
        <v>0</v>
      </c>
      <c r="L176" s="8">
        <v>0</v>
      </c>
      <c r="M176" s="8">
        <v>-591.14300000000003</v>
      </c>
      <c r="N176" s="8">
        <v>-214.55699999999999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-2.1739999999999999</v>
      </c>
      <c r="U176" s="8">
        <v>0</v>
      </c>
      <c r="V176" s="8">
        <v>0</v>
      </c>
      <c r="W176" s="8">
        <v>0</v>
      </c>
      <c r="X176" s="8">
        <v>-0.77</v>
      </c>
      <c r="Y176" s="8">
        <v>0</v>
      </c>
      <c r="Z176" s="8">
        <v>-62.685000000000002</v>
      </c>
      <c r="AA176" s="8">
        <v>0</v>
      </c>
      <c r="AB176" s="8">
        <v>0</v>
      </c>
      <c r="AC176" s="8">
        <v>0</v>
      </c>
      <c r="AD176" s="8">
        <v>-1.048</v>
      </c>
      <c r="AE176" s="8">
        <v>0</v>
      </c>
      <c r="AF176" s="8">
        <v>-3.4000000000000002E-2</v>
      </c>
      <c r="AG176" s="8">
        <v>-15.558</v>
      </c>
      <c r="AH176" s="8">
        <v>0</v>
      </c>
      <c r="AI176" s="8">
        <v>-1112.8340000000001</v>
      </c>
      <c r="AJ176" s="8">
        <v>-26.446999999999999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-1.931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0</v>
      </c>
      <c r="BI176" s="8">
        <v>0</v>
      </c>
      <c r="BL176" s="22"/>
    </row>
    <row r="177" spans="1:64" ht="15.75">
      <c r="A177" s="22"/>
      <c r="B177" s="7" t="s">
        <v>335</v>
      </c>
      <c r="C177" s="7" t="s">
        <v>336</v>
      </c>
      <c r="D177" s="8">
        <v>4</v>
      </c>
      <c r="E177" s="8">
        <v>4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L177" s="22"/>
    </row>
    <row r="178" spans="1:64" ht="15.75">
      <c r="A178" s="22"/>
      <c r="B178" s="7" t="s">
        <v>337</v>
      </c>
      <c r="C178" s="7" t="s">
        <v>338</v>
      </c>
      <c r="D178" s="8">
        <v>4</v>
      </c>
      <c r="E178" s="8">
        <v>4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L178" s="22"/>
    </row>
    <row r="179" spans="1:64" ht="15.75">
      <c r="A179" s="22"/>
      <c r="B179" s="7" t="s">
        <v>339</v>
      </c>
      <c r="C179" s="7" t="s">
        <v>340</v>
      </c>
      <c r="D179" s="8">
        <v>4</v>
      </c>
      <c r="E179" s="8">
        <v>4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L179" s="22"/>
    </row>
    <row r="180" spans="1:64" ht="15.75">
      <c r="A180" s="22"/>
      <c r="B180" s="7" t="s">
        <v>341</v>
      </c>
      <c r="C180" s="7" t="s">
        <v>342</v>
      </c>
      <c r="D180" s="8">
        <v>4</v>
      </c>
      <c r="E180" s="8">
        <v>4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L180" s="22"/>
    </row>
    <row r="181" spans="1:64" ht="15.75">
      <c r="A181" s="22"/>
      <c r="B181" s="7" t="s">
        <v>323</v>
      </c>
      <c r="C181" s="7" t="s">
        <v>343</v>
      </c>
      <c r="D181" s="8">
        <v>6</v>
      </c>
      <c r="E181" s="8">
        <v>6</v>
      </c>
      <c r="F181" s="8">
        <v>2.1000000000000001E-2</v>
      </c>
      <c r="G181" s="8">
        <v>4.0000000000000001E-3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4.8000000000000001E-2</v>
      </c>
      <c r="N181" s="8">
        <v>2E-3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1E-3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1.0999999999999999E-2</v>
      </c>
      <c r="AA181" s="8">
        <v>0</v>
      </c>
      <c r="AB181" s="8">
        <v>1E-3</v>
      </c>
      <c r="AC181" s="8">
        <v>0</v>
      </c>
      <c r="AD181" s="8">
        <v>1E-3</v>
      </c>
      <c r="AE181" s="8">
        <v>0</v>
      </c>
      <c r="AF181" s="8">
        <v>3.2000000000000001E-2</v>
      </c>
      <c r="AG181" s="8">
        <v>3.1E-2</v>
      </c>
      <c r="AH181" s="8">
        <v>0</v>
      </c>
      <c r="AI181" s="8">
        <v>8.1000000000000003E-2</v>
      </c>
      <c r="AJ181" s="8">
        <v>4.8000000000000001E-2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1E-3</v>
      </c>
      <c r="AQ181" s="8">
        <v>0</v>
      </c>
      <c r="AR181" s="8">
        <v>1.2999999999999999E-2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1E-3</v>
      </c>
      <c r="BA181" s="8">
        <v>0.02</v>
      </c>
      <c r="BB181" s="8">
        <v>0</v>
      </c>
      <c r="BC181" s="8">
        <v>0</v>
      </c>
      <c r="BD181" s="8">
        <v>0</v>
      </c>
      <c r="BE181" s="8">
        <v>2.7E-2</v>
      </c>
      <c r="BF181" s="8">
        <v>0</v>
      </c>
      <c r="BG181" s="8">
        <v>8.9999999999999993E-3</v>
      </c>
      <c r="BH181" s="8">
        <v>0</v>
      </c>
      <c r="BI181" s="8">
        <v>0</v>
      </c>
      <c r="BL181" s="22"/>
    </row>
    <row r="182" spans="1:64" ht="15.75">
      <c r="A182" s="22"/>
      <c r="B182" s="7" t="s">
        <v>325</v>
      </c>
      <c r="C182" s="7" t="s">
        <v>344</v>
      </c>
      <c r="D182" s="8">
        <v>6</v>
      </c>
      <c r="E182" s="8">
        <v>6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8">
        <v>0</v>
      </c>
      <c r="BL182" s="22"/>
    </row>
    <row r="183" spans="1:64" ht="15.75">
      <c r="A183" s="22"/>
      <c r="B183" s="7" t="s">
        <v>327</v>
      </c>
      <c r="C183" s="7" t="s">
        <v>345</v>
      </c>
      <c r="D183" s="8">
        <v>6</v>
      </c>
      <c r="E183" s="8">
        <v>6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L183" s="22"/>
    </row>
    <row r="184" spans="1:64" ht="15.75">
      <c r="A184" s="22"/>
      <c r="B184" s="7" t="s">
        <v>329</v>
      </c>
      <c r="C184" s="7" t="s">
        <v>346</v>
      </c>
      <c r="D184" s="8">
        <v>6</v>
      </c>
      <c r="E184" s="8">
        <v>6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L184" s="22"/>
    </row>
    <row r="185" spans="1:64" ht="15.75">
      <c r="A185" s="22"/>
      <c r="B185" s="7" t="s">
        <v>331</v>
      </c>
      <c r="C185" s="7" t="s">
        <v>347</v>
      </c>
      <c r="D185" s="8">
        <v>6</v>
      </c>
      <c r="E185" s="8">
        <v>6</v>
      </c>
      <c r="F185" s="8">
        <v>92.947999999999993</v>
      </c>
      <c r="G185" s="8">
        <v>8.1210000000000004</v>
      </c>
      <c r="H185" s="8">
        <v>11.374000000000001</v>
      </c>
      <c r="I185" s="8">
        <v>0</v>
      </c>
      <c r="J185" s="8">
        <v>1.972</v>
      </c>
      <c r="K185" s="8">
        <v>6.9109999999999996</v>
      </c>
      <c r="L185" s="8">
        <v>0</v>
      </c>
      <c r="M185" s="8">
        <v>66.445999999999998</v>
      </c>
      <c r="N185" s="8">
        <v>30.71</v>
      </c>
      <c r="O185" s="8">
        <v>0</v>
      </c>
      <c r="P185" s="8">
        <v>0</v>
      </c>
      <c r="Q185" s="8">
        <v>0.35499999999999998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1.1579999999999999</v>
      </c>
      <c r="X185" s="8">
        <v>3.4849999999999999</v>
      </c>
      <c r="Y185" s="8">
        <v>0</v>
      </c>
      <c r="Z185" s="8">
        <v>27.5</v>
      </c>
      <c r="AA185" s="8">
        <v>0</v>
      </c>
      <c r="AB185" s="8">
        <v>9.3670000000000009</v>
      </c>
      <c r="AC185" s="8">
        <v>0</v>
      </c>
      <c r="AD185" s="8">
        <v>1.492</v>
      </c>
      <c r="AE185" s="8">
        <v>0</v>
      </c>
      <c r="AF185" s="8">
        <v>89.460999999999999</v>
      </c>
      <c r="AG185" s="8">
        <v>0</v>
      </c>
      <c r="AH185" s="8">
        <v>0</v>
      </c>
      <c r="AI185" s="8">
        <v>195.077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8">
        <v>0</v>
      </c>
      <c r="BG185" s="8">
        <v>0</v>
      </c>
      <c r="BH185" s="8">
        <v>0</v>
      </c>
      <c r="BI185" s="8">
        <v>0</v>
      </c>
      <c r="BL185" s="22"/>
    </row>
    <row r="186" spans="1:64" ht="15.75">
      <c r="A186" s="22"/>
      <c r="B186" s="7" t="s">
        <v>333</v>
      </c>
      <c r="C186" s="7" t="s">
        <v>348</v>
      </c>
      <c r="D186" s="8">
        <v>6</v>
      </c>
      <c r="E186" s="8">
        <v>6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L186" s="22"/>
    </row>
    <row r="187" spans="1:64" ht="15.75">
      <c r="A187" s="22"/>
      <c r="B187" s="7" t="s">
        <v>335</v>
      </c>
      <c r="C187" s="7" t="s">
        <v>349</v>
      </c>
      <c r="D187" s="8">
        <v>6</v>
      </c>
      <c r="E187" s="8">
        <v>6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L187" s="22"/>
    </row>
    <row r="188" spans="1:64" ht="15.75">
      <c r="A188" s="22"/>
      <c r="B188" s="7" t="s">
        <v>337</v>
      </c>
      <c r="C188" s="7" t="s">
        <v>350</v>
      </c>
      <c r="D188" s="8">
        <v>6</v>
      </c>
      <c r="E188" s="8">
        <v>6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L188" s="22"/>
    </row>
    <row r="189" spans="1:64" ht="15.75">
      <c r="A189" s="22"/>
      <c r="B189" s="7" t="s">
        <v>339</v>
      </c>
      <c r="C189" s="7" t="s">
        <v>351</v>
      </c>
      <c r="D189" s="8">
        <v>6</v>
      </c>
      <c r="E189" s="8">
        <v>6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0</v>
      </c>
      <c r="BF189" s="8">
        <v>0</v>
      </c>
      <c r="BG189" s="8">
        <v>0</v>
      </c>
      <c r="BH189" s="8">
        <v>0</v>
      </c>
      <c r="BI189" s="8">
        <v>0</v>
      </c>
      <c r="BL189" s="22"/>
    </row>
    <row r="190" spans="1:64" ht="15.75">
      <c r="A190" s="22"/>
      <c r="B190" s="7" t="s">
        <v>341</v>
      </c>
      <c r="C190" s="7" t="s">
        <v>352</v>
      </c>
      <c r="D190" s="8">
        <v>6</v>
      </c>
      <c r="E190" s="8">
        <v>6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0</v>
      </c>
      <c r="BL190" s="22"/>
    </row>
    <row r="191" spans="1:64" ht="15.75">
      <c r="A191" s="22"/>
      <c r="B191" s="7" t="s">
        <v>353</v>
      </c>
      <c r="C191" s="7" t="s">
        <v>354</v>
      </c>
      <c r="D191" s="8">
        <v>6</v>
      </c>
      <c r="E191" s="8">
        <v>6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8">
        <v>0</v>
      </c>
      <c r="BL191" s="22"/>
    </row>
    <row r="192" spans="1:64" ht="15.75">
      <c r="A192" s="22"/>
      <c r="B192" s="7" t="s">
        <v>355</v>
      </c>
      <c r="C192" s="7" t="s">
        <v>356</v>
      </c>
      <c r="D192" s="8">
        <v>6</v>
      </c>
      <c r="E192" s="8">
        <v>6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L192" s="22"/>
    </row>
    <row r="193" spans="1:64" ht="15.75">
      <c r="A193" s="22"/>
      <c r="B193" s="7" t="s">
        <v>357</v>
      </c>
      <c r="C193" s="7" t="s">
        <v>358</v>
      </c>
      <c r="D193" s="8">
        <v>6</v>
      </c>
      <c r="E193" s="8">
        <v>6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0</v>
      </c>
      <c r="BF193" s="8">
        <v>0</v>
      </c>
      <c r="BG193" s="8">
        <v>0</v>
      </c>
      <c r="BH193" s="8">
        <v>0</v>
      </c>
      <c r="BI193" s="8">
        <v>0</v>
      </c>
      <c r="BL193" s="22"/>
    </row>
    <row r="194" spans="1:64" ht="15.75">
      <c r="A194" s="22"/>
      <c r="B194" s="7" t="s">
        <v>359</v>
      </c>
      <c r="C194" s="7" t="s">
        <v>360</v>
      </c>
      <c r="D194" s="8">
        <v>6</v>
      </c>
      <c r="E194" s="8">
        <v>6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L194" s="22"/>
    </row>
    <row r="195" spans="1:64" ht="15.75">
      <c r="A195" s="22"/>
      <c r="B195" s="7" t="s">
        <v>361</v>
      </c>
      <c r="C195" s="7" t="s">
        <v>362</v>
      </c>
      <c r="D195" s="8">
        <v>6</v>
      </c>
      <c r="E195" s="8">
        <v>6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0</v>
      </c>
      <c r="AX195" s="8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  <c r="BD195" s="8">
        <v>0</v>
      </c>
      <c r="BE195" s="8">
        <v>0</v>
      </c>
      <c r="BF195" s="8">
        <v>0</v>
      </c>
      <c r="BG195" s="8">
        <v>0</v>
      </c>
      <c r="BH195" s="8">
        <v>0</v>
      </c>
      <c r="BI195" s="8">
        <v>0</v>
      </c>
      <c r="BL195" s="22"/>
    </row>
    <row r="196" spans="1:64" ht="15.75">
      <c r="A196" s="22"/>
      <c r="B196" s="7" t="s">
        <v>363</v>
      </c>
      <c r="C196" s="7" t="s">
        <v>364</v>
      </c>
      <c r="D196" s="8">
        <v>6</v>
      </c>
      <c r="E196" s="8">
        <v>6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0</v>
      </c>
      <c r="BG196" s="8">
        <v>0</v>
      </c>
      <c r="BH196" s="8">
        <v>0</v>
      </c>
      <c r="BI196" s="8">
        <v>0</v>
      </c>
      <c r="BL196" s="22"/>
    </row>
    <row r="197" spans="1:64" ht="15.75">
      <c r="A197" s="22"/>
      <c r="B197" s="7" t="s">
        <v>365</v>
      </c>
      <c r="C197" s="7" t="s">
        <v>366</v>
      </c>
      <c r="D197" s="8">
        <v>6</v>
      </c>
      <c r="E197" s="8">
        <v>6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0</v>
      </c>
      <c r="AW197" s="8">
        <v>0</v>
      </c>
      <c r="AX197" s="8">
        <v>0</v>
      </c>
      <c r="AY197" s="8">
        <v>0</v>
      </c>
      <c r="AZ197" s="8">
        <v>0</v>
      </c>
      <c r="BA197" s="8">
        <v>0</v>
      </c>
      <c r="BB197" s="8">
        <v>0</v>
      </c>
      <c r="BC197" s="8">
        <v>0</v>
      </c>
      <c r="BD197" s="8">
        <v>0</v>
      </c>
      <c r="BE197" s="8">
        <v>0</v>
      </c>
      <c r="BF197" s="8">
        <v>0</v>
      </c>
      <c r="BG197" s="8">
        <v>0</v>
      </c>
      <c r="BH197" s="8">
        <v>0</v>
      </c>
      <c r="BI197" s="8">
        <v>0</v>
      </c>
      <c r="BL197" s="22"/>
    </row>
    <row r="198" spans="1:64" ht="15.75">
      <c r="A198" s="22"/>
      <c r="B198" s="7" t="s">
        <v>367</v>
      </c>
      <c r="C198" s="7" t="s">
        <v>368</v>
      </c>
      <c r="D198" s="8">
        <v>6</v>
      </c>
      <c r="E198" s="8">
        <v>6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  <c r="BD198" s="8">
        <v>0</v>
      </c>
      <c r="BE198" s="8">
        <v>0</v>
      </c>
      <c r="BF198" s="8">
        <v>0</v>
      </c>
      <c r="BG198" s="8">
        <v>0</v>
      </c>
      <c r="BH198" s="8">
        <v>0</v>
      </c>
      <c r="BI198" s="8">
        <v>0</v>
      </c>
      <c r="BL198" s="22"/>
    </row>
    <row r="199" spans="1:64" ht="15.75">
      <c r="A199" s="22"/>
      <c r="B199" s="7" t="s">
        <v>369</v>
      </c>
      <c r="C199" s="7" t="s">
        <v>370</v>
      </c>
      <c r="D199" s="8">
        <v>6</v>
      </c>
      <c r="E199" s="8">
        <v>6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8">
        <v>0</v>
      </c>
      <c r="AZ199" s="8">
        <v>0</v>
      </c>
      <c r="BA199" s="8">
        <v>0</v>
      </c>
      <c r="BB199" s="8">
        <v>0</v>
      </c>
      <c r="BC199" s="8">
        <v>0</v>
      </c>
      <c r="BD199" s="8">
        <v>0</v>
      </c>
      <c r="BE199" s="8">
        <v>0</v>
      </c>
      <c r="BF199" s="8">
        <v>0</v>
      </c>
      <c r="BG199" s="8">
        <v>0</v>
      </c>
      <c r="BH199" s="8">
        <v>0</v>
      </c>
      <c r="BI199" s="8">
        <v>0</v>
      </c>
      <c r="BL199" s="22"/>
    </row>
    <row r="200" spans="1:64" ht="15.75">
      <c r="A200" s="22"/>
      <c r="B200" s="7" t="s">
        <v>371</v>
      </c>
      <c r="C200" s="7" t="s">
        <v>372</v>
      </c>
      <c r="D200" s="8">
        <v>6</v>
      </c>
      <c r="E200" s="8">
        <v>6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0</v>
      </c>
      <c r="BI200" s="8">
        <v>0</v>
      </c>
      <c r="BL200" s="22"/>
    </row>
    <row r="201" spans="1:64" ht="15.75">
      <c r="A201" s="22"/>
      <c r="B201" s="7" t="s">
        <v>373</v>
      </c>
      <c r="C201" s="7" t="s">
        <v>374</v>
      </c>
      <c r="D201" s="8">
        <v>3</v>
      </c>
      <c r="E201" s="8">
        <v>6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  <c r="BF201" s="8">
        <v>0</v>
      </c>
      <c r="BG201" s="8">
        <v>0</v>
      </c>
      <c r="BH201" s="8">
        <v>0</v>
      </c>
      <c r="BI201" s="8">
        <v>0</v>
      </c>
      <c r="BL201" s="22"/>
    </row>
    <row r="202" spans="1:64" ht="15.75">
      <c r="A202" s="22"/>
      <c r="B202" s="7" t="s">
        <v>375</v>
      </c>
      <c r="C202" s="7" t="s">
        <v>376</v>
      </c>
      <c r="D202" s="8">
        <v>6</v>
      </c>
      <c r="E202" s="8">
        <v>6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L202" s="22"/>
    </row>
    <row r="203" spans="1:64" ht="15.75">
      <c r="A203" s="22"/>
      <c r="B203" s="7" t="s">
        <v>377</v>
      </c>
      <c r="C203" s="7" t="s">
        <v>378</v>
      </c>
      <c r="D203" s="8">
        <v>6</v>
      </c>
      <c r="E203" s="8">
        <v>6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0</v>
      </c>
      <c r="BB203" s="8">
        <v>0</v>
      </c>
      <c r="BC203" s="8">
        <v>0</v>
      </c>
      <c r="BD203" s="8">
        <v>0</v>
      </c>
      <c r="BE203" s="8">
        <v>0</v>
      </c>
      <c r="BF203" s="8">
        <v>0</v>
      </c>
      <c r="BG203" s="8">
        <v>0</v>
      </c>
      <c r="BH203" s="8">
        <v>0</v>
      </c>
      <c r="BI203" s="8">
        <v>0</v>
      </c>
      <c r="BL203" s="22"/>
    </row>
    <row r="204" spans="1:64" ht="15.75">
      <c r="A204" s="22"/>
      <c r="B204" s="7" t="s">
        <v>379</v>
      </c>
      <c r="C204" s="7" t="s">
        <v>380</v>
      </c>
      <c r="D204" s="8">
        <v>6</v>
      </c>
      <c r="E204" s="8">
        <v>6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0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8">
        <v>0</v>
      </c>
      <c r="BL204" s="22"/>
    </row>
    <row r="205" spans="1:64" ht="15.75">
      <c r="A205" s="22"/>
      <c r="B205" s="7" t="s">
        <v>381</v>
      </c>
      <c r="C205" s="7" t="s">
        <v>382</v>
      </c>
      <c r="D205" s="8">
        <v>6</v>
      </c>
      <c r="E205" s="8">
        <v>6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>
        <v>0</v>
      </c>
      <c r="BF205" s="8">
        <v>0</v>
      </c>
      <c r="BG205" s="8">
        <v>0</v>
      </c>
      <c r="BH205" s="8">
        <v>0</v>
      </c>
      <c r="BI205" s="8">
        <v>0</v>
      </c>
      <c r="BL205" s="22"/>
    </row>
    <row r="206" spans="1:64" ht="15.75">
      <c r="A206" s="22"/>
      <c r="B206" s="7" t="s">
        <v>383</v>
      </c>
      <c r="C206" s="7" t="s">
        <v>384</v>
      </c>
      <c r="D206" s="8">
        <v>6</v>
      </c>
      <c r="E206" s="8">
        <v>6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L206" s="22"/>
    </row>
    <row r="207" spans="1:64" ht="15.75">
      <c r="A207" s="22"/>
      <c r="B207" s="7" t="s">
        <v>385</v>
      </c>
      <c r="C207" s="7" t="s">
        <v>386</v>
      </c>
      <c r="D207" s="8">
        <v>6</v>
      </c>
      <c r="E207" s="8">
        <v>6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8">
        <v>0</v>
      </c>
      <c r="BL207" s="22"/>
    </row>
    <row r="208" spans="1:64" ht="15.75">
      <c r="A208" s="22"/>
      <c r="B208" s="7" t="s">
        <v>387</v>
      </c>
      <c r="C208" s="7" t="s">
        <v>388</v>
      </c>
      <c r="D208" s="8">
        <v>6</v>
      </c>
      <c r="E208" s="8">
        <v>6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L208" s="22"/>
    </row>
    <row r="209" spans="1:64" ht="15.75">
      <c r="A209" s="22"/>
      <c r="B209" s="7" t="s">
        <v>389</v>
      </c>
      <c r="C209" s="7" t="s">
        <v>390</v>
      </c>
      <c r="D209" s="8">
        <v>6</v>
      </c>
      <c r="E209" s="8">
        <v>6</v>
      </c>
      <c r="F209" s="8">
        <v>157.708</v>
      </c>
      <c r="G209" s="8">
        <v>2.2639999999999998</v>
      </c>
      <c r="H209" s="8">
        <v>37.517000000000003</v>
      </c>
      <c r="I209" s="8">
        <v>0</v>
      </c>
      <c r="J209" s="8">
        <v>0.505</v>
      </c>
      <c r="K209" s="8">
        <v>59.011000000000003</v>
      </c>
      <c r="L209" s="8">
        <v>0</v>
      </c>
      <c r="M209" s="8">
        <v>474.14800000000002</v>
      </c>
      <c r="N209" s="8">
        <v>80.010000000000005</v>
      </c>
      <c r="O209" s="8">
        <v>0</v>
      </c>
      <c r="P209" s="8">
        <v>0</v>
      </c>
      <c r="Q209" s="8">
        <v>1E-3</v>
      </c>
      <c r="R209" s="8">
        <v>2.0030000000000001</v>
      </c>
      <c r="S209" s="8">
        <v>5.1689999999999996</v>
      </c>
      <c r="T209" s="8">
        <v>0.80600000000000005</v>
      </c>
      <c r="U209" s="8">
        <v>0</v>
      </c>
      <c r="V209" s="8">
        <v>0</v>
      </c>
      <c r="W209" s="8">
        <v>0.65200000000000002</v>
      </c>
      <c r="X209" s="8">
        <v>1.587</v>
      </c>
      <c r="Y209" s="8">
        <v>0</v>
      </c>
      <c r="Z209" s="8">
        <v>6.8840000000000003</v>
      </c>
      <c r="AA209" s="8">
        <v>0</v>
      </c>
      <c r="AB209" s="8">
        <v>6.5750000000000002</v>
      </c>
      <c r="AC209" s="8">
        <v>0</v>
      </c>
      <c r="AD209" s="8">
        <v>0.43</v>
      </c>
      <c r="AE209" s="8">
        <v>0</v>
      </c>
      <c r="AF209" s="8">
        <v>24.69</v>
      </c>
      <c r="AG209" s="8">
        <v>0</v>
      </c>
      <c r="AH209" s="8">
        <v>0</v>
      </c>
      <c r="AI209" s="8">
        <v>437.61799999999999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0.64200000000000002</v>
      </c>
      <c r="AQ209" s="8">
        <v>0</v>
      </c>
      <c r="AR209" s="8">
        <v>0</v>
      </c>
      <c r="AS209" s="8">
        <v>0</v>
      </c>
      <c r="AT209" s="8">
        <v>3.0000000000000001E-3</v>
      </c>
      <c r="AU209" s="8">
        <v>0</v>
      </c>
      <c r="AV209" s="8">
        <v>0.16200000000000001</v>
      </c>
      <c r="AW209" s="8">
        <v>0</v>
      </c>
      <c r="AX209" s="8">
        <v>0</v>
      </c>
      <c r="AY209" s="8">
        <v>0</v>
      </c>
      <c r="AZ209" s="8">
        <v>0.80800000000000005</v>
      </c>
      <c r="BA209" s="8">
        <v>0</v>
      </c>
      <c r="BB209" s="8">
        <v>0</v>
      </c>
      <c r="BC209" s="8">
        <v>0.318</v>
      </c>
      <c r="BD209" s="8">
        <v>0.39200000000000002</v>
      </c>
      <c r="BE209" s="8">
        <v>0</v>
      </c>
      <c r="BF209" s="8">
        <v>9.4E-2</v>
      </c>
      <c r="BG209" s="8">
        <v>0</v>
      </c>
      <c r="BH209" s="8">
        <v>0</v>
      </c>
      <c r="BI209" s="8">
        <v>0.14299999999999999</v>
      </c>
      <c r="BL209" s="22"/>
    </row>
    <row r="210" spans="1:64" ht="15.75">
      <c r="A210" s="22"/>
      <c r="B210" s="7" t="s">
        <v>391</v>
      </c>
      <c r="C210" s="7" t="s">
        <v>392</v>
      </c>
      <c r="D210" s="8">
        <v>6</v>
      </c>
      <c r="E210" s="8">
        <v>6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0</v>
      </c>
      <c r="BL210" s="22"/>
    </row>
    <row r="211" spans="1:64" ht="15.75">
      <c r="A211" s="22"/>
      <c r="B211" s="7" t="s">
        <v>393</v>
      </c>
      <c r="C211" s="7" t="s">
        <v>394</v>
      </c>
      <c r="D211" s="8">
        <v>6</v>
      </c>
      <c r="E211" s="8">
        <v>6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0</v>
      </c>
      <c r="BB211" s="8">
        <v>0</v>
      </c>
      <c r="BC211" s="8">
        <v>0</v>
      </c>
      <c r="BD211" s="8">
        <v>0</v>
      </c>
      <c r="BE211" s="8">
        <v>0</v>
      </c>
      <c r="BF211" s="8">
        <v>0</v>
      </c>
      <c r="BG211" s="8">
        <v>0</v>
      </c>
      <c r="BH211" s="8">
        <v>0</v>
      </c>
      <c r="BI211" s="8">
        <v>0</v>
      </c>
      <c r="BL211" s="22"/>
    </row>
    <row r="212" spans="1:64" ht="15.75">
      <c r="A212" s="22"/>
      <c r="B212" s="7" t="s">
        <v>395</v>
      </c>
      <c r="C212" s="7" t="s">
        <v>396</v>
      </c>
      <c r="D212" s="8">
        <v>6</v>
      </c>
      <c r="E212" s="8">
        <v>6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L212" s="22"/>
    </row>
    <row r="213" spans="1:64" ht="15.75">
      <c r="A213" s="22"/>
      <c r="B213" s="7" t="s">
        <v>353</v>
      </c>
      <c r="C213" s="7" t="s">
        <v>397</v>
      </c>
      <c r="D213" s="8">
        <v>6</v>
      </c>
      <c r="E213" s="8">
        <v>6</v>
      </c>
      <c r="F213" s="8">
        <v>1007.828</v>
      </c>
      <c r="G213" s="8">
        <v>88.055999999999997</v>
      </c>
      <c r="H213" s="8">
        <v>123.32899999999999</v>
      </c>
      <c r="I213" s="8">
        <v>4.0000000000000001E-3</v>
      </c>
      <c r="J213" s="8">
        <v>21.382999999999999</v>
      </c>
      <c r="K213" s="8">
        <v>74.936000000000007</v>
      </c>
      <c r="L213" s="8">
        <v>0</v>
      </c>
      <c r="M213" s="8">
        <v>720.47</v>
      </c>
      <c r="N213" s="8">
        <v>332.988</v>
      </c>
      <c r="O213" s="8">
        <v>0</v>
      </c>
      <c r="P213" s="8">
        <v>0</v>
      </c>
      <c r="Q213" s="8">
        <v>3.8540000000000001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12.554</v>
      </c>
      <c r="X213" s="8">
        <v>37.790999999999997</v>
      </c>
      <c r="Y213" s="8">
        <v>0</v>
      </c>
      <c r="Z213" s="8">
        <v>298.17599999999999</v>
      </c>
      <c r="AA213" s="8">
        <v>0</v>
      </c>
      <c r="AB213" s="8">
        <v>101.563</v>
      </c>
      <c r="AC213" s="8">
        <v>0</v>
      </c>
      <c r="AD213" s="8">
        <v>16.177</v>
      </c>
      <c r="AE213" s="8">
        <v>0</v>
      </c>
      <c r="AF213" s="8">
        <v>970.01499999999999</v>
      </c>
      <c r="AG213" s="8">
        <v>0</v>
      </c>
      <c r="AH213" s="8">
        <v>0</v>
      </c>
      <c r="AI213" s="8">
        <v>2115.194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0</v>
      </c>
      <c r="BL213" s="22"/>
    </row>
    <row r="214" spans="1:64" ht="15.75">
      <c r="A214" s="22"/>
      <c r="B214" s="7" t="s">
        <v>355</v>
      </c>
      <c r="C214" s="7" t="s">
        <v>398</v>
      </c>
      <c r="D214" s="8">
        <v>6</v>
      </c>
      <c r="E214" s="8">
        <v>6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0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L214" s="22"/>
    </row>
    <row r="215" spans="1:64" ht="15.75">
      <c r="A215" s="22"/>
      <c r="B215" s="7" t="s">
        <v>357</v>
      </c>
      <c r="C215" s="7" t="s">
        <v>399</v>
      </c>
      <c r="D215" s="8">
        <v>6</v>
      </c>
      <c r="E215" s="8">
        <v>6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L215" s="22"/>
    </row>
    <row r="216" spans="1:64" ht="15.75">
      <c r="A216" s="22"/>
      <c r="B216" s="7" t="s">
        <v>359</v>
      </c>
      <c r="C216" s="7" t="s">
        <v>400</v>
      </c>
      <c r="D216" s="8">
        <v>6</v>
      </c>
      <c r="E216" s="8">
        <v>6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L216" s="22"/>
    </row>
    <row r="217" spans="1:64" ht="15.75">
      <c r="A217" s="22"/>
      <c r="B217" s="7" t="s">
        <v>361</v>
      </c>
      <c r="C217" s="7" t="s">
        <v>401</v>
      </c>
      <c r="D217" s="8">
        <v>6</v>
      </c>
      <c r="E217" s="8">
        <v>6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L217" s="22"/>
    </row>
    <row r="218" spans="1:64" ht="15.75">
      <c r="A218" s="22"/>
      <c r="B218" s="7" t="s">
        <v>363</v>
      </c>
      <c r="C218" s="7" t="s">
        <v>402</v>
      </c>
      <c r="D218" s="8">
        <v>6</v>
      </c>
      <c r="E218" s="8">
        <v>6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-1E-3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-1E-3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8">
        <v>0</v>
      </c>
      <c r="BI218" s="8">
        <v>0</v>
      </c>
      <c r="BL218" s="22"/>
    </row>
    <row r="219" spans="1:64" ht="15.75">
      <c r="A219" s="22"/>
      <c r="B219" s="7" t="s">
        <v>365</v>
      </c>
      <c r="C219" s="7" t="s">
        <v>403</v>
      </c>
      <c r="D219" s="8">
        <v>6</v>
      </c>
      <c r="E219" s="8">
        <v>6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0</v>
      </c>
      <c r="BC219" s="8">
        <v>0</v>
      </c>
      <c r="BD219" s="8">
        <v>0</v>
      </c>
      <c r="BE219" s="8">
        <v>0</v>
      </c>
      <c r="BF219" s="8">
        <v>0</v>
      </c>
      <c r="BG219" s="8">
        <v>0</v>
      </c>
      <c r="BH219" s="8">
        <v>0</v>
      </c>
      <c r="BI219" s="8">
        <v>0</v>
      </c>
      <c r="BL219" s="22"/>
    </row>
    <row r="220" spans="1:64" ht="15.75">
      <c r="A220" s="22"/>
      <c r="B220" s="7" t="s">
        <v>367</v>
      </c>
      <c r="C220" s="7" t="s">
        <v>404</v>
      </c>
      <c r="D220" s="8">
        <v>6</v>
      </c>
      <c r="E220" s="8">
        <v>6</v>
      </c>
      <c r="F220" s="8">
        <v>88963.493000000002</v>
      </c>
      <c r="G220" s="8">
        <v>17097.845000000001</v>
      </c>
      <c r="H220" s="8">
        <v>0</v>
      </c>
      <c r="I220" s="8">
        <v>0</v>
      </c>
      <c r="J220" s="8">
        <v>358.88200000000001</v>
      </c>
      <c r="K220" s="8">
        <v>0</v>
      </c>
      <c r="L220" s="8">
        <v>0</v>
      </c>
      <c r="M220" s="8">
        <v>206158.17600000001</v>
      </c>
      <c r="N220" s="8">
        <v>8938.5339999999997</v>
      </c>
      <c r="O220" s="8">
        <v>0</v>
      </c>
      <c r="P220" s="8">
        <v>0</v>
      </c>
      <c r="Q220" s="8">
        <v>3.573</v>
      </c>
      <c r="R220" s="8">
        <v>0</v>
      </c>
      <c r="S220" s="8">
        <v>0</v>
      </c>
      <c r="T220" s="8">
        <v>5653.5829999999996</v>
      </c>
      <c r="U220" s="8">
        <v>0</v>
      </c>
      <c r="V220" s="8">
        <v>0</v>
      </c>
      <c r="W220" s="8">
        <v>0</v>
      </c>
      <c r="X220" s="8">
        <v>1704.89</v>
      </c>
      <c r="Y220" s="8">
        <v>0</v>
      </c>
      <c r="Z220" s="8">
        <v>46771.46</v>
      </c>
      <c r="AA220" s="8">
        <v>0</v>
      </c>
      <c r="AB220" s="8">
        <v>6160.2020000000002</v>
      </c>
      <c r="AC220" s="8">
        <v>0</v>
      </c>
      <c r="AD220" s="8">
        <v>3242.527</v>
      </c>
      <c r="AE220" s="8">
        <v>0</v>
      </c>
      <c r="AF220" s="8">
        <v>137167.90100000001</v>
      </c>
      <c r="AG220" s="8">
        <v>132035.88</v>
      </c>
      <c r="AH220" s="8">
        <v>0</v>
      </c>
      <c r="AI220" s="8">
        <v>347579.60399999999</v>
      </c>
      <c r="AJ220" s="8">
        <v>206194.986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4511.6120000000001</v>
      </c>
      <c r="AQ220" s="8">
        <v>0</v>
      </c>
      <c r="AR220" s="8">
        <v>54092.525999999998</v>
      </c>
      <c r="AS220" s="8">
        <v>0</v>
      </c>
      <c r="AT220" s="8">
        <v>53.235999999999997</v>
      </c>
      <c r="AU220" s="8">
        <v>0</v>
      </c>
      <c r="AV220" s="8">
        <v>387.19099999999997</v>
      </c>
      <c r="AW220" s="8">
        <v>0</v>
      </c>
      <c r="AX220" s="8">
        <v>0</v>
      </c>
      <c r="AY220" s="8">
        <v>0</v>
      </c>
      <c r="AZ220" s="8">
        <v>2512.5529999999999</v>
      </c>
      <c r="BA220" s="8">
        <v>87571.857000000004</v>
      </c>
      <c r="BB220" s="8">
        <v>0</v>
      </c>
      <c r="BC220" s="8">
        <v>2138.9789999999998</v>
      </c>
      <c r="BD220" s="8">
        <v>0</v>
      </c>
      <c r="BE220" s="8">
        <v>114499.042</v>
      </c>
      <c r="BF220" s="8">
        <v>606.20000000000005</v>
      </c>
      <c r="BG220" s="8">
        <v>39210.256999999998</v>
      </c>
      <c r="BH220" s="8">
        <v>0</v>
      </c>
      <c r="BI220" s="8">
        <v>0</v>
      </c>
      <c r="BL220" s="22"/>
    </row>
    <row r="221" spans="1:64" ht="15.75">
      <c r="A221" s="22"/>
      <c r="B221" s="7" t="s">
        <v>369</v>
      </c>
      <c r="C221" s="7" t="s">
        <v>405</v>
      </c>
      <c r="D221" s="8">
        <v>6</v>
      </c>
      <c r="E221" s="8">
        <v>6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X221" s="8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8">
        <v>0</v>
      </c>
      <c r="BI221" s="8">
        <v>0</v>
      </c>
      <c r="BL221" s="22"/>
    </row>
    <row r="222" spans="1:64" ht="15.75">
      <c r="A222" s="22"/>
      <c r="B222" s="7" t="s">
        <v>371</v>
      </c>
      <c r="C222" s="7" t="s">
        <v>406</v>
      </c>
      <c r="D222" s="8">
        <v>6</v>
      </c>
      <c r="E222" s="8">
        <v>6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L222" s="22"/>
    </row>
    <row r="223" spans="1:64" ht="15.75">
      <c r="A223" s="22"/>
      <c r="B223" s="7" t="s">
        <v>373</v>
      </c>
      <c r="C223" s="7" t="s">
        <v>407</v>
      </c>
      <c r="D223" s="8">
        <v>6</v>
      </c>
      <c r="E223" s="8">
        <v>6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0</v>
      </c>
      <c r="BE223" s="8">
        <v>0</v>
      </c>
      <c r="BF223" s="8">
        <v>0</v>
      </c>
      <c r="BG223" s="8">
        <v>0</v>
      </c>
      <c r="BH223" s="8">
        <v>0</v>
      </c>
      <c r="BI223" s="8">
        <v>0</v>
      </c>
      <c r="BL223" s="22"/>
    </row>
    <row r="224" spans="1:64" ht="15.75">
      <c r="A224" s="22"/>
      <c r="B224" s="7" t="s">
        <v>375</v>
      </c>
      <c r="C224" s="7" t="s">
        <v>408</v>
      </c>
      <c r="D224" s="8">
        <v>6</v>
      </c>
      <c r="E224" s="8">
        <v>6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0</v>
      </c>
      <c r="BI224" s="8">
        <v>0</v>
      </c>
      <c r="BL224" s="22"/>
    </row>
    <row r="225" spans="1:64" ht="15.75">
      <c r="A225" s="22"/>
      <c r="B225" s="7" t="s">
        <v>377</v>
      </c>
      <c r="C225" s="7" t="s">
        <v>409</v>
      </c>
      <c r="D225" s="8">
        <v>6</v>
      </c>
      <c r="E225" s="8">
        <v>6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0</v>
      </c>
      <c r="BF225" s="8">
        <v>0</v>
      </c>
      <c r="BG225" s="8">
        <v>0</v>
      </c>
      <c r="BH225" s="8">
        <v>0</v>
      </c>
      <c r="BI225" s="8">
        <v>0</v>
      </c>
      <c r="BL225" s="22"/>
    </row>
    <row r="226" spans="1:64" ht="15.75">
      <c r="A226" s="22"/>
      <c r="B226" s="7" t="s">
        <v>379</v>
      </c>
      <c r="C226" s="7" t="s">
        <v>410</v>
      </c>
      <c r="D226" s="8">
        <v>6</v>
      </c>
      <c r="E226" s="8">
        <v>6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0</v>
      </c>
      <c r="BI226" s="8">
        <v>0</v>
      </c>
      <c r="BL226" s="22"/>
    </row>
    <row r="227" spans="1:64" ht="15.75">
      <c r="A227" s="22"/>
      <c r="B227" s="7" t="s">
        <v>381</v>
      </c>
      <c r="C227" s="7" t="s">
        <v>411</v>
      </c>
      <c r="D227" s="8">
        <v>6</v>
      </c>
      <c r="E227" s="8">
        <v>6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8">
        <v>0</v>
      </c>
      <c r="BL227" s="22"/>
    </row>
    <row r="228" spans="1:64" ht="15.75">
      <c r="A228" s="22"/>
      <c r="B228" s="7" t="s">
        <v>383</v>
      </c>
      <c r="C228" s="7" t="s">
        <v>412</v>
      </c>
      <c r="D228" s="8">
        <v>6</v>
      </c>
      <c r="E228" s="8">
        <v>6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0</v>
      </c>
      <c r="BI228" s="8">
        <v>0</v>
      </c>
      <c r="BL228" s="22"/>
    </row>
    <row r="229" spans="1:64" ht="15.75">
      <c r="A229" s="22"/>
      <c r="B229" s="7" t="s">
        <v>385</v>
      </c>
      <c r="C229" s="7" t="s">
        <v>413</v>
      </c>
      <c r="D229" s="8">
        <v>6</v>
      </c>
      <c r="E229" s="8">
        <v>6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0</v>
      </c>
      <c r="BF229" s="8">
        <v>0</v>
      </c>
      <c r="BG229" s="8">
        <v>0</v>
      </c>
      <c r="BH229" s="8">
        <v>0</v>
      </c>
      <c r="BI229" s="8">
        <v>0</v>
      </c>
      <c r="BL229" s="22"/>
    </row>
    <row r="230" spans="1:64" ht="15.75">
      <c r="A230" s="22"/>
      <c r="B230" s="7" t="s">
        <v>387</v>
      </c>
      <c r="C230" s="7" t="s">
        <v>414</v>
      </c>
      <c r="D230" s="8">
        <v>6</v>
      </c>
      <c r="E230" s="8">
        <v>6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L230" s="22"/>
    </row>
    <row r="231" spans="1:64" ht="15.75">
      <c r="A231" s="22"/>
      <c r="B231" s="7" t="s">
        <v>389</v>
      </c>
      <c r="C231" s="7" t="s">
        <v>415</v>
      </c>
      <c r="D231" s="8">
        <v>6</v>
      </c>
      <c r="E231" s="8">
        <v>6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0</v>
      </c>
      <c r="BH231" s="8">
        <v>0</v>
      </c>
      <c r="BI231" s="8">
        <v>0</v>
      </c>
      <c r="BL231" s="22"/>
    </row>
    <row r="232" spans="1:64" ht="15.75">
      <c r="A232" s="22"/>
      <c r="B232" s="7" t="s">
        <v>391</v>
      </c>
      <c r="C232" s="7" t="s">
        <v>416</v>
      </c>
      <c r="D232" s="8">
        <v>6</v>
      </c>
      <c r="E232" s="8">
        <v>6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8">
        <v>0</v>
      </c>
      <c r="BL232" s="22"/>
    </row>
    <row r="233" spans="1:64" ht="15.75">
      <c r="A233" s="22"/>
      <c r="B233" s="7" t="s">
        <v>393</v>
      </c>
      <c r="C233" s="7" t="s">
        <v>417</v>
      </c>
      <c r="D233" s="8">
        <v>6</v>
      </c>
      <c r="E233" s="8">
        <v>6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0</v>
      </c>
      <c r="BF233" s="8">
        <v>0</v>
      </c>
      <c r="BG233" s="8">
        <v>0</v>
      </c>
      <c r="BH233" s="8">
        <v>0</v>
      </c>
      <c r="BI233" s="8">
        <v>0</v>
      </c>
      <c r="BL233" s="22"/>
    </row>
    <row r="234" spans="1:64" ht="15.75">
      <c r="A234" s="22"/>
      <c r="B234" s="7" t="s">
        <v>395</v>
      </c>
      <c r="C234" s="7" t="s">
        <v>418</v>
      </c>
      <c r="D234" s="8">
        <v>6</v>
      </c>
      <c r="E234" s="8">
        <v>6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  <c r="BD234" s="8">
        <v>0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L234" s="22"/>
    </row>
    <row r="235" spans="1:64" ht="15.75">
      <c r="A235" s="22"/>
      <c r="B235" s="7" t="s">
        <v>419</v>
      </c>
      <c r="C235" s="7" t="s">
        <v>420</v>
      </c>
      <c r="D235" s="8">
        <v>6</v>
      </c>
      <c r="E235" s="8">
        <v>6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0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L235" s="22"/>
    </row>
    <row r="236" spans="1:64" ht="15.75">
      <c r="A236" s="22"/>
      <c r="B236" s="7" t="s">
        <v>421</v>
      </c>
      <c r="C236" s="7" t="s">
        <v>422</v>
      </c>
      <c r="D236" s="8">
        <v>6</v>
      </c>
      <c r="E236" s="8">
        <v>6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0</v>
      </c>
      <c r="BF236" s="8">
        <v>0</v>
      </c>
      <c r="BG236" s="8">
        <v>0</v>
      </c>
      <c r="BH236" s="8">
        <v>0</v>
      </c>
      <c r="BI236" s="8">
        <v>0</v>
      </c>
      <c r="BL236" s="22"/>
    </row>
    <row r="237" spans="1:64" ht="15.75">
      <c r="A237" s="22"/>
      <c r="B237" s="7" t="s">
        <v>423</v>
      </c>
      <c r="C237" s="7" t="s">
        <v>424</v>
      </c>
      <c r="D237" s="8">
        <v>6</v>
      </c>
      <c r="E237" s="8">
        <v>6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L237" s="22"/>
    </row>
    <row r="238" spans="1:64" ht="15.75">
      <c r="A238" s="22"/>
      <c r="B238" s="7" t="s">
        <v>425</v>
      </c>
      <c r="C238" s="7" t="s">
        <v>426</v>
      </c>
      <c r="D238" s="8">
        <v>6</v>
      </c>
      <c r="E238" s="8">
        <v>6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0</v>
      </c>
      <c r="BE238" s="8">
        <v>0</v>
      </c>
      <c r="BF238" s="8">
        <v>0</v>
      </c>
      <c r="BG238" s="8">
        <v>0</v>
      </c>
      <c r="BH238" s="8">
        <v>0</v>
      </c>
      <c r="BI238" s="8">
        <v>0</v>
      </c>
      <c r="BL238" s="22"/>
    </row>
    <row r="239" spans="1:64" ht="15.75">
      <c r="A239" s="22"/>
      <c r="B239" s="7" t="s">
        <v>427</v>
      </c>
      <c r="C239" s="7" t="s">
        <v>428</v>
      </c>
      <c r="D239" s="8">
        <v>6</v>
      </c>
      <c r="E239" s="8">
        <v>6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L239" s="22"/>
    </row>
    <row r="240" spans="1:64" ht="15.75">
      <c r="A240" s="22"/>
      <c r="B240" s="7" t="s">
        <v>429</v>
      </c>
      <c r="C240" s="7" t="s">
        <v>430</v>
      </c>
      <c r="D240" s="8">
        <v>6</v>
      </c>
      <c r="E240" s="8">
        <v>6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0</v>
      </c>
      <c r="BG240" s="8">
        <v>0</v>
      </c>
      <c r="BH240" s="8">
        <v>0</v>
      </c>
      <c r="BI240" s="8">
        <v>0</v>
      </c>
      <c r="BL240" s="22"/>
    </row>
    <row r="241" spans="1:64" ht="15.75">
      <c r="A241" s="22"/>
      <c r="B241" s="7" t="s">
        <v>431</v>
      </c>
      <c r="C241" s="7" t="s">
        <v>432</v>
      </c>
      <c r="D241" s="8">
        <v>6</v>
      </c>
      <c r="E241" s="8">
        <v>6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0</v>
      </c>
      <c r="BD241" s="8">
        <v>0</v>
      </c>
      <c r="BE241" s="8">
        <v>0</v>
      </c>
      <c r="BF241" s="8">
        <v>0</v>
      </c>
      <c r="BG241" s="8">
        <v>0</v>
      </c>
      <c r="BH241" s="8">
        <v>0</v>
      </c>
      <c r="BI241" s="8">
        <v>0</v>
      </c>
      <c r="BL241" s="22"/>
    </row>
    <row r="242" spans="1:64" ht="15.75">
      <c r="A242" s="22"/>
      <c r="B242" s="7" t="s">
        <v>433</v>
      </c>
      <c r="C242" s="7" t="s">
        <v>434</v>
      </c>
      <c r="D242" s="8">
        <v>6</v>
      </c>
      <c r="E242" s="8">
        <v>6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0</v>
      </c>
      <c r="AV242" s="8">
        <v>0</v>
      </c>
      <c r="AW242" s="8">
        <v>0</v>
      </c>
      <c r="AX242" s="8">
        <v>0</v>
      </c>
      <c r="AY242" s="8">
        <v>0</v>
      </c>
      <c r="AZ242" s="8">
        <v>0</v>
      </c>
      <c r="BA242" s="8">
        <v>0</v>
      </c>
      <c r="BB242" s="8">
        <v>0</v>
      </c>
      <c r="BC242" s="8">
        <v>0</v>
      </c>
      <c r="BD242" s="8">
        <v>0</v>
      </c>
      <c r="BE242" s="8">
        <v>0</v>
      </c>
      <c r="BF242" s="8">
        <v>0</v>
      </c>
      <c r="BG242" s="8">
        <v>0</v>
      </c>
      <c r="BH242" s="8">
        <v>0</v>
      </c>
      <c r="BI242" s="8">
        <v>0</v>
      </c>
      <c r="BL242" s="22"/>
    </row>
    <row r="243" spans="1:64" ht="15.75">
      <c r="A243" s="22"/>
      <c r="B243" s="7" t="s">
        <v>435</v>
      </c>
      <c r="C243" s="7" t="s">
        <v>436</v>
      </c>
      <c r="D243" s="8">
        <v>6</v>
      </c>
      <c r="E243" s="8">
        <v>6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  <c r="AZ243" s="8">
        <v>0</v>
      </c>
      <c r="BA243" s="8">
        <v>0</v>
      </c>
      <c r="BB243" s="8">
        <v>0</v>
      </c>
      <c r="BC243" s="8">
        <v>0</v>
      </c>
      <c r="BD243" s="8">
        <v>0</v>
      </c>
      <c r="BE243" s="8">
        <v>0</v>
      </c>
      <c r="BF243" s="8">
        <v>0</v>
      </c>
      <c r="BG243" s="8">
        <v>0</v>
      </c>
      <c r="BH243" s="8">
        <v>0</v>
      </c>
      <c r="BI243" s="8">
        <v>0</v>
      </c>
      <c r="BL243" s="22"/>
    </row>
    <row r="244" spans="1:64" ht="15.75">
      <c r="A244" s="22"/>
      <c r="B244" s="7" t="s">
        <v>437</v>
      </c>
      <c r="C244" s="7" t="s">
        <v>438</v>
      </c>
      <c r="D244" s="8">
        <v>6</v>
      </c>
      <c r="E244" s="8">
        <v>6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0</v>
      </c>
      <c r="BD244" s="8">
        <v>0</v>
      </c>
      <c r="BE244" s="8">
        <v>0</v>
      </c>
      <c r="BF244" s="8">
        <v>0</v>
      </c>
      <c r="BG244" s="8">
        <v>0</v>
      </c>
      <c r="BH244" s="8">
        <v>0</v>
      </c>
      <c r="BI244" s="8">
        <v>0</v>
      </c>
      <c r="BL244" s="22"/>
    </row>
    <row r="245" spans="1:64" ht="15.75">
      <c r="A245" s="22"/>
      <c r="B245" s="7" t="s">
        <v>439</v>
      </c>
      <c r="C245" s="7" t="s">
        <v>440</v>
      </c>
      <c r="D245" s="8">
        <v>6</v>
      </c>
      <c r="E245" s="8">
        <v>6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0</v>
      </c>
      <c r="AY245" s="8">
        <v>0</v>
      </c>
      <c r="AZ245" s="8">
        <v>0</v>
      </c>
      <c r="BA245" s="8">
        <v>0</v>
      </c>
      <c r="BB245" s="8">
        <v>0</v>
      </c>
      <c r="BC245" s="8">
        <v>0</v>
      </c>
      <c r="BD245" s="8">
        <v>0</v>
      </c>
      <c r="BE245" s="8">
        <v>0</v>
      </c>
      <c r="BF245" s="8">
        <v>0</v>
      </c>
      <c r="BG245" s="8">
        <v>0</v>
      </c>
      <c r="BH245" s="8">
        <v>0</v>
      </c>
      <c r="BI245" s="8">
        <v>0</v>
      </c>
      <c r="BL245" s="22"/>
    </row>
    <row r="246" spans="1:64" ht="15.75">
      <c r="A246" s="22"/>
      <c r="B246" s="7" t="s">
        <v>441</v>
      </c>
      <c r="C246" s="7" t="s">
        <v>442</v>
      </c>
      <c r="D246" s="8">
        <v>6</v>
      </c>
      <c r="E246" s="8">
        <v>6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0</v>
      </c>
      <c r="BG246" s="8">
        <v>0</v>
      </c>
      <c r="BH246" s="8">
        <v>0</v>
      </c>
      <c r="BI246" s="8">
        <v>0</v>
      </c>
      <c r="BL246" s="22"/>
    </row>
    <row r="247" spans="1:64" ht="15.75">
      <c r="A247" s="22"/>
      <c r="B247" s="7" t="s">
        <v>443</v>
      </c>
      <c r="C247" s="7" t="s">
        <v>444</v>
      </c>
      <c r="D247" s="8">
        <v>6</v>
      </c>
      <c r="E247" s="8">
        <v>6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L247" s="22"/>
    </row>
    <row r="248" spans="1:64" ht="15.75">
      <c r="A248" s="22"/>
      <c r="B248" s="7" t="s">
        <v>445</v>
      </c>
      <c r="C248" s="7" t="s">
        <v>446</v>
      </c>
      <c r="D248" s="8">
        <v>6</v>
      </c>
      <c r="E248" s="8">
        <v>6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0</v>
      </c>
      <c r="BF248" s="8">
        <v>0</v>
      </c>
      <c r="BG248" s="8">
        <v>0</v>
      </c>
      <c r="BH248" s="8">
        <v>0</v>
      </c>
      <c r="BI248" s="8">
        <v>0</v>
      </c>
      <c r="BL248" s="22"/>
    </row>
    <row r="249" spans="1:64" ht="15.75">
      <c r="A249" s="22"/>
      <c r="B249" s="7" t="s">
        <v>447</v>
      </c>
      <c r="C249" s="7" t="s">
        <v>448</v>
      </c>
      <c r="D249" s="8">
        <v>6</v>
      </c>
      <c r="E249" s="8">
        <v>6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L249" s="22"/>
    </row>
    <row r="250" spans="1:64" ht="15.75">
      <c r="A250" s="22"/>
      <c r="B250" s="7" t="s">
        <v>449</v>
      </c>
      <c r="C250" s="7" t="s">
        <v>450</v>
      </c>
      <c r="D250" s="8">
        <v>6</v>
      </c>
      <c r="E250" s="8">
        <v>6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0</v>
      </c>
      <c r="BI250" s="8">
        <v>0</v>
      </c>
      <c r="BL250" s="22"/>
    </row>
    <row r="251" spans="1:64" ht="15.75">
      <c r="A251" s="22"/>
      <c r="B251" s="7" t="s">
        <v>451</v>
      </c>
      <c r="C251" s="7" t="s">
        <v>452</v>
      </c>
      <c r="D251" s="8">
        <v>6</v>
      </c>
      <c r="E251" s="8">
        <v>6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L251" s="22"/>
    </row>
    <row r="252" spans="1:64" ht="15.75">
      <c r="A252" s="22"/>
      <c r="B252" s="7" t="s">
        <v>453</v>
      </c>
      <c r="C252" s="7" t="s">
        <v>454</v>
      </c>
      <c r="D252" s="8">
        <v>6</v>
      </c>
      <c r="E252" s="8">
        <v>6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  <c r="BF252" s="8">
        <v>0</v>
      </c>
      <c r="BG252" s="8">
        <v>0</v>
      </c>
      <c r="BH252" s="8">
        <v>0</v>
      </c>
      <c r="BI252" s="8">
        <v>0</v>
      </c>
      <c r="BL252" s="22"/>
    </row>
    <row r="253" spans="1:64" ht="15.75">
      <c r="A253" s="22"/>
      <c r="B253" s="7" t="s">
        <v>455</v>
      </c>
      <c r="C253" s="7" t="s">
        <v>456</v>
      </c>
      <c r="D253" s="8">
        <v>6</v>
      </c>
      <c r="E253" s="8">
        <v>6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238.19499999999999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0</v>
      </c>
      <c r="BI253" s="8">
        <v>0</v>
      </c>
      <c r="BL253" s="22"/>
    </row>
    <row r="254" spans="1:64" ht="15.75">
      <c r="A254" s="22"/>
      <c r="B254" s="7" t="s">
        <v>457</v>
      </c>
      <c r="C254" s="7" t="s">
        <v>458</v>
      </c>
      <c r="D254" s="8">
        <v>6</v>
      </c>
      <c r="E254" s="8">
        <v>6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7414.4290000000001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0</v>
      </c>
      <c r="BH254" s="8">
        <v>0</v>
      </c>
      <c r="BI254" s="8">
        <v>0</v>
      </c>
      <c r="BL254" s="22"/>
    </row>
    <row r="255" spans="1:64" ht="15.75">
      <c r="A255" s="22"/>
      <c r="B255" s="7" t="s">
        <v>459</v>
      </c>
      <c r="C255" s="7" t="s">
        <v>460</v>
      </c>
      <c r="D255" s="8">
        <v>6</v>
      </c>
      <c r="E255" s="8">
        <v>6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2899.55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0</v>
      </c>
      <c r="BI255" s="8">
        <v>0</v>
      </c>
      <c r="BL255" s="22"/>
    </row>
    <row r="256" spans="1:64" ht="15.75">
      <c r="A256" s="22"/>
      <c r="B256" s="7" t="s">
        <v>461</v>
      </c>
      <c r="C256" s="7" t="s">
        <v>462</v>
      </c>
      <c r="D256" s="8">
        <v>6</v>
      </c>
      <c r="E256" s="8">
        <v>6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423.65199999999999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332.404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  <c r="AZ256" s="8">
        <v>0</v>
      </c>
      <c r="BA256" s="8">
        <v>0</v>
      </c>
      <c r="BB256" s="8">
        <v>0</v>
      </c>
      <c r="BC256" s="8">
        <v>0</v>
      </c>
      <c r="BD256" s="8">
        <v>0</v>
      </c>
      <c r="BE256" s="8">
        <v>0</v>
      </c>
      <c r="BF256" s="8">
        <v>0</v>
      </c>
      <c r="BG256" s="8">
        <v>0</v>
      </c>
      <c r="BH256" s="8">
        <v>0</v>
      </c>
      <c r="BI256" s="8">
        <v>0</v>
      </c>
      <c r="BL256" s="22"/>
    </row>
    <row r="257" spans="1:64" ht="15.75">
      <c r="A257" s="22"/>
      <c r="B257" s="7" t="s">
        <v>419</v>
      </c>
      <c r="C257" s="7" t="s">
        <v>463</v>
      </c>
      <c r="D257" s="8">
        <v>6</v>
      </c>
      <c r="E257" s="8">
        <v>6</v>
      </c>
      <c r="F257" s="8">
        <v>0</v>
      </c>
      <c r="G257" s="8">
        <v>0</v>
      </c>
      <c r="H257" s="8">
        <v>0</v>
      </c>
      <c r="I257" s="8">
        <v>0</v>
      </c>
      <c r="J257" s="8">
        <v>5.0000000000000001E-3</v>
      </c>
      <c r="K257" s="8">
        <v>0</v>
      </c>
      <c r="L257" s="8">
        <v>0</v>
      </c>
      <c r="M257" s="8">
        <v>3.2000000000000001E-2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3.6999999999999998E-2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8">
        <v>0</v>
      </c>
      <c r="AZ257" s="8">
        <v>0</v>
      </c>
      <c r="BA257" s="8">
        <v>0</v>
      </c>
      <c r="BB257" s="8">
        <v>0</v>
      </c>
      <c r="BC257" s="8">
        <v>0</v>
      </c>
      <c r="BD257" s="8">
        <v>0</v>
      </c>
      <c r="BE257" s="8">
        <v>0</v>
      </c>
      <c r="BF257" s="8">
        <v>0</v>
      </c>
      <c r="BG257" s="8">
        <v>0</v>
      </c>
      <c r="BH257" s="8">
        <v>0</v>
      </c>
      <c r="BI257" s="8">
        <v>0</v>
      </c>
      <c r="BL257" s="22"/>
    </row>
    <row r="258" spans="1:64" ht="15.75">
      <c r="A258" s="22"/>
      <c r="B258" s="7" t="s">
        <v>421</v>
      </c>
      <c r="C258" s="7" t="s">
        <v>464</v>
      </c>
      <c r="D258" s="8">
        <v>6</v>
      </c>
      <c r="E258" s="8">
        <v>6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0</v>
      </c>
      <c r="BI258" s="8">
        <v>0</v>
      </c>
      <c r="BL258" s="22"/>
    </row>
    <row r="259" spans="1:64" ht="15.75">
      <c r="A259" s="22"/>
      <c r="B259" s="7" t="s">
        <v>423</v>
      </c>
      <c r="C259" s="7" t="s">
        <v>465</v>
      </c>
      <c r="D259" s="8">
        <v>6</v>
      </c>
      <c r="E259" s="8">
        <v>6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8">
        <v>0</v>
      </c>
      <c r="AZ259" s="8">
        <v>0</v>
      </c>
      <c r="BA259" s="8">
        <v>0</v>
      </c>
      <c r="BB259" s="8">
        <v>0</v>
      </c>
      <c r="BC259" s="8">
        <v>0</v>
      </c>
      <c r="BD259" s="8">
        <v>0</v>
      </c>
      <c r="BE259" s="8">
        <v>0</v>
      </c>
      <c r="BF259" s="8">
        <v>0</v>
      </c>
      <c r="BG259" s="8">
        <v>0</v>
      </c>
      <c r="BH259" s="8">
        <v>0</v>
      </c>
      <c r="BI259" s="8">
        <v>0</v>
      </c>
      <c r="BL259" s="22"/>
    </row>
    <row r="260" spans="1:64" ht="15.75">
      <c r="A260" s="22"/>
      <c r="B260" s="7" t="s">
        <v>425</v>
      </c>
      <c r="C260" s="7" t="s">
        <v>466</v>
      </c>
      <c r="D260" s="8">
        <v>6</v>
      </c>
      <c r="E260" s="8">
        <v>6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  <c r="AZ260" s="8">
        <v>0</v>
      </c>
      <c r="BA260" s="8">
        <v>0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0</v>
      </c>
      <c r="BH260" s="8">
        <v>0</v>
      </c>
      <c r="BI260" s="8">
        <v>0</v>
      </c>
      <c r="BL260" s="22"/>
    </row>
    <row r="261" spans="1:64" ht="15.75">
      <c r="A261" s="22"/>
      <c r="B261" s="7" t="s">
        <v>427</v>
      </c>
      <c r="C261" s="7" t="s">
        <v>467</v>
      </c>
      <c r="D261" s="8">
        <v>6</v>
      </c>
      <c r="E261" s="8">
        <v>6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L261" s="22"/>
    </row>
    <row r="262" spans="1:64" ht="15.75">
      <c r="A262" s="22"/>
      <c r="B262" s="7" t="s">
        <v>429</v>
      </c>
      <c r="C262" s="7" t="s">
        <v>468</v>
      </c>
      <c r="D262" s="8">
        <v>6</v>
      </c>
      <c r="E262" s="8">
        <v>6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0</v>
      </c>
      <c r="BI262" s="8">
        <v>0</v>
      </c>
      <c r="BL262" s="22"/>
    </row>
    <row r="263" spans="1:64" ht="15.75">
      <c r="A263" s="22"/>
      <c r="B263" s="7" t="s">
        <v>431</v>
      </c>
      <c r="C263" s="7" t="s">
        <v>469</v>
      </c>
      <c r="D263" s="8">
        <v>6</v>
      </c>
      <c r="E263" s="8">
        <v>6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0</v>
      </c>
      <c r="BB263" s="8">
        <v>0</v>
      </c>
      <c r="BC263" s="8">
        <v>0</v>
      </c>
      <c r="BD263" s="8">
        <v>0</v>
      </c>
      <c r="BE263" s="8">
        <v>0</v>
      </c>
      <c r="BF263" s="8">
        <v>0</v>
      </c>
      <c r="BG263" s="8">
        <v>0</v>
      </c>
      <c r="BH263" s="8">
        <v>0</v>
      </c>
      <c r="BI263" s="8">
        <v>0</v>
      </c>
      <c r="BL263" s="22"/>
    </row>
    <row r="264" spans="1:64" ht="15.75">
      <c r="A264" s="22"/>
      <c r="B264" s="7" t="s">
        <v>433</v>
      </c>
      <c r="C264" s="7" t="s">
        <v>470</v>
      </c>
      <c r="D264" s="8">
        <v>6</v>
      </c>
      <c r="E264" s="8">
        <v>6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8">
        <v>0</v>
      </c>
      <c r="AY264" s="8">
        <v>0</v>
      </c>
      <c r="AZ264" s="8">
        <v>0</v>
      </c>
      <c r="BA264" s="8">
        <v>0</v>
      </c>
      <c r="BB264" s="8">
        <v>0</v>
      </c>
      <c r="BC264" s="8">
        <v>0</v>
      </c>
      <c r="BD264" s="8">
        <v>0</v>
      </c>
      <c r="BE264" s="8">
        <v>0</v>
      </c>
      <c r="BF264" s="8">
        <v>0</v>
      </c>
      <c r="BG264" s="8">
        <v>0</v>
      </c>
      <c r="BH264" s="8">
        <v>0</v>
      </c>
      <c r="BI264" s="8">
        <v>0</v>
      </c>
      <c r="BL264" s="22"/>
    </row>
    <row r="265" spans="1:64" ht="15.75">
      <c r="A265" s="22"/>
      <c r="B265" s="7" t="s">
        <v>435</v>
      </c>
      <c r="C265" s="7" t="s">
        <v>471</v>
      </c>
      <c r="D265" s="8">
        <v>6</v>
      </c>
      <c r="E265" s="8">
        <v>6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L265" s="22"/>
    </row>
    <row r="266" spans="1:64" ht="15.75">
      <c r="A266" s="22"/>
      <c r="B266" s="7" t="s">
        <v>437</v>
      </c>
      <c r="C266" s="7" t="s">
        <v>472</v>
      </c>
      <c r="D266" s="8">
        <v>6</v>
      </c>
      <c r="E266" s="8">
        <v>6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8">
        <v>0</v>
      </c>
      <c r="BC266" s="8">
        <v>0</v>
      </c>
      <c r="BD266" s="8">
        <v>0</v>
      </c>
      <c r="BE266" s="8">
        <v>0</v>
      </c>
      <c r="BF266" s="8">
        <v>0</v>
      </c>
      <c r="BG266" s="8">
        <v>0</v>
      </c>
      <c r="BH266" s="8">
        <v>0</v>
      </c>
      <c r="BI266" s="8">
        <v>0</v>
      </c>
      <c r="BL266" s="22"/>
    </row>
    <row r="267" spans="1:64" ht="15.75">
      <c r="A267" s="22"/>
      <c r="B267" s="7" t="s">
        <v>439</v>
      </c>
      <c r="C267" s="7" t="s">
        <v>473</v>
      </c>
      <c r="D267" s="8">
        <v>6</v>
      </c>
      <c r="E267" s="8">
        <v>6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>
        <v>0</v>
      </c>
      <c r="BA267" s="8">
        <v>0</v>
      </c>
      <c r="BB267" s="8"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L267" s="22"/>
    </row>
    <row r="268" spans="1:64" ht="15.75">
      <c r="A268" s="22"/>
      <c r="B268" s="7" t="s">
        <v>441</v>
      </c>
      <c r="C268" s="7" t="s">
        <v>474</v>
      </c>
      <c r="D268" s="8">
        <v>6</v>
      </c>
      <c r="E268" s="8">
        <v>6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0</v>
      </c>
      <c r="AZ268" s="8">
        <v>0</v>
      </c>
      <c r="BA268" s="8">
        <v>0</v>
      </c>
      <c r="BB268" s="8">
        <v>0</v>
      </c>
      <c r="BC268" s="8">
        <v>0</v>
      </c>
      <c r="BD268" s="8">
        <v>0</v>
      </c>
      <c r="BE268" s="8">
        <v>0</v>
      </c>
      <c r="BF268" s="8">
        <v>0</v>
      </c>
      <c r="BG268" s="8">
        <v>0</v>
      </c>
      <c r="BH268" s="8">
        <v>0</v>
      </c>
      <c r="BI268" s="8">
        <v>0</v>
      </c>
      <c r="BL268" s="22"/>
    </row>
    <row r="269" spans="1:64" ht="15.75">
      <c r="A269" s="22"/>
      <c r="B269" s="7" t="s">
        <v>443</v>
      </c>
      <c r="C269" s="7" t="s">
        <v>475</v>
      </c>
      <c r="D269" s="8">
        <v>6</v>
      </c>
      <c r="E269" s="8">
        <v>6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L269" s="22"/>
    </row>
    <row r="270" spans="1:64" ht="15.75">
      <c r="A270" s="22"/>
      <c r="B270" s="7" t="s">
        <v>445</v>
      </c>
      <c r="C270" s="7" t="s">
        <v>476</v>
      </c>
      <c r="D270" s="8">
        <v>6</v>
      </c>
      <c r="E270" s="8">
        <v>6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0</v>
      </c>
      <c r="BD270" s="8">
        <v>0</v>
      </c>
      <c r="BE270" s="8">
        <v>0</v>
      </c>
      <c r="BF270" s="8">
        <v>0</v>
      </c>
      <c r="BG270" s="8">
        <v>0</v>
      </c>
      <c r="BH270" s="8">
        <v>0</v>
      </c>
      <c r="BI270" s="8">
        <v>0</v>
      </c>
      <c r="BL270" s="22"/>
    </row>
    <row r="271" spans="1:64" ht="15.75">
      <c r="A271" s="22"/>
      <c r="B271" s="7" t="s">
        <v>447</v>
      </c>
      <c r="C271" s="7" t="s">
        <v>477</v>
      </c>
      <c r="D271" s="8">
        <v>6</v>
      </c>
      <c r="E271" s="8">
        <v>6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0</v>
      </c>
      <c r="BI271" s="8">
        <v>0</v>
      </c>
      <c r="BL271" s="22"/>
    </row>
    <row r="272" spans="1:64" ht="15.75">
      <c r="A272" s="22"/>
      <c r="B272" s="7" t="s">
        <v>449</v>
      </c>
      <c r="C272" s="7" t="s">
        <v>478</v>
      </c>
      <c r="D272" s="8">
        <v>6</v>
      </c>
      <c r="E272" s="8">
        <v>6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0</v>
      </c>
      <c r="BF272" s="8">
        <v>0</v>
      </c>
      <c r="BG272" s="8">
        <v>0</v>
      </c>
      <c r="BH272" s="8">
        <v>0</v>
      </c>
      <c r="BI272" s="8">
        <v>0</v>
      </c>
      <c r="BL272" s="22"/>
    </row>
    <row r="273" spans="1:64" ht="15.75">
      <c r="A273" s="22"/>
      <c r="B273" s="7" t="s">
        <v>451</v>
      </c>
      <c r="C273" s="7" t="s">
        <v>479</v>
      </c>
      <c r="D273" s="8">
        <v>6</v>
      </c>
      <c r="E273" s="8">
        <v>6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>
        <v>0</v>
      </c>
      <c r="BA273" s="8">
        <v>0</v>
      </c>
      <c r="BB273" s="8"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L273" s="22"/>
    </row>
    <row r="274" spans="1:64" ht="15.75">
      <c r="A274" s="22"/>
      <c r="B274" s="7" t="s">
        <v>453</v>
      </c>
      <c r="C274" s="7" t="s">
        <v>480</v>
      </c>
      <c r="D274" s="8">
        <v>6</v>
      </c>
      <c r="E274" s="8">
        <v>6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L274" s="22"/>
    </row>
    <row r="275" spans="1:64" ht="15.75">
      <c r="A275" s="22"/>
      <c r="B275" s="7" t="s">
        <v>455</v>
      </c>
      <c r="C275" s="7" t="s">
        <v>481</v>
      </c>
      <c r="D275" s="8">
        <v>6</v>
      </c>
      <c r="E275" s="8">
        <v>6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8">
        <v>0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8">
        <v>0</v>
      </c>
      <c r="BI275" s="8">
        <v>0</v>
      </c>
      <c r="BL275" s="22"/>
    </row>
    <row r="276" spans="1:64" ht="15.75">
      <c r="A276" s="22"/>
      <c r="B276" s="7" t="s">
        <v>457</v>
      </c>
      <c r="C276" s="7" t="s">
        <v>482</v>
      </c>
      <c r="D276" s="8">
        <v>6</v>
      </c>
      <c r="E276" s="8">
        <v>6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0</v>
      </c>
      <c r="BB276" s="8">
        <v>0</v>
      </c>
      <c r="BC276" s="8">
        <v>0</v>
      </c>
      <c r="BD276" s="8">
        <v>0</v>
      </c>
      <c r="BE276" s="8">
        <v>0</v>
      </c>
      <c r="BF276" s="8">
        <v>0</v>
      </c>
      <c r="BG276" s="8">
        <v>0</v>
      </c>
      <c r="BH276" s="8">
        <v>0</v>
      </c>
      <c r="BI276" s="8">
        <v>0</v>
      </c>
      <c r="BL276" s="22"/>
    </row>
    <row r="277" spans="1:64" ht="15.75">
      <c r="A277" s="22"/>
      <c r="B277" s="7" t="s">
        <v>459</v>
      </c>
      <c r="C277" s="7" t="s">
        <v>483</v>
      </c>
      <c r="D277" s="8">
        <v>6</v>
      </c>
      <c r="E277" s="8">
        <v>6</v>
      </c>
      <c r="F277" s="8">
        <v>2449.8939999999998</v>
      </c>
      <c r="G277" s="8">
        <v>1666.6990000000001</v>
      </c>
      <c r="H277" s="8">
        <v>122.095</v>
      </c>
      <c r="I277" s="8">
        <v>0</v>
      </c>
      <c r="J277" s="8">
        <v>115.33199999999999</v>
      </c>
      <c r="K277" s="8">
        <v>1307.8109999999999</v>
      </c>
      <c r="L277" s="8">
        <v>0</v>
      </c>
      <c r="M277" s="8">
        <v>3152.0819999999999</v>
      </c>
      <c r="N277" s="8">
        <v>196.44300000000001</v>
      </c>
      <c r="O277" s="8">
        <v>0</v>
      </c>
      <c r="P277" s="8">
        <v>0</v>
      </c>
      <c r="Q277" s="8">
        <v>5.0000000000000001E-3</v>
      </c>
      <c r="R277" s="8">
        <v>0</v>
      </c>
      <c r="S277" s="8">
        <v>0</v>
      </c>
      <c r="T277" s="8">
        <v>717.03</v>
      </c>
      <c r="U277" s="8">
        <v>0</v>
      </c>
      <c r="V277" s="8">
        <v>0</v>
      </c>
      <c r="W277" s="8">
        <v>255.15100000000001</v>
      </c>
      <c r="X277" s="8">
        <v>2.4769999999999999</v>
      </c>
      <c r="Y277" s="8">
        <v>0</v>
      </c>
      <c r="Z277" s="8">
        <v>99.334000000000003</v>
      </c>
      <c r="AA277" s="8">
        <v>0</v>
      </c>
      <c r="AB277" s="8">
        <v>3363.6559999999999</v>
      </c>
      <c r="AC277" s="8">
        <v>0</v>
      </c>
      <c r="AD277" s="8">
        <v>284.42099999999999</v>
      </c>
      <c r="AE277" s="8">
        <v>0</v>
      </c>
      <c r="AF277" s="8">
        <v>1088.068</v>
      </c>
      <c r="AG277" s="8">
        <v>31.306000000000001</v>
      </c>
      <c r="AH277" s="8">
        <v>0</v>
      </c>
      <c r="AI277" s="8">
        <v>5941.3630000000003</v>
      </c>
      <c r="AJ277" s="8">
        <v>2.4E-2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831.07899999999995</v>
      </c>
      <c r="AQ277" s="8">
        <v>0</v>
      </c>
      <c r="AR277" s="8">
        <v>4.6120000000000001</v>
      </c>
      <c r="AS277" s="8">
        <v>0</v>
      </c>
      <c r="AT277" s="8">
        <v>2.5539999999999998</v>
      </c>
      <c r="AU277" s="8">
        <v>0</v>
      </c>
      <c r="AV277" s="8">
        <v>0.30599999999999999</v>
      </c>
      <c r="AW277" s="8">
        <v>0</v>
      </c>
      <c r="AX277" s="8">
        <v>0</v>
      </c>
      <c r="AY277" s="8">
        <v>0</v>
      </c>
      <c r="AZ277" s="8">
        <v>0</v>
      </c>
      <c r="BA277" s="8">
        <v>0</v>
      </c>
      <c r="BB277" s="8">
        <v>0</v>
      </c>
      <c r="BC277" s="8">
        <v>392.423</v>
      </c>
      <c r="BD277" s="8">
        <v>0</v>
      </c>
      <c r="BE277" s="8">
        <v>0</v>
      </c>
      <c r="BF277" s="8">
        <v>113.459</v>
      </c>
      <c r="BG277" s="8">
        <v>0</v>
      </c>
      <c r="BH277" s="8">
        <v>0</v>
      </c>
      <c r="BI277" s="8">
        <v>0</v>
      </c>
      <c r="BL277" s="22"/>
    </row>
    <row r="278" spans="1:64" ht="15.75">
      <c r="A278" s="22"/>
      <c r="B278" s="7" t="s">
        <v>461</v>
      </c>
      <c r="C278" s="7" t="s">
        <v>484</v>
      </c>
      <c r="D278" s="8">
        <v>6</v>
      </c>
      <c r="E278" s="8">
        <v>6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0</v>
      </c>
      <c r="BB278" s="8">
        <v>0</v>
      </c>
      <c r="BC278" s="8">
        <v>0</v>
      </c>
      <c r="BD278" s="8">
        <v>0</v>
      </c>
      <c r="BE278" s="8">
        <v>0</v>
      </c>
      <c r="BF278" s="8">
        <v>0</v>
      </c>
      <c r="BG278" s="8">
        <v>0</v>
      </c>
      <c r="BH278" s="8">
        <v>0</v>
      </c>
      <c r="BI278" s="8">
        <v>0</v>
      </c>
      <c r="BL278" s="22"/>
    </row>
    <row r="279" spans="1:64" ht="15.75">
      <c r="A279" s="22"/>
      <c r="B279" s="7" t="s">
        <v>485</v>
      </c>
      <c r="C279" s="7" t="s">
        <v>486</v>
      </c>
      <c r="D279" s="8">
        <v>5</v>
      </c>
      <c r="E279" s="8">
        <v>5</v>
      </c>
      <c r="F279" s="8">
        <v>189358.913</v>
      </c>
      <c r="G279" s="8">
        <v>0</v>
      </c>
      <c r="H279" s="8">
        <v>10956.130999999999</v>
      </c>
      <c r="I279" s="8">
        <v>4.5990000000000002</v>
      </c>
      <c r="J279" s="8">
        <v>0</v>
      </c>
      <c r="K279" s="8">
        <v>47529.536999999997</v>
      </c>
      <c r="L279" s="8">
        <v>9915.3790000000008</v>
      </c>
      <c r="M279" s="8">
        <v>97460.657999999996</v>
      </c>
      <c r="N279" s="8">
        <v>207458.53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3421.8620000000001</v>
      </c>
      <c r="W279" s="8">
        <v>16303.934999999999</v>
      </c>
      <c r="X279" s="8">
        <v>12979.335999999999</v>
      </c>
      <c r="Y279" s="8">
        <v>0</v>
      </c>
      <c r="Z279" s="8">
        <v>62314.966999999997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75274.771999999997</v>
      </c>
      <c r="AG279" s="8">
        <v>7490.8689999999997</v>
      </c>
      <c r="AH279" s="8">
        <v>27466.899000000001</v>
      </c>
      <c r="AI279" s="8">
        <v>555287.11399999994</v>
      </c>
      <c r="AJ279" s="8">
        <v>157795.09</v>
      </c>
      <c r="AK279" s="8">
        <v>0</v>
      </c>
      <c r="AL279" s="8">
        <v>189.267</v>
      </c>
      <c r="AM279" s="8">
        <v>108.59399999999999</v>
      </c>
      <c r="AN279" s="8">
        <v>1227.117</v>
      </c>
      <c r="AO279" s="8">
        <v>106.95099999999999</v>
      </c>
      <c r="AP279" s="8">
        <v>0</v>
      </c>
      <c r="AQ279" s="8">
        <v>0</v>
      </c>
      <c r="AR279" s="8">
        <v>30430.538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8">
        <v>0</v>
      </c>
      <c r="BI279" s="8">
        <v>0</v>
      </c>
      <c r="BL279" s="22"/>
    </row>
    <row r="280" spans="1:64" ht="15.75">
      <c r="A280" s="22"/>
      <c r="B280" s="7" t="s">
        <v>487</v>
      </c>
      <c r="C280" s="7" t="s">
        <v>488</v>
      </c>
      <c r="D280" s="8">
        <v>5</v>
      </c>
      <c r="E280" s="8">
        <v>5</v>
      </c>
      <c r="F280" s="8">
        <v>12047.281000000001</v>
      </c>
      <c r="G280" s="8">
        <v>1052.5909999999999</v>
      </c>
      <c r="H280" s="8">
        <v>1474.2429999999999</v>
      </c>
      <c r="I280" s="8">
        <v>0</v>
      </c>
      <c r="J280" s="8">
        <v>255.61</v>
      </c>
      <c r="K280" s="8">
        <v>895.76199999999994</v>
      </c>
      <c r="L280" s="8">
        <v>0</v>
      </c>
      <c r="M280" s="8">
        <v>8612.2839999999997</v>
      </c>
      <c r="N280" s="8">
        <v>3980.4389999999999</v>
      </c>
      <c r="O280" s="8">
        <v>0</v>
      </c>
      <c r="P280" s="8">
        <v>0</v>
      </c>
      <c r="Q280" s="8">
        <v>46.067999999999998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150.06800000000001</v>
      </c>
      <c r="X280" s="8">
        <v>451.74700000000001</v>
      </c>
      <c r="Y280" s="8">
        <v>0</v>
      </c>
      <c r="Z280" s="8">
        <v>3564.3159999999998</v>
      </c>
      <c r="AA280" s="8">
        <v>0</v>
      </c>
      <c r="AB280" s="8">
        <v>1214.056</v>
      </c>
      <c r="AC280" s="8">
        <v>0</v>
      </c>
      <c r="AD280" s="8">
        <v>193.376</v>
      </c>
      <c r="AE280" s="8">
        <v>0</v>
      </c>
      <c r="AF280" s="8">
        <v>11595.286</v>
      </c>
      <c r="AG280" s="8">
        <v>0</v>
      </c>
      <c r="AH280" s="8">
        <v>0</v>
      </c>
      <c r="AI280" s="8">
        <v>25284.412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0</v>
      </c>
      <c r="BG280" s="8">
        <v>0</v>
      </c>
      <c r="BH280" s="8">
        <v>0</v>
      </c>
      <c r="BI280" s="8">
        <v>0</v>
      </c>
      <c r="BL280" s="22"/>
    </row>
    <row r="281" spans="1:64" ht="15.75">
      <c r="A281" s="22"/>
      <c r="B281" s="7" t="s">
        <v>489</v>
      </c>
      <c r="C281" s="7" t="s">
        <v>490</v>
      </c>
      <c r="D281" s="8">
        <v>5</v>
      </c>
      <c r="E281" s="8">
        <v>5</v>
      </c>
      <c r="F281" s="8">
        <v>0</v>
      </c>
      <c r="G281" s="8">
        <v>0</v>
      </c>
      <c r="H281" s="8">
        <v>0</v>
      </c>
      <c r="I281" s="8">
        <v>2460.9229999999998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8">
        <v>0</v>
      </c>
      <c r="BI281" s="8">
        <v>0</v>
      </c>
      <c r="BL281" s="22"/>
    </row>
    <row r="282" spans="1:64" ht="15.75">
      <c r="A282" s="22"/>
      <c r="B282" s="7" t="s">
        <v>491</v>
      </c>
      <c r="C282" s="7" t="s">
        <v>492</v>
      </c>
      <c r="D282" s="8">
        <v>5</v>
      </c>
      <c r="E282" s="8">
        <v>5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8">
        <v>0</v>
      </c>
      <c r="AZ282" s="8">
        <v>0</v>
      </c>
      <c r="BA282" s="8">
        <v>0</v>
      </c>
      <c r="BB282" s="8">
        <v>0</v>
      </c>
      <c r="BC282" s="8">
        <v>0</v>
      </c>
      <c r="BD282" s="8">
        <v>0</v>
      </c>
      <c r="BE282" s="8">
        <v>0</v>
      </c>
      <c r="BF282" s="8">
        <v>0</v>
      </c>
      <c r="BG282" s="8">
        <v>0</v>
      </c>
      <c r="BH282" s="8">
        <v>0</v>
      </c>
      <c r="BI282" s="8">
        <v>0</v>
      </c>
      <c r="BL282" s="22"/>
    </row>
    <row r="283" spans="1:64" ht="15.75">
      <c r="A283" s="22"/>
      <c r="B283" s="7" t="s">
        <v>493</v>
      </c>
      <c r="C283" s="7" t="s">
        <v>494</v>
      </c>
      <c r="D283" s="8">
        <v>5</v>
      </c>
      <c r="E283" s="8">
        <v>5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v>0</v>
      </c>
      <c r="AZ283" s="8">
        <v>0</v>
      </c>
      <c r="BA283" s="8">
        <v>0</v>
      </c>
      <c r="BB283" s="8">
        <v>0</v>
      </c>
      <c r="BC283" s="8">
        <v>0</v>
      </c>
      <c r="BD283" s="8">
        <v>0</v>
      </c>
      <c r="BE283" s="8">
        <v>0</v>
      </c>
      <c r="BF283" s="8">
        <v>0</v>
      </c>
      <c r="BG283" s="8">
        <v>0</v>
      </c>
      <c r="BH283" s="8">
        <v>0</v>
      </c>
      <c r="BI283" s="8">
        <v>0</v>
      </c>
      <c r="BL283" s="22"/>
    </row>
    <row r="284" spans="1:64" ht="15.75">
      <c r="A284" s="22"/>
      <c r="B284" s="7" t="s">
        <v>495</v>
      </c>
      <c r="C284" s="7" t="s">
        <v>496</v>
      </c>
      <c r="D284" s="8">
        <v>5</v>
      </c>
      <c r="E284" s="8">
        <v>5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L284" s="22"/>
    </row>
    <row r="285" spans="1:64" ht="15.75">
      <c r="A285" s="22"/>
      <c r="B285" s="7" t="s">
        <v>497</v>
      </c>
      <c r="C285" s="7" t="s">
        <v>498</v>
      </c>
      <c r="D285" s="8">
        <v>5</v>
      </c>
      <c r="E285" s="8">
        <v>5</v>
      </c>
      <c r="F285" s="8">
        <v>49070.067999999999</v>
      </c>
      <c r="G285" s="8">
        <v>4287.3379999999997</v>
      </c>
      <c r="H285" s="8">
        <v>6004.7790000000005</v>
      </c>
      <c r="I285" s="8">
        <v>0</v>
      </c>
      <c r="J285" s="8">
        <v>1041.1389999999999</v>
      </c>
      <c r="K285" s="8">
        <v>3648.54</v>
      </c>
      <c r="L285" s="8">
        <v>0</v>
      </c>
      <c r="M285" s="8">
        <v>42043.663</v>
      </c>
      <c r="N285" s="8">
        <v>16212.819</v>
      </c>
      <c r="O285" s="8">
        <v>0</v>
      </c>
      <c r="P285" s="8">
        <v>0</v>
      </c>
      <c r="Q285" s="8">
        <v>187.64400000000001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611.25099999999998</v>
      </c>
      <c r="X285" s="8">
        <v>1840.0239999999999</v>
      </c>
      <c r="Y285" s="8">
        <v>0</v>
      </c>
      <c r="Z285" s="8">
        <v>14517.896000000001</v>
      </c>
      <c r="AA285" s="8">
        <v>0</v>
      </c>
      <c r="AB285" s="8">
        <v>4945.0110000000004</v>
      </c>
      <c r="AC285" s="8">
        <v>0</v>
      </c>
      <c r="AD285" s="8">
        <v>787.64499999999998</v>
      </c>
      <c r="AE285" s="8">
        <v>0</v>
      </c>
      <c r="AF285" s="8">
        <v>47229.03</v>
      </c>
      <c r="AG285" s="8">
        <v>0</v>
      </c>
      <c r="AH285" s="8">
        <v>0</v>
      </c>
      <c r="AI285" s="8">
        <v>114981.254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>
        <v>0</v>
      </c>
      <c r="BA285" s="8">
        <v>0</v>
      </c>
      <c r="BB285" s="8">
        <v>0</v>
      </c>
      <c r="BC285" s="8">
        <v>0</v>
      </c>
      <c r="BD285" s="8">
        <v>0</v>
      </c>
      <c r="BE285" s="8">
        <v>0</v>
      </c>
      <c r="BF285" s="8">
        <v>0</v>
      </c>
      <c r="BG285" s="8">
        <v>0</v>
      </c>
      <c r="BH285" s="8">
        <v>0</v>
      </c>
      <c r="BI285" s="8">
        <v>0</v>
      </c>
      <c r="BL285" s="22"/>
    </row>
    <row r="286" spans="1:64" ht="15.75">
      <c r="A286" s="22"/>
      <c r="B286" s="7" t="s">
        <v>499</v>
      </c>
      <c r="C286" s="7" t="s">
        <v>500</v>
      </c>
      <c r="D286" s="8">
        <v>5</v>
      </c>
      <c r="E286" s="8">
        <v>5</v>
      </c>
      <c r="F286" s="8">
        <v>199521.24600000001</v>
      </c>
      <c r="G286" s="8">
        <v>18460.349999999999</v>
      </c>
      <c r="H286" s="8">
        <v>27714.098999999998</v>
      </c>
      <c r="I286" s="8">
        <v>0</v>
      </c>
      <c r="J286" s="8">
        <v>4823.2089999999998</v>
      </c>
      <c r="K286" s="8">
        <v>16310.766</v>
      </c>
      <c r="L286" s="8">
        <v>0</v>
      </c>
      <c r="M286" s="8">
        <v>148781.666</v>
      </c>
      <c r="N286" s="8">
        <v>73826.490999999995</v>
      </c>
      <c r="O286" s="8">
        <v>0</v>
      </c>
      <c r="P286" s="8">
        <v>0</v>
      </c>
      <c r="Q286" s="8">
        <v>871.26199999999994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2293.9340000000002</v>
      </c>
      <c r="X286" s="8">
        <v>6988.875</v>
      </c>
      <c r="Y286" s="8">
        <v>0</v>
      </c>
      <c r="Z286" s="8">
        <v>54817.622000000003</v>
      </c>
      <c r="AA286" s="8">
        <v>0</v>
      </c>
      <c r="AB286" s="8">
        <v>18822.885999999999</v>
      </c>
      <c r="AC286" s="8">
        <v>0</v>
      </c>
      <c r="AD286" s="8">
        <v>2955.9160000000002</v>
      </c>
      <c r="AE286" s="8">
        <v>0</v>
      </c>
      <c r="AF286" s="8">
        <v>178227.11900000001</v>
      </c>
      <c r="AG286" s="8">
        <v>0</v>
      </c>
      <c r="AH286" s="8">
        <v>0</v>
      </c>
      <c r="AI286" s="8">
        <v>417486.77799999999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3.0000000000000001E-3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8">
        <v>0</v>
      </c>
      <c r="BC286" s="8">
        <v>0</v>
      </c>
      <c r="BD286" s="8">
        <v>0</v>
      </c>
      <c r="BE286" s="8">
        <v>0</v>
      </c>
      <c r="BF286" s="8">
        <v>0</v>
      </c>
      <c r="BG286" s="8">
        <v>0</v>
      </c>
      <c r="BH286" s="8">
        <v>0</v>
      </c>
      <c r="BI286" s="8">
        <v>0</v>
      </c>
      <c r="BL286" s="22"/>
    </row>
    <row r="287" spans="1:64" ht="15.75">
      <c r="A287" s="22"/>
      <c r="B287" s="7" t="s">
        <v>501</v>
      </c>
      <c r="C287" s="7" t="s">
        <v>502</v>
      </c>
      <c r="D287" s="8">
        <v>5</v>
      </c>
      <c r="E287" s="8">
        <v>5</v>
      </c>
      <c r="F287" s="8">
        <v>1037.223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3141.317</v>
      </c>
      <c r="N287" s="8">
        <v>151.44200000000001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1080.0450000000001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2266.288</v>
      </c>
      <c r="AG287" s="8">
        <v>0</v>
      </c>
      <c r="AH287" s="8">
        <v>0</v>
      </c>
      <c r="AI287" s="8">
        <v>6502.8609999999999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8">
        <v>0</v>
      </c>
      <c r="BI287" s="8">
        <v>0</v>
      </c>
      <c r="BL287" s="22"/>
    </row>
    <row r="288" spans="1:64" ht="15.75">
      <c r="A288" s="22"/>
      <c r="B288" s="7" t="s">
        <v>503</v>
      </c>
      <c r="C288" s="7" t="s">
        <v>504</v>
      </c>
      <c r="D288" s="8">
        <v>5</v>
      </c>
      <c r="E288" s="8">
        <v>5</v>
      </c>
      <c r="F288" s="8">
        <v>46812.493999999999</v>
      </c>
      <c r="G288" s="8">
        <v>3998.9360000000001</v>
      </c>
      <c r="H288" s="8">
        <v>5600.8450000000003</v>
      </c>
      <c r="I288" s="8">
        <v>0</v>
      </c>
      <c r="J288" s="8">
        <v>971.10199999999998</v>
      </c>
      <c r="K288" s="8">
        <v>3403.1109999999999</v>
      </c>
      <c r="L288" s="8">
        <v>0</v>
      </c>
      <c r="M288" s="8">
        <v>33900.794000000002</v>
      </c>
      <c r="N288" s="8">
        <v>15823.965</v>
      </c>
      <c r="O288" s="8">
        <v>0</v>
      </c>
      <c r="P288" s="8">
        <v>0</v>
      </c>
      <c r="Q288" s="8">
        <v>175.02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570.13199999999995</v>
      </c>
      <c r="X288" s="8">
        <v>1716.251</v>
      </c>
      <c r="Y288" s="8">
        <v>0</v>
      </c>
      <c r="Z288" s="8">
        <v>13541.302</v>
      </c>
      <c r="AA288" s="8">
        <v>0</v>
      </c>
      <c r="AB288" s="8">
        <v>4612.3649999999998</v>
      </c>
      <c r="AC288" s="8">
        <v>0</v>
      </c>
      <c r="AD288" s="8">
        <v>734.66399999999999</v>
      </c>
      <c r="AE288" s="8">
        <v>0</v>
      </c>
      <c r="AF288" s="8">
        <v>44052.008000000002</v>
      </c>
      <c r="AG288" s="8">
        <v>0</v>
      </c>
      <c r="AH288" s="8">
        <v>0</v>
      </c>
      <c r="AI288" s="8">
        <v>96878.760999999999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0</v>
      </c>
      <c r="BE288" s="8">
        <v>0</v>
      </c>
      <c r="BF288" s="8">
        <v>0</v>
      </c>
      <c r="BG288" s="8">
        <v>0</v>
      </c>
      <c r="BH288" s="8">
        <v>0</v>
      </c>
      <c r="BI288" s="8">
        <v>0</v>
      </c>
      <c r="BL288" s="22"/>
    </row>
    <row r="289" spans="1:64" ht="15.75">
      <c r="A289" s="22"/>
      <c r="B289" s="7" t="s">
        <v>505</v>
      </c>
      <c r="C289" s="7" t="s">
        <v>506</v>
      </c>
      <c r="D289" s="8">
        <v>5</v>
      </c>
      <c r="E289" s="8">
        <v>5</v>
      </c>
      <c r="F289" s="8">
        <v>43309.976000000002</v>
      </c>
      <c r="G289" s="8">
        <v>680.99099999999999</v>
      </c>
      <c r="H289" s="8">
        <v>953.78599999999994</v>
      </c>
      <c r="I289" s="8">
        <v>9874.7090000000007</v>
      </c>
      <c r="J289" s="8">
        <v>165.37200000000001</v>
      </c>
      <c r="K289" s="8">
        <v>579.52700000000004</v>
      </c>
      <c r="L289" s="8">
        <v>0</v>
      </c>
      <c r="M289" s="8">
        <v>64996.087</v>
      </c>
      <c r="N289" s="8">
        <v>10053.200000000001</v>
      </c>
      <c r="O289" s="8">
        <v>0</v>
      </c>
      <c r="P289" s="8">
        <v>0</v>
      </c>
      <c r="Q289" s="8">
        <v>29.803999999999998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97.088999999999999</v>
      </c>
      <c r="X289" s="8">
        <v>292.26600000000002</v>
      </c>
      <c r="Y289" s="8">
        <v>0</v>
      </c>
      <c r="Z289" s="8">
        <v>22241.186000000002</v>
      </c>
      <c r="AA289" s="8">
        <v>0</v>
      </c>
      <c r="AB289" s="8">
        <v>816.80799999999999</v>
      </c>
      <c r="AC289" s="8">
        <v>0</v>
      </c>
      <c r="AD289" s="8">
        <v>125.108</v>
      </c>
      <c r="AE289" s="8">
        <v>0</v>
      </c>
      <c r="AF289" s="8">
        <v>63919.31</v>
      </c>
      <c r="AG289" s="8">
        <v>0</v>
      </c>
      <c r="AH289" s="8">
        <v>0</v>
      </c>
      <c r="AI289" s="8">
        <v>144562.992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0</v>
      </c>
      <c r="BH289" s="8">
        <v>0</v>
      </c>
      <c r="BI289" s="8">
        <v>0</v>
      </c>
      <c r="BL289" s="22"/>
    </row>
    <row r="290" spans="1:64" ht="15.75">
      <c r="A290" s="22"/>
      <c r="B290" s="7" t="s">
        <v>507</v>
      </c>
      <c r="C290" s="7" t="s">
        <v>508</v>
      </c>
      <c r="D290" s="8">
        <v>5</v>
      </c>
      <c r="E290" s="8">
        <v>5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0</v>
      </c>
      <c r="BI290" s="8">
        <v>0</v>
      </c>
      <c r="BL290" s="22"/>
    </row>
    <row r="291" spans="1:64" ht="15.75">
      <c r="A291" s="22"/>
      <c r="B291" s="7" t="s">
        <v>509</v>
      </c>
      <c r="C291" s="7" t="s">
        <v>510</v>
      </c>
      <c r="D291" s="8">
        <v>5</v>
      </c>
      <c r="E291" s="8">
        <v>5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L291" s="22"/>
    </row>
    <row r="292" spans="1:64" ht="15.75">
      <c r="A292" s="22"/>
      <c r="B292" s="7" t="s">
        <v>511</v>
      </c>
      <c r="C292" s="7" t="s">
        <v>512</v>
      </c>
      <c r="D292" s="8">
        <v>5</v>
      </c>
      <c r="E292" s="8">
        <v>5</v>
      </c>
      <c r="F292" s="8">
        <v>174881.255</v>
      </c>
      <c r="G292" s="8">
        <v>10808.450999999999</v>
      </c>
      <c r="H292" s="8">
        <v>10685.044</v>
      </c>
      <c r="I292" s="8">
        <v>0</v>
      </c>
      <c r="J292" s="8">
        <v>2124.6570000000002</v>
      </c>
      <c r="K292" s="8">
        <v>6511.857</v>
      </c>
      <c r="L292" s="8">
        <v>0</v>
      </c>
      <c r="M292" s="8">
        <v>96513.614000000001</v>
      </c>
      <c r="N292" s="8">
        <v>26975.202000000001</v>
      </c>
      <c r="O292" s="8">
        <v>0</v>
      </c>
      <c r="P292" s="8">
        <v>0</v>
      </c>
      <c r="Q292" s="8">
        <v>75.900999999999996</v>
      </c>
      <c r="R292" s="8">
        <v>0</v>
      </c>
      <c r="S292" s="8">
        <v>0.24</v>
      </c>
      <c r="T292" s="8">
        <v>0</v>
      </c>
      <c r="U292" s="8">
        <v>0</v>
      </c>
      <c r="V292" s="8">
        <v>0</v>
      </c>
      <c r="W292" s="8">
        <v>1850.8309999999999</v>
      </c>
      <c r="X292" s="8">
        <v>4496.357</v>
      </c>
      <c r="Y292" s="8">
        <v>0</v>
      </c>
      <c r="Z292" s="8">
        <v>36564.557999999997</v>
      </c>
      <c r="AA292" s="8">
        <v>0</v>
      </c>
      <c r="AB292" s="8">
        <v>19468.674999999999</v>
      </c>
      <c r="AC292" s="8">
        <v>0</v>
      </c>
      <c r="AD292" s="8">
        <v>3621.6260000000002</v>
      </c>
      <c r="AE292" s="8">
        <v>0</v>
      </c>
      <c r="AF292" s="8">
        <v>100821.452</v>
      </c>
      <c r="AG292" s="8">
        <v>0</v>
      </c>
      <c r="AH292" s="8">
        <v>0</v>
      </c>
      <c r="AI292" s="8">
        <v>348844.728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8">
        <v>0</v>
      </c>
      <c r="BE292" s="8">
        <v>0</v>
      </c>
      <c r="BF292" s="8">
        <v>0</v>
      </c>
      <c r="BG292" s="8">
        <v>0</v>
      </c>
      <c r="BH292" s="8">
        <v>0</v>
      </c>
      <c r="BI292" s="8">
        <v>0</v>
      </c>
      <c r="BL292" s="22"/>
    </row>
    <row r="293" spans="1:64" ht="15.75">
      <c r="A293" s="22"/>
      <c r="B293" s="7" t="s">
        <v>513</v>
      </c>
      <c r="C293" s="7" t="s">
        <v>514</v>
      </c>
      <c r="D293" s="8">
        <v>5</v>
      </c>
      <c r="E293" s="8">
        <v>5</v>
      </c>
      <c r="F293" s="8">
        <v>200912.88500000001</v>
      </c>
      <c r="G293" s="8">
        <v>11388.768</v>
      </c>
      <c r="H293" s="8">
        <v>10880.543</v>
      </c>
      <c r="I293" s="8">
        <v>0</v>
      </c>
      <c r="J293" s="8">
        <v>2196.2649999999999</v>
      </c>
      <c r="K293" s="8">
        <v>6633.3429999999998</v>
      </c>
      <c r="L293" s="8">
        <v>0</v>
      </c>
      <c r="M293" s="8">
        <v>121136.62</v>
      </c>
      <c r="N293" s="8">
        <v>31013.034</v>
      </c>
      <c r="O293" s="8">
        <v>0</v>
      </c>
      <c r="P293" s="8">
        <v>0</v>
      </c>
      <c r="Q293" s="8">
        <v>46.256999999999998</v>
      </c>
      <c r="R293" s="8">
        <v>0</v>
      </c>
      <c r="S293" s="8">
        <v>0.28599999999999998</v>
      </c>
      <c r="T293" s="8">
        <v>0</v>
      </c>
      <c r="U293" s="8">
        <v>0</v>
      </c>
      <c r="V293" s="8">
        <v>0</v>
      </c>
      <c r="W293" s="8">
        <v>1976.509</v>
      </c>
      <c r="X293" s="8">
        <v>4725.692</v>
      </c>
      <c r="Y293" s="8">
        <v>0</v>
      </c>
      <c r="Z293" s="8">
        <v>38646.550999999999</v>
      </c>
      <c r="AA293" s="8">
        <v>0</v>
      </c>
      <c r="AB293" s="8">
        <v>21108.690999999999</v>
      </c>
      <c r="AC293" s="8">
        <v>0</v>
      </c>
      <c r="AD293" s="8">
        <v>3955.0120000000002</v>
      </c>
      <c r="AE293" s="8">
        <v>0</v>
      </c>
      <c r="AF293" s="8">
        <v>109393.467</v>
      </c>
      <c r="AG293" s="8">
        <v>0</v>
      </c>
      <c r="AH293" s="8">
        <v>0</v>
      </c>
      <c r="AI293" s="8">
        <v>400463.91800000001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>
        <v>0</v>
      </c>
      <c r="BA293" s="8">
        <v>0</v>
      </c>
      <c r="BB293" s="8">
        <v>0</v>
      </c>
      <c r="BC293" s="8">
        <v>0</v>
      </c>
      <c r="BD293" s="8">
        <v>0</v>
      </c>
      <c r="BE293" s="8">
        <v>0</v>
      </c>
      <c r="BF293" s="8">
        <v>0</v>
      </c>
      <c r="BG293" s="8">
        <v>0</v>
      </c>
      <c r="BH293" s="8">
        <v>0</v>
      </c>
      <c r="BI293" s="8">
        <v>0</v>
      </c>
      <c r="BL293" s="22"/>
    </row>
    <row r="294" spans="1:64" ht="15.75">
      <c r="A294" s="22"/>
      <c r="B294" s="7" t="s">
        <v>515</v>
      </c>
      <c r="C294" s="7" t="s">
        <v>516</v>
      </c>
      <c r="D294" s="8">
        <v>5</v>
      </c>
      <c r="E294" s="8">
        <v>5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0</v>
      </c>
      <c r="BH294" s="8">
        <v>0</v>
      </c>
      <c r="BI294" s="8">
        <v>0</v>
      </c>
      <c r="BL294" s="22"/>
    </row>
    <row r="295" spans="1:64" ht="15.75">
      <c r="A295" s="22"/>
      <c r="B295" s="7" t="s">
        <v>517</v>
      </c>
      <c r="C295" s="7" t="s">
        <v>518</v>
      </c>
      <c r="D295" s="8">
        <v>5</v>
      </c>
      <c r="E295" s="8">
        <v>5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8">
        <v>0</v>
      </c>
      <c r="BI295" s="8">
        <v>0</v>
      </c>
      <c r="BL295" s="22"/>
    </row>
    <row r="296" spans="1:64" ht="15.75">
      <c r="A296" s="22"/>
      <c r="B296" s="7" t="s">
        <v>519</v>
      </c>
      <c r="C296" s="7" t="s">
        <v>520</v>
      </c>
      <c r="D296" s="8">
        <v>5</v>
      </c>
      <c r="E296" s="8">
        <v>5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  <c r="AZ296" s="8">
        <v>0</v>
      </c>
      <c r="BA296" s="8">
        <v>0</v>
      </c>
      <c r="BB296" s="8">
        <v>0</v>
      </c>
      <c r="BC296" s="8">
        <v>0</v>
      </c>
      <c r="BD296" s="8">
        <v>0</v>
      </c>
      <c r="BE296" s="8">
        <v>0</v>
      </c>
      <c r="BF296" s="8">
        <v>0</v>
      </c>
      <c r="BG296" s="8">
        <v>0</v>
      </c>
      <c r="BH296" s="8">
        <v>0</v>
      </c>
      <c r="BI296" s="8">
        <v>0</v>
      </c>
      <c r="BL296" s="22"/>
    </row>
    <row r="297" spans="1:64" ht="15.75">
      <c r="A297" s="22"/>
      <c r="B297" s="7" t="s">
        <v>521</v>
      </c>
      <c r="C297" s="7" t="s">
        <v>522</v>
      </c>
      <c r="D297" s="8">
        <v>5</v>
      </c>
      <c r="E297" s="8">
        <v>5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8">
        <v>0</v>
      </c>
      <c r="AZ297" s="8">
        <v>0</v>
      </c>
      <c r="BA297" s="8">
        <v>0</v>
      </c>
      <c r="BB297" s="8">
        <v>0</v>
      </c>
      <c r="BC297" s="8">
        <v>0</v>
      </c>
      <c r="BD297" s="8">
        <v>0</v>
      </c>
      <c r="BE297" s="8">
        <v>0</v>
      </c>
      <c r="BF297" s="8">
        <v>0</v>
      </c>
      <c r="BG297" s="8">
        <v>0</v>
      </c>
      <c r="BH297" s="8">
        <v>0</v>
      </c>
      <c r="BI297" s="8">
        <v>0</v>
      </c>
      <c r="BL297" s="22"/>
    </row>
    <row r="298" spans="1:64" ht="15.75">
      <c r="A298" s="22"/>
      <c r="B298" s="7" t="s">
        <v>523</v>
      </c>
      <c r="C298" s="7" t="s">
        <v>524</v>
      </c>
      <c r="D298" s="8">
        <v>5</v>
      </c>
      <c r="E298" s="8">
        <v>5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0</v>
      </c>
      <c r="AY298" s="8">
        <v>0</v>
      </c>
      <c r="AZ298" s="8">
        <v>0</v>
      </c>
      <c r="BA298" s="8">
        <v>0</v>
      </c>
      <c r="BB298" s="8">
        <v>0</v>
      </c>
      <c r="BC298" s="8">
        <v>0</v>
      </c>
      <c r="BD298" s="8">
        <v>0</v>
      </c>
      <c r="BE298" s="8">
        <v>0</v>
      </c>
      <c r="BF298" s="8">
        <v>0</v>
      </c>
      <c r="BG298" s="8">
        <v>0</v>
      </c>
      <c r="BH298" s="8">
        <v>0</v>
      </c>
      <c r="BI298" s="8">
        <v>0</v>
      </c>
      <c r="BL298" s="22"/>
    </row>
    <row r="299" spans="1:64" ht="15.75">
      <c r="A299" s="22"/>
      <c r="B299" s="7" t="s">
        <v>525</v>
      </c>
      <c r="C299" s="7" t="s">
        <v>526</v>
      </c>
      <c r="D299" s="8">
        <v>5</v>
      </c>
      <c r="E299" s="8">
        <v>5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8">
        <v>0</v>
      </c>
      <c r="AZ299" s="8">
        <v>0</v>
      </c>
      <c r="BA299" s="8">
        <v>0</v>
      </c>
      <c r="BB299" s="8">
        <v>0</v>
      </c>
      <c r="BC299" s="8">
        <v>0</v>
      </c>
      <c r="BD299" s="8">
        <v>0</v>
      </c>
      <c r="BE299" s="8">
        <v>0</v>
      </c>
      <c r="BF299" s="8">
        <v>0</v>
      </c>
      <c r="BG299" s="8">
        <v>0</v>
      </c>
      <c r="BH299" s="8">
        <v>0</v>
      </c>
      <c r="BI299" s="8">
        <v>0</v>
      </c>
      <c r="BL299" s="22"/>
    </row>
    <row r="300" spans="1:64" ht="15.75">
      <c r="A300" s="22"/>
      <c r="B300" s="7" t="s">
        <v>527</v>
      </c>
      <c r="C300" s="7" t="s">
        <v>528</v>
      </c>
      <c r="D300" s="8">
        <v>5</v>
      </c>
      <c r="E300" s="8">
        <v>5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0</v>
      </c>
      <c r="AW300" s="8">
        <v>0</v>
      </c>
      <c r="AX300" s="8">
        <v>0</v>
      </c>
      <c r="AY300" s="8">
        <v>0</v>
      </c>
      <c r="AZ300" s="8">
        <v>0</v>
      </c>
      <c r="BA300" s="8">
        <v>0</v>
      </c>
      <c r="BB300" s="8">
        <v>0</v>
      </c>
      <c r="BC300" s="8">
        <v>0</v>
      </c>
      <c r="BD300" s="8">
        <v>0</v>
      </c>
      <c r="BE300" s="8">
        <v>0</v>
      </c>
      <c r="BF300" s="8">
        <v>0</v>
      </c>
      <c r="BG300" s="8">
        <v>0</v>
      </c>
      <c r="BH300" s="8">
        <v>0</v>
      </c>
      <c r="BI300" s="8">
        <v>0</v>
      </c>
      <c r="BL300" s="22"/>
    </row>
    <row r="301" spans="1:64" ht="15.75">
      <c r="A301" s="22"/>
      <c r="B301" s="7" t="s">
        <v>529</v>
      </c>
      <c r="C301" s="7" t="s">
        <v>530</v>
      </c>
      <c r="D301" s="8">
        <v>5</v>
      </c>
      <c r="E301" s="8">
        <v>5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v>0</v>
      </c>
      <c r="AZ301" s="8">
        <v>0</v>
      </c>
      <c r="BA301" s="8">
        <v>0</v>
      </c>
      <c r="BB301" s="8">
        <v>0</v>
      </c>
      <c r="BC301" s="8">
        <v>0</v>
      </c>
      <c r="BD301" s="8">
        <v>0</v>
      </c>
      <c r="BE301" s="8">
        <v>0</v>
      </c>
      <c r="BF301" s="8">
        <v>0</v>
      </c>
      <c r="BG301" s="8">
        <v>0</v>
      </c>
      <c r="BH301" s="8">
        <v>0</v>
      </c>
      <c r="BI301" s="8">
        <v>0</v>
      </c>
      <c r="BL301" s="22"/>
    </row>
    <row r="302" spans="1:64" ht="15.75">
      <c r="A302" s="22"/>
      <c r="B302" s="7" t="s">
        <v>531</v>
      </c>
      <c r="C302" s="7" t="s">
        <v>532</v>
      </c>
      <c r="D302" s="8">
        <v>5</v>
      </c>
      <c r="E302" s="8">
        <v>5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0</v>
      </c>
      <c r="AW302" s="8">
        <v>0</v>
      </c>
      <c r="AX302" s="8">
        <v>0</v>
      </c>
      <c r="AY302" s="8">
        <v>0</v>
      </c>
      <c r="AZ302" s="8">
        <v>0</v>
      </c>
      <c r="BA302" s="8">
        <v>0</v>
      </c>
      <c r="BB302" s="8">
        <v>0</v>
      </c>
      <c r="BC302" s="8">
        <v>0</v>
      </c>
      <c r="BD302" s="8">
        <v>0</v>
      </c>
      <c r="BE302" s="8">
        <v>0</v>
      </c>
      <c r="BF302" s="8">
        <v>0</v>
      </c>
      <c r="BG302" s="8">
        <v>0</v>
      </c>
      <c r="BH302" s="8">
        <v>0</v>
      </c>
      <c r="BI302" s="8">
        <v>0</v>
      </c>
      <c r="BL302" s="22"/>
    </row>
    <row r="303" spans="1:64" ht="15.75">
      <c r="A303" s="22"/>
      <c r="B303" s="7" t="s">
        <v>533</v>
      </c>
      <c r="C303" s="7" t="s">
        <v>534</v>
      </c>
      <c r="D303" s="8">
        <v>5</v>
      </c>
      <c r="E303" s="8">
        <v>5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>
        <v>0</v>
      </c>
      <c r="AX303" s="8">
        <v>0</v>
      </c>
      <c r="AY303" s="8">
        <v>0</v>
      </c>
      <c r="AZ303" s="8">
        <v>0</v>
      </c>
      <c r="BA303" s="8">
        <v>0</v>
      </c>
      <c r="BB303" s="8">
        <v>0</v>
      </c>
      <c r="BC303" s="8">
        <v>0</v>
      </c>
      <c r="BD303" s="8">
        <v>0</v>
      </c>
      <c r="BE303" s="8">
        <v>0</v>
      </c>
      <c r="BF303" s="8">
        <v>0</v>
      </c>
      <c r="BG303" s="8">
        <v>0</v>
      </c>
      <c r="BH303" s="8">
        <v>0</v>
      </c>
      <c r="BI303" s="8">
        <v>0</v>
      </c>
      <c r="BL303" s="22"/>
    </row>
    <row r="304" spans="1:64" ht="15.75">
      <c r="A304" s="22"/>
      <c r="B304" s="7" t="s">
        <v>535</v>
      </c>
      <c r="C304" s="7" t="s">
        <v>536</v>
      </c>
      <c r="D304" s="8">
        <v>5</v>
      </c>
      <c r="E304" s="8">
        <v>5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8">
        <v>0</v>
      </c>
      <c r="AZ304" s="8">
        <v>0</v>
      </c>
      <c r="BA304" s="8">
        <v>0</v>
      </c>
      <c r="BB304" s="8">
        <v>0</v>
      </c>
      <c r="BC304" s="8">
        <v>0</v>
      </c>
      <c r="BD304" s="8">
        <v>0</v>
      </c>
      <c r="BE304" s="8">
        <v>0</v>
      </c>
      <c r="BF304" s="8">
        <v>0</v>
      </c>
      <c r="BG304" s="8">
        <v>0</v>
      </c>
      <c r="BH304" s="8">
        <v>0</v>
      </c>
      <c r="BI304" s="8">
        <v>0</v>
      </c>
      <c r="BL304" s="22"/>
    </row>
    <row r="305" spans="1:64" ht="15.75">
      <c r="A305" s="22"/>
      <c r="B305" s="7" t="s">
        <v>537</v>
      </c>
      <c r="C305" s="7" t="s">
        <v>538</v>
      </c>
      <c r="D305" s="8">
        <v>5</v>
      </c>
      <c r="E305" s="8">
        <v>5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>
        <v>0</v>
      </c>
      <c r="AX305" s="8">
        <v>0</v>
      </c>
      <c r="AY305" s="8">
        <v>0</v>
      </c>
      <c r="AZ305" s="8">
        <v>0</v>
      </c>
      <c r="BA305" s="8">
        <v>0</v>
      </c>
      <c r="BB305" s="8">
        <v>0</v>
      </c>
      <c r="BC305" s="8">
        <v>0</v>
      </c>
      <c r="BD305" s="8">
        <v>0</v>
      </c>
      <c r="BE305" s="8">
        <v>0</v>
      </c>
      <c r="BF305" s="8">
        <v>0</v>
      </c>
      <c r="BG305" s="8">
        <v>0</v>
      </c>
      <c r="BH305" s="8">
        <v>0</v>
      </c>
      <c r="BI305" s="8">
        <v>0</v>
      </c>
      <c r="BL305" s="22"/>
    </row>
    <row r="306" spans="1:64" ht="15.75">
      <c r="A306" s="22"/>
      <c r="B306" s="7" t="s">
        <v>539</v>
      </c>
      <c r="C306" s="7" t="s">
        <v>540</v>
      </c>
      <c r="D306" s="8">
        <v>5</v>
      </c>
      <c r="E306" s="8">
        <v>5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v>0</v>
      </c>
      <c r="AZ306" s="8">
        <v>0</v>
      </c>
      <c r="BA306" s="8">
        <v>0</v>
      </c>
      <c r="BB306" s="8">
        <v>0</v>
      </c>
      <c r="BC306" s="8">
        <v>0</v>
      </c>
      <c r="BD306" s="8">
        <v>0</v>
      </c>
      <c r="BE306" s="8">
        <v>0</v>
      </c>
      <c r="BF306" s="8">
        <v>0</v>
      </c>
      <c r="BG306" s="8">
        <v>0</v>
      </c>
      <c r="BH306" s="8">
        <v>0</v>
      </c>
      <c r="BI306" s="8">
        <v>0</v>
      </c>
      <c r="BL306" s="22"/>
    </row>
    <row r="307" spans="1:64" ht="15.75">
      <c r="A307" s="22"/>
      <c r="B307" s="7" t="s">
        <v>541</v>
      </c>
      <c r="C307" s="7" t="s">
        <v>542</v>
      </c>
      <c r="D307" s="8">
        <v>5</v>
      </c>
      <c r="E307" s="8">
        <v>5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8">
        <v>0</v>
      </c>
      <c r="AY307" s="8">
        <v>0</v>
      </c>
      <c r="AZ307" s="8">
        <v>0</v>
      </c>
      <c r="BA307" s="8">
        <v>0</v>
      </c>
      <c r="BB307" s="8">
        <v>0</v>
      </c>
      <c r="BC307" s="8">
        <v>0</v>
      </c>
      <c r="BD307" s="8">
        <v>0</v>
      </c>
      <c r="BE307" s="8">
        <v>0</v>
      </c>
      <c r="BF307" s="8">
        <v>0</v>
      </c>
      <c r="BG307" s="8">
        <v>0</v>
      </c>
      <c r="BH307" s="8">
        <v>0</v>
      </c>
      <c r="BI307" s="8">
        <v>0</v>
      </c>
      <c r="BL307" s="22"/>
    </row>
    <row r="308" spans="1:64" ht="15.75">
      <c r="A308" s="22"/>
      <c r="B308" s="7" t="s">
        <v>543</v>
      </c>
      <c r="C308" s="7" t="s">
        <v>544</v>
      </c>
      <c r="D308" s="8">
        <v>5</v>
      </c>
      <c r="E308" s="8">
        <v>5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X308" s="8">
        <v>0</v>
      </c>
      <c r="AY308" s="8">
        <v>0</v>
      </c>
      <c r="AZ308" s="8">
        <v>0</v>
      </c>
      <c r="BA308" s="8">
        <v>0</v>
      </c>
      <c r="BB308" s="8">
        <v>0</v>
      </c>
      <c r="BC308" s="8">
        <v>0</v>
      </c>
      <c r="BD308" s="8">
        <v>0</v>
      </c>
      <c r="BE308" s="8">
        <v>0</v>
      </c>
      <c r="BF308" s="8">
        <v>0</v>
      </c>
      <c r="BG308" s="8">
        <v>0</v>
      </c>
      <c r="BH308" s="8">
        <v>0</v>
      </c>
      <c r="BI308" s="8">
        <v>0</v>
      </c>
      <c r="BL308" s="22"/>
    </row>
    <row r="309" spans="1:64" ht="15.75">
      <c r="A309" s="22"/>
      <c r="B309" s="7" t="s">
        <v>545</v>
      </c>
      <c r="C309" s="7" t="s">
        <v>546</v>
      </c>
      <c r="D309" s="8">
        <v>5</v>
      </c>
      <c r="E309" s="8">
        <v>5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X309" s="8">
        <v>0</v>
      </c>
      <c r="AY309" s="8">
        <v>0</v>
      </c>
      <c r="AZ309" s="8">
        <v>0</v>
      </c>
      <c r="BA309" s="8">
        <v>0</v>
      </c>
      <c r="BB309" s="8">
        <v>0</v>
      </c>
      <c r="BC309" s="8">
        <v>0</v>
      </c>
      <c r="BD309" s="8">
        <v>0</v>
      </c>
      <c r="BE309" s="8">
        <v>0</v>
      </c>
      <c r="BF309" s="8">
        <v>0</v>
      </c>
      <c r="BG309" s="8">
        <v>0</v>
      </c>
      <c r="BH309" s="8">
        <v>0</v>
      </c>
      <c r="BI309" s="8">
        <v>0</v>
      </c>
      <c r="BL309" s="22"/>
    </row>
    <row r="310" spans="1:64" ht="15.75">
      <c r="A310" s="22"/>
      <c r="B310" s="7" t="s">
        <v>547</v>
      </c>
      <c r="C310" s="7" t="s">
        <v>548</v>
      </c>
      <c r="D310" s="8">
        <v>5</v>
      </c>
      <c r="E310" s="8">
        <v>5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0</v>
      </c>
      <c r="AX310" s="8">
        <v>0</v>
      </c>
      <c r="AY310" s="8">
        <v>0</v>
      </c>
      <c r="AZ310" s="8">
        <v>0</v>
      </c>
      <c r="BA310" s="8">
        <v>0</v>
      </c>
      <c r="BB310" s="8">
        <v>0</v>
      </c>
      <c r="BC310" s="8">
        <v>0</v>
      </c>
      <c r="BD310" s="8">
        <v>0</v>
      </c>
      <c r="BE310" s="8">
        <v>0</v>
      </c>
      <c r="BF310" s="8">
        <v>0</v>
      </c>
      <c r="BG310" s="8">
        <v>0</v>
      </c>
      <c r="BH310" s="8">
        <v>0</v>
      </c>
      <c r="BI310" s="8">
        <v>0</v>
      </c>
      <c r="BL310" s="22"/>
    </row>
    <row r="311" spans="1:64" ht="15.75">
      <c r="A311" s="22"/>
      <c r="B311" s="7" t="s">
        <v>549</v>
      </c>
      <c r="C311" s="7" t="s">
        <v>550</v>
      </c>
      <c r="D311" s="8">
        <v>5</v>
      </c>
      <c r="E311" s="8">
        <v>5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8">
        <v>0</v>
      </c>
      <c r="AZ311" s="8">
        <v>0</v>
      </c>
      <c r="BA311" s="8">
        <v>0</v>
      </c>
      <c r="BB311" s="8">
        <v>0</v>
      </c>
      <c r="BC311" s="8">
        <v>0</v>
      </c>
      <c r="BD311" s="8">
        <v>0</v>
      </c>
      <c r="BE311" s="8">
        <v>0</v>
      </c>
      <c r="BF311" s="8">
        <v>0</v>
      </c>
      <c r="BG311" s="8">
        <v>0</v>
      </c>
      <c r="BH311" s="8">
        <v>0</v>
      </c>
      <c r="BI311" s="8">
        <v>0</v>
      </c>
      <c r="BL311" s="22"/>
    </row>
    <row r="312" spans="1:64" ht="15.75">
      <c r="A312" s="22"/>
      <c r="B312" s="7" t="s">
        <v>551</v>
      </c>
      <c r="C312" s="7" t="s">
        <v>552</v>
      </c>
      <c r="D312" s="8">
        <v>5</v>
      </c>
      <c r="E312" s="8">
        <v>5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>
        <v>0</v>
      </c>
      <c r="AV312" s="8">
        <v>0</v>
      </c>
      <c r="AW312" s="8">
        <v>0</v>
      </c>
      <c r="AX312" s="8">
        <v>0</v>
      </c>
      <c r="AY312" s="8">
        <v>0</v>
      </c>
      <c r="AZ312" s="8">
        <v>0</v>
      </c>
      <c r="BA312" s="8">
        <v>0</v>
      </c>
      <c r="BB312" s="8">
        <v>0</v>
      </c>
      <c r="BC312" s="8">
        <v>0</v>
      </c>
      <c r="BD312" s="8">
        <v>0</v>
      </c>
      <c r="BE312" s="8">
        <v>0</v>
      </c>
      <c r="BF312" s="8">
        <v>0</v>
      </c>
      <c r="BG312" s="8">
        <v>0</v>
      </c>
      <c r="BH312" s="8">
        <v>0</v>
      </c>
      <c r="BI312" s="8">
        <v>0</v>
      </c>
      <c r="BL312" s="22"/>
    </row>
    <row r="313" spans="1:64" ht="15.75">
      <c r="A313" s="22"/>
      <c r="B313" s="7" t="s">
        <v>553</v>
      </c>
      <c r="C313" s="7" t="s">
        <v>554</v>
      </c>
      <c r="D313" s="8">
        <v>5</v>
      </c>
      <c r="E313" s="8">
        <v>5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  <c r="AZ313" s="8">
        <v>0</v>
      </c>
      <c r="BA313" s="8">
        <v>0</v>
      </c>
      <c r="BB313" s="8">
        <v>0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8">
        <v>0</v>
      </c>
      <c r="BI313" s="8">
        <v>0</v>
      </c>
      <c r="BL313" s="22"/>
    </row>
    <row r="314" spans="1:64" ht="15.75">
      <c r="A314" s="22"/>
      <c r="B314" s="7" t="s">
        <v>555</v>
      </c>
      <c r="C314" s="7" t="s">
        <v>556</v>
      </c>
      <c r="D314" s="8">
        <v>5</v>
      </c>
      <c r="E314" s="8">
        <v>5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8">
        <v>0</v>
      </c>
      <c r="AZ314" s="8">
        <v>0</v>
      </c>
      <c r="BA314" s="8">
        <v>0</v>
      </c>
      <c r="BB314" s="8">
        <v>0</v>
      </c>
      <c r="BC314" s="8">
        <v>0</v>
      </c>
      <c r="BD314" s="8">
        <v>0</v>
      </c>
      <c r="BE314" s="8">
        <v>0</v>
      </c>
      <c r="BF314" s="8">
        <v>0</v>
      </c>
      <c r="BG314" s="8">
        <v>0</v>
      </c>
      <c r="BH314" s="8">
        <v>0</v>
      </c>
      <c r="BI314" s="8">
        <v>0</v>
      </c>
      <c r="BL314" s="22"/>
    </row>
    <row r="315" spans="1:64" ht="15.75">
      <c r="A315" s="22"/>
      <c r="B315" s="7" t="s">
        <v>557</v>
      </c>
      <c r="C315" s="7" t="s">
        <v>558</v>
      </c>
      <c r="D315" s="8">
        <v>5</v>
      </c>
      <c r="E315" s="8">
        <v>5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0</v>
      </c>
      <c r="BD315" s="8">
        <v>0</v>
      </c>
      <c r="BE315" s="8">
        <v>0</v>
      </c>
      <c r="BF315" s="8">
        <v>0</v>
      </c>
      <c r="BG315" s="8">
        <v>0</v>
      </c>
      <c r="BH315" s="8">
        <v>0</v>
      </c>
      <c r="BI315" s="8">
        <v>0</v>
      </c>
      <c r="BL315" s="22"/>
    </row>
    <row r="316" spans="1:64" ht="15.75">
      <c r="A316" s="22"/>
      <c r="B316" s="7" t="s">
        <v>559</v>
      </c>
      <c r="C316" s="7" t="s">
        <v>560</v>
      </c>
      <c r="D316" s="8">
        <v>5</v>
      </c>
      <c r="E316" s="8">
        <v>5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0</v>
      </c>
      <c r="BI316" s="8">
        <v>0</v>
      </c>
      <c r="BL316" s="22"/>
    </row>
    <row r="317" spans="1:64" ht="15.75">
      <c r="A317" s="22"/>
      <c r="B317" s="7" t="s">
        <v>561</v>
      </c>
      <c r="C317" s="7" t="s">
        <v>562</v>
      </c>
      <c r="D317" s="8">
        <v>5</v>
      </c>
      <c r="E317" s="8">
        <v>5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  <c r="BF317" s="8">
        <v>0</v>
      </c>
      <c r="BG317" s="8">
        <v>0</v>
      </c>
      <c r="BH317" s="8">
        <v>0</v>
      </c>
      <c r="BI317" s="8">
        <v>0</v>
      </c>
      <c r="BL317" s="22"/>
    </row>
    <row r="318" spans="1:64" ht="15.75">
      <c r="A318" s="22"/>
      <c r="B318" s="7" t="s">
        <v>563</v>
      </c>
      <c r="C318" s="7" t="s">
        <v>564</v>
      </c>
      <c r="D318" s="8">
        <v>5</v>
      </c>
      <c r="E318" s="8">
        <v>5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8">
        <v>0</v>
      </c>
      <c r="BC318" s="8">
        <v>0</v>
      </c>
      <c r="BD318" s="8">
        <v>0</v>
      </c>
      <c r="BE318" s="8">
        <v>0</v>
      </c>
      <c r="BF318" s="8">
        <v>0</v>
      </c>
      <c r="BG318" s="8">
        <v>0</v>
      </c>
      <c r="BH318" s="8">
        <v>0</v>
      </c>
      <c r="BI318" s="8">
        <v>0</v>
      </c>
      <c r="BL318" s="22"/>
    </row>
    <row r="319" spans="1:64" ht="15.75">
      <c r="A319" s="22"/>
      <c r="B319" s="7" t="s">
        <v>565</v>
      </c>
      <c r="C319" s="7" t="s">
        <v>566</v>
      </c>
      <c r="D319" s="8">
        <v>5</v>
      </c>
      <c r="E319" s="8">
        <v>5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8">
        <v>0</v>
      </c>
      <c r="BC319" s="8">
        <v>0</v>
      </c>
      <c r="BD319" s="8">
        <v>0</v>
      </c>
      <c r="BE319" s="8">
        <v>0</v>
      </c>
      <c r="BF319" s="8">
        <v>0</v>
      </c>
      <c r="BG319" s="8">
        <v>0</v>
      </c>
      <c r="BH319" s="8">
        <v>0</v>
      </c>
      <c r="BI319" s="8">
        <v>0</v>
      </c>
      <c r="BL319" s="22"/>
    </row>
    <row r="320" spans="1:64" ht="15.75">
      <c r="A320" s="22"/>
      <c r="B320" s="7" t="s">
        <v>567</v>
      </c>
      <c r="C320" s="7" t="s">
        <v>568</v>
      </c>
      <c r="D320" s="8">
        <v>5</v>
      </c>
      <c r="E320" s="8">
        <v>5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v>0</v>
      </c>
      <c r="AZ320" s="8">
        <v>0</v>
      </c>
      <c r="BA320" s="8">
        <v>0</v>
      </c>
      <c r="BB320" s="8">
        <v>0</v>
      </c>
      <c r="BC320" s="8">
        <v>0</v>
      </c>
      <c r="BD320" s="8">
        <v>0</v>
      </c>
      <c r="BE320" s="8">
        <v>0</v>
      </c>
      <c r="BF320" s="8">
        <v>0</v>
      </c>
      <c r="BG320" s="8">
        <v>0</v>
      </c>
      <c r="BH320" s="8">
        <v>0</v>
      </c>
      <c r="BI320" s="8">
        <v>0</v>
      </c>
      <c r="BL320" s="22"/>
    </row>
    <row r="321" spans="1:64" ht="15.75">
      <c r="A321" s="22"/>
      <c r="B321" s="7" t="s">
        <v>569</v>
      </c>
      <c r="C321" s="7" t="s">
        <v>570</v>
      </c>
      <c r="D321" s="8">
        <v>5</v>
      </c>
      <c r="E321" s="8">
        <v>5</v>
      </c>
      <c r="F321" s="8">
        <v>-75471.430999999997</v>
      </c>
      <c r="G321" s="8">
        <v>-11247.539000000001</v>
      </c>
      <c r="H321" s="8">
        <v>0</v>
      </c>
      <c r="I321" s="8">
        <v>0</v>
      </c>
      <c r="J321" s="8">
        <v>-311.5</v>
      </c>
      <c r="K321" s="8">
        <v>0</v>
      </c>
      <c r="L321" s="8">
        <v>0</v>
      </c>
      <c r="M321" s="8">
        <v>-170520.82199999999</v>
      </c>
      <c r="N321" s="8">
        <v>-4028.0880000000002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-3623.0770000000002</v>
      </c>
      <c r="U321" s="8">
        <v>0</v>
      </c>
      <c r="V321" s="8">
        <v>0</v>
      </c>
      <c r="W321" s="8">
        <v>0</v>
      </c>
      <c r="X321" s="8">
        <v>-1397.569</v>
      </c>
      <c r="Y321" s="8">
        <v>0</v>
      </c>
      <c r="Z321" s="8">
        <v>-39404.339</v>
      </c>
      <c r="AA321" s="8">
        <v>0</v>
      </c>
      <c r="AB321" s="8">
        <v>-6958.799</v>
      </c>
      <c r="AC321" s="8">
        <v>0</v>
      </c>
      <c r="AD321" s="8">
        <v>-2534.7460000000001</v>
      </c>
      <c r="AE321" s="8">
        <v>0</v>
      </c>
      <c r="AF321" s="8">
        <v>-114405.269</v>
      </c>
      <c r="AG321" s="8">
        <v>-110847.19899999999</v>
      </c>
      <c r="AH321" s="8">
        <v>0</v>
      </c>
      <c r="AI321" s="8">
        <v>-287096.5</v>
      </c>
      <c r="AJ321" s="8">
        <v>-160364.07999999999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-3813.7829999999999</v>
      </c>
      <c r="AQ321" s="8">
        <v>0</v>
      </c>
      <c r="AR321" s="8">
        <v>-46250.374000000003</v>
      </c>
      <c r="AS321" s="8">
        <v>0</v>
      </c>
      <c r="AT321" s="8">
        <v>-36.674999999999997</v>
      </c>
      <c r="AU321" s="8">
        <v>0</v>
      </c>
      <c r="AV321" s="8">
        <v>-218.15799999999999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-1790.6849999999999</v>
      </c>
      <c r="BD321" s="8">
        <v>0</v>
      </c>
      <c r="BE321" s="8">
        <v>0</v>
      </c>
      <c r="BF321" s="8">
        <v>-511.65300000000002</v>
      </c>
      <c r="BG321" s="8">
        <v>0</v>
      </c>
      <c r="BH321" s="8">
        <v>0</v>
      </c>
      <c r="BI321" s="8">
        <v>0</v>
      </c>
      <c r="BL321" s="22"/>
    </row>
    <row r="322" spans="1:64" ht="15.75">
      <c r="A322" s="22"/>
      <c r="B322" s="7" t="s">
        <v>571</v>
      </c>
      <c r="C322" s="7" t="s">
        <v>572</v>
      </c>
      <c r="D322" s="8">
        <v>5</v>
      </c>
      <c r="E322" s="8">
        <v>5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>
        <v>0</v>
      </c>
      <c r="BA322" s="8">
        <v>0</v>
      </c>
      <c r="BB322" s="8">
        <v>0</v>
      </c>
      <c r="BC322" s="8">
        <v>0</v>
      </c>
      <c r="BD322" s="8">
        <v>0</v>
      </c>
      <c r="BE322" s="8">
        <v>0</v>
      </c>
      <c r="BF322" s="8">
        <v>0</v>
      </c>
      <c r="BG322" s="8">
        <v>0</v>
      </c>
      <c r="BH322" s="8">
        <v>0</v>
      </c>
      <c r="BI322" s="8">
        <v>0</v>
      </c>
      <c r="BL322" s="22"/>
    </row>
    <row r="323" spans="1:64" ht="15.75">
      <c r="A323" s="22"/>
      <c r="B323" s="7" t="s">
        <v>573</v>
      </c>
      <c r="C323" s="7" t="s">
        <v>574</v>
      </c>
      <c r="D323" s="8">
        <v>5</v>
      </c>
      <c r="E323" s="8">
        <v>5</v>
      </c>
      <c r="F323" s="8">
        <v>-69726.089000000007</v>
      </c>
      <c r="G323" s="8">
        <v>-10391.308999999999</v>
      </c>
      <c r="H323" s="8">
        <v>0</v>
      </c>
      <c r="I323" s="8">
        <v>0</v>
      </c>
      <c r="J323" s="8">
        <v>-287.78699999999998</v>
      </c>
      <c r="K323" s="8">
        <v>0</v>
      </c>
      <c r="L323" s="8">
        <v>0</v>
      </c>
      <c r="M323" s="8">
        <v>-157539.747</v>
      </c>
      <c r="N323" s="8">
        <v>-3721.4459999999999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-3347.2649999999999</v>
      </c>
      <c r="U323" s="8">
        <v>0</v>
      </c>
      <c r="V323" s="8">
        <v>0</v>
      </c>
      <c r="W323" s="8">
        <v>0</v>
      </c>
      <c r="X323" s="8">
        <v>-1291.1769999999999</v>
      </c>
      <c r="Y323" s="8">
        <v>0</v>
      </c>
      <c r="Z323" s="8">
        <v>-36404.642999999996</v>
      </c>
      <c r="AA323" s="8">
        <v>0</v>
      </c>
      <c r="AB323" s="8">
        <v>-6429.0540000000001</v>
      </c>
      <c r="AC323" s="8">
        <v>0</v>
      </c>
      <c r="AD323" s="8">
        <v>-2341.788</v>
      </c>
      <c r="AE323" s="8">
        <v>0</v>
      </c>
      <c r="AF323" s="8">
        <v>-105696.05</v>
      </c>
      <c r="AG323" s="8">
        <v>-102408.84</v>
      </c>
      <c r="AH323" s="8">
        <v>0</v>
      </c>
      <c r="AI323" s="8">
        <v>-265240.98300000001</v>
      </c>
      <c r="AJ323" s="8">
        <v>-148156.19899999999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-3523.4560000000001</v>
      </c>
      <c r="AQ323" s="8">
        <v>0</v>
      </c>
      <c r="AR323" s="8">
        <v>-42729.517999999996</v>
      </c>
      <c r="AS323" s="8">
        <v>0</v>
      </c>
      <c r="AT323" s="8">
        <v>-33.884</v>
      </c>
      <c r="AU323" s="8">
        <v>0</v>
      </c>
      <c r="AV323" s="8">
        <v>-201.55699999999999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0</v>
      </c>
      <c r="BC323" s="8">
        <v>-1654.3679999999999</v>
      </c>
      <c r="BD323" s="8">
        <v>0</v>
      </c>
      <c r="BE323" s="8">
        <v>0</v>
      </c>
      <c r="BF323" s="8">
        <v>-472.702</v>
      </c>
      <c r="BG323" s="8">
        <v>0</v>
      </c>
      <c r="BH323" s="8">
        <v>0</v>
      </c>
      <c r="BI323" s="8">
        <v>0</v>
      </c>
      <c r="BL323" s="22"/>
    </row>
    <row r="324" spans="1:64" ht="15.75">
      <c r="A324" s="22"/>
      <c r="B324" s="7" t="s">
        <v>575</v>
      </c>
      <c r="C324" s="7" t="s">
        <v>576</v>
      </c>
      <c r="D324" s="8">
        <v>6</v>
      </c>
      <c r="E324" s="8">
        <v>6</v>
      </c>
      <c r="F324" s="8">
        <v>54.408000000000001</v>
      </c>
      <c r="G324" s="8">
        <v>0</v>
      </c>
      <c r="H324" s="8">
        <v>0</v>
      </c>
      <c r="I324" s="8">
        <v>0</v>
      </c>
      <c r="J324" s="8">
        <v>76.768000000000001</v>
      </c>
      <c r="K324" s="8">
        <v>0</v>
      </c>
      <c r="L324" s="8">
        <v>0</v>
      </c>
      <c r="M324" s="8">
        <v>16125.305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  <c r="BD324" s="8">
        <v>0</v>
      </c>
      <c r="BE324" s="8">
        <v>0</v>
      </c>
      <c r="BF324" s="8">
        <v>0</v>
      </c>
      <c r="BG324" s="8">
        <v>0</v>
      </c>
      <c r="BH324" s="8">
        <v>0</v>
      </c>
      <c r="BI324" s="8">
        <v>0</v>
      </c>
      <c r="BL324" s="22"/>
    </row>
    <row r="325" spans="1:64" ht="15.75">
      <c r="A325" s="22"/>
      <c r="B325" s="7" t="s">
        <v>577</v>
      </c>
      <c r="C325" s="7" t="s">
        <v>578</v>
      </c>
      <c r="D325" s="8">
        <v>6</v>
      </c>
      <c r="E325" s="8">
        <v>6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  <c r="BD325" s="8">
        <v>0</v>
      </c>
      <c r="BE325" s="8">
        <v>0</v>
      </c>
      <c r="BF325" s="8">
        <v>0</v>
      </c>
      <c r="BG325" s="8">
        <v>0</v>
      </c>
      <c r="BH325" s="8">
        <v>0</v>
      </c>
      <c r="BI325" s="8">
        <v>0</v>
      </c>
      <c r="BL325" s="22"/>
    </row>
    <row r="326" spans="1:64" ht="15.75">
      <c r="A326" s="22"/>
      <c r="B326" s="7" t="s">
        <v>579</v>
      </c>
      <c r="C326" s="7" t="s">
        <v>580</v>
      </c>
      <c r="D326" s="8">
        <v>6</v>
      </c>
      <c r="E326" s="8">
        <v>6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8">
        <v>0</v>
      </c>
      <c r="BI326" s="8">
        <v>0</v>
      </c>
      <c r="BL326" s="22"/>
    </row>
    <row r="327" spans="1:64" ht="15.75">
      <c r="A327" s="22"/>
      <c r="B327" s="7" t="s">
        <v>581</v>
      </c>
      <c r="C327" s="7" t="s">
        <v>582</v>
      </c>
      <c r="D327" s="8">
        <v>6</v>
      </c>
      <c r="E327" s="8">
        <v>6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  <c r="BD327" s="8">
        <v>0</v>
      </c>
      <c r="BE327" s="8">
        <v>0</v>
      </c>
      <c r="BF327" s="8">
        <v>0</v>
      </c>
      <c r="BG327" s="8">
        <v>0</v>
      </c>
      <c r="BH327" s="8">
        <v>0</v>
      </c>
      <c r="BI327" s="8">
        <v>0</v>
      </c>
      <c r="BL327" s="22"/>
    </row>
    <row r="328" spans="1:64" ht="15.75">
      <c r="A328" s="22"/>
      <c r="B328" s="7" t="s">
        <v>583</v>
      </c>
      <c r="C328" s="7" t="s">
        <v>584</v>
      </c>
      <c r="D328" s="8">
        <v>6</v>
      </c>
      <c r="E328" s="8">
        <v>6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>
        <v>0</v>
      </c>
      <c r="BA328" s="8">
        <v>0</v>
      </c>
      <c r="BB328" s="8">
        <v>0</v>
      </c>
      <c r="BC328" s="8">
        <v>0</v>
      </c>
      <c r="BD328" s="8">
        <v>0</v>
      </c>
      <c r="BE328" s="8">
        <v>0</v>
      </c>
      <c r="BF328" s="8">
        <v>0</v>
      </c>
      <c r="BG328" s="8">
        <v>0</v>
      </c>
      <c r="BH328" s="8">
        <v>0</v>
      </c>
      <c r="BI328" s="8">
        <v>0</v>
      </c>
      <c r="BL328" s="22"/>
    </row>
    <row r="329" spans="1:64" ht="15.75">
      <c r="A329" s="22"/>
      <c r="B329" s="7" t="s">
        <v>585</v>
      </c>
      <c r="C329" s="7" t="s">
        <v>586</v>
      </c>
      <c r="D329" s="8">
        <v>6</v>
      </c>
      <c r="E329" s="8">
        <v>6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  <c r="AZ329" s="8">
        <v>0</v>
      </c>
      <c r="BA329" s="8">
        <v>0</v>
      </c>
      <c r="BB329" s="8">
        <v>0</v>
      </c>
      <c r="BC329" s="8">
        <v>0</v>
      </c>
      <c r="BD329" s="8">
        <v>0</v>
      </c>
      <c r="BE329" s="8">
        <v>0</v>
      </c>
      <c r="BF329" s="8">
        <v>0</v>
      </c>
      <c r="BG329" s="8">
        <v>0</v>
      </c>
      <c r="BH329" s="8">
        <v>0</v>
      </c>
      <c r="BI329" s="8">
        <v>0</v>
      </c>
      <c r="BL329" s="22"/>
    </row>
    <row r="330" spans="1:64" ht="15.75">
      <c r="A330" s="22"/>
      <c r="B330" s="7" t="s">
        <v>587</v>
      </c>
      <c r="C330" s="7" t="s">
        <v>588</v>
      </c>
      <c r="D330" s="8">
        <v>6</v>
      </c>
      <c r="E330" s="8">
        <v>6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0</v>
      </c>
      <c r="BC330" s="8">
        <v>0</v>
      </c>
      <c r="BD330" s="8">
        <v>0</v>
      </c>
      <c r="BE330" s="8">
        <v>0</v>
      </c>
      <c r="BF330" s="8">
        <v>0</v>
      </c>
      <c r="BG330" s="8">
        <v>0</v>
      </c>
      <c r="BH330" s="8">
        <v>0</v>
      </c>
      <c r="BI330" s="8">
        <v>0</v>
      </c>
      <c r="BL330" s="22"/>
    </row>
    <row r="331" spans="1:64" ht="15.75">
      <c r="A331" s="22"/>
      <c r="B331" s="7" t="s">
        <v>589</v>
      </c>
      <c r="C331" s="7" t="s">
        <v>590</v>
      </c>
      <c r="D331" s="8">
        <v>6</v>
      </c>
      <c r="E331" s="8">
        <v>6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8">
        <v>0</v>
      </c>
      <c r="AZ331" s="8">
        <v>0</v>
      </c>
      <c r="BA331" s="8">
        <v>0</v>
      </c>
      <c r="BB331" s="8">
        <v>0</v>
      </c>
      <c r="BC331" s="8">
        <v>0</v>
      </c>
      <c r="BD331" s="8">
        <v>0</v>
      </c>
      <c r="BE331" s="8">
        <v>0</v>
      </c>
      <c r="BF331" s="8">
        <v>0</v>
      </c>
      <c r="BG331" s="8">
        <v>0</v>
      </c>
      <c r="BH331" s="8">
        <v>0</v>
      </c>
      <c r="BI331" s="8">
        <v>0</v>
      </c>
      <c r="BL331" s="22"/>
    </row>
    <row r="332" spans="1:64" ht="15.75">
      <c r="A332" s="22"/>
      <c r="B332" s="7" t="s">
        <v>591</v>
      </c>
      <c r="C332" s="7" t="s">
        <v>592</v>
      </c>
      <c r="D332" s="8">
        <v>6</v>
      </c>
      <c r="E332" s="8">
        <v>6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>
        <v>0</v>
      </c>
      <c r="BA332" s="8">
        <v>0</v>
      </c>
      <c r="BB332" s="8">
        <v>0</v>
      </c>
      <c r="BC332" s="8">
        <v>0</v>
      </c>
      <c r="BD332" s="8">
        <v>0</v>
      </c>
      <c r="BE332" s="8">
        <v>0</v>
      </c>
      <c r="BF332" s="8">
        <v>0</v>
      </c>
      <c r="BG332" s="8">
        <v>0</v>
      </c>
      <c r="BH332" s="8">
        <v>0</v>
      </c>
      <c r="BI332" s="8">
        <v>0</v>
      </c>
      <c r="BL332" s="22"/>
    </row>
    <row r="333" spans="1:64" ht="15.75">
      <c r="A333" s="22"/>
      <c r="B333" s="7" t="s">
        <v>593</v>
      </c>
      <c r="C333" s="7" t="s">
        <v>594</v>
      </c>
      <c r="D333" s="8">
        <v>6</v>
      </c>
      <c r="E333" s="8">
        <v>6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0</v>
      </c>
      <c r="BI333" s="8">
        <v>0</v>
      </c>
      <c r="BL333" s="22"/>
    </row>
    <row r="334" spans="1:64" ht="15.75">
      <c r="A334" s="22"/>
      <c r="B334" s="7" t="s">
        <v>595</v>
      </c>
      <c r="C334" s="7" t="s">
        <v>596</v>
      </c>
      <c r="D334" s="8">
        <v>6</v>
      </c>
      <c r="E334" s="8">
        <v>6</v>
      </c>
      <c r="F334" s="8">
        <v>38397.642</v>
      </c>
      <c r="G334" s="8">
        <v>2709.6350000000002</v>
      </c>
      <c r="H334" s="8">
        <v>2229.4850000000001</v>
      </c>
      <c r="I334" s="8">
        <v>1489.8579999999999</v>
      </c>
      <c r="J334" s="8">
        <v>459.75299999999999</v>
      </c>
      <c r="K334" s="8">
        <v>1408.8889999999999</v>
      </c>
      <c r="L334" s="8">
        <v>0</v>
      </c>
      <c r="M334" s="8">
        <v>22512.366000000002</v>
      </c>
      <c r="N334" s="8">
        <v>6440.2579999999998</v>
      </c>
      <c r="O334" s="8">
        <v>0</v>
      </c>
      <c r="P334" s="8">
        <v>0</v>
      </c>
      <c r="Q334" s="8">
        <v>13.865</v>
      </c>
      <c r="R334" s="8">
        <v>0</v>
      </c>
      <c r="S334" s="8">
        <v>7.9210000000000003</v>
      </c>
      <c r="T334" s="8">
        <v>42.823999999999998</v>
      </c>
      <c r="U334" s="8">
        <v>0</v>
      </c>
      <c r="V334" s="8">
        <v>0</v>
      </c>
      <c r="W334" s="8">
        <v>389.26400000000001</v>
      </c>
      <c r="X334" s="8">
        <v>954.178</v>
      </c>
      <c r="Y334" s="8">
        <v>5.1999999999999998E-2</v>
      </c>
      <c r="Z334" s="8">
        <v>8194.5750000000007</v>
      </c>
      <c r="AA334" s="8">
        <v>0</v>
      </c>
      <c r="AB334" s="8">
        <v>4196.1059999999998</v>
      </c>
      <c r="AC334" s="8">
        <v>0.47899999999999998</v>
      </c>
      <c r="AD334" s="8">
        <v>789.02</v>
      </c>
      <c r="AE334" s="8">
        <v>0.33200000000000002</v>
      </c>
      <c r="AF334" s="8">
        <v>22125.839</v>
      </c>
      <c r="AG334" s="8">
        <v>978.13300000000004</v>
      </c>
      <c r="AH334" s="8">
        <v>1.2090000000000001</v>
      </c>
      <c r="AI334" s="8">
        <v>78669.258000000002</v>
      </c>
      <c r="AJ334" s="8">
        <v>1245.29</v>
      </c>
      <c r="AK334" s="8">
        <v>0</v>
      </c>
      <c r="AL334" s="8">
        <v>4.4939999999999998</v>
      </c>
      <c r="AM334" s="8">
        <v>11.792999999999999</v>
      </c>
      <c r="AN334" s="8">
        <v>0</v>
      </c>
      <c r="AO334" s="8">
        <v>10.425000000000001</v>
      </c>
      <c r="AP334" s="8">
        <v>23.968</v>
      </c>
      <c r="AQ334" s="8">
        <v>68.106999999999999</v>
      </c>
      <c r="AR334" s="8">
        <v>296.07</v>
      </c>
      <c r="AS334" s="8">
        <v>17.187000000000001</v>
      </c>
      <c r="AT334" s="8">
        <v>0.28100000000000003</v>
      </c>
      <c r="AU334" s="8">
        <v>0</v>
      </c>
      <c r="AV334" s="8">
        <v>2.04</v>
      </c>
      <c r="AW334" s="8">
        <v>42.375</v>
      </c>
      <c r="AX334" s="8">
        <v>99.052999999999997</v>
      </c>
      <c r="AY334" s="8">
        <v>0.27500000000000002</v>
      </c>
      <c r="AZ334" s="8">
        <v>18.172000000000001</v>
      </c>
      <c r="BA334" s="8">
        <v>461.42</v>
      </c>
      <c r="BB334" s="8">
        <v>0</v>
      </c>
      <c r="BC334" s="8">
        <v>11.37</v>
      </c>
      <c r="BD334" s="8">
        <v>0</v>
      </c>
      <c r="BE334" s="8">
        <v>603.30100000000004</v>
      </c>
      <c r="BF334" s="8">
        <v>3.2290000000000001</v>
      </c>
      <c r="BG334" s="8">
        <v>206.6</v>
      </c>
      <c r="BH334" s="8">
        <v>984.30200000000002</v>
      </c>
      <c r="BI334" s="8">
        <v>0</v>
      </c>
      <c r="BL334" s="22"/>
    </row>
    <row r="335" spans="1:64" ht="15.75">
      <c r="A335" s="22"/>
      <c r="B335" s="7" t="s">
        <v>597</v>
      </c>
      <c r="C335" s="7" t="s">
        <v>598</v>
      </c>
      <c r="D335" s="8">
        <v>6</v>
      </c>
      <c r="E335" s="8">
        <v>6</v>
      </c>
      <c r="F335" s="8">
        <v>-13586.063</v>
      </c>
      <c r="G335" s="8">
        <v>-2819.9850000000001</v>
      </c>
      <c r="H335" s="8">
        <v>-695.15</v>
      </c>
      <c r="I335" s="8">
        <v>20818.393</v>
      </c>
      <c r="J335" s="8">
        <v>-298.02199999999999</v>
      </c>
      <c r="K335" s="8">
        <v>-632.95799999999997</v>
      </c>
      <c r="L335" s="8">
        <v>0</v>
      </c>
      <c r="M335" s="8">
        <v>-29261.734</v>
      </c>
      <c r="N335" s="8">
        <v>-3351.7849999999999</v>
      </c>
      <c r="O335" s="8">
        <v>-0.33300000000000002</v>
      </c>
      <c r="P335" s="8">
        <v>-8.6999999999999994E-2</v>
      </c>
      <c r="Q335" s="8">
        <v>-64.239000000000004</v>
      </c>
      <c r="R335" s="8">
        <v>0</v>
      </c>
      <c r="S335" s="8">
        <v>-128.45500000000001</v>
      </c>
      <c r="T335" s="8">
        <v>-231.47</v>
      </c>
      <c r="U335" s="8">
        <v>0</v>
      </c>
      <c r="V335" s="8">
        <v>0</v>
      </c>
      <c r="W335" s="8">
        <v>-50.008000000000003</v>
      </c>
      <c r="X335" s="8">
        <v>-213.03800000000001</v>
      </c>
      <c r="Y335" s="8">
        <v>-9.2620000000000005</v>
      </c>
      <c r="Z335" s="8">
        <v>-5386.98</v>
      </c>
      <c r="AA335" s="8">
        <v>-0.68899999999999995</v>
      </c>
      <c r="AB335" s="8">
        <v>-1512.2670000000001</v>
      </c>
      <c r="AC335" s="8">
        <v>-19.09</v>
      </c>
      <c r="AD335" s="8">
        <v>-235.97399999999999</v>
      </c>
      <c r="AE335" s="8">
        <v>0</v>
      </c>
      <c r="AF335" s="8">
        <v>-10846.526</v>
      </c>
      <c r="AG335" s="8">
        <v>-6515.7619999999997</v>
      </c>
      <c r="AH335" s="8">
        <v>0</v>
      </c>
      <c r="AI335" s="8">
        <v>-41706.389000000003</v>
      </c>
      <c r="AJ335" s="8">
        <v>-9783.65</v>
      </c>
      <c r="AK335" s="8">
        <v>-2.39</v>
      </c>
      <c r="AL335" s="8">
        <v>-20.466000000000001</v>
      </c>
      <c r="AM335" s="8">
        <v>-0.79400000000000004</v>
      </c>
      <c r="AN335" s="8">
        <v>0</v>
      </c>
      <c r="AO335" s="8">
        <v>-57.707999999999998</v>
      </c>
      <c r="AP335" s="8">
        <v>-223.16399999999999</v>
      </c>
      <c r="AQ335" s="8">
        <v>0</v>
      </c>
      <c r="AR335" s="8">
        <v>-2704.924</v>
      </c>
      <c r="AS335" s="8">
        <v>0</v>
      </c>
      <c r="AT335" s="8">
        <v>-5.7069999999999999</v>
      </c>
      <c r="AU335" s="8">
        <v>0</v>
      </c>
      <c r="AV335" s="8">
        <v>-13.162000000000001</v>
      </c>
      <c r="AW335" s="8">
        <v>0</v>
      </c>
      <c r="AX335" s="8">
        <v>0</v>
      </c>
      <c r="AY335" s="8">
        <v>-77.543999999999997</v>
      </c>
      <c r="AZ335" s="8">
        <v>-4.2089999999999996</v>
      </c>
      <c r="BA335" s="8">
        <v>-146.69399999999999</v>
      </c>
      <c r="BB335" s="8">
        <v>0</v>
      </c>
      <c r="BC335" s="8">
        <v>-109.753</v>
      </c>
      <c r="BD335" s="8">
        <v>0</v>
      </c>
      <c r="BE335" s="8">
        <v>-191.8</v>
      </c>
      <c r="BF335" s="8">
        <v>-30.001000000000001</v>
      </c>
      <c r="BG335" s="8">
        <v>-1049.683</v>
      </c>
      <c r="BH335" s="8">
        <v>-76.072999999999993</v>
      </c>
      <c r="BI335" s="8">
        <v>0</v>
      </c>
      <c r="BL335" s="22"/>
    </row>
    <row r="336" spans="1:64" ht="15.75">
      <c r="A336" s="22"/>
      <c r="B336" s="7" t="s">
        <v>599</v>
      </c>
      <c r="C336" s="7" t="s">
        <v>600</v>
      </c>
      <c r="D336" s="8">
        <v>6</v>
      </c>
      <c r="E336" s="8">
        <v>6</v>
      </c>
      <c r="F336" s="8">
        <v>-1078.712</v>
      </c>
      <c r="G336" s="8">
        <v>-710.14700000000005</v>
      </c>
      <c r="H336" s="8">
        <v>-84.543999999999997</v>
      </c>
      <c r="I336" s="8">
        <v>-22.084</v>
      </c>
      <c r="J336" s="8">
        <v>33.408000000000001</v>
      </c>
      <c r="K336" s="8">
        <v>-40.155000000000001</v>
      </c>
      <c r="L336" s="8">
        <v>-15.03</v>
      </c>
      <c r="M336" s="8">
        <v>-1457.963</v>
      </c>
      <c r="N336" s="8">
        <v>-123.313</v>
      </c>
      <c r="O336" s="8">
        <v>-1.9E-2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-14.667</v>
      </c>
      <c r="W336" s="8">
        <v>-36.994999999999997</v>
      </c>
      <c r="X336" s="8">
        <v>-45.823999999999998</v>
      </c>
      <c r="Y336" s="8">
        <v>-41.372</v>
      </c>
      <c r="Z336" s="8">
        <v>-557.85799999999995</v>
      </c>
      <c r="AA336" s="8">
        <v>-5.3019999999999996</v>
      </c>
      <c r="AB336" s="8">
        <v>-141.334</v>
      </c>
      <c r="AC336" s="8">
        <v>-128.072</v>
      </c>
      <c r="AD336" s="8">
        <v>-56.646000000000001</v>
      </c>
      <c r="AE336" s="8">
        <v>-16.643999999999998</v>
      </c>
      <c r="AF336" s="8">
        <v>-1199.1099999999999</v>
      </c>
      <c r="AG336" s="8">
        <v>-324.68900000000002</v>
      </c>
      <c r="AH336" s="8">
        <v>-74.852000000000004</v>
      </c>
      <c r="AI336" s="8">
        <v>-2112.1999999999998</v>
      </c>
      <c r="AJ336" s="8">
        <v>-352.86399999999998</v>
      </c>
      <c r="AK336" s="8">
        <v>-8.3870000000000005</v>
      </c>
      <c r="AL336" s="8">
        <v>-675.44899999999996</v>
      </c>
      <c r="AM336" s="8">
        <v>-372.68200000000002</v>
      </c>
      <c r="AN336" s="8">
        <v>-38.183999999999997</v>
      </c>
      <c r="AO336" s="8">
        <v>-909.21400000000006</v>
      </c>
      <c r="AP336" s="8">
        <v>-23.611999999999998</v>
      </c>
      <c r="AQ336" s="8">
        <v>-102.864</v>
      </c>
      <c r="AR336" s="8">
        <v>-425.685</v>
      </c>
      <c r="AS336" s="8">
        <v>-11.222</v>
      </c>
      <c r="AT336" s="8">
        <v>0</v>
      </c>
      <c r="AU336" s="8">
        <v>0</v>
      </c>
      <c r="AV336" s="8">
        <v>-322.87400000000002</v>
      </c>
      <c r="AW336" s="8">
        <v>-38.197000000000003</v>
      </c>
      <c r="AX336" s="8">
        <v>-89.876000000000005</v>
      </c>
      <c r="AY336" s="8">
        <v>-7.04</v>
      </c>
      <c r="AZ336" s="8">
        <v>-44.433</v>
      </c>
      <c r="BA336" s="8">
        <v>-54.31</v>
      </c>
      <c r="BB336" s="8">
        <v>-17.771999999999998</v>
      </c>
      <c r="BC336" s="8">
        <v>-4.0389999999999997</v>
      </c>
      <c r="BD336" s="8">
        <v>0</v>
      </c>
      <c r="BE336" s="8">
        <v>-137.78299999999999</v>
      </c>
      <c r="BF336" s="8">
        <v>-2.0569999999999999</v>
      </c>
      <c r="BG336" s="8">
        <v>-113.548</v>
      </c>
      <c r="BH336" s="8">
        <v>-0.11899999999999999</v>
      </c>
      <c r="BI336" s="8">
        <v>-0.68200000000000005</v>
      </c>
      <c r="BL336" s="22"/>
    </row>
    <row r="337" spans="1:64" ht="15.75">
      <c r="A337" s="22"/>
      <c r="B337" s="7" t="s">
        <v>601</v>
      </c>
      <c r="C337" s="7" t="s">
        <v>602</v>
      </c>
      <c r="D337" s="8">
        <v>6</v>
      </c>
      <c r="E337" s="8">
        <v>6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>
        <v>0</v>
      </c>
      <c r="AX337" s="8">
        <v>0</v>
      </c>
      <c r="AY337" s="8">
        <v>0</v>
      </c>
      <c r="AZ337" s="8">
        <v>0</v>
      </c>
      <c r="BA337" s="8">
        <v>0</v>
      </c>
      <c r="BB337" s="8">
        <v>0</v>
      </c>
      <c r="BC337" s="8">
        <v>0</v>
      </c>
      <c r="BD337" s="8">
        <v>0</v>
      </c>
      <c r="BE337" s="8">
        <v>0</v>
      </c>
      <c r="BF337" s="8">
        <v>0</v>
      </c>
      <c r="BG337" s="8">
        <v>0</v>
      </c>
      <c r="BH337" s="8">
        <v>0</v>
      </c>
      <c r="BI337" s="8">
        <v>0</v>
      </c>
      <c r="BL337" s="22"/>
    </row>
    <row r="338" spans="1:64" ht="15.75">
      <c r="A338" s="22"/>
      <c r="B338" s="7" t="s">
        <v>603</v>
      </c>
      <c r="C338" s="7" t="s">
        <v>604</v>
      </c>
      <c r="D338" s="8">
        <v>6</v>
      </c>
      <c r="E338" s="8">
        <v>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L338" s="22"/>
    </row>
    <row r="339" spans="1:64" ht="15.75">
      <c r="A339" s="22"/>
      <c r="B339" s="7" t="s">
        <v>605</v>
      </c>
      <c r="C339" s="7" t="s">
        <v>606</v>
      </c>
      <c r="D339" s="7"/>
      <c r="E339" s="7"/>
      <c r="F339">
        <v>10792645.069</v>
      </c>
      <c r="G339">
        <v>1099624.7450000001</v>
      </c>
      <c r="H339">
        <v>1073660.0930000001</v>
      </c>
      <c r="I339">
        <v>1143154.3540000001</v>
      </c>
      <c r="J339">
        <v>133884.86799999999</v>
      </c>
      <c r="K339">
        <v>728015.005</v>
      </c>
      <c r="L339">
        <v>229709.78200000001</v>
      </c>
      <c r="M339">
        <v>11643600.407</v>
      </c>
      <c r="N339">
        <v>2763105.07</v>
      </c>
      <c r="O339">
        <v>15454.606</v>
      </c>
      <c r="P339">
        <v>16866.455999999998</v>
      </c>
      <c r="Q339">
        <v>16794.401999999998</v>
      </c>
      <c r="R339">
        <v>15029.816999999999</v>
      </c>
      <c r="S339">
        <v>17449.952000000001</v>
      </c>
      <c r="T339">
        <v>356540.21100000001</v>
      </c>
      <c r="U339">
        <v>1026.3130000000001</v>
      </c>
      <c r="V339">
        <v>179556.215</v>
      </c>
      <c r="W339">
        <v>141916.72399999999</v>
      </c>
      <c r="X339">
        <v>277139.61599999998</v>
      </c>
      <c r="Y339">
        <v>226815.48199999999</v>
      </c>
      <c r="Z339">
        <v>3246130.8489999999</v>
      </c>
      <c r="AA339">
        <v>75569.001000000004</v>
      </c>
      <c r="AB339">
        <v>1587366.3370000001</v>
      </c>
      <c r="AC339">
        <v>580180.49399999995</v>
      </c>
      <c r="AD339">
        <v>208407.19399999999</v>
      </c>
      <c r="AE339">
        <v>72519.180999999997</v>
      </c>
      <c r="AF339">
        <v>9754019.8829999994</v>
      </c>
      <c r="AG339">
        <v>4552800.2180000003</v>
      </c>
      <c r="AH339">
        <v>388682.00699999998</v>
      </c>
      <c r="AI339">
        <v>24620618.789000001</v>
      </c>
      <c r="AJ339">
        <v>6998234.1859999998</v>
      </c>
      <c r="AK339">
        <v>379721.02799999999</v>
      </c>
      <c r="AL339">
        <v>9972363.773</v>
      </c>
      <c r="AM339">
        <v>5085592.2549999999</v>
      </c>
      <c r="AN339">
        <v>46947.389000000003</v>
      </c>
      <c r="AO339">
        <v>3355211.909</v>
      </c>
      <c r="AP339">
        <v>281835.35499999998</v>
      </c>
      <c r="AQ339">
        <v>150416.60800000001</v>
      </c>
      <c r="AR339">
        <v>1872257.9850000001</v>
      </c>
      <c r="AS339">
        <v>36783.281000000003</v>
      </c>
      <c r="AT339">
        <v>4039.45</v>
      </c>
      <c r="AU339">
        <v>0</v>
      </c>
      <c r="AV339">
        <v>78955.035000000003</v>
      </c>
      <c r="AW339">
        <v>88208.956999999995</v>
      </c>
      <c r="AX339">
        <v>215360.084</v>
      </c>
      <c r="AY339">
        <v>332405.12400000001</v>
      </c>
      <c r="AZ339">
        <v>148497.10399999999</v>
      </c>
      <c r="BA339">
        <v>1168231.226</v>
      </c>
      <c r="BB339">
        <v>250670.39</v>
      </c>
      <c r="BC339">
        <v>133422.05300000001</v>
      </c>
      <c r="BD339">
        <v>52716.290999999997</v>
      </c>
      <c r="BE339">
        <v>1493261.4410000001</v>
      </c>
      <c r="BF339">
        <v>37932.601999999999</v>
      </c>
      <c r="BG339">
        <v>510327.70600000001</v>
      </c>
      <c r="BH339">
        <v>199582.731</v>
      </c>
      <c r="BI339">
        <v>18677.742999999999</v>
      </c>
      <c r="BL339" s="22"/>
    </row>
    <row r="340" spans="1:64">
      <c r="A340" s="22"/>
      <c r="BL340" s="22"/>
    </row>
    <row r="341" spans="1:64" ht="15.75">
      <c r="A341" s="22"/>
      <c r="B341" s="7" t="s">
        <v>607</v>
      </c>
      <c r="F341">
        <f t="shared" ref="F341:AX341" si="0">SUM(F6:F338)-F339</f>
        <v>0</v>
      </c>
      <c r="G341">
        <f t="shared" si="0"/>
        <v>0</v>
      </c>
      <c r="H341">
        <f t="shared" si="0"/>
        <v>0</v>
      </c>
      <c r="I341">
        <f t="shared" si="0"/>
        <v>0</v>
      </c>
      <c r="J341">
        <f t="shared" si="0"/>
        <v>0</v>
      </c>
      <c r="K341">
        <f t="shared" si="0"/>
        <v>0</v>
      </c>
      <c r="L341">
        <f t="shared" si="0"/>
        <v>0</v>
      </c>
      <c r="M341">
        <f t="shared" si="0"/>
        <v>0</v>
      </c>
      <c r="N341">
        <f t="shared" si="0"/>
        <v>0</v>
      </c>
      <c r="O341">
        <f t="shared" si="0"/>
        <v>0</v>
      </c>
      <c r="P341">
        <f t="shared" si="0"/>
        <v>0</v>
      </c>
      <c r="Q341">
        <f t="shared" si="0"/>
        <v>0</v>
      </c>
      <c r="R341">
        <f t="shared" si="0"/>
        <v>0</v>
      </c>
      <c r="S341">
        <f t="shared" si="0"/>
        <v>0</v>
      </c>
      <c r="T341">
        <f t="shared" si="0"/>
        <v>0</v>
      </c>
      <c r="U341">
        <f t="shared" si="0"/>
        <v>0</v>
      </c>
      <c r="V341">
        <f t="shared" si="0"/>
        <v>0</v>
      </c>
      <c r="W341">
        <f t="shared" si="0"/>
        <v>0</v>
      </c>
      <c r="X341">
        <f t="shared" si="0"/>
        <v>0</v>
      </c>
      <c r="Y341">
        <f t="shared" si="0"/>
        <v>0</v>
      </c>
      <c r="Z341">
        <f t="shared" si="0"/>
        <v>0</v>
      </c>
      <c r="AA341">
        <f t="shared" si="0"/>
        <v>0</v>
      </c>
      <c r="AB341">
        <f t="shared" si="0"/>
        <v>0</v>
      </c>
      <c r="AC341">
        <f t="shared" si="0"/>
        <v>0</v>
      </c>
      <c r="AD341">
        <f t="shared" si="0"/>
        <v>0</v>
      </c>
      <c r="AE341">
        <f t="shared" si="0"/>
        <v>0</v>
      </c>
      <c r="AF341">
        <f t="shared" si="0"/>
        <v>0</v>
      </c>
      <c r="AG341">
        <f t="shared" si="0"/>
        <v>0</v>
      </c>
      <c r="AH341">
        <f t="shared" si="0"/>
        <v>0</v>
      </c>
      <c r="AI341">
        <f t="shared" si="0"/>
        <v>0</v>
      </c>
      <c r="AJ341">
        <f t="shared" si="0"/>
        <v>0</v>
      </c>
      <c r="AK341">
        <f t="shared" si="0"/>
        <v>0</v>
      </c>
      <c r="AL341">
        <f t="shared" si="0"/>
        <v>0</v>
      </c>
      <c r="AM341">
        <f t="shared" si="0"/>
        <v>0</v>
      </c>
      <c r="AN341">
        <f>SUM(AN6:AN338)-AN339</f>
        <v>0</v>
      </c>
      <c r="AO341">
        <f>SUM(AO6:AO338)-AO339</f>
        <v>0</v>
      </c>
      <c r="AP341">
        <f>SUM(AP6:AP338)-AP339</f>
        <v>0</v>
      </c>
      <c r="AQ341">
        <f t="shared" si="0"/>
        <v>0</v>
      </c>
      <c r="AR341">
        <f t="shared" si="0"/>
        <v>0</v>
      </c>
      <c r="AS341">
        <f t="shared" si="0"/>
        <v>0</v>
      </c>
      <c r="AT341">
        <f t="shared" si="0"/>
        <v>0</v>
      </c>
      <c r="AU341">
        <f t="shared" si="0"/>
        <v>0</v>
      </c>
      <c r="AV341">
        <f t="shared" si="0"/>
        <v>0</v>
      </c>
      <c r="AW341">
        <f t="shared" si="0"/>
        <v>0</v>
      </c>
      <c r="AX341">
        <f t="shared" si="0"/>
        <v>0</v>
      </c>
      <c r="AY341">
        <f>SUM(AY6:AY338)-AY339</f>
        <v>0</v>
      </c>
      <c r="AZ341">
        <f t="shared" ref="AZ341:BI341" si="1">SUM(AZ6:AZ338)-AZ339</f>
        <v>0</v>
      </c>
      <c r="BA341">
        <f t="shared" si="1"/>
        <v>0</v>
      </c>
      <c r="BB341">
        <f t="shared" si="1"/>
        <v>0</v>
      </c>
      <c r="BC341">
        <f t="shared" si="1"/>
        <v>0</v>
      </c>
      <c r="BD341">
        <f t="shared" si="1"/>
        <v>0</v>
      </c>
      <c r="BE341">
        <f t="shared" si="1"/>
        <v>0</v>
      </c>
      <c r="BF341">
        <f t="shared" si="1"/>
        <v>0</v>
      </c>
      <c r="BG341">
        <f t="shared" si="1"/>
        <v>0</v>
      </c>
      <c r="BH341">
        <f t="shared" si="1"/>
        <v>0</v>
      </c>
      <c r="BI341">
        <f t="shared" si="1"/>
        <v>0</v>
      </c>
      <c r="BL341" s="22"/>
    </row>
    <row r="342" spans="1:64">
      <c r="A342" s="22"/>
      <c r="BL342" s="22"/>
    </row>
    <row r="343" spans="1:64">
      <c r="A343" s="22"/>
      <c r="B343" t="s">
        <v>608</v>
      </c>
      <c r="E343">
        <v>1</v>
      </c>
      <c r="F343" s="17">
        <f t="shared" ref="F343:AX343" si="2">SUMIF($E$5:$E$337,$E$343,F5:F337)</f>
        <v>1441381.5149999999</v>
      </c>
      <c r="G343" s="17">
        <f t="shared" si="2"/>
        <v>179408.927</v>
      </c>
      <c r="H343" s="17">
        <f t="shared" si="2"/>
        <v>51297.819999999992</v>
      </c>
      <c r="I343" s="17">
        <f t="shared" si="2"/>
        <v>12390.230000000001</v>
      </c>
      <c r="J343" s="17">
        <f t="shared" si="2"/>
        <v>13766.688999999998</v>
      </c>
      <c r="K343" s="17">
        <f t="shared" si="2"/>
        <v>33874.741000000002</v>
      </c>
      <c r="L343" s="17">
        <f t="shared" si="2"/>
        <v>2674.4770000000003</v>
      </c>
      <c r="M343" s="17">
        <f t="shared" si="2"/>
        <v>2421924.3219999997</v>
      </c>
      <c r="N343" s="17">
        <f t="shared" si="2"/>
        <v>185836.11799999999</v>
      </c>
      <c r="O343" s="17">
        <f>SUMIF($E$5:$E$337,$E$343,O5:O337)</f>
        <v>90.951000000000008</v>
      </c>
      <c r="P343" s="17">
        <f t="shared" si="2"/>
        <v>13094.132000000001</v>
      </c>
      <c r="Q343" s="17">
        <f t="shared" si="2"/>
        <v>1060.3619999999999</v>
      </c>
      <c r="R343" s="17">
        <f t="shared" si="2"/>
        <v>7102.0419999999995</v>
      </c>
      <c r="S343" s="17">
        <f t="shared" si="2"/>
        <v>2366.5970000000002</v>
      </c>
      <c r="T343" s="17">
        <f t="shared" si="2"/>
        <v>55147.652000000002</v>
      </c>
      <c r="U343" s="17">
        <f t="shared" si="2"/>
        <v>8.1020000000000003</v>
      </c>
      <c r="V343" s="17">
        <f t="shared" si="2"/>
        <v>1584.1480000000001</v>
      </c>
      <c r="W343" s="17">
        <f t="shared" si="2"/>
        <v>7318.6089999999995</v>
      </c>
      <c r="X343" s="17">
        <f t="shared" si="2"/>
        <v>28835.119999999999</v>
      </c>
      <c r="Y343" s="17">
        <f t="shared" si="2"/>
        <v>137664.06199999998</v>
      </c>
      <c r="Z343" s="17">
        <f t="shared" si="2"/>
        <v>606040.43599999999</v>
      </c>
      <c r="AA343" s="17">
        <f t="shared" si="2"/>
        <v>39260.069000000003</v>
      </c>
      <c r="AB343" s="17">
        <f t="shared" si="2"/>
        <v>173248.01000000004</v>
      </c>
      <c r="AC343" s="17">
        <f t="shared" si="2"/>
        <v>478872.74900000001</v>
      </c>
      <c r="AD343" s="17">
        <f t="shared" si="2"/>
        <v>41084.636999999995</v>
      </c>
      <c r="AE343" s="17">
        <f t="shared" si="2"/>
        <v>22116.002</v>
      </c>
      <c r="AF343" s="17">
        <f t="shared" si="2"/>
        <v>1811776.1689999998</v>
      </c>
      <c r="AG343" s="17">
        <f t="shared" si="2"/>
        <v>1457067.585</v>
      </c>
      <c r="AH343" s="17">
        <f t="shared" si="2"/>
        <v>137598.00899999999</v>
      </c>
      <c r="AI343" s="17">
        <f t="shared" si="2"/>
        <v>4255590.4390000002</v>
      </c>
      <c r="AJ343" s="17">
        <f t="shared" si="2"/>
        <v>2108716.7650000001</v>
      </c>
      <c r="AK343" s="17">
        <f t="shared" si="2"/>
        <v>192512.024</v>
      </c>
      <c r="AL343" s="17">
        <f t="shared" si="2"/>
        <v>6504118.818</v>
      </c>
      <c r="AM343" s="17">
        <f t="shared" si="2"/>
        <v>3314757.4670000002</v>
      </c>
      <c r="AN343" s="17">
        <f>SUMIF($E$5:$E$337,$E$343,AN5:AN337)</f>
        <v>489.05200000000002</v>
      </c>
      <c r="AO343" s="17">
        <f>SUMIF($E$5:$E$337,$E$343,AO5:AO337)</f>
        <v>2188088.9939999999</v>
      </c>
      <c r="AP343" s="17">
        <f>SUMIF($E$5:$E$337,$E$343,AP5:AP337)</f>
        <v>58564.421000000002</v>
      </c>
      <c r="AQ343" s="17">
        <f t="shared" si="2"/>
        <v>16151.020999999999</v>
      </c>
      <c r="AR343" s="17">
        <f t="shared" si="2"/>
        <v>591946.03399999999</v>
      </c>
      <c r="AS343" s="17">
        <f t="shared" si="2"/>
        <v>3833.1930000000002</v>
      </c>
      <c r="AT343" s="17">
        <f t="shared" si="2"/>
        <v>620.83199999999999</v>
      </c>
      <c r="AU343" s="17">
        <f t="shared" si="2"/>
        <v>0</v>
      </c>
      <c r="AV343" s="17">
        <f t="shared" si="2"/>
        <v>10907.189</v>
      </c>
      <c r="AW343" s="17">
        <f t="shared" si="2"/>
        <v>8917.8649999999998</v>
      </c>
      <c r="AX343" s="17">
        <f t="shared" si="2"/>
        <v>23787.978000000003</v>
      </c>
      <c r="AY343" s="17">
        <f>SUMIF($E$5:$E$337,$E$343,AY5:AY337)</f>
        <v>203445.42499999999</v>
      </c>
      <c r="AZ343" s="17">
        <f t="shared" ref="AZ343:BI343" si="3">SUMIF($E$5:$E$337,$E$343,AZ5:AZ337)</f>
        <v>6528.7719999999999</v>
      </c>
      <c r="BA343" s="17">
        <f t="shared" si="3"/>
        <v>20116.564999999999</v>
      </c>
      <c r="BB343" s="17">
        <f t="shared" si="3"/>
        <v>152075.71</v>
      </c>
      <c r="BC343" s="17">
        <f t="shared" si="3"/>
        <v>25893.833999999999</v>
      </c>
      <c r="BD343" s="17">
        <f t="shared" si="3"/>
        <v>2338.4179999999997</v>
      </c>
      <c r="BE343" s="17">
        <f t="shared" si="3"/>
        <v>25480.669000000002</v>
      </c>
      <c r="BF343" s="17">
        <f t="shared" si="3"/>
        <v>7397.3909999999996</v>
      </c>
      <c r="BG343" s="17">
        <f t="shared" si="3"/>
        <v>8824.42</v>
      </c>
      <c r="BH343" s="17">
        <f t="shared" si="3"/>
        <v>108136.77800000001</v>
      </c>
      <c r="BI343" s="17">
        <f t="shared" si="3"/>
        <v>755.45299999999997</v>
      </c>
      <c r="BL343" s="22"/>
    </row>
    <row r="344" spans="1:64">
      <c r="A344" s="22"/>
      <c r="B344" t="s">
        <v>609</v>
      </c>
      <c r="E344">
        <v>2</v>
      </c>
      <c r="F344" s="17">
        <f t="shared" ref="F344:AX344" si="4">SUMIF($E$5:$E$337,$E$344,F5:F337)</f>
        <v>2525377.4979999997</v>
      </c>
      <c r="G344" s="17">
        <f t="shared" si="4"/>
        <v>200057.51</v>
      </c>
      <c r="H344" s="17">
        <f t="shared" si="4"/>
        <v>390561.39900000003</v>
      </c>
      <c r="I344" s="17">
        <f t="shared" si="4"/>
        <v>0</v>
      </c>
      <c r="J344" s="17">
        <f t="shared" si="4"/>
        <v>49902.551000000007</v>
      </c>
      <c r="K344" s="17">
        <f t="shared" si="4"/>
        <v>232386.79100000003</v>
      </c>
      <c r="L344" s="17">
        <f t="shared" si="4"/>
        <v>173101.76200000002</v>
      </c>
      <c r="M344" s="17">
        <f t="shared" si="4"/>
        <v>1306740.6399999999</v>
      </c>
      <c r="N344" s="17">
        <f t="shared" si="4"/>
        <v>566871.65</v>
      </c>
      <c r="O344" s="17">
        <f>SUMIF($E$5:$E$337,$E$344,O5:O337)</f>
        <v>12355.768</v>
      </c>
      <c r="P344" s="17">
        <f t="shared" si="4"/>
        <v>151.22</v>
      </c>
      <c r="Q344" s="17">
        <f t="shared" si="4"/>
        <v>12971.734</v>
      </c>
      <c r="R344" s="17">
        <f t="shared" si="4"/>
        <v>2519.5410000000002</v>
      </c>
      <c r="S344" s="17">
        <f t="shared" si="4"/>
        <v>3644.9029999999998</v>
      </c>
      <c r="T344" s="17">
        <f t="shared" si="4"/>
        <v>62363.665999999997</v>
      </c>
      <c r="U344" s="17">
        <f t="shared" si="4"/>
        <v>1018.211</v>
      </c>
      <c r="V344" s="17">
        <f t="shared" si="4"/>
        <v>139164.54200000002</v>
      </c>
      <c r="W344" s="17">
        <f t="shared" si="4"/>
        <v>36418.245999999999</v>
      </c>
      <c r="X344" s="17">
        <f t="shared" si="4"/>
        <v>58620.315000000002</v>
      </c>
      <c r="Y344" s="17">
        <f t="shared" si="4"/>
        <v>31659.384999999998</v>
      </c>
      <c r="Z344" s="17">
        <f t="shared" si="4"/>
        <v>626575.11599999992</v>
      </c>
      <c r="AA344" s="17">
        <f t="shared" si="4"/>
        <v>21.687000000000001</v>
      </c>
      <c r="AB344" s="17">
        <f t="shared" si="4"/>
        <v>510894.98800000001</v>
      </c>
      <c r="AC344" s="17">
        <f t="shared" si="4"/>
        <v>3995.6970000000001</v>
      </c>
      <c r="AD344" s="17">
        <f t="shared" si="4"/>
        <v>30224.047000000002</v>
      </c>
      <c r="AE344" s="17">
        <f t="shared" si="4"/>
        <v>12820.848000000002</v>
      </c>
      <c r="AF344" s="17">
        <f t="shared" si="4"/>
        <v>1859129.4569999997</v>
      </c>
      <c r="AG344" s="17">
        <f t="shared" si="4"/>
        <v>257394.68600000002</v>
      </c>
      <c r="AH344" s="17">
        <f t="shared" si="4"/>
        <v>58471.027999999998</v>
      </c>
      <c r="AI344" s="17">
        <f t="shared" si="4"/>
        <v>3800906.1950000003</v>
      </c>
      <c r="AJ344" s="17">
        <f t="shared" si="4"/>
        <v>372376.23099999997</v>
      </c>
      <c r="AK344" s="17">
        <f t="shared" si="4"/>
        <v>109.163</v>
      </c>
      <c r="AL344" s="17">
        <f t="shared" si="4"/>
        <v>1206834.773</v>
      </c>
      <c r="AM344" s="17">
        <f t="shared" si="4"/>
        <v>616190.90899999999</v>
      </c>
      <c r="AN344" s="17">
        <f>SUMIF($E$5:$E$337,$E$344,AN5:AN337)</f>
        <v>36089.14</v>
      </c>
      <c r="AO344" s="17">
        <f>SUMIF($E$5:$E$337,$E$344,AO5:AO337)</f>
        <v>406357.03</v>
      </c>
      <c r="AP344" s="17">
        <f>SUMIF($E$5:$E$337,$E$344,AP5:AP337)</f>
        <v>46525.083999999988</v>
      </c>
      <c r="AQ344" s="17">
        <f t="shared" si="4"/>
        <v>0</v>
      </c>
      <c r="AR344" s="17">
        <f t="shared" si="4"/>
        <v>107396.495</v>
      </c>
      <c r="AS344" s="17">
        <f t="shared" si="4"/>
        <v>0</v>
      </c>
      <c r="AT344" s="17">
        <f t="shared" si="4"/>
        <v>1390.8130000000003</v>
      </c>
      <c r="AU344" s="17">
        <f t="shared" si="4"/>
        <v>0</v>
      </c>
      <c r="AV344" s="17">
        <f t="shared" si="4"/>
        <v>30801.796999999999</v>
      </c>
      <c r="AW344" s="17">
        <f t="shared" si="4"/>
        <v>0</v>
      </c>
      <c r="AX344" s="17">
        <f t="shared" si="4"/>
        <v>0</v>
      </c>
      <c r="AY344" s="17">
        <f>SUMIF($E$5:$E$337,$E$344,AY5:AY337)</f>
        <v>45800.023000000001</v>
      </c>
      <c r="AZ344" s="17">
        <f t="shared" ref="AZ344:BI344" si="5">SUMIF($E$5:$E$337,$E$344,AZ5:AZ337)</f>
        <v>34370.975000000006</v>
      </c>
      <c r="BA344" s="17">
        <f t="shared" si="5"/>
        <v>0</v>
      </c>
      <c r="BB344" s="17">
        <f t="shared" si="5"/>
        <v>34995.648000000001</v>
      </c>
      <c r="BC344" s="17">
        <f t="shared" si="5"/>
        <v>23340.529000000002</v>
      </c>
      <c r="BD344" s="17">
        <f t="shared" si="5"/>
        <v>13887.296000000002</v>
      </c>
      <c r="BE344" s="17">
        <f t="shared" si="5"/>
        <v>0</v>
      </c>
      <c r="BF344" s="17">
        <f t="shared" si="5"/>
        <v>6351.2820000000002</v>
      </c>
      <c r="BG344" s="17">
        <f t="shared" si="5"/>
        <v>0</v>
      </c>
      <c r="BH344" s="17">
        <f t="shared" si="5"/>
        <v>13538.261</v>
      </c>
      <c r="BI344" s="17">
        <f t="shared" si="5"/>
        <v>4794.1480000000001</v>
      </c>
      <c r="BL344" s="22"/>
    </row>
    <row r="345" spans="1:64">
      <c r="A345" s="22"/>
      <c r="B345" t="s">
        <v>610</v>
      </c>
      <c r="E345">
        <v>3</v>
      </c>
      <c r="F345" s="17">
        <f t="shared" ref="F345:AX345" si="6">SUMIF($E$5:$E$337,$E$345,F5:F337)</f>
        <v>2198345.4169999994</v>
      </c>
      <c r="G345" s="17">
        <f t="shared" si="6"/>
        <v>277286.19000000006</v>
      </c>
      <c r="H345" s="17">
        <f t="shared" si="6"/>
        <v>486392.34399999998</v>
      </c>
      <c r="I345" s="17">
        <f t="shared" si="6"/>
        <v>41073.598000000005</v>
      </c>
      <c r="J345" s="17">
        <f t="shared" si="6"/>
        <v>40954.570000000007</v>
      </c>
      <c r="K345" s="17">
        <f t="shared" si="6"/>
        <v>328728.07700000011</v>
      </c>
      <c r="L345" s="17">
        <f t="shared" si="6"/>
        <v>32722.637999999999</v>
      </c>
      <c r="M345" s="17">
        <f t="shared" si="6"/>
        <v>974333.02300000016</v>
      </c>
      <c r="N345" s="17">
        <f t="shared" si="6"/>
        <v>947565.18799999985</v>
      </c>
      <c r="O345" s="17">
        <f>SUMIF($E$5:$E$337,$E$345,O5:O337)</f>
        <v>3008.239</v>
      </c>
      <c r="P345" s="17">
        <f t="shared" si="6"/>
        <v>0</v>
      </c>
      <c r="Q345" s="17">
        <f t="shared" si="6"/>
        <v>33.888000000000005</v>
      </c>
      <c r="R345" s="17">
        <f t="shared" si="6"/>
        <v>4325.9900000000007</v>
      </c>
      <c r="S345" s="17">
        <f t="shared" si="6"/>
        <v>10935.673999999999</v>
      </c>
      <c r="T345" s="17">
        <f t="shared" si="6"/>
        <v>120075.05399999999</v>
      </c>
      <c r="U345" s="17">
        <f t="shared" si="6"/>
        <v>0</v>
      </c>
      <c r="V345" s="17">
        <f t="shared" si="6"/>
        <v>26307.248</v>
      </c>
      <c r="W345" s="17">
        <f t="shared" si="6"/>
        <v>66123.728000000003</v>
      </c>
      <c r="X345" s="17">
        <f t="shared" si="6"/>
        <v>102175.30699999997</v>
      </c>
      <c r="Y345" s="17">
        <f t="shared" si="6"/>
        <v>0</v>
      </c>
      <c r="Z345" s="17">
        <f t="shared" si="6"/>
        <v>415718.451</v>
      </c>
      <c r="AA345" s="17">
        <f t="shared" si="6"/>
        <v>4155.3559999999998</v>
      </c>
      <c r="AB345" s="17">
        <f t="shared" si="6"/>
        <v>593037.35400000017</v>
      </c>
      <c r="AC345" s="17">
        <f t="shared" si="6"/>
        <v>0</v>
      </c>
      <c r="AD345" s="17">
        <f t="shared" si="6"/>
        <v>49394.991000000002</v>
      </c>
      <c r="AE345" s="17">
        <f t="shared" si="6"/>
        <v>14273.850999999999</v>
      </c>
      <c r="AF345" s="17">
        <f t="shared" si="6"/>
        <v>1256984.233</v>
      </c>
      <c r="AG345" s="17">
        <f t="shared" si="6"/>
        <v>11346.262000000001</v>
      </c>
      <c r="AH345" s="17">
        <f t="shared" si="6"/>
        <v>58269.138000000006</v>
      </c>
      <c r="AI345" s="17">
        <f t="shared" si="6"/>
        <v>2669297.6350000007</v>
      </c>
      <c r="AJ345" s="17">
        <f t="shared" si="6"/>
        <v>16764.134000000002</v>
      </c>
      <c r="AK345" s="17">
        <f t="shared" si="6"/>
        <v>19246.778999999999</v>
      </c>
      <c r="AL345" s="17">
        <f t="shared" si="6"/>
        <v>0</v>
      </c>
      <c r="AM345" s="17">
        <f t="shared" si="6"/>
        <v>0</v>
      </c>
      <c r="AN345" s="17">
        <f>SUMIF($E$5:$E$337,$E$345,AN5:AN337)</f>
        <v>6822.1819999999998</v>
      </c>
      <c r="AO345" s="17">
        <f>SUMIF($E$5:$E$337,$E$345,AO5:AO337)</f>
        <v>0</v>
      </c>
      <c r="AP345" s="17">
        <f>SUMIF($E$5:$E$337,$E$345,AP5:AP337)</f>
        <v>77765.523000000001</v>
      </c>
      <c r="AQ345" s="17">
        <f t="shared" si="6"/>
        <v>0</v>
      </c>
      <c r="AR345" s="17">
        <f t="shared" si="6"/>
        <v>4473.5259999999989</v>
      </c>
      <c r="AS345" s="17">
        <f t="shared" si="6"/>
        <v>0</v>
      </c>
      <c r="AT345" s="17">
        <f t="shared" si="6"/>
        <v>906.20799999999997</v>
      </c>
      <c r="AU345" s="17">
        <f t="shared" si="6"/>
        <v>0</v>
      </c>
      <c r="AV345" s="17">
        <f t="shared" si="6"/>
        <v>24998.557000000004</v>
      </c>
      <c r="AW345" s="17">
        <f t="shared" si="6"/>
        <v>0</v>
      </c>
      <c r="AX345" s="17">
        <f t="shared" si="6"/>
        <v>0</v>
      </c>
      <c r="AY345" s="17">
        <f>SUMIF($E$5:$E$337,$E$345,AY5:AY337)</f>
        <v>0</v>
      </c>
      <c r="AZ345" s="17">
        <f t="shared" ref="AZ345:BI345" si="7">SUMIF($E$5:$E$337,$E$345,AZ5:AZ337)</f>
        <v>70728.147999999986</v>
      </c>
      <c r="BA345" s="17">
        <f t="shared" si="7"/>
        <v>7088.8170000000009</v>
      </c>
      <c r="BB345" s="17">
        <f t="shared" si="7"/>
        <v>0</v>
      </c>
      <c r="BC345" s="17">
        <f t="shared" si="7"/>
        <v>37372.444000000003</v>
      </c>
      <c r="BD345" s="17">
        <f t="shared" si="7"/>
        <v>34109.775000000001</v>
      </c>
      <c r="BE345" s="17">
        <f t="shared" si="7"/>
        <v>9268.5360000000001</v>
      </c>
      <c r="BF345" s="17">
        <f t="shared" si="7"/>
        <v>10859.941999999999</v>
      </c>
      <c r="BG345" s="17">
        <f t="shared" si="7"/>
        <v>3174.0140000000001</v>
      </c>
      <c r="BH345" s="17">
        <f t="shared" si="7"/>
        <v>11678.69</v>
      </c>
      <c r="BI345" s="17">
        <f t="shared" si="7"/>
        <v>12271.11</v>
      </c>
      <c r="BL345" s="22"/>
    </row>
    <row r="346" spans="1:64">
      <c r="A346" s="22"/>
      <c r="B346" t="s">
        <v>611</v>
      </c>
      <c r="C346">
        <v>7</v>
      </c>
      <c r="E346">
        <v>4</v>
      </c>
      <c r="F346" s="17">
        <f t="shared" ref="F346:AX346" si="8">SUMIF($E$5:$E$337,$E$346,F5:F337)</f>
        <v>1948849.649</v>
      </c>
      <c r="G346" s="17">
        <f t="shared" si="8"/>
        <v>341622.67699999997</v>
      </c>
      <c r="H346" s="17">
        <f t="shared" si="8"/>
        <v>2124.2340000000004</v>
      </c>
      <c r="I346" s="17">
        <f t="shared" si="8"/>
        <v>73306.767999999996</v>
      </c>
      <c r="J346" s="17">
        <f t="shared" si="8"/>
        <v>8235.2689999999984</v>
      </c>
      <c r="K346" s="17">
        <f t="shared" si="8"/>
        <v>1347.9939999999997</v>
      </c>
      <c r="L346" s="17">
        <f t="shared" si="8"/>
        <v>0</v>
      </c>
      <c r="M346" s="17">
        <f t="shared" si="8"/>
        <v>4432603.7190000014</v>
      </c>
      <c r="N346" s="17">
        <f t="shared" si="8"/>
        <v>171980.88999999996</v>
      </c>
      <c r="O346" s="17">
        <f>SUMIF($E$5:$E$337,$E$346,O5:O337)</f>
        <v>0</v>
      </c>
      <c r="P346" s="17">
        <f t="shared" si="8"/>
        <v>3589.4659999999999</v>
      </c>
      <c r="Q346" s="17">
        <f t="shared" si="8"/>
        <v>42.052999999999997</v>
      </c>
      <c r="R346" s="17">
        <f t="shared" si="8"/>
        <v>1132.9690000000001</v>
      </c>
      <c r="S346" s="17">
        <f t="shared" si="8"/>
        <v>92.962000000000003</v>
      </c>
      <c r="T346" s="17">
        <f t="shared" si="8"/>
        <v>109933.23500000002</v>
      </c>
      <c r="U346" s="17">
        <f t="shared" si="8"/>
        <v>0</v>
      </c>
      <c r="V346" s="17">
        <f t="shared" si="8"/>
        <v>0</v>
      </c>
      <c r="W346" s="17">
        <f t="shared" si="8"/>
        <v>362.428</v>
      </c>
      <c r="X346" s="17">
        <f t="shared" si="8"/>
        <v>36947.119000000006</v>
      </c>
      <c r="Y346" s="17">
        <f t="shared" si="8"/>
        <v>57066.589</v>
      </c>
      <c r="Z346" s="17">
        <f t="shared" si="8"/>
        <v>1008757.4479999999</v>
      </c>
      <c r="AA346" s="17">
        <f t="shared" si="8"/>
        <v>31847.173999999999</v>
      </c>
      <c r="AB346" s="17">
        <f t="shared" si="8"/>
        <v>155276.799</v>
      </c>
      <c r="AC346" s="17">
        <f t="shared" si="8"/>
        <v>102026.754</v>
      </c>
      <c r="AD346" s="17">
        <f t="shared" si="8"/>
        <v>68039.49000000002</v>
      </c>
      <c r="AE346" s="17">
        <f t="shared" si="8"/>
        <v>23106.092000000001</v>
      </c>
      <c r="AF346" s="17">
        <f t="shared" si="8"/>
        <v>2965633.3330000001</v>
      </c>
      <c r="AG346" s="17">
        <f t="shared" si="8"/>
        <v>2839323.2559999996</v>
      </c>
      <c r="AH346" s="17">
        <f t="shared" si="8"/>
        <v>105087.61900000001</v>
      </c>
      <c r="AI346" s="17">
        <f t="shared" si="8"/>
        <v>7593759.0819999995</v>
      </c>
      <c r="AJ346" s="17">
        <f t="shared" si="8"/>
        <v>4293527.5540000014</v>
      </c>
      <c r="AK346" s="17">
        <f t="shared" si="8"/>
        <v>166449.55299999999</v>
      </c>
      <c r="AL346" s="17">
        <f t="shared" si="8"/>
        <v>2118636.3800000004</v>
      </c>
      <c r="AM346" s="17">
        <f t="shared" si="8"/>
        <v>1081742.5090000001</v>
      </c>
      <c r="AN346" s="17">
        <f>SUMIF($E$5:$E$337,$E$346,AN5:AN337)</f>
        <v>0</v>
      </c>
      <c r="AO346" s="17">
        <f>SUMIF($E$5:$E$337,$E$346,AO5:AO337)</f>
        <v>713372.53899999999</v>
      </c>
      <c r="AP346" s="17">
        <f>SUMIF($E$5:$E$337,$E$346,AP5:AP337)</f>
        <v>97276.450999999986</v>
      </c>
      <c r="AQ346" s="17">
        <f t="shared" si="8"/>
        <v>134300.34400000001</v>
      </c>
      <c r="AR346" s="17">
        <f t="shared" si="8"/>
        <v>1170398.6270000003</v>
      </c>
      <c r="AS346" s="17">
        <f t="shared" si="8"/>
        <v>32944.123</v>
      </c>
      <c r="AT346" s="17">
        <f t="shared" si="8"/>
        <v>1052.5540000000001</v>
      </c>
      <c r="AU346" s="17">
        <f t="shared" si="8"/>
        <v>0</v>
      </c>
      <c r="AV346" s="17">
        <f t="shared" si="8"/>
        <v>11166.18</v>
      </c>
      <c r="AW346" s="17">
        <f t="shared" si="8"/>
        <v>79286.914000000004</v>
      </c>
      <c r="AX346" s="17">
        <f t="shared" si="8"/>
        <v>191562.929</v>
      </c>
      <c r="AY346" s="17">
        <f>SUMIF($E$5:$E$337,$E$346,AY5:AY337)</f>
        <v>82555.341</v>
      </c>
      <c r="AZ346" s="17">
        <f t="shared" ref="AZ346:BI346" si="9">SUMIF($E$5:$E$337,$E$346,AZ5:AZ337)</f>
        <v>29884.968000000004</v>
      </c>
      <c r="BA346" s="17">
        <f t="shared" si="9"/>
        <v>1053593.5230000003</v>
      </c>
      <c r="BB346" s="17">
        <f t="shared" si="9"/>
        <v>63080.262999999999</v>
      </c>
      <c r="BC346" s="17">
        <f t="shared" si="9"/>
        <v>45917.963999999985</v>
      </c>
      <c r="BD346" s="17">
        <f t="shared" si="9"/>
        <v>196.32400000000001</v>
      </c>
      <c r="BE346" s="17">
        <f t="shared" si="9"/>
        <v>1343655.148</v>
      </c>
      <c r="BF346" s="17">
        <f t="shared" si="9"/>
        <v>13063.026</v>
      </c>
      <c r="BG346" s="17">
        <f t="shared" si="9"/>
        <v>460135.42100000003</v>
      </c>
      <c r="BH346" s="17">
        <f t="shared" si="9"/>
        <v>64562.063999999998</v>
      </c>
      <c r="BI346" s="17">
        <f t="shared" si="9"/>
        <v>70.434000000000012</v>
      </c>
      <c r="BL346" s="22"/>
    </row>
    <row r="347" spans="1:64">
      <c r="A347" s="22"/>
      <c r="B347" t="s">
        <v>612</v>
      </c>
      <c r="E347">
        <v>5</v>
      </c>
      <c r="F347" s="17">
        <f t="shared" ref="F347:AX347" si="10">SUMIF($E$5:$E$337,$E$347,F5:F337)</f>
        <v>771753.821</v>
      </c>
      <c r="G347" s="17">
        <f t="shared" si="10"/>
        <v>29038.576999999997</v>
      </c>
      <c r="H347" s="17">
        <f t="shared" si="10"/>
        <v>74269.47</v>
      </c>
      <c r="I347" s="17">
        <f t="shared" si="10"/>
        <v>966636.02899999998</v>
      </c>
      <c r="J347" s="17">
        <f t="shared" si="10"/>
        <v>10978.066999999999</v>
      </c>
      <c r="K347" s="17">
        <f t="shared" si="10"/>
        <v>85512.442999999999</v>
      </c>
      <c r="L347" s="17">
        <f t="shared" si="10"/>
        <v>9915.3790000000008</v>
      </c>
      <c r="M347" s="17">
        <f t="shared" si="10"/>
        <v>288526.13399999996</v>
      </c>
      <c r="N347" s="17">
        <f t="shared" si="10"/>
        <v>377745.58799999999</v>
      </c>
      <c r="O347" s="17">
        <f>SUMIF($E$5:$E$337,$E$347,O5:O337)</f>
        <v>0</v>
      </c>
      <c r="P347" s="17">
        <f t="shared" si="10"/>
        <v>0</v>
      </c>
      <c r="Q347" s="17">
        <f t="shared" si="10"/>
        <v>1431.9560000000001</v>
      </c>
      <c r="R347" s="17">
        <f t="shared" si="10"/>
        <v>0</v>
      </c>
      <c r="S347" s="17">
        <f t="shared" si="10"/>
        <v>0.52600000000000002</v>
      </c>
      <c r="T347" s="17">
        <f t="shared" si="10"/>
        <v>-6970.3420000000006</v>
      </c>
      <c r="U347" s="17">
        <f t="shared" si="10"/>
        <v>0</v>
      </c>
      <c r="V347" s="17">
        <f t="shared" si="10"/>
        <v>3421.8620000000001</v>
      </c>
      <c r="W347" s="17">
        <f t="shared" si="10"/>
        <v>23853.749000000003</v>
      </c>
      <c r="X347" s="17">
        <f t="shared" si="10"/>
        <v>30801.801999999996</v>
      </c>
      <c r="Y347" s="17">
        <f t="shared" si="10"/>
        <v>0</v>
      </c>
      <c r="Z347" s="17">
        <f t="shared" si="10"/>
        <v>171479.46100000001</v>
      </c>
      <c r="AA347" s="17">
        <f t="shared" si="10"/>
        <v>0</v>
      </c>
      <c r="AB347" s="17">
        <f t="shared" si="10"/>
        <v>57600.638999999996</v>
      </c>
      <c r="AC347" s="17">
        <f t="shared" si="10"/>
        <v>0</v>
      </c>
      <c r="AD347" s="17">
        <f t="shared" si="10"/>
        <v>7496.8129999999983</v>
      </c>
      <c r="AE347" s="17">
        <f t="shared" si="10"/>
        <v>0</v>
      </c>
      <c r="AF347" s="17">
        <f t="shared" si="10"/>
        <v>412677.41300000012</v>
      </c>
      <c r="AG347" s="17">
        <f t="shared" si="10"/>
        <v>-205765.16999999998</v>
      </c>
      <c r="AH347" s="17">
        <f t="shared" si="10"/>
        <v>27466.899000000001</v>
      </c>
      <c r="AI347" s="17">
        <f t="shared" si="10"/>
        <v>1557955.335</v>
      </c>
      <c r="AJ347" s="17">
        <f t="shared" si="10"/>
        <v>-150725.18899999998</v>
      </c>
      <c r="AK347" s="17">
        <f t="shared" si="10"/>
        <v>0</v>
      </c>
      <c r="AL347" s="17">
        <f t="shared" si="10"/>
        <v>189.267</v>
      </c>
      <c r="AM347" s="17">
        <f t="shared" si="10"/>
        <v>108.59399999999999</v>
      </c>
      <c r="AN347" s="17">
        <f>SUMIF($E$5:$E$337,$E$347,AN5:AN337)</f>
        <v>1227.117</v>
      </c>
      <c r="AO347" s="17">
        <f>SUMIF($E$5:$E$337,$E$347,AO5:AO337)</f>
        <v>106.95099999999999</v>
      </c>
      <c r="AP347" s="17">
        <f>SUMIF($E$5:$E$337,$E$347,AP5:AP337)</f>
        <v>-7337.2389999999996</v>
      </c>
      <c r="AQ347" s="17">
        <f t="shared" si="10"/>
        <v>0</v>
      </c>
      <c r="AR347" s="17">
        <f t="shared" si="10"/>
        <v>-58549.353999999999</v>
      </c>
      <c r="AS347" s="17">
        <f t="shared" si="10"/>
        <v>0</v>
      </c>
      <c r="AT347" s="17">
        <f t="shared" si="10"/>
        <v>-70.558999999999997</v>
      </c>
      <c r="AU347" s="17">
        <f t="shared" si="10"/>
        <v>0</v>
      </c>
      <c r="AV347" s="17">
        <f t="shared" si="10"/>
        <v>-419.71199999999999</v>
      </c>
      <c r="AW347" s="17">
        <f t="shared" si="10"/>
        <v>0</v>
      </c>
      <c r="AX347" s="17">
        <f t="shared" si="10"/>
        <v>0</v>
      </c>
      <c r="AY347" s="17">
        <f>SUMIF($E$5:$E$337,$E$347,AY5:AY337)</f>
        <v>0</v>
      </c>
      <c r="AZ347" s="17">
        <f t="shared" ref="AZ347:BI347" si="11">SUMIF($E$5:$E$337,$E$347,AZ5:AZ337)</f>
        <v>0</v>
      </c>
      <c r="BA347" s="17">
        <f t="shared" si="11"/>
        <v>0</v>
      </c>
      <c r="BB347" s="17">
        <f t="shared" si="11"/>
        <v>0</v>
      </c>
      <c r="BC347" s="17">
        <f t="shared" si="11"/>
        <v>-3445.0529999999999</v>
      </c>
      <c r="BD347" s="17">
        <f t="shared" si="11"/>
        <v>0</v>
      </c>
      <c r="BE347" s="17">
        <f t="shared" si="11"/>
        <v>0</v>
      </c>
      <c r="BF347" s="17">
        <f t="shared" si="11"/>
        <v>-984.35500000000002</v>
      </c>
      <c r="BG347" s="17">
        <f t="shared" si="11"/>
        <v>0</v>
      </c>
      <c r="BH347" s="17">
        <f t="shared" si="11"/>
        <v>0</v>
      </c>
      <c r="BI347" s="17">
        <f t="shared" si="11"/>
        <v>0</v>
      </c>
      <c r="BL347" s="22"/>
    </row>
    <row r="348" spans="1:64">
      <c r="A348" s="22"/>
      <c r="B348" t="s">
        <v>613</v>
      </c>
      <c r="C348">
        <v>7</v>
      </c>
      <c r="E348">
        <v>6</v>
      </c>
      <c r="F348" s="17">
        <f t="shared" ref="F348:AX348" si="12">SUMIF($E$5:$E$337,$E$348,F5:F337)+SUMIF($E$5:$E$337,$C$348,F5:F337)</f>
        <v>1906937.1690000002</v>
      </c>
      <c r="G348" s="17">
        <f t="shared" si="12"/>
        <v>72210.864000000001</v>
      </c>
      <c r="H348" s="17">
        <f t="shared" si="12"/>
        <v>69014.826000000015</v>
      </c>
      <c r="I348" s="17">
        <f t="shared" si="12"/>
        <v>49747.728999999999</v>
      </c>
      <c r="J348" s="17">
        <f t="shared" si="12"/>
        <v>10047.721999999994</v>
      </c>
      <c r="K348" s="17">
        <f t="shared" si="12"/>
        <v>46164.959000000003</v>
      </c>
      <c r="L348" s="17">
        <f t="shared" si="12"/>
        <v>11295.526</v>
      </c>
      <c r="M348" s="17">
        <f t="shared" si="12"/>
        <v>2219472.5690000001</v>
      </c>
      <c r="N348" s="17">
        <f t="shared" si="12"/>
        <v>513105.63600000012</v>
      </c>
      <c r="O348" s="17">
        <f>SUMIF($E$5:$E$337,$E$348,O5:O337)+SUMIF($E$5:$E$337,$C$348,O5:O337)</f>
        <v>-0.35200000000000004</v>
      </c>
      <c r="P348" s="17">
        <f t="shared" si="12"/>
        <v>31.63799999999998</v>
      </c>
      <c r="Q348" s="17">
        <f t="shared" si="12"/>
        <v>1254.4090000000001</v>
      </c>
      <c r="R348" s="17">
        <f t="shared" si="12"/>
        <v>-50.724999999999994</v>
      </c>
      <c r="S348" s="17">
        <f t="shared" si="12"/>
        <v>409.28999999999996</v>
      </c>
      <c r="T348" s="17">
        <f t="shared" si="12"/>
        <v>15990.946</v>
      </c>
      <c r="U348" s="17">
        <f t="shared" si="12"/>
        <v>0</v>
      </c>
      <c r="V348" s="17">
        <f t="shared" si="12"/>
        <v>9078.4149999999991</v>
      </c>
      <c r="W348" s="17">
        <f t="shared" si="12"/>
        <v>7839.9640000000009</v>
      </c>
      <c r="X348" s="17">
        <f t="shared" si="12"/>
        <v>19759.952999999998</v>
      </c>
      <c r="Y348" s="17">
        <f t="shared" si="12"/>
        <v>425.44600000000003</v>
      </c>
      <c r="Z348" s="17">
        <f t="shared" si="12"/>
        <v>417559.93699999998</v>
      </c>
      <c r="AA348" s="17">
        <f t="shared" si="12"/>
        <v>284.71499999999997</v>
      </c>
      <c r="AB348" s="17">
        <f t="shared" si="12"/>
        <v>97308.546999999977</v>
      </c>
      <c r="AC348" s="17">
        <f t="shared" si="12"/>
        <v>-4714.7059999999992</v>
      </c>
      <c r="AD348" s="17">
        <f t="shared" si="12"/>
        <v>12167.216</v>
      </c>
      <c r="AE348" s="17">
        <f t="shared" si="12"/>
        <v>202.38799999999998</v>
      </c>
      <c r="AF348" s="17">
        <f t="shared" si="12"/>
        <v>1447819.2779999992</v>
      </c>
      <c r="AG348" s="17">
        <f t="shared" si="12"/>
        <v>193433.59899999999</v>
      </c>
      <c r="AH348" s="17">
        <f t="shared" si="12"/>
        <v>1789.3140000000001</v>
      </c>
      <c r="AI348" s="17">
        <f t="shared" si="12"/>
        <v>4743110.1029999992</v>
      </c>
      <c r="AJ348" s="17">
        <f t="shared" si="12"/>
        <v>357574.69099999993</v>
      </c>
      <c r="AK348" s="17">
        <f t="shared" si="12"/>
        <v>1403.509</v>
      </c>
      <c r="AL348" s="17">
        <f t="shared" si="12"/>
        <v>142584.53500000003</v>
      </c>
      <c r="AM348" s="17">
        <f t="shared" si="12"/>
        <v>72792.776000000013</v>
      </c>
      <c r="AN348" s="17">
        <f>SUMIF($E$5:$E$337,$E$348,AN5:AN337)+SUMIF($E$5:$E$337,$C$348,AN5:AN337)</f>
        <v>2319.8980000000001</v>
      </c>
      <c r="AO348" s="17">
        <f>SUMIF($E$5:$E$337,$E$348,AO5:AO337)+SUMIF($E$5:$E$337,$C$348,AO5:AO337)</f>
        <v>47286.395000000004</v>
      </c>
      <c r="AP348" s="17">
        <f>SUMIF($E$5:$E$337,$E$348,AP5:AP337)+SUMIF($E$5:$E$337,$C$348,AP5:AP337)</f>
        <v>9041.1150000000016</v>
      </c>
      <c r="AQ348" s="17">
        <f t="shared" si="12"/>
        <v>-34.757000000000005</v>
      </c>
      <c r="AR348" s="17">
        <f t="shared" si="12"/>
        <v>56592.657000000007</v>
      </c>
      <c r="AS348" s="17">
        <f t="shared" si="12"/>
        <v>5.9650000000000016</v>
      </c>
      <c r="AT348" s="17">
        <f t="shared" si="12"/>
        <v>139.602</v>
      </c>
      <c r="AU348" s="17">
        <f t="shared" si="12"/>
        <v>0</v>
      </c>
      <c r="AV348" s="17">
        <f t="shared" si="12"/>
        <v>1501.0239999999999</v>
      </c>
      <c r="AW348" s="17">
        <f t="shared" si="12"/>
        <v>4.1779999999999973</v>
      </c>
      <c r="AX348" s="17">
        <f t="shared" si="12"/>
        <v>9.1769999999999925</v>
      </c>
      <c r="AY348" s="17">
        <f>SUMIF($E$5:$E$337,$E$348,AY5:AY337)+SUMIF($E$5:$E$337,$C$348,AY5:AY337)</f>
        <v>604.33500000000004</v>
      </c>
      <c r="AZ348" s="17">
        <f t="shared" ref="AZ348:BI348" si="13">SUMIF($E$5:$E$337,$E$348,AZ5:AZ337)+SUMIF($E$5:$E$337,$C$348,AZ5:AZ337)</f>
        <v>6984.241</v>
      </c>
      <c r="BA348" s="17">
        <f t="shared" si="13"/>
        <v>87432.320999999996</v>
      </c>
      <c r="BB348" s="17">
        <f t="shared" si="13"/>
        <v>518.76900000000001</v>
      </c>
      <c r="BC348" s="17">
        <f t="shared" si="13"/>
        <v>4342.335</v>
      </c>
      <c r="BD348" s="17">
        <f t="shared" si="13"/>
        <v>2184.4780000000001</v>
      </c>
      <c r="BE348" s="17">
        <f t="shared" si="13"/>
        <v>114857.088</v>
      </c>
      <c r="BF348" s="17">
        <f t="shared" si="13"/>
        <v>1245.3160000000003</v>
      </c>
      <c r="BG348" s="17">
        <f t="shared" si="13"/>
        <v>38193.850999999995</v>
      </c>
      <c r="BH348" s="17">
        <f t="shared" si="13"/>
        <v>1666.9380000000001</v>
      </c>
      <c r="BI348" s="17">
        <f t="shared" si="13"/>
        <v>786.59799999999996</v>
      </c>
      <c r="BL348" s="22"/>
    </row>
    <row r="349" spans="1:64">
      <c r="A349" s="22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L349" s="22"/>
    </row>
    <row r="350" spans="1:64">
      <c r="A350" s="22"/>
      <c r="F350">
        <f t="shared" ref="F350:N350" si="14">SUM(F343:F349)</f>
        <v>10792645.068999998</v>
      </c>
      <c r="G350">
        <f t="shared" si="14"/>
        <v>1099624.7450000001</v>
      </c>
      <c r="H350">
        <f t="shared" si="14"/>
        <v>1073660.0930000001</v>
      </c>
      <c r="I350">
        <f t="shared" si="14"/>
        <v>1143154.3540000001</v>
      </c>
      <c r="J350">
        <f t="shared" si="14"/>
        <v>133884.86800000002</v>
      </c>
      <c r="K350">
        <f t="shared" si="14"/>
        <v>728015.00500000012</v>
      </c>
      <c r="L350">
        <f t="shared" si="14"/>
        <v>229709.78200000006</v>
      </c>
      <c r="M350" s="18">
        <f t="shared" si="14"/>
        <v>11643600.407</v>
      </c>
      <c r="N350">
        <f t="shared" si="14"/>
        <v>2763105.0699999994</v>
      </c>
      <c r="O350">
        <f>SUM(O343:O349)</f>
        <v>15454.605999999998</v>
      </c>
      <c r="P350">
        <f t="shared" ref="P350:AM350" si="15">SUM(P343:P349)</f>
        <v>16866.455999999998</v>
      </c>
      <c r="Q350">
        <f t="shared" si="15"/>
        <v>16794.402000000002</v>
      </c>
      <c r="R350">
        <f t="shared" si="15"/>
        <v>15029.817000000001</v>
      </c>
      <c r="S350">
        <f t="shared" si="15"/>
        <v>17449.952000000001</v>
      </c>
      <c r="T350">
        <f t="shared" si="15"/>
        <v>356540.21099999995</v>
      </c>
      <c r="U350">
        <f t="shared" si="15"/>
        <v>1026.3130000000001</v>
      </c>
      <c r="V350">
        <f t="shared" si="15"/>
        <v>179556.215</v>
      </c>
      <c r="W350">
        <f t="shared" si="15"/>
        <v>141916.72400000002</v>
      </c>
      <c r="X350">
        <f t="shared" si="15"/>
        <v>277139.61599999998</v>
      </c>
      <c r="Y350">
        <f t="shared" si="15"/>
        <v>226815.48199999999</v>
      </c>
      <c r="Z350">
        <f t="shared" si="15"/>
        <v>3246130.8489999999</v>
      </c>
      <c r="AA350">
        <f t="shared" si="15"/>
        <v>75569.000999999989</v>
      </c>
      <c r="AB350">
        <f t="shared" si="15"/>
        <v>1587366.3370000001</v>
      </c>
      <c r="AC350">
        <f t="shared" si="15"/>
        <v>580180.49399999995</v>
      </c>
      <c r="AD350">
        <f t="shared" si="15"/>
        <v>208407.19400000002</v>
      </c>
      <c r="AE350">
        <f t="shared" si="15"/>
        <v>72519.181000000011</v>
      </c>
      <c r="AF350">
        <f t="shared" si="15"/>
        <v>9754019.8829999994</v>
      </c>
      <c r="AG350">
        <f t="shared" si="15"/>
        <v>4552800.2180000003</v>
      </c>
      <c r="AH350">
        <f t="shared" si="15"/>
        <v>388682.00699999998</v>
      </c>
      <c r="AI350">
        <f t="shared" si="15"/>
        <v>24620618.789000001</v>
      </c>
      <c r="AJ350">
        <f t="shared" si="15"/>
        <v>6998234.1860000016</v>
      </c>
      <c r="AK350">
        <f t="shared" si="15"/>
        <v>379721.02799999999</v>
      </c>
      <c r="AL350">
        <f t="shared" si="15"/>
        <v>9972363.7730000019</v>
      </c>
      <c r="AM350">
        <f t="shared" si="15"/>
        <v>5085592.254999999</v>
      </c>
      <c r="AN350">
        <f>SUM(AN343:AN349)</f>
        <v>46947.389000000003</v>
      </c>
      <c r="AO350">
        <f>SUM(AO343:AO349)</f>
        <v>3355211.909</v>
      </c>
      <c r="AP350">
        <f>SUM(AP343:AP349)</f>
        <v>281835.35499999998</v>
      </c>
      <c r="AQ350">
        <f>SUM(AQ343:AQ349)</f>
        <v>150416.60800000001</v>
      </c>
      <c r="AR350">
        <f t="shared" ref="AR350:AX350" si="16">SUM(AR343:AR349)</f>
        <v>1872257.9850000003</v>
      </c>
      <c r="AS350">
        <f t="shared" si="16"/>
        <v>36783.280999999995</v>
      </c>
      <c r="AT350">
        <f t="shared" si="16"/>
        <v>4039.4500000000003</v>
      </c>
      <c r="AU350">
        <f t="shared" si="16"/>
        <v>0</v>
      </c>
      <c r="AV350">
        <f t="shared" si="16"/>
        <v>78955.035000000003</v>
      </c>
      <c r="AW350">
        <f t="shared" si="16"/>
        <v>88208.957000000009</v>
      </c>
      <c r="AX350">
        <f t="shared" si="16"/>
        <v>215360.084</v>
      </c>
      <c r="AY350">
        <f>SUM(AY343:AY349)</f>
        <v>332405.12400000001</v>
      </c>
      <c r="AZ350">
        <f t="shared" ref="AZ350:BI350" si="17">SUM(AZ343:AZ349)</f>
        <v>148497.10399999999</v>
      </c>
      <c r="BA350">
        <f t="shared" si="17"/>
        <v>1168231.2260000003</v>
      </c>
      <c r="BB350">
        <f t="shared" si="17"/>
        <v>250670.39</v>
      </c>
      <c r="BC350">
        <f t="shared" si="17"/>
        <v>133422.05299999999</v>
      </c>
      <c r="BD350">
        <f t="shared" si="17"/>
        <v>52716.291000000005</v>
      </c>
      <c r="BE350">
        <f t="shared" si="17"/>
        <v>1493261.4410000001</v>
      </c>
      <c r="BF350">
        <f t="shared" si="17"/>
        <v>37932.601999999992</v>
      </c>
      <c r="BG350">
        <f t="shared" si="17"/>
        <v>510327.70600000001</v>
      </c>
      <c r="BH350">
        <f t="shared" si="17"/>
        <v>199582.731</v>
      </c>
      <c r="BI350">
        <f t="shared" si="17"/>
        <v>18677.743000000002</v>
      </c>
      <c r="BL350" s="22"/>
    </row>
    <row r="351" spans="1:64">
      <c r="A351" s="22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L351" s="22"/>
    </row>
    <row r="352" spans="1:64">
      <c r="A352" s="22"/>
      <c r="B352" s="9"/>
      <c r="C352" s="9"/>
      <c r="D352" s="9"/>
      <c r="E352" s="9"/>
      <c r="F352" s="9">
        <f t="shared" ref="F352:AK352" si="18">F350-F338</f>
        <v>10792645.068999998</v>
      </c>
      <c r="G352" s="9">
        <f t="shared" si="18"/>
        <v>1099624.7450000001</v>
      </c>
      <c r="H352" s="9">
        <f t="shared" si="18"/>
        <v>1073660.0930000001</v>
      </c>
      <c r="I352" s="9">
        <f t="shared" si="18"/>
        <v>1143154.3540000001</v>
      </c>
      <c r="J352" s="9">
        <f t="shared" si="18"/>
        <v>133884.86800000002</v>
      </c>
      <c r="K352" s="9">
        <f t="shared" si="18"/>
        <v>728015.00500000012</v>
      </c>
      <c r="L352" s="9">
        <f t="shared" si="18"/>
        <v>229709.78200000006</v>
      </c>
      <c r="M352" s="19">
        <f t="shared" si="18"/>
        <v>11643600.407</v>
      </c>
      <c r="N352" s="9">
        <f t="shared" si="18"/>
        <v>2763105.0699999994</v>
      </c>
      <c r="O352" s="9">
        <f>O350-O338</f>
        <v>15454.605999999998</v>
      </c>
      <c r="P352" s="9">
        <f t="shared" si="18"/>
        <v>16866.455999999998</v>
      </c>
      <c r="Q352" s="9">
        <f t="shared" si="18"/>
        <v>16794.402000000002</v>
      </c>
      <c r="R352" s="9">
        <f t="shared" si="18"/>
        <v>15029.817000000001</v>
      </c>
      <c r="S352" s="9">
        <f t="shared" si="18"/>
        <v>17449.952000000001</v>
      </c>
      <c r="T352" s="9">
        <f t="shared" si="18"/>
        <v>356540.21099999995</v>
      </c>
      <c r="U352" s="9">
        <f t="shared" si="18"/>
        <v>1026.3130000000001</v>
      </c>
      <c r="V352" s="9">
        <f t="shared" si="18"/>
        <v>179556.215</v>
      </c>
      <c r="W352" s="9">
        <f t="shared" si="18"/>
        <v>141916.72400000002</v>
      </c>
      <c r="X352" s="9">
        <f t="shared" si="18"/>
        <v>277139.61599999998</v>
      </c>
      <c r="Y352" s="9">
        <f t="shared" si="18"/>
        <v>226815.48199999999</v>
      </c>
      <c r="Z352" s="9">
        <f t="shared" si="18"/>
        <v>3246130.8489999999</v>
      </c>
      <c r="AA352" s="9">
        <f t="shared" si="18"/>
        <v>75569.000999999989</v>
      </c>
      <c r="AB352" s="9">
        <f t="shared" si="18"/>
        <v>1587366.3370000001</v>
      </c>
      <c r="AC352" s="9">
        <f t="shared" si="18"/>
        <v>580180.49399999995</v>
      </c>
      <c r="AD352" s="9">
        <f t="shared" si="18"/>
        <v>208407.19400000002</v>
      </c>
      <c r="AE352" s="9">
        <f t="shared" si="18"/>
        <v>72519.181000000011</v>
      </c>
      <c r="AF352" s="9">
        <f t="shared" si="18"/>
        <v>9754019.8829999994</v>
      </c>
      <c r="AG352" s="9">
        <f t="shared" si="18"/>
        <v>4552800.2180000003</v>
      </c>
      <c r="AH352" s="9">
        <f t="shared" si="18"/>
        <v>388682.00699999998</v>
      </c>
      <c r="AI352" s="9">
        <f t="shared" si="18"/>
        <v>24620618.789000001</v>
      </c>
      <c r="AJ352" s="9">
        <f t="shared" si="18"/>
        <v>6998234.1860000016</v>
      </c>
      <c r="AK352" s="9">
        <f t="shared" si="18"/>
        <v>379721.02799999999</v>
      </c>
      <c r="AL352" s="9">
        <f>AL350-AL338</f>
        <v>9972363.7730000019</v>
      </c>
      <c r="AM352" s="9">
        <f>AM350-AM338</f>
        <v>5085592.254999999</v>
      </c>
      <c r="AN352" s="9">
        <f>AN350-AN338</f>
        <v>46947.389000000003</v>
      </c>
      <c r="AO352" s="9">
        <f>AO350-AO338</f>
        <v>3355211.909</v>
      </c>
      <c r="AP352" s="9">
        <f>AP350-AP338</f>
        <v>281835.35499999998</v>
      </c>
      <c r="AQ352" s="9">
        <f t="shared" ref="AQ352:AX352" si="19">AQ350-AQ338</f>
        <v>150416.60800000001</v>
      </c>
      <c r="AR352" s="9">
        <f t="shared" si="19"/>
        <v>1872257.9850000003</v>
      </c>
      <c r="AS352" s="9">
        <f t="shared" si="19"/>
        <v>36783.280999999995</v>
      </c>
      <c r="AT352" s="9">
        <f t="shared" si="19"/>
        <v>4039.4500000000003</v>
      </c>
      <c r="AU352" s="9">
        <f t="shared" si="19"/>
        <v>0</v>
      </c>
      <c r="AV352" s="9">
        <f t="shared" si="19"/>
        <v>78955.035000000003</v>
      </c>
      <c r="AW352" s="9">
        <f t="shared" si="19"/>
        <v>88208.957000000009</v>
      </c>
      <c r="AX352" s="9">
        <f t="shared" si="19"/>
        <v>215360.084</v>
      </c>
      <c r="AY352" s="9">
        <f>AY350-AY338</f>
        <v>332405.12400000001</v>
      </c>
      <c r="AZ352" s="9">
        <f t="shared" ref="AZ352:BI352" si="20">AZ350-AZ338</f>
        <v>148497.10399999999</v>
      </c>
      <c r="BA352" s="9">
        <f t="shared" si="20"/>
        <v>1168231.2260000003</v>
      </c>
      <c r="BB352" s="9">
        <f t="shared" si="20"/>
        <v>250670.39</v>
      </c>
      <c r="BC352" s="9">
        <f t="shared" si="20"/>
        <v>133422.05299999999</v>
      </c>
      <c r="BD352" s="9">
        <f t="shared" si="20"/>
        <v>52716.291000000005</v>
      </c>
      <c r="BE352" s="9">
        <f t="shared" si="20"/>
        <v>1493261.4410000001</v>
      </c>
      <c r="BF352" s="9">
        <f t="shared" si="20"/>
        <v>37932.601999999992</v>
      </c>
      <c r="BG352" s="9">
        <f t="shared" si="20"/>
        <v>510327.70600000001</v>
      </c>
      <c r="BH352" s="9">
        <f t="shared" si="20"/>
        <v>199582.731</v>
      </c>
      <c r="BI352" s="9">
        <f t="shared" si="20"/>
        <v>18677.743000000002</v>
      </c>
      <c r="BL352" s="22"/>
    </row>
    <row r="353" spans="1:64">
      <c r="A353" s="22"/>
      <c r="F353" s="20">
        <f t="shared" ref="F353:N353" si="21">F3</f>
        <v>401</v>
      </c>
      <c r="G353" s="20">
        <f t="shared" si="21"/>
        <v>242</v>
      </c>
      <c r="H353" s="20">
        <f t="shared" si="21"/>
        <v>385</v>
      </c>
      <c r="I353" s="20">
        <f t="shared" si="21"/>
        <v>528</v>
      </c>
      <c r="J353" s="20">
        <f t="shared" si="21"/>
        <v>384</v>
      </c>
      <c r="K353" s="20">
        <f t="shared" si="21"/>
        <v>716</v>
      </c>
      <c r="L353" s="20">
        <f t="shared" si="21"/>
        <v>715</v>
      </c>
      <c r="M353" s="20">
        <f t="shared" si="21"/>
        <v>9916</v>
      </c>
      <c r="N353" s="20">
        <f t="shared" si="21"/>
        <v>1100</v>
      </c>
      <c r="O353" s="20">
        <f>O3</f>
        <v>801</v>
      </c>
      <c r="P353" s="20">
        <f t="shared" ref="P353:U353" si="22">P3</f>
        <v>804</v>
      </c>
      <c r="Q353" s="20">
        <f t="shared" si="22"/>
        <v>806</v>
      </c>
      <c r="R353" s="20">
        <f t="shared" si="22"/>
        <v>8765</v>
      </c>
      <c r="S353" s="20">
        <f t="shared" si="22"/>
        <v>8766</v>
      </c>
      <c r="T353" s="20">
        <f t="shared" si="22"/>
        <v>9418</v>
      </c>
      <c r="U353" s="20">
        <f t="shared" si="22"/>
        <v>9475</v>
      </c>
      <c r="V353" s="20">
        <f>V3</f>
        <v>9906</v>
      </c>
      <c r="W353" s="20">
        <f>W3</f>
        <v>7905</v>
      </c>
      <c r="X353" s="20">
        <f t="shared" ref="X353:AK353" si="23">X3</f>
        <v>7906</v>
      </c>
      <c r="Y353" s="20">
        <f t="shared" si="23"/>
        <v>7907</v>
      </c>
      <c r="Z353" s="20">
        <f t="shared" si="23"/>
        <v>7908</v>
      </c>
      <c r="AA353" s="20">
        <f t="shared" si="23"/>
        <v>7909</v>
      </c>
      <c r="AB353" s="20">
        <f t="shared" si="23"/>
        <v>11310</v>
      </c>
      <c r="AC353" s="20">
        <f t="shared" si="23"/>
        <v>11311</v>
      </c>
      <c r="AD353" s="20">
        <f t="shared" si="23"/>
        <v>11312</v>
      </c>
      <c r="AE353" s="20">
        <f t="shared" si="23"/>
        <v>11335</v>
      </c>
      <c r="AF353" s="20">
        <f t="shared" si="23"/>
        <v>9529</v>
      </c>
      <c r="AG353" s="20">
        <f t="shared" si="23"/>
        <v>961</v>
      </c>
      <c r="AH353" s="20">
        <f t="shared" si="23"/>
        <v>9528</v>
      </c>
      <c r="AI353" s="20">
        <f t="shared" si="23"/>
        <v>964</v>
      </c>
      <c r="AJ353" s="20">
        <f t="shared" si="23"/>
        <v>968</v>
      </c>
      <c r="AK353" s="20">
        <f t="shared" si="23"/>
        <v>8629</v>
      </c>
      <c r="AL353" s="20">
        <f>AL3</f>
        <v>13264</v>
      </c>
      <c r="AM353" s="20">
        <f>AM3</f>
        <v>13263</v>
      </c>
      <c r="AN353" s="20">
        <f>AN3</f>
        <v>13209</v>
      </c>
      <c r="AO353" s="20">
        <f>AO3</f>
        <v>13250</v>
      </c>
      <c r="AP353" s="20">
        <f>AP3</f>
        <v>14281</v>
      </c>
      <c r="AQ353" s="20">
        <f t="shared" ref="AQ353:AX353" si="24">AQ3</f>
        <v>2049</v>
      </c>
      <c r="AR353" s="20">
        <f t="shared" si="24"/>
        <v>7975</v>
      </c>
      <c r="AS353" s="20">
        <f t="shared" si="24"/>
        <v>8004</v>
      </c>
      <c r="AT353" s="20">
        <f t="shared" si="24"/>
        <v>1008</v>
      </c>
      <c r="AU353" s="20">
        <f t="shared" si="24"/>
        <v>9484</v>
      </c>
      <c r="AV353" s="20">
        <f t="shared" si="24"/>
        <v>682</v>
      </c>
      <c r="AW353" s="20">
        <f t="shared" si="24"/>
        <v>11352</v>
      </c>
      <c r="AX353" s="20">
        <f t="shared" si="24"/>
        <v>2058</v>
      </c>
      <c r="AY353" s="20">
        <f>AY3</f>
        <v>15007</v>
      </c>
      <c r="AZ353" s="20">
        <f t="shared" ref="AZ353:BI353" si="25">AZ3</f>
        <v>15208</v>
      </c>
      <c r="BA353" s="20">
        <f t="shared" si="25"/>
        <v>15209</v>
      </c>
      <c r="BB353" s="20">
        <f t="shared" si="25"/>
        <v>15210</v>
      </c>
      <c r="BC353" s="20">
        <f t="shared" si="25"/>
        <v>15211</v>
      </c>
      <c r="BD353" s="20">
        <f t="shared" si="25"/>
        <v>15212</v>
      </c>
      <c r="BE353" s="20">
        <f t="shared" si="25"/>
        <v>15232</v>
      </c>
      <c r="BF353" s="20">
        <f t="shared" si="25"/>
        <v>15214</v>
      </c>
      <c r="BG353" s="20">
        <f t="shared" si="25"/>
        <v>15233</v>
      </c>
      <c r="BH353" s="20">
        <f t="shared" si="25"/>
        <v>15234</v>
      </c>
      <c r="BI353" s="20">
        <f t="shared" si="25"/>
        <v>15215</v>
      </c>
      <c r="BL353" s="22"/>
    </row>
    <row r="354" spans="1:64">
      <c r="A354" s="22"/>
      <c r="B354" t="s">
        <v>608</v>
      </c>
      <c r="F354" s="21">
        <f t="shared" ref="F354:AM354" si="26">F343/F350</f>
        <v>0.13355220205842944</v>
      </c>
      <c r="G354" s="21">
        <f t="shared" si="26"/>
        <v>0.16315468328243193</v>
      </c>
      <c r="H354" s="21">
        <f t="shared" si="26"/>
        <v>4.7778454591401107E-2</v>
      </c>
      <c r="I354" s="21">
        <f t="shared" si="26"/>
        <v>1.0838632557926645E-2</v>
      </c>
      <c r="J354" s="21">
        <f t="shared" si="26"/>
        <v>0.10282483155602018</v>
      </c>
      <c r="K354" s="21">
        <f t="shared" si="26"/>
        <v>4.65302785895189E-2</v>
      </c>
      <c r="L354" s="21">
        <f t="shared" si="26"/>
        <v>1.1642852022731881E-2</v>
      </c>
      <c r="M354" s="21">
        <f t="shared" si="26"/>
        <v>0.20800476118572109</v>
      </c>
      <c r="N354" s="21">
        <f t="shared" si="26"/>
        <v>6.7256261811281762E-2</v>
      </c>
      <c r="O354" s="21">
        <f>O343/O350</f>
        <v>5.8850416503662415E-3</v>
      </c>
      <c r="P354" s="21">
        <f t="shared" si="26"/>
        <v>0.77634163335795037</v>
      </c>
      <c r="Q354" s="21">
        <f t="shared" si="26"/>
        <v>6.3137824139257809E-2</v>
      </c>
      <c r="R354" s="21">
        <f t="shared" si="26"/>
        <v>0.4725301711923704</v>
      </c>
      <c r="S354" s="21">
        <f t="shared" si="26"/>
        <v>0.13562197764211614</v>
      </c>
      <c r="T354" s="21">
        <f t="shared" si="26"/>
        <v>0.15467442464715433</v>
      </c>
      <c r="U354" s="21">
        <f t="shared" si="26"/>
        <v>7.8942778664988153E-3</v>
      </c>
      <c r="V354" s="21">
        <f t="shared" si="26"/>
        <v>8.8225740334301438E-3</v>
      </c>
      <c r="W354" s="21">
        <f t="shared" si="26"/>
        <v>5.1569743112164841E-2</v>
      </c>
      <c r="X354" s="21">
        <f t="shared" si="26"/>
        <v>0.10404546421829494</v>
      </c>
      <c r="Y354" s="21">
        <f t="shared" si="26"/>
        <v>0.60694296873438291</v>
      </c>
      <c r="Z354" s="21">
        <f t="shared" si="26"/>
        <v>0.18669624367936255</v>
      </c>
      <c r="AA354" s="21">
        <f t="shared" si="26"/>
        <v>0.51952610833111335</v>
      </c>
      <c r="AB354" s="21">
        <f t="shared" si="26"/>
        <v>0.10914179415409893</v>
      </c>
      <c r="AC354" s="21">
        <f t="shared" si="26"/>
        <v>0.8253858134706612</v>
      </c>
      <c r="AD354" s="21">
        <f t="shared" si="26"/>
        <v>0.19713636660738301</v>
      </c>
      <c r="AE354" s="21">
        <f t="shared" si="26"/>
        <v>0.30496761953227242</v>
      </c>
      <c r="AF354" s="21">
        <f t="shared" si="26"/>
        <v>0.18574661429157965</v>
      </c>
      <c r="AG354" s="21">
        <f t="shared" si="26"/>
        <v>0.32003767247227799</v>
      </c>
      <c r="AH354" s="21">
        <f t="shared" si="26"/>
        <v>0.35401177960882557</v>
      </c>
      <c r="AI354" s="21">
        <f t="shared" si="26"/>
        <v>0.17284660777499683</v>
      </c>
      <c r="AJ354" s="21">
        <f t="shared" si="26"/>
        <v>0.30132126318643315</v>
      </c>
      <c r="AK354" s="21">
        <f t="shared" si="26"/>
        <v>0.50698278421388876</v>
      </c>
      <c r="AL354" s="21">
        <f t="shared" si="26"/>
        <v>0.6522143562000603</v>
      </c>
      <c r="AM354" s="21">
        <f t="shared" si="26"/>
        <v>0.65179379328750386</v>
      </c>
      <c r="AN354" s="21">
        <f>AN343/AN350</f>
        <v>1.0417022339623615E-2</v>
      </c>
      <c r="AO354" s="21">
        <f>AO343/AO350</f>
        <v>0.65214628862358393</v>
      </c>
      <c r="AP354" s="21">
        <f>AP343/AP350</f>
        <v>0.20779657328655593</v>
      </c>
      <c r="AQ354" s="21">
        <f>AQ343/AQ350</f>
        <v>0.10737525074358809</v>
      </c>
      <c r="AR354" s="21">
        <f t="shared" ref="AR354:AX354" si="27">AR343/AR350</f>
        <v>0.31616691649468376</v>
      </c>
      <c r="AS354" s="21">
        <f t="shared" si="27"/>
        <v>0.10421019810603629</v>
      </c>
      <c r="AT354" s="21">
        <f t="shared" si="27"/>
        <v>0.15369221057322158</v>
      </c>
      <c r="AU354" s="21" t="e">
        <f t="shared" si="27"/>
        <v>#DIV/0!</v>
      </c>
      <c r="AV354" s="21">
        <f t="shared" si="27"/>
        <v>0.13814431213918149</v>
      </c>
      <c r="AW354" s="21">
        <f t="shared" si="27"/>
        <v>0.1010993135311644</v>
      </c>
      <c r="AX354" s="21">
        <f t="shared" si="27"/>
        <v>0.11045676412347612</v>
      </c>
      <c r="AY354" s="21">
        <f>AY343/AY350</f>
        <v>0.61204058033714304</v>
      </c>
      <c r="AZ354" s="21">
        <f t="shared" ref="AZ354:BI354" si="28">AZ343/AZ350</f>
        <v>4.3965652017025195E-2</v>
      </c>
      <c r="BA354" s="21">
        <f t="shared" si="28"/>
        <v>1.7219677536679707E-2</v>
      </c>
      <c r="BB354" s="21">
        <f t="shared" si="28"/>
        <v>0.6066760019003441</v>
      </c>
      <c r="BC354" s="21">
        <f t="shared" si="28"/>
        <v>0.19407461823421351</v>
      </c>
      <c r="BD354" s="21">
        <f t="shared" si="28"/>
        <v>4.4358545634403591E-2</v>
      </c>
      <c r="BE354" s="21">
        <f t="shared" si="28"/>
        <v>1.7063769478261107E-2</v>
      </c>
      <c r="BF354" s="21">
        <f t="shared" si="28"/>
        <v>0.19501406731866169</v>
      </c>
      <c r="BG354" s="21">
        <f t="shared" si="28"/>
        <v>1.7291673362527567E-2</v>
      </c>
      <c r="BH354" s="21">
        <f t="shared" si="28"/>
        <v>0.54181430155898613</v>
      </c>
      <c r="BI354" s="21">
        <f t="shared" si="28"/>
        <v>4.0446696370112806E-2</v>
      </c>
      <c r="BL354" s="22"/>
    </row>
    <row r="355" spans="1:64">
      <c r="A355" s="22"/>
      <c r="B355" t="s">
        <v>609</v>
      </c>
      <c r="F355" s="21">
        <f t="shared" ref="F355:AM355" si="29">F344/F350</f>
        <v>0.23399060025180562</v>
      </c>
      <c r="G355" s="21">
        <f t="shared" si="29"/>
        <v>0.18193252826444897</v>
      </c>
      <c r="H355" s="21">
        <f t="shared" si="29"/>
        <v>0.36376633680097115</v>
      </c>
      <c r="I355" s="21">
        <f t="shared" si="29"/>
        <v>0</v>
      </c>
      <c r="J355" s="21">
        <f t="shared" si="29"/>
        <v>0.37272734212203879</v>
      </c>
      <c r="K355" s="21">
        <f t="shared" si="29"/>
        <v>0.31920604576000461</v>
      </c>
      <c r="L355" s="21">
        <f t="shared" si="29"/>
        <v>0.75356722074639371</v>
      </c>
      <c r="M355" s="21">
        <f t="shared" si="29"/>
        <v>0.1122282278954199</v>
      </c>
      <c r="N355" s="21">
        <f t="shared" si="29"/>
        <v>0.20515747162665809</v>
      </c>
      <c r="O355" s="21">
        <f>O344/O350</f>
        <v>0.79948773847744814</v>
      </c>
      <c r="P355" s="21">
        <f t="shared" si="29"/>
        <v>8.9657246311851176E-3</v>
      </c>
      <c r="Q355" s="21">
        <f t="shared" si="29"/>
        <v>0.77238439332344189</v>
      </c>
      <c r="R355" s="21">
        <f t="shared" si="29"/>
        <v>0.167636172815677</v>
      </c>
      <c r="S355" s="21">
        <f t="shared" si="29"/>
        <v>0.20887753731356967</v>
      </c>
      <c r="T355" s="21">
        <f t="shared" si="29"/>
        <v>0.17491341530619112</v>
      </c>
      <c r="U355" s="21">
        <f t="shared" si="29"/>
        <v>0.99210572213350112</v>
      </c>
      <c r="V355" s="21">
        <f t="shared" si="29"/>
        <v>0.77504720179137221</v>
      </c>
      <c r="W355" s="21">
        <f t="shared" si="29"/>
        <v>0.25661701435554557</v>
      </c>
      <c r="X355" s="21">
        <f t="shared" si="29"/>
        <v>0.21151907419832755</v>
      </c>
      <c r="Y355" s="21">
        <f t="shared" si="29"/>
        <v>0.13958211635658979</v>
      </c>
      <c r="Z355" s="21">
        <f t="shared" si="29"/>
        <v>0.1930221377838241</v>
      </c>
      <c r="AA355" s="21">
        <f t="shared" si="29"/>
        <v>2.8698275368229368E-4</v>
      </c>
      <c r="AB355" s="21">
        <f t="shared" si="29"/>
        <v>0.32185071340592503</v>
      </c>
      <c r="AC355" s="21">
        <f t="shared" si="29"/>
        <v>6.8869895512205905E-3</v>
      </c>
      <c r="AD355" s="21">
        <f t="shared" si="29"/>
        <v>0.14502401006368332</v>
      </c>
      <c r="AE355" s="21">
        <f t="shared" si="29"/>
        <v>0.17679250955688536</v>
      </c>
      <c r="AF355" s="21">
        <f t="shared" si="29"/>
        <v>0.1906013601879388</v>
      </c>
      <c r="AG355" s="21">
        <f t="shared" si="29"/>
        <v>5.6535466894058209E-2</v>
      </c>
      <c r="AH355" s="21">
        <f t="shared" si="29"/>
        <v>0.15043410023351042</v>
      </c>
      <c r="AI355" s="21">
        <f t="shared" si="29"/>
        <v>0.15437898728598037</v>
      </c>
      <c r="AJ355" s="21">
        <f t="shared" si="29"/>
        <v>5.3210027144410268E-2</v>
      </c>
      <c r="AK355" s="21">
        <f t="shared" si="29"/>
        <v>2.8748210383545047E-4</v>
      </c>
      <c r="AL355" s="21">
        <f t="shared" si="29"/>
        <v>0.12101792518514856</v>
      </c>
      <c r="AM355" s="21">
        <f t="shared" si="29"/>
        <v>0.12116404109947665</v>
      </c>
      <c r="AN355" s="21">
        <f>AN344/AN350</f>
        <v>0.76871452851190503</v>
      </c>
      <c r="AO355" s="21">
        <f>AO344/AO350</f>
        <v>0.12111218039909503</v>
      </c>
      <c r="AP355" s="21">
        <f>AP344/AP350</f>
        <v>0.1650789483100869</v>
      </c>
      <c r="AQ355" s="21">
        <f>AQ344/AQ350</f>
        <v>0</v>
      </c>
      <c r="AR355" s="21">
        <f t="shared" ref="AR355:AX355" si="30">AR344/AR350</f>
        <v>5.7362017339720399E-2</v>
      </c>
      <c r="AS355" s="21">
        <f t="shared" si="30"/>
        <v>0</v>
      </c>
      <c r="AT355" s="21">
        <f t="shared" si="30"/>
        <v>0.34430751711247826</v>
      </c>
      <c r="AU355" s="21" t="e">
        <f t="shared" si="30"/>
        <v>#DIV/0!</v>
      </c>
      <c r="AV355" s="21">
        <f t="shared" si="30"/>
        <v>0.39011821095386756</v>
      </c>
      <c r="AW355" s="21">
        <f t="shared" si="30"/>
        <v>0</v>
      </c>
      <c r="AX355" s="21">
        <f t="shared" si="30"/>
        <v>0</v>
      </c>
      <c r="AY355" s="21">
        <f>AY344/AY350</f>
        <v>0.13778374547559621</v>
      </c>
      <c r="AZ355" s="21">
        <f t="shared" ref="AZ355:BI355" si="31">AZ344/AZ350</f>
        <v>0.23145889094241195</v>
      </c>
      <c r="BA355" s="21">
        <f t="shared" si="31"/>
        <v>0</v>
      </c>
      <c r="BB355" s="21">
        <f t="shared" si="31"/>
        <v>0.13960822417039365</v>
      </c>
      <c r="BC355" s="21">
        <f t="shared" si="31"/>
        <v>0.17493756448193767</v>
      </c>
      <c r="BD355" s="21">
        <f t="shared" si="31"/>
        <v>0.26343461834217435</v>
      </c>
      <c r="BE355" s="21">
        <f t="shared" si="31"/>
        <v>0</v>
      </c>
      <c r="BF355" s="21">
        <f t="shared" si="31"/>
        <v>0.16743596972335306</v>
      </c>
      <c r="BG355" s="21">
        <f t="shared" si="31"/>
        <v>0</v>
      </c>
      <c r="BH355" s="21">
        <f t="shared" si="31"/>
        <v>6.7832827680867847E-2</v>
      </c>
      <c r="BI355" s="21">
        <f t="shared" si="31"/>
        <v>0.25667705139748415</v>
      </c>
      <c r="BL355" s="22"/>
    </row>
    <row r="356" spans="1:64">
      <c r="A356" s="22"/>
      <c r="B356" t="s">
        <v>610</v>
      </c>
      <c r="F356" s="21">
        <f t="shared" ref="F356:AM356" si="32">F345/F350</f>
        <v>0.20368921640111798</v>
      </c>
      <c r="G356" s="21">
        <f t="shared" si="32"/>
        <v>0.2521643781306504</v>
      </c>
      <c r="H356" s="21">
        <f t="shared" si="32"/>
        <v>0.45302265323183616</v>
      </c>
      <c r="I356" s="21">
        <f t="shared" si="32"/>
        <v>3.5930054289064102E-2</v>
      </c>
      <c r="J356" s="21">
        <f t="shared" si="32"/>
        <v>0.30589394165141948</v>
      </c>
      <c r="K356" s="21">
        <f t="shared" si="32"/>
        <v>0.45154024950351135</v>
      </c>
      <c r="L356" s="21">
        <f t="shared" si="32"/>
        <v>0.14245208765206172</v>
      </c>
      <c r="M356" s="21">
        <f t="shared" si="32"/>
        <v>8.3679702921979557E-2</v>
      </c>
      <c r="N356" s="21">
        <f t="shared" si="32"/>
        <v>0.34293490981868457</v>
      </c>
      <c r="O356" s="21">
        <f>O345/O350</f>
        <v>0.19464999625354412</v>
      </c>
      <c r="P356" s="21">
        <f t="shared" si="32"/>
        <v>0</v>
      </c>
      <c r="Q356" s="21">
        <f t="shared" si="32"/>
        <v>2.0178152220007594E-3</v>
      </c>
      <c r="R356" s="21">
        <f t="shared" si="32"/>
        <v>0.28782719044416843</v>
      </c>
      <c r="S356" s="21">
        <f t="shared" si="32"/>
        <v>0.62668791295242521</v>
      </c>
      <c r="T356" s="21">
        <f t="shared" si="32"/>
        <v>0.33677843422827841</v>
      </c>
      <c r="U356" s="21">
        <f t="shared" si="32"/>
        <v>0</v>
      </c>
      <c r="V356" s="21">
        <f t="shared" si="32"/>
        <v>0.14651260052457665</v>
      </c>
      <c r="W356" s="21">
        <f t="shared" si="32"/>
        <v>0.46593330325184223</v>
      </c>
      <c r="X356" s="21">
        <f t="shared" si="32"/>
        <v>0.36867809977769467</v>
      </c>
      <c r="Y356" s="21">
        <f t="shared" si="32"/>
        <v>0</v>
      </c>
      <c r="Z356" s="21">
        <f t="shared" si="32"/>
        <v>0.12806583293709983</v>
      </c>
      <c r="AA356" s="21">
        <f t="shared" si="32"/>
        <v>5.4987573542225339E-2</v>
      </c>
      <c r="AB356" s="21">
        <f t="shared" si="32"/>
        <v>0.37359829308261322</v>
      </c>
      <c r="AC356" s="21">
        <f t="shared" si="32"/>
        <v>0</v>
      </c>
      <c r="AD356" s="21">
        <f t="shared" si="32"/>
        <v>0.237011928676512</v>
      </c>
      <c r="AE356" s="21">
        <f t="shared" si="32"/>
        <v>0.19682862938013596</v>
      </c>
      <c r="AF356" s="21">
        <f t="shared" si="32"/>
        <v>0.1288683279383879</v>
      </c>
      <c r="AG356" s="21">
        <f t="shared" si="32"/>
        <v>2.4921502057439937E-3</v>
      </c>
      <c r="AH356" s="21">
        <f t="shared" si="32"/>
        <v>0.14991467819605039</v>
      </c>
      <c r="AI356" s="21">
        <f t="shared" si="32"/>
        <v>0.10841716278035178</v>
      </c>
      <c r="AJ356" s="21">
        <f t="shared" si="32"/>
        <v>2.3954805675889964E-3</v>
      </c>
      <c r="AK356" s="21">
        <f t="shared" si="32"/>
        <v>5.0686629343055498E-2</v>
      </c>
      <c r="AL356" s="21">
        <f t="shared" si="32"/>
        <v>0</v>
      </c>
      <c r="AM356" s="21">
        <f t="shared" si="32"/>
        <v>0</v>
      </c>
      <c r="AN356" s="21">
        <f>AN345/AN350</f>
        <v>0.14531547217673807</v>
      </c>
      <c r="AO356" s="21">
        <f>AO345/AO350</f>
        <v>0</v>
      </c>
      <c r="AP356" s="21">
        <f>AP345/AP350</f>
        <v>0.27592536429647019</v>
      </c>
      <c r="AQ356" s="21">
        <f>AQ345/AQ350</f>
        <v>0</v>
      </c>
      <c r="AR356" s="21">
        <f t="shared" ref="AR356:AX356" si="33">AR345/AR350</f>
        <v>2.3893747741180007E-3</v>
      </c>
      <c r="AS356" s="21">
        <f t="shared" si="33"/>
        <v>0</v>
      </c>
      <c r="AT356" s="21">
        <f t="shared" si="33"/>
        <v>0.22433945215313963</v>
      </c>
      <c r="AU356" s="21" t="e">
        <f t="shared" si="33"/>
        <v>#DIV/0!</v>
      </c>
      <c r="AV356" s="21">
        <f t="shared" si="33"/>
        <v>0.31661764192745911</v>
      </c>
      <c r="AW356" s="21">
        <f t="shared" si="33"/>
        <v>0</v>
      </c>
      <c r="AX356" s="21">
        <f t="shared" si="33"/>
        <v>0</v>
      </c>
      <c r="AY356" s="21">
        <f>AY345/AY350</f>
        <v>0</v>
      </c>
      <c r="AZ356" s="21">
        <f t="shared" ref="AZ356:BI356" si="34">AZ345/AZ350</f>
        <v>0.47629311343337705</v>
      </c>
      <c r="BA356" s="21">
        <f t="shared" si="34"/>
        <v>6.0679913721121501E-3</v>
      </c>
      <c r="BB356" s="21">
        <f t="shared" si="34"/>
        <v>0</v>
      </c>
      <c r="BC356" s="21">
        <f t="shared" si="34"/>
        <v>0.28010694753737603</v>
      </c>
      <c r="BD356" s="21">
        <f t="shared" si="34"/>
        <v>0.64704428845344975</v>
      </c>
      <c r="BE356" s="21">
        <f t="shared" si="34"/>
        <v>6.2069077426877717E-3</v>
      </c>
      <c r="BF356" s="21">
        <f t="shared" si="34"/>
        <v>0.28629573051698382</v>
      </c>
      <c r="BG356" s="21">
        <f t="shared" si="34"/>
        <v>6.2195604171253836E-3</v>
      </c>
      <c r="BH356" s="21">
        <f t="shared" si="34"/>
        <v>5.8515533590929772E-2</v>
      </c>
      <c r="BI356" s="21">
        <f t="shared" si="34"/>
        <v>0.65699105079237885</v>
      </c>
      <c r="BL356" s="22"/>
    </row>
    <row r="357" spans="1:64">
      <c r="A357" s="22"/>
      <c r="B357" t="s">
        <v>611</v>
      </c>
      <c r="F357" s="21">
        <f t="shared" ref="F357:AM357" si="35">F346/F350</f>
        <v>0.18057201330540673</v>
      </c>
      <c r="G357" s="21">
        <f t="shared" si="35"/>
        <v>0.3106720529465713</v>
      </c>
      <c r="H357" s="21">
        <f t="shared" si="35"/>
        <v>1.9784976771042195E-3</v>
      </c>
      <c r="I357" s="21">
        <f t="shared" si="35"/>
        <v>6.4126745214671155E-2</v>
      </c>
      <c r="J357" s="21">
        <f t="shared" si="35"/>
        <v>6.1510080437170822E-2</v>
      </c>
      <c r="K357" s="21">
        <f t="shared" si="35"/>
        <v>1.8516019460340649E-3</v>
      </c>
      <c r="L357" s="21">
        <f t="shared" si="35"/>
        <v>0</v>
      </c>
      <c r="M357" s="21">
        <f t="shared" si="35"/>
        <v>0.3806901271135319</v>
      </c>
      <c r="N357" s="21">
        <f t="shared" si="35"/>
        <v>6.2241892958489628E-2</v>
      </c>
      <c r="O357" s="21">
        <f>O346/O350</f>
        <v>0</v>
      </c>
      <c r="P357" s="21">
        <f t="shared" si="35"/>
        <v>0.21281684783098478</v>
      </c>
      <c r="Q357" s="21">
        <f t="shared" si="35"/>
        <v>2.5039891268531021E-3</v>
      </c>
      <c r="R357" s="21">
        <f t="shared" si="35"/>
        <v>7.5381423473086864E-2</v>
      </c>
      <c r="S357" s="21">
        <f t="shared" si="35"/>
        <v>5.3273498975813802E-3</v>
      </c>
      <c r="T357" s="21">
        <f t="shared" si="35"/>
        <v>0.3083333425188331</v>
      </c>
      <c r="U357" s="21">
        <f t="shared" si="35"/>
        <v>0</v>
      </c>
      <c r="V357" s="21">
        <f t="shared" si="35"/>
        <v>0</v>
      </c>
      <c r="W357" s="21">
        <f t="shared" si="35"/>
        <v>2.553807541386031E-3</v>
      </c>
      <c r="X357" s="21">
        <f t="shared" si="35"/>
        <v>0.13331590601612153</v>
      </c>
      <c r="Y357" s="21">
        <f t="shared" si="35"/>
        <v>0.25159917875447324</v>
      </c>
      <c r="Z357" s="21">
        <f t="shared" si="35"/>
        <v>0.31075686561148846</v>
      </c>
      <c r="AA357" s="21">
        <f t="shared" si="35"/>
        <v>0.42143171907221594</v>
      </c>
      <c r="AB357" s="21">
        <f t="shared" si="35"/>
        <v>9.7820393050202376E-2</v>
      </c>
      <c r="AC357" s="21">
        <f t="shared" si="35"/>
        <v>0.17585347155776665</v>
      </c>
      <c r="AD357" s="21">
        <f t="shared" si="35"/>
        <v>0.32647380684948912</v>
      </c>
      <c r="AE357" s="21">
        <f t="shared" si="35"/>
        <v>0.31862042126482365</v>
      </c>
      <c r="AF357" s="21">
        <f t="shared" si="35"/>
        <v>0.30404216605798773</v>
      </c>
      <c r="AG357" s="21">
        <f t="shared" si="35"/>
        <v>0.62364327887141202</v>
      </c>
      <c r="AH357" s="21">
        <f t="shared" si="35"/>
        <v>0.27036913751451325</v>
      </c>
      <c r="AI357" s="21">
        <f t="shared" si="35"/>
        <v>0.30843087848761702</v>
      </c>
      <c r="AJ357" s="21">
        <f t="shared" si="35"/>
        <v>0.6135158441238252</v>
      </c>
      <c r="AK357" s="21">
        <f t="shared" si="35"/>
        <v>0.43834694611645258</v>
      </c>
      <c r="AL357" s="21">
        <f t="shared" si="35"/>
        <v>0.2124507717755113</v>
      </c>
      <c r="AM357" s="21">
        <f t="shared" si="35"/>
        <v>0.21270728260537677</v>
      </c>
      <c r="AN357" s="21">
        <f>AN346/AN350</f>
        <v>0</v>
      </c>
      <c r="AO357" s="21">
        <f>AO346/AO350</f>
        <v>0.21261623955448353</v>
      </c>
      <c r="AP357" s="21">
        <f>AP346/AP350</f>
        <v>0.34515347089792903</v>
      </c>
      <c r="AQ357" s="21">
        <f>AQ346/AQ350</f>
        <v>0.89285582081468029</v>
      </c>
      <c r="AR357" s="21">
        <f t="shared" ref="AR357:AX357" si="36">AR346/AR350</f>
        <v>0.62512679148755246</v>
      </c>
      <c r="AS357" s="21">
        <f t="shared" si="36"/>
        <v>0.89562763582726634</v>
      </c>
      <c r="AT357" s="21">
        <f t="shared" si="36"/>
        <v>0.26056864177053807</v>
      </c>
      <c r="AU357" s="21" t="e">
        <f t="shared" si="36"/>
        <v>#DIV/0!</v>
      </c>
      <c r="AV357" s="21">
        <f t="shared" si="36"/>
        <v>0.14142454626231246</v>
      </c>
      <c r="AW357" s="21">
        <f t="shared" si="36"/>
        <v>0.8988533216643747</v>
      </c>
      <c r="AX357" s="21">
        <f t="shared" si="36"/>
        <v>0.88950062352315951</v>
      </c>
      <c r="AY357" s="21">
        <f>AY346/AY350</f>
        <v>0.24835760654519873</v>
      </c>
      <c r="AZ357" s="21">
        <f t="shared" ref="AZ357:BI357" si="37">AZ346/AZ350</f>
        <v>0.20124950046163867</v>
      </c>
      <c r="BA357" s="21">
        <f t="shared" si="37"/>
        <v>0.90187070808531877</v>
      </c>
      <c r="BB357" s="21">
        <f t="shared" si="37"/>
        <v>0.2516462474885845</v>
      </c>
      <c r="BC357" s="21">
        <f t="shared" si="37"/>
        <v>0.34415572963788821</v>
      </c>
      <c r="BD357" s="21">
        <f t="shared" si="37"/>
        <v>3.7241618534961042E-3</v>
      </c>
      <c r="BE357" s="21">
        <f t="shared" si="37"/>
        <v>0.89981239125828327</v>
      </c>
      <c r="BF357" s="21">
        <f t="shared" si="37"/>
        <v>0.34437463583436756</v>
      </c>
      <c r="BG357" s="21">
        <f t="shared" si="37"/>
        <v>0.90164695271316508</v>
      </c>
      <c r="BH357" s="21">
        <f t="shared" si="37"/>
        <v>0.3234852217750242</v>
      </c>
      <c r="BI357" s="21">
        <f t="shared" si="37"/>
        <v>3.7710123755316689E-3</v>
      </c>
      <c r="BL357" s="22"/>
    </row>
    <row r="358" spans="1:64">
      <c r="A358" s="22"/>
      <c r="B358" t="s">
        <v>612</v>
      </c>
      <c r="F358" s="21">
        <f t="shared" ref="F358:AM358" si="38">F347/F350</f>
        <v>7.1507384525849829E-2</v>
      </c>
      <c r="G358" s="21">
        <f t="shared" si="38"/>
        <v>2.64077151155779E-2</v>
      </c>
      <c r="H358" s="21">
        <f t="shared" si="38"/>
        <v>6.9174099404661391E-2</v>
      </c>
      <c r="I358" s="21">
        <f t="shared" si="38"/>
        <v>0.84558662232939363</v>
      </c>
      <c r="J358" s="21">
        <f t="shared" si="38"/>
        <v>8.1996323886281142E-2</v>
      </c>
      <c r="K358" s="21">
        <f t="shared" si="38"/>
        <v>0.11745972598463129</v>
      </c>
      <c r="L358" s="21">
        <f t="shared" si="38"/>
        <v>4.316480958568842E-2</v>
      </c>
      <c r="M358" s="21">
        <f t="shared" si="38"/>
        <v>2.4779803833403741E-2</v>
      </c>
      <c r="N358" s="21">
        <f t="shared" si="38"/>
        <v>0.13671054065273025</v>
      </c>
      <c r="O358" s="21">
        <f>O347/O350</f>
        <v>0</v>
      </c>
      <c r="P358" s="21">
        <f t="shared" si="38"/>
        <v>0</v>
      </c>
      <c r="Q358" s="21">
        <f t="shared" si="38"/>
        <v>8.5263887335792002E-2</v>
      </c>
      <c r="R358" s="21">
        <f t="shared" si="38"/>
        <v>0</v>
      </c>
      <c r="S358" s="21">
        <f t="shared" si="38"/>
        <v>3.0143349391448183E-5</v>
      </c>
      <c r="T358" s="21">
        <f t="shared" si="38"/>
        <v>-1.954994635934627E-2</v>
      </c>
      <c r="U358" s="21">
        <f t="shared" si="38"/>
        <v>0</v>
      </c>
      <c r="V358" s="21">
        <f t="shared" si="38"/>
        <v>1.9057329761601401E-2</v>
      </c>
      <c r="W358" s="21">
        <f t="shared" si="38"/>
        <v>0.16808272011690462</v>
      </c>
      <c r="X358" s="21">
        <f t="shared" si="38"/>
        <v>0.11114182246683924</v>
      </c>
      <c r="Y358" s="21">
        <f t="shared" si="38"/>
        <v>0</v>
      </c>
      <c r="Z358" s="21">
        <f t="shared" si="38"/>
        <v>5.2825800615161837E-2</v>
      </c>
      <c r="AA358" s="21">
        <f t="shared" si="38"/>
        <v>0</v>
      </c>
      <c r="AB358" s="21">
        <f t="shared" si="38"/>
        <v>3.6286922342614852E-2</v>
      </c>
      <c r="AC358" s="21">
        <f t="shared" si="38"/>
        <v>0</v>
      </c>
      <c r="AD358" s="21">
        <f t="shared" si="38"/>
        <v>3.597194922167609E-2</v>
      </c>
      <c r="AE358" s="21">
        <f t="shared" si="38"/>
        <v>0</v>
      </c>
      <c r="AF358" s="21">
        <f t="shared" si="38"/>
        <v>4.2308444923230444E-2</v>
      </c>
      <c r="AG358" s="21">
        <f t="shared" si="38"/>
        <v>-4.5195299628234195E-2</v>
      </c>
      <c r="AH358" s="21">
        <f t="shared" si="38"/>
        <v>7.0666762302686176E-2</v>
      </c>
      <c r="AI358" s="21">
        <f t="shared" si="38"/>
        <v>6.327848005575161E-2</v>
      </c>
      <c r="AJ358" s="21">
        <f t="shared" si="38"/>
        <v>-2.1537602914393231E-2</v>
      </c>
      <c r="AK358" s="21">
        <f t="shared" si="38"/>
        <v>0</v>
      </c>
      <c r="AL358" s="21">
        <f t="shared" si="38"/>
        <v>1.8979151213119306E-5</v>
      </c>
      <c r="AM358" s="21">
        <f t="shared" si="38"/>
        <v>2.1353265176388E-5</v>
      </c>
      <c r="AN358" s="21">
        <f>AN347/AN350</f>
        <v>2.6138130919272206E-2</v>
      </c>
      <c r="AO358" s="21">
        <f>AO347/AO350</f>
        <v>3.1876079037844159E-5</v>
      </c>
      <c r="AP358" s="21">
        <f>AP347/AP350</f>
        <v>-2.6033777770712977E-2</v>
      </c>
      <c r="AQ358" s="21">
        <f>AQ347/AQ350</f>
        <v>0</v>
      </c>
      <c r="AR358" s="21">
        <f t="shared" ref="AR358:AX358" si="39">AR347/AR350</f>
        <v>-3.1272054636209759E-2</v>
      </c>
      <c r="AS358" s="21">
        <f t="shared" si="39"/>
        <v>0</v>
      </c>
      <c r="AT358" s="21">
        <f t="shared" si="39"/>
        <v>-1.7467477008008513E-2</v>
      </c>
      <c r="AU358" s="21" t="e">
        <f t="shared" si="39"/>
        <v>#DIV/0!</v>
      </c>
      <c r="AV358" s="21">
        <f t="shared" si="39"/>
        <v>-5.3158357791874824E-3</v>
      </c>
      <c r="AW358" s="21">
        <f t="shared" si="39"/>
        <v>0</v>
      </c>
      <c r="AX358" s="21">
        <f t="shared" si="39"/>
        <v>0</v>
      </c>
      <c r="AY358" s="21">
        <f>AY347/AY350</f>
        <v>0</v>
      </c>
      <c r="AZ358" s="21">
        <f t="shared" ref="AZ358:BI358" si="40">AZ347/AZ350</f>
        <v>0</v>
      </c>
      <c r="BA358" s="21">
        <f t="shared" si="40"/>
        <v>0</v>
      </c>
      <c r="BB358" s="21">
        <f t="shared" si="40"/>
        <v>0</v>
      </c>
      <c r="BC358" s="21">
        <f t="shared" si="40"/>
        <v>-2.582071645981943E-2</v>
      </c>
      <c r="BD358" s="21">
        <f t="shared" si="40"/>
        <v>0</v>
      </c>
      <c r="BE358" s="21">
        <f t="shared" si="40"/>
        <v>0</v>
      </c>
      <c r="BF358" s="21">
        <f t="shared" si="40"/>
        <v>-2.5950104872847907E-2</v>
      </c>
      <c r="BG358" s="21">
        <f t="shared" si="40"/>
        <v>0</v>
      </c>
      <c r="BH358" s="21">
        <f t="shared" si="40"/>
        <v>0</v>
      </c>
      <c r="BI358" s="21">
        <f t="shared" si="40"/>
        <v>0</v>
      </c>
      <c r="BL358" s="22"/>
    </row>
    <row r="359" spans="1:64">
      <c r="A359" s="22"/>
      <c r="B359" t="s">
        <v>613</v>
      </c>
      <c r="F359" s="21">
        <f t="shared" ref="F359:N359" si="41">F348/F350</f>
        <v>0.1766885834573905</v>
      </c>
      <c r="G359" s="21">
        <f t="shared" si="41"/>
        <v>6.5668642260319446E-2</v>
      </c>
      <c r="H359" s="21">
        <f t="shared" si="41"/>
        <v>6.4279958294025941E-2</v>
      </c>
      <c r="I359" s="21">
        <f t="shared" si="41"/>
        <v>4.3517945608944425E-2</v>
      </c>
      <c r="J359" s="21">
        <f t="shared" si="41"/>
        <v>7.5047480347069498E-2</v>
      </c>
      <c r="K359" s="21">
        <f t="shared" si="41"/>
        <v>6.3412098216299811E-2</v>
      </c>
      <c r="L359" s="21">
        <f t="shared" si="41"/>
        <v>4.917302999312409E-2</v>
      </c>
      <c r="M359" s="21">
        <f t="shared" si="41"/>
        <v>0.19061737704994397</v>
      </c>
      <c r="N359" s="21">
        <f t="shared" si="41"/>
        <v>0.18569892313215589</v>
      </c>
      <c r="O359" s="21">
        <f>O348/O350</f>
        <v>-2.277638135841186E-5</v>
      </c>
      <c r="P359" s="21">
        <f t="shared" ref="P359:AM359" si="42">P348/P350</f>
        <v>1.8757941798798743E-3</v>
      </c>
      <c r="Q359" s="21">
        <f t="shared" si="42"/>
        <v>7.4692090852654353E-2</v>
      </c>
      <c r="R359" s="21">
        <f t="shared" si="42"/>
        <v>-3.3749579253027494E-3</v>
      </c>
      <c r="S359" s="21">
        <f t="shared" si="42"/>
        <v>2.3455078844916016E-2</v>
      </c>
      <c r="T359" s="21">
        <f t="shared" si="42"/>
        <v>4.4850329658889451E-2</v>
      </c>
      <c r="U359" s="21">
        <f t="shared" si="42"/>
        <v>0</v>
      </c>
      <c r="V359" s="21">
        <f t="shared" si="42"/>
        <v>5.0560293889019656E-2</v>
      </c>
      <c r="W359" s="21">
        <f t="shared" si="42"/>
        <v>5.5243411622156666E-2</v>
      </c>
      <c r="X359" s="21">
        <f t="shared" si="42"/>
        <v>7.1299633322722072E-2</v>
      </c>
      <c r="Y359" s="21">
        <f t="shared" si="42"/>
        <v>1.8757361545540354E-3</v>
      </c>
      <c r="Z359" s="21">
        <f t="shared" si="42"/>
        <v>0.12863311937306321</v>
      </c>
      <c r="AA359" s="21">
        <f t="shared" si="42"/>
        <v>3.7676163007633249E-3</v>
      </c>
      <c r="AB359" s="21">
        <f t="shared" si="42"/>
        <v>6.1301883964545716E-2</v>
      </c>
      <c r="AC359" s="21">
        <f t="shared" si="42"/>
        <v>-8.1262745796483113E-3</v>
      </c>
      <c r="AD359" s="21">
        <f t="shared" si="42"/>
        <v>5.8381938581256461E-2</v>
      </c>
      <c r="AE359" s="21">
        <f t="shared" si="42"/>
        <v>2.7908202658824834E-3</v>
      </c>
      <c r="AF359" s="21">
        <f t="shared" si="42"/>
        <v>0.14843308660087537</v>
      </c>
      <c r="AG359" s="21">
        <f t="shared" si="42"/>
        <v>4.2486731184741826E-2</v>
      </c>
      <c r="AH359" s="21">
        <f t="shared" si="42"/>
        <v>4.6035421444142128E-3</v>
      </c>
      <c r="AI359" s="21">
        <f t="shared" si="42"/>
        <v>0.19264788361530238</v>
      </c>
      <c r="AJ359" s="21">
        <f t="shared" si="42"/>
        <v>5.1094987892135658E-2</v>
      </c>
      <c r="AK359" s="21">
        <f t="shared" si="42"/>
        <v>3.6961582227676894E-3</v>
      </c>
      <c r="AL359" s="21">
        <f t="shared" si="42"/>
        <v>1.4297967688066607E-2</v>
      </c>
      <c r="AM359" s="21">
        <f t="shared" si="42"/>
        <v>1.4313529742466548E-2</v>
      </c>
      <c r="AN359" s="21">
        <f>AN348/AN350</f>
        <v>4.9414846052460978E-2</v>
      </c>
      <c r="AO359" s="21">
        <f>AO348/AO350</f>
        <v>1.4093415343799676E-2</v>
      </c>
      <c r="AP359" s="21">
        <f>AP348/AP350</f>
        <v>3.2079420979670925E-2</v>
      </c>
      <c r="AQ359" s="21">
        <f>AQ348/AQ350</f>
        <v>-2.3107155826835294E-4</v>
      </c>
      <c r="AR359" s="21">
        <f t="shared" ref="AR359:AX359" si="43">AR348/AR350</f>
        <v>3.0226954540135128E-2</v>
      </c>
      <c r="AS359" s="21">
        <f t="shared" si="43"/>
        <v>1.6216606669753038E-4</v>
      </c>
      <c r="AT359" s="21">
        <f t="shared" si="43"/>
        <v>3.4559655398630998E-2</v>
      </c>
      <c r="AU359" s="21" t="e">
        <f t="shared" si="43"/>
        <v>#DIV/0!</v>
      </c>
      <c r="AV359" s="21">
        <f t="shared" si="43"/>
        <v>1.9011124496366823E-2</v>
      </c>
      <c r="AW359" s="21">
        <f t="shared" si="43"/>
        <v>4.7364804460844005E-5</v>
      </c>
      <c r="AX359" s="21">
        <f t="shared" si="43"/>
        <v>4.26123533644238E-5</v>
      </c>
      <c r="AY359" s="21">
        <f>AY348/AY350</f>
        <v>1.8180676420619798E-3</v>
      </c>
      <c r="AZ359" s="21">
        <f t="shared" ref="AZ359:BI359" si="44">AZ348/AZ350</f>
        <v>4.7032843145547135E-2</v>
      </c>
      <c r="BA359" s="21">
        <f t="shared" si="44"/>
        <v>7.4841623005889396E-2</v>
      </c>
      <c r="BB359" s="21">
        <f t="shared" si="44"/>
        <v>2.069526440677736E-3</v>
      </c>
      <c r="BC359" s="21">
        <f t="shared" si="44"/>
        <v>3.254585656840403E-2</v>
      </c>
      <c r="BD359" s="21">
        <f t="shared" si="44"/>
        <v>4.1438385716476143E-2</v>
      </c>
      <c r="BE359" s="21">
        <f t="shared" si="44"/>
        <v>7.691693152076777E-2</v>
      </c>
      <c r="BF359" s="21">
        <f t="shared" si="44"/>
        <v>3.2829701479481964E-2</v>
      </c>
      <c r="BG359" s="21">
        <f t="shared" si="44"/>
        <v>7.4841813507181984E-2</v>
      </c>
      <c r="BH359" s="21">
        <f t="shared" si="44"/>
        <v>8.3521153941920959E-3</v>
      </c>
      <c r="BI359" s="21">
        <f t="shared" si="44"/>
        <v>4.2114189064492422E-2</v>
      </c>
      <c r="BL359" s="22"/>
    </row>
    <row r="360" spans="1:64">
      <c r="B360" s="22" t="s">
        <v>706</v>
      </c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</row>
  </sheetData>
  <mergeCells count="4">
    <mergeCell ref="B1:BK1"/>
    <mergeCell ref="A2:A359"/>
    <mergeCell ref="B360:BK360"/>
    <mergeCell ref="BL2:BL359"/>
  </mergeCells>
  <conditionalFormatting sqref="B17:B33">
    <cfRule type="cellIs" dxfId="3" priority="16" stopIfTrue="1" operator="lessThan">
      <formula>0</formula>
    </cfRule>
  </conditionalFormatting>
  <conditionalFormatting sqref="C23:C33">
    <cfRule type="cellIs" dxfId="2" priority="25" stopIfTrue="1" operator="lessThan">
      <formula>0</formula>
    </cfRule>
  </conditionalFormatting>
  <conditionalFormatting sqref="D16:E24">
    <cfRule type="cellIs" dxfId="1" priority="17" stopIfTrue="1" operator="lessThan">
      <formula>0</formula>
    </cfRule>
  </conditionalFormatting>
  <conditionalFormatting sqref="F15:BI23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0BC399D8-3E5E-44AC-9E28-02CD3FCB0A4F}"/>
</file>

<file path=customXml/itemProps2.xml><?xml version="1.0" encoding="utf-8"?>
<ds:datastoreItem xmlns:ds="http://schemas.openxmlformats.org/officeDocument/2006/customXml" ds:itemID="{6A1B5606-8F86-4075-AD4F-72E66F095409}"/>
</file>

<file path=customXml/itemProps3.xml><?xml version="1.0" encoding="utf-8"?>
<ds:datastoreItem xmlns:ds="http://schemas.openxmlformats.org/officeDocument/2006/customXml" ds:itemID="{92282802-CC13-493A-A28B-2240DD2BB9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8/2026</dc:title>
  <dc:creator>פרידמן אמיר</dc:creator>
  <cp:lastModifiedBy>שרון מוזס</cp:lastModifiedBy>
  <dcterms:created xsi:type="dcterms:W3CDTF">2026-09-16T12:04:58Z</dcterms:created>
  <dcterms:modified xsi:type="dcterms:W3CDTF">2026-09-17T09:17:14Z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