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4FA02E1E-D1F1-4BD6-A43C-26D081379CFD}" xr6:coauthVersionLast="47" xr6:coauthVersionMax="47" xr10:uidLastSave="{00000000-0000-0000-0000-000000000000}"/>
  <bookViews>
    <workbookView xWindow="-120" yWindow="-120" windowWidth="15600" windowHeight="11160" xr2:uid="{ED9F0600-29F7-43DA-823A-6E65D08CD9AF}"/>
  </bookViews>
  <sheets>
    <sheet name="מורים וגננות " sheetId="1" r:id="rId1"/>
  </sheets>
  <definedNames>
    <definedName name="WinZmBookmark_zDCB88" localSheetId="0">'מורים וגננות '!$D$5</definedName>
    <definedName name="WinZmBookmarkEnd" localSheetId="0">'מורים וגננות '!$D$27</definedName>
    <definedName name="_xlnm.Print_Area" localSheetId="0">'מורים וגננות '!$A$1:$H$24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6" i="1" s="1"/>
  <c r="M16" i="1" s="1"/>
  <c r="D10" i="1"/>
  <c r="C10" i="1"/>
  <c r="J8" i="1"/>
</calcChain>
</file>

<file path=xl/sharedStrings.xml><?xml version="1.0" encoding="utf-8"?>
<sst xmlns="http://schemas.openxmlformats.org/spreadsheetml/2006/main" count="51" uniqueCount="44">
  <si>
    <t>אפיק השקעה</t>
  </si>
  <si>
    <t>שיעור החשיפה לתאריך 10/12/2023</t>
  </si>
  <si>
    <t>שיעור חשיפה  לשנת תשפ"ד</t>
  </si>
  <si>
    <t>טווח סטייה</t>
  </si>
  <si>
    <t>גבולות שיעור החשיפה הצפויה לשנת תשפ"ד</t>
  </si>
  <si>
    <t xml:space="preserve">מדד ייחוס לשנת תשפ"ד </t>
  </si>
  <si>
    <t>מדד ייחוס מעודכן לשנת תשפ"ד</t>
  </si>
  <si>
    <t>מניות סחירות</t>
  </si>
  <si>
    <t>6% +/-</t>
  </si>
  <si>
    <t>38%-50%</t>
  </si>
  <si>
    <t>ת"א 125- 30%
MSCI ALL COUNTRIES  -70% שקלי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</si>
  <si>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</si>
  <si>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</si>
  <si>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</si>
  <si>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</si>
  <si>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</si>
  <si>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</si>
  <si>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</si>
  <si>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</si>
  <si>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</si>
  <si>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</si>
  <si>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</si>
  <si>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</si>
  <si>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</si>
  <si>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</si>
  <si>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</si>
  <si>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</si>
  <si>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</si>
  <si>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</si>
  <si>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</si>
  <si>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</si>
  <si>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</si>
  <si>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</si>
  <si>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</si>
  <si>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</si>
  <si>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</si>
  <si>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</si>
  <si>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מדיניות אושרה בדירקטוריון מיום 25.12.2023</t>
  </si>
  <si>
    <r>
      <t xml:space="preserve">קרן השתלמות למורים וגננות  - מדיניות צפויה תשפ"ד 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</si>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</sst>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sz val="11"/>
      <name val="David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1" fillId="0" borderId="0" xfId="0" applyFont="1"/>
    <xf numFmtId="10" fontId="9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0" borderId="1" xfId="0" applyFont="1" applyBorder="1"/>
    <xf numFmtId="10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164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</cellXfs>
  <cellStyles count="2">
    <cellStyle name="Normal" xfId="0" builtinId="0"/>
    <cellStyle name="Normal 2" xfId="1" xr:uid="{AAA87DB8-0B10-4327-86B2-4BA639921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52CF-44A7-48F9-9285-9C60C2A24F2D}">
  <sheetPr>
    <pageSetUpPr fitToPage="1"/>
  </sheetPr>
  <dimension ref="A2:M30"/>
  <sheetViews>
    <sheetView rightToLeft="1" tabSelected="1" topLeftCell="C11" zoomScaleNormal="100" workbookViewId="0">
      <selection activeCell="G1" sqref="G1:H1048576"/>
    </sheetView>
  </sheetViews>
  <sheetFormatPr defaultRowHeight="12.75" x14ac:dyDescent="0.2"/>
  <cols>
    <col min="1" max="1" width="9.140625" style="3"/>
    <col min="2" max="2" width="38.28515625" style="3" customWidth="1"/>
    <col min="3" max="3" width="22" style="3" customWidth="1"/>
    <col min="4" max="5" width="23.85546875" style="3" customWidth="1"/>
    <col min="6" max="6" width="19.28515625" style="3" customWidth="1"/>
    <col min="7" max="7" width="29.42578125" style="3" customWidth="1"/>
    <col min="8" max="8" width="28.5703125" style="3" customWidth="1"/>
    <col min="9" max="9" width="9.140625" style="3"/>
    <col min="10" max="13" width="0" style="3" hidden="1" customWidth="1"/>
    <col min="14" max="16384" width="9.140625" style="3"/>
  </cols>
  <sheetData>
    <row r="2" spans="1:13" x14ac:dyDescent="0.2">
      <c r="B2" s="4" t="s">
        <v>38</v>
      </c>
      <c r="C2" s="4"/>
      <c r="D2" s="4"/>
      <c r="E2" s="4"/>
      <c r="F2" s="4"/>
      <c r="G2" s="4"/>
    </row>
    <row r="4" spans="1:13" ht="41.25" customHeight="1" x14ac:dyDescent="0.2">
      <c r="B4" s="5" t="s">
        <v>0</v>
      </c>
      <c r="C4" s="6" t="s">
        <v>1</v>
      </c>
      <c r="D4" s="7" t="s">
        <v>2</v>
      </c>
      <c r="E4" s="7" t="s">
        <v>3</v>
      </c>
      <c r="F4" s="6" t="s">
        <v>4</v>
      </c>
      <c r="G4" s="6" t="s">
        <v>5</v>
      </c>
      <c r="H4" s="7" t="s">
        <v>6</v>
      </c>
      <c r="K4" s="3">
        <v>0.28999999999999998</v>
      </c>
    </row>
    <row r="5" spans="1:13" ht="56.25" customHeight="1" x14ac:dyDescent="0.2">
      <c r="B5" s="5" t="s">
        <v>7</v>
      </c>
      <c r="C5" s="8">
        <v>0.44719999999999999</v>
      </c>
      <c r="D5" s="9">
        <v>0.44</v>
      </c>
      <c r="E5" s="5" t="s">
        <v>8</v>
      </c>
      <c r="F5" s="5" t="s">
        <v>9</v>
      </c>
      <c r="G5" s="10" t="s">
        <v>10</v>
      </c>
      <c r="H5" s="10" t="s">
        <v>11</v>
      </c>
      <c r="J5" s="3">
        <v>7.52</v>
      </c>
      <c r="K5" s="3">
        <v>35.53</v>
      </c>
    </row>
    <row r="6" spans="1:13" ht="48.75" customHeight="1" x14ac:dyDescent="0.2">
      <c r="B6" s="5" t="s">
        <v>12</v>
      </c>
      <c r="C6" s="8">
        <v>0.13020000000000001</v>
      </c>
      <c r="D6" s="9">
        <v>0.15</v>
      </c>
      <c r="E6" s="5" t="s">
        <v>13</v>
      </c>
      <c r="F6" s="5" t="s">
        <v>14</v>
      </c>
      <c r="G6" s="10" t="s">
        <v>15</v>
      </c>
      <c r="H6" s="10" t="s">
        <v>15</v>
      </c>
      <c r="J6" s="3">
        <v>6.06</v>
      </c>
      <c r="K6" s="3">
        <v>22.02</v>
      </c>
    </row>
    <row r="7" spans="1:13" ht="51" x14ac:dyDescent="0.2">
      <c r="B7" s="5" t="s">
        <v>16</v>
      </c>
      <c r="C7" s="8">
        <v>0.19370000000000001</v>
      </c>
      <c r="D7" s="9">
        <v>0.2</v>
      </c>
      <c r="E7" s="5" t="s">
        <v>8</v>
      </c>
      <c r="F7" s="5" t="s">
        <v>17</v>
      </c>
      <c r="G7" s="11" t="s">
        <v>18</v>
      </c>
      <c r="H7" s="11" t="s">
        <v>18</v>
      </c>
      <c r="K7" s="3">
        <v>24.55</v>
      </c>
    </row>
    <row r="8" spans="1:13" ht="51" x14ac:dyDescent="0.2">
      <c r="B8" s="10" t="s">
        <v>19</v>
      </c>
      <c r="C8" s="8">
        <v>0.21940000000000001</v>
      </c>
      <c r="D8" s="9">
        <v>0.22</v>
      </c>
      <c r="E8" s="5" t="s">
        <v>13</v>
      </c>
      <c r="F8" s="5" t="s">
        <v>20</v>
      </c>
      <c r="G8" s="5"/>
      <c r="H8" s="5"/>
      <c r="J8" s="3">
        <f>SUM(J5:J7)</f>
        <v>13.579999999999998</v>
      </c>
      <c r="K8" s="3">
        <v>4.87</v>
      </c>
    </row>
    <row r="9" spans="1:13" s="12" customFormat="1" ht="41.25" customHeight="1" x14ac:dyDescent="0.2">
      <c r="B9" s="5" t="s">
        <v>21</v>
      </c>
      <c r="C9" s="8">
        <v>5.3499999999999999E-2</v>
      </c>
      <c r="D9" s="13">
        <v>0.05</v>
      </c>
      <c r="E9" s="5" t="s">
        <v>13</v>
      </c>
      <c r="F9" s="5" t="s">
        <v>22</v>
      </c>
      <c r="G9" s="5" t="s">
        <v>23</v>
      </c>
      <c r="H9" s="5" t="s">
        <v>23</v>
      </c>
      <c r="K9" s="12">
        <v>7.52</v>
      </c>
    </row>
    <row r="10" spans="1:13" ht="39" customHeight="1" x14ac:dyDescent="0.2">
      <c r="B10" s="5" t="s">
        <v>24</v>
      </c>
      <c r="C10" s="14">
        <f>SUM(C5:C9)</f>
        <v>1.044</v>
      </c>
      <c r="D10" s="15">
        <f>SUM(D5:D9)</f>
        <v>1.06</v>
      </c>
      <c r="E10" s="5"/>
      <c r="F10" s="5"/>
      <c r="G10" s="5"/>
      <c r="H10" s="5"/>
      <c r="K10" s="3">
        <v>5.21</v>
      </c>
    </row>
    <row r="11" spans="1:13" ht="36.75" customHeight="1" x14ac:dyDescent="0.2">
      <c r="B11" s="5" t="s">
        <v>25</v>
      </c>
      <c r="C11" s="16">
        <v>0.22270000000000001</v>
      </c>
      <c r="D11" s="13">
        <v>0.19</v>
      </c>
      <c r="E11" s="5" t="s">
        <v>8</v>
      </c>
      <c r="F11" s="5" t="s">
        <v>26</v>
      </c>
      <c r="G11" s="5"/>
      <c r="H11" s="5"/>
      <c r="K11" s="3">
        <f>SUM(K4:K10)</f>
        <v>99.99</v>
      </c>
    </row>
    <row r="12" spans="1:13" ht="24" customHeight="1" x14ac:dyDescent="0.2">
      <c r="B12" s="17" t="s">
        <v>27</v>
      </c>
      <c r="C12" s="18">
        <v>4.0000000000000001E-3</v>
      </c>
      <c r="D12" s="19"/>
      <c r="E12" s="19"/>
      <c r="F12" s="19"/>
      <c r="G12" s="19"/>
      <c r="H12" s="19"/>
      <c r="I12" s="12"/>
    </row>
    <row r="14" spans="1:13" x14ac:dyDescent="0.2">
      <c r="A14" s="3" t="s">
        <v>28</v>
      </c>
      <c r="B14" s="3" t="s">
        <v>29</v>
      </c>
      <c r="K14" s="3">
        <v>0.95</v>
      </c>
    </row>
    <row r="15" spans="1:13" x14ac:dyDescent="0.2">
      <c r="A15" s="3" t="s">
        <v>30</v>
      </c>
      <c r="B15" s="20" t="s">
        <v>31</v>
      </c>
      <c r="C15" s="20"/>
      <c r="D15" s="20"/>
      <c r="E15" s="20"/>
    </row>
    <row r="16" spans="1:13" x14ac:dyDescent="0.2">
      <c r="A16" s="3" t="s">
        <v>32</v>
      </c>
      <c r="B16" s="20" t="s">
        <v>33</v>
      </c>
      <c r="C16" s="20"/>
      <c r="D16" s="20"/>
      <c r="E16" s="20"/>
      <c r="K16" s="3">
        <f>K11-K14</f>
        <v>99.039999999999992</v>
      </c>
      <c r="L16" s="3">
        <v>98.47</v>
      </c>
      <c r="M16" s="3">
        <f>K16-L16</f>
        <v>0.56999999999999318</v>
      </c>
    </row>
    <row r="18" spans="2:6" ht="15" x14ac:dyDescent="0.2">
      <c r="B18" s="1" t="s">
        <v>34</v>
      </c>
      <c r="C18" s="21"/>
      <c r="D18" s="21"/>
      <c r="E18" s="21"/>
      <c r="F18" s="21"/>
    </row>
    <row r="19" spans="2:6" ht="15" x14ac:dyDescent="0.2">
      <c r="B19" s="22" t="s">
        <v>39</v>
      </c>
    </row>
    <row r="20" spans="2:6" ht="15" x14ac:dyDescent="0.2">
      <c r="B20" s="23" t="s">
        <v>40</v>
      </c>
    </row>
    <row r="21" spans="2:6" ht="15" x14ac:dyDescent="0.2">
      <c r="B21" s="2" t="s">
        <v>35</v>
      </c>
    </row>
    <row r="22" spans="2:6" ht="15" x14ac:dyDescent="0.2">
      <c r="B22" s="2" t="s">
        <v>41</v>
      </c>
    </row>
    <row r="23" spans="2:6" ht="15" x14ac:dyDescent="0.2">
      <c r="B23" s="23" t="s">
        <v>42</v>
      </c>
    </row>
    <row r="24" spans="2:6" ht="15" x14ac:dyDescent="0.2">
      <c r="B24" s="23" t="s">
        <v>43</v>
      </c>
    </row>
    <row r="25" spans="2:6" x14ac:dyDescent="0.2">
      <c r="B25" s="24"/>
    </row>
    <row r="26" spans="2:6" ht="15" x14ac:dyDescent="0.2">
      <c r="B26" s="2" t="s">
        <v>36</v>
      </c>
    </row>
    <row r="30" spans="2:6" x14ac:dyDescent="0.2">
      <c r="B30" s="12" t="s">
        <v>37</v>
      </c>
    </row>
  </sheetData>
  <mergeCells count="2">
    <mergeCell ref="B2:G2"/>
    <mergeCell ref="C12:H12"/>
  </mergeCells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מורים וגננות </vt:lpstr>
      <vt:lpstr>'מורים וגננות '!WinZmBookmark_zDCB88</vt:lpstr>
      <vt:lpstr>'מורים וגננות '!WinZmBookmarkEnd</vt:lpstr>
      <vt:lpstr>'מורים וגננות 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2024-01-01T07:01:55Z</dcterms:created>
  <dcterms:modified xsi:type="dcterms:W3CDTF">2024-01-01T07:15:12Z</dcterms:modified>
</cp:coreProperties>
</file>