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מדיניות השקעות\"/>
    </mc:Choice>
  </mc:AlternateContent>
  <xr:revisionPtr revIDLastSave="0" documentId="8_{508C7703-99DC-4FEF-823A-94A5CB100E2F}" xr6:coauthVersionLast="47" xr6:coauthVersionMax="47" xr10:uidLastSave="{00000000-0000-0000-0000-000000000000}"/>
  <bookViews>
    <workbookView xWindow="-120" yWindow="-120" windowWidth="15600" windowHeight="11160" xr2:uid="{B9593496-5E53-4DC1-84A7-49D1C6D878C8}"/>
  </bookViews>
  <sheets>
    <sheet name="מורים וגננות " sheetId="1" r:id="rId1"/>
  </sheets>
  <definedNames>
    <definedName name="WinZmBookmark_zDCB88" localSheetId="0">'מורים וגננות '!$C$3</definedName>
    <definedName name="WinZmBookmarkEnd" localSheetId="0">'מורים וגננות '!#REF!</definedName>
    <definedName name="_xlnm.Print_Area" localSheetId="0">'מורים וגננות '!$A$1:$H$20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" i="1" l="1"/>
  <c r="K13" i="1" s="1"/>
  <c r="M13" i="1" s="1"/>
  <c r="F8" i="1"/>
  <c r="C8" i="1"/>
  <c r="J6" i="1"/>
</calcChain>
</file>

<file path=xl/sharedStrings.xml><?xml version="1.0" encoding="utf-8"?>
<sst xmlns="http://schemas.openxmlformats.org/spreadsheetml/2006/main" count="61" uniqueCount="46">
  <si>
    <t>קרן השתלמות למורים וגננות  - מסלול רגיל-מסלול כללי- מדיניות צפויה תשפ"ו - עדכון פברואר 2026</t>
  </si>
  <si>
    <t>אפיק השקעה</t>
  </si>
  <si>
    <t>שיעור החשיפה לתאריך 07/12/2025</t>
  </si>
  <si>
    <t>שיעור חשיפה לשנת תשפ"ה</t>
  </si>
  <si>
    <t>טווח סטייה</t>
  </si>
  <si>
    <t>גבולות שיעור החשיפה הצפויה לשנת תשפ"ה</t>
  </si>
  <si>
    <t>שיעור חשיפה לשנת תשפ"ו</t>
  </si>
  <si>
    <t>גבולות שיעור החשיפה הצפויה  לשנת תשפ"ו</t>
  </si>
  <si>
    <t>מדד ייחוס  לשנת תשפ"ו</t>
  </si>
  <si>
    <t>מניות סחירות</t>
  </si>
  <si>
    <t>6% +/-</t>
  </si>
  <si>
    <t>38%-50%</t>
  </si>
  <si>
    <t>39%-51%</t>
  </si>
  <si>
    <t>ת"א 125- 30%
MSCI ALL COUNTRIES  -70%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</si>
  <si>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</si>
  <si>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</si>
  <si>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</si>
  <si>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</si>
  <si>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</si>
  <si>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</si>
  <si>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>13%-25%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</si>
  <si>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</si>
  <si>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</si>
  <si>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17%-27%</t>
  </si>
  <si>
    <t>15%-25</t>
  </si>
  <si>
    <t>Barclays Global Aggregate Corporate Bond Index- 11% ,  msci-ac - 34% , S&amp;P Global Infrastructure Index - 43%, MSCI World Real Estate Index - 11% שקליים</t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</si>
  <si>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</si>
  <si>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</si>
  <si>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</si>
  <si>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</si>
  <si>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</si>
  <si>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</si>
  <si>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מגבלת עמלת ניהול חיצוני לשנת תשפ"ו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</si>
  <si>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</si>
  <si>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</si>
  <si>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</si>
  <si>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</si>
  <si>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</si>
  <si>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</si>
  <si>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</si>
  <si>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</si>
  <si>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</si>
  <si>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</si>
  <si>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</si>
  <si>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23.03.2026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</si>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</sst>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b/>
      <sz val="12"/>
      <name val="Arial"/>
      <family val="2"/>
    </font>
    <font>
      <sz val="10"/>
      <name val="Arial"/>
      <family val="2"/>
      <charset val="177"/>
    </font>
    <font>
      <sz val="12"/>
      <color rgb="FFFF0000"/>
      <name val="Arial"/>
      <family val="2"/>
      <charset val="177"/>
    </font>
    <font>
      <b/>
      <sz val="10"/>
      <name val="Arial"/>
      <family val="2"/>
      <charset val="177"/>
    </font>
    <font>
      <b/>
      <sz val="12"/>
      <color theme="0"/>
      <name val="Arial"/>
      <family val="2"/>
      <charset val="177"/>
    </font>
    <font>
      <sz val="12"/>
      <color theme="0"/>
      <name val="Arial"/>
      <family val="2"/>
      <charset val="177"/>
    </font>
    <font>
      <sz val="12"/>
      <name val="Arial"/>
      <family val="2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  <font>
      <b/>
      <sz val="12"/>
      <color rgb="FFFF000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6" fillId="0" borderId="0" xfId="0" applyFont="1"/>
    <xf numFmtId="0" fontId="3" fillId="0" borderId="7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10" fontId="4" fillId="0" borderId="6" xfId="0" applyNumberFormat="1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0" borderId="0" xfId="0" applyFont="1"/>
    <xf numFmtId="9" fontId="3" fillId="0" borderId="6" xfId="0" applyNumberFormat="1" applyFont="1" applyBorder="1" applyAlignment="1">
      <alignment horizontal="center" vertical="center"/>
    </xf>
    <xf numFmtId="10" fontId="9" fillId="0" borderId="2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5" fillId="0" borderId="2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2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 readingOrder="2"/>
    </xf>
    <xf numFmtId="0" fontId="12" fillId="0" borderId="0" xfId="0" applyFont="1" applyAlignment="1">
      <alignment horizontal="right" vertical="center" readingOrder="2"/>
    </xf>
    <xf numFmtId="0" fontId="12" fillId="0" borderId="0" xfId="0" applyFont="1" applyAlignment="1">
      <alignment horizontal="right" vertical="center" wrapText="1" readingOrder="2"/>
    </xf>
    <xf numFmtId="0" fontId="19" fillId="0" borderId="0" xfId="0" applyFont="1" applyAlignment="1">
      <alignment horizontal="right" vertical="center" wrapText="1" readingOrder="2"/>
    </xf>
    <xf numFmtId="0" fontId="21" fillId="0" borderId="0" xfId="0" applyFont="1"/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027AB0A9-5088-4A5F-9C6D-E5F36DB64012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1560E-D9AD-499E-A7C7-20099D09B33B}" name="טבלה1" displayName="טבלה1" ref="A2:H9" totalsRowShown="0" headerRowDxfId="11" dataDxfId="10" headerRowBorderDxfId="8" tableBorderDxfId="9">
  <tableColumns count="8">
    <tableColumn id="1" xr3:uid="{BCF623CE-9CA3-4CD1-8489-E26FD82DD670}" name="אפיק השקעה" dataDxfId="7"/>
    <tableColumn id="2" xr3:uid="{9A8ABB6E-6056-4985-931D-5C3CBDF7F8A2}" name="שיעור החשיפה לתאריך 07/12/2025" dataDxfId="6"/>
    <tableColumn id="3" xr3:uid="{3D5644D2-0A67-406F-9516-82E20E684204}" name="שיעור חשיפה לשנת תשפ&quot;ה" dataDxfId="5"/>
    <tableColumn id="4" xr3:uid="{B5375F13-2432-4537-8C62-7C33B607C891}" name="טווח סטייה" dataDxfId="4"/>
    <tableColumn id="5" xr3:uid="{AC6F92B0-1502-4254-8D11-1D80BC8DC123}" name="גבולות שיעור החשיפה הצפויה לשנת תשפ&quot;ה" dataDxfId="3"/>
    <tableColumn id="6" xr3:uid="{70192E2E-BEB1-41BD-A177-9BC80A4871EE}" name="שיעור חשיפה לשנת תשפ&quot;ו" dataDxfId="2"/>
    <tableColumn id="7" xr3:uid="{B39C15A4-2B74-4326-9845-0EBF63412903}" name="גבולות שיעור החשיפה הצפויה  לשנת תשפ&quot;ו" dataDxfId="1"/>
    <tableColumn id="8" xr3:uid="{62F1B55A-8E19-48F5-8C4F-0A5DAC2D791F}" name="מדד ייחוס  לשנת תשפ&quot;ו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- מסלול רגיל וכללי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B048-17E1-41D7-B665-E9CC0FDCB4DD}">
  <sheetPr>
    <pageSetUpPr fitToPage="1"/>
  </sheetPr>
  <dimension ref="A1:O24"/>
  <sheetViews>
    <sheetView rightToLeft="1" tabSelected="1" topLeftCell="A6" zoomScale="110" zoomScaleNormal="110" workbookViewId="0">
      <selection activeCell="A22" sqref="A22"/>
    </sheetView>
  </sheetViews>
  <sheetFormatPr defaultColWidth="0" defaultRowHeight="12.75" zeroHeight="1" x14ac:dyDescent="0.2"/>
  <cols>
    <col min="1" max="1" width="27.28515625" style="4" customWidth="1"/>
    <col min="2" max="2" width="18.5703125" style="4" customWidth="1"/>
    <col min="3" max="3" width="17.28515625" style="4" customWidth="1"/>
    <col min="4" max="4" width="16.5703125" style="4" customWidth="1"/>
    <col min="5" max="5" width="15.28515625" style="4" customWidth="1"/>
    <col min="6" max="6" width="15.7109375" style="4" customWidth="1"/>
    <col min="7" max="7" width="15" style="4" customWidth="1"/>
    <col min="8" max="8" width="28.5703125" style="4" customWidth="1"/>
    <col min="9" max="9" width="9.140625" style="4" hidden="1" customWidth="1"/>
    <col min="10" max="15" width="0" style="4" hidden="1" customWidth="1"/>
    <col min="16" max="16384" width="9.140625" style="4" hidden="1"/>
  </cols>
  <sheetData>
    <row r="1" spans="1:15" ht="15.75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15" ht="66" customHeight="1" x14ac:dyDescent="0.2">
      <c r="A2" s="5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6" t="s">
        <v>6</v>
      </c>
      <c r="G2" s="6" t="s">
        <v>7</v>
      </c>
      <c r="H2" s="8" t="s">
        <v>8</v>
      </c>
      <c r="K2" s="4">
        <v>0.28999999999999998</v>
      </c>
    </row>
    <row r="3" spans="1:15" ht="45" x14ac:dyDescent="0.2">
      <c r="A3" s="9" t="s">
        <v>9</v>
      </c>
      <c r="B3" s="10">
        <v>0.46860000000000002</v>
      </c>
      <c r="C3" s="11">
        <v>0.44</v>
      </c>
      <c r="D3" s="12" t="s">
        <v>10</v>
      </c>
      <c r="E3" s="13" t="s">
        <v>11</v>
      </c>
      <c r="F3" s="14">
        <v>0.45</v>
      </c>
      <c r="G3" s="15" t="s">
        <v>12</v>
      </c>
      <c r="H3" s="16" t="s">
        <v>13</v>
      </c>
      <c r="I3" s="17"/>
      <c r="J3" s="4">
        <v>7.52</v>
      </c>
      <c r="K3" s="4">
        <v>35.53</v>
      </c>
    </row>
    <row r="4" spans="1:15" ht="45" x14ac:dyDescent="0.2">
      <c r="A4" s="9" t="s">
        <v>14</v>
      </c>
      <c r="B4" s="10">
        <v>0.15329999999999999</v>
      </c>
      <c r="C4" s="11">
        <v>0.15</v>
      </c>
      <c r="D4" s="12" t="s">
        <v>15</v>
      </c>
      <c r="E4" s="13" t="s">
        <v>16</v>
      </c>
      <c r="F4" s="14">
        <v>0.15</v>
      </c>
      <c r="G4" s="15" t="s">
        <v>16</v>
      </c>
      <c r="H4" s="16" t="s">
        <v>17</v>
      </c>
      <c r="J4" s="4">
        <v>6.06</v>
      </c>
      <c r="K4" s="4">
        <v>22.02</v>
      </c>
    </row>
    <row r="5" spans="1:15" ht="75" x14ac:dyDescent="0.2">
      <c r="A5" s="9" t="s">
        <v>18</v>
      </c>
      <c r="B5" s="10">
        <v>0.17780000000000001</v>
      </c>
      <c r="C5" s="11">
        <v>0.2</v>
      </c>
      <c r="D5" s="12" t="s">
        <v>10</v>
      </c>
      <c r="E5" s="13" t="s">
        <v>19</v>
      </c>
      <c r="F5" s="14">
        <v>0.19</v>
      </c>
      <c r="G5" s="15" t="s">
        <v>20</v>
      </c>
      <c r="H5" s="18" t="s">
        <v>21</v>
      </c>
      <c r="K5" s="4">
        <v>24.55</v>
      </c>
    </row>
    <row r="6" spans="1:15" ht="118.5" customHeight="1" x14ac:dyDescent="0.2">
      <c r="A6" s="9" t="s">
        <v>22</v>
      </c>
      <c r="B6" s="10">
        <v>0.1835</v>
      </c>
      <c r="C6" s="11">
        <v>0.22</v>
      </c>
      <c r="D6" s="12" t="s">
        <v>15</v>
      </c>
      <c r="E6" s="13" t="s">
        <v>23</v>
      </c>
      <c r="F6" s="14">
        <v>0.2</v>
      </c>
      <c r="G6" s="15" t="s">
        <v>24</v>
      </c>
      <c r="H6" s="19" t="s">
        <v>25</v>
      </c>
      <c r="J6" s="4">
        <f>SUM(J3:J5)</f>
        <v>13.579999999999998</v>
      </c>
      <c r="K6" s="4">
        <v>4.87</v>
      </c>
    </row>
    <row r="7" spans="1:15" s="23" customFormat="1" ht="41.25" customHeight="1" x14ac:dyDescent="0.2">
      <c r="A7" s="9" t="s">
        <v>26</v>
      </c>
      <c r="B7" s="10">
        <v>5.6300000000000003E-2</v>
      </c>
      <c r="C7" s="20">
        <v>0.05</v>
      </c>
      <c r="D7" s="12" t="s">
        <v>15</v>
      </c>
      <c r="E7" s="13" t="s">
        <v>27</v>
      </c>
      <c r="F7" s="21">
        <v>0.05</v>
      </c>
      <c r="G7" s="15" t="s">
        <v>27</v>
      </c>
      <c r="H7" s="22" t="s">
        <v>28</v>
      </c>
      <c r="K7" s="23">
        <v>7.52</v>
      </c>
    </row>
    <row r="8" spans="1:15" ht="39" customHeight="1" x14ac:dyDescent="0.25">
      <c r="A8" s="9" t="s">
        <v>29</v>
      </c>
      <c r="B8" s="20">
        <v>1.0361</v>
      </c>
      <c r="C8" s="24">
        <f>SUM(C3:C7)</f>
        <v>1.06</v>
      </c>
      <c r="D8" s="25" t="s">
        <v>30</v>
      </c>
      <c r="E8" s="13"/>
      <c r="F8" s="21">
        <f>SUM(F3:F7)</f>
        <v>1.04</v>
      </c>
      <c r="G8" s="15"/>
      <c r="H8" s="26" t="s">
        <v>30</v>
      </c>
      <c r="K8" s="4">
        <v>5.21</v>
      </c>
    </row>
    <row r="9" spans="1:15" ht="36.75" customHeight="1" x14ac:dyDescent="0.2">
      <c r="A9" s="9" t="s">
        <v>31</v>
      </c>
      <c r="B9" s="27">
        <v>0.1893</v>
      </c>
      <c r="C9" s="28">
        <v>0.2</v>
      </c>
      <c r="D9" s="12" t="s">
        <v>10</v>
      </c>
      <c r="E9" s="13" t="s">
        <v>19</v>
      </c>
      <c r="F9" s="29">
        <v>0.19</v>
      </c>
      <c r="G9" s="15" t="s">
        <v>20</v>
      </c>
      <c r="H9" s="26" t="s">
        <v>30</v>
      </c>
      <c r="K9" s="4">
        <f>SUM(K2:K8)</f>
        <v>99.99</v>
      </c>
    </row>
    <row r="10" spans="1:15" ht="31.5" x14ac:dyDescent="0.25">
      <c r="A10" s="30" t="s">
        <v>32</v>
      </c>
      <c r="B10" s="26" t="s">
        <v>30</v>
      </c>
      <c r="C10" s="26" t="s">
        <v>30</v>
      </c>
      <c r="D10" s="26" t="s">
        <v>30</v>
      </c>
      <c r="E10" s="26" t="s">
        <v>30</v>
      </c>
      <c r="F10" s="31">
        <v>3.5999999999999999E-3</v>
      </c>
      <c r="G10" s="32"/>
      <c r="H10" s="26" t="s">
        <v>30</v>
      </c>
      <c r="I10" s="23"/>
    </row>
    <row r="11" spans="1:15" ht="15" x14ac:dyDescent="0.2">
      <c r="A11" s="3" t="s">
        <v>33</v>
      </c>
      <c r="B11" s="3"/>
      <c r="C11" s="3"/>
      <c r="D11" s="3"/>
      <c r="E11" s="3"/>
      <c r="F11" s="3"/>
      <c r="G11" s="3"/>
      <c r="H11" s="3"/>
      <c r="K11" s="4">
        <v>0.95</v>
      </c>
      <c r="O11" s="17"/>
    </row>
    <row r="12" spans="1:15" ht="15" x14ac:dyDescent="0.2">
      <c r="A12" s="33" t="s">
        <v>34</v>
      </c>
      <c r="B12" s="33"/>
      <c r="C12" s="33"/>
      <c r="D12" s="33"/>
      <c r="E12" s="3"/>
      <c r="F12" s="3"/>
      <c r="G12" s="3"/>
      <c r="H12" s="3"/>
    </row>
    <row r="13" spans="1:15" ht="15" x14ac:dyDescent="0.2">
      <c r="A13" s="33" t="s">
        <v>35</v>
      </c>
      <c r="B13" s="33"/>
      <c r="C13" s="33"/>
      <c r="D13" s="33"/>
      <c r="E13" s="3"/>
      <c r="F13" s="3"/>
      <c r="G13" s="3"/>
      <c r="H13" s="3"/>
      <c r="K13" s="4">
        <f>K9-K11</f>
        <v>99.039999999999992</v>
      </c>
      <c r="L13" s="4">
        <v>98.47</v>
      </c>
      <c r="M13" s="4">
        <f>K13-L13</f>
        <v>0.56999999999999318</v>
      </c>
    </row>
    <row r="14" spans="1:15" ht="45" customHeight="1" x14ac:dyDescent="0.2">
      <c r="A14" s="34" t="s">
        <v>36</v>
      </c>
      <c r="B14" s="35"/>
      <c r="C14" s="35"/>
      <c r="D14" s="35"/>
      <c r="E14" s="35"/>
      <c r="F14" s="35"/>
      <c r="G14" s="35"/>
      <c r="H14" s="35"/>
    </row>
    <row r="15" spans="1:15" ht="15.75" x14ac:dyDescent="0.2">
      <c r="A15" s="36" t="s">
        <v>37</v>
      </c>
      <c r="B15" s="3"/>
      <c r="C15" s="3"/>
      <c r="D15" s="3"/>
      <c r="E15" s="3"/>
      <c r="F15" s="3"/>
      <c r="G15" s="3"/>
      <c r="H15" s="3"/>
    </row>
    <row r="16" spans="1:15" ht="15.75" x14ac:dyDescent="0.2">
      <c r="A16" s="37" t="s">
        <v>38</v>
      </c>
      <c r="B16" s="3"/>
      <c r="C16" s="3"/>
      <c r="D16" s="3"/>
      <c r="E16" s="3"/>
      <c r="F16" s="3"/>
      <c r="G16" s="3"/>
      <c r="H16" s="3"/>
    </row>
    <row r="17" spans="1:8" ht="15.75" x14ac:dyDescent="0.2">
      <c r="A17" s="38" t="s">
        <v>39</v>
      </c>
      <c r="B17" s="3"/>
      <c r="C17" s="3"/>
      <c r="D17" s="3"/>
      <c r="E17" s="3"/>
      <c r="F17" s="3"/>
      <c r="G17" s="3"/>
      <c r="H17" s="3"/>
    </row>
    <row r="18" spans="1:8" ht="11.25" customHeight="1" x14ac:dyDescent="0.2">
      <c r="A18" s="39" t="s">
        <v>40</v>
      </c>
      <c r="B18" s="35"/>
      <c r="C18" s="35"/>
      <c r="D18" s="35"/>
      <c r="E18" s="35"/>
      <c r="F18" s="35"/>
      <c r="G18" s="35"/>
      <c r="H18" s="35"/>
    </row>
    <row r="19" spans="1:8" ht="27.75" customHeight="1" x14ac:dyDescent="0.2">
      <c r="A19" s="40" t="s">
        <v>41</v>
      </c>
      <c r="B19" s="35"/>
      <c r="C19" s="35"/>
      <c r="D19" s="35"/>
      <c r="E19" s="35"/>
      <c r="F19" s="35"/>
      <c r="G19" s="35"/>
      <c r="H19" s="35"/>
    </row>
    <row r="20" spans="1:8" ht="24.75" customHeight="1" x14ac:dyDescent="0.2">
      <c r="A20" s="40" t="s">
        <v>42</v>
      </c>
      <c r="B20" s="35"/>
      <c r="C20" s="35"/>
      <c r="D20" s="35"/>
      <c r="E20" s="35"/>
      <c r="F20" s="35"/>
      <c r="G20" s="35"/>
      <c r="H20" s="35"/>
    </row>
    <row r="21" spans="1:8" ht="15.75" x14ac:dyDescent="0.2">
      <c r="A21" s="38" t="s">
        <v>43</v>
      </c>
      <c r="B21" s="3"/>
      <c r="C21" s="3"/>
      <c r="D21" s="3"/>
      <c r="E21" s="3"/>
      <c r="F21" s="3"/>
      <c r="G21" s="3"/>
      <c r="H21" s="3"/>
    </row>
    <row r="22" spans="1:8" ht="15.75" x14ac:dyDescent="0.25">
      <c r="A22" s="41" t="s">
        <v>44</v>
      </c>
      <c r="B22" s="3"/>
      <c r="C22" s="3"/>
      <c r="D22" s="3"/>
      <c r="E22" s="3"/>
      <c r="F22" s="3"/>
      <c r="G22" s="3"/>
      <c r="H22" s="3"/>
    </row>
    <row r="23" spans="1:8" ht="15" x14ac:dyDescent="0.2">
      <c r="A23" s="42" t="s">
        <v>45</v>
      </c>
      <c r="B23" s="42"/>
      <c r="C23" s="42"/>
      <c r="D23" s="42"/>
      <c r="E23" s="42"/>
      <c r="F23" s="42"/>
      <c r="G23" s="42"/>
      <c r="H23" s="42"/>
    </row>
    <row r="24" spans="1:8" hidden="1" x14ac:dyDescent="0.2">
      <c r="A24" s="23"/>
    </row>
  </sheetData>
  <mergeCells count="5">
    <mergeCell ref="A14:H14"/>
    <mergeCell ref="A18:H18"/>
    <mergeCell ref="A19:H19"/>
    <mergeCell ref="A20:H20"/>
    <mergeCell ref="A23:H23"/>
  </mergeCells>
  <pageMargins left="0.74803149606299213" right="0.74803149606299213" top="0.98425196850393704" bottom="0.98425196850393704" header="0.51181102362204722" footer="0.5118110236220472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מורים וגננות </vt:lpstr>
      <vt:lpstr>'מורים וגננות '!WinZmBookmark_zDCB88</vt:lpstr>
      <vt:lpstr>'מורים וגננות 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2026-06-15T07:03:23Z</dcterms:created>
  <dcterms:modified xsi:type="dcterms:W3CDTF">2026-06-15T07:03:40Z</dcterms:modified>
</cp:coreProperties>
</file>