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Z:\desktop\ועדת השקעות מורים\11.12.2025\מדיניות והקצאת נכסים תשפו\"/>
    </mc:Choice>
  </mc:AlternateContent>
  <xr:revisionPtr revIDLastSave="0" documentId="13_ncr:1_{FA47B64B-AC55-479A-8BB5-42DEAE2D8CA5}" xr6:coauthVersionLast="47" xr6:coauthVersionMax="47" xr10:uidLastSave="{00000000-0000-0000-0000-000000000000}"/>
  <bookViews>
    <workbookView xWindow="-28920" yWindow="-120" windowWidth="29040" windowHeight="15840" tabRatio="789" xr2:uid="{00000000-000D-0000-FFFF-FFFF00000000}"/>
  </bookViews>
  <sheets>
    <sheet name="מורים וגננות " sheetId="1" r:id="rId1"/>
    <sheet name="מוג מקור" sheetId="4" r:id="rId2"/>
    <sheet name="מוג הלכתי" sheetId="5" r:id="rId3"/>
    <sheet name="מוג מקור הלכתי" sheetId="7" r:id="rId4"/>
    <sheet name="מוג אשראי ואגח" sheetId="9" r:id="rId5"/>
    <sheet name="מוג מקור אשראי ואגח" sheetId="11" r:id="rId6"/>
  </sheets>
  <definedNames>
    <definedName name="WinZmBookmark_zDCB88" localSheetId="0">'מורים וגננות '!$C$3</definedName>
    <definedName name="WinZmBookmarkEnd" localSheetId="0">'מורים וגננות '!#REF!</definedName>
    <definedName name="_xlnm.Print_Area" localSheetId="2">'מוג הלכתי'!$A$1:$F$13</definedName>
    <definedName name="_xlnm.Print_Area" localSheetId="0">'מורים וגננות '!$A$1:$H$20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7" l="1"/>
  <c r="C8" i="7"/>
  <c r="B8" i="7"/>
  <c r="F8" i="4"/>
  <c r="F8" i="1" l="1"/>
  <c r="D8" i="9"/>
  <c r="D8" i="11"/>
  <c r="B8" i="5"/>
  <c r="C8" i="4" l="1"/>
  <c r="C8" i="9"/>
  <c r="C8" i="11" l="1"/>
  <c r="C8" i="1" l="1"/>
  <c r="C8" i="5" l="1"/>
  <c r="F8" i="5" l="1"/>
  <c r="K9" i="1" l="1"/>
  <c r="K13" i="1" s="1"/>
  <c r="M13" i="1" s="1"/>
  <c r="J6" i="1"/>
</calcChain>
</file>

<file path=xl/sharedStrings.xml><?xml version="1.0" encoding="utf-8"?>
<sst xmlns="http://schemas.openxmlformats.org/spreadsheetml/2006/main" count="374" uniqueCount="62">
  <si>
    <t>מניות</t>
  </si>
  <si>
    <t>חשיפה למט"ח</t>
  </si>
  <si>
    <t>טווח סטייה</t>
  </si>
  <si>
    <t>6% +/-</t>
  </si>
  <si>
    <t>5% +/-</t>
  </si>
  <si>
    <t>*פקדונות עד 3 חודשים יכללו באפיק עו"ש/פר"י/פק"מ</t>
  </si>
  <si>
    <t>מדד מק"מ</t>
  </si>
  <si>
    <t>*פקדונות מעל 3 חודשים יכללו באפיק פקדונות</t>
  </si>
  <si>
    <t>אג"ח ממשלתי (שקלי, צמוד, משתנה, מט"ח, מק"מ)</t>
  </si>
  <si>
    <t>אפיק השקעה</t>
  </si>
  <si>
    <t xml:space="preserve">אחר (קרנות הון סיכון, קרנות השקעה, קרנות גידור, הלוואות לעמיתים שקליות' השקעות ראיליות, מניות לא סחירות)
</t>
  </si>
  <si>
    <t>סה"כ*</t>
  </si>
  <si>
    <t>מניות סחירות</t>
  </si>
  <si>
    <t xml:space="preserve"> קביעת מגבלות השקעה בתאגידים אשר מדיניות הממשל התאגידי שלהן להם אינה תואמת את המדיניות שאימצה החברה. </t>
  </si>
  <si>
    <t xml:space="preserve"> סה"כ תיק עלול להגיע מעל 100% בשל פעילות נגזרים על מדדי מניות </t>
  </si>
  <si>
    <t>עו"ש (כולל פר"י, פק"מ שבועי, עו"ש מט"ח)**</t>
  </si>
  <si>
    <t>אג"ח קונצרני (כולל פקדונות ושטרי הון)***</t>
  </si>
  <si>
    <t>0%-10%</t>
  </si>
  <si>
    <t>13%-25%</t>
  </si>
  <si>
    <t xml:space="preserve"> 0%-8%</t>
  </si>
  <si>
    <t xml:space="preserve">    תל בונד 60 -60%       
תל בונד שקלי 20%
    Bloomberg us corporate 1
 bond index 10  -20%  שקלי</t>
  </si>
  <si>
    <t>10%-20%</t>
  </si>
  <si>
    <t>40%-52%</t>
  </si>
  <si>
    <t>14%-26%</t>
  </si>
  <si>
    <t>38%-50%</t>
  </si>
  <si>
    <t>20%-30%</t>
  </si>
  <si>
    <t>18%-30%</t>
  </si>
  <si>
    <t>ממשלתי שקלי בריבית קבועה- 65%
ממשלתי צמוד 2-5 שנים- 35%</t>
  </si>
  <si>
    <t>17%-27%</t>
  </si>
  <si>
    <t xml:space="preserve">אפיק השקעה </t>
  </si>
  <si>
    <t>34%-46%</t>
  </si>
  <si>
    <t>50%-60%</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</si>
  <si>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</si>
  <si>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</si>
  <si>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גבולות שיעור החשיפה הצפויה לשנת תשפ"ה</t>
  </si>
  <si>
    <t>שיעור חשיפה לשנת תשפ"ה</t>
  </si>
  <si>
    <t>לפירוט נוסף ניתן לעיין במדיניות ממשל תאגידי ומדיניות ESG של החברה</t>
  </si>
  <si>
    <t>0%-6%</t>
  </si>
  <si>
    <t>0%-5%</t>
  </si>
  <si>
    <t>אין מידע</t>
  </si>
  <si>
    <t>סוף גיליון עבודה</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</si>
  <si>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</si>
  <si>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</si>
  <si>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</si>
  <si>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</si>
  <si>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</si>
  <si>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</si>
  <si>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שיעור חשיפה לשנת תשפ"ו</t>
  </si>
  <si>
    <t>גבולות שיעור החשיפה הצפויה  לשנת תשפ"ו</t>
  </si>
  <si>
    <t>מדד ייחוס  לשנת תשפ"ו</t>
  </si>
  <si>
    <t>39%-51%</t>
  </si>
  <si>
    <t>15%-25</t>
  </si>
  <si>
    <t>מגבלת עמלת ניהול חיצוני לשנת תשפ"ו</t>
  </si>
  <si>
    <t>קרן השתלמות למורים וגננות  - מסלול רגיל-מסלול כללי- מדיניות צפויה תשפ"ו - דצמבר 2025</t>
  </si>
  <si>
    <t>קרן השתלמות למורים וגננות  - מסלול מקוצר-מסלול כללי- מדיניות צפויה תשפ"ו -דצמבר 2025</t>
  </si>
  <si>
    <t>קרן השתלמות למורים וגננות  - מסלול רגיל-מסלול הלכה- מדיניות צפויה תשפ"ו -דצמבר 2025</t>
  </si>
  <si>
    <t>קרן השתלמות למורים וגננות  - מסלול מקוצר-מסלול הלכה- מדיניות צפויה תשפ"ו -דצמבר 2025</t>
  </si>
  <si>
    <t>קרן השתלמות למורים וגננות  - מסלול רגיל-מסלול אשראי ואג"ח- מדיניות צפויה תשפ"ו -דצמבר 2025</t>
  </si>
  <si>
    <t>קרן השתלמות למורים וגננות  - מסלול מקוצר-מסלול אשראי ואג"ח- מדיניות צפויה תשפ"ו -דצמבר 2025</t>
  </si>
  <si>
    <t>ת"א 125- 30%
MSCI ALL COUNTRIES  -70% שקלי</t>
  </si>
  <si>
    <t>מדיניות אושרה בדירקטוריון מיום 29.12.2025</t>
  </si>
  <si>
    <t>שיעור החשיפה לתאריך 07/12/2025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</si>
</sst>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0"/>
      <name val="Arial"/>
      <charset val="177"/>
    </font>
    <font>
      <sz val="10"/>
      <name val="Arial"/>
      <family val="2"/>
    </font>
    <font>
      <sz val="8"/>
      <name val="Arial"/>
      <family val="2"/>
    </font>
    <font>
      <sz val="10"/>
      <name val="Arial"/>
      <family val="2"/>
    </font>
    <font>
      <sz val="11"/>
      <color indexed="8"/>
      <name val="Arial"/>
      <family val="2"/>
      <charset val="177"/>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0"/>
      <name val="Arial"/>
      <family val="2"/>
    </font>
    <font>
      <sz val="10"/>
      <name val="Arial"/>
      <family val="2"/>
    </font>
    <font>
      <sz val="10"/>
      <name val="Arial"/>
      <family val="2"/>
      <charset val="177"/>
    </font>
    <font>
      <b/>
      <sz val="10"/>
      <name val="Arial"/>
      <family val="2"/>
      <charset val="177"/>
    </font>
    <font>
      <b/>
      <sz val="12"/>
      <color theme="0"/>
      <name val="Arial"/>
      <family val="2"/>
      <charset val="177"/>
    </font>
    <font>
      <sz val="12"/>
      <color theme="0"/>
      <name val="Arial"/>
      <family val="2"/>
      <charset val="177"/>
    </font>
    <font>
      <b/>
      <u/>
      <sz val="12"/>
      <name val="Arial"/>
      <family val="2"/>
      <charset val="177"/>
    </font>
    <font>
      <sz val="12"/>
      <name val="Arial"/>
      <family val="2"/>
      <charset val="177"/>
    </font>
    <font>
      <b/>
      <sz val="12"/>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
      <b/>
      <sz val="12"/>
      <color rgb="FFFF0000"/>
      <name val="Arial"/>
      <family val="2"/>
    </font>
    <font>
      <b/>
      <sz val="12"/>
      <name val="Arial"/>
      <family val="2"/>
    </font>
    <font>
      <sz val="12"/>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4" tint="0.79998168889431442"/>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style="thin">
        <color indexed="8"/>
      </left>
      <right/>
      <top style="thin">
        <color indexed="8"/>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5">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3" fillId="0" borderId="0"/>
    <xf numFmtId="0" fontId="21" fillId="0" borderId="0"/>
    <xf numFmtId="0" fontId="22" fillId="0" borderId="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3" fillId="23" borderId="7" applyNumberFormat="0" applyFont="0" applyAlignment="0" applyProtection="0"/>
    <xf numFmtId="0" fontId="6" fillId="20" borderId="1" applyNumberFormat="0" applyAlignment="0" applyProtection="0"/>
    <xf numFmtId="0" fontId="7" fillId="4" borderId="0" applyNumberFormat="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1" fillId="0" borderId="3" applyNumberFormat="0" applyFill="0" applyAlignment="0" applyProtection="0"/>
    <xf numFmtId="0" fontId="12" fillId="0" borderId="4" applyNumberFormat="0" applyFill="0" applyAlignment="0" applyProtection="0"/>
    <xf numFmtId="0" fontId="13" fillId="0" borderId="5" applyNumberFormat="0" applyFill="0" applyAlignment="0" applyProtection="0"/>
    <xf numFmtId="0" fontId="13" fillId="0" borderId="0" applyNumberFormat="0" applyFill="0" applyBorder="0" applyAlignment="0" applyProtection="0"/>
    <xf numFmtId="0" fontId="10" fillId="0" borderId="0" applyNumberFormat="0" applyFill="0" applyBorder="0" applyAlignment="0" applyProtection="0"/>
    <xf numFmtId="0" fontId="14" fillId="22" borderId="0" applyNumberFormat="0" applyBorder="0" applyAlignment="0" applyProtection="0"/>
    <xf numFmtId="0" fontId="15" fillId="0" borderId="9" applyNumberFormat="0" applyFill="0" applyAlignment="0" applyProtection="0"/>
    <xf numFmtId="0" fontId="16" fillId="20" borderId="8" applyNumberFormat="0" applyAlignment="0" applyProtection="0"/>
    <xf numFmtId="0" fontId="17" fillId="7" borderId="1" applyNumberFormat="0" applyAlignment="0" applyProtection="0"/>
    <xf numFmtId="0" fontId="18" fillId="3" borderId="0" applyNumberFormat="0" applyBorder="0" applyAlignment="0" applyProtection="0"/>
    <xf numFmtId="0" fontId="19" fillId="21" borderId="2" applyNumberFormat="0" applyAlignment="0" applyProtection="0"/>
    <xf numFmtId="0" fontId="20" fillId="0" borderId="6" applyNumberFormat="0" applyFill="0" applyAlignment="0" applyProtection="0"/>
  </cellStyleXfs>
  <cellXfs count="77">
    <xf numFmtId="0" fontId="0" fillId="0" borderId="0" xfId="0"/>
    <xf numFmtId="0" fontId="1" fillId="0" borderId="0" xfId="0" applyFont="1"/>
    <xf numFmtId="0" fontId="23" fillId="0" borderId="0" xfId="0" applyFont="1"/>
    <xf numFmtId="0" fontId="24" fillId="0" borderId="0" xfId="0" applyFont="1"/>
    <xf numFmtId="0" fontId="27" fillId="0" borderId="0" xfId="0" applyFont="1" applyAlignment="1">
      <alignment horizontal="right"/>
    </xf>
    <xf numFmtId="0" fontId="27" fillId="0" borderId="0" xfId="0" applyFont="1" applyAlignment="1">
      <alignment horizontal="center"/>
    </xf>
    <xf numFmtId="0" fontId="28" fillId="0" borderId="0" xfId="0" applyFont="1"/>
    <xf numFmtId="0" fontId="28" fillId="25" borderId="16" xfId="0" applyFont="1" applyFill="1" applyBorder="1" applyAlignment="1">
      <alignment horizontal="center" vertical="center"/>
    </xf>
    <xf numFmtId="0" fontId="29" fillId="25" borderId="17" xfId="0" applyFont="1" applyFill="1" applyBorder="1" applyAlignment="1">
      <alignment horizontal="center" vertical="center" wrapText="1"/>
    </xf>
    <xf numFmtId="0" fontId="29" fillId="25" borderId="17" xfId="0" applyFont="1" applyFill="1" applyBorder="1" applyAlignment="1">
      <alignment horizontal="center" vertical="center"/>
    </xf>
    <xf numFmtId="0" fontId="29" fillId="25" borderId="18" xfId="0" applyFont="1" applyFill="1" applyBorder="1" applyAlignment="1">
      <alignment horizontal="center" vertical="center"/>
    </xf>
    <xf numFmtId="0" fontId="28" fillId="0" borderId="14" xfId="0" applyFont="1" applyBorder="1" applyAlignment="1">
      <alignment horizontal="center" vertical="center" wrapText="1"/>
    </xf>
    <xf numFmtId="10" fontId="29" fillId="24" borderId="11" xfId="0" applyNumberFormat="1" applyFont="1" applyFill="1" applyBorder="1" applyAlignment="1">
      <alignment horizontal="center" vertical="center"/>
    </xf>
    <xf numFmtId="0" fontId="28" fillId="0" borderId="10" xfId="0" applyFont="1" applyBorder="1" applyAlignment="1">
      <alignment horizontal="center" vertical="center"/>
    </xf>
    <xf numFmtId="10" fontId="29" fillId="0" borderId="10" xfId="0" applyNumberFormat="1" applyFont="1" applyBorder="1" applyAlignment="1">
      <alignment horizontal="center" vertical="center" wrapText="1"/>
    </xf>
    <xf numFmtId="0" fontId="29" fillId="0" borderId="10" xfId="0" applyFont="1" applyBorder="1" applyAlignment="1">
      <alignment horizontal="center" vertical="center"/>
    </xf>
    <xf numFmtId="0" fontId="28" fillId="0" borderId="15" xfId="0" applyFont="1" applyBorder="1" applyAlignment="1">
      <alignment horizontal="center" vertical="center" wrapText="1"/>
    </xf>
    <xf numFmtId="0" fontId="28" fillId="0" borderId="15" xfId="19" applyFont="1" applyBorder="1" applyAlignment="1">
      <alignment horizontal="center" vertical="center" wrapText="1"/>
    </xf>
    <xf numFmtId="0" fontId="26" fillId="0" borderId="15" xfId="0" applyFont="1" applyBorder="1" applyAlignment="1">
      <alignment horizontal="center" vertical="center"/>
    </xf>
    <xf numFmtId="10" fontId="28" fillId="0" borderId="10" xfId="0" applyNumberFormat="1" applyFont="1" applyBorder="1" applyAlignment="1">
      <alignment horizontal="center" vertical="center"/>
    </xf>
    <xf numFmtId="10" fontId="29" fillId="0" borderId="10" xfId="0" applyNumberFormat="1" applyFont="1" applyBorder="1" applyAlignment="1">
      <alignment horizontal="center" vertical="center"/>
    </xf>
    <xf numFmtId="0" fontId="28" fillId="0" borderId="15" xfId="0" applyFont="1" applyBorder="1" applyAlignment="1">
      <alignment horizontal="center" vertical="center"/>
    </xf>
    <xf numFmtId="9" fontId="28" fillId="0" borderId="10" xfId="0" applyNumberFormat="1" applyFont="1" applyBorder="1" applyAlignment="1">
      <alignment horizontal="center" vertical="center"/>
    </xf>
    <xf numFmtId="10" fontId="25" fillId="0" borderId="17" xfId="0" applyNumberFormat="1" applyFont="1" applyBorder="1" applyAlignment="1">
      <alignment horizontal="center"/>
    </xf>
    <xf numFmtId="10" fontId="29" fillId="0" borderId="11" xfId="0" applyNumberFormat="1" applyFont="1" applyBorder="1" applyAlignment="1">
      <alignment horizontal="center" vertical="center"/>
    </xf>
    <xf numFmtId="9" fontId="29" fillId="0" borderId="10" xfId="0" applyNumberFormat="1" applyFont="1" applyBorder="1" applyAlignment="1">
      <alignment horizontal="center" vertical="center"/>
    </xf>
    <xf numFmtId="0" fontId="29" fillId="0" borderId="17" xfId="0" applyFont="1" applyBorder="1" applyAlignment="1">
      <alignment wrapText="1"/>
    </xf>
    <xf numFmtId="10" fontId="29" fillId="0" borderId="17" xfId="0" applyNumberFormat="1" applyFont="1" applyBorder="1" applyAlignment="1">
      <alignment horizontal="center"/>
    </xf>
    <xf numFmtId="0" fontId="28" fillId="0" borderId="0" xfId="0" applyFont="1" applyAlignment="1">
      <alignment horizontal="right"/>
    </xf>
    <xf numFmtId="0" fontId="35" fillId="0" borderId="0" xfId="0" applyFont="1" applyAlignment="1">
      <alignment horizontal="right" vertical="center"/>
    </xf>
    <xf numFmtId="0" fontId="37" fillId="0" borderId="0" xfId="0" applyFont="1" applyAlignment="1">
      <alignment horizontal="right" vertical="center" readingOrder="2"/>
    </xf>
    <xf numFmtId="0" fontId="30" fillId="0" borderId="0" xfId="0" applyFont="1" applyAlignment="1">
      <alignment horizontal="right" vertical="center" readingOrder="2"/>
    </xf>
    <xf numFmtId="0" fontId="29" fillId="0" borderId="0" xfId="0" applyFont="1"/>
    <xf numFmtId="0" fontId="28" fillId="0" borderId="14" xfId="0" applyFont="1" applyBorder="1" applyAlignment="1">
      <alignment horizontal="center" vertical="center"/>
    </xf>
    <xf numFmtId="0" fontId="35" fillId="0" borderId="0" xfId="0" applyFont="1" applyAlignment="1">
      <alignment horizontal="right" vertical="center" readingOrder="2"/>
    </xf>
    <xf numFmtId="0" fontId="28" fillId="0" borderId="0" xfId="0" applyFont="1" applyAlignment="1">
      <alignment readingOrder="2"/>
    </xf>
    <xf numFmtId="0" fontId="28" fillId="25" borderId="16" xfId="0" applyFont="1" applyFill="1" applyBorder="1" applyAlignment="1">
      <alignment horizontal="center" wrapText="1"/>
    </xf>
    <xf numFmtId="0" fontId="25" fillId="0" borderId="17" xfId="0" applyFont="1" applyBorder="1" applyAlignment="1">
      <alignment horizontal="center"/>
    </xf>
    <xf numFmtId="164" fontId="29" fillId="0" borderId="10" xfId="0" applyNumberFormat="1" applyFont="1" applyBorder="1" applyAlignment="1">
      <alignment horizontal="center" vertical="center"/>
    </xf>
    <xf numFmtId="0" fontId="25" fillId="0" borderId="15" xfId="0" applyFont="1" applyBorder="1" applyAlignment="1">
      <alignment horizontal="center" vertical="center"/>
    </xf>
    <xf numFmtId="164" fontId="28" fillId="0" borderId="10" xfId="0" applyNumberFormat="1" applyFont="1" applyBorder="1" applyAlignment="1">
      <alignment horizontal="center" vertical="center"/>
    </xf>
    <xf numFmtId="0" fontId="28" fillId="0" borderId="19" xfId="0" applyFont="1" applyBorder="1" applyAlignment="1">
      <alignment horizontal="center" vertical="center" wrapText="1"/>
    </xf>
    <xf numFmtId="10" fontId="29" fillId="0" borderId="13" xfId="0" applyNumberFormat="1" applyFont="1" applyBorder="1" applyAlignment="1">
      <alignment horizontal="center" vertical="center"/>
    </xf>
    <xf numFmtId="9" fontId="28" fillId="0" borderId="12" xfId="0" applyNumberFormat="1" applyFont="1" applyBorder="1" applyAlignment="1">
      <alignment horizontal="center" vertical="center"/>
    </xf>
    <xf numFmtId="9" fontId="29" fillId="0" borderId="12" xfId="0" applyNumberFormat="1" applyFont="1" applyBorder="1" applyAlignment="1">
      <alignment horizontal="center" vertical="center"/>
    </xf>
    <xf numFmtId="0" fontId="28" fillId="0" borderId="12" xfId="0" applyFont="1" applyBorder="1" applyAlignment="1">
      <alignment horizontal="center" vertical="center"/>
    </xf>
    <xf numFmtId="0" fontId="29" fillId="0" borderId="12" xfId="0" applyFont="1" applyBorder="1" applyAlignment="1">
      <alignment horizontal="center" vertical="center"/>
    </xf>
    <xf numFmtId="0" fontId="29" fillId="0" borderId="20" xfId="0" applyFont="1" applyBorder="1" applyAlignment="1">
      <alignment horizontal="right" vertical="center" wrapText="1"/>
    </xf>
    <xf numFmtId="10" fontId="29" fillId="0" borderId="10" xfId="0" applyNumberFormat="1" applyFont="1" applyBorder="1"/>
    <xf numFmtId="10" fontId="25" fillId="0" borderId="10" xfId="0" applyNumberFormat="1" applyFont="1" applyBorder="1"/>
    <xf numFmtId="10" fontId="29" fillId="24" borderId="13" xfId="0" applyNumberFormat="1" applyFont="1" applyFill="1" applyBorder="1" applyAlignment="1">
      <alignment horizontal="center" vertical="center"/>
    </xf>
    <xf numFmtId="10" fontId="28" fillId="0" borderId="12" xfId="0" applyNumberFormat="1" applyFont="1" applyBorder="1" applyAlignment="1">
      <alignment horizontal="center" vertical="center"/>
    </xf>
    <xf numFmtId="10" fontId="29" fillId="0" borderId="12" xfId="0" applyNumberFormat="1" applyFont="1" applyBorder="1" applyAlignment="1">
      <alignment horizontal="center" vertical="center"/>
    </xf>
    <xf numFmtId="0" fontId="39" fillId="0" borderId="0" xfId="0" applyFont="1"/>
    <xf numFmtId="0" fontId="37" fillId="0" borderId="0" xfId="0" applyFont="1" applyAlignment="1">
      <alignment horizontal="right" vertical="center" wrapText="1" readingOrder="2"/>
    </xf>
    <xf numFmtId="0" fontId="28" fillId="0" borderId="0" xfId="0" applyFont="1" applyAlignment="1">
      <alignment wrapText="1"/>
    </xf>
    <xf numFmtId="0" fontId="30" fillId="0" borderId="0" xfId="0" applyFont="1" applyAlignment="1">
      <alignment horizontal="right" vertical="center" wrapText="1"/>
    </xf>
    <xf numFmtId="0" fontId="30" fillId="0" borderId="0" xfId="0" applyFont="1" applyAlignment="1">
      <alignment horizontal="right" vertical="center" wrapText="1" readingOrder="2"/>
    </xf>
    <xf numFmtId="0" fontId="28" fillId="0" borderId="0" xfId="0" applyFont="1" applyAlignment="1">
      <alignment horizontal="center"/>
    </xf>
    <xf numFmtId="0" fontId="28" fillId="0" borderId="0" xfId="0" applyFont="1" applyAlignment="1">
      <alignment wrapText="1" readingOrder="2"/>
    </xf>
    <xf numFmtId="0" fontId="29" fillId="0" borderId="0" xfId="0" applyFont="1" applyAlignment="1">
      <alignment horizontal="center"/>
    </xf>
    <xf numFmtId="0" fontId="28" fillId="0" borderId="0" xfId="0" applyFont="1" applyAlignment="1">
      <alignment horizontal="right" readingOrder="2"/>
    </xf>
    <xf numFmtId="10" fontId="41" fillId="0" borderId="10" xfId="0" applyNumberFormat="1" applyFont="1" applyBorder="1" applyAlignment="1">
      <alignment horizontal="center" vertical="center" wrapText="1"/>
    </xf>
    <xf numFmtId="0" fontId="41" fillId="0" borderId="10" xfId="0" applyFont="1" applyBorder="1" applyAlignment="1">
      <alignment horizontal="center" vertical="center"/>
    </xf>
    <xf numFmtId="10" fontId="41" fillId="0" borderId="10" xfId="0" applyNumberFormat="1" applyFont="1" applyBorder="1" applyAlignment="1">
      <alignment horizontal="center" vertical="center"/>
    </xf>
    <xf numFmtId="9" fontId="41" fillId="0" borderId="10" xfId="0" applyNumberFormat="1" applyFont="1" applyBorder="1" applyAlignment="1">
      <alignment horizontal="center" vertical="center"/>
    </xf>
    <xf numFmtId="10" fontId="41" fillId="0" borderId="17" xfId="0" applyNumberFormat="1" applyFont="1" applyBorder="1" applyAlignment="1">
      <alignment horizontal="center"/>
    </xf>
    <xf numFmtId="0" fontId="42" fillId="0" borderId="15" xfId="0" applyFont="1" applyBorder="1" applyAlignment="1">
      <alignment horizontal="center" vertical="center"/>
    </xf>
    <xf numFmtId="0" fontId="40" fillId="0" borderId="15" xfId="0" applyFont="1" applyBorder="1" applyAlignment="1">
      <alignment horizontal="center" vertical="center" wrapText="1"/>
    </xf>
    <xf numFmtId="0" fontId="25" fillId="0" borderId="10" xfId="0" applyFont="1" applyBorder="1" applyAlignment="1">
      <alignment horizontal="center" vertical="center"/>
    </xf>
    <xf numFmtId="0" fontId="28" fillId="0" borderId="10" xfId="0" applyFont="1" applyBorder="1" applyAlignment="1">
      <alignment horizontal="center" vertical="center" wrapText="1"/>
    </xf>
    <xf numFmtId="0" fontId="28" fillId="0" borderId="10" xfId="19" applyFont="1" applyBorder="1" applyAlignment="1">
      <alignment horizontal="center" vertical="center" wrapText="1"/>
    </xf>
    <xf numFmtId="0" fontId="29" fillId="0" borderId="10" xfId="0" applyFont="1" applyBorder="1" applyAlignment="1">
      <alignment horizontal="right" vertical="center" wrapText="1"/>
    </xf>
    <xf numFmtId="0" fontId="29" fillId="25" borderId="10" xfId="0" applyFont="1" applyFill="1" applyBorder="1" applyAlignment="1">
      <alignment horizontal="center" vertical="center"/>
    </xf>
    <xf numFmtId="0" fontId="40" fillId="0" borderId="10" xfId="0" applyFont="1" applyBorder="1" applyAlignment="1">
      <alignment horizontal="center" vertical="center" wrapText="1"/>
    </xf>
    <xf numFmtId="0" fontId="25" fillId="0" borderId="10" xfId="0" applyFont="1" applyBorder="1" applyAlignment="1">
      <alignment horizontal="center"/>
    </xf>
    <xf numFmtId="10" fontId="25" fillId="0" borderId="10" xfId="0" applyNumberFormat="1" applyFont="1" applyBorder="1" applyAlignment="1">
      <alignment horizontal="center"/>
    </xf>
  </cellXfs>
  <cellStyles count="45">
    <cellStyle name="20% - הדגשה1 2" xfId="1" xr:uid="{00000000-0005-0000-0000-000000000000}"/>
    <cellStyle name="20% - הדגשה2 2" xfId="2" xr:uid="{00000000-0005-0000-0000-000001000000}"/>
    <cellStyle name="20% - הדגשה3 2" xfId="3" xr:uid="{00000000-0005-0000-0000-000002000000}"/>
    <cellStyle name="20% - הדגשה4 2" xfId="4" xr:uid="{00000000-0005-0000-0000-000003000000}"/>
    <cellStyle name="20% - הדגשה5 2" xfId="5" xr:uid="{00000000-0005-0000-0000-000004000000}"/>
    <cellStyle name="20% - הדגשה6 2" xfId="6" xr:uid="{00000000-0005-0000-0000-000005000000}"/>
    <cellStyle name="40% - הדגשה1 2" xfId="7" xr:uid="{00000000-0005-0000-0000-000006000000}"/>
    <cellStyle name="40% - הדגשה2 2" xfId="8" xr:uid="{00000000-0005-0000-0000-000007000000}"/>
    <cellStyle name="40% - הדגשה3 2" xfId="9" xr:uid="{00000000-0005-0000-0000-000008000000}"/>
    <cellStyle name="40% - הדגשה4 2" xfId="10" xr:uid="{00000000-0005-0000-0000-000009000000}"/>
    <cellStyle name="40% - הדגשה5 2" xfId="11" xr:uid="{00000000-0005-0000-0000-00000A000000}"/>
    <cellStyle name="40% - הדגשה6 2" xfId="12" xr:uid="{00000000-0005-0000-0000-00000B000000}"/>
    <cellStyle name="60% - הדגשה1 2" xfId="13" xr:uid="{00000000-0005-0000-0000-00000C000000}"/>
    <cellStyle name="60% - הדגשה2 2" xfId="14" xr:uid="{00000000-0005-0000-0000-00000D000000}"/>
    <cellStyle name="60% - הדגשה3 2" xfId="15" xr:uid="{00000000-0005-0000-0000-00000E000000}"/>
    <cellStyle name="60% - הדגשה4 2" xfId="16" xr:uid="{00000000-0005-0000-0000-00000F000000}"/>
    <cellStyle name="60% - הדגשה5 2" xfId="17" xr:uid="{00000000-0005-0000-0000-000010000000}"/>
    <cellStyle name="60% - הדגשה6 2" xfId="18" xr:uid="{00000000-0005-0000-0000-000011000000}"/>
    <cellStyle name="Normal" xfId="0" builtinId="0"/>
    <cellStyle name="Normal 2" xfId="19" xr:uid="{00000000-0005-0000-0000-000013000000}"/>
    <cellStyle name="Normal 3" xfId="20" xr:uid="{00000000-0005-0000-0000-000014000000}"/>
    <cellStyle name="Normal 4" xfId="21" xr:uid="{00000000-0005-0000-0000-000015000000}"/>
    <cellStyle name="הדגשה1 2" xfId="22" xr:uid="{00000000-0005-0000-0000-000016000000}"/>
    <cellStyle name="הדגשה2 2" xfId="23" xr:uid="{00000000-0005-0000-0000-000017000000}"/>
    <cellStyle name="הדגשה3 2" xfId="24" xr:uid="{00000000-0005-0000-0000-000018000000}"/>
    <cellStyle name="הדגשה4 2" xfId="25" xr:uid="{00000000-0005-0000-0000-000019000000}"/>
    <cellStyle name="הדגשה5 2" xfId="26" xr:uid="{00000000-0005-0000-0000-00001A000000}"/>
    <cellStyle name="הדגשה6 2" xfId="27" xr:uid="{00000000-0005-0000-0000-00001B000000}"/>
    <cellStyle name="הערה 2" xfId="28" xr:uid="{00000000-0005-0000-0000-00001C000000}"/>
    <cellStyle name="חישוב 2" xfId="29" xr:uid="{00000000-0005-0000-0000-00001D000000}"/>
    <cellStyle name="טוב 2" xfId="30" xr:uid="{00000000-0005-0000-0000-00001E000000}"/>
    <cellStyle name="טקסט אזהרה 2" xfId="31" xr:uid="{00000000-0005-0000-0000-00001F000000}"/>
    <cellStyle name="טקסט הסברי 2" xfId="32" xr:uid="{00000000-0005-0000-0000-000020000000}"/>
    <cellStyle name="כותרת 1 2" xfId="33" xr:uid="{00000000-0005-0000-0000-000021000000}"/>
    <cellStyle name="כותרת 2 2" xfId="34" xr:uid="{00000000-0005-0000-0000-000022000000}"/>
    <cellStyle name="כותרת 3 2" xfId="35" xr:uid="{00000000-0005-0000-0000-000023000000}"/>
    <cellStyle name="כותרת 4 2" xfId="36" xr:uid="{00000000-0005-0000-0000-000024000000}"/>
    <cellStyle name="כותרת 5" xfId="37" xr:uid="{00000000-0005-0000-0000-000025000000}"/>
    <cellStyle name="ניטראלי 2" xfId="38" xr:uid="{00000000-0005-0000-0000-000026000000}"/>
    <cellStyle name="סה&quot;כ 2" xfId="39" xr:uid="{00000000-0005-0000-0000-000027000000}"/>
    <cellStyle name="פלט 2" xfId="40" xr:uid="{00000000-0005-0000-0000-000028000000}"/>
    <cellStyle name="קלט 2" xfId="41" xr:uid="{00000000-0005-0000-0000-000029000000}"/>
    <cellStyle name="רע 2" xfId="42" xr:uid="{00000000-0005-0000-0000-00002A000000}"/>
    <cellStyle name="תא מסומן 2" xfId="43" xr:uid="{00000000-0005-0000-0000-00002B000000}"/>
    <cellStyle name="תא מקושר 2" xfId="44" xr:uid="{00000000-0005-0000-0000-00002C000000}"/>
  </cellStyles>
  <dxfs count="71">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0"/>
        <name val="Arial"/>
        <family val="2"/>
        <charset val="177"/>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charset val="177"/>
        <scheme val="none"/>
      </font>
      <border outline="0">
        <right style="thin">
          <color indexed="64"/>
        </right>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left style="thin">
          <color indexed="8"/>
        </left>
        <right/>
        <top style="thin">
          <color indexed="8"/>
        </top>
        <bottom style="thin">
          <color indexed="8"/>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numFmt numFmtId="14"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charset val="177"/>
      </font>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charset val="177"/>
      </font>
    </dxf>
    <dxf>
      <font>
        <b/>
        <i val="0"/>
        <strike val="0"/>
        <condense val="0"/>
        <extend val="0"/>
        <outline val="0"/>
        <shadow val="0"/>
        <u val="none"/>
        <vertAlign val="baseline"/>
        <sz val="12"/>
        <color auto="1"/>
        <name val="Arial"/>
        <family val="2"/>
        <charset val="177"/>
        <scheme val="none"/>
      </font>
      <numFmt numFmtId="14" formatCode="0.00%"/>
      <fill>
        <patternFill patternType="solid">
          <fgColor indexed="9"/>
          <bgColor indexed="9"/>
        </patternFill>
      </fill>
      <alignment horizontal="center" vertical="center" textRotation="0" wrapText="0" indent="0" justifyLastLine="0" shrinkToFit="0" readingOrder="0"/>
      <border diagonalUp="0" diagonalDown="0" outline="0">
        <left style="thin">
          <color indexed="8"/>
        </left>
        <right/>
        <top style="thin">
          <color indexed="8"/>
        </top>
        <bottom style="thin">
          <color indexed="8"/>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2"/>
        <family val="2"/>
        <charset val="177"/>
      </font>
    </dxf>
    <dxf>
      <border outline="0">
        <bottom style="thin">
          <color indexed="64"/>
        </bottom>
      </border>
    </dxf>
    <dxf>
      <font>
        <b/>
        <i val="0"/>
        <strike val="0"/>
        <condense val="0"/>
        <extend val="0"/>
        <outline val="0"/>
        <shadow val="0"/>
        <u val="none"/>
        <vertAlign val="baseline"/>
        <sz val="12"/>
        <color auto="1"/>
        <name val="Arial"/>
        <family val="2"/>
        <charset val="177"/>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A1B4A6-2BD4-4544-A7A1-838AE410082E}" name="טבלה1" displayName="טבלה1" ref="A2:H9" totalsRowShown="0" headerRowDxfId="70" dataDxfId="68" headerRowBorderDxfId="69" tableBorderDxfId="67">
  <tableColumns count="8">
    <tableColumn id="1" xr3:uid="{694D05B8-A8FA-46C2-8560-88B055CF66CE}" name="אפיק השקעה" dataDxfId="66"/>
    <tableColumn id="2" xr3:uid="{8617CD4A-40C1-414A-9334-AAED41B5E5E5}" name="שיעור החשיפה לתאריך 07/12/2025" dataDxfId="65"/>
    <tableColumn id="3" xr3:uid="{824E9557-D925-4CCE-95C2-04036650E58C}" name="שיעור חשיפה לשנת תשפ&quot;ה" dataDxfId="64"/>
    <tableColumn id="4" xr3:uid="{6458165F-47D7-4A73-B533-8ACDC0D60E55}" name="טווח סטייה" dataDxfId="63"/>
    <tableColumn id="5" xr3:uid="{F445C246-AFF1-485D-BB30-034CD12B2E63}" name="גבולות שיעור החשיפה הצפויה לשנת תשפ&quot;ה" dataDxfId="62"/>
    <tableColumn id="6" xr3:uid="{1F00507B-4F94-4D24-B4D5-245C0604E830}" name="שיעור חשיפה לשנת תשפ&quot;ו" dataDxfId="9"/>
    <tableColumn id="7" xr3:uid="{C0CAA454-22E0-402A-B7E8-70DA28FB2608}" name="גבולות שיעור החשיפה הצפויה  לשנת תשפ&quot;ו" dataDxfId="7"/>
    <tableColumn id="8" xr3:uid="{F322115D-571B-4B52-94E6-6CCD3AD0737F}" name="מדד ייחוס  לשנת תשפ&quot;ו" dataDxfId="8"/>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כללי"/>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00C1A3-DC07-4E8E-9DC7-201621B46427}" name="טבלה2" displayName="טבלה2" ref="A2:H9" totalsRowShown="0" headerRowDxfId="61" dataDxfId="59" headerRowBorderDxfId="60" tableBorderDxfId="58">
  <tableColumns count="8">
    <tableColumn id="1" xr3:uid="{3C253E22-AC6E-4211-9257-930038DF64D4}" name="אפיק השקעה" dataDxfId="57"/>
    <tableColumn id="2" xr3:uid="{FF9D2C10-2DFB-4336-B059-F7C38BA87638}" name="שיעור החשיפה לתאריך 07/12/2025" dataDxfId="56"/>
    <tableColumn id="3" xr3:uid="{611C5239-7F4C-406B-BA5E-D2CE6C1F1CC7}" name="שיעור חשיפה לשנת תשפ&quot;ה" dataDxfId="55"/>
    <tableColumn id="4" xr3:uid="{51DDDFAC-03FC-4D6F-9E7E-489AB2E74380}" name="טווח סטייה" dataDxfId="54"/>
    <tableColumn id="5" xr3:uid="{DAC3DB5B-EBDB-4BAD-967A-4A868DB65814}" name="גבולות שיעור החשיפה הצפויה לשנת תשפ&quot;ה" dataDxfId="6"/>
    <tableColumn id="6" xr3:uid="{19630E5C-FFC8-457E-83D6-DD104AEEEB62}" name="שיעור חשיפה לשנת תשפ&quot;ו" dataDxfId="5"/>
    <tableColumn id="7" xr3:uid="{A7180EA5-463A-4714-82D5-9D34EEC848D9}" name="גבולות שיעור החשיפה הצפויה  לשנת תשפ&quot;ו" dataDxfId="4"/>
    <tableColumn id="8" xr3:uid="{08EF7803-C630-4C86-8EE7-77FD912EA9C7}" name="מדד ייחוס  לשנת תשפ&quot;ו"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וכללי"/>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AA034F-EA42-4E51-9695-B0DE5B0D8890}" name="טבלה3" displayName="טבלה3" ref="A2:H9" totalsRowShown="0" headerRowDxfId="53" dataDxfId="51" headerRowBorderDxfId="52" tableBorderDxfId="50">
  <tableColumns count="8">
    <tableColumn id="1" xr3:uid="{2A295985-F3BB-4703-A628-1D7ECAEAF9E8}" name="אפיק השקעה" dataDxfId="49"/>
    <tableColumn id="2" xr3:uid="{CB78C26A-CCE4-41C8-A0F6-5A1FE98D4BEF}" name="שיעור החשיפה לתאריך 07/12/2025" dataDxfId="48"/>
    <tableColumn id="3" xr3:uid="{D1F7DACE-CD4D-4B55-8458-12B1D9B3FFA4}" name="שיעור חשיפה לשנת תשפ&quot;ה" dataDxfId="47"/>
    <tableColumn id="4" xr3:uid="{1552B2B5-435C-410F-8A6F-8D6935ACB949}" name="טווח סטייה" dataDxfId="46"/>
    <tableColumn id="5" xr3:uid="{1C3544BB-DC86-4A65-A54F-BA54F8BC46BC}" name="גבולות שיעור החשיפה הצפויה לשנת תשפ&quot;ה" dataDxfId="45"/>
    <tableColumn id="6" xr3:uid="{2F2A8B92-4935-4A81-B597-1F2584B7D26B}" name="שיעור חשיפה לשנת תשפ&quot;ו" dataDxfId="44"/>
    <tableColumn id="7" xr3:uid="{91CE2708-B74F-47F7-BC09-6A60F93FA299}" name="גבולות שיעור החשיפה הצפויה  לשנת תשפ&quot;ו" dataDxfId="43"/>
    <tableColumn id="8" xr3:uid="{384D9513-AA51-4910-8D3D-3BBF05FB6829}" name="מדד ייחוס  לשנת תשפ&quot;ו" dataDxfId="1"/>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והלכה"/>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417C87-C917-4693-99F8-5991F03D9BB8}" name="טבלה4" displayName="טבלה4" ref="A2:H10" totalsRowShown="0" headerRowDxfId="42" headerRowBorderDxfId="41" tableBorderDxfId="40">
  <autoFilter ref="A2:H10" xr:uid="{E8417C87-C917-4693-99F8-5991F03D9BB8}"/>
  <tableColumns count="8">
    <tableColumn id="1" xr3:uid="{B014531F-7C60-4D63-9ABE-701AFAA5CB40}" name="אפיק השקעה" dataDxfId="39"/>
    <tableColumn id="2" xr3:uid="{F4356E9A-87C4-4853-9E6F-F22C81CD02E3}" name="שיעור החשיפה לתאריך 07/12/2025" dataDxfId="38"/>
    <tableColumn id="3" xr3:uid="{6C9467F4-05D6-488D-936F-3368315790E4}" name="שיעור חשיפה לשנת תשפ&quot;ה" dataDxfId="37"/>
    <tableColumn id="4" xr3:uid="{8E004A4F-DC64-4FFA-BEB5-E0AD7A0535A5}" name="טווח סטייה" dataDxfId="36"/>
    <tableColumn id="5" xr3:uid="{A8222559-3033-4543-BE81-D7EEB69AEE37}" name="גבולות שיעור החשיפה הצפויה לשנת תשפ&quot;ה" dataDxfId="35"/>
    <tableColumn id="6" xr3:uid="{1FB1AEE6-41E3-45C2-B460-5981AF92DEBE}" name="שיעור חשיפה לשנת תשפ&quot;ו" dataDxfId="34"/>
    <tableColumn id="7" xr3:uid="{29672B84-BECE-43EA-907A-B706ED7C0868}" name="גבולות שיעור החשיפה הצפויה  לשנת תשפ&quot;ו" dataDxfId="33"/>
    <tableColumn id="8" xr3:uid="{06D63BB7-EB94-4764-80AC-6FB3E8E10731}" name="מדד ייחוס  לשנת תשפ&quot;ו" dataDxfId="2"/>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והלכה"/>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5DA71AC-B77B-44A2-836E-6F6F0F499051}" name="טבלה5" displayName="טבלה5" ref="A2:H10" totalsRowShown="0" headerRowDxfId="32" dataDxfId="30" headerRowBorderDxfId="31" tableBorderDxfId="29">
  <autoFilter ref="A2:H10" xr:uid="{65DA71AC-B77B-44A2-836E-6F6F0F499051}"/>
  <tableColumns count="8">
    <tableColumn id="1" xr3:uid="{888FD114-2A58-425C-9F37-F0E12A4A38E7}" name="אפיק השקעה " dataDxfId="28"/>
    <tableColumn id="2" xr3:uid="{0178DE37-24AD-4478-92D3-BFB89B5EA3E6}" name="שיעור החשיפה לתאריך 07/12/2025" dataDxfId="27"/>
    <tableColumn id="3" xr3:uid="{676D4A55-7ED5-4849-A5D2-2A6A5175E023}" name="שיעור חשיפה לשנת תשפ&quot;ה" dataDxfId="26"/>
    <tableColumn id="4" xr3:uid="{72651868-883E-416A-96B9-D444BD489605}" name="טווח סטייה" dataDxfId="25"/>
    <tableColumn id="5" xr3:uid="{66D0AACA-A5B4-442C-B3CF-4D0DADBD508F}" name="גבולות שיעור החשיפה הצפויה לשנת תשפ&quot;ה" dataDxfId="24"/>
    <tableColumn id="6" xr3:uid="{EAABABF6-91D1-4EA1-9383-67EA59152303}" name="שיעור חשיפה לשנת תשפ&quot;ו" dataDxfId="23"/>
    <tableColumn id="7" xr3:uid="{CEBAC81B-4101-4F4A-A92F-E10DC94B0D85}" name="גבולות שיעור החשיפה הצפויה  לשנת תשפ&quot;ו" dataDxfId="22"/>
    <tableColumn id="8" xr3:uid="{25C337F2-FF5F-4002-8722-48DBD6129DFD}" name="מדד ייחוס  לשנת תשפ&quot;ו" dataDxfId="21"/>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רגיל, אשראי ואג&quot;ח"/>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E30F2A-CE47-4E34-891A-05BF3CE62B1C}" name="טבלה6" displayName="טבלה6" ref="A2:H10" totalsRowShown="0" headerRowDxfId="20" dataDxfId="18" headerRowBorderDxfId="19" tableBorderDxfId="17">
  <autoFilter ref="A2:H10" xr:uid="{58E30F2A-CE47-4E34-891A-05BF3CE62B1C}"/>
  <tableColumns count="8">
    <tableColumn id="1" xr3:uid="{19925BFE-7B61-48D5-8566-3853632D3E58}" name="אפיק השקעה " dataDxfId="16"/>
    <tableColumn id="2" xr3:uid="{901EE138-3A51-42C2-BBC9-714BC6DA2D90}" name="שיעור החשיפה לתאריך 07/12/2025" dataDxfId="15"/>
    <tableColumn id="3" xr3:uid="{06F47D46-2C03-4986-95DE-A8DD61CAEA44}" name="שיעור חשיפה לשנת תשפ&quot;ה" dataDxfId="14"/>
    <tableColumn id="4" xr3:uid="{C85166BE-CBAA-4427-80E5-605F3AE91FBA}" name="טווח סטייה" dataDxfId="13"/>
    <tableColumn id="5" xr3:uid="{ABB46337-8781-4CEC-874F-875AAC55E05B}" name="גבולות שיעור החשיפה הצפויה לשנת תשפ&quot;ה" dataDxfId="12"/>
    <tableColumn id="6" xr3:uid="{B590DE00-9C3D-4D42-BCBA-2086D040C862}" name="שיעור חשיפה לשנת תשפ&quot;ו" dataDxfId="11"/>
    <tableColumn id="7" xr3:uid="{5785038D-B9DB-40B1-B268-AA8F54C125A4}" name="גבולות שיעור החשיפה הצפויה  לשנת תשפ&quot;ו" dataDxfId="10"/>
    <tableColumn id="8" xr3:uid="{28870FBD-3D4F-4F60-9C40-51C7ED8C0A75}" name="מדד ייחוס  לשנת תשפ&quot;ו" dataDxfId="3"/>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אשראי ואג&quot;ח"/>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24"/>
  <sheetViews>
    <sheetView rightToLeft="1" tabSelected="1" zoomScale="110" zoomScaleNormal="110" workbookViewId="0">
      <selection activeCell="B10" sqref="B10"/>
    </sheetView>
  </sheetViews>
  <sheetFormatPr defaultColWidth="0" defaultRowHeight="12.75" zeroHeight="1" x14ac:dyDescent="0.2"/>
  <cols>
    <col min="1" max="1" width="27.28515625" style="1" customWidth="1"/>
    <col min="2" max="2" width="18.5703125" style="1" customWidth="1"/>
    <col min="3" max="3" width="17.28515625" style="1" customWidth="1"/>
    <col min="4" max="4" width="16.5703125" style="1" customWidth="1"/>
    <col min="5" max="5" width="15.28515625" style="1" customWidth="1"/>
    <col min="6" max="6" width="15.7109375" style="1" customWidth="1"/>
    <col min="7" max="7" width="15" style="1" customWidth="1"/>
    <col min="8" max="8" width="28.5703125" style="1" customWidth="1"/>
    <col min="9" max="9" width="9.140625" style="1" hidden="1" customWidth="1"/>
    <col min="10" max="15" width="0" style="1" hidden="1" customWidth="1"/>
    <col min="16" max="16384" width="9.140625" style="1" hidden="1"/>
  </cols>
  <sheetData>
    <row r="1" spans="1:15" ht="15.75" x14ac:dyDescent="0.25">
      <c r="A1" s="4" t="s">
        <v>53</v>
      </c>
      <c r="B1" s="5"/>
      <c r="C1" s="5"/>
      <c r="D1" s="5"/>
      <c r="E1" s="5"/>
      <c r="F1" s="5"/>
      <c r="G1" s="5"/>
      <c r="H1" s="6"/>
    </row>
    <row r="2" spans="1:15" ht="66" customHeight="1" x14ac:dyDescent="0.2">
      <c r="A2" s="7" t="s">
        <v>9</v>
      </c>
      <c r="B2" s="8" t="s">
        <v>61</v>
      </c>
      <c r="C2" s="8" t="s">
        <v>35</v>
      </c>
      <c r="D2" s="9" t="s">
        <v>2</v>
      </c>
      <c r="E2" s="8" t="s">
        <v>34</v>
      </c>
      <c r="F2" s="8" t="s">
        <v>47</v>
      </c>
      <c r="G2" s="8" t="s">
        <v>48</v>
      </c>
      <c r="H2" s="10" t="s">
        <v>49</v>
      </c>
      <c r="K2" s="1">
        <v>0.28999999999999998</v>
      </c>
    </row>
    <row r="3" spans="1:15" ht="47.25" x14ac:dyDescent="0.2">
      <c r="A3" s="11" t="s">
        <v>12</v>
      </c>
      <c r="B3" s="12">
        <v>0.46860000000000002</v>
      </c>
      <c r="C3" s="14">
        <v>0.44</v>
      </c>
      <c r="D3" s="13" t="s">
        <v>3</v>
      </c>
      <c r="E3" s="15" t="s">
        <v>24</v>
      </c>
      <c r="F3" s="62">
        <v>0.45</v>
      </c>
      <c r="G3" s="63" t="s">
        <v>50</v>
      </c>
      <c r="H3" s="68" t="s">
        <v>59</v>
      </c>
      <c r="I3" s="2"/>
      <c r="J3" s="1">
        <v>7.52</v>
      </c>
      <c r="K3" s="1">
        <v>35.53</v>
      </c>
    </row>
    <row r="4" spans="1:15" ht="45" x14ac:dyDescent="0.2">
      <c r="A4" s="11" t="s">
        <v>8</v>
      </c>
      <c r="B4" s="12">
        <v>0.15329999999999999</v>
      </c>
      <c r="C4" s="14">
        <v>0.15</v>
      </c>
      <c r="D4" s="13" t="s">
        <v>4</v>
      </c>
      <c r="E4" s="15" t="s">
        <v>21</v>
      </c>
      <c r="F4" s="62">
        <v>0.15</v>
      </c>
      <c r="G4" s="63" t="s">
        <v>21</v>
      </c>
      <c r="H4" s="16" t="s">
        <v>27</v>
      </c>
      <c r="J4" s="1">
        <v>6.06</v>
      </c>
      <c r="K4" s="1">
        <v>22.02</v>
      </c>
    </row>
    <row r="5" spans="1:15" ht="75" x14ac:dyDescent="0.2">
      <c r="A5" s="11" t="s">
        <v>16</v>
      </c>
      <c r="B5" s="12">
        <v>0.17780000000000001</v>
      </c>
      <c r="C5" s="14">
        <v>0.2</v>
      </c>
      <c r="D5" s="13" t="s">
        <v>3</v>
      </c>
      <c r="E5" s="15" t="s">
        <v>23</v>
      </c>
      <c r="F5" s="62">
        <v>0.19</v>
      </c>
      <c r="G5" s="63" t="s">
        <v>18</v>
      </c>
      <c r="H5" s="17" t="s">
        <v>20</v>
      </c>
      <c r="K5" s="1">
        <v>24.55</v>
      </c>
    </row>
    <row r="6" spans="1:15" ht="90" x14ac:dyDescent="0.2">
      <c r="A6" s="11" t="s">
        <v>10</v>
      </c>
      <c r="B6" s="12">
        <v>0.1835</v>
      </c>
      <c r="C6" s="14">
        <v>0.22</v>
      </c>
      <c r="D6" s="13" t="s">
        <v>4</v>
      </c>
      <c r="E6" s="15" t="s">
        <v>28</v>
      </c>
      <c r="F6" s="62">
        <v>0.2</v>
      </c>
      <c r="G6" s="63" t="s">
        <v>51</v>
      </c>
      <c r="H6" s="18" t="s">
        <v>39</v>
      </c>
      <c r="J6" s="1">
        <f>SUM(J3:J5)</f>
        <v>13.579999999999998</v>
      </c>
      <c r="K6" s="1">
        <v>4.87</v>
      </c>
    </row>
    <row r="7" spans="1:15" s="3" customFormat="1" ht="41.25" customHeight="1" x14ac:dyDescent="0.2">
      <c r="A7" s="11" t="s">
        <v>15</v>
      </c>
      <c r="B7" s="12">
        <v>5.6300000000000003E-2</v>
      </c>
      <c r="C7" s="20">
        <v>0.05</v>
      </c>
      <c r="D7" s="13" t="s">
        <v>4</v>
      </c>
      <c r="E7" s="15" t="s">
        <v>17</v>
      </c>
      <c r="F7" s="64">
        <v>0.05</v>
      </c>
      <c r="G7" s="63" t="s">
        <v>17</v>
      </c>
      <c r="H7" s="21" t="s">
        <v>6</v>
      </c>
      <c r="K7" s="3">
        <v>7.52</v>
      </c>
    </row>
    <row r="8" spans="1:15" ht="39" customHeight="1" x14ac:dyDescent="0.25">
      <c r="A8" s="11" t="s">
        <v>11</v>
      </c>
      <c r="B8" s="20">
        <v>1.0361</v>
      </c>
      <c r="C8" s="22">
        <f>SUM(C3:C7)</f>
        <v>1.06</v>
      </c>
      <c r="D8" s="23" t="s">
        <v>39</v>
      </c>
      <c r="E8" s="15"/>
      <c r="F8" s="64">
        <f>SUM(F3:F7)</f>
        <v>1.04</v>
      </c>
      <c r="G8" s="63"/>
      <c r="H8" s="18" t="s">
        <v>39</v>
      </c>
      <c r="K8" s="1">
        <v>5.21</v>
      </c>
    </row>
    <row r="9" spans="1:15" ht="36.75" customHeight="1" x14ac:dyDescent="0.2">
      <c r="A9" s="11" t="s">
        <v>1</v>
      </c>
      <c r="B9" s="24">
        <v>0.1893</v>
      </c>
      <c r="C9" s="19">
        <v>0.2</v>
      </c>
      <c r="D9" s="13" t="s">
        <v>3</v>
      </c>
      <c r="E9" s="15" t="s">
        <v>23</v>
      </c>
      <c r="F9" s="65">
        <v>0.19</v>
      </c>
      <c r="G9" s="63" t="s">
        <v>18</v>
      </c>
      <c r="H9" s="18" t="s">
        <v>39</v>
      </c>
      <c r="K9" s="1">
        <f>SUM(K2:K8)</f>
        <v>99.99</v>
      </c>
    </row>
    <row r="10" spans="1:15" ht="31.5" x14ac:dyDescent="0.25">
      <c r="A10" s="26" t="s">
        <v>52</v>
      </c>
      <c r="B10" s="18" t="s">
        <v>39</v>
      </c>
      <c r="C10" s="18" t="s">
        <v>39</v>
      </c>
      <c r="D10" s="18" t="s">
        <v>39</v>
      </c>
      <c r="E10" s="18" t="s">
        <v>39</v>
      </c>
      <c r="F10" s="66">
        <v>3.5999999999999999E-3</v>
      </c>
      <c r="G10" s="67"/>
      <c r="H10" s="18" t="s">
        <v>39</v>
      </c>
      <c r="I10" s="3"/>
    </row>
    <row r="11" spans="1:15" ht="15" x14ac:dyDescent="0.2">
      <c r="A11" s="6" t="s">
        <v>14</v>
      </c>
      <c r="B11" s="6"/>
      <c r="C11" s="6"/>
      <c r="D11" s="6"/>
      <c r="E11" s="6"/>
      <c r="F11" s="6"/>
      <c r="G11" s="6"/>
      <c r="H11" s="6"/>
      <c r="K11" s="1">
        <v>0.95</v>
      </c>
      <c r="O11" s="2"/>
    </row>
    <row r="12" spans="1:15" ht="15" x14ac:dyDescent="0.2">
      <c r="A12" s="28" t="s">
        <v>5</v>
      </c>
      <c r="B12" s="28"/>
      <c r="C12" s="28"/>
      <c r="D12" s="28"/>
      <c r="E12" s="6"/>
      <c r="F12" s="6"/>
      <c r="G12" s="6"/>
      <c r="H12" s="6"/>
    </row>
    <row r="13" spans="1:15" ht="15" x14ac:dyDescent="0.2">
      <c r="A13" s="28" t="s">
        <v>7</v>
      </c>
      <c r="B13" s="28"/>
      <c r="C13" s="28"/>
      <c r="D13" s="28"/>
      <c r="E13" s="6"/>
      <c r="F13" s="6"/>
      <c r="G13" s="6"/>
      <c r="H13" s="6"/>
      <c r="K13" s="1">
        <f>K9-K11</f>
        <v>99.039999999999992</v>
      </c>
      <c r="L13" s="1">
        <v>98.47</v>
      </c>
      <c r="M13" s="1">
        <f>K13-L13</f>
        <v>0.56999999999999318</v>
      </c>
    </row>
    <row r="14" spans="1:15" ht="45" customHeight="1" x14ac:dyDescent="0.2">
      <c r="A14" s="56" t="s">
        <v>41</v>
      </c>
      <c r="B14" s="55"/>
      <c r="C14" s="55"/>
      <c r="D14" s="55"/>
      <c r="E14" s="55"/>
      <c r="F14" s="55"/>
      <c r="G14" s="55"/>
      <c r="H14" s="55"/>
    </row>
    <row r="15" spans="1:15" ht="15.75" x14ac:dyDescent="0.2">
      <c r="A15" s="29" t="s">
        <v>42</v>
      </c>
      <c r="B15" s="6"/>
      <c r="C15" s="6"/>
      <c r="D15" s="6"/>
      <c r="E15" s="6"/>
      <c r="F15" s="6"/>
      <c r="G15" s="6"/>
      <c r="H15" s="6"/>
    </row>
    <row r="16" spans="1:15" ht="15.75" x14ac:dyDescent="0.2">
      <c r="A16" s="30" t="s">
        <v>43</v>
      </c>
      <c r="B16" s="6"/>
      <c r="C16" s="6"/>
      <c r="D16" s="6"/>
      <c r="E16" s="6"/>
      <c r="F16" s="6"/>
      <c r="G16" s="6"/>
      <c r="H16" s="6"/>
    </row>
    <row r="17" spans="1:8" ht="15.75" x14ac:dyDescent="0.2">
      <c r="A17" s="31" t="s">
        <v>13</v>
      </c>
      <c r="B17" s="6"/>
      <c r="C17" s="6"/>
      <c r="D17" s="6"/>
      <c r="E17" s="6"/>
      <c r="F17" s="6"/>
      <c r="G17" s="6"/>
      <c r="H17" s="6"/>
    </row>
    <row r="18" spans="1:8" ht="11.25" customHeight="1" x14ac:dyDescent="0.2">
      <c r="A18" s="57" t="s">
        <v>44</v>
      </c>
      <c r="B18" s="55"/>
      <c r="C18" s="55"/>
      <c r="D18" s="55"/>
      <c r="E18" s="55"/>
      <c r="F18" s="55"/>
      <c r="G18" s="55"/>
      <c r="H18" s="55"/>
    </row>
    <row r="19" spans="1:8" ht="27.75" customHeight="1" x14ac:dyDescent="0.2">
      <c r="A19" s="54" t="s">
        <v>45</v>
      </c>
      <c r="B19" s="55"/>
      <c r="C19" s="55"/>
      <c r="D19" s="55"/>
      <c r="E19" s="55"/>
      <c r="F19" s="55"/>
      <c r="G19" s="55"/>
      <c r="H19" s="55"/>
    </row>
    <row r="20" spans="1:8" ht="24.75" customHeight="1" x14ac:dyDescent="0.2">
      <c r="A20" s="54" t="s">
        <v>46</v>
      </c>
      <c r="B20" s="55"/>
      <c r="C20" s="55"/>
      <c r="D20" s="55"/>
      <c r="E20" s="55"/>
      <c r="F20" s="55"/>
      <c r="G20" s="55"/>
      <c r="H20" s="55"/>
    </row>
    <row r="21" spans="1:8" ht="15.75" x14ac:dyDescent="0.2">
      <c r="A21" s="31" t="s">
        <v>36</v>
      </c>
      <c r="B21" s="6"/>
      <c r="C21" s="6"/>
      <c r="D21" s="6"/>
      <c r="E21" s="6"/>
      <c r="F21" s="6"/>
      <c r="G21" s="6"/>
      <c r="H21" s="6"/>
    </row>
    <row r="22" spans="1:8" ht="15.75" x14ac:dyDescent="0.25">
      <c r="A22" s="53" t="s">
        <v>60</v>
      </c>
      <c r="B22" s="6"/>
      <c r="C22" s="6"/>
      <c r="D22" s="6"/>
      <c r="E22" s="6"/>
      <c r="F22" s="6"/>
      <c r="G22" s="6"/>
      <c r="H22" s="6"/>
    </row>
    <row r="23" spans="1:8" ht="15" x14ac:dyDescent="0.2">
      <c r="A23" s="58" t="s">
        <v>40</v>
      </c>
      <c r="B23" s="58"/>
      <c r="C23" s="58"/>
      <c r="D23" s="58"/>
      <c r="E23" s="58"/>
      <c r="F23" s="58"/>
      <c r="G23" s="58"/>
      <c r="H23" s="58"/>
    </row>
    <row r="24" spans="1:8" hidden="1" x14ac:dyDescent="0.2">
      <c r="A24" s="3"/>
    </row>
  </sheetData>
  <mergeCells count="5">
    <mergeCell ref="A20:H20"/>
    <mergeCell ref="A14:H14"/>
    <mergeCell ref="A18:H18"/>
    <mergeCell ref="A19:H19"/>
    <mergeCell ref="A23:H23"/>
  </mergeCells>
  <phoneticPr fontId="2" type="noConversion"/>
  <pageMargins left="0.74803149606299213" right="0.74803149606299213" top="0.98425196850393704" bottom="0.98425196850393704" header="0.51181102362204722" footer="0.51181102362204722"/>
  <headerFooter alignWithMargins="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rightToLeft="1" workbookViewId="0">
      <selection activeCell="G5" sqref="G5"/>
    </sheetView>
  </sheetViews>
  <sheetFormatPr defaultColWidth="0" defaultRowHeight="15" zeroHeight="1" x14ac:dyDescent="0.2"/>
  <cols>
    <col min="1" max="1" width="46" style="60" customWidth="1"/>
    <col min="2" max="2" width="15" style="60" customWidth="1"/>
    <col min="3" max="3" width="12.7109375" style="60" customWidth="1"/>
    <col min="4" max="4" width="11.5703125" style="60" customWidth="1"/>
    <col min="5" max="5" width="19.28515625" style="60" customWidth="1"/>
    <col min="6" max="6" width="15.28515625" style="60" customWidth="1"/>
    <col min="7" max="7" width="17.42578125" style="60" customWidth="1"/>
    <col min="8" max="8" width="26.85546875" style="60" customWidth="1"/>
    <col min="9" max="16384" width="9.140625" style="6" hidden="1"/>
  </cols>
  <sheetData>
    <row r="1" spans="1:9" ht="31.5" customHeight="1" x14ac:dyDescent="0.25">
      <c r="A1" s="4" t="s">
        <v>54</v>
      </c>
      <c r="B1" s="4"/>
      <c r="C1" s="4"/>
      <c r="D1" s="4"/>
      <c r="E1" s="4"/>
      <c r="F1" s="4"/>
      <c r="G1" s="4"/>
      <c r="H1" s="4"/>
    </row>
    <row r="2" spans="1:9" ht="63" x14ac:dyDescent="0.2">
      <c r="A2" s="7" t="s">
        <v>9</v>
      </c>
      <c r="B2" s="8" t="s">
        <v>61</v>
      </c>
      <c r="C2" s="8" t="s">
        <v>35</v>
      </c>
      <c r="D2" s="9" t="s">
        <v>2</v>
      </c>
      <c r="E2" s="8" t="s">
        <v>34</v>
      </c>
      <c r="F2" s="8" t="s">
        <v>47</v>
      </c>
      <c r="G2" s="8" t="s">
        <v>48</v>
      </c>
      <c r="H2" s="73" t="s">
        <v>49</v>
      </c>
    </row>
    <row r="3" spans="1:9" ht="56.25" customHeight="1" x14ac:dyDescent="0.2">
      <c r="A3" s="33" t="s">
        <v>12</v>
      </c>
      <c r="B3" s="12">
        <v>0.47270000000000001</v>
      </c>
      <c r="C3" s="14">
        <v>0.44</v>
      </c>
      <c r="D3" s="13" t="s">
        <v>3</v>
      </c>
      <c r="E3" s="15" t="s">
        <v>24</v>
      </c>
      <c r="F3" s="14">
        <v>0.45</v>
      </c>
      <c r="G3" s="15" t="s">
        <v>50</v>
      </c>
      <c r="H3" s="74" t="s">
        <v>59</v>
      </c>
    </row>
    <row r="4" spans="1:9" ht="60" x14ac:dyDescent="0.2">
      <c r="A4" s="33" t="s">
        <v>8</v>
      </c>
      <c r="B4" s="12">
        <v>0.1497</v>
      </c>
      <c r="C4" s="14">
        <v>0.15</v>
      </c>
      <c r="D4" s="13" t="s">
        <v>4</v>
      </c>
      <c r="E4" s="15" t="s">
        <v>21</v>
      </c>
      <c r="F4" s="14">
        <v>0.15</v>
      </c>
      <c r="G4" s="15" t="s">
        <v>21</v>
      </c>
      <c r="H4" s="70" t="s">
        <v>27</v>
      </c>
    </row>
    <row r="5" spans="1:9" ht="90" x14ac:dyDescent="0.2">
      <c r="A5" s="33" t="s">
        <v>16</v>
      </c>
      <c r="B5" s="12">
        <v>0.1875</v>
      </c>
      <c r="C5" s="14">
        <v>0.2</v>
      </c>
      <c r="D5" s="13" t="s">
        <v>3</v>
      </c>
      <c r="E5" s="15" t="s">
        <v>23</v>
      </c>
      <c r="F5" s="14">
        <v>0.19</v>
      </c>
      <c r="G5" s="15" t="s">
        <v>18</v>
      </c>
      <c r="H5" s="71" t="s">
        <v>20</v>
      </c>
    </row>
    <row r="6" spans="1:9" ht="60" customHeight="1" x14ac:dyDescent="0.25">
      <c r="A6" s="11" t="s">
        <v>10</v>
      </c>
      <c r="B6" s="12">
        <v>0.1812</v>
      </c>
      <c r="C6" s="14">
        <v>0.22</v>
      </c>
      <c r="D6" s="13" t="s">
        <v>4</v>
      </c>
      <c r="E6" s="15" t="s">
        <v>28</v>
      </c>
      <c r="F6" s="14">
        <v>0.2</v>
      </c>
      <c r="G6" s="15" t="s">
        <v>51</v>
      </c>
      <c r="H6" s="76" t="s">
        <v>39</v>
      </c>
    </row>
    <row r="7" spans="1:9" s="32" customFormat="1" ht="41.25" customHeight="1" x14ac:dyDescent="0.25">
      <c r="A7" s="33" t="s">
        <v>15</v>
      </c>
      <c r="B7" s="12">
        <v>3.8600000000000002E-2</v>
      </c>
      <c r="C7" s="20">
        <v>0.05</v>
      </c>
      <c r="D7" s="13" t="s">
        <v>4</v>
      </c>
      <c r="E7" s="15" t="s">
        <v>17</v>
      </c>
      <c r="F7" s="20">
        <v>0.05</v>
      </c>
      <c r="G7" s="15" t="s">
        <v>17</v>
      </c>
      <c r="H7" s="13" t="s">
        <v>6</v>
      </c>
    </row>
    <row r="8" spans="1:9" ht="39" customHeight="1" x14ac:dyDescent="0.25">
      <c r="A8" s="33" t="s">
        <v>11</v>
      </c>
      <c r="B8" s="20">
        <v>1.0255000000000001</v>
      </c>
      <c r="C8" s="22">
        <f>SUM(C3:C7)</f>
        <v>1.06</v>
      </c>
      <c r="D8" s="23" t="s">
        <v>39</v>
      </c>
      <c r="E8" s="15"/>
      <c r="F8" s="20">
        <f>SUM(F3:F7)</f>
        <v>1.04</v>
      </c>
      <c r="G8" s="15"/>
      <c r="H8" s="76" t="s">
        <v>39</v>
      </c>
    </row>
    <row r="9" spans="1:9" ht="36.75" customHeight="1" x14ac:dyDescent="0.25">
      <c r="A9" s="33" t="s">
        <v>1</v>
      </c>
      <c r="B9" s="24">
        <v>0.1875</v>
      </c>
      <c r="C9" s="19">
        <v>0.2</v>
      </c>
      <c r="D9" s="13" t="s">
        <v>3</v>
      </c>
      <c r="E9" s="15" t="s">
        <v>23</v>
      </c>
      <c r="F9" s="25">
        <v>0.19</v>
      </c>
      <c r="G9" s="15" t="s">
        <v>18</v>
      </c>
      <c r="H9" s="76" t="s">
        <v>39</v>
      </c>
    </row>
    <row r="10" spans="1:9" ht="29.25" customHeight="1" x14ac:dyDescent="0.25">
      <c r="A10" s="26" t="s">
        <v>52</v>
      </c>
      <c r="B10" s="23" t="s">
        <v>39</v>
      </c>
      <c r="C10" s="23" t="s">
        <v>39</v>
      </c>
      <c r="D10" s="23" t="s">
        <v>39</v>
      </c>
      <c r="E10" s="23" t="s">
        <v>39</v>
      </c>
      <c r="F10" s="27">
        <v>3.5999999999999999E-3</v>
      </c>
      <c r="G10" s="27" t="s">
        <v>39</v>
      </c>
      <c r="H10" s="76" t="s">
        <v>39</v>
      </c>
      <c r="I10" s="32"/>
    </row>
    <row r="11" spans="1:9" x14ac:dyDescent="0.2">
      <c r="A11" s="6" t="s">
        <v>14</v>
      </c>
      <c r="B11" s="6"/>
      <c r="C11" s="6"/>
      <c r="D11" s="6"/>
      <c r="E11" s="6"/>
      <c r="F11" s="6"/>
      <c r="G11" s="6"/>
      <c r="H11" s="6"/>
    </row>
    <row r="12" spans="1:9" x14ac:dyDescent="0.2">
      <c r="A12" s="28" t="s">
        <v>5</v>
      </c>
      <c r="B12" s="28"/>
      <c r="C12" s="6"/>
      <c r="D12" s="6"/>
      <c r="E12" s="6"/>
      <c r="F12" s="6"/>
      <c r="G12" s="6"/>
      <c r="H12" s="6"/>
    </row>
    <row r="13" spans="1:9" x14ac:dyDescent="0.2">
      <c r="A13" s="28" t="s">
        <v>7</v>
      </c>
      <c r="B13" s="28"/>
      <c r="C13" s="6"/>
      <c r="D13" s="6"/>
      <c r="E13" s="6"/>
      <c r="F13" s="6"/>
      <c r="G13" s="6"/>
      <c r="H13" s="6"/>
    </row>
    <row r="14" spans="1:9" ht="30" customHeight="1" x14ac:dyDescent="0.2">
      <c r="A14" s="56" t="s">
        <v>41</v>
      </c>
      <c r="B14" s="55"/>
      <c r="C14" s="55"/>
      <c r="D14" s="55"/>
      <c r="E14" s="55"/>
      <c r="F14" s="55"/>
      <c r="G14" s="55"/>
      <c r="H14" s="55"/>
    </row>
    <row r="15" spans="1:9" ht="15.75" x14ac:dyDescent="0.2">
      <c r="A15" s="34" t="s">
        <v>42</v>
      </c>
      <c r="B15" s="35"/>
      <c r="C15" s="35"/>
      <c r="D15" s="35"/>
      <c r="E15" s="35"/>
      <c r="F15" s="35"/>
      <c r="G15" s="35"/>
      <c r="H15" s="35"/>
    </row>
    <row r="16" spans="1:9" ht="15.75" x14ac:dyDescent="0.2">
      <c r="A16" s="30" t="s">
        <v>43</v>
      </c>
      <c r="B16" s="35"/>
      <c r="C16" s="35"/>
      <c r="D16" s="35"/>
      <c r="E16" s="35"/>
      <c r="F16" s="35"/>
      <c r="G16" s="35"/>
      <c r="H16" s="35"/>
    </row>
    <row r="17" spans="1:8" ht="15.75" x14ac:dyDescent="0.2">
      <c r="A17" s="31" t="s">
        <v>13</v>
      </c>
      <c r="B17" s="35"/>
      <c r="C17" s="35"/>
      <c r="D17" s="35"/>
      <c r="E17" s="35"/>
      <c r="F17" s="35"/>
      <c r="G17" s="35"/>
      <c r="H17" s="35"/>
    </row>
    <row r="18" spans="1:8" ht="14.25" customHeight="1" x14ac:dyDescent="0.2">
      <c r="A18" s="57" t="s">
        <v>44</v>
      </c>
      <c r="B18" s="59"/>
      <c r="C18" s="59"/>
      <c r="D18" s="59"/>
      <c r="E18" s="59"/>
      <c r="F18" s="59"/>
      <c r="G18" s="59"/>
      <c r="H18" s="59"/>
    </row>
    <row r="19" spans="1:8" ht="31.5" customHeight="1" x14ac:dyDescent="0.2">
      <c r="A19" s="54" t="s">
        <v>45</v>
      </c>
      <c r="B19" s="59"/>
      <c r="C19" s="59"/>
      <c r="D19" s="59"/>
      <c r="E19" s="59"/>
      <c r="F19" s="59"/>
      <c r="G19" s="59"/>
      <c r="H19" s="59"/>
    </row>
    <row r="20" spans="1:8" ht="29.25" customHeight="1" x14ac:dyDescent="0.2">
      <c r="A20" s="54" t="s">
        <v>46</v>
      </c>
      <c r="B20" s="59"/>
      <c r="C20" s="59"/>
      <c r="D20" s="59"/>
      <c r="E20" s="59"/>
      <c r="F20" s="59"/>
      <c r="G20" s="59"/>
      <c r="H20" s="59"/>
    </row>
    <row r="21" spans="1:8" ht="19.5" customHeight="1" x14ac:dyDescent="0.2">
      <c r="A21" s="31" t="s">
        <v>36</v>
      </c>
      <c r="B21" s="6"/>
      <c r="C21" s="6"/>
      <c r="D21" s="6"/>
      <c r="E21" s="6"/>
      <c r="F21" s="6"/>
      <c r="G21" s="6"/>
      <c r="H21" s="6"/>
    </row>
    <row r="22" spans="1:8" ht="21" customHeight="1" x14ac:dyDescent="0.25">
      <c r="A22" s="53" t="s">
        <v>60</v>
      </c>
      <c r="B22" s="6"/>
      <c r="C22" s="6"/>
      <c r="D22" s="6"/>
      <c r="E22" s="6"/>
      <c r="F22" s="6"/>
      <c r="G22" s="6"/>
      <c r="H22" s="6"/>
    </row>
    <row r="23" spans="1:8" x14ac:dyDescent="0.2">
      <c r="A23" s="60" t="s">
        <v>40</v>
      </c>
    </row>
  </sheetData>
  <mergeCells count="5">
    <mergeCell ref="A20:H20"/>
    <mergeCell ref="A14:H14"/>
    <mergeCell ref="A18:H18"/>
    <mergeCell ref="A19:H19"/>
    <mergeCell ref="A23:H1048576"/>
  </mergeCells>
  <pageMargins left="0.70866141732283472" right="0.70866141732283472" top="0.74803149606299213" bottom="0.74803149606299213" header="0.31496062992125984" footer="0.31496062992125984"/>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23"/>
  <sheetViews>
    <sheetView rightToLeft="1" workbookViewId="0">
      <selection activeCell="H5" sqref="H5"/>
    </sheetView>
  </sheetViews>
  <sheetFormatPr defaultColWidth="0" defaultRowHeight="15" zeroHeight="1" x14ac:dyDescent="0.2"/>
  <cols>
    <col min="1" max="1" width="24.28515625" style="6" customWidth="1"/>
    <col min="2" max="2" width="19" style="6" customWidth="1"/>
    <col min="3" max="3" width="14" style="6" customWidth="1"/>
    <col min="4" max="4" width="12.7109375" style="6" customWidth="1"/>
    <col min="5" max="5" width="20.5703125" style="6" customWidth="1"/>
    <col min="6" max="6" width="13.5703125" style="6" customWidth="1"/>
    <col min="7" max="7" width="17.85546875" style="6" bestFit="1" customWidth="1"/>
    <col min="8" max="8" width="28.5703125" style="6" customWidth="1"/>
    <col min="9" max="16384" width="9.140625" style="6" hidden="1"/>
  </cols>
  <sheetData>
    <row r="1" spans="1:8" ht="23.25" customHeight="1" x14ac:dyDescent="0.25">
      <c r="A1" s="4" t="s">
        <v>55</v>
      </c>
    </row>
    <row r="2" spans="1:8" ht="54.75" customHeight="1" x14ac:dyDescent="0.2">
      <c r="A2" s="36" t="s">
        <v>9</v>
      </c>
      <c r="B2" s="8" t="s">
        <v>61</v>
      </c>
      <c r="C2" s="8" t="s">
        <v>35</v>
      </c>
      <c r="D2" s="9" t="s">
        <v>2</v>
      </c>
      <c r="E2" s="8" t="s">
        <v>34</v>
      </c>
      <c r="F2" s="8" t="s">
        <v>47</v>
      </c>
      <c r="G2" s="8" t="s">
        <v>48</v>
      </c>
      <c r="H2" s="73" t="s">
        <v>49</v>
      </c>
    </row>
    <row r="3" spans="1:8" ht="56.25" customHeight="1" x14ac:dyDescent="0.2">
      <c r="A3" s="11" t="s">
        <v>0</v>
      </c>
      <c r="B3" s="12">
        <v>0.46889999999999998</v>
      </c>
      <c r="C3" s="14">
        <v>0.46</v>
      </c>
      <c r="D3" s="13" t="s">
        <v>3</v>
      </c>
      <c r="E3" s="13" t="s">
        <v>22</v>
      </c>
      <c r="F3" s="14">
        <v>0.46</v>
      </c>
      <c r="G3" s="15" t="s">
        <v>22</v>
      </c>
      <c r="H3" s="74" t="s">
        <v>59</v>
      </c>
    </row>
    <row r="4" spans="1:8" ht="48.75" customHeight="1" x14ac:dyDescent="0.2">
      <c r="A4" s="11" t="s">
        <v>8</v>
      </c>
      <c r="B4" s="12">
        <v>0.24310000000000001</v>
      </c>
      <c r="C4" s="14">
        <v>0.25</v>
      </c>
      <c r="D4" s="13" t="s">
        <v>4</v>
      </c>
      <c r="E4" s="13" t="s">
        <v>25</v>
      </c>
      <c r="F4" s="14">
        <v>0.25</v>
      </c>
      <c r="G4" s="15" t="s">
        <v>25</v>
      </c>
      <c r="H4" s="70" t="s">
        <v>27</v>
      </c>
    </row>
    <row r="5" spans="1:8" ht="75" x14ac:dyDescent="0.2">
      <c r="A5" s="11" t="s">
        <v>16</v>
      </c>
      <c r="B5" s="12">
        <v>0.2107</v>
      </c>
      <c r="C5" s="14">
        <v>0.24</v>
      </c>
      <c r="D5" s="13" t="s">
        <v>3</v>
      </c>
      <c r="E5" s="13" t="s">
        <v>26</v>
      </c>
      <c r="F5" s="14">
        <v>0.24</v>
      </c>
      <c r="G5" s="15" t="s">
        <v>26</v>
      </c>
      <c r="H5" s="71" t="s">
        <v>20</v>
      </c>
    </row>
    <row r="6" spans="1:8" ht="90" x14ac:dyDescent="0.25">
      <c r="A6" s="11" t="s">
        <v>10</v>
      </c>
      <c r="B6" s="12">
        <v>6.1000000000000004E-3</v>
      </c>
      <c r="C6" s="20">
        <v>0.03</v>
      </c>
      <c r="D6" s="13" t="s">
        <v>4</v>
      </c>
      <c r="E6" s="13" t="s">
        <v>19</v>
      </c>
      <c r="F6" s="20">
        <v>0.03</v>
      </c>
      <c r="G6" s="15" t="s">
        <v>19</v>
      </c>
      <c r="H6" s="75" t="s">
        <v>39</v>
      </c>
    </row>
    <row r="7" spans="1:8" s="32" customFormat="1" ht="41.25" customHeight="1" x14ac:dyDescent="0.25">
      <c r="A7" s="11" t="s">
        <v>15</v>
      </c>
      <c r="B7" s="12">
        <v>6.8400000000000002E-2</v>
      </c>
      <c r="C7" s="20">
        <v>0.05</v>
      </c>
      <c r="D7" s="13" t="s">
        <v>4</v>
      </c>
      <c r="E7" s="13" t="s">
        <v>17</v>
      </c>
      <c r="F7" s="20">
        <v>0.05</v>
      </c>
      <c r="G7" s="15" t="s">
        <v>17</v>
      </c>
      <c r="H7" s="13" t="s">
        <v>6</v>
      </c>
    </row>
    <row r="8" spans="1:8" ht="39" customHeight="1" x14ac:dyDescent="0.25">
      <c r="A8" s="11" t="s">
        <v>11</v>
      </c>
      <c r="B8" s="38">
        <f>SUM(B3:B7)</f>
        <v>0.99719999999999998</v>
      </c>
      <c r="C8" s="19">
        <f>SUM(C3:C7)</f>
        <v>1.03</v>
      </c>
      <c r="D8" s="37" t="s">
        <v>39</v>
      </c>
      <c r="E8" s="37" t="s">
        <v>39</v>
      </c>
      <c r="F8" s="20">
        <f>SUM(F3:F7)</f>
        <v>1.03</v>
      </c>
      <c r="G8" s="37" t="s">
        <v>39</v>
      </c>
      <c r="H8" s="75" t="s">
        <v>39</v>
      </c>
    </row>
    <row r="9" spans="1:8" ht="36.75" customHeight="1" x14ac:dyDescent="0.25">
      <c r="A9" s="11" t="s">
        <v>1</v>
      </c>
      <c r="B9" s="24">
        <v>0.18429999999999999</v>
      </c>
      <c r="C9" s="19">
        <v>0.2</v>
      </c>
      <c r="D9" s="13" t="s">
        <v>3</v>
      </c>
      <c r="E9" s="13" t="s">
        <v>23</v>
      </c>
      <c r="F9" s="25">
        <v>0.19</v>
      </c>
      <c r="G9" s="15" t="s">
        <v>18</v>
      </c>
      <c r="H9" s="75" t="s">
        <v>39</v>
      </c>
    </row>
    <row r="10" spans="1:8" ht="31.5" x14ac:dyDescent="0.25">
      <c r="A10" s="26" t="s">
        <v>52</v>
      </c>
      <c r="B10" s="37" t="s">
        <v>39</v>
      </c>
      <c r="C10" s="37" t="s">
        <v>39</v>
      </c>
      <c r="D10" s="37" t="s">
        <v>39</v>
      </c>
      <c r="E10" s="37" t="s">
        <v>39</v>
      </c>
      <c r="F10" s="27">
        <v>1.5E-3</v>
      </c>
      <c r="G10" s="37" t="s">
        <v>39</v>
      </c>
      <c r="H10" s="75" t="s">
        <v>39</v>
      </c>
    </row>
    <row r="11" spans="1:8" x14ac:dyDescent="0.2">
      <c r="A11" s="6" t="s">
        <v>14</v>
      </c>
    </row>
    <row r="12" spans="1:8" x14ac:dyDescent="0.2">
      <c r="A12" s="28" t="s">
        <v>5</v>
      </c>
      <c r="B12" s="28"/>
    </row>
    <row r="13" spans="1:8" x14ac:dyDescent="0.2">
      <c r="A13" s="28" t="s">
        <v>7</v>
      </c>
      <c r="B13" s="28"/>
    </row>
    <row r="14" spans="1:8" ht="42.75" customHeight="1" x14ac:dyDescent="0.2">
      <c r="A14" s="56" t="s">
        <v>41</v>
      </c>
      <c r="B14" s="55"/>
      <c r="C14" s="55"/>
      <c r="D14" s="55"/>
      <c r="E14" s="55"/>
      <c r="F14" s="55"/>
      <c r="G14" s="55"/>
      <c r="H14" s="55"/>
    </row>
    <row r="15" spans="1:8" ht="15.75" x14ac:dyDescent="0.2">
      <c r="A15" s="34" t="s">
        <v>42</v>
      </c>
      <c r="B15" s="35"/>
      <c r="C15" s="35"/>
      <c r="D15" s="35"/>
      <c r="E15" s="35"/>
      <c r="F15" s="35"/>
      <c r="G15" s="35"/>
      <c r="H15" s="35"/>
    </row>
    <row r="16" spans="1:8" ht="15.75" x14ac:dyDescent="0.2">
      <c r="A16" s="30" t="s">
        <v>43</v>
      </c>
      <c r="B16" s="35"/>
      <c r="C16" s="35"/>
      <c r="D16" s="35"/>
      <c r="E16" s="35"/>
      <c r="F16" s="35"/>
      <c r="G16" s="35"/>
      <c r="H16" s="35"/>
    </row>
    <row r="17" spans="1:8" ht="15.75" x14ac:dyDescent="0.2">
      <c r="A17" s="31" t="s">
        <v>13</v>
      </c>
      <c r="B17" s="35"/>
      <c r="C17" s="35"/>
      <c r="D17" s="35"/>
      <c r="E17" s="35"/>
      <c r="F17" s="35"/>
      <c r="G17" s="35"/>
      <c r="H17" s="35"/>
    </row>
    <row r="18" spans="1:8" ht="26.25" customHeight="1" x14ac:dyDescent="0.2">
      <c r="A18" s="57" t="s">
        <v>44</v>
      </c>
      <c r="B18" s="59"/>
      <c r="C18" s="59"/>
      <c r="D18" s="59"/>
      <c r="E18" s="59"/>
      <c r="F18" s="59"/>
      <c r="G18" s="59"/>
      <c r="H18" s="59"/>
    </row>
    <row r="19" spans="1:8" ht="32.25" customHeight="1" x14ac:dyDescent="0.2">
      <c r="A19" s="54" t="s">
        <v>45</v>
      </c>
      <c r="B19" s="59"/>
      <c r="C19" s="59"/>
      <c r="D19" s="59"/>
      <c r="E19" s="59"/>
      <c r="F19" s="59"/>
      <c r="G19" s="59"/>
      <c r="H19" s="59"/>
    </row>
    <row r="20" spans="1:8" ht="26.25" customHeight="1" x14ac:dyDescent="0.2">
      <c r="A20" s="54" t="s">
        <v>46</v>
      </c>
      <c r="B20" s="59"/>
      <c r="C20" s="59"/>
      <c r="D20" s="59"/>
      <c r="E20" s="59"/>
      <c r="F20" s="59"/>
      <c r="G20" s="59"/>
      <c r="H20" s="59"/>
    </row>
    <row r="21" spans="1:8" ht="15.75" x14ac:dyDescent="0.2">
      <c r="A21" s="31" t="s">
        <v>36</v>
      </c>
    </row>
    <row r="22" spans="1:8" ht="19.5" customHeight="1" x14ac:dyDescent="0.25">
      <c r="A22" s="53" t="s">
        <v>60</v>
      </c>
      <c r="B22" s="32"/>
    </row>
    <row r="23" spans="1:8" ht="18.75" customHeight="1" x14ac:dyDescent="0.2">
      <c r="A23" s="58" t="s">
        <v>40</v>
      </c>
      <c r="B23" s="58"/>
      <c r="C23" s="58"/>
      <c r="D23" s="58"/>
      <c r="E23" s="58"/>
      <c r="F23" s="58"/>
      <c r="G23" s="58"/>
      <c r="H23" s="58"/>
    </row>
  </sheetData>
  <mergeCells count="5">
    <mergeCell ref="A23:H23"/>
    <mergeCell ref="A20:H20"/>
    <mergeCell ref="A14:H14"/>
    <mergeCell ref="A18:H18"/>
    <mergeCell ref="A19:H19"/>
  </mergeCells>
  <pageMargins left="0.70866141732283472" right="0.70866141732283472" top="0.74803149606299213" bottom="0.74803149606299213" header="0.31496062992125984" footer="0.31496062992125984"/>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23"/>
  <sheetViews>
    <sheetView rightToLeft="1" workbookViewId="0">
      <selection activeCell="H6" sqref="H6"/>
    </sheetView>
  </sheetViews>
  <sheetFormatPr defaultColWidth="0" defaultRowHeight="15" zeroHeight="1" x14ac:dyDescent="0.2"/>
  <cols>
    <col min="1" max="1" width="32.28515625" style="6" customWidth="1"/>
    <col min="2" max="2" width="18.5703125" style="6" customWidth="1"/>
    <col min="3" max="3" width="15.140625" style="6" customWidth="1"/>
    <col min="4" max="4" width="11.7109375" style="6" customWidth="1"/>
    <col min="5" max="5" width="18.28515625" style="6" customWidth="1"/>
    <col min="6" max="6" width="19.7109375" style="6" bestFit="1" customWidth="1"/>
    <col min="7" max="7" width="29.140625" style="6" bestFit="1" customWidth="1"/>
    <col min="8" max="8" width="27.5703125" style="6" customWidth="1"/>
    <col min="9" max="9" width="0" style="6" hidden="1" customWidth="1"/>
    <col min="10" max="16384" width="9.140625" style="6" hidden="1"/>
  </cols>
  <sheetData>
    <row r="1" spans="1:9" ht="15.75" x14ac:dyDescent="0.25">
      <c r="A1" s="4" t="s">
        <v>56</v>
      </c>
    </row>
    <row r="2" spans="1:9" ht="47.25" x14ac:dyDescent="0.2">
      <c r="A2" s="36" t="s">
        <v>9</v>
      </c>
      <c r="B2" s="8" t="s">
        <v>61</v>
      </c>
      <c r="C2" s="8" t="s">
        <v>35</v>
      </c>
      <c r="D2" s="9" t="s">
        <v>2</v>
      </c>
      <c r="E2" s="8" t="s">
        <v>34</v>
      </c>
      <c r="F2" s="8" t="s">
        <v>47</v>
      </c>
      <c r="G2" s="8" t="s">
        <v>48</v>
      </c>
      <c r="H2" s="73" t="s">
        <v>49</v>
      </c>
    </row>
    <row r="3" spans="1:9" ht="56.25" customHeight="1" x14ac:dyDescent="0.2">
      <c r="A3" s="11" t="s">
        <v>0</v>
      </c>
      <c r="B3" s="12">
        <v>0.47170000000000001</v>
      </c>
      <c r="C3" s="14">
        <v>0.46</v>
      </c>
      <c r="D3" s="13" t="s">
        <v>3</v>
      </c>
      <c r="E3" s="13" t="s">
        <v>22</v>
      </c>
      <c r="F3" s="14">
        <v>0.46</v>
      </c>
      <c r="G3" s="15" t="s">
        <v>22</v>
      </c>
      <c r="H3" s="74" t="s">
        <v>59</v>
      </c>
    </row>
    <row r="4" spans="1:9" ht="48.75" customHeight="1" x14ac:dyDescent="0.2">
      <c r="A4" s="11" t="s">
        <v>8</v>
      </c>
      <c r="B4" s="12">
        <v>0.24940000000000001</v>
      </c>
      <c r="C4" s="14">
        <v>0.25</v>
      </c>
      <c r="D4" s="13" t="s">
        <v>4</v>
      </c>
      <c r="E4" s="13" t="s">
        <v>25</v>
      </c>
      <c r="F4" s="14">
        <v>0.25</v>
      </c>
      <c r="G4" s="15" t="s">
        <v>25</v>
      </c>
      <c r="H4" s="70" t="s">
        <v>27</v>
      </c>
    </row>
    <row r="5" spans="1:9" ht="90" x14ac:dyDescent="0.2">
      <c r="A5" s="11" t="s">
        <v>16</v>
      </c>
      <c r="B5" s="12">
        <v>0.219</v>
      </c>
      <c r="C5" s="14">
        <v>0.24</v>
      </c>
      <c r="D5" s="13" t="s">
        <v>3</v>
      </c>
      <c r="E5" s="13" t="s">
        <v>26</v>
      </c>
      <c r="F5" s="14">
        <v>0.24</v>
      </c>
      <c r="G5" s="15" t="s">
        <v>26</v>
      </c>
      <c r="H5" s="71" t="s">
        <v>20</v>
      </c>
    </row>
    <row r="6" spans="1:9" ht="75" x14ac:dyDescent="0.25">
      <c r="A6" s="11" t="s">
        <v>10</v>
      </c>
      <c r="B6" s="12">
        <v>2.3999999999999998E-3</v>
      </c>
      <c r="C6" s="20">
        <v>0.03</v>
      </c>
      <c r="D6" s="13" t="s">
        <v>4</v>
      </c>
      <c r="E6" s="13" t="s">
        <v>19</v>
      </c>
      <c r="F6" s="20">
        <v>0.03</v>
      </c>
      <c r="G6" s="15" t="s">
        <v>19</v>
      </c>
      <c r="H6" s="75" t="s">
        <v>39</v>
      </c>
    </row>
    <row r="7" spans="1:9" s="32" customFormat="1" ht="41.25" customHeight="1" x14ac:dyDescent="0.25">
      <c r="A7" s="11" t="s">
        <v>15</v>
      </c>
      <c r="B7" s="12">
        <v>5.4100000000000002E-2</v>
      </c>
      <c r="C7" s="20">
        <v>0.05</v>
      </c>
      <c r="D7" s="13" t="s">
        <v>4</v>
      </c>
      <c r="E7" s="13" t="s">
        <v>17</v>
      </c>
      <c r="F7" s="20">
        <v>0.05</v>
      </c>
      <c r="G7" s="15" t="s">
        <v>17</v>
      </c>
      <c r="H7" s="13" t="s">
        <v>6</v>
      </c>
    </row>
    <row r="8" spans="1:9" ht="39" customHeight="1" x14ac:dyDescent="0.25">
      <c r="A8" s="11" t="s">
        <v>11</v>
      </c>
      <c r="B8" s="38">
        <f>SUM(B3:B7)</f>
        <v>0.99660000000000004</v>
      </c>
      <c r="C8" s="19">
        <f>SUM(C3:C7)</f>
        <v>1.03</v>
      </c>
      <c r="D8" s="37" t="s">
        <v>39</v>
      </c>
      <c r="E8" s="37" t="s">
        <v>39</v>
      </c>
      <c r="F8" s="20">
        <f>SUM(F3:F7)</f>
        <v>1.03</v>
      </c>
      <c r="G8" s="37" t="s">
        <v>39</v>
      </c>
      <c r="H8" s="75" t="s">
        <v>39</v>
      </c>
    </row>
    <row r="9" spans="1:9" ht="36.75" customHeight="1" x14ac:dyDescent="0.25">
      <c r="A9" s="11" t="s">
        <v>1</v>
      </c>
      <c r="B9" s="24">
        <v>0.186</v>
      </c>
      <c r="C9" s="19">
        <v>0.2</v>
      </c>
      <c r="D9" s="13" t="s">
        <v>3</v>
      </c>
      <c r="E9" s="13" t="s">
        <v>23</v>
      </c>
      <c r="F9" s="25">
        <v>0.19</v>
      </c>
      <c r="G9" s="15" t="s">
        <v>18</v>
      </c>
      <c r="H9" s="75" t="s">
        <v>39</v>
      </c>
    </row>
    <row r="10" spans="1:9" ht="38.25" customHeight="1" x14ac:dyDescent="0.25">
      <c r="A10" s="26" t="s">
        <v>52</v>
      </c>
      <c r="B10" s="50"/>
      <c r="C10" s="51"/>
      <c r="D10" s="45"/>
      <c r="E10" s="45"/>
      <c r="F10" s="52">
        <v>1.5E-3</v>
      </c>
      <c r="G10" s="46"/>
      <c r="H10" s="75" t="s">
        <v>39</v>
      </c>
    </row>
    <row r="11" spans="1:9" x14ac:dyDescent="0.2">
      <c r="A11" s="61" t="s">
        <v>14</v>
      </c>
      <c r="B11" s="61"/>
      <c r="C11" s="61"/>
      <c r="D11" s="61"/>
      <c r="E11" s="61"/>
      <c r="F11" s="61"/>
      <c r="G11" s="61"/>
      <c r="H11" s="61"/>
      <c r="I11" s="61"/>
    </row>
    <row r="12" spans="1:9" x14ac:dyDescent="0.2">
      <c r="A12" s="28" t="s">
        <v>5</v>
      </c>
      <c r="B12" s="28"/>
    </row>
    <row r="13" spans="1:9" x14ac:dyDescent="0.2">
      <c r="A13" s="28" t="s">
        <v>7</v>
      </c>
      <c r="B13" s="28"/>
    </row>
    <row r="14" spans="1:9" ht="28.5" customHeight="1" x14ac:dyDescent="0.2">
      <c r="A14" s="56" t="s">
        <v>41</v>
      </c>
      <c r="B14" s="55"/>
      <c r="C14" s="55"/>
      <c r="D14" s="55"/>
      <c r="E14" s="55"/>
      <c r="F14" s="55"/>
      <c r="G14" s="55"/>
      <c r="H14" s="55"/>
    </row>
    <row r="15" spans="1:9" ht="15.75" x14ac:dyDescent="0.2">
      <c r="A15" s="34" t="s">
        <v>42</v>
      </c>
      <c r="B15" s="35"/>
      <c r="C15" s="35"/>
      <c r="D15" s="35"/>
      <c r="E15" s="35"/>
      <c r="F15" s="35"/>
      <c r="G15" s="35"/>
      <c r="H15" s="35"/>
    </row>
    <row r="16" spans="1:9" ht="15.75" x14ac:dyDescent="0.2">
      <c r="A16" s="30" t="s">
        <v>43</v>
      </c>
      <c r="B16" s="35"/>
      <c r="C16" s="35"/>
      <c r="D16" s="35"/>
      <c r="E16" s="35"/>
      <c r="F16" s="35"/>
      <c r="G16" s="35"/>
      <c r="H16" s="35"/>
    </row>
    <row r="17" spans="1:8" ht="15.75" x14ac:dyDescent="0.2">
      <c r="A17" s="31" t="s">
        <v>13</v>
      </c>
      <c r="B17" s="35"/>
      <c r="C17" s="35"/>
      <c r="D17" s="35"/>
      <c r="E17" s="35"/>
      <c r="F17" s="35"/>
      <c r="G17" s="35"/>
      <c r="H17" s="35"/>
    </row>
    <row r="18" spans="1:8" ht="28.5" customHeight="1" x14ac:dyDescent="0.2">
      <c r="A18" s="57" t="s">
        <v>44</v>
      </c>
      <c r="B18" s="59"/>
      <c r="C18" s="59"/>
      <c r="D18" s="59"/>
      <c r="E18" s="59"/>
      <c r="F18" s="59"/>
      <c r="G18" s="59"/>
      <c r="H18" s="59"/>
    </row>
    <row r="19" spans="1:8" ht="27.75" customHeight="1" x14ac:dyDescent="0.2">
      <c r="A19" s="54" t="s">
        <v>45</v>
      </c>
      <c r="B19" s="59"/>
      <c r="C19" s="59"/>
      <c r="D19" s="59"/>
      <c r="E19" s="59"/>
      <c r="F19" s="59"/>
      <c r="G19" s="59"/>
      <c r="H19" s="59"/>
    </row>
    <row r="20" spans="1:8" ht="32.25" customHeight="1" x14ac:dyDescent="0.2">
      <c r="A20" s="54" t="s">
        <v>46</v>
      </c>
      <c r="B20" s="59"/>
      <c r="C20" s="59"/>
      <c r="D20" s="59"/>
      <c r="E20" s="59"/>
      <c r="F20" s="59"/>
      <c r="G20" s="59"/>
      <c r="H20" s="59"/>
    </row>
    <row r="21" spans="1:8" ht="26.25" customHeight="1" x14ac:dyDescent="0.2">
      <c r="A21" s="31" t="s">
        <v>36</v>
      </c>
    </row>
    <row r="22" spans="1:8" ht="33" customHeight="1" x14ac:dyDescent="0.25">
      <c r="A22" s="53" t="s">
        <v>60</v>
      </c>
    </row>
    <row r="23" spans="1:8" x14ac:dyDescent="0.2">
      <c r="A23" s="58" t="s">
        <v>40</v>
      </c>
      <c r="B23" s="58"/>
      <c r="C23" s="58"/>
      <c r="D23" s="58"/>
      <c r="E23" s="58"/>
      <c r="F23" s="58"/>
      <c r="G23" s="58"/>
      <c r="H23" s="58"/>
    </row>
  </sheetData>
  <mergeCells count="6">
    <mergeCell ref="A23:H23"/>
    <mergeCell ref="A19:H19"/>
    <mergeCell ref="A20:H20"/>
    <mergeCell ref="A11:I11"/>
    <mergeCell ref="A14:H14"/>
    <mergeCell ref="A18:H18"/>
  </mergeCells>
  <pageMargins left="0.70866141732283472" right="0.70866141732283472" top="0.74803149606299213" bottom="0.74803149606299213" header="0.31496062992125984" footer="0.31496062992125984"/>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B27"/>
  <sheetViews>
    <sheetView rightToLeft="1" zoomScaleNormal="100" workbookViewId="0">
      <selection activeCell="B10" sqref="B10"/>
    </sheetView>
  </sheetViews>
  <sheetFormatPr defaultColWidth="0" defaultRowHeight="15" zeroHeight="1" x14ac:dyDescent="0.2"/>
  <cols>
    <col min="1" max="1" width="66.42578125" style="58" customWidth="1"/>
    <col min="2" max="2" width="22.7109375" style="58" customWidth="1"/>
    <col min="3" max="3" width="20.85546875" style="58" customWidth="1"/>
    <col min="4" max="4" width="21.85546875" style="58" customWidth="1"/>
    <col min="5" max="5" width="14.42578125" style="58" customWidth="1"/>
    <col min="6" max="6" width="17.28515625" style="58" customWidth="1"/>
    <col min="7" max="7" width="20.7109375" style="58" bestFit="1" customWidth="1"/>
    <col min="8" max="8" width="32.7109375" style="58" customWidth="1"/>
    <col min="9" max="16382" width="9.140625" style="6" hidden="1"/>
    <col min="16383" max="16383" width="1.5703125" style="6" customWidth="1"/>
    <col min="16384" max="16384" width="3.7109375" style="6" customWidth="1"/>
  </cols>
  <sheetData>
    <row r="1" spans="1:8" ht="15.75" x14ac:dyDescent="0.25">
      <c r="A1" s="4" t="s">
        <v>57</v>
      </c>
      <c r="B1" s="6"/>
      <c r="C1" s="6"/>
      <c r="D1" s="6"/>
      <c r="E1" s="6"/>
      <c r="F1" s="6"/>
      <c r="G1" s="6"/>
      <c r="H1" s="6"/>
    </row>
    <row r="2" spans="1:8" ht="48.75" customHeight="1" x14ac:dyDescent="0.2">
      <c r="A2" s="7" t="s">
        <v>29</v>
      </c>
      <c r="B2" s="8" t="s">
        <v>61</v>
      </c>
      <c r="C2" s="8" t="s">
        <v>35</v>
      </c>
      <c r="D2" s="9" t="s">
        <v>2</v>
      </c>
      <c r="E2" s="8" t="s">
        <v>34</v>
      </c>
      <c r="F2" s="8" t="s">
        <v>47</v>
      </c>
      <c r="G2" s="8" t="s">
        <v>48</v>
      </c>
      <c r="H2" s="10" t="s">
        <v>49</v>
      </c>
    </row>
    <row r="3" spans="1:8" ht="29.25" customHeight="1" x14ac:dyDescent="0.2">
      <c r="A3" s="11" t="s">
        <v>0</v>
      </c>
      <c r="B3" s="12">
        <v>0</v>
      </c>
      <c r="C3" s="22">
        <v>0</v>
      </c>
      <c r="D3" s="25">
        <v>0</v>
      </c>
      <c r="E3" s="22">
        <v>0</v>
      </c>
      <c r="F3" s="22">
        <v>0</v>
      </c>
      <c r="G3" s="25" t="s">
        <v>37</v>
      </c>
      <c r="H3" s="39" t="s">
        <v>39</v>
      </c>
    </row>
    <row r="4" spans="1:8" ht="51.75" customHeight="1" x14ac:dyDescent="0.2">
      <c r="A4" s="11" t="s">
        <v>8</v>
      </c>
      <c r="B4" s="12">
        <v>0.55730000000000002</v>
      </c>
      <c r="C4" s="22">
        <v>0.55000000000000004</v>
      </c>
      <c r="D4" s="25">
        <v>0.55000000000000004</v>
      </c>
      <c r="E4" s="13" t="s">
        <v>4</v>
      </c>
      <c r="F4" s="13" t="s">
        <v>31</v>
      </c>
      <c r="G4" s="15" t="s">
        <v>31</v>
      </c>
      <c r="H4" s="16" t="s">
        <v>27</v>
      </c>
    </row>
    <row r="5" spans="1:8" ht="60" x14ac:dyDescent="0.2">
      <c r="A5" s="11" t="s">
        <v>16</v>
      </c>
      <c r="B5" s="12">
        <v>0.38009999999999999</v>
      </c>
      <c r="C5" s="22">
        <v>0.4</v>
      </c>
      <c r="D5" s="25">
        <v>0.4</v>
      </c>
      <c r="E5" s="13" t="s">
        <v>3</v>
      </c>
      <c r="F5" s="13" t="s">
        <v>30</v>
      </c>
      <c r="G5" s="15" t="s">
        <v>30</v>
      </c>
      <c r="H5" s="17" t="s">
        <v>20</v>
      </c>
    </row>
    <row r="6" spans="1:8" ht="60.75" customHeight="1" x14ac:dyDescent="0.2">
      <c r="A6" s="11" t="s">
        <v>10</v>
      </c>
      <c r="B6" s="12">
        <v>0</v>
      </c>
      <c r="C6" s="22">
        <v>0</v>
      </c>
      <c r="D6" s="25">
        <v>0</v>
      </c>
      <c r="E6" s="22">
        <v>0</v>
      </c>
      <c r="F6" s="22">
        <v>0</v>
      </c>
      <c r="G6" s="25" t="s">
        <v>38</v>
      </c>
      <c r="H6" s="39" t="s">
        <v>39</v>
      </c>
    </row>
    <row r="7" spans="1:8" ht="30" customHeight="1" x14ac:dyDescent="0.2">
      <c r="A7" s="11" t="s">
        <v>15</v>
      </c>
      <c r="B7" s="12">
        <v>6.2600000000000003E-2</v>
      </c>
      <c r="C7" s="22">
        <v>0.05</v>
      </c>
      <c r="D7" s="25">
        <v>0.05</v>
      </c>
      <c r="E7" s="13" t="s">
        <v>4</v>
      </c>
      <c r="F7" s="13" t="s">
        <v>17</v>
      </c>
      <c r="G7" s="15" t="s">
        <v>17</v>
      </c>
      <c r="H7" s="21" t="s">
        <v>6</v>
      </c>
    </row>
    <row r="8" spans="1:8" ht="30" customHeight="1" x14ac:dyDescent="0.2">
      <c r="A8" s="11" t="s">
        <v>11</v>
      </c>
      <c r="B8" s="38">
        <v>1</v>
      </c>
      <c r="C8" s="40">
        <f>SUM(C3:C7)</f>
        <v>1</v>
      </c>
      <c r="D8" s="38">
        <f>SUM(D3:D7)</f>
        <v>1</v>
      </c>
      <c r="E8" s="13"/>
      <c r="F8" s="13"/>
      <c r="G8" s="15"/>
      <c r="H8" s="39" t="s">
        <v>39</v>
      </c>
    </row>
    <row r="9" spans="1:8" ht="15.75" x14ac:dyDescent="0.2">
      <c r="A9" s="41" t="s">
        <v>1</v>
      </c>
      <c r="B9" s="42">
        <v>2.87E-2</v>
      </c>
      <c r="C9" s="43">
        <v>0.06</v>
      </c>
      <c r="D9" s="44">
        <v>0.06</v>
      </c>
      <c r="E9" s="45" t="s">
        <v>3</v>
      </c>
      <c r="F9" s="45" t="s">
        <v>32</v>
      </c>
      <c r="G9" s="46" t="s">
        <v>32</v>
      </c>
      <c r="H9" s="39" t="s">
        <v>39</v>
      </c>
    </row>
    <row r="10" spans="1:8" ht="409.5" x14ac:dyDescent="0.2">
      <c r="A10" s="39" t="s">
        <v>39</v>
      </c>
      <c r="B10" s="39" t="s">
        <v>39</v>
      </c>
      <c r="C10" s="39" t="s">
        <v>39</v>
      </c>
      <c r="D10" s="39" t="s">
        <v>39</v>
      </c>
      <c r="E10" s="39" t="s">
        <v>39</v>
      </c>
      <c r="F10" s="39" t="s">
        <v>39</v>
      </c>
      <c r="G10" s="39" t="s">
        <v>39</v>
      </c>
      <c r="H10" s="47" t="s">
        <v>33</v>
      </c>
    </row>
    <row r="11" spans="1:8" ht="15.75" x14ac:dyDescent="0.25">
      <c r="A11" s="26" t="s">
        <v>52</v>
      </c>
      <c r="B11" s="39" t="s">
        <v>39</v>
      </c>
      <c r="C11" s="39" t="s">
        <v>39</v>
      </c>
      <c r="D11" s="48">
        <v>5.0000000000000001E-4</v>
      </c>
      <c r="E11" s="39" t="s">
        <v>39</v>
      </c>
      <c r="F11" s="39" t="s">
        <v>39</v>
      </c>
      <c r="G11" s="39" t="s">
        <v>39</v>
      </c>
      <c r="H11" s="39" t="s">
        <v>39</v>
      </c>
    </row>
    <row r="12" spans="1:8" x14ac:dyDescent="0.2">
      <c r="A12" s="28" t="s">
        <v>5</v>
      </c>
      <c r="B12" s="28"/>
      <c r="C12" s="6"/>
      <c r="D12" s="6"/>
      <c r="E12" s="6"/>
      <c r="F12" s="6"/>
      <c r="G12" s="6"/>
      <c r="H12" s="6"/>
    </row>
    <row r="13" spans="1:8" x14ac:dyDescent="0.2">
      <c r="A13" s="28" t="s">
        <v>7</v>
      </c>
      <c r="B13" s="28"/>
      <c r="C13" s="6"/>
      <c r="D13" s="6"/>
      <c r="E13" s="6"/>
      <c r="F13" s="6"/>
      <c r="G13" s="6"/>
      <c r="H13" s="6"/>
    </row>
    <row r="14" spans="1:8" x14ac:dyDescent="0.2">
      <c r="A14" s="56" t="s">
        <v>41</v>
      </c>
      <c r="B14" s="55"/>
      <c r="C14" s="55"/>
      <c r="D14" s="55"/>
      <c r="E14" s="55"/>
      <c r="F14" s="55"/>
      <c r="G14" s="55"/>
      <c r="H14" s="55"/>
    </row>
    <row r="15" spans="1:8" ht="33" customHeight="1" x14ac:dyDescent="0.2">
      <c r="A15" s="34" t="s">
        <v>42</v>
      </c>
      <c r="B15" s="35"/>
      <c r="C15" s="35"/>
      <c r="D15" s="35"/>
      <c r="E15" s="35"/>
      <c r="F15" s="35"/>
      <c r="G15" s="35"/>
      <c r="H15" s="35"/>
    </row>
    <row r="16" spans="1:8" ht="15.75" x14ac:dyDescent="0.2">
      <c r="A16" s="30" t="s">
        <v>43</v>
      </c>
      <c r="B16" s="35"/>
      <c r="C16" s="35"/>
      <c r="D16" s="35"/>
      <c r="E16" s="35"/>
      <c r="F16" s="35"/>
      <c r="G16" s="35"/>
      <c r="H16" s="35"/>
    </row>
    <row r="17" spans="1:8" ht="15.75" x14ac:dyDescent="0.2">
      <c r="A17" s="31" t="s">
        <v>13</v>
      </c>
      <c r="B17" s="35"/>
      <c r="C17" s="35"/>
      <c r="D17" s="35"/>
      <c r="E17" s="35"/>
      <c r="F17" s="35"/>
      <c r="G17" s="35"/>
      <c r="H17" s="35"/>
    </row>
    <row r="18" spans="1:8" x14ac:dyDescent="0.2">
      <c r="A18" s="57" t="s">
        <v>44</v>
      </c>
      <c r="B18" s="59"/>
      <c r="C18" s="59"/>
      <c r="D18" s="59"/>
      <c r="E18" s="59"/>
      <c r="F18" s="59"/>
      <c r="G18" s="59"/>
      <c r="H18" s="59"/>
    </row>
    <row r="19" spans="1:8" ht="31.5" customHeight="1" x14ac:dyDescent="0.2">
      <c r="A19" s="54" t="s">
        <v>45</v>
      </c>
      <c r="B19" s="59"/>
      <c r="C19" s="59"/>
      <c r="D19" s="59"/>
      <c r="E19" s="59"/>
      <c r="F19" s="59"/>
      <c r="G19" s="59"/>
      <c r="H19" s="59"/>
    </row>
    <row r="20" spans="1:8" ht="30" customHeight="1" x14ac:dyDescent="0.2">
      <c r="A20" s="54" t="s">
        <v>46</v>
      </c>
      <c r="B20" s="59"/>
      <c r="C20" s="59"/>
      <c r="D20" s="59"/>
      <c r="E20" s="59"/>
      <c r="F20" s="59"/>
      <c r="G20" s="59"/>
      <c r="H20" s="59"/>
    </row>
    <row r="21" spans="1:8" ht="29.25" customHeight="1" x14ac:dyDescent="0.2">
      <c r="A21" s="31" t="s">
        <v>36</v>
      </c>
      <c r="B21" s="6"/>
      <c r="C21" s="6"/>
      <c r="D21" s="6"/>
      <c r="E21" s="6"/>
      <c r="F21" s="6"/>
      <c r="G21" s="6"/>
      <c r="H21" s="6"/>
    </row>
    <row r="22" spans="1:8" ht="15.75" x14ac:dyDescent="0.25">
      <c r="A22" s="53" t="s">
        <v>60</v>
      </c>
      <c r="B22" s="6"/>
      <c r="C22" s="6"/>
      <c r="D22" s="6"/>
      <c r="E22" s="6"/>
      <c r="F22" s="6"/>
      <c r="G22" s="6"/>
      <c r="H22" s="6"/>
    </row>
    <row r="23" spans="1:8" x14ac:dyDescent="0.2">
      <c r="A23" s="58" t="s">
        <v>40</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7"/>
  <sheetViews>
    <sheetView rightToLeft="1" workbookViewId="0">
      <selection activeCell="H6" sqref="H6"/>
    </sheetView>
  </sheetViews>
  <sheetFormatPr defaultColWidth="0" defaultRowHeight="15" zeroHeight="1" x14ac:dyDescent="0.2"/>
  <cols>
    <col min="1" max="1" width="39.140625" style="58" customWidth="1"/>
    <col min="2" max="2" width="21.85546875" style="58" customWidth="1"/>
    <col min="3" max="3" width="13.42578125" style="58" customWidth="1"/>
    <col min="4" max="4" width="13.5703125" style="58" customWidth="1"/>
    <col min="5" max="5" width="13.7109375" style="58" customWidth="1"/>
    <col min="6" max="6" width="19.140625" style="58" customWidth="1"/>
    <col min="7" max="7" width="20.28515625" style="58" customWidth="1"/>
    <col min="8" max="8" width="36.85546875" style="58" customWidth="1"/>
    <col min="9" max="16384" width="9.140625" style="6" hidden="1"/>
  </cols>
  <sheetData>
    <row r="1" spans="1:8" ht="15.75" x14ac:dyDescent="0.25">
      <c r="A1" s="4" t="s">
        <v>58</v>
      </c>
      <c r="B1" s="6"/>
      <c r="C1" s="6"/>
      <c r="D1" s="6"/>
      <c r="E1" s="6"/>
      <c r="F1" s="6"/>
      <c r="G1" s="6"/>
      <c r="H1" s="6"/>
    </row>
    <row r="2" spans="1:8" ht="94.5" x14ac:dyDescent="0.2">
      <c r="A2" s="7" t="s">
        <v>29</v>
      </c>
      <c r="B2" s="8" t="s">
        <v>61</v>
      </c>
      <c r="C2" s="8" t="s">
        <v>35</v>
      </c>
      <c r="D2" s="9" t="s">
        <v>2</v>
      </c>
      <c r="E2" s="8" t="s">
        <v>34</v>
      </c>
      <c r="F2" s="8" t="s">
        <v>47</v>
      </c>
      <c r="G2" s="8" t="s">
        <v>48</v>
      </c>
      <c r="H2" s="10" t="s">
        <v>49</v>
      </c>
    </row>
    <row r="3" spans="1:8" ht="29.25" customHeight="1" x14ac:dyDescent="0.2">
      <c r="A3" s="11" t="s">
        <v>0</v>
      </c>
      <c r="B3" s="12">
        <v>0</v>
      </c>
      <c r="C3" s="22">
        <v>0</v>
      </c>
      <c r="D3" s="25">
        <v>0</v>
      </c>
      <c r="E3" s="22">
        <v>0</v>
      </c>
      <c r="F3" s="22">
        <v>0</v>
      </c>
      <c r="G3" s="22" t="s">
        <v>37</v>
      </c>
      <c r="H3" s="69" t="s">
        <v>39</v>
      </c>
    </row>
    <row r="4" spans="1:8" ht="66.75" customHeight="1" x14ac:dyDescent="0.2">
      <c r="A4" s="11" t="s">
        <v>8</v>
      </c>
      <c r="B4" s="12">
        <v>0.57650000000000001</v>
      </c>
      <c r="C4" s="22">
        <v>0.55000000000000004</v>
      </c>
      <c r="D4" s="25">
        <v>0.55000000000000004</v>
      </c>
      <c r="E4" s="13" t="s">
        <v>4</v>
      </c>
      <c r="F4" s="13" t="s">
        <v>31</v>
      </c>
      <c r="G4" s="13" t="s">
        <v>31</v>
      </c>
      <c r="H4" s="70" t="s">
        <v>27</v>
      </c>
    </row>
    <row r="5" spans="1:8" ht="76.5" customHeight="1" x14ac:dyDescent="0.2">
      <c r="A5" s="11" t="s">
        <v>16</v>
      </c>
      <c r="B5" s="12">
        <v>0.35199999999999998</v>
      </c>
      <c r="C5" s="22">
        <v>0.4</v>
      </c>
      <c r="D5" s="25">
        <v>0.4</v>
      </c>
      <c r="E5" s="13" t="s">
        <v>3</v>
      </c>
      <c r="F5" s="13" t="s">
        <v>30</v>
      </c>
      <c r="G5" s="13" t="s">
        <v>30</v>
      </c>
      <c r="H5" s="71" t="s">
        <v>20</v>
      </c>
    </row>
    <row r="6" spans="1:8" ht="60.75" customHeight="1" x14ac:dyDescent="0.2">
      <c r="A6" s="11" t="s">
        <v>10</v>
      </c>
      <c r="B6" s="12">
        <v>0</v>
      </c>
      <c r="C6" s="22">
        <v>0</v>
      </c>
      <c r="D6" s="25">
        <v>0</v>
      </c>
      <c r="E6" s="22">
        <v>0</v>
      </c>
      <c r="F6" s="22">
        <v>0</v>
      </c>
      <c r="G6" s="22" t="s">
        <v>38</v>
      </c>
      <c r="H6" s="69" t="s">
        <v>39</v>
      </c>
    </row>
    <row r="7" spans="1:8" ht="30" customHeight="1" x14ac:dyDescent="0.2">
      <c r="A7" s="11" t="s">
        <v>15</v>
      </c>
      <c r="B7" s="12">
        <v>7.1499999999999994E-2</v>
      </c>
      <c r="C7" s="22">
        <v>0.05</v>
      </c>
      <c r="D7" s="25">
        <v>0.05</v>
      </c>
      <c r="E7" s="13" t="s">
        <v>4</v>
      </c>
      <c r="F7" s="13" t="s">
        <v>17</v>
      </c>
      <c r="G7" s="13" t="s">
        <v>17</v>
      </c>
      <c r="H7" s="13" t="s">
        <v>6</v>
      </c>
    </row>
    <row r="8" spans="1:8" ht="30" customHeight="1" x14ac:dyDescent="0.2">
      <c r="A8" s="11" t="s">
        <v>11</v>
      </c>
      <c r="B8" s="38">
        <v>1</v>
      </c>
      <c r="C8" s="40">
        <f>SUM(C3:C7)</f>
        <v>1</v>
      </c>
      <c r="D8" s="38">
        <f>SUM(D3:D7)</f>
        <v>1</v>
      </c>
      <c r="E8" s="13"/>
      <c r="F8" s="13"/>
      <c r="G8" s="13"/>
      <c r="H8" s="69" t="s">
        <v>39</v>
      </c>
    </row>
    <row r="9" spans="1:8" ht="36" customHeight="1" x14ac:dyDescent="0.2">
      <c r="A9" s="41" t="s">
        <v>1</v>
      </c>
      <c r="B9" s="42">
        <v>0.03</v>
      </c>
      <c r="C9" s="43">
        <v>0.06</v>
      </c>
      <c r="D9" s="44">
        <v>0.06</v>
      </c>
      <c r="E9" s="45" t="s">
        <v>3</v>
      </c>
      <c r="F9" s="45" t="s">
        <v>32</v>
      </c>
      <c r="G9" s="45" t="s">
        <v>32</v>
      </c>
      <c r="H9" s="69" t="s">
        <v>39</v>
      </c>
    </row>
    <row r="10" spans="1:8" ht="409.5" x14ac:dyDescent="0.2">
      <c r="A10" s="39" t="s">
        <v>39</v>
      </c>
      <c r="B10" s="39" t="s">
        <v>39</v>
      </c>
      <c r="C10" s="39" t="s">
        <v>39</v>
      </c>
      <c r="D10" s="39" t="s">
        <v>39</v>
      </c>
      <c r="E10" s="39" t="s">
        <v>39</v>
      </c>
      <c r="F10" s="39" t="s">
        <v>39</v>
      </c>
      <c r="G10" s="39" t="s">
        <v>39</v>
      </c>
      <c r="H10" s="72" t="s">
        <v>33</v>
      </c>
    </row>
    <row r="11" spans="1:8" ht="15.75" x14ac:dyDescent="0.25">
      <c r="A11" s="26" t="s">
        <v>52</v>
      </c>
      <c r="B11" s="49" t="s">
        <v>39</v>
      </c>
      <c r="C11" s="49" t="s">
        <v>39</v>
      </c>
      <c r="D11" s="48">
        <v>5.0000000000000001E-4</v>
      </c>
      <c r="E11" s="49" t="s">
        <v>39</v>
      </c>
      <c r="F11" s="49" t="s">
        <v>39</v>
      </c>
      <c r="G11" s="49" t="s">
        <v>39</v>
      </c>
      <c r="H11" s="49" t="s">
        <v>39</v>
      </c>
    </row>
    <row r="12" spans="1:8" x14ac:dyDescent="0.2">
      <c r="A12" s="28" t="s">
        <v>5</v>
      </c>
      <c r="B12" s="28"/>
      <c r="C12" s="6"/>
      <c r="D12" s="6"/>
      <c r="E12" s="6"/>
      <c r="F12" s="6"/>
      <c r="G12" s="6"/>
      <c r="H12" s="6"/>
    </row>
    <row r="13" spans="1:8" x14ac:dyDescent="0.2">
      <c r="A13" s="28" t="s">
        <v>7</v>
      </c>
      <c r="B13" s="28"/>
      <c r="C13" s="6"/>
      <c r="D13" s="6"/>
      <c r="E13" s="6"/>
      <c r="F13" s="6"/>
      <c r="G13" s="6"/>
      <c r="H13" s="6"/>
    </row>
    <row r="14" spans="1:8" x14ac:dyDescent="0.2">
      <c r="A14" s="56" t="s">
        <v>41</v>
      </c>
      <c r="B14" s="55"/>
      <c r="C14" s="55"/>
      <c r="D14" s="55"/>
      <c r="E14" s="55"/>
      <c r="F14" s="55"/>
      <c r="G14" s="55"/>
      <c r="H14" s="55"/>
    </row>
    <row r="15" spans="1:8" ht="33.75" customHeight="1" x14ac:dyDescent="0.2">
      <c r="A15" s="34" t="s">
        <v>42</v>
      </c>
      <c r="B15" s="35"/>
      <c r="C15" s="35"/>
      <c r="D15" s="35"/>
      <c r="E15" s="35"/>
      <c r="F15" s="35"/>
      <c r="G15" s="35"/>
      <c r="H15" s="35"/>
    </row>
    <row r="16" spans="1:8" ht="15.75" x14ac:dyDescent="0.2">
      <c r="A16" s="30" t="s">
        <v>43</v>
      </c>
      <c r="B16" s="35"/>
      <c r="C16" s="35"/>
      <c r="D16" s="35"/>
      <c r="E16" s="35"/>
      <c r="F16" s="35"/>
      <c r="G16" s="35"/>
      <c r="H16" s="35"/>
    </row>
    <row r="17" spans="1:8" ht="16.5" customHeight="1" x14ac:dyDescent="0.2">
      <c r="A17" s="31" t="s">
        <v>13</v>
      </c>
      <c r="B17" s="35"/>
      <c r="C17" s="35"/>
      <c r="D17" s="35"/>
      <c r="E17" s="35"/>
      <c r="F17" s="35"/>
      <c r="G17" s="35"/>
      <c r="H17" s="35"/>
    </row>
    <row r="18" spans="1:8" ht="25.5" customHeight="1" x14ac:dyDescent="0.2">
      <c r="A18" s="57" t="s">
        <v>44</v>
      </c>
      <c r="B18" s="59"/>
      <c r="C18" s="59"/>
      <c r="D18" s="59"/>
      <c r="E18" s="59"/>
      <c r="F18" s="59"/>
      <c r="G18" s="59"/>
      <c r="H18" s="59"/>
    </row>
    <row r="19" spans="1:8" ht="36.75" customHeight="1" x14ac:dyDescent="0.2">
      <c r="A19" s="54" t="s">
        <v>45</v>
      </c>
      <c r="B19" s="59"/>
      <c r="C19" s="59"/>
      <c r="D19" s="59"/>
      <c r="E19" s="59"/>
      <c r="F19" s="59"/>
      <c r="G19" s="59"/>
      <c r="H19" s="59"/>
    </row>
    <row r="20" spans="1:8" ht="26.25" customHeight="1" x14ac:dyDescent="0.2">
      <c r="A20" s="54" t="s">
        <v>46</v>
      </c>
      <c r="B20" s="59"/>
      <c r="C20" s="59"/>
      <c r="D20" s="59"/>
      <c r="E20" s="59"/>
      <c r="F20" s="59"/>
      <c r="G20" s="59"/>
      <c r="H20" s="59"/>
    </row>
    <row r="21" spans="1:8" ht="25.5" customHeight="1" x14ac:dyDescent="0.2">
      <c r="A21" s="31" t="s">
        <v>36</v>
      </c>
      <c r="B21" s="6"/>
      <c r="C21" s="6"/>
      <c r="D21" s="6"/>
      <c r="E21" s="6"/>
      <c r="F21" s="6"/>
      <c r="G21" s="6"/>
      <c r="H21" s="6"/>
    </row>
    <row r="22" spans="1:8" ht="15.75" x14ac:dyDescent="0.25">
      <c r="A22" s="53" t="s">
        <v>60</v>
      </c>
      <c r="B22" s="6"/>
      <c r="C22" s="6"/>
      <c r="D22" s="6"/>
      <c r="E22" s="6"/>
      <c r="F22" s="6"/>
      <c r="G22" s="6"/>
      <c r="H22" s="6"/>
    </row>
    <row r="23" spans="1:8" x14ac:dyDescent="0.2">
      <c r="A23" s="58" t="s">
        <v>40</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דואר יוצא" ma:contentTypeID="0x0101008C55B00028322E4F854B3B81C414FC4305007E0C9B40CC55A74797F79D5EBDCFE9EF" ma:contentTypeVersion="20" ma:contentTypeDescription="צור מסמך חדש." ma:contentTypeScope="" ma:versionID="d886d1f94a0e57b27f1fba3a4ebb3034">
  <xsd:schema xmlns:xsd="http://www.w3.org/2001/XMLSchema" xmlns:xs="http://www.w3.org/2001/XMLSchema" xmlns:p="http://schemas.microsoft.com/office/2006/metadata/properties" xmlns:ns1="995d9520-b773-45b0-af62-8fbca05246ff" targetNamespace="http://schemas.microsoft.com/office/2006/metadata/properties" ma:root="true" ma:fieldsID="6a51b1a05a5ec752825fe43c1934a98b" ns1:_="">
    <xsd:import namespace="995d9520-b773-45b0-af62-8fbca05246ff"/>
    <xsd:element name="properties">
      <xsd:complexType>
        <xsd:sequence>
          <xsd:element name="documentManagement">
            <xsd:complexType>
              <xsd:all>
                <xsd:element ref="ns1:AutoNumber" minOccurs="0"/>
                <xsd:element ref="ns1:SDCategories" minOccurs="0"/>
                <xsd:element ref="ns1:SDCategoryID" minOccurs="0"/>
                <xsd:element ref="ns1:SDAuthor" minOccurs="0"/>
                <xsd:element ref="ns1:SDDocDate" minOccurs="0"/>
                <xsd:element ref="ns1:SDHebDate" minOccurs="0"/>
                <xsd:element ref="ns1:SDOriginalID" minOccurs="0"/>
                <xsd:element ref="ns1:SDOfflineTo" minOccurs="0"/>
                <xsd:element ref="ns1:SDAsmachta" minOccurs="0"/>
                <xsd:element ref="ns1:SDImportance" minOccurs="0"/>
                <xsd:element ref="ns1:SDDocumentSource" minOccurs="0"/>
                <xsd:element ref="ns1:SDExternalEntityConnected" minOccurs="0"/>
                <xsd:element ref="ns1:SDLastSigningDate" minOccurs="0"/>
                <xsd:element ref="ns1:SDNumOfSignatures" minOccurs="0"/>
                <xsd:element ref="ns1:SDSignersLogi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5d9520-b773-45b0-af62-8fbca05246ff" elementFormDefault="qualified">
    <xsd:import namespace="http://schemas.microsoft.com/office/2006/documentManagement/types"/>
    <xsd:import namespace="http://schemas.microsoft.com/office/infopath/2007/PartnerControls"/>
    <xsd:element name="AutoNumber" ma:index="0" nillable="true" ma:displayName="סימוכין" ma:indexed="true" ma:internalName="AutoNumber">
      <xsd:simpleType>
        <xsd:restriction base="dms:Text"/>
      </xsd:simpleType>
    </xsd:element>
    <xsd:element name="SDCategories" ma:index="1" nillable="true" ma:displayName="נושאים" ma:internalName="SDCategories">
      <xsd:simpleType>
        <xsd:restriction base="dms:Note">
          <xsd:maxLength value="255"/>
        </xsd:restriction>
      </xsd:simpleType>
    </xsd:element>
    <xsd:element name="SDCategoryID" ma:index="2" nillable="true" ma:displayName="מזהה נושא" ma:indexed="true" ma:internalName="SDCategoryID">
      <xsd:simpleType>
        <xsd:restriction base="dms:Text"/>
      </xsd:simpleType>
    </xsd:element>
    <xsd:element name="SDAuthor" ma:index="3" nillable="true" ma:displayName="מחבר" ma:indexed="true" ma:internalName="SDAuthor">
      <xsd:simpleType>
        <xsd:restriction base="dms:Text"/>
      </xsd:simpleType>
    </xsd:element>
    <xsd:element name="SDDocDate" ma:index="4" nillable="true" ma:displayName="תאריך המסמך" ma:indexed="true" ma:internalName="SDDocDate">
      <xsd:simpleType>
        <xsd:restriction base="dms:DateTime"/>
      </xsd:simpleType>
    </xsd:element>
    <xsd:element name="SDHebDate" ma:index="5" nillable="true" ma:displayName="תאריך עברי" ma:internalName="SDHebDate">
      <xsd:simpleType>
        <xsd:restriction base="dms:Text"/>
      </xsd:simpleType>
    </xsd:element>
    <xsd:element name="SDOriginalID" ma:index="6" nillable="true" ma:displayName="סימוכין מקורי" ma:internalName="SDOriginalID">
      <xsd:simpleType>
        <xsd:restriction base="dms:Text"/>
      </xsd:simpleType>
    </xsd:element>
    <xsd:element name="SDOfflineTo" ma:index="7" nillable="true" ma:displayName="הוצא אל" ma:internalName="SDOfflineTo">
      <xsd:simpleType>
        <xsd:restriction base="dms:Text"/>
      </xsd:simpleType>
    </xsd:element>
    <xsd:element name="SDAsmachta" ma:index="8" nillable="true" ma:displayName="אסמכתא" ma:internalName="SDAsmachta">
      <xsd:simpleType>
        <xsd:restriction base="dms:Text"/>
      </xsd:simpleType>
    </xsd:element>
    <xsd:element name="SDImportance" ma:index="9" nillable="true" ma:displayName="חשיבות" ma:internalName="SDImportance">
      <xsd:simpleType>
        <xsd:restriction base="dms:Number"/>
      </xsd:simpleType>
    </xsd:element>
    <xsd:element name="SDDocumentSource" ma:index="10" nillable="true" ma:displayName="SDDocumentSource" ma:internalName="SDDocumentSource">
      <xsd:simpleType>
        <xsd:restriction base="dms:Choice">
          <xsd:enumeration value="SDFileUpload"/>
          <xsd:enumeration value="SDNewFile"/>
          <xsd:enumeration value="SDMultiFilesUpload"/>
          <xsd:enumeration value="OutlookExtender"/>
          <xsd:enumeration value="SDMigration"/>
          <xsd:enumeration value="OfficeAddIn"/>
          <xsd:enumeration value="ArchiveScan"/>
          <xsd:enumeration value="PCDocs"/>
          <xsd:enumeration value="PST"/>
          <xsd:enumeration value="D2K"/>
          <xsd:enumeration value="Menahel"/>
          <xsd:enumeration value="ShipmentLoader"/>
          <xsd:enumeration value="PoliceOffices"/>
          <xsd:enumeration value="AGATForms"/>
          <xsd:enumeration value="SDK"/>
          <xsd:enumeration value="Other"/>
        </xsd:restriction>
      </xsd:simpleType>
    </xsd:element>
    <xsd:element name="SDExternalEntityConnected" ma:index="11" nillable="true" ma:displayName="מקושר לאפליקציה חיצונית" ma:internalName="SDExternalEntityConnected">
      <xsd:simpleType>
        <xsd:restriction base="dms:Boolean"/>
      </xsd:simpleType>
    </xsd:element>
    <xsd:element name="SDLastSigningDate" ma:index="12" nillable="true" ma:displayName="תאריך חתימה אחרון " ma:internalName="SDLastSigningDate">
      <xsd:simpleType>
        <xsd:restriction base="dms:DateTime"/>
      </xsd:simpleType>
    </xsd:element>
    <xsd:element name="SDNumOfSignatures" ma:index="13" nillable="true" ma:displayName="מספר חתימות" ma:internalName="SDNumOfSignatures">
      <xsd:simpleType>
        <xsd:restriction base="dms:Number"/>
      </xsd:simpleType>
    </xsd:element>
    <xsd:element name="SDSignersLogins" ma:index="14" nillable="true" ma:displayName="חותם המסמך" ma:internalName="SDSignersLogin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xsd:element ref="dc:title" minOccurs="0" maxOccurs="1"/>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DCategories xmlns="995d9520-b773-45b0-af62-8fbca05246ff">:קרנות השתלמות:הנהלה:ישיבות:דירקטוריון תשע"ז:ישיבה 28.8.2017;#</SDCategories>
    <SDCategoryID xmlns="995d9520-b773-45b0-af62-8fbca05246ff">aa50102c0bab;#</SDCategoryID>
    <SDNumOfSignatures xmlns="995d9520-b773-45b0-af62-8fbca05246ff" xsi:nil="true"/>
    <SDOfflineTo xmlns="995d9520-b773-45b0-af62-8fbca05246ff" xsi:nil="true"/>
    <SDImportance xmlns="995d9520-b773-45b0-af62-8fbca05246ff">0</SDImportance>
    <SDDocDate xmlns="995d9520-b773-45b0-af62-8fbca05246ff">2017-08-22T21:00:00+00:00</SDDocDate>
    <SDExternalEntityConnected xmlns="995d9520-b773-45b0-af62-8fbca05246ff" xsi:nil="true"/>
    <SDHebDate xmlns="995d9520-b773-45b0-af62-8fbca05246ff">א' באלול, התשע"ז</SDHebDate>
    <SDLastSigningDate xmlns="995d9520-b773-45b0-af62-8fbca05246ff" xsi:nil="true"/>
    <AutoNumber xmlns="995d9520-b773-45b0-af62-8fbca05246ff">00364817</AutoNumber>
    <SDOriginalID xmlns="995d9520-b773-45b0-af62-8fbca05246ff" xsi:nil="true"/>
    <SDAsmachta xmlns="995d9520-b773-45b0-af62-8fbca05246ff">001-001761-2017</SDAsmachta>
    <SDSignersLogins xmlns="995d9520-b773-45b0-af62-8fbca05246ff" xsi:nil="true"/>
    <SDAuthor xmlns="995d9520-b773-45b0-af62-8fbca05246ff">נטלי אהרון</SDAuthor>
    <SDDocumentSource xmlns="995d9520-b773-45b0-af62-8fbca05246ff">OfficeAddIn</SDDocumentSourc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8E2A9901-2585-4DC8-A1ED-D12244874918}">
  <ds:schemaRefs>
    <ds:schemaRef ds:uri="http://schemas.microsoft.com/sharepoint/v3/contenttype/forms"/>
  </ds:schemaRefs>
</ds:datastoreItem>
</file>

<file path=customXml/itemProps2.xml><?xml version="1.0" encoding="utf-8"?>
<ds:datastoreItem xmlns:ds="http://schemas.openxmlformats.org/officeDocument/2006/customXml" ds:itemID="{441DE879-EC4A-483A-BC69-4CFB178C14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5d9520-b773-45b0-af62-8fbca05246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30FF10D-4A68-4C50-925E-EE4F9255DA0F}">
  <ds:schemaRefs>
    <ds:schemaRef ds:uri="http://schemas.microsoft.com/office/2006/metadata/properties"/>
    <ds:schemaRef ds:uri="http://schemas.microsoft.com/office/infopath/2007/PartnerControls"/>
    <ds:schemaRef ds:uri="http://www.w3.org/XML/1998/namespace"/>
    <ds:schemaRef ds:uri="http://purl.org/dc/terms/"/>
    <ds:schemaRef ds:uri="http://schemas.openxmlformats.org/package/2006/metadata/core-properties"/>
    <ds:schemaRef ds:uri="http://purl.org/dc/dcmitype/"/>
    <ds:schemaRef ds:uri="http://schemas.microsoft.com/office/2006/documentManagement/types"/>
    <ds:schemaRef ds:uri="995d9520-b773-45b0-af62-8fbca05246ff"/>
    <ds:schemaRef ds:uri="http://purl.org/dc/elements/1.1/"/>
  </ds:schemaRefs>
</ds:datastoreItem>
</file>

<file path=customXml/itemProps4.xml><?xml version="1.0" encoding="utf-8"?>
<ds:datastoreItem xmlns:ds="http://schemas.openxmlformats.org/officeDocument/2006/customXml" ds:itemID="{F8D32CDD-922D-4FE3-8D13-F43F71E5A6B8}">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3</vt:i4>
      </vt:variant>
    </vt:vector>
  </HeadingPairs>
  <TitlesOfParts>
    <vt:vector size="9" baseType="lpstr">
      <vt:lpstr>מורים וגננות </vt:lpstr>
      <vt:lpstr>מוג מקור</vt:lpstr>
      <vt:lpstr>מוג הלכתי</vt:lpstr>
      <vt:lpstr>מוג מקור הלכתי</vt:lpstr>
      <vt:lpstr>מוג אשראי ואגח</vt:lpstr>
      <vt:lpstr>מוג מקור אשראי ואגח</vt:lpstr>
      <vt:lpstr>'מורים וגננות '!WinZmBookmark_zDCB88</vt:lpstr>
      <vt:lpstr>'מוג הלכתי'!WPrint_Area_W</vt:lpstr>
      <vt:lpstr>'מורים וגננות '!WPrint_Area_W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צפויה תשפה</dc:title>
  <dc:creator>Administrator</dc:creator>
  <cp:lastModifiedBy>Oded Manger</cp:lastModifiedBy>
  <cp:lastPrinted>2020-08-24T14:31:13Z</cp:lastPrinted>
  <dcterms:created xsi:type="dcterms:W3CDTF">2009-10-08T13:48:00Z</dcterms:created>
  <dcterms:modified xsi:type="dcterms:W3CDTF">2025-12-09T08:27:00Z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0x0101008C55B00028322E4F854B3B81C414FC4305007E0C9B40CC55A74797F79D5EBDCFE9EF</vt:lpwstr>
  </property>
</Properties>
</file>