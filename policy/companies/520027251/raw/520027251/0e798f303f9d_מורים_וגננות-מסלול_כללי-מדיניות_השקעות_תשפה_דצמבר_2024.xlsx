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4\אתר אינטרנט\מדיניות השקעות\שינוי במדיניות השקעות דצמבר 2024\"/>
    </mc:Choice>
  </mc:AlternateContent>
  <xr:revisionPtr revIDLastSave="0" documentId="8_{1B629292-ABB0-45B5-BDFE-85848E4B42EF}" xr6:coauthVersionLast="47" xr6:coauthVersionMax="47" xr10:uidLastSave="{00000000-0000-0000-0000-000000000000}"/>
  <bookViews>
    <workbookView xWindow="-120" yWindow="-120" windowWidth="29040" windowHeight="15840" xr2:uid="{A66E19F8-A16D-4D0A-9910-CF7E2CE640CD}"/>
  </bookViews>
  <sheets>
    <sheet name="מורים וגננות " sheetId="1" r:id="rId1"/>
  </sheets>
  <definedNames>
    <definedName name="WinZmBookmark_zDCB88" localSheetId="0">'מורים וגננות '!$C$3</definedName>
    <definedName name="WinZmBookmarkEnd" localSheetId="0">'מורים וגננות '!#REF!</definedName>
    <definedName name="_xlnm.Print_Area" localSheetId="0">'מורים וגננות '!$A$1:$H$20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C8" i="1"/>
  <c r="F8" i="1"/>
  <c r="K9" i="1"/>
  <c r="K13" i="1"/>
  <c r="M13" i="1" s="1"/>
</calcChain>
</file>

<file path=xl/sharedStrings.xml><?xml version="1.0" encoding="utf-8"?>
<sst xmlns="http://schemas.openxmlformats.org/spreadsheetml/2006/main" count="63" uniqueCount="43">
  <si>
    <t>סוף גיליון עבודה</t>
  </si>
  <si>
    <t>מדיניות אושרה בדירקטוריון מיום 23.12.2024</t>
  </si>
  <si>
    <t>לפירוט נוסף ניתן לעיין במדיניות ממשל תאגידי ומדיניות ESG של החברה</t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</si>
  <si>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</si>
  <si>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</si>
  <si>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</si>
  <si>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</si>
  <si>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</si>
  <si>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</si>
  <si>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</si>
  <si>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t>*פקדונות מעל 3 חודשים יכללו באפיק פקדונות</t>
  </si>
  <si>
    <t>*פקדונות עד 3 חודשים יכללו באפיק עו"ש/פר"י/פק"מ</t>
  </si>
  <si>
    <t xml:space="preserve"> סה"כ תיק עלול להגיע מעל 100% בשל פעילות נגזרים על מדדי מניות </t>
  </si>
  <si>
    <t>אין מידע</t>
  </si>
  <si>
    <t>מגבלת עמלת ניהול חיצוני לשנת תשפ"ה</t>
  </si>
  <si>
    <t>14%-26%</t>
  </si>
  <si>
    <t>13%-25%</t>
  </si>
  <si>
    <t>6% +/-</t>
  </si>
  <si>
    <t>חשיפה למט"ח</t>
  </si>
  <si>
    <t>סה"כ*</t>
  </si>
  <si>
    <t>מדד מק"מ</t>
  </si>
  <si>
    <t>0%-10%</t>
  </si>
  <si>
    <t>5% +/-</t>
  </si>
  <si>
    <t>עו"ש (כולל פר"י, פק"מ שבועי, עו"ש מט"ח)**</t>
  </si>
  <si>
    <t>17%-27%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</si>
  <si>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</si>
  <si>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   תל בונד 60 -60%       
תל בונד שקלי 20%
    Bloomberg us corporate 1
 bond index 10  -20%  שקלי</t>
  </si>
  <si>
    <t>אג"ח קונצרני (כולל פקדונות ושטרי הון)***</t>
  </si>
  <si>
    <t>ממשלתי שקלי בריבית קבועה- 65%
ממשלתי צמוד 2-5 שנים- 35%</t>
  </si>
  <si>
    <t>10%-20%</t>
  </si>
  <si>
    <t>אג"ח ממשלתי (שקלי, צמוד, משתנה, מט"ח, מק"מ)</t>
  </si>
  <si>
    <t>ת"א 125- 25%
MSCI ALL COUNTRIES  -75% שקלי</t>
  </si>
  <si>
    <t>38%-50%</t>
  </si>
  <si>
    <t>מניות סחירות</t>
  </si>
  <si>
    <t>מדד ייחוס  לשנת תשפ"ה</t>
  </si>
  <si>
    <t>גבולות שיעור החשיפה הצפויה  לשנת תשפ"ה</t>
  </si>
  <si>
    <t>שיעור חשיפה לשנת תשפ"ה</t>
  </si>
  <si>
    <t>גבולות שיעור החשיפה הצפויה לשנת תשפ"ד</t>
  </si>
  <si>
    <t>טווח סטייה</t>
  </si>
  <si>
    <t>שיעור חשיפה  לשנת תשפ"ד</t>
  </si>
  <si>
    <t>שיעור החשיפה לתאריך 08/12/2024</t>
  </si>
  <si>
    <t>אפיק השקעה</t>
  </si>
  <si>
    <t>קרן השתלמות למורים וגננות  - מסלול רגיל-מסלול כללי- מדיניות צפויה תשפ"ה -דצמבר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</si>
</sst>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Times New Roman"/>
      <family val="1"/>
      <charset val="177"/>
    </font>
    <font>
      <i/>
      <sz val="12"/>
      <name val="Times New Roman"/>
      <family val="1"/>
    </font>
    <font>
      <i/>
      <u/>
      <sz val="12"/>
      <name val="David"/>
      <family val="2"/>
      <charset val="177"/>
    </font>
    <font>
      <b/>
      <i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Arial"/>
      <family val="2"/>
    </font>
    <font>
      <b/>
      <i/>
      <sz val="12"/>
      <name val="Arial"/>
      <family val="2"/>
    </font>
    <font>
      <sz val="12"/>
      <name val="Times New Roman"/>
      <family val="1"/>
    </font>
    <font>
      <sz val="10"/>
      <name val="Arial"/>
      <family val="2"/>
      <charset val="177"/>
    </font>
    <font>
      <sz val="12"/>
      <color theme="0"/>
      <name val="Arial"/>
      <family val="2"/>
      <charset val="177"/>
    </font>
    <font>
      <b/>
      <sz val="12"/>
      <color theme="0"/>
      <name val="Arial"/>
      <family val="2"/>
      <charset val="177"/>
    </font>
    <font>
      <b/>
      <u/>
      <sz val="12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 vertical="center" readingOrder="2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right" vertical="center" wrapText="1" readingOrder="2"/>
    </xf>
    <xf numFmtId="0" fontId="5" fillId="0" borderId="0" xfId="0" applyFont="1" applyAlignment="1">
      <alignment horizontal="right" vertical="center" wrapText="1" readingOrder="2"/>
    </xf>
    <xf numFmtId="0" fontId="6" fillId="0" borderId="0" xfId="0" applyFont="1" applyAlignment="1">
      <alignment horizontal="right" vertical="center" readingOrder="2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14" fillId="0" borderId="0" xfId="0" applyFont="1"/>
    <xf numFmtId="0" fontId="15" fillId="0" borderId="1" xfId="0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0" fontId="4" fillId="0" borderId="3" xfId="0" applyNumberFormat="1" applyFont="1" applyBorder="1" applyAlignment="1">
      <alignment horizontal="center" vertical="center"/>
    </xf>
    <xf numFmtId="10" fontId="16" fillId="0" borderId="2" xfId="0" applyNumberFormat="1" applyFont="1" applyBorder="1" applyAlignment="1">
      <alignment horizontal="center"/>
    </xf>
    <xf numFmtId="9" fontId="3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4" fillId="2" borderId="4" xfId="0" applyNumberFormat="1" applyFont="1" applyFill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right"/>
    </xf>
  </cellXfs>
  <cellStyles count="2">
    <cellStyle name="Normal" xfId="0" builtinId="0"/>
    <cellStyle name="Normal 2" xfId="1" xr:uid="{9068A31D-40D8-431C-B429-9919B8CA3244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863C86-03C6-44AC-8FC5-B0364F673725}" name="טבלה1" displayName="טבלה1" ref="A2:H9" totalsRowShown="0" headerRowDxfId="11" dataDxfId="10" headerRowBorderDxfId="8" tableBorderDxfId="9">
  <tableColumns count="8">
    <tableColumn id="1" xr3:uid="{694D05B8-A8FA-46C2-8560-88B055CF66CE}" name="אפיק השקעה" dataDxfId="7"/>
    <tableColumn id="2" xr3:uid="{8617CD4A-40C1-414A-9334-AAED41B5E5E5}" name="שיעור החשיפה לתאריך 08/12/2024" dataDxfId="6"/>
    <tableColumn id="3" xr3:uid="{824E9557-D925-4CCE-95C2-04036650E58C}" name="שיעור חשיפה  לשנת תשפ&quot;ד" dataDxfId="5"/>
    <tableColumn id="4" xr3:uid="{6458165F-47D7-4A73-B533-8ACDC0D60E55}" name="טווח סטייה" dataDxfId="4"/>
    <tableColumn id="5" xr3:uid="{F445C246-AFF1-485D-BB30-034CD12B2E63}" name="גבולות שיעור החשיפה הצפויה לשנת תשפ&quot;ד" dataDxfId="3"/>
    <tableColumn id="6" xr3:uid="{1F00507B-4F94-4D24-B4D5-245C0604E830}" name="שיעור חשיפה לשנת תשפ&quot;ה" dataDxfId="2"/>
    <tableColumn id="7" xr3:uid="{C0CAA454-22E0-402A-B7E8-70DA28FB2608}" name="גבולות שיעור החשיפה הצפויה  לשנת תשפ&quot;ה" dataDxfId="1"/>
    <tableColumn id="8" xr3:uid="{F322115D-571B-4B52-94E6-6CCD3AD0737F}" name="מדד ייחוס  לשנת תשפ&quot;ה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- מסלול רגיל וכללי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0521-3B24-402F-814B-7E407F3466E2}">
  <sheetPr>
    <pageSetUpPr fitToPage="1"/>
  </sheetPr>
  <dimension ref="A1:O24"/>
  <sheetViews>
    <sheetView rightToLeft="1" tabSelected="1" zoomScale="80" zoomScaleNormal="80" workbookViewId="0">
      <selection activeCell="F5" sqref="F5"/>
    </sheetView>
  </sheetViews>
  <sheetFormatPr defaultColWidth="0" defaultRowHeight="12.75" zeroHeight="1" x14ac:dyDescent="0.2"/>
  <cols>
    <col min="1" max="1" width="27.28515625" style="1" customWidth="1"/>
    <col min="2" max="2" width="18.5703125" style="1" customWidth="1"/>
    <col min="3" max="3" width="17.28515625" style="1" customWidth="1"/>
    <col min="4" max="4" width="16.5703125" style="1" customWidth="1"/>
    <col min="5" max="5" width="15.28515625" style="1" customWidth="1"/>
    <col min="6" max="6" width="15.7109375" style="1" customWidth="1"/>
    <col min="7" max="7" width="15" style="1" customWidth="1"/>
    <col min="8" max="8" width="28.5703125" style="1" customWidth="1"/>
    <col min="9" max="9" width="9.140625" style="1" hidden="1" customWidth="1"/>
    <col min="10" max="15" width="0" style="1" hidden="1" customWidth="1"/>
    <col min="16" max="16384" width="9.140625" style="1" hidden="1"/>
  </cols>
  <sheetData>
    <row r="1" spans="1:15" ht="15.75" x14ac:dyDescent="0.25">
      <c r="A1" s="38" t="s">
        <v>42</v>
      </c>
      <c r="B1" s="37"/>
      <c r="C1" s="37"/>
      <c r="D1" s="37"/>
      <c r="E1" s="37"/>
      <c r="F1" s="37"/>
      <c r="G1" s="37"/>
      <c r="H1" s="4"/>
    </row>
    <row r="2" spans="1:15" ht="66" customHeight="1" x14ac:dyDescent="0.2">
      <c r="A2" s="36" t="s">
        <v>41</v>
      </c>
      <c r="B2" s="34" t="s">
        <v>40</v>
      </c>
      <c r="C2" s="34" t="s">
        <v>39</v>
      </c>
      <c r="D2" s="35" t="s">
        <v>38</v>
      </c>
      <c r="E2" s="34" t="s">
        <v>37</v>
      </c>
      <c r="F2" s="34" t="s">
        <v>36</v>
      </c>
      <c r="G2" s="34" t="s">
        <v>35</v>
      </c>
      <c r="H2" s="33" t="s">
        <v>34</v>
      </c>
      <c r="K2" s="1">
        <v>0.28999999999999998</v>
      </c>
    </row>
    <row r="3" spans="1:15" ht="45" x14ac:dyDescent="0.2">
      <c r="A3" s="23" t="s">
        <v>33</v>
      </c>
      <c r="B3" s="28">
        <v>0.47339999999999999</v>
      </c>
      <c r="C3" s="30">
        <v>0.44</v>
      </c>
      <c r="D3" s="20" t="s">
        <v>17</v>
      </c>
      <c r="E3" s="20" t="s">
        <v>32</v>
      </c>
      <c r="F3" s="29">
        <v>0.44</v>
      </c>
      <c r="G3" s="18" t="s">
        <v>32</v>
      </c>
      <c r="H3" s="32" t="s">
        <v>31</v>
      </c>
      <c r="I3" s="14"/>
      <c r="J3" s="1">
        <v>7.52</v>
      </c>
      <c r="K3" s="1">
        <v>35.53</v>
      </c>
    </row>
    <row r="4" spans="1:15" ht="45" x14ac:dyDescent="0.2">
      <c r="A4" s="23" t="s">
        <v>30</v>
      </c>
      <c r="B4" s="28">
        <v>0.14879999999999999</v>
      </c>
      <c r="C4" s="30">
        <v>0.15</v>
      </c>
      <c r="D4" s="20" t="s">
        <v>22</v>
      </c>
      <c r="E4" s="20" t="s">
        <v>29</v>
      </c>
      <c r="F4" s="29">
        <v>0.15</v>
      </c>
      <c r="G4" s="18" t="s">
        <v>29</v>
      </c>
      <c r="H4" s="32" t="s">
        <v>28</v>
      </c>
      <c r="J4" s="1">
        <v>6.06</v>
      </c>
      <c r="K4" s="1">
        <v>22.02</v>
      </c>
    </row>
    <row r="5" spans="1:15" ht="75" x14ac:dyDescent="0.2">
      <c r="A5" s="23" t="s">
        <v>27</v>
      </c>
      <c r="B5" s="28">
        <v>0.17730000000000001</v>
      </c>
      <c r="C5" s="30">
        <v>0.2</v>
      </c>
      <c r="D5" s="20" t="s">
        <v>17</v>
      </c>
      <c r="E5" s="20" t="s">
        <v>15</v>
      </c>
      <c r="F5" s="29">
        <v>0.2</v>
      </c>
      <c r="G5" s="18" t="s">
        <v>15</v>
      </c>
      <c r="H5" s="31" t="s">
        <v>26</v>
      </c>
      <c r="K5" s="1">
        <v>24.55</v>
      </c>
    </row>
    <row r="6" spans="1:15" ht="90" x14ac:dyDescent="0.2">
      <c r="A6" s="23" t="s">
        <v>25</v>
      </c>
      <c r="B6" s="28">
        <v>0.2016</v>
      </c>
      <c r="C6" s="30">
        <v>0.22</v>
      </c>
      <c r="D6" s="20" t="s">
        <v>22</v>
      </c>
      <c r="E6" s="20" t="s">
        <v>24</v>
      </c>
      <c r="F6" s="29">
        <v>0.22</v>
      </c>
      <c r="G6" s="18" t="s">
        <v>24</v>
      </c>
      <c r="H6" s="15" t="s">
        <v>13</v>
      </c>
      <c r="J6" s="1">
        <f>SUM(J3:J5)</f>
        <v>13.579999999999998</v>
      </c>
      <c r="K6" s="1">
        <v>4.87</v>
      </c>
    </row>
    <row r="7" spans="1:15" s="2" customFormat="1" ht="41.25" customHeight="1" x14ac:dyDescent="0.2">
      <c r="A7" s="23" t="s">
        <v>23</v>
      </c>
      <c r="B7" s="28">
        <v>3.5000000000000003E-2</v>
      </c>
      <c r="C7" s="21">
        <v>0.05</v>
      </c>
      <c r="D7" s="20" t="s">
        <v>22</v>
      </c>
      <c r="E7" s="20" t="s">
        <v>21</v>
      </c>
      <c r="F7" s="24">
        <v>0.05</v>
      </c>
      <c r="G7" s="18" t="s">
        <v>21</v>
      </c>
      <c r="H7" s="27" t="s">
        <v>20</v>
      </c>
      <c r="K7" s="2">
        <v>7.52</v>
      </c>
    </row>
    <row r="8" spans="1:15" ht="39" customHeight="1" x14ac:dyDescent="0.25">
      <c r="A8" s="23" t="s">
        <v>19</v>
      </c>
      <c r="B8" s="24">
        <v>1.0361</v>
      </c>
      <c r="C8" s="26">
        <f>SUM(C3:C7)</f>
        <v>1.06</v>
      </c>
      <c r="D8" s="25" t="s">
        <v>13</v>
      </c>
      <c r="E8" s="25" t="s">
        <v>13</v>
      </c>
      <c r="F8" s="24">
        <f>SUM(F3:F7)</f>
        <v>1.06</v>
      </c>
      <c r="G8" s="18"/>
      <c r="H8" s="15" t="s">
        <v>13</v>
      </c>
      <c r="K8" s="1">
        <v>5.21</v>
      </c>
    </row>
    <row r="9" spans="1:15" ht="36.75" customHeight="1" x14ac:dyDescent="0.2">
      <c r="A9" s="23" t="s">
        <v>18</v>
      </c>
      <c r="B9" s="22">
        <v>0.2094</v>
      </c>
      <c r="C9" s="21">
        <v>0.19</v>
      </c>
      <c r="D9" s="20" t="s">
        <v>17</v>
      </c>
      <c r="E9" s="20" t="s">
        <v>16</v>
      </c>
      <c r="F9" s="19">
        <v>0.2</v>
      </c>
      <c r="G9" s="18" t="s">
        <v>15</v>
      </c>
      <c r="H9" s="15" t="s">
        <v>13</v>
      </c>
      <c r="K9" s="1">
        <f>SUM(K2:K8)</f>
        <v>99.99</v>
      </c>
    </row>
    <row r="10" spans="1:15" ht="31.5" x14ac:dyDescent="0.25">
      <c r="A10" s="17" t="s">
        <v>14</v>
      </c>
      <c r="B10" s="15" t="s">
        <v>13</v>
      </c>
      <c r="C10" s="15" t="s">
        <v>13</v>
      </c>
      <c r="D10" s="15" t="s">
        <v>13</v>
      </c>
      <c r="E10" s="15" t="s">
        <v>13</v>
      </c>
      <c r="F10" s="16">
        <v>4.0000000000000001E-3</v>
      </c>
      <c r="G10" s="15" t="s">
        <v>13</v>
      </c>
      <c r="H10" s="15" t="s">
        <v>13</v>
      </c>
      <c r="I10" s="2"/>
    </row>
    <row r="11" spans="1:15" ht="15" x14ac:dyDescent="0.2">
      <c r="A11" s="4" t="s">
        <v>12</v>
      </c>
      <c r="B11" s="4"/>
      <c r="C11" s="4"/>
      <c r="D11" s="4"/>
      <c r="E11" s="4"/>
      <c r="F11" s="4"/>
      <c r="G11" s="4"/>
      <c r="H11" s="4"/>
      <c r="K11" s="1">
        <v>0.95</v>
      </c>
      <c r="O11" s="14"/>
    </row>
    <row r="12" spans="1:15" ht="15" x14ac:dyDescent="0.2">
      <c r="A12" s="13" t="s">
        <v>11</v>
      </c>
      <c r="B12" s="13"/>
      <c r="C12" s="13"/>
      <c r="D12" s="13"/>
      <c r="E12" s="4"/>
      <c r="F12" s="4"/>
      <c r="G12" s="4"/>
      <c r="H12" s="4"/>
    </row>
    <row r="13" spans="1:15" ht="15" x14ac:dyDescent="0.2">
      <c r="A13" s="13" t="s">
        <v>10</v>
      </c>
      <c r="B13" s="13"/>
      <c r="C13" s="13"/>
      <c r="D13" s="13"/>
      <c r="E13" s="4"/>
      <c r="F13" s="4"/>
      <c r="G13" s="4"/>
      <c r="H13" s="4"/>
      <c r="K13" s="1">
        <f>K9-K11</f>
        <v>99.039999999999992</v>
      </c>
      <c r="L13" s="1">
        <v>98.47</v>
      </c>
      <c r="M13" s="1">
        <f>K13-L13</f>
        <v>0.56999999999999318</v>
      </c>
    </row>
    <row r="14" spans="1:15" ht="45" customHeight="1" x14ac:dyDescent="0.2">
      <c r="A14" s="12" t="s">
        <v>9</v>
      </c>
      <c r="B14" s="7"/>
      <c r="C14" s="7"/>
      <c r="D14" s="7"/>
      <c r="E14" s="7"/>
      <c r="F14" s="7"/>
      <c r="G14" s="7"/>
      <c r="H14" s="7"/>
    </row>
    <row r="15" spans="1:15" ht="15.75" x14ac:dyDescent="0.2">
      <c r="A15" s="11" t="s">
        <v>8</v>
      </c>
      <c r="B15" s="4"/>
      <c r="C15" s="4"/>
      <c r="D15" s="4"/>
      <c r="E15" s="4"/>
      <c r="F15" s="4"/>
      <c r="G15" s="4"/>
      <c r="H15" s="4"/>
    </row>
    <row r="16" spans="1:15" ht="15.75" x14ac:dyDescent="0.2">
      <c r="A16" s="10" t="s">
        <v>7</v>
      </c>
      <c r="B16" s="4"/>
      <c r="C16" s="4"/>
      <c r="D16" s="4"/>
      <c r="E16" s="4"/>
      <c r="F16" s="4"/>
      <c r="G16" s="4"/>
      <c r="H16" s="4"/>
    </row>
    <row r="17" spans="1:8" ht="15.75" x14ac:dyDescent="0.2">
      <c r="A17" s="6" t="s">
        <v>6</v>
      </c>
      <c r="B17" s="4"/>
      <c r="C17" s="4"/>
      <c r="D17" s="4"/>
      <c r="E17" s="4"/>
      <c r="F17" s="4"/>
      <c r="G17" s="4"/>
      <c r="H17" s="4"/>
    </row>
    <row r="18" spans="1:8" ht="11.25" customHeight="1" x14ac:dyDescent="0.2">
      <c r="A18" s="9" t="s">
        <v>5</v>
      </c>
      <c r="B18" s="7"/>
      <c r="C18" s="7"/>
      <c r="D18" s="7"/>
      <c r="E18" s="7"/>
      <c r="F18" s="7"/>
      <c r="G18" s="7"/>
      <c r="H18" s="7"/>
    </row>
    <row r="19" spans="1:8" ht="27.75" customHeight="1" x14ac:dyDescent="0.2">
      <c r="A19" s="8" t="s">
        <v>4</v>
      </c>
      <c r="B19" s="7"/>
      <c r="C19" s="7"/>
      <c r="D19" s="7"/>
      <c r="E19" s="7"/>
      <c r="F19" s="7"/>
      <c r="G19" s="7"/>
      <c r="H19" s="7"/>
    </row>
    <row r="20" spans="1:8" ht="24.75" customHeight="1" x14ac:dyDescent="0.2">
      <c r="A20" s="8" t="s">
        <v>3</v>
      </c>
      <c r="B20" s="7"/>
      <c r="C20" s="7"/>
      <c r="D20" s="7"/>
      <c r="E20" s="7"/>
      <c r="F20" s="7"/>
      <c r="G20" s="7"/>
      <c r="H20" s="7"/>
    </row>
    <row r="21" spans="1:8" ht="15.75" x14ac:dyDescent="0.2">
      <c r="A21" s="6" t="s">
        <v>2</v>
      </c>
      <c r="B21" s="4"/>
      <c r="C21" s="4"/>
      <c r="D21" s="4"/>
      <c r="E21" s="4"/>
      <c r="F21" s="4"/>
      <c r="G21" s="4"/>
      <c r="H21" s="4"/>
    </row>
    <row r="22" spans="1:8" ht="15.75" x14ac:dyDescent="0.25">
      <c r="A22" s="5" t="s">
        <v>1</v>
      </c>
      <c r="B22" s="4"/>
      <c r="C22" s="4"/>
      <c r="D22" s="4"/>
      <c r="E22" s="4"/>
      <c r="F22" s="4"/>
      <c r="G22" s="4"/>
      <c r="H22" s="4"/>
    </row>
    <row r="23" spans="1:8" ht="15" x14ac:dyDescent="0.2">
      <c r="A23" s="3" t="s">
        <v>0</v>
      </c>
      <c r="B23" s="3"/>
      <c r="C23" s="3"/>
      <c r="D23" s="3"/>
      <c r="E23" s="3"/>
      <c r="F23" s="3"/>
      <c r="G23" s="3"/>
      <c r="H23" s="3"/>
    </row>
    <row r="24" spans="1:8" hidden="1" x14ac:dyDescent="0.2">
      <c r="A24" s="2"/>
    </row>
  </sheetData>
  <mergeCells count="5">
    <mergeCell ref="A20:H20"/>
    <mergeCell ref="A14:H14"/>
    <mergeCell ref="A18:H18"/>
    <mergeCell ref="A19:H19"/>
    <mergeCell ref="A23:H23"/>
  </mergeCells>
  <pageMargins left="0.74803149606299213" right="0.74803149606299213" top="0.98425196850393704" bottom="0.98425196850393704" header="0.51181102362204722" footer="0.51181102362204722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מורים וגננות </vt:lpstr>
      <vt:lpstr>'מורים וגננות '!WinZmBookmark_zDCB88</vt:lpstr>
      <vt:lpstr>'מורים וגננות 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2024-12-25T09:13:07Z</dcterms:created>
  <dcterms:modified xsi:type="dcterms:W3CDTF">2024-12-25T09:13:57Z</dcterms:modified>
</cp:coreProperties>
</file>