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6"/>
  <workbookPr/>
  <mc:AlternateContent xmlns:mc="http://schemas.openxmlformats.org/markup-compatibility/2006">
    <mc:Choice Requires="x15">
      <x15ac:absPath xmlns:x15ac="http://schemas.microsoft.com/office/spreadsheetml/2010/11/ac" url="U:\bh\MATE BH\מסלולי השקעה - פרסום תשואות ומדיניות השקעה\פרסום מדיניות השקעה\2026\"/>
    </mc:Choice>
  </mc:AlternateContent>
  <xr:revisionPtr revIDLastSave="0" documentId="13_ncr:1_{FA25AEC4-B0B7-4836-959C-FD2A021B09A8}" xr6:coauthVersionLast="36" xr6:coauthVersionMax="47" xr10:uidLastSave="{00000000-0000-0000-0000-000000000000}"/>
  <bookViews>
    <workbookView xWindow="-120" yWindow="-120" windowWidth="29040" windowHeight="15840" tabRatio="933" xr2:uid="{00000000-000D-0000-FFFF-FFFF00000000}"/>
  </bookViews>
  <sheets>
    <sheet name="כללי" sheetId="4" r:id="rId1"/>
    <sheet name="קרן י" sheetId="5" r:id="rId2"/>
    <sheet name="קרן י החדשה" sheetId="6" r:id="rId3"/>
    <sheet name="קרן ט" sheetId="7" r:id="rId4"/>
    <sheet name="משתתפת עד 50" sheetId="8" r:id="rId5"/>
    <sheet name="משתתפת 50 עד 60" sheetId="9" r:id="rId6"/>
    <sheet name="משתתפת מעל גיל 60" sheetId="10" r:id="rId7"/>
    <sheet name="הלכה" sheetId="11" r:id="rId8"/>
    <sheet name="עוקב מדדי מניות" sheetId="16" r:id="rId9"/>
    <sheet name="מקבלי קצבה" sheetId="12" r:id="rId10"/>
    <sheet name="מניות סחיר" sheetId="13" r:id="rId11"/>
    <sheet name="עוקב מדד S&amp;P500" sheetId="14" r:id="rId12"/>
    <sheet name="מניות" sheetId="15" r:id="rId13"/>
    <sheet name="כספי (שקלי)" sheetId="17" r:id="rId14"/>
    <sheet name="אשראי ואג&quot;ח" sheetId="18" r:id="rId15"/>
    <sheet name="אשראי ואג&quot;ח עד 25% מניות" sheetId="19" r:id="rId16"/>
    <sheet name="עוקב מדדים גמיש" sheetId="20" r:id="rId17"/>
    <sheet name="משולב סחיר" sheetId="21" r:id="rId18"/>
    <sheet name="עוקב מדדי אג&quot;ח" sheetId="2" r:id="rId19"/>
    <sheet name="אג&quot;ח ממשלתי סחיר" sheetId="3" r:id="rId2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6" l="1"/>
  <c r="G8" i="3"/>
  <c r="G9" i="3"/>
  <c r="G8" i="2"/>
  <c r="G9" i="2"/>
  <c r="G8" i="21"/>
  <c r="G7" i="21"/>
  <c r="G9" i="20"/>
  <c r="G8" i="18"/>
  <c r="G4" i="18"/>
  <c r="G9" i="17"/>
  <c r="G7" i="17"/>
  <c r="G8" i="17"/>
  <c r="G9" i="16"/>
  <c r="G9" i="15"/>
  <c r="G9" i="14"/>
  <c r="G7" i="13"/>
  <c r="G8" i="13"/>
  <c r="G9" i="12"/>
  <c r="G8" i="12"/>
  <c r="G11" i="11"/>
  <c r="F11" i="11"/>
  <c r="G9" i="11"/>
  <c r="G8" i="11"/>
  <c r="G7" i="11"/>
  <c r="G6" i="11"/>
  <c r="F6" i="11"/>
  <c r="G5" i="11"/>
  <c r="F5" i="11"/>
  <c r="G4" i="11"/>
  <c r="F4" i="11"/>
  <c r="F4" i="10"/>
  <c r="G4" i="10"/>
  <c r="F5" i="10"/>
  <c r="G5" i="10"/>
  <c r="F6" i="10"/>
  <c r="G6" i="10"/>
  <c r="G7" i="10"/>
  <c r="F8" i="10"/>
  <c r="G8" i="10"/>
  <c r="G9" i="10"/>
  <c r="F11" i="10"/>
  <c r="G11" i="10"/>
  <c r="F4" i="4"/>
  <c r="F5" i="4"/>
  <c r="F6" i="4"/>
  <c r="F8" i="4"/>
  <c r="F11" i="4"/>
  <c r="G8" i="15" l="1"/>
  <c r="G7" i="12" l="1"/>
  <c r="G11" i="16" l="1"/>
  <c r="F11" i="16"/>
  <c r="F7" i="6"/>
  <c r="G11" i="3" l="1"/>
  <c r="G5" i="3"/>
  <c r="F5" i="3"/>
  <c r="G7" i="3"/>
  <c r="G6" i="3"/>
  <c r="G4" i="3"/>
  <c r="G11" i="2"/>
  <c r="G7" i="2"/>
  <c r="F6" i="2"/>
  <c r="G5" i="2"/>
  <c r="G4" i="2"/>
  <c r="G11" i="21"/>
  <c r="F11" i="21"/>
  <c r="G9" i="21"/>
  <c r="G6" i="21"/>
  <c r="F6" i="21"/>
  <c r="G5" i="21"/>
  <c r="F5" i="21"/>
  <c r="G4" i="21"/>
  <c r="F4" i="21"/>
  <c r="G11" i="20"/>
  <c r="F4" i="20"/>
  <c r="G11" i="19"/>
  <c r="G9" i="19"/>
  <c r="G7" i="19"/>
  <c r="G6" i="19"/>
  <c r="F6" i="19"/>
  <c r="G5" i="19"/>
  <c r="F5" i="19"/>
  <c r="G9" i="18"/>
  <c r="G7" i="18"/>
  <c r="G11" i="18"/>
  <c r="G6" i="18"/>
  <c r="F6" i="18"/>
  <c r="G5" i="18"/>
  <c r="F5" i="18"/>
  <c r="G6" i="17"/>
  <c r="F6" i="17"/>
  <c r="G5" i="17"/>
  <c r="F5" i="17"/>
  <c r="G4" i="17"/>
  <c r="G11" i="15"/>
  <c r="F11" i="15"/>
  <c r="G7" i="15"/>
  <c r="G11" i="14"/>
  <c r="F11" i="14"/>
  <c r="G11" i="13"/>
  <c r="G9" i="13"/>
  <c r="F4" i="16"/>
  <c r="G6" i="15"/>
  <c r="G5" i="15"/>
  <c r="G4" i="15"/>
  <c r="F4" i="15"/>
  <c r="F4" i="14"/>
  <c r="G6" i="13"/>
  <c r="G5" i="13"/>
  <c r="G4" i="13"/>
  <c r="F4" i="13"/>
  <c r="G11" i="12"/>
  <c r="F11" i="12"/>
  <c r="G6" i="12"/>
  <c r="F6" i="12"/>
  <c r="G5" i="12"/>
  <c r="F5" i="12"/>
  <c r="G4" i="12"/>
  <c r="F4" i="12"/>
  <c r="G11" i="9" l="1"/>
  <c r="F11" i="9"/>
  <c r="G9" i="9"/>
  <c r="G8" i="9"/>
  <c r="F8" i="9"/>
  <c r="G7" i="9"/>
  <c r="G6" i="9"/>
  <c r="F6" i="9"/>
  <c r="G5" i="9"/>
  <c r="F5" i="9"/>
  <c r="G4" i="9"/>
  <c r="F4" i="9"/>
  <c r="G11" i="8"/>
  <c r="F11" i="8"/>
  <c r="G9" i="8"/>
  <c r="G8" i="8"/>
  <c r="F8" i="8"/>
  <c r="G7" i="8"/>
  <c r="G6" i="8"/>
  <c r="F6" i="8"/>
  <c r="G5" i="8"/>
  <c r="G4" i="8"/>
  <c r="F4" i="8"/>
  <c r="G11" i="7"/>
  <c r="F11" i="7"/>
  <c r="G9" i="7"/>
  <c r="G8" i="7"/>
  <c r="F8" i="7"/>
  <c r="G7" i="7"/>
  <c r="G6" i="7"/>
  <c r="F6" i="7"/>
  <c r="G5" i="7"/>
  <c r="F5" i="7"/>
  <c r="G4" i="7"/>
  <c r="F4" i="7"/>
  <c r="G11" i="6"/>
  <c r="F11" i="6"/>
  <c r="G9" i="6"/>
  <c r="G8" i="6"/>
  <c r="F8" i="6"/>
  <c r="G6" i="6"/>
  <c r="F6" i="6"/>
  <c r="G5" i="6"/>
  <c r="G4" i="6"/>
  <c r="F4" i="6"/>
  <c r="G11" i="5"/>
  <c r="F11" i="5"/>
  <c r="G9" i="5"/>
  <c r="G8" i="5"/>
  <c r="F8" i="5"/>
  <c r="G7" i="5"/>
  <c r="G6" i="5"/>
  <c r="F6" i="5"/>
  <c r="G5" i="5"/>
  <c r="F5" i="5"/>
  <c r="G4" i="5"/>
  <c r="F4" i="5"/>
  <c r="G11" i="4"/>
  <c r="G9" i="4"/>
  <c r="G8" i="4" l="1"/>
  <c r="G7" i="4"/>
  <c r="G6" i="4"/>
  <c r="G5" i="4"/>
  <c r="G4" i="4"/>
</calcChain>
</file>

<file path=xl/sharedStrings.xml><?xml version="1.0" encoding="utf-8"?>
<sst xmlns="http://schemas.openxmlformats.org/spreadsheetml/2006/main" count="607" uniqueCount="72">
  <si>
    <t>אפיק השקעה</t>
  </si>
  <si>
    <t>טווח סטייה</t>
  </si>
  <si>
    <t>גבולות שיעור החשיפה  הצפויה</t>
  </si>
  <si>
    <t>מדדי יחוס</t>
  </si>
  <si>
    <t>שווי נוכחי (אלפי ₪)</t>
  </si>
  <si>
    <t>מינימום</t>
  </si>
  <si>
    <t>מקסימום</t>
  </si>
  <si>
    <t xml:space="preserve">חשיפה למניות סחיר ולא סחיר בארץ ובחו"ל </t>
  </si>
  <si>
    <t xml:space="preserve"> +/-6%</t>
  </si>
  <si>
    <t>חשיפה לאגח ממשלתי (כולל אגח ממשלות זרות)</t>
  </si>
  <si>
    <t xml:space="preserve"> +/-5%</t>
  </si>
  <si>
    <t xml:space="preserve">חשיפה לאגח קונצרני בארץ ובחו"ל (סחיר +ל"ס)+הלוואות ופקדונות </t>
  </si>
  <si>
    <t>עו"ש, פר"י, פק"מ</t>
  </si>
  <si>
    <t>סה"כ</t>
  </si>
  <si>
    <t>חשיפה למטח</t>
  </si>
  <si>
    <t xml:space="preserve">איילון חברה לביטוח בע"מ, כמשקיע מוסדי, פועלת בהתאם למדיניות ESG בהשקעות המפורסמת באתר החברה. </t>
  </si>
  <si>
    <t>אג"ח ממשלתי כללי</t>
  </si>
  <si>
    <t>אג"ח ממשלתי סחיר</t>
  </si>
  <si>
    <t>תל בונד 60 50% 
תל בונד שקלי 50 50%</t>
  </si>
  <si>
    <t>איילון מסלול כללי</t>
  </si>
  <si>
    <t>נדל"ן+קרנות נדל"ן</t>
  </si>
  <si>
    <t>קרנות גידור וקרנות השקעה</t>
  </si>
  <si>
    <t xml:space="preserve"> ממשלתי צמוד מחמ 2-5 שנים - 25%, ממשלתי צמוד מדד 5-10 שנים - 25%, ממשלתי שקלי  מחמ 2-5 שנים - 25%, ממשלתי שקלי מחמ 5-10 - 25%</t>
  </si>
  <si>
    <t>תל בונד 60 53%, תל בונד שקלי 50 28% ,   barclays global aggregate corporate bond index $ unhedged 14%,        barclays global high yield bond index $ unhedged  5%</t>
  </si>
  <si>
    <t>איילון מסלול קרן י'</t>
  </si>
  <si>
    <t>איילון מסלול קרן י' החדשה</t>
  </si>
  <si>
    <t>איילון מסלול קרן ט'</t>
  </si>
  <si>
    <t>איילון מסלול לבני 50 ומטה</t>
  </si>
  <si>
    <t>איילון מסלול לבני 50 - 60</t>
  </si>
  <si>
    <t>איילון מסלול לבני 60 ומעלה</t>
  </si>
  <si>
    <t>איילון מסלול הלכה</t>
  </si>
  <si>
    <t>איילון מסלול בסיסי למקבלי קצבה</t>
  </si>
  <si>
    <r>
      <t xml:space="preserve">איילון מסלול מניות סחיר </t>
    </r>
    <r>
      <rPr>
        <b/>
        <u/>
        <sz val="14"/>
        <color rgb="FF470129"/>
        <rFont val="Arial"/>
        <family val="2"/>
        <scheme val="minor"/>
      </rPr>
      <t>(לשעבר: חו"ל מדדי נאסד"ק;S&amp;P500)</t>
    </r>
  </si>
  <si>
    <t xml:space="preserve">50% nasdaq + 50% s&amp;p500  </t>
  </si>
  <si>
    <r>
      <t>איילון מסלול ע</t>
    </r>
    <r>
      <rPr>
        <b/>
        <u/>
        <sz val="18"/>
        <color rgb="FF470129"/>
        <rFont val="Arial"/>
        <family val="2"/>
        <scheme val="minor"/>
      </rPr>
      <t>וקב מדד S&amp;P500</t>
    </r>
  </si>
  <si>
    <t xml:space="preserve">s&amp;p500  </t>
  </si>
  <si>
    <t>איילון מסלול מניות</t>
  </si>
  <si>
    <t>איילון מסלול עוקב מדדי מניות</t>
  </si>
  <si>
    <t>איילון מסלול כספי (שקלי)</t>
  </si>
  <si>
    <t>מדד מק"מ</t>
  </si>
  <si>
    <t>תל בונד שקלי 1-3</t>
  </si>
  <si>
    <t>איילון מסלול אשראי ואג"ח</t>
  </si>
  <si>
    <t>איילון מסלול עוקב מדדים גמיש</t>
  </si>
  <si>
    <t>איילון מסלול משולב סחיר</t>
  </si>
  <si>
    <t>MSCI AC</t>
  </si>
  <si>
    <t>Global aggregate - Sovereign</t>
  </si>
  <si>
    <t xml:space="preserve"> barclays global aggregate corporate bond index $ unhedged 75%, barclays global high yield bond index $ unhedged  25%</t>
  </si>
  <si>
    <t>עוקב מדדי אג"ח</t>
  </si>
  <si>
    <t>TA-125 - 100%</t>
  </si>
  <si>
    <t>(*) בנטרול החשיפה הנובעת מהשקעה בנגזרים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</si>
  <si>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</si>
  <si>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(*) גבול מקסימלי של שיעור החשיפה הצפויה בהתאם למדיניות ההשקעה התקנונית</t>
  </si>
  <si>
    <t>50% MSCI AC 50%TA-125</t>
  </si>
  <si>
    <t>שיעור חשיפה צפוי לשנת 2026</t>
  </si>
  <si>
    <t>שיעור החשיפה ליום 31/12/2025</t>
  </si>
  <si>
    <t>מגבלת עמלת ניהול חיצוני לשנת 2026 -  0.23%</t>
  </si>
  <si>
    <t>מגבלת עמלת ניהול חיצוני לשנת 2026 -  0.30%</t>
  </si>
  <si>
    <t>מגבלת עמלת ניהול חיצוני לשנת 2026 -  0.25%</t>
  </si>
  <si>
    <t>מגבלת עמלת ניהול חיצוני לשנת 2026 -  0.20%</t>
  </si>
  <si>
    <r>
      <t>איילון מסלול אשראי ואג"ח עם מניות (עד 25% מניות)</t>
    </r>
    <r>
      <rPr>
        <b/>
        <u/>
        <sz val="12"/>
        <color rgb="FF470129"/>
        <rFont val="Arial"/>
        <family val="2"/>
        <scheme val="minor"/>
      </rPr>
      <t xml:space="preserve"> </t>
    </r>
  </si>
  <si>
    <t>חשיפה לאגח ממשלתי (כולל אגח ממשלות זרות) *</t>
  </si>
  <si>
    <t>עו"ש, פר"י, פק"מ *</t>
  </si>
  <si>
    <t>מגבלת עמלת ניהול חיצוני לשנת 2026 -  0.04%</t>
  </si>
  <si>
    <t>מגבלת עמלת ניהול חיצוני לשנת 2026 -  0.12%</t>
  </si>
  <si>
    <t>מגבלת עמלת ניהול חיצוני לשנת 2026 -  0.10%</t>
  </si>
  <si>
    <t>מגבלת עמלת ניהול חיצוני לשנת 2026 -  0.18%</t>
  </si>
  <si>
    <t>מגבלת עמלת ניהול חיצוני לשנת 2026 -  0.03%</t>
  </si>
  <si>
    <t>מגבלת עמלת ניהול חיצוני לשנת 2026 -  0.13%</t>
  </si>
  <si>
    <t>מגבלת עמלת ניהול חיצוני לשנת 2026 -  0.0%</t>
  </si>
  <si>
    <t>מגבלת עמלת ניהול חיצוני לשנת 2026 -  0.05%</t>
  </si>
  <si>
    <t>מגבלת עמלת ניהול חיצוני לשנת 2026 -  0.00%</t>
  </si>
  <si>
    <t>חשיפה למניות סחיר ולא סחיר בארץ ובחו"ל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</si>
</sst>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₪&quot;\ * #,##0.00_ ;_ &quot;₪&quot;\ * \-#,##0.00_ ;_ &quot;₪&quot;\ * &quot;-&quot;??_ ;_ @_ "/>
    <numFmt numFmtId="164" formatCode="0.0%"/>
    <numFmt numFmtId="165" formatCode="_ &quot;₪&quot;\ * #,##0.0_ ;_ &quot;₪&quot;\ * \-#,##0.0_ ;_ &quot;₪&quot;\ * &quot;-&quot;??_ ;_ @_ "/>
  </numFmts>
  <fonts count="20" x14ac:knownFonts="1">
    <font>
      <sz val="11"/>
      <color theme="1"/>
      <name val="Arial"/>
      <family val="2"/>
      <charset val="177"/>
      <scheme val="minor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b/>
      <sz val="11"/>
      <name val="Arial"/>
      <family val="2"/>
    </font>
    <font>
      <b/>
      <u/>
      <sz val="11"/>
      <color indexed="8"/>
      <name val="Arial"/>
      <family val="2"/>
    </font>
    <font>
      <b/>
      <sz val="11"/>
      <color indexed="8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  <charset val="177"/>
      <scheme val="minor"/>
    </font>
    <font>
      <b/>
      <u/>
      <sz val="18"/>
      <color rgb="FF470129"/>
      <name val="Arial"/>
      <family val="2"/>
      <charset val="177"/>
      <scheme val="minor"/>
    </font>
    <font>
      <b/>
      <u/>
      <sz val="12"/>
      <color rgb="FF470129"/>
      <name val="Arial"/>
      <family val="2"/>
      <charset val="177"/>
      <scheme val="minor"/>
    </font>
    <font>
      <sz val="11"/>
      <name val="Arial"/>
      <family val="2"/>
    </font>
    <font>
      <sz val="11"/>
      <name val="Arial"/>
      <family val="2"/>
      <scheme val="minor"/>
    </font>
    <font>
      <b/>
      <u/>
      <sz val="11"/>
      <color rgb="FF000000"/>
      <name val="Arial"/>
      <family val="2"/>
    </font>
    <font>
      <b/>
      <u/>
      <sz val="14"/>
      <color rgb="FF470129"/>
      <name val="Arial"/>
      <family val="2"/>
      <scheme val="minor"/>
    </font>
    <font>
      <b/>
      <u/>
      <sz val="18"/>
      <color rgb="FF470129"/>
      <name val="Arial"/>
      <family val="2"/>
      <scheme val="minor"/>
    </font>
    <font>
      <b/>
      <u/>
      <sz val="12"/>
      <color rgb="FF470129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rgb="FF000000"/>
      <name val="Arial"/>
      <family val="2"/>
    </font>
    <font>
      <b/>
      <sz val="10"/>
      <color rgb="FF470129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70129"/>
        <bgColor rgb="FF470129"/>
      </patternFill>
    </fill>
    <fill>
      <patternFill patternType="solid">
        <fgColor theme="5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0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6" fillId="0" borderId="0"/>
    <xf numFmtId="44" fontId="16" fillId="0" borderId="0" applyFont="0" applyFill="0" applyBorder="0" applyAlignment="0" applyProtection="0"/>
  </cellStyleXfs>
  <cellXfs count="57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wrapText="1"/>
    </xf>
    <xf numFmtId="0" fontId="2" fillId="2" borderId="0" xfId="0" applyFont="1" applyFill="1"/>
    <xf numFmtId="0" fontId="6" fillId="2" borderId="0" xfId="0" applyFont="1" applyFill="1"/>
    <xf numFmtId="164" fontId="5" fillId="2" borderId="1" xfId="2" applyNumberFormat="1" applyFont="1" applyFill="1" applyBorder="1" applyAlignment="1">
      <alignment horizontal="center" vertical="center"/>
    </xf>
    <xf numFmtId="164" fontId="3" fillId="2" borderId="1" xfId="2" applyNumberFormat="1" applyFont="1" applyFill="1" applyBorder="1" applyAlignment="1">
      <alignment horizontal="center" vertical="center"/>
    </xf>
    <xf numFmtId="164" fontId="3" fillId="2" borderId="2" xfId="2" applyNumberFormat="1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11" fillId="2" borderId="0" xfId="0" applyFont="1" applyFill="1"/>
    <xf numFmtId="0" fontId="4" fillId="2" borderId="6" xfId="2" applyFont="1" applyFill="1" applyBorder="1" applyAlignment="1">
      <alignment horizontal="right"/>
    </xf>
    <xf numFmtId="0" fontId="4" fillId="2" borderId="7" xfId="2" applyFont="1" applyFill="1" applyBorder="1" applyAlignment="1">
      <alignment horizontal="right"/>
    </xf>
    <xf numFmtId="164" fontId="3" fillId="2" borderId="9" xfId="2" applyNumberFormat="1" applyFont="1" applyFill="1" applyBorder="1" applyAlignment="1">
      <alignment horizontal="center" vertical="center"/>
    </xf>
    <xf numFmtId="0" fontId="17" fillId="0" borderId="12" xfId="4" applyFont="1" applyBorder="1" applyAlignment="1">
      <alignment horizontal="right" readingOrder="2"/>
    </xf>
    <xf numFmtId="0" fontId="18" fillId="0" borderId="0" xfId="0" applyFont="1" applyAlignment="1">
      <alignment horizontal="right" vertical="top" readingOrder="2"/>
    </xf>
    <xf numFmtId="164" fontId="5" fillId="4" borderId="8" xfId="2" applyNumberFormat="1" applyFont="1" applyFill="1" applyBorder="1" applyAlignment="1">
      <alignment horizontal="center" vertical="center"/>
    </xf>
    <xf numFmtId="164" fontId="3" fillId="4" borderId="8" xfId="2" applyNumberFormat="1" applyFont="1" applyFill="1" applyBorder="1" applyAlignment="1">
      <alignment horizontal="center" vertical="center"/>
    </xf>
    <xf numFmtId="164" fontId="3" fillId="4" borderId="10" xfId="2" applyNumberFormat="1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12" fillId="0" borderId="18" xfId="2" applyFont="1" applyBorder="1" applyAlignment="1">
      <alignment horizontal="right"/>
    </xf>
    <xf numFmtId="164" fontId="3" fillId="2" borderId="3" xfId="2" applyNumberFormat="1" applyFont="1" applyFill="1" applyBorder="1" applyAlignment="1">
      <alignment horizontal="center" vertical="center"/>
    </xf>
    <xf numFmtId="0" fontId="4" fillId="2" borderId="19" xfId="3" applyFont="1" applyFill="1" applyBorder="1" applyAlignment="1">
      <alignment horizontal="center" vertical="center" wrapText="1"/>
    </xf>
    <xf numFmtId="0" fontId="4" fillId="0" borderId="20" xfId="3" applyFont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164" fontId="5" fillId="2" borderId="9" xfId="2" applyNumberFormat="1" applyFont="1" applyFill="1" applyBorder="1" applyAlignment="1">
      <alignment horizontal="center" vertical="center"/>
    </xf>
    <xf numFmtId="0" fontId="19" fillId="2" borderId="0" xfId="0" applyFont="1" applyFill="1"/>
    <xf numFmtId="0" fontId="4" fillId="2" borderId="23" xfId="2" applyFont="1" applyFill="1" applyBorder="1" applyAlignment="1">
      <alignment horizontal="right"/>
    </xf>
    <xf numFmtId="164" fontId="5" fillId="2" borderId="24" xfId="2" applyNumberFormat="1" applyFont="1" applyFill="1" applyBorder="1" applyAlignment="1">
      <alignment horizontal="center" vertical="center"/>
    </xf>
    <xf numFmtId="0" fontId="4" fillId="2" borderId="26" xfId="3" applyFont="1" applyFill="1" applyBorder="1" applyAlignment="1">
      <alignment horizontal="center" vertical="center" wrapText="1"/>
    </xf>
    <xf numFmtId="0" fontId="0" fillId="2" borderId="30" xfId="0" applyFill="1" applyBorder="1" applyAlignment="1">
      <alignment horizontal="center" vertical="center"/>
    </xf>
    <xf numFmtId="0" fontId="1" fillId="2" borderId="31" xfId="1" applyFill="1" applyBorder="1" applyAlignment="1">
      <alignment horizontal="center" vertical="center"/>
    </xf>
    <xf numFmtId="164" fontId="5" fillId="2" borderId="32" xfId="2" applyNumberFormat="1" applyFont="1" applyFill="1" applyBorder="1" applyAlignment="1">
      <alignment horizontal="center" vertical="center"/>
    </xf>
    <xf numFmtId="164" fontId="5" fillId="2" borderId="3" xfId="2" applyNumberFormat="1" applyFont="1" applyFill="1" applyBorder="1" applyAlignment="1">
      <alignment horizontal="center" vertical="center"/>
    </xf>
    <xf numFmtId="164" fontId="3" fillId="2" borderId="4" xfId="2" applyNumberFormat="1" applyFont="1" applyFill="1" applyBorder="1" applyAlignment="1">
      <alignment horizontal="center" vertical="center"/>
    </xf>
    <xf numFmtId="164" fontId="5" fillId="4" borderId="34" xfId="2" applyNumberFormat="1" applyFont="1" applyFill="1" applyBorder="1" applyAlignment="1">
      <alignment horizontal="center" vertical="center"/>
    </xf>
    <xf numFmtId="164" fontId="5" fillId="4" borderId="25" xfId="2" applyNumberFormat="1" applyFont="1" applyFill="1" applyBorder="1" applyAlignment="1">
      <alignment horizontal="center" vertical="center"/>
    </xf>
    <xf numFmtId="164" fontId="5" fillId="4" borderId="9" xfId="2" applyNumberFormat="1" applyFont="1" applyFill="1" applyBorder="1" applyAlignment="1">
      <alignment horizontal="center" vertical="center"/>
    </xf>
    <xf numFmtId="164" fontId="3" fillId="4" borderId="9" xfId="2" applyNumberFormat="1" applyFont="1" applyFill="1" applyBorder="1" applyAlignment="1">
      <alignment horizontal="center" vertical="center"/>
    </xf>
    <xf numFmtId="164" fontId="3" fillId="4" borderId="11" xfId="2" applyNumberFormat="1" applyFont="1" applyFill="1" applyBorder="1" applyAlignment="1">
      <alignment horizontal="center" vertical="center"/>
    </xf>
    <xf numFmtId="0" fontId="5" fillId="2" borderId="27" xfId="1" applyFont="1" applyFill="1" applyBorder="1"/>
    <xf numFmtId="0" fontId="5" fillId="2" borderId="28" xfId="1" applyFont="1" applyFill="1" applyBorder="1" applyAlignment="1">
      <alignment horizontal="center" vertical="center"/>
    </xf>
    <xf numFmtId="0" fontId="5" fillId="2" borderId="29" xfId="1" applyFont="1" applyFill="1" applyBorder="1" applyAlignment="1">
      <alignment horizontal="center" vertical="center"/>
    </xf>
    <xf numFmtId="164" fontId="5" fillId="2" borderId="25" xfId="2" applyNumberFormat="1" applyFont="1" applyFill="1" applyBorder="1" applyAlignment="1">
      <alignment horizontal="center" vertical="center"/>
    </xf>
    <xf numFmtId="164" fontId="3" fillId="2" borderId="11" xfId="2" applyNumberFormat="1" applyFont="1" applyFill="1" applyBorder="1" applyAlignment="1">
      <alignment horizontal="center" vertical="center"/>
    </xf>
    <xf numFmtId="10" fontId="5" fillId="4" borderId="9" xfId="2" applyNumberFormat="1" applyFont="1" applyFill="1" applyBorder="1" applyAlignment="1">
      <alignment horizontal="center" vertical="center"/>
    </xf>
    <xf numFmtId="0" fontId="9" fillId="0" borderId="0" xfId="0" applyFont="1" applyBorder="1" applyAlignment="1">
      <alignment horizontal="right" vertical="top"/>
    </xf>
    <xf numFmtId="0" fontId="8" fillId="0" borderId="5" xfId="0" applyFont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center" vertical="center" wrapText="1"/>
    </xf>
    <xf numFmtId="0" fontId="9" fillId="0" borderId="22" xfId="0" applyFont="1" applyBorder="1" applyAlignment="1">
      <alignment horizontal="right" vertical="top"/>
    </xf>
    <xf numFmtId="0" fontId="9" fillId="0" borderId="0" xfId="0" applyFont="1" applyAlignment="1">
      <alignment horizontal="right" vertical="top"/>
    </xf>
    <xf numFmtId="165" fontId="5" fillId="4" borderId="33" xfId="5" applyNumberFormat="1" applyFont="1" applyFill="1" applyBorder="1" applyAlignment="1">
      <alignment horizontal="center" vertical="center"/>
    </xf>
    <xf numFmtId="165" fontId="5" fillId="4" borderId="29" xfId="5" applyNumberFormat="1" applyFont="1" applyFill="1" applyBorder="1" applyAlignment="1">
      <alignment horizontal="center" vertical="center"/>
    </xf>
    <xf numFmtId="0" fontId="10" fillId="2" borderId="0" xfId="0" applyFont="1" applyFill="1" applyAlignment="1">
      <alignment horizontal="right"/>
    </xf>
  </cellXfs>
  <cellStyles count="6">
    <cellStyle name="Currency" xfId="5" builtinId="4"/>
    <cellStyle name="Normal" xfId="0" builtinId="0"/>
    <cellStyle name="Normal 6 2" xfId="4" xr:uid="{00000000-0005-0000-0000-000002000000}"/>
    <cellStyle name="Normal_גיליון2" xfId="3" xr:uid="{00000000-0005-0000-0000-000003000000}"/>
    <cellStyle name="Normal_גיליון3" xfId="1" xr:uid="{00000000-0005-0000-0000-000004000000}"/>
    <cellStyle name="Normal_מגדגל גמל" xfId="2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rightToLeft="1" tabSelected="1" zoomScale="115" zoomScaleNormal="115" workbookViewId="0">
      <selection activeCell="J2" sqref="J2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4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8" s="8" customFormat="1" ht="27.75" customHeight="1" thickBot="1" x14ac:dyDescent="0.25">
      <c r="B1" s="49" t="s">
        <v>19</v>
      </c>
      <c r="C1" s="49"/>
      <c r="D1" s="49"/>
      <c r="E1" s="49"/>
      <c r="F1" s="49"/>
      <c r="G1" s="49"/>
      <c r="H1" s="49"/>
    </row>
    <row r="2" spans="1:8" s="2" customFormat="1" ht="31.5" customHeight="1" thickBot="1" x14ac:dyDescent="0.25">
      <c r="B2" s="20" t="s">
        <v>0</v>
      </c>
      <c r="C2" s="18" t="s">
        <v>54</v>
      </c>
      <c r="D2" s="19" t="s">
        <v>53</v>
      </c>
      <c r="E2" s="19" t="s">
        <v>1</v>
      </c>
      <c r="F2" s="50" t="s">
        <v>2</v>
      </c>
      <c r="G2" s="51"/>
      <c r="H2" s="20" t="s">
        <v>3</v>
      </c>
    </row>
    <row r="3" spans="1:8" ht="15.75" thickBot="1" x14ac:dyDescent="0.3">
      <c r="B3" s="42" t="s">
        <v>4</v>
      </c>
      <c r="C3" s="54">
        <v>2381226.7554561677</v>
      </c>
      <c r="D3" s="55"/>
      <c r="E3" s="33"/>
      <c r="F3" s="43" t="s">
        <v>5</v>
      </c>
      <c r="G3" s="44" t="s">
        <v>6</v>
      </c>
      <c r="H3" s="32"/>
    </row>
    <row r="4" spans="1:8" s="3" customFormat="1" ht="15" x14ac:dyDescent="0.25">
      <c r="B4" s="29" t="s">
        <v>7</v>
      </c>
      <c r="C4" s="37">
        <v>0.50280000000000002</v>
      </c>
      <c r="D4" s="38">
        <v>0.5</v>
      </c>
      <c r="E4" s="34" t="s">
        <v>8</v>
      </c>
      <c r="F4" s="30">
        <f>+D4-6%</f>
        <v>0.44</v>
      </c>
      <c r="G4" s="45">
        <f>+D4+6%</f>
        <v>0.56000000000000005</v>
      </c>
      <c r="H4" s="31" t="s">
        <v>52</v>
      </c>
    </row>
    <row r="5" spans="1:8" s="3" customFormat="1" ht="60" x14ac:dyDescent="0.25">
      <c r="B5" s="10" t="s">
        <v>9</v>
      </c>
      <c r="C5" s="15">
        <v>7.9399999999999998E-2</v>
      </c>
      <c r="D5" s="39">
        <v>0.09</v>
      </c>
      <c r="E5" s="35" t="s">
        <v>10</v>
      </c>
      <c r="F5" s="5">
        <f>+D5-5%</f>
        <v>3.9999999999999994E-2</v>
      </c>
      <c r="G5" s="27">
        <f>+D5+5%</f>
        <v>0.14000000000000001</v>
      </c>
      <c r="H5" s="24" t="s">
        <v>22</v>
      </c>
    </row>
    <row r="6" spans="1:8" s="3" customFormat="1" ht="75" x14ac:dyDescent="0.25">
      <c r="B6" s="10" t="s">
        <v>11</v>
      </c>
      <c r="C6" s="15">
        <v>0.30359999999999998</v>
      </c>
      <c r="D6" s="39">
        <v>0.32</v>
      </c>
      <c r="E6" s="35" t="s">
        <v>8</v>
      </c>
      <c r="F6" s="5">
        <f>+D6-6%</f>
        <v>0.26</v>
      </c>
      <c r="G6" s="27">
        <f>+D6+6%</f>
        <v>0.38</v>
      </c>
      <c r="H6" s="23" t="s">
        <v>23</v>
      </c>
    </row>
    <row r="7" spans="1:8" s="3" customFormat="1" ht="15" x14ac:dyDescent="0.25">
      <c r="B7" s="21" t="s">
        <v>20</v>
      </c>
      <c r="C7" s="15">
        <v>2.23E-2</v>
      </c>
      <c r="D7" s="39">
        <v>0.02</v>
      </c>
      <c r="E7" s="35" t="s">
        <v>10</v>
      </c>
      <c r="F7" s="5">
        <v>0</v>
      </c>
      <c r="G7" s="27">
        <f>+D7+5%</f>
        <v>7.0000000000000007E-2</v>
      </c>
      <c r="H7" s="23"/>
    </row>
    <row r="8" spans="1:8" s="3" customFormat="1" ht="15" x14ac:dyDescent="0.25">
      <c r="B8" s="21" t="s">
        <v>21</v>
      </c>
      <c r="C8" s="15">
        <v>7.2999999999999995E-2</v>
      </c>
      <c r="D8" s="39">
        <v>7.3099999999999998E-2</v>
      </c>
      <c r="E8" s="35" t="s">
        <v>10</v>
      </c>
      <c r="F8" s="5">
        <f>+D8-5%</f>
        <v>2.3099999999999996E-2</v>
      </c>
      <c r="G8" s="27">
        <f>+D8+5%</f>
        <v>0.1231</v>
      </c>
      <c r="H8" s="23"/>
    </row>
    <row r="9" spans="1:8" s="3" customFormat="1" ht="15" x14ac:dyDescent="0.25">
      <c r="B9" s="10" t="s">
        <v>12</v>
      </c>
      <c r="C9" s="16">
        <v>6.5000000000000002E-2</v>
      </c>
      <c r="D9" s="40">
        <v>0.05</v>
      </c>
      <c r="E9" s="22" t="s">
        <v>10</v>
      </c>
      <c r="F9" s="6">
        <v>0</v>
      </c>
      <c r="G9" s="12">
        <f>+D9+5%</f>
        <v>0.1</v>
      </c>
      <c r="H9" s="25"/>
    </row>
    <row r="10" spans="1:8" ht="15" x14ac:dyDescent="0.25">
      <c r="A10" s="3"/>
      <c r="B10" s="10" t="s">
        <v>13</v>
      </c>
      <c r="C10" s="16">
        <v>1.046</v>
      </c>
      <c r="D10" s="40">
        <v>1.05</v>
      </c>
      <c r="E10" s="22"/>
      <c r="F10" s="6"/>
      <c r="G10" s="12"/>
      <c r="H10" s="25"/>
    </row>
    <row r="11" spans="1:8" ht="15.75" thickBot="1" x14ac:dyDescent="0.3">
      <c r="A11" s="3"/>
      <c r="B11" s="11" t="s">
        <v>14</v>
      </c>
      <c r="C11" s="17">
        <v>0.17799999999999999</v>
      </c>
      <c r="D11" s="41">
        <v>0.15</v>
      </c>
      <c r="E11" s="36" t="s">
        <v>8</v>
      </c>
      <c r="F11" s="7">
        <f>+D11-6%</f>
        <v>0.09</v>
      </c>
      <c r="G11" s="46">
        <f>+D11+6%</f>
        <v>0.21</v>
      </c>
      <c r="H11" s="26"/>
    </row>
    <row r="12" spans="1:8" ht="15.75" x14ac:dyDescent="0.2">
      <c r="A12" s="4"/>
      <c r="B12" s="52" t="s">
        <v>55</v>
      </c>
      <c r="C12" s="53"/>
      <c r="D12" s="53"/>
      <c r="E12" s="52"/>
      <c r="F12" s="52"/>
      <c r="G12" s="52"/>
      <c r="H12" s="52"/>
    </row>
    <row r="13" spans="1:8" ht="15" x14ac:dyDescent="0.25">
      <c r="A13" s="4"/>
      <c r="B13" s="28" t="s">
        <v>50</v>
      </c>
      <c r="C13" s="28"/>
      <c r="D13" s="28"/>
      <c r="E13" s="28"/>
      <c r="F13" s="28"/>
      <c r="G13" s="28"/>
      <c r="H13" s="28"/>
    </row>
    <row r="14" spans="1:8" s="9" customFormat="1" ht="15" x14ac:dyDescent="0.25">
      <c r="A14" s="4"/>
      <c r="B14" s="28" t="s">
        <v>15</v>
      </c>
      <c r="C14" s="28"/>
      <c r="D14" s="28"/>
      <c r="E14" s="28"/>
      <c r="F14" s="28"/>
      <c r="G14" s="28"/>
      <c r="H14" s="28"/>
    </row>
  </sheetData>
  <mergeCells count="4">
    <mergeCell ref="B1:H1"/>
    <mergeCell ref="F2:G2"/>
    <mergeCell ref="B12:H12"/>
    <mergeCell ref="C3:D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rightToLeft="1" zoomScaleNormal="100" workbookViewId="0">
      <selection activeCell="K4" sqref="K4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4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8" s="8" customFormat="1" ht="27.75" customHeight="1" thickBot="1" x14ac:dyDescent="0.25">
      <c r="B1" s="49" t="s">
        <v>24</v>
      </c>
      <c r="C1" s="49"/>
      <c r="D1" s="49"/>
      <c r="E1" s="49"/>
      <c r="F1" s="49"/>
      <c r="G1" s="49"/>
      <c r="H1" s="49"/>
    </row>
    <row r="2" spans="1:8" s="2" customFormat="1" ht="31.5" customHeight="1" thickBot="1" x14ac:dyDescent="0.25">
      <c r="B2" s="20" t="s">
        <v>0</v>
      </c>
      <c r="C2" s="18" t="s">
        <v>54</v>
      </c>
      <c r="D2" s="19" t="s">
        <v>53</v>
      </c>
      <c r="E2" s="19" t="s">
        <v>1</v>
      </c>
      <c r="F2" s="50" t="s">
        <v>2</v>
      </c>
      <c r="G2" s="51"/>
      <c r="H2" s="20" t="s">
        <v>3</v>
      </c>
    </row>
    <row r="3" spans="1:8" ht="15.75" thickBot="1" x14ac:dyDescent="0.3">
      <c r="B3" s="42" t="s">
        <v>4</v>
      </c>
      <c r="C3" s="54">
        <v>2155382.0132342963</v>
      </c>
      <c r="D3" s="55"/>
      <c r="E3" s="33"/>
      <c r="F3" s="43" t="s">
        <v>5</v>
      </c>
      <c r="G3" s="44" t="s">
        <v>6</v>
      </c>
      <c r="H3" s="32"/>
    </row>
    <row r="4" spans="1:8" s="3" customFormat="1" ht="15" x14ac:dyDescent="0.25">
      <c r="B4" s="29" t="s">
        <v>7</v>
      </c>
      <c r="C4" s="37">
        <v>0.50600000000000001</v>
      </c>
      <c r="D4" s="38">
        <v>0.5</v>
      </c>
      <c r="E4" s="34" t="s">
        <v>8</v>
      </c>
      <c r="F4" s="30">
        <f>+D4-6%</f>
        <v>0.44</v>
      </c>
      <c r="G4" s="45">
        <f>+D4+6%</f>
        <v>0.56000000000000005</v>
      </c>
      <c r="H4" s="31" t="s">
        <v>52</v>
      </c>
    </row>
    <row r="5" spans="1:8" s="3" customFormat="1" ht="60" x14ac:dyDescent="0.25">
      <c r="B5" s="10" t="s">
        <v>9</v>
      </c>
      <c r="C5" s="15">
        <v>4.9000000000000002E-2</v>
      </c>
      <c r="D5" s="39">
        <v>0.05</v>
      </c>
      <c r="E5" s="35" t="s">
        <v>10</v>
      </c>
      <c r="F5" s="5">
        <f>+D5-5%</f>
        <v>0</v>
      </c>
      <c r="G5" s="27">
        <f>+D5+5%</f>
        <v>0.1</v>
      </c>
      <c r="H5" s="24" t="s">
        <v>22</v>
      </c>
    </row>
    <row r="6" spans="1:8" s="3" customFormat="1" ht="75" x14ac:dyDescent="0.25">
      <c r="B6" s="10" t="s">
        <v>11</v>
      </c>
      <c r="C6" s="15">
        <v>0.29749999999999999</v>
      </c>
      <c r="D6" s="39">
        <v>0.32</v>
      </c>
      <c r="E6" s="35" t="s">
        <v>8</v>
      </c>
      <c r="F6" s="5">
        <f>+D6-6%</f>
        <v>0.26</v>
      </c>
      <c r="G6" s="27">
        <f>+D6+6%</f>
        <v>0.38</v>
      </c>
      <c r="H6" s="23" t="s">
        <v>23</v>
      </c>
    </row>
    <row r="7" spans="1:8" s="3" customFormat="1" ht="15" x14ac:dyDescent="0.25">
      <c r="B7" s="21" t="s">
        <v>20</v>
      </c>
      <c r="C7" s="15">
        <v>5.2999999999999999E-2</v>
      </c>
      <c r="D7" s="39">
        <v>0.02</v>
      </c>
      <c r="E7" s="35" t="s">
        <v>10</v>
      </c>
      <c r="F7" s="5">
        <v>0</v>
      </c>
      <c r="G7" s="27">
        <f>+D7+5%</f>
        <v>7.0000000000000007E-2</v>
      </c>
      <c r="H7" s="23"/>
    </row>
    <row r="8" spans="1:8" s="3" customFormat="1" ht="15" x14ac:dyDescent="0.25">
      <c r="B8" s="21" t="s">
        <v>21</v>
      </c>
      <c r="C8" s="15">
        <v>0.1163</v>
      </c>
      <c r="D8" s="39">
        <v>0.11</v>
      </c>
      <c r="E8" s="35" t="s">
        <v>10</v>
      </c>
      <c r="F8" s="5">
        <f>+D8-5%</f>
        <v>0.06</v>
      </c>
      <c r="G8" s="27">
        <f>+D8+5%</f>
        <v>0.16</v>
      </c>
      <c r="H8" s="23"/>
    </row>
    <row r="9" spans="1:8" s="3" customFormat="1" ht="15" x14ac:dyDescent="0.25">
      <c r="B9" s="10" t="s">
        <v>12</v>
      </c>
      <c r="C9" s="16">
        <v>0.03</v>
      </c>
      <c r="D9" s="40">
        <v>0.05</v>
      </c>
      <c r="E9" s="22" t="s">
        <v>10</v>
      </c>
      <c r="F9" s="6">
        <v>0</v>
      </c>
      <c r="G9" s="12">
        <f>+D9+5%</f>
        <v>0.1</v>
      </c>
      <c r="H9" s="25"/>
    </row>
    <row r="10" spans="1:8" ht="15" x14ac:dyDescent="0.25">
      <c r="A10" s="3"/>
      <c r="B10" s="10" t="s">
        <v>13</v>
      </c>
      <c r="C10" s="16">
        <v>1.052</v>
      </c>
      <c r="D10" s="40">
        <v>1.0500000000000003</v>
      </c>
      <c r="E10" s="22"/>
      <c r="F10" s="6"/>
      <c r="G10" s="12"/>
      <c r="H10" s="25"/>
    </row>
    <row r="11" spans="1:8" ht="15.75" thickBot="1" x14ac:dyDescent="0.3">
      <c r="A11" s="3"/>
      <c r="B11" s="11" t="s">
        <v>14</v>
      </c>
      <c r="C11" s="17">
        <v>0.17280000000000001</v>
      </c>
      <c r="D11" s="41">
        <v>0.15</v>
      </c>
      <c r="E11" s="36" t="s">
        <v>8</v>
      </c>
      <c r="F11" s="7">
        <f>+D11-6%</f>
        <v>0.09</v>
      </c>
      <c r="G11" s="46">
        <f>+D11+6%</f>
        <v>0.21</v>
      </c>
      <c r="H11" s="26"/>
    </row>
    <row r="12" spans="1:8" ht="15.75" x14ac:dyDescent="0.2">
      <c r="A12" s="4"/>
      <c r="B12" s="52" t="s">
        <v>56</v>
      </c>
      <c r="C12" s="52"/>
      <c r="D12" s="52"/>
      <c r="E12" s="52"/>
      <c r="F12" s="52"/>
      <c r="G12" s="52"/>
      <c r="H12" s="52"/>
    </row>
    <row r="13" spans="1:8" ht="15" x14ac:dyDescent="0.25">
      <c r="A13" s="4"/>
      <c r="B13" s="28" t="s">
        <v>50</v>
      </c>
      <c r="C13" s="28"/>
      <c r="D13" s="28"/>
      <c r="E13" s="28"/>
      <c r="F13" s="28"/>
      <c r="G13" s="28"/>
      <c r="H13" s="28"/>
    </row>
    <row r="14" spans="1:8" s="9" customFormat="1" ht="15" x14ac:dyDescent="0.25">
      <c r="A14" s="4"/>
      <c r="B14" s="28" t="s">
        <v>15</v>
      </c>
      <c r="C14" s="28"/>
      <c r="D14" s="28"/>
      <c r="E14" s="28"/>
      <c r="F14" s="28"/>
      <c r="G14" s="28"/>
      <c r="H14" s="28"/>
    </row>
  </sheetData>
  <mergeCells count="4">
    <mergeCell ref="B1:H1"/>
    <mergeCell ref="F2:G2"/>
    <mergeCell ref="B12:H12"/>
    <mergeCell ref="C3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4"/>
  <sheetViews>
    <sheetView rightToLeft="1" zoomScaleNormal="100" workbookViewId="0">
      <selection activeCell="K3" sqref="K3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4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11" s="8" customFormat="1" ht="27.75" customHeight="1" thickBot="1" x14ac:dyDescent="0.25">
      <c r="B1" s="49" t="s">
        <v>25</v>
      </c>
      <c r="C1" s="49"/>
      <c r="D1" s="49"/>
      <c r="E1" s="49"/>
      <c r="F1" s="49"/>
      <c r="G1" s="49"/>
      <c r="H1" s="49"/>
    </row>
    <row r="2" spans="1:11" s="2" customFormat="1" ht="31.5" customHeight="1" thickBot="1" x14ac:dyDescent="0.25">
      <c r="B2" s="20" t="s">
        <v>0</v>
      </c>
      <c r="C2" s="18" t="s">
        <v>54</v>
      </c>
      <c r="D2" s="19" t="s">
        <v>53</v>
      </c>
      <c r="E2" s="19" t="s">
        <v>1</v>
      </c>
      <c r="F2" s="50" t="s">
        <v>2</v>
      </c>
      <c r="G2" s="51"/>
      <c r="H2" s="20" t="s">
        <v>3</v>
      </c>
    </row>
    <row r="3" spans="1:11" ht="15.75" thickBot="1" x14ac:dyDescent="0.3">
      <c r="B3" s="42" t="s">
        <v>4</v>
      </c>
      <c r="C3" s="54">
        <v>485269.88654427388</v>
      </c>
      <c r="D3" s="55"/>
      <c r="E3" s="33"/>
      <c r="F3" s="43" t="s">
        <v>5</v>
      </c>
      <c r="G3" s="44" t="s">
        <v>6</v>
      </c>
      <c r="H3" s="32"/>
      <c r="K3" s="3"/>
    </row>
    <row r="4" spans="1:11" s="3" customFormat="1" ht="15" x14ac:dyDescent="0.25">
      <c r="B4" s="29" t="s">
        <v>7</v>
      </c>
      <c r="C4" s="37">
        <v>0.50800000000000001</v>
      </c>
      <c r="D4" s="38">
        <v>0.5</v>
      </c>
      <c r="E4" s="34" t="s">
        <v>8</v>
      </c>
      <c r="F4" s="30">
        <f>+D4-6%</f>
        <v>0.44</v>
      </c>
      <c r="G4" s="45">
        <f>+D4+6%</f>
        <v>0.56000000000000005</v>
      </c>
      <c r="H4" s="31" t="s">
        <v>52</v>
      </c>
    </row>
    <row r="5" spans="1:11" s="3" customFormat="1" ht="60" x14ac:dyDescent="0.25">
      <c r="B5" s="10" t="s">
        <v>9</v>
      </c>
      <c r="C5" s="15">
        <v>4.7E-2</v>
      </c>
      <c r="D5" s="39">
        <v>4.4999999999999998E-2</v>
      </c>
      <c r="E5" s="35" t="s">
        <v>10</v>
      </c>
      <c r="F5" s="5">
        <v>0</v>
      </c>
      <c r="G5" s="27">
        <f>+D5+5%</f>
        <v>9.5000000000000001E-2</v>
      </c>
      <c r="H5" s="24" t="s">
        <v>22</v>
      </c>
    </row>
    <row r="6" spans="1:11" s="3" customFormat="1" ht="75" x14ac:dyDescent="0.25">
      <c r="B6" s="10" t="s">
        <v>11</v>
      </c>
      <c r="C6" s="15">
        <v>0.28299999999999997</v>
      </c>
      <c r="D6" s="39">
        <v>0.28000000000000003</v>
      </c>
      <c r="E6" s="35" t="s">
        <v>8</v>
      </c>
      <c r="F6" s="5">
        <f>+D6-6%</f>
        <v>0.22000000000000003</v>
      </c>
      <c r="G6" s="27">
        <f>+D6+6%</f>
        <v>0.34</v>
      </c>
      <c r="H6" s="23" t="s">
        <v>23</v>
      </c>
    </row>
    <row r="7" spans="1:11" s="3" customFormat="1" ht="15" x14ac:dyDescent="0.25">
      <c r="B7" s="21" t="s">
        <v>20</v>
      </c>
      <c r="C7" s="15">
        <v>6.1499999999999999E-2</v>
      </c>
      <c r="D7" s="39">
        <v>0.06</v>
      </c>
      <c r="E7" s="35" t="s">
        <v>10</v>
      </c>
      <c r="F7" s="5">
        <f>+D7-5%</f>
        <v>9.999999999999995E-3</v>
      </c>
      <c r="G7" s="27">
        <f>+D7+5%</f>
        <v>0.11</v>
      </c>
      <c r="H7" s="23"/>
    </row>
    <row r="8" spans="1:11" s="3" customFormat="1" ht="15" x14ac:dyDescent="0.25">
      <c r="B8" s="21" t="s">
        <v>21</v>
      </c>
      <c r="C8" s="15">
        <v>0.13</v>
      </c>
      <c r="D8" s="39">
        <v>0.13</v>
      </c>
      <c r="E8" s="35" t="s">
        <v>10</v>
      </c>
      <c r="F8" s="5">
        <f>+D8-5%</f>
        <v>0.08</v>
      </c>
      <c r="G8" s="27">
        <f>+D8+5%</f>
        <v>0.18</v>
      </c>
      <c r="H8" s="23"/>
    </row>
    <row r="9" spans="1:11" s="3" customFormat="1" ht="15" x14ac:dyDescent="0.25">
      <c r="B9" s="10" t="s">
        <v>12</v>
      </c>
      <c r="C9" s="16">
        <v>2.5000000000000001E-2</v>
      </c>
      <c r="D9" s="40">
        <v>0.02</v>
      </c>
      <c r="E9" s="22" t="s">
        <v>10</v>
      </c>
      <c r="F9" s="6">
        <v>0</v>
      </c>
      <c r="G9" s="12">
        <f>+D9+5%</f>
        <v>7.0000000000000007E-2</v>
      </c>
      <c r="H9" s="25"/>
    </row>
    <row r="10" spans="1:11" ht="15" x14ac:dyDescent="0.25">
      <c r="A10" s="3"/>
      <c r="B10" s="10" t="s">
        <v>13</v>
      </c>
      <c r="C10" s="16">
        <v>1.0549999999999999</v>
      </c>
      <c r="D10" s="40">
        <v>1.0350000000000001</v>
      </c>
      <c r="E10" s="22"/>
      <c r="F10" s="6"/>
      <c r="G10" s="12"/>
      <c r="H10" s="25"/>
    </row>
    <row r="11" spans="1:11" ht="15.75" thickBot="1" x14ac:dyDescent="0.3">
      <c r="A11" s="3"/>
      <c r="B11" s="11" t="s">
        <v>14</v>
      </c>
      <c r="C11" s="17">
        <v>0.1706</v>
      </c>
      <c r="D11" s="41">
        <v>0.15</v>
      </c>
      <c r="E11" s="36" t="s">
        <v>8</v>
      </c>
      <c r="F11" s="7">
        <f>+D11-6%</f>
        <v>0.09</v>
      </c>
      <c r="G11" s="46">
        <f>+D11+6%</f>
        <v>0.21</v>
      </c>
      <c r="H11" s="26"/>
    </row>
    <row r="12" spans="1:11" ht="15.75" x14ac:dyDescent="0.2">
      <c r="A12" s="4"/>
      <c r="B12" s="52" t="s">
        <v>56</v>
      </c>
      <c r="C12" s="52"/>
      <c r="D12" s="52"/>
      <c r="E12" s="52"/>
      <c r="F12" s="52"/>
      <c r="G12" s="52"/>
      <c r="H12" s="52"/>
    </row>
    <row r="13" spans="1:11" ht="15" x14ac:dyDescent="0.25">
      <c r="A13" s="4"/>
      <c r="B13" s="28" t="s">
        <v>50</v>
      </c>
      <c r="C13" s="28"/>
      <c r="D13" s="28"/>
      <c r="E13" s="28"/>
      <c r="F13" s="28"/>
      <c r="G13" s="28"/>
      <c r="H13" s="28"/>
    </row>
    <row r="14" spans="1:11" s="9" customFormat="1" ht="15" x14ac:dyDescent="0.25">
      <c r="A14" s="4"/>
      <c r="B14" s="28" t="s">
        <v>15</v>
      </c>
      <c r="C14" s="28"/>
      <c r="D14" s="28"/>
      <c r="E14" s="28"/>
      <c r="F14" s="28"/>
      <c r="G14" s="28"/>
      <c r="H14" s="28"/>
    </row>
  </sheetData>
  <mergeCells count="4">
    <mergeCell ref="B1:H1"/>
    <mergeCell ref="F2:G2"/>
    <mergeCell ref="B12:H12"/>
    <mergeCell ref="C3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4"/>
  <sheetViews>
    <sheetView rightToLeft="1" zoomScaleNormal="100" workbookViewId="0">
      <selection activeCell="K3" sqref="K3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4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11" s="8" customFormat="1" ht="27.75" customHeight="1" thickBot="1" x14ac:dyDescent="0.25">
      <c r="B1" s="49" t="s">
        <v>26</v>
      </c>
      <c r="C1" s="49"/>
      <c r="D1" s="49"/>
      <c r="E1" s="49"/>
      <c r="F1" s="49"/>
      <c r="G1" s="49"/>
      <c r="H1" s="49"/>
    </row>
    <row r="2" spans="1:11" s="2" customFormat="1" ht="31.5" customHeight="1" thickBot="1" x14ac:dyDescent="0.25">
      <c r="B2" s="20" t="s">
        <v>0</v>
      </c>
      <c r="C2" s="18" t="s">
        <v>54</v>
      </c>
      <c r="D2" s="19" t="s">
        <v>53</v>
      </c>
      <c r="E2" s="19" t="s">
        <v>1</v>
      </c>
      <c r="F2" s="50" t="s">
        <v>2</v>
      </c>
      <c r="G2" s="51"/>
      <c r="H2" s="20" t="s">
        <v>3</v>
      </c>
    </row>
    <row r="3" spans="1:11" ht="15.75" thickBot="1" x14ac:dyDescent="0.3">
      <c r="B3" s="42" t="s">
        <v>4</v>
      </c>
      <c r="C3" s="54">
        <v>14970.8</v>
      </c>
      <c r="D3" s="55"/>
      <c r="E3" s="33"/>
      <c r="F3" s="43" t="s">
        <v>5</v>
      </c>
      <c r="G3" s="44" t="s">
        <v>6</v>
      </c>
      <c r="H3" s="32"/>
      <c r="K3" s="3"/>
    </row>
    <row r="4" spans="1:11" s="3" customFormat="1" ht="15" x14ac:dyDescent="0.25">
      <c r="B4" s="29" t="s">
        <v>7</v>
      </c>
      <c r="C4" s="37">
        <v>0.505</v>
      </c>
      <c r="D4" s="38">
        <v>0.5</v>
      </c>
      <c r="E4" s="34" t="s">
        <v>8</v>
      </c>
      <c r="F4" s="30">
        <f>+D4-6%</f>
        <v>0.44</v>
      </c>
      <c r="G4" s="45">
        <f>+D4+6%</f>
        <v>0.56000000000000005</v>
      </c>
      <c r="H4" s="31" t="s">
        <v>52</v>
      </c>
    </row>
    <row r="5" spans="1:11" s="3" customFormat="1" ht="60" x14ac:dyDescent="0.25">
      <c r="B5" s="10" t="s">
        <v>9</v>
      </c>
      <c r="C5" s="15">
        <v>7.6999999999999999E-2</v>
      </c>
      <c r="D5" s="39">
        <v>7.0000000000000007E-2</v>
      </c>
      <c r="E5" s="35" t="s">
        <v>10</v>
      </c>
      <c r="F5" s="5">
        <f>+D5-5%</f>
        <v>2.0000000000000004E-2</v>
      </c>
      <c r="G5" s="27">
        <f>+D5+5%</f>
        <v>0.12000000000000001</v>
      </c>
      <c r="H5" s="24" t="s">
        <v>22</v>
      </c>
    </row>
    <row r="6" spans="1:11" s="3" customFormat="1" ht="75" x14ac:dyDescent="0.25">
      <c r="B6" s="10" t="s">
        <v>11</v>
      </c>
      <c r="C6" s="15">
        <v>0.26600000000000001</v>
      </c>
      <c r="D6" s="39">
        <v>0.31</v>
      </c>
      <c r="E6" s="35" t="s">
        <v>8</v>
      </c>
      <c r="F6" s="5">
        <f>+D6-6%</f>
        <v>0.25</v>
      </c>
      <c r="G6" s="27">
        <f>+D6+6%</f>
        <v>0.37</v>
      </c>
      <c r="H6" s="23" t="s">
        <v>23</v>
      </c>
    </row>
    <row r="7" spans="1:11" s="3" customFormat="1" ht="15" x14ac:dyDescent="0.25">
      <c r="B7" s="21" t="s">
        <v>20</v>
      </c>
      <c r="C7" s="15">
        <v>2.4E-2</v>
      </c>
      <c r="D7" s="39">
        <v>2.1999999999999999E-2</v>
      </c>
      <c r="E7" s="35" t="s">
        <v>10</v>
      </c>
      <c r="F7" s="5">
        <v>0</v>
      </c>
      <c r="G7" s="27">
        <f>+D7+5%</f>
        <v>7.2000000000000008E-2</v>
      </c>
      <c r="H7" s="23"/>
    </row>
    <row r="8" spans="1:11" s="3" customFormat="1" ht="15" x14ac:dyDescent="0.25">
      <c r="B8" s="21" t="s">
        <v>21</v>
      </c>
      <c r="C8" s="15">
        <v>0.14660000000000001</v>
      </c>
      <c r="D8" s="39">
        <v>0.12</v>
      </c>
      <c r="E8" s="35" t="s">
        <v>10</v>
      </c>
      <c r="F8" s="5">
        <f>+D8-5%</f>
        <v>6.9999999999999993E-2</v>
      </c>
      <c r="G8" s="27">
        <f>+D8+5%</f>
        <v>0.16999999999999998</v>
      </c>
      <c r="H8" s="23"/>
    </row>
    <row r="9" spans="1:11" s="3" customFormat="1" ht="15" x14ac:dyDescent="0.25">
      <c r="B9" s="10" t="s">
        <v>12</v>
      </c>
      <c r="C9" s="16">
        <v>3.95E-2</v>
      </c>
      <c r="D9" s="40">
        <v>0.02</v>
      </c>
      <c r="E9" s="22" t="s">
        <v>10</v>
      </c>
      <c r="F9" s="6">
        <v>0</v>
      </c>
      <c r="G9" s="12">
        <f>+D9+5%</f>
        <v>7.0000000000000007E-2</v>
      </c>
      <c r="H9" s="25"/>
    </row>
    <row r="10" spans="1:11" ht="15" x14ac:dyDescent="0.25">
      <c r="A10" s="3"/>
      <c r="B10" s="10" t="s">
        <v>13</v>
      </c>
      <c r="C10" s="16">
        <v>1.0580000000000001</v>
      </c>
      <c r="D10" s="40">
        <v>1.0420000000000003</v>
      </c>
      <c r="E10" s="22"/>
      <c r="F10" s="6"/>
      <c r="G10" s="12"/>
      <c r="H10" s="25"/>
    </row>
    <row r="11" spans="1:11" ht="15.75" thickBot="1" x14ac:dyDescent="0.3">
      <c r="A11" s="3"/>
      <c r="B11" s="11" t="s">
        <v>14</v>
      </c>
      <c r="C11" s="17">
        <v>0.20300000000000001</v>
      </c>
      <c r="D11" s="41">
        <v>0.15</v>
      </c>
      <c r="E11" s="36" t="s">
        <v>8</v>
      </c>
      <c r="F11" s="7">
        <f>+D11-6%</f>
        <v>0.09</v>
      </c>
      <c r="G11" s="46">
        <f>+D11+6%</f>
        <v>0.21</v>
      </c>
      <c r="H11" s="26"/>
    </row>
    <row r="12" spans="1:11" ht="15.75" x14ac:dyDescent="0.2">
      <c r="A12" s="4"/>
      <c r="B12" s="52" t="s">
        <v>56</v>
      </c>
      <c r="C12" s="52"/>
      <c r="D12" s="52"/>
      <c r="E12" s="52"/>
      <c r="F12" s="52"/>
      <c r="G12" s="52"/>
      <c r="H12" s="52"/>
    </row>
    <row r="13" spans="1:11" ht="15" x14ac:dyDescent="0.25">
      <c r="A13" s="4"/>
      <c r="B13" s="28" t="s">
        <v>50</v>
      </c>
      <c r="C13" s="28"/>
      <c r="D13" s="28"/>
      <c r="E13" s="28"/>
      <c r="F13" s="28"/>
      <c r="G13" s="28"/>
      <c r="H13" s="28"/>
    </row>
    <row r="14" spans="1:11" s="9" customFormat="1" ht="15" x14ac:dyDescent="0.25">
      <c r="A14" s="4"/>
      <c r="B14" s="28" t="s">
        <v>15</v>
      </c>
      <c r="C14" s="28"/>
      <c r="D14" s="28"/>
      <c r="E14" s="28"/>
      <c r="F14" s="28"/>
      <c r="G14" s="28"/>
      <c r="H14" s="28"/>
    </row>
  </sheetData>
  <mergeCells count="4">
    <mergeCell ref="B1:H1"/>
    <mergeCell ref="F2:G2"/>
    <mergeCell ref="B12:H12"/>
    <mergeCell ref="C3:D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4"/>
  <sheetViews>
    <sheetView rightToLeft="1" zoomScaleNormal="100" workbookViewId="0">
      <selection activeCell="K3" sqref="K3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4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11" s="8" customFormat="1" ht="27.75" customHeight="1" thickBot="1" x14ac:dyDescent="0.25">
      <c r="B1" s="49" t="s">
        <v>27</v>
      </c>
      <c r="C1" s="49"/>
      <c r="D1" s="49"/>
      <c r="E1" s="49"/>
      <c r="F1" s="49"/>
      <c r="G1" s="49"/>
      <c r="H1" s="49"/>
    </row>
    <row r="2" spans="1:11" s="2" customFormat="1" ht="31.5" customHeight="1" thickBot="1" x14ac:dyDescent="0.25">
      <c r="B2" s="20" t="s">
        <v>0</v>
      </c>
      <c r="C2" s="18" t="s">
        <v>54</v>
      </c>
      <c r="D2" s="19" t="s">
        <v>53</v>
      </c>
      <c r="E2" s="19" t="s">
        <v>1</v>
      </c>
      <c r="F2" s="50" t="s">
        <v>2</v>
      </c>
      <c r="G2" s="51"/>
      <c r="H2" s="20" t="s">
        <v>3</v>
      </c>
    </row>
    <row r="3" spans="1:11" ht="15.75" thickBot="1" x14ac:dyDescent="0.3">
      <c r="B3" s="42" t="s">
        <v>4</v>
      </c>
      <c r="C3" s="54">
        <v>332346.59999999998</v>
      </c>
      <c r="D3" s="55"/>
      <c r="E3" s="33"/>
      <c r="F3" s="43" t="s">
        <v>5</v>
      </c>
      <c r="G3" s="44" t="s">
        <v>6</v>
      </c>
      <c r="H3" s="32"/>
      <c r="K3" s="3"/>
    </row>
    <row r="4" spans="1:11" s="3" customFormat="1" ht="15" x14ac:dyDescent="0.25">
      <c r="B4" s="29" t="s">
        <v>7</v>
      </c>
      <c r="C4" s="37">
        <v>0.57599999999999996</v>
      </c>
      <c r="D4" s="38">
        <v>0.56999999999999995</v>
      </c>
      <c r="E4" s="34" t="s">
        <v>8</v>
      </c>
      <c r="F4" s="30">
        <f>+D4-6%</f>
        <v>0.51</v>
      </c>
      <c r="G4" s="45">
        <f>+D4+6%</f>
        <v>0.62999999999999989</v>
      </c>
      <c r="H4" s="31" t="s">
        <v>52</v>
      </c>
    </row>
    <row r="5" spans="1:11" s="3" customFormat="1" ht="60" x14ac:dyDescent="0.25">
      <c r="B5" s="10" t="s">
        <v>9</v>
      </c>
      <c r="C5" s="15">
        <v>3.5000000000000003E-2</v>
      </c>
      <c r="D5" s="39">
        <v>0.03</v>
      </c>
      <c r="E5" s="35" t="s">
        <v>10</v>
      </c>
      <c r="F5" s="5">
        <v>0</v>
      </c>
      <c r="G5" s="27">
        <f>+D5+5%</f>
        <v>0.08</v>
      </c>
      <c r="H5" s="24" t="s">
        <v>22</v>
      </c>
    </row>
    <row r="6" spans="1:11" s="3" customFormat="1" ht="75" x14ac:dyDescent="0.25">
      <c r="B6" s="10" t="s">
        <v>11</v>
      </c>
      <c r="C6" s="15">
        <v>0.26340000000000002</v>
      </c>
      <c r="D6" s="39">
        <v>0.25</v>
      </c>
      <c r="E6" s="35" t="s">
        <v>8</v>
      </c>
      <c r="F6" s="5">
        <f>+D6-6%</f>
        <v>0.19</v>
      </c>
      <c r="G6" s="27">
        <f>+D6+6%</f>
        <v>0.31</v>
      </c>
      <c r="H6" s="23" t="s">
        <v>23</v>
      </c>
    </row>
    <row r="7" spans="1:11" s="3" customFormat="1" ht="15" x14ac:dyDescent="0.25">
      <c r="B7" s="21" t="s">
        <v>20</v>
      </c>
      <c r="C7" s="15">
        <v>2.2800000000000001E-2</v>
      </c>
      <c r="D7" s="39">
        <v>2.5000000000000001E-2</v>
      </c>
      <c r="E7" s="35" t="s">
        <v>10</v>
      </c>
      <c r="F7" s="5">
        <v>0</v>
      </c>
      <c r="G7" s="27">
        <f>+D7+5%</f>
        <v>7.5000000000000011E-2</v>
      </c>
      <c r="H7" s="23"/>
    </row>
    <row r="8" spans="1:11" s="3" customFormat="1" ht="15" x14ac:dyDescent="0.25">
      <c r="B8" s="21" t="s">
        <v>21</v>
      </c>
      <c r="C8" s="15">
        <v>0.1235</v>
      </c>
      <c r="D8" s="39">
        <v>0.13</v>
      </c>
      <c r="E8" s="35" t="s">
        <v>10</v>
      </c>
      <c r="F8" s="5">
        <f>+D8-5%</f>
        <v>0.08</v>
      </c>
      <c r="G8" s="27">
        <f>+D8+5%</f>
        <v>0.18</v>
      </c>
      <c r="H8" s="23"/>
    </row>
    <row r="9" spans="1:11" s="3" customFormat="1" ht="15" x14ac:dyDescent="0.25">
      <c r="B9" s="10" t="s">
        <v>12</v>
      </c>
      <c r="C9" s="16">
        <v>2.8000000000000001E-2</v>
      </c>
      <c r="D9" s="40">
        <v>0.02</v>
      </c>
      <c r="E9" s="22" t="s">
        <v>10</v>
      </c>
      <c r="F9" s="6">
        <v>0</v>
      </c>
      <c r="G9" s="12">
        <f>+D9+5%</f>
        <v>7.0000000000000007E-2</v>
      </c>
      <c r="H9" s="25"/>
    </row>
    <row r="10" spans="1:11" ht="15" x14ac:dyDescent="0.25">
      <c r="A10" s="3"/>
      <c r="B10" s="10" t="s">
        <v>13</v>
      </c>
      <c r="C10" s="16">
        <v>1.0489999999999999</v>
      </c>
      <c r="D10" s="40">
        <v>1.0249999999999999</v>
      </c>
      <c r="E10" s="22"/>
      <c r="F10" s="6"/>
      <c r="G10" s="12"/>
      <c r="H10" s="25"/>
    </row>
    <row r="11" spans="1:11" ht="15.75" thickBot="1" x14ac:dyDescent="0.3">
      <c r="A11" s="3"/>
      <c r="B11" s="11" t="s">
        <v>14</v>
      </c>
      <c r="C11" s="17">
        <v>0.17</v>
      </c>
      <c r="D11" s="41">
        <v>0.15</v>
      </c>
      <c r="E11" s="36" t="s">
        <v>8</v>
      </c>
      <c r="F11" s="7">
        <f>+D11-6%</f>
        <v>0.09</v>
      </c>
      <c r="G11" s="46">
        <f>+D11+6%</f>
        <v>0.21</v>
      </c>
      <c r="H11" s="26"/>
    </row>
    <row r="12" spans="1:11" ht="15.75" x14ac:dyDescent="0.2">
      <c r="A12" s="4"/>
      <c r="B12" s="52" t="s">
        <v>57</v>
      </c>
      <c r="C12" s="52"/>
      <c r="D12" s="52"/>
      <c r="E12" s="52"/>
      <c r="F12" s="52"/>
      <c r="G12" s="52"/>
      <c r="H12" s="52"/>
    </row>
    <row r="13" spans="1:11" ht="15" x14ac:dyDescent="0.25">
      <c r="A13" s="4"/>
      <c r="B13" s="28" t="s">
        <v>50</v>
      </c>
      <c r="C13" s="28"/>
      <c r="D13" s="28"/>
      <c r="E13" s="28"/>
      <c r="F13" s="28"/>
      <c r="G13" s="28"/>
      <c r="H13" s="28"/>
    </row>
    <row r="14" spans="1:11" s="9" customFormat="1" ht="15" x14ac:dyDescent="0.25">
      <c r="A14" s="4"/>
      <c r="B14" s="28" t="s">
        <v>15</v>
      </c>
      <c r="C14" s="28"/>
      <c r="D14" s="28"/>
      <c r="E14" s="28"/>
      <c r="F14" s="28"/>
      <c r="G14" s="28"/>
      <c r="H14" s="28"/>
    </row>
  </sheetData>
  <mergeCells count="4">
    <mergeCell ref="B1:H1"/>
    <mergeCell ref="F2:G2"/>
    <mergeCell ref="B12:H12"/>
    <mergeCell ref="C3:D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4"/>
  <sheetViews>
    <sheetView rightToLeft="1" zoomScaleNormal="100" workbookViewId="0">
      <selection activeCell="K3" sqref="K3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11" s="8" customFormat="1" ht="27.75" customHeight="1" thickBot="1" x14ac:dyDescent="0.25">
      <c r="B1" s="49" t="s">
        <v>28</v>
      </c>
      <c r="C1" s="49"/>
      <c r="D1" s="49"/>
      <c r="E1" s="49"/>
      <c r="F1" s="49"/>
      <c r="G1" s="49"/>
      <c r="H1" s="49"/>
    </row>
    <row r="2" spans="1:11" s="2" customFormat="1" ht="31.5" customHeight="1" thickBot="1" x14ac:dyDescent="0.25">
      <c r="B2" s="20" t="s">
        <v>0</v>
      </c>
      <c r="C2" s="18" t="s">
        <v>54</v>
      </c>
      <c r="D2" s="19" t="s">
        <v>53</v>
      </c>
      <c r="E2" s="19" t="s">
        <v>1</v>
      </c>
      <c r="F2" s="50" t="s">
        <v>2</v>
      </c>
      <c r="G2" s="51"/>
      <c r="H2" s="20" t="s">
        <v>3</v>
      </c>
    </row>
    <row r="3" spans="1:11" ht="15.75" thickBot="1" x14ac:dyDescent="0.3">
      <c r="B3" s="42" t="s">
        <v>4</v>
      </c>
      <c r="C3" s="54">
        <v>119735.2</v>
      </c>
      <c r="D3" s="55"/>
      <c r="E3" s="33"/>
      <c r="F3" s="43" t="s">
        <v>5</v>
      </c>
      <c r="G3" s="44" t="s">
        <v>6</v>
      </c>
      <c r="H3" s="32"/>
      <c r="K3" s="3"/>
    </row>
    <row r="4" spans="1:11" s="3" customFormat="1" ht="15" x14ac:dyDescent="0.25">
      <c r="B4" s="29" t="s">
        <v>7</v>
      </c>
      <c r="C4" s="37">
        <v>0.50700000000000001</v>
      </c>
      <c r="D4" s="38">
        <v>0.5</v>
      </c>
      <c r="E4" s="34" t="s">
        <v>8</v>
      </c>
      <c r="F4" s="30">
        <f>+D4-6%</f>
        <v>0.44</v>
      </c>
      <c r="G4" s="45">
        <f>+D4+6%</f>
        <v>0.56000000000000005</v>
      </c>
      <c r="H4" s="31" t="s">
        <v>52</v>
      </c>
    </row>
    <row r="5" spans="1:11" s="3" customFormat="1" ht="60" x14ac:dyDescent="0.25">
      <c r="B5" s="10" t="s">
        <v>9</v>
      </c>
      <c r="C5" s="15">
        <v>0.10299999999999999</v>
      </c>
      <c r="D5" s="39">
        <v>7.0000000000000007E-2</v>
      </c>
      <c r="E5" s="35" t="s">
        <v>10</v>
      </c>
      <c r="F5" s="5">
        <f>+D5-5%</f>
        <v>2.0000000000000004E-2</v>
      </c>
      <c r="G5" s="27">
        <f>+D5+5%</f>
        <v>0.12000000000000001</v>
      </c>
      <c r="H5" s="24" t="s">
        <v>22</v>
      </c>
    </row>
    <row r="6" spans="1:11" s="3" customFormat="1" ht="75" x14ac:dyDescent="0.25">
      <c r="B6" s="10" t="s">
        <v>11</v>
      </c>
      <c r="C6" s="15">
        <v>0.30499999999999999</v>
      </c>
      <c r="D6" s="39">
        <v>0.32</v>
      </c>
      <c r="E6" s="35" t="s">
        <v>8</v>
      </c>
      <c r="F6" s="5">
        <f>+D6-6%</f>
        <v>0.26</v>
      </c>
      <c r="G6" s="27">
        <f>+D6+6%</f>
        <v>0.38</v>
      </c>
      <c r="H6" s="23" t="s">
        <v>23</v>
      </c>
    </row>
    <row r="7" spans="1:11" s="3" customFormat="1" ht="15" x14ac:dyDescent="0.25">
      <c r="B7" s="21" t="s">
        <v>20</v>
      </c>
      <c r="C7" s="15">
        <v>1.2500000000000001E-2</v>
      </c>
      <c r="D7" s="39">
        <v>0.01</v>
      </c>
      <c r="E7" s="35" t="s">
        <v>10</v>
      </c>
      <c r="F7" s="5">
        <v>0</v>
      </c>
      <c r="G7" s="27">
        <f>+D7+5%</f>
        <v>6.0000000000000005E-2</v>
      </c>
      <c r="H7" s="23"/>
    </row>
    <row r="8" spans="1:11" s="3" customFormat="1" ht="15" x14ac:dyDescent="0.25">
      <c r="B8" s="21" t="s">
        <v>21</v>
      </c>
      <c r="C8" s="15">
        <v>7.2900000000000006E-2</v>
      </c>
      <c r="D8" s="39">
        <v>7.4999999999999997E-2</v>
      </c>
      <c r="E8" s="35" t="s">
        <v>10</v>
      </c>
      <c r="F8" s="5">
        <f>+D8-5%</f>
        <v>2.4999999999999994E-2</v>
      </c>
      <c r="G8" s="27">
        <f>+D8+5%</f>
        <v>0.125</v>
      </c>
      <c r="H8" s="23"/>
    </row>
    <row r="9" spans="1:11" s="3" customFormat="1" ht="15" x14ac:dyDescent="0.25">
      <c r="B9" s="10" t="s">
        <v>12</v>
      </c>
      <c r="C9" s="16">
        <v>4.7E-2</v>
      </c>
      <c r="D9" s="40">
        <v>0.02</v>
      </c>
      <c r="E9" s="22" t="s">
        <v>10</v>
      </c>
      <c r="F9" s="6">
        <v>0</v>
      </c>
      <c r="G9" s="12">
        <f>+D9+5%</f>
        <v>7.0000000000000007E-2</v>
      </c>
      <c r="H9" s="25"/>
    </row>
    <row r="10" spans="1:11" ht="15" x14ac:dyDescent="0.25">
      <c r="A10" s="3"/>
      <c r="B10" s="10" t="s">
        <v>13</v>
      </c>
      <c r="C10" s="16">
        <v>1.0469999999999999</v>
      </c>
      <c r="D10" s="40">
        <v>0.99500000000000011</v>
      </c>
      <c r="E10" s="22"/>
      <c r="F10" s="6"/>
      <c r="G10" s="12"/>
      <c r="H10" s="25"/>
    </row>
    <row r="11" spans="1:11" ht="15.75" thickBot="1" x14ac:dyDescent="0.3">
      <c r="A11" s="3"/>
      <c r="B11" s="11" t="s">
        <v>14</v>
      </c>
      <c r="C11" s="17">
        <v>0.17</v>
      </c>
      <c r="D11" s="41">
        <v>0.15</v>
      </c>
      <c r="E11" s="36" t="s">
        <v>8</v>
      </c>
      <c r="F11" s="7">
        <f>+D11-6%</f>
        <v>0.09</v>
      </c>
      <c r="G11" s="46">
        <f>+D11+6%</f>
        <v>0.21</v>
      </c>
      <c r="H11" s="26"/>
    </row>
    <row r="12" spans="1:11" ht="15.75" x14ac:dyDescent="0.2">
      <c r="A12" s="4"/>
      <c r="B12" s="52" t="s">
        <v>58</v>
      </c>
      <c r="C12" s="52"/>
      <c r="D12" s="52"/>
      <c r="E12" s="52"/>
      <c r="F12" s="52"/>
      <c r="G12" s="52"/>
      <c r="H12" s="52"/>
    </row>
    <row r="13" spans="1:11" ht="15" x14ac:dyDescent="0.25">
      <c r="A13" s="4"/>
      <c r="B13" s="28" t="s">
        <v>50</v>
      </c>
      <c r="C13" s="28"/>
      <c r="D13" s="28"/>
      <c r="E13" s="28"/>
      <c r="F13" s="28"/>
      <c r="G13" s="28"/>
      <c r="H13" s="28"/>
    </row>
    <row r="14" spans="1:11" s="9" customFormat="1" ht="15" x14ac:dyDescent="0.25">
      <c r="A14" s="4"/>
      <c r="B14" s="28" t="s">
        <v>15</v>
      </c>
      <c r="C14" s="28"/>
      <c r="D14" s="28"/>
      <c r="E14" s="28"/>
      <c r="F14" s="28"/>
      <c r="G14" s="28"/>
      <c r="H14" s="28"/>
    </row>
  </sheetData>
  <mergeCells count="4">
    <mergeCell ref="B1:H1"/>
    <mergeCell ref="F2:G2"/>
    <mergeCell ref="B12:H12"/>
    <mergeCell ref="C3:D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4"/>
  <sheetViews>
    <sheetView rightToLeft="1" zoomScaleNormal="100" workbookViewId="0">
      <selection activeCell="K3" sqref="K3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11" s="8" customFormat="1" ht="27.75" customHeight="1" thickBot="1" x14ac:dyDescent="0.25">
      <c r="B1" s="49" t="s">
        <v>29</v>
      </c>
      <c r="C1" s="49"/>
      <c r="D1" s="49"/>
      <c r="E1" s="49"/>
      <c r="F1" s="49"/>
      <c r="G1" s="49"/>
      <c r="H1" s="49"/>
    </row>
    <row r="2" spans="1:11" s="2" customFormat="1" ht="31.5" customHeight="1" thickBot="1" x14ac:dyDescent="0.25">
      <c r="B2" s="20" t="s">
        <v>0</v>
      </c>
      <c r="C2" s="18" t="s">
        <v>54</v>
      </c>
      <c r="D2" s="19" t="s">
        <v>53</v>
      </c>
      <c r="E2" s="19" t="s">
        <v>1</v>
      </c>
      <c r="F2" s="50" t="s">
        <v>2</v>
      </c>
      <c r="G2" s="51"/>
      <c r="H2" s="20" t="s">
        <v>3</v>
      </c>
    </row>
    <row r="3" spans="1:11" ht="15.75" thickBot="1" x14ac:dyDescent="0.3">
      <c r="B3" s="42" t="s">
        <v>4</v>
      </c>
      <c r="C3" s="54">
        <v>75395.199999999997</v>
      </c>
      <c r="D3" s="55"/>
      <c r="E3" s="33"/>
      <c r="F3" s="43" t="s">
        <v>5</v>
      </c>
      <c r="G3" s="44" t="s">
        <v>6</v>
      </c>
      <c r="H3" s="32"/>
      <c r="K3" s="3"/>
    </row>
    <row r="4" spans="1:11" s="3" customFormat="1" ht="15" x14ac:dyDescent="0.25">
      <c r="B4" s="29" t="s">
        <v>7</v>
      </c>
      <c r="C4" s="37">
        <v>0.27189999999999998</v>
      </c>
      <c r="D4" s="38">
        <v>0.3</v>
      </c>
      <c r="E4" s="34" t="s">
        <v>8</v>
      </c>
      <c r="F4" s="30">
        <f>+D4-6%</f>
        <v>0.24</v>
      </c>
      <c r="G4" s="45">
        <f>+D4+6%</f>
        <v>0.36</v>
      </c>
      <c r="H4" s="31" t="s">
        <v>52</v>
      </c>
    </row>
    <row r="5" spans="1:11" s="3" customFormat="1" ht="60" x14ac:dyDescent="0.25">
      <c r="B5" s="10" t="s">
        <v>9</v>
      </c>
      <c r="C5" s="15">
        <v>0.24479999999999999</v>
      </c>
      <c r="D5" s="39">
        <v>0.25</v>
      </c>
      <c r="E5" s="35" t="s">
        <v>10</v>
      </c>
      <c r="F5" s="5">
        <f>+D5-5%</f>
        <v>0.2</v>
      </c>
      <c r="G5" s="27">
        <f>+D5+5%</f>
        <v>0.3</v>
      </c>
      <c r="H5" s="24" t="s">
        <v>22</v>
      </c>
    </row>
    <row r="6" spans="1:11" s="3" customFormat="1" ht="75" x14ac:dyDescent="0.25">
      <c r="B6" s="10" t="s">
        <v>11</v>
      </c>
      <c r="C6" s="15">
        <v>0.3725</v>
      </c>
      <c r="D6" s="39">
        <v>0.38</v>
      </c>
      <c r="E6" s="35" t="s">
        <v>8</v>
      </c>
      <c r="F6" s="5">
        <f>+D6-6%</f>
        <v>0.32</v>
      </c>
      <c r="G6" s="27">
        <f>+D6+6%</f>
        <v>0.44</v>
      </c>
      <c r="H6" s="23" t="s">
        <v>23</v>
      </c>
    </row>
    <row r="7" spans="1:11" s="3" customFormat="1" ht="15" x14ac:dyDescent="0.25">
      <c r="B7" s="21" t="s">
        <v>20</v>
      </c>
      <c r="C7" s="15">
        <v>1.32E-2</v>
      </c>
      <c r="D7" s="39">
        <v>0.01</v>
      </c>
      <c r="E7" s="35" t="s">
        <v>10</v>
      </c>
      <c r="F7" s="5">
        <v>0</v>
      </c>
      <c r="G7" s="27">
        <f>+D7+5%</f>
        <v>6.0000000000000005E-2</v>
      </c>
      <c r="H7" s="23"/>
    </row>
    <row r="8" spans="1:11" s="3" customFormat="1" ht="15" x14ac:dyDescent="0.25">
      <c r="B8" s="21" t="s">
        <v>21</v>
      </c>
      <c r="C8" s="15">
        <v>8.0799999999999997E-2</v>
      </c>
      <c r="D8" s="39">
        <v>0.08</v>
      </c>
      <c r="E8" s="35" t="s">
        <v>10</v>
      </c>
      <c r="F8" s="5">
        <f>+D8-5%</f>
        <v>0.03</v>
      </c>
      <c r="G8" s="27">
        <f>+D8+5%</f>
        <v>0.13</v>
      </c>
      <c r="H8" s="23"/>
    </row>
    <row r="9" spans="1:11" s="3" customFormat="1" ht="15" x14ac:dyDescent="0.25">
      <c r="B9" s="10" t="s">
        <v>12</v>
      </c>
      <c r="C9" s="16">
        <v>4.9700000000000001E-2</v>
      </c>
      <c r="D9" s="40">
        <v>0.03</v>
      </c>
      <c r="E9" s="22" t="s">
        <v>10</v>
      </c>
      <c r="F9" s="6">
        <v>0</v>
      </c>
      <c r="G9" s="12">
        <f>+D9+5%</f>
        <v>0.08</v>
      </c>
      <c r="H9" s="25"/>
    </row>
    <row r="10" spans="1:11" ht="15" x14ac:dyDescent="0.25">
      <c r="A10" s="3"/>
      <c r="B10" s="10" t="s">
        <v>13</v>
      </c>
      <c r="C10" s="16">
        <v>1.0329999999999999</v>
      </c>
      <c r="D10" s="40">
        <v>1.05</v>
      </c>
      <c r="E10" s="22"/>
      <c r="F10" s="6"/>
      <c r="G10" s="12"/>
      <c r="H10" s="25"/>
    </row>
    <row r="11" spans="1:11" ht="15.75" thickBot="1" x14ac:dyDescent="0.3">
      <c r="A11" s="3"/>
      <c r="B11" s="11" t="s">
        <v>14</v>
      </c>
      <c r="C11" s="17">
        <v>0.104</v>
      </c>
      <c r="D11" s="41">
        <v>0.1</v>
      </c>
      <c r="E11" s="36" t="s">
        <v>8</v>
      </c>
      <c r="F11" s="7">
        <f>+D11-6%</f>
        <v>4.0000000000000008E-2</v>
      </c>
      <c r="G11" s="46">
        <f>+D11+6%</f>
        <v>0.16</v>
      </c>
      <c r="H11" s="26"/>
    </row>
    <row r="12" spans="1:11" ht="15.75" x14ac:dyDescent="0.2">
      <c r="A12" s="4"/>
      <c r="B12" s="52" t="s">
        <v>58</v>
      </c>
      <c r="C12" s="52"/>
      <c r="D12" s="52"/>
      <c r="E12" s="52"/>
      <c r="F12" s="52"/>
      <c r="G12" s="52"/>
      <c r="H12" s="52"/>
    </row>
    <row r="13" spans="1:11" ht="15" x14ac:dyDescent="0.25">
      <c r="A13" s="4"/>
      <c r="B13" s="28" t="s">
        <v>50</v>
      </c>
      <c r="C13" s="28"/>
      <c r="D13" s="28"/>
      <c r="E13" s="28"/>
      <c r="F13" s="28"/>
      <c r="G13" s="28"/>
      <c r="H13" s="28"/>
    </row>
    <row r="14" spans="1:11" s="9" customFormat="1" ht="15" x14ac:dyDescent="0.25">
      <c r="A14" s="4"/>
      <c r="B14" s="28" t="s">
        <v>15</v>
      </c>
      <c r="C14" s="28"/>
      <c r="D14" s="28"/>
      <c r="E14" s="28"/>
      <c r="F14" s="28"/>
      <c r="G14" s="28"/>
      <c r="H14" s="28"/>
    </row>
  </sheetData>
  <mergeCells count="4">
    <mergeCell ref="B1:H1"/>
    <mergeCell ref="F2:G2"/>
    <mergeCell ref="B12:H12"/>
    <mergeCell ref="C3:D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4"/>
  <sheetViews>
    <sheetView rightToLeft="1" zoomScaleNormal="100" workbookViewId="0">
      <selection activeCell="K4" sqref="K4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8" s="8" customFormat="1" ht="27.75" customHeight="1" thickBot="1" x14ac:dyDescent="0.25">
      <c r="B1" s="49" t="s">
        <v>30</v>
      </c>
      <c r="C1" s="49"/>
      <c r="D1" s="49"/>
      <c r="E1" s="49"/>
      <c r="F1" s="49"/>
      <c r="G1" s="49"/>
      <c r="H1" s="49"/>
    </row>
    <row r="2" spans="1:8" s="2" customFormat="1" ht="31.5" customHeight="1" thickBot="1" x14ac:dyDescent="0.25">
      <c r="B2" s="20" t="s">
        <v>0</v>
      </c>
      <c r="C2" s="18" t="s">
        <v>54</v>
      </c>
      <c r="D2" s="19" t="s">
        <v>53</v>
      </c>
      <c r="E2" s="19" t="s">
        <v>1</v>
      </c>
      <c r="F2" s="50" t="s">
        <v>2</v>
      </c>
      <c r="G2" s="51"/>
      <c r="H2" s="20" t="s">
        <v>3</v>
      </c>
    </row>
    <row r="3" spans="1:8" ht="15.75" thickBot="1" x14ac:dyDescent="0.3">
      <c r="B3" s="42" t="s">
        <v>4</v>
      </c>
      <c r="C3" s="54">
        <v>175443.4</v>
      </c>
      <c r="D3" s="55"/>
      <c r="E3" s="33"/>
      <c r="F3" s="43" t="s">
        <v>5</v>
      </c>
      <c r="G3" s="44" t="s">
        <v>6</v>
      </c>
      <c r="H3" s="32"/>
    </row>
    <row r="4" spans="1:8" s="3" customFormat="1" ht="15" x14ac:dyDescent="0.25">
      <c r="B4" s="29" t="s">
        <v>7</v>
      </c>
      <c r="C4" s="37">
        <v>0.51139999999999997</v>
      </c>
      <c r="D4" s="38">
        <v>0.5</v>
      </c>
      <c r="E4" s="34" t="s">
        <v>8</v>
      </c>
      <c r="F4" s="30">
        <f>+D4-6%</f>
        <v>0.44</v>
      </c>
      <c r="G4" s="45">
        <f>+D4+6%</f>
        <v>0.56000000000000005</v>
      </c>
      <c r="H4" s="31" t="s">
        <v>52</v>
      </c>
    </row>
    <row r="5" spans="1:8" s="3" customFormat="1" ht="60" x14ac:dyDescent="0.25">
      <c r="B5" s="10" t="s">
        <v>9</v>
      </c>
      <c r="C5" s="15">
        <v>0.16039999999999999</v>
      </c>
      <c r="D5" s="39">
        <v>0.15</v>
      </c>
      <c r="E5" s="35" t="s">
        <v>10</v>
      </c>
      <c r="F5" s="5">
        <f>+D5-5%</f>
        <v>9.9999999999999992E-2</v>
      </c>
      <c r="G5" s="27">
        <f>+D5+5%</f>
        <v>0.2</v>
      </c>
      <c r="H5" s="24" t="s">
        <v>22</v>
      </c>
    </row>
    <row r="6" spans="1:8" s="3" customFormat="1" ht="75" x14ac:dyDescent="0.25">
      <c r="B6" s="10" t="s">
        <v>11</v>
      </c>
      <c r="C6" s="15">
        <v>0.2964</v>
      </c>
      <c r="D6" s="39">
        <v>0.32</v>
      </c>
      <c r="E6" s="35" t="s">
        <v>8</v>
      </c>
      <c r="F6" s="5">
        <f>+D6-6%</f>
        <v>0.26</v>
      </c>
      <c r="G6" s="27">
        <f>+D6+6%</f>
        <v>0.38</v>
      </c>
      <c r="H6" s="23" t="s">
        <v>23</v>
      </c>
    </row>
    <row r="7" spans="1:8" s="3" customFormat="1" ht="15" x14ac:dyDescent="0.25">
      <c r="B7" s="21" t="s">
        <v>20</v>
      </c>
      <c r="C7" s="15">
        <v>0</v>
      </c>
      <c r="D7" s="39">
        <v>0</v>
      </c>
      <c r="E7" s="35" t="s">
        <v>10</v>
      </c>
      <c r="F7" s="5">
        <v>0</v>
      </c>
      <c r="G7" s="27">
        <f>+D7+5%</f>
        <v>0.05</v>
      </c>
      <c r="H7" s="23"/>
    </row>
    <row r="8" spans="1:8" s="3" customFormat="1" ht="15" x14ac:dyDescent="0.25">
      <c r="B8" s="21" t="s">
        <v>21</v>
      </c>
      <c r="C8" s="15">
        <v>0</v>
      </c>
      <c r="D8" s="39">
        <v>0</v>
      </c>
      <c r="E8" s="35" t="s">
        <v>10</v>
      </c>
      <c r="F8" s="5">
        <v>0</v>
      </c>
      <c r="G8" s="27">
        <f>+D8+5%</f>
        <v>0.05</v>
      </c>
      <c r="H8" s="23"/>
    </row>
    <row r="9" spans="1:8" s="3" customFormat="1" ht="15" x14ac:dyDescent="0.25">
      <c r="B9" s="10" t="s">
        <v>12</v>
      </c>
      <c r="C9" s="16">
        <v>3.6499999999999998E-2</v>
      </c>
      <c r="D9" s="40">
        <v>0.03</v>
      </c>
      <c r="E9" s="22" t="s">
        <v>10</v>
      </c>
      <c r="F9" s="6">
        <v>0</v>
      </c>
      <c r="G9" s="12">
        <f>+D9+5%</f>
        <v>0.08</v>
      </c>
      <c r="H9" s="25"/>
    </row>
    <row r="10" spans="1:8" ht="15" x14ac:dyDescent="0.25">
      <c r="A10" s="3"/>
      <c r="B10" s="10" t="s">
        <v>13</v>
      </c>
      <c r="C10" s="16">
        <v>1.0049999999999999</v>
      </c>
      <c r="D10" s="40">
        <v>1</v>
      </c>
      <c r="E10" s="22"/>
      <c r="F10" s="6"/>
      <c r="G10" s="12"/>
      <c r="H10" s="25"/>
    </row>
    <row r="11" spans="1:8" ht="15.75" thickBot="1" x14ac:dyDescent="0.3">
      <c r="A11" s="3"/>
      <c r="B11" s="11" t="s">
        <v>14</v>
      </c>
      <c r="C11" s="17">
        <v>0.1704</v>
      </c>
      <c r="D11" s="41">
        <v>0.15</v>
      </c>
      <c r="E11" s="36" t="s">
        <v>8</v>
      </c>
      <c r="F11" s="7">
        <f>+D11-6%</f>
        <v>0.09</v>
      </c>
      <c r="G11" s="46">
        <f>+D11+6%</f>
        <v>0.21</v>
      </c>
      <c r="H11" s="26"/>
    </row>
    <row r="12" spans="1:8" ht="15.75" x14ac:dyDescent="0.2">
      <c r="A12" s="4"/>
      <c r="B12" s="52" t="s">
        <v>62</v>
      </c>
      <c r="C12" s="52"/>
      <c r="D12" s="52"/>
      <c r="E12" s="52"/>
      <c r="F12" s="52"/>
      <c r="G12" s="52"/>
      <c r="H12" s="52"/>
    </row>
    <row r="13" spans="1:8" ht="15" x14ac:dyDescent="0.25">
      <c r="A13" s="4"/>
      <c r="B13" s="28" t="s">
        <v>50</v>
      </c>
      <c r="C13" s="28"/>
      <c r="D13" s="28"/>
      <c r="E13" s="28"/>
      <c r="F13" s="28"/>
      <c r="G13" s="28"/>
      <c r="H13" s="28"/>
    </row>
    <row r="14" spans="1:8" s="9" customFormat="1" ht="15" x14ac:dyDescent="0.25">
      <c r="A14" s="4"/>
      <c r="B14" s="28" t="s">
        <v>15</v>
      </c>
      <c r="C14" s="28"/>
      <c r="D14" s="28"/>
      <c r="E14" s="28"/>
      <c r="F14" s="28"/>
      <c r="G14" s="28"/>
      <c r="H14" s="28"/>
    </row>
  </sheetData>
  <mergeCells count="4">
    <mergeCell ref="B1:H1"/>
    <mergeCell ref="F2:G2"/>
    <mergeCell ref="B12:H12"/>
    <mergeCell ref="C3:D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7"/>
  <sheetViews>
    <sheetView rightToLeft="1" zoomScaleNormal="100" workbookViewId="0">
      <selection activeCell="K4" sqref="K4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8" s="8" customFormat="1" ht="27.75" customHeight="1" thickBot="1" x14ac:dyDescent="0.25">
      <c r="B1" s="49" t="s">
        <v>37</v>
      </c>
      <c r="C1" s="49"/>
      <c r="D1" s="49"/>
      <c r="E1" s="49"/>
      <c r="F1" s="49"/>
      <c r="G1" s="49"/>
      <c r="H1" s="49"/>
    </row>
    <row r="2" spans="1:8" s="2" customFormat="1" ht="31.5" customHeight="1" thickBot="1" x14ac:dyDescent="0.25">
      <c r="B2" s="20" t="s">
        <v>0</v>
      </c>
      <c r="C2" s="18" t="s">
        <v>54</v>
      </c>
      <c r="D2" s="19" t="s">
        <v>53</v>
      </c>
      <c r="E2" s="19" t="s">
        <v>1</v>
      </c>
      <c r="F2" s="50" t="s">
        <v>2</v>
      </c>
      <c r="G2" s="51"/>
      <c r="H2" s="20" t="s">
        <v>3</v>
      </c>
    </row>
    <row r="3" spans="1:8" ht="15.75" thickBot="1" x14ac:dyDescent="0.3">
      <c r="B3" s="42" t="s">
        <v>4</v>
      </c>
      <c r="C3" s="54">
        <v>141341.1</v>
      </c>
      <c r="D3" s="55"/>
      <c r="E3" s="33"/>
      <c r="F3" s="43" t="s">
        <v>5</v>
      </c>
      <c r="G3" s="44" t="s">
        <v>6</v>
      </c>
      <c r="H3" s="32"/>
    </row>
    <row r="4" spans="1:8" s="3" customFormat="1" ht="15" x14ac:dyDescent="0.25">
      <c r="B4" s="29" t="s">
        <v>7</v>
      </c>
      <c r="C4" s="37">
        <v>0.93720000000000003</v>
      </c>
      <c r="D4" s="38">
        <v>0.995</v>
      </c>
      <c r="E4" s="34" t="s">
        <v>8</v>
      </c>
      <c r="F4" s="30">
        <f>+D4-6%</f>
        <v>0.93500000000000005</v>
      </c>
      <c r="G4" s="45">
        <v>1</v>
      </c>
      <c r="H4" s="31" t="s">
        <v>52</v>
      </c>
    </row>
    <row r="5" spans="1:8" s="3" customFormat="1" ht="15" x14ac:dyDescent="0.25">
      <c r="B5" s="10" t="s">
        <v>60</v>
      </c>
      <c r="C5" s="15">
        <v>0</v>
      </c>
      <c r="D5" s="39">
        <v>0</v>
      </c>
      <c r="E5" s="35" t="s">
        <v>10</v>
      </c>
      <c r="F5" s="5">
        <v>0</v>
      </c>
      <c r="G5" s="27">
        <v>0</v>
      </c>
      <c r="H5" s="24"/>
    </row>
    <row r="6" spans="1:8" s="3" customFormat="1" ht="15" x14ac:dyDescent="0.25">
      <c r="B6" s="10" t="s">
        <v>11</v>
      </c>
      <c r="C6" s="15">
        <v>0</v>
      </c>
      <c r="D6" s="39">
        <v>0</v>
      </c>
      <c r="E6" s="35" t="s">
        <v>8</v>
      </c>
      <c r="F6" s="5">
        <v>0</v>
      </c>
      <c r="G6" s="27">
        <v>0</v>
      </c>
      <c r="H6" s="23"/>
    </row>
    <row r="7" spans="1:8" s="3" customFormat="1" ht="15" x14ac:dyDescent="0.25">
      <c r="B7" s="21" t="s">
        <v>20</v>
      </c>
      <c r="C7" s="15">
        <v>0</v>
      </c>
      <c r="D7" s="39">
        <v>0</v>
      </c>
      <c r="E7" s="35" t="s">
        <v>10</v>
      </c>
      <c r="F7" s="5">
        <v>0</v>
      </c>
      <c r="G7" s="27">
        <v>0</v>
      </c>
      <c r="H7" s="23"/>
    </row>
    <row r="8" spans="1:8" s="3" customFormat="1" ht="15" x14ac:dyDescent="0.25">
      <c r="B8" s="21" t="s">
        <v>21</v>
      </c>
      <c r="C8" s="15">
        <v>0</v>
      </c>
      <c r="D8" s="39">
        <v>0</v>
      </c>
      <c r="E8" s="35" t="s">
        <v>10</v>
      </c>
      <c r="F8" s="5">
        <v>0</v>
      </c>
      <c r="G8" s="27">
        <v>0</v>
      </c>
      <c r="H8" s="23"/>
    </row>
    <row r="9" spans="1:8" s="3" customFormat="1" ht="15" x14ac:dyDescent="0.25">
      <c r="B9" s="10" t="s">
        <v>61</v>
      </c>
      <c r="C9" s="16">
        <v>7.1599999999999997E-2</v>
      </c>
      <c r="D9" s="40">
        <v>5.0000000000000001E-3</v>
      </c>
      <c r="E9" s="22" t="s">
        <v>10</v>
      </c>
      <c r="F9" s="6">
        <v>0</v>
      </c>
      <c r="G9" s="12">
        <f t="shared" ref="G9" si="0">+D9+5%</f>
        <v>5.5E-2</v>
      </c>
      <c r="H9" s="25"/>
    </row>
    <row r="10" spans="1:8" ht="15" x14ac:dyDescent="0.25">
      <c r="A10" s="3"/>
      <c r="B10" s="10" t="s">
        <v>13</v>
      </c>
      <c r="C10" s="16">
        <v>1.0089999999999999</v>
      </c>
      <c r="D10" s="40">
        <v>1</v>
      </c>
      <c r="E10" s="22"/>
      <c r="F10" s="6"/>
      <c r="G10" s="12"/>
      <c r="H10" s="25"/>
    </row>
    <row r="11" spans="1:8" ht="15.75" thickBot="1" x14ac:dyDescent="0.3">
      <c r="A11" s="3"/>
      <c r="B11" s="11" t="s">
        <v>14</v>
      </c>
      <c r="C11" s="17">
        <v>0.1961</v>
      </c>
      <c r="D11" s="41">
        <v>0.15</v>
      </c>
      <c r="E11" s="36" t="s">
        <v>8</v>
      </c>
      <c r="F11" s="7">
        <f>+D11-6%</f>
        <v>0.09</v>
      </c>
      <c r="G11" s="46">
        <f>+D11+6%</f>
        <v>0.21</v>
      </c>
      <c r="H11" s="26"/>
    </row>
    <row r="12" spans="1:8" ht="15.75" x14ac:dyDescent="0.2">
      <c r="A12" s="4"/>
      <c r="B12" s="52" t="s">
        <v>63</v>
      </c>
      <c r="C12" s="52"/>
      <c r="D12" s="52"/>
      <c r="E12" s="52"/>
      <c r="F12" s="52"/>
      <c r="G12" s="52"/>
      <c r="H12" s="52"/>
    </row>
    <row r="13" spans="1:8" ht="15.75" x14ac:dyDescent="0.2">
      <c r="A13" s="4"/>
      <c r="B13" s="48"/>
      <c r="C13" s="48"/>
      <c r="D13" s="48"/>
      <c r="E13" s="48"/>
      <c r="F13" s="48"/>
      <c r="G13" s="48"/>
      <c r="H13" s="48"/>
    </row>
    <row r="14" spans="1:8" x14ac:dyDescent="0.2">
      <c r="B14" s="14" t="s">
        <v>49</v>
      </c>
    </row>
    <row r="15" spans="1:8" ht="15.75" x14ac:dyDescent="0.2">
      <c r="A15" s="4"/>
      <c r="B15" s="48"/>
      <c r="C15" s="48"/>
      <c r="D15" s="48"/>
      <c r="E15" s="48"/>
      <c r="F15" s="48"/>
      <c r="G15" s="48"/>
      <c r="H15" s="48"/>
    </row>
    <row r="16" spans="1:8" ht="15" x14ac:dyDescent="0.25">
      <c r="A16" s="4"/>
      <c r="B16" s="28" t="s">
        <v>50</v>
      </c>
      <c r="C16" s="28"/>
      <c r="D16" s="28"/>
      <c r="E16" s="28"/>
      <c r="F16" s="28"/>
      <c r="G16" s="28"/>
      <c r="H16" s="28"/>
    </row>
    <row r="17" spans="1:8" s="9" customFormat="1" ht="15" x14ac:dyDescent="0.25">
      <c r="A17" s="4"/>
      <c r="B17" s="28" t="s">
        <v>15</v>
      </c>
      <c r="C17" s="28"/>
      <c r="D17" s="28"/>
      <c r="E17" s="28"/>
      <c r="F17" s="28"/>
      <c r="G17" s="28"/>
      <c r="H17" s="28"/>
    </row>
  </sheetData>
  <mergeCells count="4">
    <mergeCell ref="B1:H1"/>
    <mergeCell ref="F2:G2"/>
    <mergeCell ref="B12:H12"/>
    <mergeCell ref="C3:D3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4"/>
  <sheetViews>
    <sheetView rightToLeft="1" zoomScaleNormal="100" workbookViewId="0">
      <selection activeCell="K4" sqref="K4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8" s="8" customFormat="1" ht="27.75" customHeight="1" thickBot="1" x14ac:dyDescent="0.25">
      <c r="B1" s="49" t="s">
        <v>31</v>
      </c>
      <c r="C1" s="49"/>
      <c r="D1" s="49"/>
      <c r="E1" s="49"/>
      <c r="F1" s="49"/>
      <c r="G1" s="49"/>
      <c r="H1" s="49"/>
    </row>
    <row r="2" spans="1:8" s="2" customFormat="1" ht="31.5" customHeight="1" thickBot="1" x14ac:dyDescent="0.25">
      <c r="B2" s="20" t="s">
        <v>0</v>
      </c>
      <c r="C2" s="18" t="s">
        <v>54</v>
      </c>
      <c r="D2" s="19" t="s">
        <v>53</v>
      </c>
      <c r="E2" s="19" t="s">
        <v>1</v>
      </c>
      <c r="F2" s="50" t="s">
        <v>2</v>
      </c>
      <c r="G2" s="51"/>
      <c r="H2" s="20" t="s">
        <v>3</v>
      </c>
    </row>
    <row r="3" spans="1:8" ht="15.75" thickBot="1" x14ac:dyDescent="0.3">
      <c r="B3" s="42" t="s">
        <v>4</v>
      </c>
      <c r="C3" s="54">
        <v>326442.5</v>
      </c>
      <c r="D3" s="55"/>
      <c r="E3" s="33"/>
      <c r="F3" s="43" t="s">
        <v>5</v>
      </c>
      <c r="G3" s="44" t="s">
        <v>6</v>
      </c>
      <c r="H3" s="32"/>
    </row>
    <row r="4" spans="1:8" s="3" customFormat="1" ht="15" x14ac:dyDescent="0.25">
      <c r="B4" s="29" t="s">
        <v>7</v>
      </c>
      <c r="C4" s="37">
        <v>0.24030000000000001</v>
      </c>
      <c r="D4" s="38">
        <v>0.24</v>
      </c>
      <c r="E4" s="34" t="s">
        <v>8</v>
      </c>
      <c r="F4" s="30">
        <f>+D4-6%</f>
        <v>0.18</v>
      </c>
      <c r="G4" s="45">
        <f>+D4+6%</f>
        <v>0.3</v>
      </c>
      <c r="H4" s="31" t="s">
        <v>52</v>
      </c>
    </row>
    <row r="5" spans="1:8" s="3" customFormat="1" ht="60" x14ac:dyDescent="0.25">
      <c r="B5" s="10" t="s">
        <v>9</v>
      </c>
      <c r="C5" s="15">
        <v>0.35460000000000003</v>
      </c>
      <c r="D5" s="39">
        <v>0.37</v>
      </c>
      <c r="E5" s="35" t="s">
        <v>10</v>
      </c>
      <c r="F5" s="5">
        <f>+D5-5%</f>
        <v>0.32</v>
      </c>
      <c r="G5" s="27">
        <f>+D5+5%</f>
        <v>0.42</v>
      </c>
      <c r="H5" s="24" t="s">
        <v>22</v>
      </c>
    </row>
    <row r="6" spans="1:8" s="3" customFormat="1" ht="75" x14ac:dyDescent="0.25">
      <c r="B6" s="10" t="s">
        <v>11</v>
      </c>
      <c r="C6" s="15">
        <v>0.35099999999999998</v>
      </c>
      <c r="D6" s="39">
        <v>0.35</v>
      </c>
      <c r="E6" s="35" t="s">
        <v>8</v>
      </c>
      <c r="F6" s="5">
        <f>+D6-6%</f>
        <v>0.28999999999999998</v>
      </c>
      <c r="G6" s="27">
        <f>+D6+6%</f>
        <v>0.41</v>
      </c>
      <c r="H6" s="23" t="s">
        <v>23</v>
      </c>
    </row>
    <row r="7" spans="1:8" s="3" customFormat="1" ht="15" x14ac:dyDescent="0.25">
      <c r="B7" s="21" t="s">
        <v>20</v>
      </c>
      <c r="C7" s="15">
        <v>0</v>
      </c>
      <c r="D7" s="39">
        <v>0</v>
      </c>
      <c r="E7" s="35" t="s">
        <v>10</v>
      </c>
      <c r="F7" s="5">
        <v>0</v>
      </c>
      <c r="G7" s="27">
        <f>+D7+5%</f>
        <v>0.05</v>
      </c>
      <c r="H7" s="23"/>
    </row>
    <row r="8" spans="1:8" s="3" customFormat="1" ht="15" x14ac:dyDescent="0.25">
      <c r="B8" s="21" t="s">
        <v>21</v>
      </c>
      <c r="C8" s="15">
        <v>3.4200000000000001E-2</v>
      </c>
      <c r="D8" s="39">
        <v>0</v>
      </c>
      <c r="E8" s="35" t="s">
        <v>10</v>
      </c>
      <c r="F8" s="5">
        <v>0</v>
      </c>
      <c r="G8" s="27">
        <f t="shared" ref="G8:G9" si="0">+D8+5%</f>
        <v>0.05</v>
      </c>
      <c r="H8" s="23"/>
    </row>
    <row r="9" spans="1:8" s="3" customFormat="1" ht="15" x14ac:dyDescent="0.25">
      <c r="B9" s="10" t="s">
        <v>12</v>
      </c>
      <c r="C9" s="16">
        <v>3.8300000000000001E-2</v>
      </c>
      <c r="D9" s="40">
        <v>0.04</v>
      </c>
      <c r="E9" s="22" t="s">
        <v>10</v>
      </c>
      <c r="F9" s="6">
        <v>0</v>
      </c>
      <c r="G9" s="12">
        <f t="shared" si="0"/>
        <v>0.09</v>
      </c>
      <c r="H9" s="25"/>
    </row>
    <row r="10" spans="1:8" s="3" customFormat="1" ht="15" x14ac:dyDescent="0.25">
      <c r="B10" s="10" t="s">
        <v>13</v>
      </c>
      <c r="C10" s="16">
        <v>1.018</v>
      </c>
      <c r="D10" s="40">
        <v>1</v>
      </c>
      <c r="E10" s="22"/>
      <c r="F10" s="6"/>
      <c r="G10" s="12"/>
      <c r="H10" s="25"/>
    </row>
    <row r="11" spans="1:8" ht="15.75" thickBot="1" x14ac:dyDescent="0.3">
      <c r="A11" s="3"/>
      <c r="B11" s="11" t="s">
        <v>14</v>
      </c>
      <c r="C11" s="17">
        <v>7.2999999999999995E-2</v>
      </c>
      <c r="D11" s="41">
        <v>0.1</v>
      </c>
      <c r="E11" s="36" t="s">
        <v>8</v>
      </c>
      <c r="F11" s="7">
        <f>+D11-6%</f>
        <v>4.0000000000000008E-2</v>
      </c>
      <c r="G11" s="46">
        <f>+D11+6%</f>
        <v>0.16</v>
      </c>
      <c r="H11" s="26"/>
    </row>
    <row r="12" spans="1:8" ht="15.75" x14ac:dyDescent="0.2">
      <c r="A12" s="4"/>
      <c r="B12" s="52" t="s">
        <v>64</v>
      </c>
      <c r="C12" s="52"/>
      <c r="D12" s="52"/>
      <c r="E12" s="52"/>
      <c r="F12" s="52"/>
      <c r="G12" s="52"/>
      <c r="H12" s="52"/>
    </row>
    <row r="13" spans="1:8" ht="15" x14ac:dyDescent="0.25">
      <c r="A13" s="4"/>
      <c r="B13" s="28" t="s">
        <v>50</v>
      </c>
      <c r="C13" s="28"/>
      <c r="D13" s="28"/>
      <c r="E13" s="28"/>
      <c r="F13" s="28"/>
      <c r="G13" s="28"/>
      <c r="H13" s="28"/>
    </row>
    <row r="14" spans="1:8" s="9" customFormat="1" ht="15" x14ac:dyDescent="0.25">
      <c r="A14" s="4"/>
      <c r="B14" s="28" t="s">
        <v>15</v>
      </c>
      <c r="C14" s="28"/>
      <c r="D14" s="28"/>
      <c r="E14" s="28"/>
      <c r="F14" s="28"/>
      <c r="G14" s="28"/>
      <c r="H14" s="28"/>
    </row>
  </sheetData>
  <mergeCells count="4">
    <mergeCell ref="B1:H1"/>
    <mergeCell ref="F2:G2"/>
    <mergeCell ref="B12:H12"/>
    <mergeCell ref="C3:D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5"/>
  <sheetViews>
    <sheetView rightToLeft="1" zoomScale="115" zoomScaleNormal="115" workbookViewId="0">
      <selection activeCell="K4" sqref="K4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8" s="8" customFormat="1" ht="27.75" customHeight="1" thickBot="1" x14ac:dyDescent="0.25">
      <c r="B1" s="49" t="s">
        <v>32</v>
      </c>
      <c r="C1" s="49"/>
      <c r="D1" s="49"/>
      <c r="E1" s="49"/>
      <c r="F1" s="49"/>
      <c r="G1" s="49"/>
      <c r="H1" s="49"/>
    </row>
    <row r="2" spans="1:8" s="2" customFormat="1" ht="31.5" customHeight="1" thickBot="1" x14ac:dyDescent="0.25">
      <c r="B2" s="20" t="s">
        <v>0</v>
      </c>
      <c r="C2" s="18" t="s">
        <v>54</v>
      </c>
      <c r="D2" s="19" t="s">
        <v>53</v>
      </c>
      <c r="E2" s="19" t="s">
        <v>1</v>
      </c>
      <c r="F2" s="50" t="s">
        <v>2</v>
      </c>
      <c r="G2" s="51"/>
      <c r="H2" s="20" t="s">
        <v>3</v>
      </c>
    </row>
    <row r="3" spans="1:8" ht="15.75" thickBot="1" x14ac:dyDescent="0.3">
      <c r="B3" s="42" t="s">
        <v>4</v>
      </c>
      <c r="C3" s="54">
        <v>251148.7</v>
      </c>
      <c r="D3" s="55"/>
      <c r="E3" s="33"/>
      <c r="F3" s="43" t="s">
        <v>5</v>
      </c>
      <c r="G3" s="44" t="s">
        <v>6</v>
      </c>
      <c r="H3" s="32"/>
    </row>
    <row r="4" spans="1:8" s="3" customFormat="1" ht="15" x14ac:dyDescent="0.25">
      <c r="B4" s="29" t="s">
        <v>7</v>
      </c>
      <c r="C4" s="37">
        <v>0.98060000000000003</v>
      </c>
      <c r="D4" s="38">
        <v>0.995</v>
      </c>
      <c r="E4" s="34" t="s">
        <v>8</v>
      </c>
      <c r="F4" s="30">
        <f>+D4-6%</f>
        <v>0.93500000000000005</v>
      </c>
      <c r="G4" s="45">
        <f>+D4+6%</f>
        <v>1.0549999999999999</v>
      </c>
      <c r="H4" s="31" t="s">
        <v>33</v>
      </c>
    </row>
    <row r="5" spans="1:8" s="3" customFormat="1" ht="15" x14ac:dyDescent="0.25">
      <c r="B5" s="10" t="s">
        <v>9</v>
      </c>
      <c r="C5" s="15">
        <v>0</v>
      </c>
      <c r="D5" s="39">
        <v>0</v>
      </c>
      <c r="E5" s="35" t="s">
        <v>10</v>
      </c>
      <c r="F5" s="5">
        <v>0</v>
      </c>
      <c r="G5" s="27">
        <f>+D5+5%</f>
        <v>0.05</v>
      </c>
      <c r="H5" s="24"/>
    </row>
    <row r="6" spans="1:8" s="3" customFormat="1" ht="15" x14ac:dyDescent="0.25">
      <c r="B6" s="10" t="s">
        <v>11</v>
      </c>
      <c r="C6" s="15">
        <v>0</v>
      </c>
      <c r="D6" s="39">
        <v>0</v>
      </c>
      <c r="E6" s="35" t="s">
        <v>8</v>
      </c>
      <c r="F6" s="5">
        <v>0</v>
      </c>
      <c r="G6" s="27">
        <f>+D6+6%</f>
        <v>0.06</v>
      </c>
      <c r="H6" s="23"/>
    </row>
    <row r="7" spans="1:8" s="3" customFormat="1" ht="15" x14ac:dyDescent="0.25">
      <c r="B7" s="21" t="s">
        <v>20</v>
      </c>
      <c r="C7" s="15">
        <v>0</v>
      </c>
      <c r="D7" s="39">
        <v>0</v>
      </c>
      <c r="E7" s="35" t="s">
        <v>10</v>
      </c>
      <c r="F7" s="5">
        <v>0</v>
      </c>
      <c r="G7" s="27">
        <f t="shared" ref="G7:G8" si="0">+D7+6%</f>
        <v>0.06</v>
      </c>
      <c r="H7" s="23"/>
    </row>
    <row r="8" spans="1:8" s="3" customFormat="1" ht="15" x14ac:dyDescent="0.25">
      <c r="B8" s="21" t="s">
        <v>21</v>
      </c>
      <c r="C8" s="15">
        <v>0</v>
      </c>
      <c r="D8" s="39">
        <v>0</v>
      </c>
      <c r="E8" s="35" t="s">
        <v>10</v>
      </c>
      <c r="F8" s="5">
        <v>0</v>
      </c>
      <c r="G8" s="27">
        <f t="shared" si="0"/>
        <v>0.06</v>
      </c>
      <c r="H8" s="23"/>
    </row>
    <row r="9" spans="1:8" s="3" customFormat="1" ht="15" x14ac:dyDescent="0.25">
      <c r="B9" s="10" t="s">
        <v>12</v>
      </c>
      <c r="C9" s="16">
        <v>0.1002</v>
      </c>
      <c r="D9" s="40">
        <v>5.0000000000000001E-3</v>
      </c>
      <c r="E9" s="22" t="s">
        <v>10</v>
      </c>
      <c r="F9" s="6">
        <v>0</v>
      </c>
      <c r="G9" s="12">
        <f>+D9+5%</f>
        <v>5.5E-2</v>
      </c>
      <c r="H9" s="25"/>
    </row>
    <row r="10" spans="1:8" ht="15" x14ac:dyDescent="0.25">
      <c r="A10" s="3"/>
      <c r="B10" s="10" t="s">
        <v>13</v>
      </c>
      <c r="C10" s="16">
        <v>1.081</v>
      </c>
      <c r="D10" s="40">
        <v>1</v>
      </c>
      <c r="E10" s="22"/>
      <c r="F10" s="6"/>
      <c r="G10" s="12"/>
      <c r="H10" s="25"/>
    </row>
    <row r="11" spans="1:8" ht="15.75" thickBot="1" x14ac:dyDescent="0.3">
      <c r="A11" s="3"/>
      <c r="B11" s="11" t="s">
        <v>14</v>
      </c>
      <c r="C11" s="17">
        <v>0.37590000000000001</v>
      </c>
      <c r="D11" s="41">
        <v>0</v>
      </c>
      <c r="E11" s="36" t="s">
        <v>8</v>
      </c>
      <c r="F11" s="7">
        <v>0</v>
      </c>
      <c r="G11" s="46">
        <f>+D11+6%</f>
        <v>0.06</v>
      </c>
      <c r="H11" s="26"/>
    </row>
    <row r="12" spans="1:8" ht="15.75" x14ac:dyDescent="0.2">
      <c r="A12" s="4"/>
      <c r="B12" s="52" t="s">
        <v>65</v>
      </c>
      <c r="C12" s="52"/>
      <c r="D12" s="52"/>
      <c r="E12" s="52"/>
      <c r="F12" s="52"/>
      <c r="G12" s="52"/>
      <c r="H12" s="52"/>
    </row>
    <row r="13" spans="1:8" ht="15" x14ac:dyDescent="0.25">
      <c r="A13" s="4"/>
      <c r="B13" s="28" t="s">
        <v>50</v>
      </c>
      <c r="C13" s="28"/>
      <c r="D13" s="28"/>
      <c r="E13" s="28"/>
      <c r="F13" s="28"/>
      <c r="G13" s="28"/>
      <c r="H13" s="28"/>
    </row>
    <row r="14" spans="1:8" s="9" customFormat="1" ht="15" x14ac:dyDescent="0.25">
      <c r="A14" s="4"/>
      <c r="B14" s="28" t="s">
        <v>15</v>
      </c>
      <c r="C14" s="28"/>
      <c r="D14" s="28"/>
      <c r="E14" s="28"/>
      <c r="F14" s="28"/>
      <c r="G14" s="28"/>
      <c r="H14" s="28"/>
    </row>
    <row r="15" spans="1:8" x14ac:dyDescent="0.2">
      <c r="A15" s="4"/>
    </row>
  </sheetData>
  <mergeCells count="4">
    <mergeCell ref="B1:H1"/>
    <mergeCell ref="F2:G2"/>
    <mergeCell ref="B12:H12"/>
    <mergeCell ref="C3:D3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8"/>
  <sheetViews>
    <sheetView rightToLeft="1" zoomScale="115" zoomScaleNormal="115" workbookViewId="0">
      <selection activeCell="K4" sqref="K4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8" s="8" customFormat="1" ht="27.75" customHeight="1" thickBot="1" x14ac:dyDescent="0.25">
      <c r="B1" s="49" t="s">
        <v>34</v>
      </c>
      <c r="C1" s="49"/>
      <c r="D1" s="49"/>
      <c r="E1" s="49"/>
      <c r="F1" s="49"/>
      <c r="G1" s="49"/>
      <c r="H1" s="49"/>
    </row>
    <row r="2" spans="1:8" s="2" customFormat="1" ht="31.5" customHeight="1" thickBot="1" x14ac:dyDescent="0.25">
      <c r="B2" s="20" t="s">
        <v>0</v>
      </c>
      <c r="C2" s="18" t="s">
        <v>54</v>
      </c>
      <c r="D2" s="19" t="s">
        <v>53</v>
      </c>
      <c r="E2" s="19" t="s">
        <v>1</v>
      </c>
      <c r="F2" s="50" t="s">
        <v>2</v>
      </c>
      <c r="G2" s="51"/>
      <c r="H2" s="20" t="s">
        <v>3</v>
      </c>
    </row>
    <row r="3" spans="1:8" ht="15.75" thickBot="1" x14ac:dyDescent="0.3">
      <c r="B3" s="42" t="s">
        <v>4</v>
      </c>
      <c r="C3" s="54">
        <v>69041</v>
      </c>
      <c r="D3" s="55"/>
      <c r="E3" s="33"/>
      <c r="F3" s="43" t="s">
        <v>5</v>
      </c>
      <c r="G3" s="44" t="s">
        <v>6</v>
      </c>
      <c r="H3" s="32"/>
    </row>
    <row r="4" spans="1:8" s="3" customFormat="1" ht="15" x14ac:dyDescent="0.25">
      <c r="B4" s="29" t="s">
        <v>7</v>
      </c>
      <c r="C4" s="37">
        <v>0.99619999999999997</v>
      </c>
      <c r="D4" s="38">
        <v>0.995</v>
      </c>
      <c r="E4" s="34" t="s">
        <v>8</v>
      </c>
      <c r="F4" s="30">
        <f>+D4-6%</f>
        <v>0.93500000000000005</v>
      </c>
      <c r="G4" s="45">
        <v>1</v>
      </c>
      <c r="H4" s="31" t="s">
        <v>35</v>
      </c>
    </row>
    <row r="5" spans="1:8" s="3" customFormat="1" ht="15" x14ac:dyDescent="0.25">
      <c r="B5" s="10" t="s">
        <v>60</v>
      </c>
      <c r="C5" s="15">
        <v>0</v>
      </c>
      <c r="D5" s="39">
        <v>0</v>
      </c>
      <c r="E5" s="35" t="s">
        <v>10</v>
      </c>
      <c r="F5" s="5">
        <v>0</v>
      </c>
      <c r="G5" s="27">
        <v>0</v>
      </c>
      <c r="H5" s="24"/>
    </row>
    <row r="6" spans="1:8" s="3" customFormat="1" ht="15" x14ac:dyDescent="0.25">
      <c r="B6" s="10" t="s">
        <v>11</v>
      </c>
      <c r="C6" s="15">
        <v>0</v>
      </c>
      <c r="D6" s="39">
        <v>0</v>
      </c>
      <c r="E6" s="35" t="s">
        <v>8</v>
      </c>
      <c r="F6" s="5">
        <v>0</v>
      </c>
      <c r="G6" s="27">
        <v>0</v>
      </c>
      <c r="H6" s="23"/>
    </row>
    <row r="7" spans="1:8" s="3" customFormat="1" ht="15" x14ac:dyDescent="0.25">
      <c r="B7" s="21" t="s">
        <v>20</v>
      </c>
      <c r="C7" s="15">
        <v>0</v>
      </c>
      <c r="D7" s="39">
        <v>0</v>
      </c>
      <c r="E7" s="35" t="s">
        <v>10</v>
      </c>
      <c r="F7" s="5">
        <v>0</v>
      </c>
      <c r="G7" s="27">
        <v>0</v>
      </c>
      <c r="H7" s="23"/>
    </row>
    <row r="8" spans="1:8" s="3" customFormat="1" ht="15" x14ac:dyDescent="0.25">
      <c r="B8" s="21" t="s">
        <v>21</v>
      </c>
      <c r="C8" s="15">
        <v>0</v>
      </c>
      <c r="D8" s="39">
        <v>0</v>
      </c>
      <c r="E8" s="35" t="s">
        <v>10</v>
      </c>
      <c r="F8" s="5">
        <v>0</v>
      </c>
      <c r="G8" s="27">
        <v>0</v>
      </c>
      <c r="H8" s="23"/>
    </row>
    <row r="9" spans="1:8" s="3" customFormat="1" ht="15" x14ac:dyDescent="0.25">
      <c r="B9" s="10" t="s">
        <v>61</v>
      </c>
      <c r="C9" s="16">
        <v>4.5900000000000003E-2</v>
      </c>
      <c r="D9" s="40">
        <v>5.0000000000000001E-3</v>
      </c>
      <c r="E9" s="22" t="s">
        <v>10</v>
      </c>
      <c r="F9" s="6">
        <v>0</v>
      </c>
      <c r="G9" s="12">
        <f t="shared" ref="G9" si="0">+D9+5%</f>
        <v>5.5E-2</v>
      </c>
      <c r="H9" s="25"/>
    </row>
    <row r="10" spans="1:8" ht="15" x14ac:dyDescent="0.25">
      <c r="A10" s="3"/>
      <c r="B10" s="10" t="s">
        <v>13</v>
      </c>
      <c r="C10" s="16">
        <v>1.042</v>
      </c>
      <c r="D10" s="40">
        <v>1</v>
      </c>
      <c r="E10" s="22"/>
      <c r="F10" s="6"/>
      <c r="G10" s="12"/>
      <c r="H10" s="25"/>
    </row>
    <row r="11" spans="1:8" ht="15.75" thickBot="1" x14ac:dyDescent="0.3">
      <c r="A11" s="3"/>
      <c r="B11" s="11" t="s">
        <v>14</v>
      </c>
      <c r="C11" s="17">
        <v>0.97230000000000005</v>
      </c>
      <c r="D11" s="41">
        <v>1</v>
      </c>
      <c r="E11" s="36" t="s">
        <v>8</v>
      </c>
      <c r="F11" s="7">
        <f>+D11-6%</f>
        <v>0.94</v>
      </c>
      <c r="G11" s="46">
        <f>+D11+6%</f>
        <v>1.06</v>
      </c>
      <c r="H11" s="26"/>
    </row>
    <row r="12" spans="1:8" ht="15.75" x14ac:dyDescent="0.2">
      <c r="A12" s="4"/>
      <c r="B12" s="52" t="s">
        <v>66</v>
      </c>
      <c r="C12" s="52"/>
      <c r="D12" s="52"/>
      <c r="E12" s="52"/>
      <c r="F12" s="52"/>
      <c r="G12" s="52"/>
      <c r="H12" s="52"/>
    </row>
    <row r="13" spans="1:8" ht="15" x14ac:dyDescent="0.25">
      <c r="A13" s="4"/>
      <c r="B13" s="28"/>
      <c r="C13" s="28"/>
      <c r="D13" s="28"/>
      <c r="E13" s="28"/>
      <c r="F13" s="28"/>
      <c r="G13" s="28"/>
      <c r="H13" s="28"/>
    </row>
    <row r="14" spans="1:8" ht="15" thickBot="1" x14ac:dyDescent="0.25">
      <c r="B14" s="14" t="s">
        <v>49</v>
      </c>
    </row>
    <row r="15" spans="1:8" ht="15.75" x14ac:dyDescent="0.2">
      <c r="A15" s="4"/>
      <c r="B15" s="52"/>
      <c r="C15" s="52"/>
      <c r="D15" s="52"/>
      <c r="E15" s="52"/>
      <c r="F15" s="52"/>
      <c r="G15" s="52"/>
      <c r="H15" s="52"/>
    </row>
    <row r="16" spans="1:8" ht="15" x14ac:dyDescent="0.25">
      <c r="A16" s="4"/>
      <c r="B16" s="28" t="s">
        <v>50</v>
      </c>
      <c r="C16" s="28"/>
      <c r="D16" s="28"/>
      <c r="E16" s="28"/>
      <c r="F16" s="28"/>
      <c r="G16" s="28"/>
      <c r="H16" s="28"/>
    </row>
    <row r="17" spans="1:8" s="9" customFormat="1" ht="15" x14ac:dyDescent="0.25">
      <c r="A17" s="4"/>
      <c r="B17" s="28" t="s">
        <v>15</v>
      </c>
      <c r="C17" s="28"/>
      <c r="D17" s="28"/>
      <c r="E17" s="28"/>
      <c r="F17" s="28"/>
      <c r="G17" s="28"/>
      <c r="H17" s="28"/>
    </row>
    <row r="18" spans="1:8" x14ac:dyDescent="0.2">
      <c r="B18" s="13"/>
    </row>
  </sheetData>
  <mergeCells count="5">
    <mergeCell ref="B1:H1"/>
    <mergeCell ref="F2:G2"/>
    <mergeCell ref="B12:H12"/>
    <mergeCell ref="B15:H15"/>
    <mergeCell ref="C3:D3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4"/>
  <sheetViews>
    <sheetView rightToLeft="1" zoomScale="115" zoomScaleNormal="115" workbookViewId="0">
      <selection activeCell="J4" sqref="J4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8" s="8" customFormat="1" ht="27.75" customHeight="1" thickBot="1" x14ac:dyDescent="0.25">
      <c r="B1" s="49" t="s">
        <v>36</v>
      </c>
      <c r="C1" s="49"/>
      <c r="D1" s="49"/>
      <c r="E1" s="49"/>
      <c r="F1" s="49"/>
      <c r="G1" s="49"/>
      <c r="H1" s="49"/>
    </row>
    <row r="2" spans="1:8" s="2" customFormat="1" ht="31.5" customHeight="1" thickBot="1" x14ac:dyDescent="0.25">
      <c r="B2" s="20" t="s">
        <v>0</v>
      </c>
      <c r="C2" s="18" t="s">
        <v>54</v>
      </c>
      <c r="D2" s="19" t="s">
        <v>53</v>
      </c>
      <c r="E2" s="19" t="s">
        <v>1</v>
      </c>
      <c r="F2" s="50" t="s">
        <v>2</v>
      </c>
      <c r="G2" s="51"/>
      <c r="H2" s="20" t="s">
        <v>3</v>
      </c>
    </row>
    <row r="3" spans="1:8" ht="15.75" thickBot="1" x14ac:dyDescent="0.3">
      <c r="B3" s="42" t="s">
        <v>4</v>
      </c>
      <c r="C3" s="54">
        <v>322930.7</v>
      </c>
      <c r="D3" s="55"/>
      <c r="E3" s="33"/>
      <c r="F3" s="43" t="s">
        <v>5</v>
      </c>
      <c r="G3" s="44" t="s">
        <v>6</v>
      </c>
      <c r="H3" s="32"/>
    </row>
    <row r="4" spans="1:8" s="3" customFormat="1" ht="15" x14ac:dyDescent="0.25">
      <c r="B4" s="29" t="s">
        <v>7</v>
      </c>
      <c r="C4" s="37">
        <v>0.96589999999999998</v>
      </c>
      <c r="D4" s="38">
        <v>0.98</v>
      </c>
      <c r="E4" s="34" t="s">
        <v>8</v>
      </c>
      <c r="F4" s="30">
        <f>+D4-6%</f>
        <v>0.91999999999999993</v>
      </c>
      <c r="G4" s="45">
        <f>+D4+6%</f>
        <v>1.04</v>
      </c>
      <c r="H4" s="31" t="s">
        <v>52</v>
      </c>
    </row>
    <row r="5" spans="1:8" s="3" customFormat="1" ht="15" x14ac:dyDescent="0.25">
      <c r="B5" s="10" t="s">
        <v>9</v>
      </c>
      <c r="C5" s="15">
        <v>2.8899999999999999E-2</v>
      </c>
      <c r="D5" s="39">
        <v>0</v>
      </c>
      <c r="E5" s="35" t="s">
        <v>10</v>
      </c>
      <c r="F5" s="5">
        <v>0</v>
      </c>
      <c r="G5" s="27">
        <f>+D5+5%</f>
        <v>0.05</v>
      </c>
      <c r="H5" s="24"/>
    </row>
    <row r="6" spans="1:8" s="3" customFormat="1" ht="15" x14ac:dyDescent="0.25">
      <c r="B6" s="10" t="s">
        <v>11</v>
      </c>
      <c r="C6" s="15">
        <v>0</v>
      </c>
      <c r="D6" s="39">
        <v>0</v>
      </c>
      <c r="E6" s="35" t="s">
        <v>8</v>
      </c>
      <c r="F6" s="5">
        <v>0</v>
      </c>
      <c r="G6" s="27">
        <f>+D6+6%</f>
        <v>0.06</v>
      </c>
      <c r="H6" s="23"/>
    </row>
    <row r="7" spans="1:8" s="3" customFormat="1" ht="15" x14ac:dyDescent="0.25">
      <c r="B7" s="21" t="s">
        <v>20</v>
      </c>
      <c r="C7" s="15">
        <v>0</v>
      </c>
      <c r="D7" s="39">
        <v>0</v>
      </c>
      <c r="E7" s="35" t="s">
        <v>10</v>
      </c>
      <c r="F7" s="5">
        <v>0</v>
      </c>
      <c r="G7" s="27">
        <f>+D7+5%</f>
        <v>0.05</v>
      </c>
      <c r="H7" s="23"/>
    </row>
    <row r="8" spans="1:8" s="3" customFormat="1" ht="15" x14ac:dyDescent="0.25">
      <c r="B8" s="21" t="s">
        <v>21</v>
      </c>
      <c r="C8" s="15">
        <v>0</v>
      </c>
      <c r="D8" s="39">
        <v>0</v>
      </c>
      <c r="E8" s="35" t="s">
        <v>10</v>
      </c>
      <c r="F8" s="5">
        <v>0</v>
      </c>
      <c r="G8" s="27">
        <f>D8+5%</f>
        <v>0.05</v>
      </c>
      <c r="H8" s="23"/>
    </row>
    <row r="9" spans="1:8" s="3" customFormat="1" ht="15" x14ac:dyDescent="0.25">
      <c r="B9" s="10" t="s">
        <v>12</v>
      </c>
      <c r="C9" s="16">
        <v>5.8799999999999998E-2</v>
      </c>
      <c r="D9" s="40">
        <v>0.02</v>
      </c>
      <c r="E9" s="22" t="s">
        <v>10</v>
      </c>
      <c r="F9" s="6">
        <v>0</v>
      </c>
      <c r="G9" s="12">
        <f>D9+5%</f>
        <v>7.0000000000000007E-2</v>
      </c>
      <c r="H9" s="25"/>
    </row>
    <row r="10" spans="1:8" ht="15" x14ac:dyDescent="0.25">
      <c r="A10" s="3"/>
      <c r="B10" s="10" t="s">
        <v>13</v>
      </c>
      <c r="C10" s="16">
        <v>1.054</v>
      </c>
      <c r="D10" s="40">
        <v>1</v>
      </c>
      <c r="E10" s="22"/>
      <c r="F10" s="6"/>
      <c r="G10" s="12"/>
      <c r="H10" s="25"/>
    </row>
    <row r="11" spans="1:8" ht="15.75" thickBot="1" x14ac:dyDescent="0.3">
      <c r="A11" s="3"/>
      <c r="B11" s="11" t="s">
        <v>14</v>
      </c>
      <c r="C11" s="17">
        <v>0.21740000000000001</v>
      </c>
      <c r="D11" s="41">
        <v>0.15</v>
      </c>
      <c r="E11" s="36" t="s">
        <v>8</v>
      </c>
      <c r="F11" s="7">
        <f>+D11-6%</f>
        <v>0.09</v>
      </c>
      <c r="G11" s="46">
        <f>+D11+6%</f>
        <v>0.21</v>
      </c>
      <c r="H11" s="26"/>
    </row>
    <row r="12" spans="1:8" ht="15.75" x14ac:dyDescent="0.2">
      <c r="A12" s="4"/>
      <c r="B12" s="52" t="s">
        <v>67</v>
      </c>
      <c r="C12" s="52"/>
      <c r="D12" s="52"/>
      <c r="E12" s="52"/>
      <c r="F12" s="52"/>
      <c r="G12" s="52"/>
      <c r="H12" s="52"/>
    </row>
    <row r="13" spans="1:8" ht="15" x14ac:dyDescent="0.25">
      <c r="A13" s="4"/>
      <c r="B13" s="28" t="s">
        <v>50</v>
      </c>
      <c r="C13" s="28"/>
      <c r="D13" s="28"/>
      <c r="E13" s="28"/>
      <c r="F13" s="28"/>
      <c r="G13" s="28"/>
      <c r="H13" s="28"/>
    </row>
    <row r="14" spans="1:8" s="9" customFormat="1" ht="15" x14ac:dyDescent="0.25">
      <c r="A14" s="4"/>
      <c r="B14" s="28" t="s">
        <v>15</v>
      </c>
      <c r="C14" s="28"/>
      <c r="D14" s="28"/>
      <c r="E14" s="28"/>
      <c r="F14" s="28"/>
      <c r="G14" s="28"/>
      <c r="H14" s="28"/>
    </row>
  </sheetData>
  <mergeCells count="4">
    <mergeCell ref="B1:H1"/>
    <mergeCell ref="F2:G2"/>
    <mergeCell ref="B12:H12"/>
    <mergeCell ref="C3:D3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4"/>
  <sheetViews>
    <sheetView rightToLeft="1" zoomScaleNormal="100" workbookViewId="0">
      <selection activeCell="K4" sqref="K4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8" s="8" customFormat="1" ht="27.75" customHeight="1" thickBot="1" x14ac:dyDescent="0.25">
      <c r="B1" s="49" t="s">
        <v>38</v>
      </c>
      <c r="C1" s="49"/>
      <c r="D1" s="49"/>
      <c r="E1" s="49"/>
      <c r="F1" s="49"/>
      <c r="G1" s="49"/>
      <c r="H1" s="49"/>
    </row>
    <row r="2" spans="1:8" s="2" customFormat="1" ht="31.5" customHeight="1" thickBot="1" x14ac:dyDescent="0.25">
      <c r="B2" s="20" t="s">
        <v>0</v>
      </c>
      <c r="C2" s="18" t="s">
        <v>54</v>
      </c>
      <c r="D2" s="19" t="s">
        <v>53</v>
      </c>
      <c r="E2" s="19" t="s">
        <v>1</v>
      </c>
      <c r="F2" s="50" t="s">
        <v>2</v>
      </c>
      <c r="G2" s="51"/>
      <c r="H2" s="20" t="s">
        <v>3</v>
      </c>
    </row>
    <row r="3" spans="1:8" ht="15.75" thickBot="1" x14ac:dyDescent="0.3">
      <c r="B3" s="42" t="s">
        <v>4</v>
      </c>
      <c r="C3" s="54">
        <v>54185.9</v>
      </c>
      <c r="D3" s="55"/>
      <c r="E3" s="33"/>
      <c r="F3" s="43" t="s">
        <v>5</v>
      </c>
      <c r="G3" s="44" t="s">
        <v>6</v>
      </c>
      <c r="H3" s="32"/>
    </row>
    <row r="4" spans="1:8" s="3" customFormat="1" ht="15" x14ac:dyDescent="0.25">
      <c r="B4" s="29" t="s">
        <v>7</v>
      </c>
      <c r="C4" s="37">
        <v>0</v>
      </c>
      <c r="D4" s="38">
        <v>0</v>
      </c>
      <c r="E4" s="34" t="s">
        <v>8</v>
      </c>
      <c r="F4" s="30">
        <v>0</v>
      </c>
      <c r="G4" s="45">
        <f>+D4+6%</f>
        <v>0.06</v>
      </c>
      <c r="H4" s="31"/>
    </row>
    <row r="5" spans="1:8" s="3" customFormat="1" ht="15" x14ac:dyDescent="0.25">
      <c r="B5" s="10" t="s">
        <v>9</v>
      </c>
      <c r="C5" s="15">
        <v>0.65949999999999998</v>
      </c>
      <c r="D5" s="39">
        <v>0.35</v>
      </c>
      <c r="E5" s="35" t="s">
        <v>10</v>
      </c>
      <c r="F5" s="5">
        <f>+D5-5%</f>
        <v>0.3</v>
      </c>
      <c r="G5" s="27">
        <f>+D5+5%</f>
        <v>0.39999999999999997</v>
      </c>
      <c r="H5" s="24" t="s">
        <v>39</v>
      </c>
    </row>
    <row r="6" spans="1:8" s="3" customFormat="1" ht="15" x14ac:dyDescent="0.25">
      <c r="B6" s="10" t="s">
        <v>11</v>
      </c>
      <c r="C6" s="15">
        <v>0.30120000000000002</v>
      </c>
      <c r="D6" s="39">
        <v>0.6</v>
      </c>
      <c r="E6" s="35" t="s">
        <v>8</v>
      </c>
      <c r="F6" s="5">
        <f>+D6-6%</f>
        <v>0.54</v>
      </c>
      <c r="G6" s="27">
        <f>+D6+6%</f>
        <v>0.65999999999999992</v>
      </c>
      <c r="H6" s="23" t="s">
        <v>40</v>
      </c>
    </row>
    <row r="7" spans="1:8" s="3" customFormat="1" ht="15" x14ac:dyDescent="0.25">
      <c r="B7" s="21" t="s">
        <v>20</v>
      </c>
      <c r="C7" s="15">
        <v>0</v>
      </c>
      <c r="D7" s="39">
        <v>0</v>
      </c>
      <c r="E7" s="35" t="s">
        <v>10</v>
      </c>
      <c r="F7" s="5">
        <v>0</v>
      </c>
      <c r="G7" s="27">
        <f t="shared" ref="G7:G8" si="0">+D7+6%</f>
        <v>0.06</v>
      </c>
      <c r="H7" s="23"/>
    </row>
    <row r="8" spans="1:8" s="3" customFormat="1" ht="15" x14ac:dyDescent="0.25">
      <c r="B8" s="21" t="s">
        <v>21</v>
      </c>
      <c r="C8" s="15">
        <v>0</v>
      </c>
      <c r="D8" s="39">
        <v>0</v>
      </c>
      <c r="E8" s="35" t="s">
        <v>10</v>
      </c>
      <c r="F8" s="5">
        <v>0</v>
      </c>
      <c r="G8" s="27">
        <f t="shared" si="0"/>
        <v>0.06</v>
      </c>
      <c r="H8" s="23"/>
    </row>
    <row r="9" spans="1:8" s="3" customFormat="1" ht="15" x14ac:dyDescent="0.25">
      <c r="B9" s="10" t="s">
        <v>12</v>
      </c>
      <c r="C9" s="16">
        <v>3.5999999999999997E-2</v>
      </c>
      <c r="D9" s="40">
        <v>0.05</v>
      </c>
      <c r="E9" s="22" t="s">
        <v>10</v>
      </c>
      <c r="F9" s="6">
        <v>0</v>
      </c>
      <c r="G9" s="12">
        <f>+D9+5%</f>
        <v>0.1</v>
      </c>
      <c r="H9" s="25"/>
    </row>
    <row r="10" spans="1:8" ht="15" x14ac:dyDescent="0.25">
      <c r="A10" s="3"/>
      <c r="B10" s="10" t="s">
        <v>13</v>
      </c>
      <c r="C10" s="16">
        <v>0.997</v>
      </c>
      <c r="D10" s="40">
        <v>1</v>
      </c>
      <c r="E10" s="22"/>
      <c r="F10" s="6"/>
      <c r="G10" s="12"/>
      <c r="H10" s="25"/>
    </row>
    <row r="11" spans="1:8" ht="15.75" thickBot="1" x14ac:dyDescent="0.3">
      <c r="A11" s="3"/>
      <c r="B11" s="11" t="s">
        <v>14</v>
      </c>
      <c r="C11" s="17">
        <v>0</v>
      </c>
      <c r="D11" s="41">
        <v>0</v>
      </c>
      <c r="E11" s="36" t="s">
        <v>8</v>
      </c>
      <c r="F11" s="7">
        <v>0</v>
      </c>
      <c r="G11" s="46">
        <v>0</v>
      </c>
      <c r="H11" s="26"/>
    </row>
    <row r="12" spans="1:8" ht="15.75" x14ac:dyDescent="0.2">
      <c r="A12" s="4"/>
      <c r="B12" s="52" t="s">
        <v>68</v>
      </c>
      <c r="C12" s="52"/>
      <c r="D12" s="52"/>
      <c r="E12" s="52"/>
      <c r="F12" s="52"/>
      <c r="G12" s="52"/>
      <c r="H12" s="52"/>
    </row>
    <row r="13" spans="1:8" ht="15" x14ac:dyDescent="0.25">
      <c r="A13" s="4"/>
      <c r="B13" s="28" t="s">
        <v>50</v>
      </c>
      <c r="C13" s="28"/>
      <c r="D13" s="28"/>
      <c r="E13" s="28"/>
      <c r="F13" s="28"/>
      <c r="G13" s="28"/>
      <c r="H13" s="28"/>
    </row>
    <row r="14" spans="1:8" s="9" customFormat="1" ht="15" x14ac:dyDescent="0.25">
      <c r="A14" s="4"/>
      <c r="B14" s="28" t="s">
        <v>15</v>
      </c>
      <c r="C14" s="28"/>
      <c r="D14" s="28"/>
      <c r="E14" s="28"/>
      <c r="F14" s="28"/>
      <c r="G14" s="28"/>
      <c r="H14" s="28"/>
    </row>
  </sheetData>
  <mergeCells count="4">
    <mergeCell ref="B1:H1"/>
    <mergeCell ref="F2:G2"/>
    <mergeCell ref="B12:H12"/>
    <mergeCell ref="C3:D3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14"/>
  <sheetViews>
    <sheetView rightToLeft="1" topLeftCell="B1" zoomScaleNormal="100" workbookViewId="0">
      <selection activeCell="K3" sqref="K3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11" s="8" customFormat="1" ht="27.75" customHeight="1" thickBot="1" x14ac:dyDescent="0.25">
      <c r="B1" s="49" t="s">
        <v>41</v>
      </c>
      <c r="C1" s="49"/>
      <c r="D1" s="49"/>
      <c r="E1" s="49"/>
      <c r="F1" s="49"/>
      <c r="G1" s="49"/>
      <c r="H1" s="49"/>
    </row>
    <row r="2" spans="1:11" s="2" customFormat="1" ht="31.5" customHeight="1" thickBot="1" x14ac:dyDescent="0.25">
      <c r="B2" s="20" t="s">
        <v>0</v>
      </c>
      <c r="C2" s="18" t="s">
        <v>54</v>
      </c>
      <c r="D2" s="19" t="s">
        <v>53</v>
      </c>
      <c r="E2" s="19" t="s">
        <v>1</v>
      </c>
      <c r="F2" s="50" t="s">
        <v>2</v>
      </c>
      <c r="G2" s="51"/>
      <c r="H2" s="20" t="s">
        <v>3</v>
      </c>
    </row>
    <row r="3" spans="1:11" ht="15.75" thickBot="1" x14ac:dyDescent="0.3">
      <c r="B3" s="42" t="s">
        <v>4</v>
      </c>
      <c r="C3" s="54">
        <v>187464.8</v>
      </c>
      <c r="D3" s="55"/>
      <c r="E3" s="33"/>
      <c r="F3" s="43" t="s">
        <v>5</v>
      </c>
      <c r="G3" s="44" t="s">
        <v>6</v>
      </c>
      <c r="H3" s="32"/>
      <c r="K3" s="3"/>
    </row>
    <row r="4" spans="1:11" s="3" customFormat="1" ht="15" x14ac:dyDescent="0.25">
      <c r="B4" s="29" t="s">
        <v>7</v>
      </c>
      <c r="C4" s="37">
        <v>0</v>
      </c>
      <c r="D4" s="38">
        <v>0</v>
      </c>
      <c r="E4" s="34" t="s">
        <v>8</v>
      </c>
      <c r="F4" s="30">
        <v>0</v>
      </c>
      <c r="G4" s="45">
        <f>+D4+6%</f>
        <v>0.06</v>
      </c>
      <c r="H4" s="31"/>
    </row>
    <row r="5" spans="1:11" s="3" customFormat="1" ht="60" x14ac:dyDescent="0.25">
      <c r="B5" s="10" t="s">
        <v>9</v>
      </c>
      <c r="C5" s="15">
        <v>0.39589999999999997</v>
      </c>
      <c r="D5" s="39">
        <v>0.4</v>
      </c>
      <c r="E5" s="35" t="s">
        <v>10</v>
      </c>
      <c r="F5" s="5">
        <f>+D5-5%</f>
        <v>0.35000000000000003</v>
      </c>
      <c r="G5" s="27">
        <f>+D5+5%</f>
        <v>0.45</v>
      </c>
      <c r="H5" s="24" t="s">
        <v>22</v>
      </c>
    </row>
    <row r="6" spans="1:11" s="3" customFormat="1" ht="75" x14ac:dyDescent="0.25">
      <c r="B6" s="10" t="s">
        <v>11</v>
      </c>
      <c r="C6" s="15">
        <v>0.56269999999999998</v>
      </c>
      <c r="D6" s="39">
        <v>0.55000000000000004</v>
      </c>
      <c r="E6" s="35" t="s">
        <v>8</v>
      </c>
      <c r="F6" s="5">
        <f>+D6-6%</f>
        <v>0.49000000000000005</v>
      </c>
      <c r="G6" s="27">
        <f>+D6+6%</f>
        <v>0.6100000000000001</v>
      </c>
      <c r="H6" s="23" t="s">
        <v>23</v>
      </c>
    </row>
    <row r="7" spans="1:11" s="3" customFormat="1" ht="15" x14ac:dyDescent="0.25">
      <c r="B7" s="21" t="s">
        <v>20</v>
      </c>
      <c r="C7" s="15">
        <v>0</v>
      </c>
      <c r="D7" s="39">
        <v>0</v>
      </c>
      <c r="E7" s="35" t="s">
        <v>10</v>
      </c>
      <c r="F7" s="5">
        <v>0</v>
      </c>
      <c r="G7" s="27">
        <f t="shared" ref="G7:G9" si="0">+D7+5%</f>
        <v>0.05</v>
      </c>
      <c r="H7" s="23"/>
    </row>
    <row r="8" spans="1:11" s="3" customFormat="1" ht="15" x14ac:dyDescent="0.25">
      <c r="B8" s="21" t="s">
        <v>21</v>
      </c>
      <c r="C8" s="15">
        <v>0</v>
      </c>
      <c r="D8" s="39">
        <v>0</v>
      </c>
      <c r="E8" s="35" t="s">
        <v>10</v>
      </c>
      <c r="F8" s="5">
        <v>0</v>
      </c>
      <c r="G8" s="27">
        <f t="shared" si="0"/>
        <v>0.05</v>
      </c>
      <c r="H8" s="23"/>
    </row>
    <row r="9" spans="1:11" s="3" customFormat="1" ht="15" x14ac:dyDescent="0.25">
      <c r="B9" s="10" t="s">
        <v>12</v>
      </c>
      <c r="C9" s="16">
        <v>4.8300000000000003E-2</v>
      </c>
      <c r="D9" s="40">
        <v>0.03</v>
      </c>
      <c r="E9" s="22" t="s">
        <v>10</v>
      </c>
      <c r="F9" s="6">
        <v>0</v>
      </c>
      <c r="G9" s="12">
        <f t="shared" si="0"/>
        <v>0.08</v>
      </c>
      <c r="H9" s="25"/>
    </row>
    <row r="10" spans="1:11" ht="15" x14ac:dyDescent="0.25">
      <c r="A10" s="3"/>
      <c r="B10" s="10" t="s">
        <v>13</v>
      </c>
      <c r="C10" s="16">
        <v>1.0069999999999999</v>
      </c>
      <c r="D10" s="40">
        <v>0.98000000000000009</v>
      </c>
      <c r="E10" s="22"/>
      <c r="F10" s="6"/>
      <c r="G10" s="12"/>
      <c r="H10" s="25"/>
    </row>
    <row r="11" spans="1:11" ht="15.75" thickBot="1" x14ac:dyDescent="0.3">
      <c r="A11" s="3"/>
      <c r="B11" s="11" t="s">
        <v>14</v>
      </c>
      <c r="C11" s="17">
        <v>3.9300000000000002E-2</v>
      </c>
      <c r="D11" s="41">
        <v>0</v>
      </c>
      <c r="E11" s="36" t="s">
        <v>8</v>
      </c>
      <c r="F11" s="7">
        <v>0</v>
      </c>
      <c r="G11" s="46">
        <f>+D11+6%</f>
        <v>0.06</v>
      </c>
      <c r="H11" s="26"/>
    </row>
    <row r="12" spans="1:11" ht="15.75" x14ac:dyDescent="0.2">
      <c r="A12" s="4"/>
      <c r="B12" s="52" t="s">
        <v>66</v>
      </c>
      <c r="C12" s="52"/>
      <c r="D12" s="52"/>
      <c r="E12" s="52"/>
      <c r="F12" s="52"/>
      <c r="G12" s="52"/>
      <c r="H12" s="52"/>
    </row>
    <row r="13" spans="1:11" ht="15" x14ac:dyDescent="0.25">
      <c r="A13" s="4"/>
      <c r="B13" s="28" t="s">
        <v>50</v>
      </c>
      <c r="C13" s="28"/>
      <c r="D13" s="28"/>
      <c r="E13" s="28"/>
      <c r="F13" s="28"/>
      <c r="G13" s="28"/>
      <c r="H13" s="28"/>
    </row>
    <row r="14" spans="1:11" s="9" customFormat="1" ht="15" x14ac:dyDescent="0.25">
      <c r="A14" s="4"/>
      <c r="B14" s="28" t="s">
        <v>15</v>
      </c>
      <c r="C14" s="28"/>
      <c r="D14" s="28"/>
      <c r="E14" s="28"/>
      <c r="F14" s="28"/>
      <c r="G14" s="28"/>
      <c r="H14" s="28"/>
    </row>
  </sheetData>
  <mergeCells count="4">
    <mergeCell ref="B1:H1"/>
    <mergeCell ref="F2:G2"/>
    <mergeCell ref="B12:H12"/>
    <mergeCell ref="C3:D3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6"/>
  <sheetViews>
    <sheetView rightToLeft="1" zoomScaleNormal="100" workbookViewId="0">
      <selection activeCell="B5" sqref="B5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11" s="8" customFormat="1" ht="27.75" customHeight="1" thickBot="1" x14ac:dyDescent="0.25">
      <c r="B1" s="49" t="s">
        <v>59</v>
      </c>
      <c r="C1" s="49"/>
      <c r="D1" s="49"/>
      <c r="E1" s="49"/>
      <c r="F1" s="49"/>
      <c r="G1" s="49"/>
      <c r="H1" s="49"/>
    </row>
    <row r="2" spans="1:11" s="2" customFormat="1" ht="31.5" customHeight="1" thickBot="1" x14ac:dyDescent="0.25">
      <c r="B2" s="20" t="s">
        <v>0</v>
      </c>
      <c r="C2" s="18" t="s">
        <v>54</v>
      </c>
      <c r="D2" s="19" t="s">
        <v>53</v>
      </c>
      <c r="E2" s="19" t="s">
        <v>1</v>
      </c>
      <c r="F2" s="50" t="s">
        <v>2</v>
      </c>
      <c r="G2" s="51"/>
      <c r="H2" s="20" t="s">
        <v>3</v>
      </c>
    </row>
    <row r="3" spans="1:11" ht="15.75" thickBot="1" x14ac:dyDescent="0.3">
      <c r="B3" s="42" t="s">
        <v>4</v>
      </c>
      <c r="C3" s="54">
        <v>134353.20000000001</v>
      </c>
      <c r="D3" s="55"/>
      <c r="E3" s="33"/>
      <c r="F3" s="43" t="s">
        <v>5</v>
      </c>
      <c r="G3" s="44" t="s">
        <v>6</v>
      </c>
      <c r="H3" s="32"/>
      <c r="K3" s="3"/>
    </row>
    <row r="4" spans="1:11" s="3" customFormat="1" ht="15" x14ac:dyDescent="0.25">
      <c r="B4" s="29" t="s">
        <v>71</v>
      </c>
      <c r="C4" s="37">
        <v>0.22969999999999999</v>
      </c>
      <c r="D4" s="38">
        <v>0.24</v>
      </c>
      <c r="E4" s="34" t="s">
        <v>8</v>
      </c>
      <c r="F4" s="30">
        <v>0.17</v>
      </c>
      <c r="G4" s="45">
        <v>0.25</v>
      </c>
      <c r="H4" s="31" t="s">
        <v>52</v>
      </c>
    </row>
    <row r="5" spans="1:11" s="3" customFormat="1" ht="60" x14ac:dyDescent="0.25">
      <c r="B5" s="10" t="s">
        <v>9</v>
      </c>
      <c r="C5" s="15">
        <v>0.25840000000000002</v>
      </c>
      <c r="D5" s="39">
        <v>0.3</v>
      </c>
      <c r="E5" s="35" t="s">
        <v>10</v>
      </c>
      <c r="F5" s="5">
        <f>+D5-5%</f>
        <v>0.25</v>
      </c>
      <c r="G5" s="27">
        <f>+D5+5%</f>
        <v>0.35</v>
      </c>
      <c r="H5" s="24" t="s">
        <v>22</v>
      </c>
    </row>
    <row r="6" spans="1:11" s="3" customFormat="1" ht="75" x14ac:dyDescent="0.25">
      <c r="B6" s="10" t="s">
        <v>11</v>
      </c>
      <c r="C6" s="15">
        <v>0.4395</v>
      </c>
      <c r="D6" s="39">
        <v>0.45</v>
      </c>
      <c r="E6" s="35" t="s">
        <v>8</v>
      </c>
      <c r="F6" s="5">
        <f>+D6-6%</f>
        <v>0.39</v>
      </c>
      <c r="G6" s="27">
        <f>+D6+6%</f>
        <v>0.51</v>
      </c>
      <c r="H6" s="23" t="s">
        <v>23</v>
      </c>
    </row>
    <row r="7" spans="1:11" s="3" customFormat="1" ht="15" x14ac:dyDescent="0.25">
      <c r="B7" s="21" t="s">
        <v>20</v>
      </c>
      <c r="C7" s="15">
        <v>0</v>
      </c>
      <c r="D7" s="39">
        <v>0</v>
      </c>
      <c r="E7" s="35" t="s">
        <v>10</v>
      </c>
      <c r="F7" s="5">
        <v>0</v>
      </c>
      <c r="G7" s="27">
        <f t="shared" ref="G7:G9" si="0">+D7+5%</f>
        <v>0.05</v>
      </c>
      <c r="H7" s="23"/>
    </row>
    <row r="8" spans="1:11" s="3" customFormat="1" ht="15" x14ac:dyDescent="0.25">
      <c r="B8" s="21" t="s">
        <v>21</v>
      </c>
      <c r="C8" s="47">
        <v>2.2000000000000001E-3</v>
      </c>
      <c r="D8" s="47">
        <v>5.9999999999999995E-4</v>
      </c>
      <c r="E8" s="35" t="s">
        <v>10</v>
      </c>
      <c r="F8" s="5">
        <v>0</v>
      </c>
      <c r="G8" s="27">
        <v>0.05</v>
      </c>
      <c r="H8" s="23"/>
    </row>
    <row r="9" spans="1:11" s="3" customFormat="1" ht="15" x14ac:dyDescent="0.25">
      <c r="B9" s="10" t="s">
        <v>12</v>
      </c>
      <c r="C9" s="16">
        <v>8.5000000000000006E-2</v>
      </c>
      <c r="D9" s="40">
        <v>0.02</v>
      </c>
      <c r="E9" s="22" t="s">
        <v>10</v>
      </c>
      <c r="F9" s="6">
        <v>0</v>
      </c>
      <c r="G9" s="12">
        <f t="shared" si="0"/>
        <v>7.0000000000000007E-2</v>
      </c>
      <c r="H9" s="25"/>
    </row>
    <row r="10" spans="1:11" ht="15" x14ac:dyDescent="0.25">
      <c r="A10" s="3"/>
      <c r="B10" s="10" t="s">
        <v>13</v>
      </c>
      <c r="C10" s="16">
        <v>0.99950000000000006</v>
      </c>
      <c r="D10" s="40">
        <v>1.01</v>
      </c>
      <c r="E10" s="22"/>
      <c r="F10" s="6"/>
      <c r="G10" s="12"/>
      <c r="H10" s="25"/>
    </row>
    <row r="11" spans="1:11" ht="15.75" thickBot="1" x14ac:dyDescent="0.3">
      <c r="A11" s="3"/>
      <c r="B11" s="11" t="s">
        <v>14</v>
      </c>
      <c r="C11" s="17">
        <v>3.9399999999999998E-2</v>
      </c>
      <c r="D11" s="41">
        <v>0.04</v>
      </c>
      <c r="E11" s="36" t="s">
        <v>8</v>
      </c>
      <c r="F11" s="7">
        <v>0</v>
      </c>
      <c r="G11" s="46">
        <f>+D11+6%</f>
        <v>0.1</v>
      </c>
      <c r="H11" s="26"/>
    </row>
    <row r="12" spans="1:11" ht="15.75" x14ac:dyDescent="0.2">
      <c r="A12" s="4"/>
      <c r="B12" s="52" t="s">
        <v>66</v>
      </c>
      <c r="C12" s="52"/>
      <c r="D12" s="52"/>
      <c r="E12" s="52"/>
      <c r="F12" s="52"/>
      <c r="G12" s="52"/>
      <c r="H12" s="52"/>
    </row>
    <row r="13" spans="1:11" ht="15" x14ac:dyDescent="0.25">
      <c r="A13" s="4"/>
      <c r="B13" s="28" t="s">
        <v>50</v>
      </c>
      <c r="C13" s="28"/>
      <c r="D13" s="28"/>
      <c r="E13" s="28"/>
      <c r="F13" s="28"/>
      <c r="G13" s="28"/>
      <c r="H13" s="28"/>
    </row>
    <row r="14" spans="1:11" s="9" customFormat="1" ht="15" x14ac:dyDescent="0.25">
      <c r="A14" s="4"/>
      <c r="B14" s="28" t="s">
        <v>15</v>
      </c>
      <c r="C14" s="28"/>
      <c r="D14" s="28"/>
      <c r="E14" s="28"/>
      <c r="F14" s="28"/>
      <c r="G14" s="28"/>
      <c r="H14" s="28"/>
    </row>
    <row r="16" spans="1:11" x14ac:dyDescent="0.2">
      <c r="B16" s="13" t="s">
        <v>51</v>
      </c>
    </row>
  </sheetData>
  <mergeCells count="4">
    <mergeCell ref="B1:H1"/>
    <mergeCell ref="F2:G2"/>
    <mergeCell ref="B12:H12"/>
    <mergeCell ref="C3:D3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4"/>
  <sheetViews>
    <sheetView rightToLeft="1" zoomScaleNormal="100" workbookViewId="0">
      <selection activeCell="K3" sqref="K3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11" s="8" customFormat="1" ht="27.75" customHeight="1" thickBot="1" x14ac:dyDescent="0.25">
      <c r="B1" s="49" t="s">
        <v>42</v>
      </c>
      <c r="C1" s="49"/>
      <c r="D1" s="49"/>
      <c r="E1" s="49"/>
      <c r="F1" s="49"/>
      <c r="G1" s="49"/>
      <c r="H1" s="49"/>
    </row>
    <row r="2" spans="1:11" s="2" customFormat="1" ht="31.5" customHeight="1" thickBot="1" x14ac:dyDescent="0.25">
      <c r="B2" s="20" t="s">
        <v>0</v>
      </c>
      <c r="C2" s="18" t="s">
        <v>54</v>
      </c>
      <c r="D2" s="19" t="s">
        <v>53</v>
      </c>
      <c r="E2" s="19" t="s">
        <v>1</v>
      </c>
      <c r="F2" s="50" t="s">
        <v>2</v>
      </c>
      <c r="G2" s="51"/>
      <c r="H2" s="20" t="s">
        <v>3</v>
      </c>
    </row>
    <row r="3" spans="1:11" ht="15.75" thickBot="1" x14ac:dyDescent="0.3">
      <c r="B3" s="42" t="s">
        <v>4</v>
      </c>
      <c r="C3" s="54">
        <v>173719.9</v>
      </c>
      <c r="D3" s="55"/>
      <c r="E3" s="33"/>
      <c r="F3" s="43" t="s">
        <v>5</v>
      </c>
      <c r="G3" s="44" t="s">
        <v>6</v>
      </c>
      <c r="H3" s="32"/>
      <c r="K3" s="3"/>
    </row>
    <row r="4" spans="1:11" s="3" customFormat="1" ht="15" x14ac:dyDescent="0.25">
      <c r="B4" s="29" t="s">
        <v>7</v>
      </c>
      <c r="C4" s="37">
        <v>0.97899999999999998</v>
      </c>
      <c r="D4" s="38">
        <v>0.99</v>
      </c>
      <c r="E4" s="34" t="s">
        <v>8</v>
      </c>
      <c r="F4" s="30">
        <f>+D4-6%</f>
        <v>0.92999999999999994</v>
      </c>
      <c r="G4" s="45">
        <v>1</v>
      </c>
      <c r="H4" s="31" t="s">
        <v>48</v>
      </c>
    </row>
    <row r="5" spans="1:11" s="3" customFormat="1" ht="15" x14ac:dyDescent="0.25">
      <c r="B5" s="10" t="s">
        <v>9</v>
      </c>
      <c r="C5" s="15">
        <v>0</v>
      </c>
      <c r="D5" s="39">
        <v>0</v>
      </c>
      <c r="E5" s="35" t="s">
        <v>10</v>
      </c>
      <c r="F5" s="5">
        <v>0</v>
      </c>
      <c r="G5" s="27">
        <v>0</v>
      </c>
      <c r="H5" s="24"/>
    </row>
    <row r="6" spans="1:11" s="3" customFormat="1" ht="15" x14ac:dyDescent="0.25">
      <c r="B6" s="10" t="s">
        <v>11</v>
      </c>
      <c r="C6" s="15">
        <v>0</v>
      </c>
      <c r="D6" s="39">
        <v>0</v>
      </c>
      <c r="E6" s="35" t="s">
        <v>8</v>
      </c>
      <c r="F6" s="5">
        <v>0</v>
      </c>
      <c r="G6" s="27">
        <v>0</v>
      </c>
      <c r="H6" s="23"/>
    </row>
    <row r="7" spans="1:11" s="3" customFormat="1" ht="15" x14ac:dyDescent="0.25">
      <c r="B7" s="21" t="s">
        <v>20</v>
      </c>
      <c r="C7" s="15">
        <v>0</v>
      </c>
      <c r="D7" s="39">
        <v>0</v>
      </c>
      <c r="E7" s="35" t="s">
        <v>10</v>
      </c>
      <c r="F7" s="5">
        <v>0</v>
      </c>
      <c r="G7" s="27">
        <v>0</v>
      </c>
      <c r="H7" s="23"/>
    </row>
    <row r="8" spans="1:11" s="3" customFormat="1" ht="15" x14ac:dyDescent="0.25">
      <c r="B8" s="21" t="s">
        <v>21</v>
      </c>
      <c r="C8" s="15">
        <v>0</v>
      </c>
      <c r="D8" s="39">
        <v>0</v>
      </c>
      <c r="E8" s="35" t="s">
        <v>10</v>
      </c>
      <c r="F8" s="5">
        <v>0</v>
      </c>
      <c r="G8" s="27">
        <v>0</v>
      </c>
      <c r="H8" s="23"/>
    </row>
    <row r="9" spans="1:11" s="3" customFormat="1" ht="15" x14ac:dyDescent="0.25">
      <c r="B9" s="10" t="s">
        <v>12</v>
      </c>
      <c r="C9" s="16">
        <v>2.1000000000000001E-2</v>
      </c>
      <c r="D9" s="40">
        <v>0.01</v>
      </c>
      <c r="E9" s="22" t="s">
        <v>10</v>
      </c>
      <c r="F9" s="6">
        <v>0</v>
      </c>
      <c r="G9" s="12">
        <f>+D9+5%</f>
        <v>6.0000000000000005E-2</v>
      </c>
      <c r="H9" s="25"/>
    </row>
    <row r="10" spans="1:11" ht="15" x14ac:dyDescent="0.25">
      <c r="A10" s="3"/>
      <c r="B10" s="10" t="s">
        <v>13</v>
      </c>
      <c r="C10" s="16">
        <v>1</v>
      </c>
      <c r="D10" s="40">
        <v>1</v>
      </c>
      <c r="E10" s="22"/>
      <c r="F10" s="6"/>
      <c r="G10" s="12"/>
      <c r="H10" s="25"/>
    </row>
    <row r="11" spans="1:11" ht="15.75" thickBot="1" x14ac:dyDescent="0.3">
      <c r="A11" s="3"/>
      <c r="B11" s="11" t="s">
        <v>14</v>
      </c>
      <c r="C11" s="17">
        <v>0</v>
      </c>
      <c r="D11" s="41">
        <v>0</v>
      </c>
      <c r="E11" s="36" t="s">
        <v>8</v>
      </c>
      <c r="F11" s="7">
        <v>0</v>
      </c>
      <c r="G11" s="46">
        <f>+D11+6%</f>
        <v>0.06</v>
      </c>
      <c r="H11" s="26"/>
    </row>
    <row r="12" spans="1:11" ht="15.75" x14ac:dyDescent="0.2">
      <c r="A12" s="4"/>
      <c r="B12" s="52" t="s">
        <v>69</v>
      </c>
      <c r="C12" s="52"/>
      <c r="D12" s="52"/>
      <c r="E12" s="52"/>
      <c r="F12" s="52"/>
      <c r="G12" s="52"/>
      <c r="H12" s="52"/>
    </row>
    <row r="13" spans="1:11" ht="15" x14ac:dyDescent="0.25">
      <c r="A13" s="4"/>
      <c r="B13" s="28" t="s">
        <v>50</v>
      </c>
      <c r="C13" s="28"/>
      <c r="D13" s="28"/>
      <c r="E13" s="28"/>
      <c r="F13" s="28"/>
      <c r="G13" s="28"/>
      <c r="H13" s="28"/>
    </row>
    <row r="14" spans="1:11" s="9" customFormat="1" ht="15" x14ac:dyDescent="0.25">
      <c r="A14" s="4"/>
      <c r="B14" s="28" t="s">
        <v>15</v>
      </c>
      <c r="C14" s="28"/>
      <c r="D14" s="28"/>
      <c r="E14" s="28"/>
      <c r="F14" s="28"/>
      <c r="G14" s="28"/>
      <c r="H14" s="28"/>
    </row>
  </sheetData>
  <mergeCells count="4">
    <mergeCell ref="B1:H1"/>
    <mergeCell ref="F2:G2"/>
    <mergeCell ref="B12:H12"/>
    <mergeCell ref="C3:D3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16"/>
  <sheetViews>
    <sheetView rightToLeft="1" zoomScaleNormal="100" workbookViewId="0">
      <selection activeCell="K3" sqref="K3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11" s="8" customFormat="1" ht="27.75" customHeight="1" thickBot="1" x14ac:dyDescent="0.25">
      <c r="B1" s="49" t="s">
        <v>43</v>
      </c>
      <c r="C1" s="49"/>
      <c r="D1" s="49"/>
      <c r="E1" s="49"/>
      <c r="F1" s="49"/>
      <c r="G1" s="49"/>
      <c r="H1" s="49"/>
    </row>
    <row r="2" spans="1:11" s="2" customFormat="1" ht="31.5" customHeight="1" thickBot="1" x14ac:dyDescent="0.25">
      <c r="B2" s="20" t="s">
        <v>0</v>
      </c>
      <c r="C2" s="18" t="s">
        <v>54</v>
      </c>
      <c r="D2" s="19" t="s">
        <v>53</v>
      </c>
      <c r="E2" s="19" t="s">
        <v>1</v>
      </c>
      <c r="F2" s="50" t="s">
        <v>2</v>
      </c>
      <c r="G2" s="51"/>
      <c r="H2" s="20" t="s">
        <v>3</v>
      </c>
    </row>
    <row r="3" spans="1:11" ht="15.75" thickBot="1" x14ac:dyDescent="0.3">
      <c r="B3" s="42" t="s">
        <v>4</v>
      </c>
      <c r="C3" s="54">
        <v>10363.869540000002</v>
      </c>
      <c r="D3" s="55"/>
      <c r="E3" s="33"/>
      <c r="F3" s="43" t="s">
        <v>5</v>
      </c>
      <c r="G3" s="44" t="s">
        <v>6</v>
      </c>
      <c r="H3" s="32"/>
      <c r="K3" s="3"/>
    </row>
    <row r="4" spans="1:11" s="3" customFormat="1" ht="15" x14ac:dyDescent="0.25">
      <c r="B4" s="29" t="s">
        <v>7</v>
      </c>
      <c r="C4" s="37">
        <v>0.44800000000000001</v>
      </c>
      <c r="D4" s="38">
        <v>0.42</v>
      </c>
      <c r="E4" s="34" t="s">
        <v>8</v>
      </c>
      <c r="F4" s="30">
        <f>+D4-6%</f>
        <v>0.36</v>
      </c>
      <c r="G4" s="45">
        <f>+D4+6%</f>
        <v>0.48</v>
      </c>
      <c r="H4" s="31" t="s">
        <v>44</v>
      </c>
    </row>
    <row r="5" spans="1:11" s="3" customFormat="1" ht="15" x14ac:dyDescent="0.25">
      <c r="B5" s="10" t="s">
        <v>9</v>
      </c>
      <c r="C5" s="15">
        <v>0.28299999999999997</v>
      </c>
      <c r="D5" s="39">
        <v>0.25</v>
      </c>
      <c r="E5" s="35" t="s">
        <v>10</v>
      </c>
      <c r="F5" s="5">
        <f>+D5-5%</f>
        <v>0.2</v>
      </c>
      <c r="G5" s="27">
        <f>+D5+5%</f>
        <v>0.3</v>
      </c>
      <c r="H5" s="24" t="s">
        <v>45</v>
      </c>
    </row>
    <row r="6" spans="1:11" s="3" customFormat="1" ht="60" x14ac:dyDescent="0.25">
      <c r="B6" s="10" t="s">
        <v>11</v>
      </c>
      <c r="C6" s="15">
        <v>0.22559999999999999</v>
      </c>
      <c r="D6" s="39">
        <v>0.3</v>
      </c>
      <c r="E6" s="35" t="s">
        <v>8</v>
      </c>
      <c r="F6" s="5">
        <f>+D6-6%</f>
        <v>0.24</v>
      </c>
      <c r="G6" s="27">
        <f>+D6+6%</f>
        <v>0.36</v>
      </c>
      <c r="H6" s="23" t="s">
        <v>46</v>
      </c>
    </row>
    <row r="7" spans="1:11" s="3" customFormat="1" ht="15" x14ac:dyDescent="0.25">
      <c r="B7" s="21" t="s">
        <v>20</v>
      </c>
      <c r="C7" s="15">
        <v>0</v>
      </c>
      <c r="D7" s="39">
        <v>0</v>
      </c>
      <c r="E7" s="35" t="s">
        <v>10</v>
      </c>
      <c r="F7" s="5">
        <v>0</v>
      </c>
      <c r="G7" s="27">
        <f t="shared" ref="G7:G8" si="0">+D7+5%</f>
        <v>0.05</v>
      </c>
      <c r="H7" s="23"/>
    </row>
    <row r="8" spans="1:11" s="3" customFormat="1" ht="15" x14ac:dyDescent="0.25">
      <c r="B8" s="21" t="s">
        <v>21</v>
      </c>
      <c r="C8" s="15">
        <v>0</v>
      </c>
      <c r="D8" s="39">
        <v>0</v>
      </c>
      <c r="E8" s="35" t="s">
        <v>10</v>
      </c>
      <c r="F8" s="5">
        <v>0</v>
      </c>
      <c r="G8" s="27">
        <f t="shared" si="0"/>
        <v>0.05</v>
      </c>
      <c r="H8" s="23"/>
    </row>
    <row r="9" spans="1:11" s="3" customFormat="1" ht="15" x14ac:dyDescent="0.25">
      <c r="B9" s="10" t="s">
        <v>12</v>
      </c>
      <c r="C9" s="16">
        <v>4.3299999999999998E-2</v>
      </c>
      <c r="D9" s="40">
        <v>0.03</v>
      </c>
      <c r="E9" s="22" t="s">
        <v>10</v>
      </c>
      <c r="F9" s="6">
        <v>0</v>
      </c>
      <c r="G9" s="12">
        <f>+D9+5%</f>
        <v>0.08</v>
      </c>
      <c r="H9" s="25"/>
    </row>
    <row r="10" spans="1:11" ht="15" x14ac:dyDescent="0.25">
      <c r="A10" s="3"/>
      <c r="B10" s="10" t="s">
        <v>13</v>
      </c>
      <c r="C10" s="16">
        <v>1</v>
      </c>
      <c r="D10" s="40">
        <v>1</v>
      </c>
      <c r="E10" s="22"/>
      <c r="F10" s="6"/>
      <c r="G10" s="12"/>
      <c r="H10" s="25"/>
    </row>
    <row r="11" spans="1:11" ht="15.75" thickBot="1" x14ac:dyDescent="0.3">
      <c r="A11" s="3"/>
      <c r="B11" s="11" t="s">
        <v>14</v>
      </c>
      <c r="C11" s="17">
        <v>0.97809999999999997</v>
      </c>
      <c r="D11" s="41">
        <v>1</v>
      </c>
      <c r="E11" s="36" t="s">
        <v>8</v>
      </c>
      <c r="F11" s="7">
        <f>+D11-6%</f>
        <v>0.94</v>
      </c>
      <c r="G11" s="46">
        <f>+D11+6%</f>
        <v>1.06</v>
      </c>
      <c r="H11" s="26"/>
    </row>
    <row r="12" spans="1:11" ht="15.75" x14ac:dyDescent="0.2">
      <c r="A12" s="4"/>
      <c r="B12" s="52" t="s">
        <v>57</v>
      </c>
      <c r="C12" s="52"/>
      <c r="D12" s="52"/>
      <c r="E12" s="52"/>
      <c r="F12" s="52"/>
      <c r="G12" s="52"/>
      <c r="H12" s="52"/>
    </row>
    <row r="13" spans="1:11" ht="15" x14ac:dyDescent="0.25">
      <c r="A13" s="4"/>
      <c r="B13" s="28" t="s">
        <v>50</v>
      </c>
      <c r="C13" s="28"/>
      <c r="D13" s="28"/>
      <c r="E13" s="28"/>
      <c r="F13" s="28"/>
      <c r="G13" s="28"/>
      <c r="H13" s="28"/>
    </row>
    <row r="14" spans="1:11" s="9" customFormat="1" ht="15" x14ac:dyDescent="0.25">
      <c r="A14" s="4"/>
      <c r="B14" s="28" t="s">
        <v>15</v>
      </c>
      <c r="C14" s="28"/>
      <c r="D14" s="28"/>
      <c r="E14" s="28"/>
      <c r="F14" s="28"/>
      <c r="G14" s="28"/>
      <c r="H14" s="28"/>
    </row>
    <row r="15" spans="1:11" x14ac:dyDescent="0.2">
      <c r="B15" s="56"/>
      <c r="C15" s="56"/>
      <c r="D15" s="56"/>
      <c r="E15" s="56"/>
      <c r="F15" s="56"/>
      <c r="G15" s="56"/>
      <c r="H15" s="56"/>
    </row>
    <row r="16" spans="1:11" x14ac:dyDescent="0.2">
      <c r="B16" s="56"/>
      <c r="C16" s="56"/>
      <c r="D16" s="56"/>
      <c r="E16" s="56"/>
      <c r="F16" s="56"/>
      <c r="G16" s="56"/>
      <c r="H16" s="56"/>
    </row>
  </sheetData>
  <mergeCells count="6">
    <mergeCell ref="B15:H15"/>
    <mergeCell ref="B16:H16"/>
    <mergeCell ref="B1:H1"/>
    <mergeCell ref="F2:G2"/>
    <mergeCell ref="B12:H12"/>
    <mergeCell ref="C3:D3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6"/>
  <sheetViews>
    <sheetView rightToLeft="1" zoomScale="115" zoomScaleNormal="115" workbookViewId="0">
      <selection activeCell="K3" sqref="K3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18.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11" s="8" customFormat="1" ht="27.75" customHeight="1" thickBot="1" x14ac:dyDescent="0.25">
      <c r="B1" s="49" t="s">
        <v>47</v>
      </c>
      <c r="C1" s="49"/>
      <c r="D1" s="49"/>
      <c r="E1" s="49"/>
      <c r="F1" s="49"/>
      <c r="G1" s="49"/>
      <c r="H1" s="49"/>
    </row>
    <row r="2" spans="1:11" s="2" customFormat="1" ht="31.5" customHeight="1" thickBot="1" x14ac:dyDescent="0.25">
      <c r="B2" s="20" t="s">
        <v>0</v>
      </c>
      <c r="C2" s="18" t="s">
        <v>54</v>
      </c>
      <c r="D2" s="19" t="s">
        <v>53</v>
      </c>
      <c r="E2" s="19" t="s">
        <v>1</v>
      </c>
      <c r="F2" s="50" t="s">
        <v>2</v>
      </c>
      <c r="G2" s="51"/>
      <c r="H2" s="20" t="s">
        <v>3</v>
      </c>
    </row>
    <row r="3" spans="1:11" ht="15.75" thickBot="1" x14ac:dyDescent="0.3">
      <c r="B3" s="42" t="s">
        <v>4</v>
      </c>
      <c r="C3" s="54">
        <v>23289.9</v>
      </c>
      <c r="D3" s="55"/>
      <c r="E3" s="33"/>
      <c r="F3" s="43" t="s">
        <v>5</v>
      </c>
      <c r="G3" s="44" t="s">
        <v>6</v>
      </c>
      <c r="H3" s="32"/>
      <c r="K3" s="3"/>
    </row>
    <row r="4" spans="1:11" s="3" customFormat="1" ht="15" x14ac:dyDescent="0.25">
      <c r="B4" s="29" t="s">
        <v>7</v>
      </c>
      <c r="C4" s="37">
        <v>0</v>
      </c>
      <c r="D4" s="38">
        <v>0</v>
      </c>
      <c r="E4" s="34" t="s">
        <v>8</v>
      </c>
      <c r="F4" s="30">
        <v>0</v>
      </c>
      <c r="G4" s="45">
        <f>+D4+6%</f>
        <v>0.06</v>
      </c>
      <c r="H4" s="31"/>
    </row>
    <row r="5" spans="1:11" s="3" customFormat="1" ht="15" x14ac:dyDescent="0.25">
      <c r="B5" s="10" t="s">
        <v>9</v>
      </c>
      <c r="C5" s="15">
        <v>0</v>
      </c>
      <c r="D5" s="39">
        <v>0</v>
      </c>
      <c r="E5" s="35" t="s">
        <v>10</v>
      </c>
      <c r="F5" s="5">
        <v>0</v>
      </c>
      <c r="G5" s="27">
        <f>+D5+5%</f>
        <v>0.05</v>
      </c>
      <c r="H5" s="24"/>
    </row>
    <row r="6" spans="1:11" s="3" customFormat="1" ht="30" x14ac:dyDescent="0.25">
      <c r="B6" s="10" t="s">
        <v>11</v>
      </c>
      <c r="C6" s="15">
        <v>0.92390000000000005</v>
      </c>
      <c r="D6" s="39">
        <v>0.98</v>
      </c>
      <c r="E6" s="35" t="s">
        <v>8</v>
      </c>
      <c r="F6" s="5">
        <f>+D6-6%</f>
        <v>0.91999999999999993</v>
      </c>
      <c r="G6" s="27">
        <v>1</v>
      </c>
      <c r="H6" s="23" t="s">
        <v>18</v>
      </c>
    </row>
    <row r="7" spans="1:11" s="3" customFormat="1" ht="15" x14ac:dyDescent="0.25">
      <c r="B7" s="21" t="s">
        <v>20</v>
      </c>
      <c r="C7" s="15">
        <v>0</v>
      </c>
      <c r="D7" s="39">
        <v>0</v>
      </c>
      <c r="E7" s="35" t="s">
        <v>10</v>
      </c>
      <c r="F7" s="5">
        <v>0</v>
      </c>
      <c r="G7" s="27">
        <f>+D7+5%</f>
        <v>0.05</v>
      </c>
      <c r="H7" s="23"/>
    </row>
    <row r="8" spans="1:11" s="3" customFormat="1" ht="15" x14ac:dyDescent="0.25">
      <c r="B8" s="21" t="s">
        <v>21</v>
      </c>
      <c r="C8" s="15">
        <v>0</v>
      </c>
      <c r="D8" s="39">
        <v>0</v>
      </c>
      <c r="E8" s="35" t="s">
        <v>10</v>
      </c>
      <c r="F8" s="5">
        <v>0</v>
      </c>
      <c r="G8" s="27">
        <f t="shared" ref="G8:G9" si="0">+D8+5%</f>
        <v>0.05</v>
      </c>
      <c r="H8" s="23"/>
    </row>
    <row r="9" spans="1:11" s="3" customFormat="1" ht="15" x14ac:dyDescent="0.25">
      <c r="B9" s="10" t="s">
        <v>12</v>
      </c>
      <c r="C9" s="16">
        <v>7.6100000000000001E-2</v>
      </c>
      <c r="D9" s="40">
        <v>0.02</v>
      </c>
      <c r="E9" s="22" t="s">
        <v>10</v>
      </c>
      <c r="F9" s="6">
        <v>0</v>
      </c>
      <c r="G9" s="12">
        <f t="shared" si="0"/>
        <v>7.0000000000000007E-2</v>
      </c>
      <c r="H9" s="25"/>
    </row>
    <row r="10" spans="1:11" ht="15" x14ac:dyDescent="0.25">
      <c r="A10" s="3"/>
      <c r="B10" s="10" t="s">
        <v>13</v>
      </c>
      <c r="C10" s="16">
        <v>1</v>
      </c>
      <c r="D10" s="40">
        <v>1</v>
      </c>
      <c r="E10" s="22"/>
      <c r="F10" s="6"/>
      <c r="G10" s="12"/>
      <c r="H10" s="25"/>
    </row>
    <row r="11" spans="1:11" ht="15.75" thickBot="1" x14ac:dyDescent="0.3">
      <c r="A11" s="3"/>
      <c r="B11" s="11" t="s">
        <v>14</v>
      </c>
      <c r="C11" s="17">
        <v>0</v>
      </c>
      <c r="D11" s="41">
        <v>0</v>
      </c>
      <c r="E11" s="36" t="s">
        <v>8</v>
      </c>
      <c r="F11" s="7">
        <v>0</v>
      </c>
      <c r="G11" s="46">
        <f>+D11+6%</f>
        <v>0.06</v>
      </c>
      <c r="H11" s="26"/>
    </row>
    <row r="12" spans="1:11" ht="15.75" x14ac:dyDescent="0.2">
      <c r="A12" s="4"/>
      <c r="B12" s="52" t="s">
        <v>70</v>
      </c>
      <c r="C12" s="52"/>
      <c r="D12" s="52"/>
      <c r="E12" s="52"/>
      <c r="F12" s="52"/>
      <c r="G12" s="52"/>
      <c r="H12" s="52"/>
    </row>
    <row r="13" spans="1:11" ht="15" x14ac:dyDescent="0.25">
      <c r="A13" s="4"/>
      <c r="B13" s="28" t="s">
        <v>50</v>
      </c>
      <c r="C13" s="28"/>
      <c r="D13" s="28"/>
      <c r="E13" s="28"/>
      <c r="F13" s="28"/>
      <c r="G13" s="28"/>
      <c r="H13" s="28"/>
    </row>
    <row r="14" spans="1:11" s="9" customFormat="1" ht="15" x14ac:dyDescent="0.25">
      <c r="A14" s="4"/>
      <c r="B14" s="28" t="s">
        <v>15</v>
      </c>
      <c r="C14" s="28"/>
      <c r="D14" s="28"/>
      <c r="E14" s="28"/>
      <c r="F14" s="28"/>
      <c r="G14" s="28"/>
      <c r="H14" s="28"/>
    </row>
    <row r="16" spans="1:11" x14ac:dyDescent="0.2">
      <c r="B16" s="13"/>
    </row>
  </sheetData>
  <mergeCells count="4">
    <mergeCell ref="B1:H1"/>
    <mergeCell ref="F2:G2"/>
    <mergeCell ref="B12:H12"/>
    <mergeCell ref="C3:D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14"/>
  <sheetViews>
    <sheetView rightToLeft="1" zoomScale="115" zoomScaleNormal="115" workbookViewId="0">
      <selection activeCell="K3" sqref="K3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18.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11" s="8" customFormat="1" ht="27.75" customHeight="1" thickBot="1" x14ac:dyDescent="0.25">
      <c r="B1" s="49" t="s">
        <v>17</v>
      </c>
      <c r="C1" s="49"/>
      <c r="D1" s="49"/>
      <c r="E1" s="49"/>
      <c r="F1" s="49"/>
      <c r="G1" s="49"/>
      <c r="H1" s="49"/>
    </row>
    <row r="2" spans="1:11" s="2" customFormat="1" ht="31.5" customHeight="1" thickBot="1" x14ac:dyDescent="0.25">
      <c r="B2" s="20" t="s">
        <v>0</v>
      </c>
      <c r="C2" s="18" t="s">
        <v>54</v>
      </c>
      <c r="D2" s="19" t="s">
        <v>53</v>
      </c>
      <c r="E2" s="19" t="s">
        <v>1</v>
      </c>
      <c r="F2" s="50" t="s">
        <v>2</v>
      </c>
      <c r="G2" s="51"/>
      <c r="H2" s="20" t="s">
        <v>3</v>
      </c>
    </row>
    <row r="3" spans="1:11" ht="15.75" thickBot="1" x14ac:dyDescent="0.3">
      <c r="B3" s="42" t="s">
        <v>4</v>
      </c>
      <c r="C3" s="54">
        <v>7473.2</v>
      </c>
      <c r="D3" s="55"/>
      <c r="E3" s="33"/>
      <c r="F3" s="43" t="s">
        <v>5</v>
      </c>
      <c r="G3" s="44" t="s">
        <v>6</v>
      </c>
      <c r="H3" s="32"/>
      <c r="K3" s="3"/>
    </row>
    <row r="4" spans="1:11" s="3" customFormat="1" ht="15" x14ac:dyDescent="0.25">
      <c r="B4" s="29" t="s">
        <v>7</v>
      </c>
      <c r="C4" s="37">
        <v>0</v>
      </c>
      <c r="D4" s="38">
        <v>0</v>
      </c>
      <c r="E4" s="34" t="s">
        <v>8</v>
      </c>
      <c r="F4" s="30">
        <v>0</v>
      </c>
      <c r="G4" s="45">
        <f>+D4+6%</f>
        <v>0.06</v>
      </c>
      <c r="H4" s="31"/>
    </row>
    <row r="5" spans="1:11" s="3" customFormat="1" ht="15" x14ac:dyDescent="0.25">
      <c r="B5" s="10" t="s">
        <v>9</v>
      </c>
      <c r="C5" s="15">
        <v>0.90529999999999999</v>
      </c>
      <c r="D5" s="39">
        <v>0.98</v>
      </c>
      <c r="E5" s="35" t="s">
        <v>10</v>
      </c>
      <c r="F5" s="5">
        <f>+D5-5%</f>
        <v>0.92999999999999994</v>
      </c>
      <c r="G5" s="27">
        <f>+D5+5%</f>
        <v>1.03</v>
      </c>
      <c r="H5" s="24" t="s">
        <v>16</v>
      </c>
    </row>
    <row r="6" spans="1:11" s="3" customFormat="1" ht="15" x14ac:dyDescent="0.25">
      <c r="B6" s="10" t="s">
        <v>11</v>
      </c>
      <c r="C6" s="15">
        <v>0</v>
      </c>
      <c r="D6" s="39">
        <v>0</v>
      </c>
      <c r="E6" s="35" t="s">
        <v>8</v>
      </c>
      <c r="F6" s="5">
        <v>0</v>
      </c>
      <c r="G6" s="27">
        <f>+D6+6%</f>
        <v>0.06</v>
      </c>
      <c r="H6" s="23"/>
    </row>
    <row r="7" spans="1:11" s="3" customFormat="1" ht="15" x14ac:dyDescent="0.25">
      <c r="B7" s="21" t="s">
        <v>20</v>
      </c>
      <c r="C7" s="15">
        <v>0</v>
      </c>
      <c r="D7" s="39">
        <v>0</v>
      </c>
      <c r="E7" s="35" t="s">
        <v>10</v>
      </c>
      <c r="F7" s="5">
        <v>0</v>
      </c>
      <c r="G7" s="27">
        <f>+D7+5%</f>
        <v>0.05</v>
      </c>
      <c r="H7" s="23"/>
    </row>
    <row r="8" spans="1:11" s="3" customFormat="1" ht="15" x14ac:dyDescent="0.25">
      <c r="B8" s="21" t="s">
        <v>21</v>
      </c>
      <c r="C8" s="15">
        <v>0</v>
      </c>
      <c r="D8" s="39">
        <v>0</v>
      </c>
      <c r="E8" s="35" t="s">
        <v>10</v>
      </c>
      <c r="F8" s="5">
        <v>0</v>
      </c>
      <c r="G8" s="27">
        <f t="shared" ref="G8:G9" si="0">+D8+5%</f>
        <v>0.05</v>
      </c>
      <c r="H8" s="23"/>
    </row>
    <row r="9" spans="1:11" s="3" customFormat="1" ht="15" x14ac:dyDescent="0.25">
      <c r="B9" s="10" t="s">
        <v>12</v>
      </c>
      <c r="C9" s="16">
        <v>9.4700000000000006E-2</v>
      </c>
      <c r="D9" s="40">
        <v>0.02</v>
      </c>
      <c r="E9" s="22" t="s">
        <v>10</v>
      </c>
      <c r="F9" s="6">
        <v>0</v>
      </c>
      <c r="G9" s="12">
        <f t="shared" si="0"/>
        <v>7.0000000000000007E-2</v>
      </c>
      <c r="H9" s="25"/>
    </row>
    <row r="10" spans="1:11" ht="15" x14ac:dyDescent="0.25">
      <c r="A10" s="3"/>
      <c r="B10" s="10" t="s">
        <v>13</v>
      </c>
      <c r="C10" s="16">
        <v>1</v>
      </c>
      <c r="D10" s="40">
        <v>1</v>
      </c>
      <c r="E10" s="22"/>
      <c r="F10" s="6"/>
      <c r="G10" s="12"/>
      <c r="H10" s="25"/>
    </row>
    <row r="11" spans="1:11" ht="15.75" thickBot="1" x14ac:dyDescent="0.3">
      <c r="A11" s="3"/>
      <c r="B11" s="11" t="s">
        <v>14</v>
      </c>
      <c r="C11" s="17">
        <v>0</v>
      </c>
      <c r="D11" s="41">
        <v>0</v>
      </c>
      <c r="E11" s="36" t="s">
        <v>8</v>
      </c>
      <c r="F11" s="7">
        <v>0</v>
      </c>
      <c r="G11" s="46">
        <f>+D11+6%</f>
        <v>0.06</v>
      </c>
      <c r="H11" s="26"/>
    </row>
    <row r="12" spans="1:11" ht="15.75" x14ac:dyDescent="0.2">
      <c r="A12" s="4"/>
      <c r="B12" s="52" t="s">
        <v>70</v>
      </c>
      <c r="C12" s="52"/>
      <c r="D12" s="52"/>
      <c r="E12" s="52"/>
      <c r="F12" s="52"/>
      <c r="G12" s="52"/>
      <c r="H12" s="52"/>
    </row>
    <row r="13" spans="1:11" ht="15" x14ac:dyDescent="0.25">
      <c r="A13" s="4"/>
      <c r="B13" s="28" t="s">
        <v>50</v>
      </c>
      <c r="C13" s="28"/>
      <c r="D13" s="28"/>
      <c r="E13" s="28"/>
      <c r="F13" s="28"/>
      <c r="G13" s="28"/>
      <c r="H13" s="28"/>
    </row>
    <row r="14" spans="1:11" s="9" customFormat="1" ht="15" x14ac:dyDescent="0.25">
      <c r="A14" s="4"/>
      <c r="B14" s="28" t="s">
        <v>15</v>
      </c>
      <c r="C14" s="28"/>
      <c r="D14" s="28"/>
      <c r="E14" s="28"/>
      <c r="F14" s="28"/>
      <c r="G14" s="28"/>
      <c r="H14" s="28"/>
    </row>
  </sheetData>
  <mergeCells count="4">
    <mergeCell ref="B1:H1"/>
    <mergeCell ref="F2:G2"/>
    <mergeCell ref="B12:H12"/>
    <mergeCell ref="C3:D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DE3C5C6BC363478679EC8EBD2CC28A" ma:contentTypeVersion="4" ma:contentTypeDescription="Create a new document." ma:contentTypeScope="" ma:versionID="abe5394867e33f26e2b5a0129a1586ad">
  <xsd:schema xmlns:xsd="http://www.w3.org/2001/XMLSchema" xmlns:xs="http://www.w3.org/2001/XMLSchema" xmlns:p="http://schemas.microsoft.com/office/2006/metadata/properties" xmlns:ns3="0b49047d-08d2-4e53-94cc-e27990adf041" targetNamespace="http://schemas.microsoft.com/office/2006/metadata/properties" ma:root="true" ma:fieldsID="c68431f608b53cff20603cee24ba4d91" ns3:_="">
    <xsd:import namespace="0b49047d-08d2-4e53-94cc-e27990adf04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49047d-08d2-4e53-94cc-e27990adf04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5B1984-38D9-4701-B481-1B727B8124B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4DC6240-0F6F-4DAE-B057-BF07032C5BA4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0b49047d-08d2-4e53-94cc-e27990adf041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52F8875-28C1-445E-879C-70F7F245C1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49047d-08d2-4e53-94cc-e27990adf0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20</vt:i4>
      </vt:variant>
    </vt:vector>
  </HeadingPairs>
  <TitlesOfParts>
    <vt:vector size="20" baseType="lpstr">
      <vt:lpstr>כללי</vt:lpstr>
      <vt:lpstr>קרן י</vt:lpstr>
      <vt:lpstr>קרן י החדשה</vt:lpstr>
      <vt:lpstr>קרן ט</vt:lpstr>
      <vt:lpstr>משתתפת עד 50</vt:lpstr>
      <vt:lpstr>משתתפת 50 עד 60</vt:lpstr>
      <vt:lpstr>משתתפת מעל גיל 60</vt:lpstr>
      <vt:lpstr>הלכה</vt:lpstr>
      <vt:lpstr>עוקב מדדי מניות</vt:lpstr>
      <vt:lpstr>מקבלי קצבה</vt:lpstr>
      <vt:lpstr>מניות סחיר</vt:lpstr>
      <vt:lpstr>עוקב מדד S&amp;P500</vt:lpstr>
      <vt:lpstr>מניות</vt:lpstr>
      <vt:lpstr>כספי (שקלי)</vt:lpstr>
      <vt:lpstr>אשראי ואג"ח</vt:lpstr>
      <vt:lpstr>אשראי ואג"ח עד 25% מניות</vt:lpstr>
      <vt:lpstr>עוקב מדדים גמיש</vt:lpstr>
      <vt:lpstr>משולב סחיר</vt:lpstr>
      <vt:lpstr>עוקב מדדי אג"ח</vt:lpstr>
      <vt:lpstr>אג"ח ממשלתי סחיר</vt:lpstr>
    </vt:vector>
  </TitlesOfParts>
  <Company>Ayalon-ins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ליאור מאיר</dc:creator>
  <cp:lastModifiedBy>מירב ברכה-חמו</cp:lastModifiedBy>
  <dcterms:created xsi:type="dcterms:W3CDTF">2024-02-20T16:34:33Z</dcterms:created>
  <dcterms:modified xsi:type="dcterms:W3CDTF">2026-02-10T11:13:02Z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0x01010086DE3C5C6BC363478679EC8EBD2CC28A</vt:lpwstr>
  </property>
</Properties>
</file>