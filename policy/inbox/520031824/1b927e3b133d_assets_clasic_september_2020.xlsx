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R:\חשבות מלם\חשבות בנק הפועלים\מדור שירות ובקרה\רשימות נכסים\2020\Q3.2020\תיקונים\רום\רשימות מתוקנות\"/>
    </mc:Choice>
  </mc:AlternateContent>
  <bookViews>
    <workbookView xWindow="0" yWindow="0" windowWidth="20490" windowHeight="6510"/>
  </bookViews>
  <sheets>
    <sheet name="סכום נכסי הקרן" sheetId="1" r:id="rId1"/>
    <sheet name="מזומנים" sheetId="2" r:id="rId2"/>
    <sheet name="תעודות התחייבות ממשלתיות" sheetId="3" r:id="rId3"/>
    <sheet name="תעודות חוב מסחריות" sheetId="4" r:id="rId4"/>
    <sheet name="אג&quot;ח קונצרני" sheetId="5" r:id="rId5"/>
    <sheet name="מניות" sheetId="6" r:id="rId6"/>
    <sheet name="קרנות סל" sheetId="7" r:id="rId7"/>
    <sheet name="קרנות נאמנות" sheetId="8" r:id="rId8"/>
    <sheet name="כתבי אופציה" sheetId="9" r:id="rId9"/>
    <sheet name="אופציות" sheetId="10" r:id="rId10"/>
    <sheet name="חוזים עתידיים" sheetId="11" r:id="rId11"/>
    <sheet name="מוצרים מובנים" sheetId="12" r:id="rId12"/>
    <sheet name="לא סחיר - תעודות התחייבות ממשלת" sheetId="13" r:id="rId13"/>
    <sheet name="לא סחיר - תעודות חוב מסחריות" sheetId="14" r:id="rId14"/>
    <sheet name="לא סחיר - אג&quot;ח קונצרני" sheetId="15" r:id="rId15"/>
    <sheet name="לא סחיר - מניות" sheetId="16" r:id="rId16"/>
    <sheet name="לא סחיר - קרנות השקעה" sheetId="17" r:id="rId17"/>
    <sheet name="לא סחיר - כתבי אופציה" sheetId="18" r:id="rId18"/>
    <sheet name="לא סחיר - אופציות" sheetId="19" r:id="rId19"/>
    <sheet name="לא סחיר - חוזים עתידיים" sheetId="20" r:id="rId20"/>
    <sheet name="לא סחיר - מוצרים מובנים" sheetId="21" r:id="rId21"/>
    <sheet name="הלוואות" sheetId="22" r:id="rId22"/>
    <sheet name="פקדונות מעל 3 חודשים" sheetId="23" r:id="rId23"/>
    <sheet name="זכויות מקרקעין" sheetId="24" r:id="rId24"/>
    <sheet name="השקעה בחברות מוחזקות" sheetId="25" r:id="rId25"/>
    <sheet name="השקעות אחרות" sheetId="26" r:id="rId26"/>
    <sheet name="יתרת התחייבות להשקעה" sheetId="27" r:id="rId27"/>
    <sheet name="עלות מתואמת אג&quot;ח קונצרני סחיר" sheetId="28" r:id="rId28"/>
    <sheet name="עלות מתואמת אג&quot;ח קונצרני ל.סחיר" sheetId="29" r:id="rId29"/>
    <sheet name="עלות מתואמת מסגרות אשראי ללווים" sheetId="30" r:id="rId30"/>
  </sheets>
  <calcPr calcId="162913"/>
</workbook>
</file>

<file path=xl/calcChain.xml><?xml version="1.0" encoding="utf-8"?>
<calcChain xmlns="http://schemas.openxmlformats.org/spreadsheetml/2006/main">
  <c r="K12" i="6" l="1"/>
  <c r="K11" i="6"/>
  <c r="C37" i="27" l="1"/>
  <c r="C10" i="27" s="1"/>
  <c r="C11" i="27"/>
</calcChain>
</file>

<file path=xl/sharedStrings.xml><?xml version="1.0" encoding="utf-8"?>
<sst xmlns="http://schemas.openxmlformats.org/spreadsheetml/2006/main" count="9211" uniqueCount="958">
  <si>
    <t>תאריך הדיווח</t>
  </si>
  <si>
    <t>30/09/2020</t>
  </si>
  <si>
    <t>החברה המדווחת</t>
  </si>
  <si>
    <t>ק"ה לעובדי רשויות מקומיות בע"מ</t>
  </si>
  <si>
    <t>שם מסלול/קרן/קופה</t>
  </si>
  <si>
    <t>רום קלאסי כללי</t>
  </si>
  <si>
    <t>מספר מסלול/קרן/קופה</t>
  </si>
  <si>
    <t/>
  </si>
  <si>
    <t>סכום נכסי ההשקעה:</t>
  </si>
  <si>
    <t>שווי הוגן</t>
  </si>
  <si>
    <t>שעור מנכסי השקעה*</t>
  </si>
  <si>
    <t>אלפי ש"ח</t>
  </si>
  <si>
    <t>אחוזים</t>
  </si>
  <si>
    <t>(1)</t>
  </si>
  <si>
    <t>(2)</t>
  </si>
  <si>
    <t>.1 נכסים המוצגים לפי שווי הוגן</t>
  </si>
  <si>
    <t>א. מזומנים</t>
  </si>
  <si>
    <t>ב. ניירות ערך סחירים:</t>
  </si>
  <si>
    <t>(1) תעודות התחייבות ממשלתיות</t>
  </si>
  <si>
    <t>(2) תעודות חוב מסחריות</t>
  </si>
  <si>
    <t>(3) אג''ח קונצרני</t>
  </si>
  <si>
    <t>(4) מניות</t>
  </si>
  <si>
    <t>(5) קרנות סל</t>
  </si>
  <si>
    <t>(6) תעודות השתתפות בקרנות נאמנות</t>
  </si>
  <si>
    <t>(7) כתבי אופציה</t>
  </si>
  <si>
    <t>(8) אופציות</t>
  </si>
  <si>
    <t>(9) חוזים עתידיים</t>
  </si>
  <si>
    <t>(10) מוצרים מובנים</t>
  </si>
  <si>
    <t>ג. ניירות ערך לא סחירים:</t>
  </si>
  <si>
    <t>(5) קרנות השקעה</t>
  </si>
  <si>
    <t>(6) כתבי אופציה</t>
  </si>
  <si>
    <t>(7) אופציות</t>
  </si>
  <si>
    <t>(8) חוזים עתידיים</t>
  </si>
  <si>
    <t>(9) מוצרים מובנים</t>
  </si>
  <si>
    <t>ד. הלוואות</t>
  </si>
  <si>
    <t>ה. פקדונות מעל 3 חודשים</t>
  </si>
  <si>
    <t>ו. זכויות מקרקעין</t>
  </si>
  <si>
    <t>ז. השקעה בחברות מוחזקות</t>
  </si>
  <si>
    <t>ח. השקעות אחרות</t>
  </si>
  <si>
    <t>.2 נכסים המוצגים לפי עלות מתואמת</t>
  </si>
  <si>
    <t xml:space="preserve">א. אג"ח קונצרני סחיר </t>
  </si>
  <si>
    <t>ב. אג"ח קונצרני לא סחיר</t>
  </si>
  <si>
    <t>ג. מסגרות אשראי מנוצלות ללווים</t>
  </si>
  <si>
    <t>סה''כ סכום נכסי המסלול או הקרן</t>
  </si>
  <si>
    <t>ט. יתרות התחייבות להשקעה:</t>
  </si>
  <si>
    <t>* בהתאם לשיטה שיושמה בדוח הכספי</t>
  </si>
  <si>
    <t>שם מטבע</t>
  </si>
  <si>
    <t>שע"ח</t>
  </si>
  <si>
    <t>דולר אמריקאי</t>
  </si>
  <si>
    <t xml:space="preserve">3.441 </t>
  </si>
  <si>
    <t>לירה שטרלינג</t>
  </si>
  <si>
    <t xml:space="preserve">4.4108 </t>
  </si>
  <si>
    <t>פרנק שווצרי</t>
  </si>
  <si>
    <t xml:space="preserve">3.726 </t>
  </si>
  <si>
    <t>אירו</t>
  </si>
  <si>
    <t xml:space="preserve">4.0258 </t>
  </si>
  <si>
    <t>דולר סינגפורי</t>
  </si>
  <si>
    <t xml:space="preserve">2.5112 </t>
  </si>
  <si>
    <t>דולר הונג קונג</t>
  </si>
  <si>
    <t xml:space="preserve">0.4432 </t>
  </si>
  <si>
    <t>13:46:03</t>
  </si>
  <si>
    <t>2020-10-27</t>
  </si>
  <si>
    <t>1. א. מזומנים ושווי מזומנים</t>
  </si>
  <si>
    <t>שם המנפיק/שם נייר ערך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</si>
  <si>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</si>
  <si>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</si>
  <si>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</si>
  <si>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</si>
  <si>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</si>
  <si>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</si>
  <si>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</si>
  <si>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</si>
  <si>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שעור מנכסי אפיק ההשקעה</t>
  </si>
  <si>
    <t>שעור מסך נכסי השקעה</t>
  </si>
  <si>
    <t>(3)</t>
  </si>
  <si>
    <t>(4)</t>
  </si>
  <si>
    <t>(5)</t>
  </si>
  <si>
    <t>(6)</t>
  </si>
  <si>
    <t>(7)</t>
  </si>
  <si>
    <t>(8)</t>
  </si>
  <si>
    <t>(9)</t>
  </si>
  <si>
    <t>(10)</t>
  </si>
  <si>
    <t>סה"כ מזומנים ושווי מזומנים</t>
  </si>
  <si>
    <t>:סה"כ בישראל</t>
  </si>
  <si>
    <t>יתרות מזומנים ועו"ש בש"ח</t>
  </si>
  <si>
    <t>סכומים לקבל תנועות בזמן T</t>
  </si>
  <si>
    <t>AA+IL</t>
  </si>
  <si>
    <t>מעלות S&amp;P</t>
  </si>
  <si>
    <t>שקל חדש</t>
  </si>
  <si>
    <t>בנק הפועלים - שקל חדש</t>
  </si>
  <si>
    <t>ilAA+</t>
  </si>
  <si>
    <t>פועלים סהר - שקל חדש</t>
  </si>
  <si>
    <t>יתרות מזומנים ועו"ש נקובים במט"ח</t>
  </si>
  <si>
    <t>בנק הפועלים - דולר אמריקאי</t>
  </si>
  <si>
    <t>פועלים סהר - דולר אמריקאי</t>
  </si>
  <si>
    <t>פועלים סהר - דולר הונג קונג</t>
  </si>
  <si>
    <t>פועלים סהר - אירו</t>
  </si>
  <si>
    <t>פח"ק פר"י</t>
  </si>
  <si>
    <t>פק"מ לתקופה של עד שלושה חודשים</t>
  </si>
  <si>
    <t>פקדון צמוד מדד עד שלושה חודשים</t>
  </si>
  <si>
    <t>פקדון צמוד מט"ח עד שלושה חודשים (פצ"מ)</t>
  </si>
  <si>
    <t>פקדונות במט"ח עד שלושה חודשים</t>
  </si>
  <si>
    <t>:סה"כ בחו"ל</t>
  </si>
  <si>
    <t xml:space="preserve">יתרות מזומנים ועו"ש נקובים במט"ח </t>
  </si>
  <si>
    <t>* בעל ענין/צד קשור</t>
  </si>
  <si>
    <t>1. 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</si>
  <si>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</si>
  <si>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</si>
  <si>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</si>
  <si>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</si>
  <si>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</t>
  </si>
  <si>
    <t>שער</t>
  </si>
  <si>
    <t>פדיון/ריבית לקבל</t>
  </si>
  <si>
    <t>שעור מערך נקוב מונפק</t>
  </si>
  <si>
    <t>שעור מסך נכסי השקעה**</t>
  </si>
  <si>
    <t>שנים</t>
  </si>
  <si>
    <t>ש"ח</t>
  </si>
  <si>
    <t>אגורות</t>
  </si>
  <si>
    <t>(11)</t>
  </si>
  <si>
    <t>(12)</t>
  </si>
  <si>
    <t>(13)</t>
  </si>
  <si>
    <t>(14)</t>
  </si>
  <si>
    <t>(15)</t>
  </si>
  <si>
    <t>(16)</t>
  </si>
  <si>
    <t>סה"כ תעודות התחייבות ממשלתיות</t>
  </si>
  <si>
    <t>סה"כ צמודות מדד</t>
  </si>
  <si>
    <t>גליל 5903</t>
  </si>
  <si>
    <t>TASE</t>
  </si>
  <si>
    <t>RF</t>
  </si>
  <si>
    <t>ללא דירוג</t>
  </si>
  <si>
    <t>ממשל צמודה 0922</t>
  </si>
  <si>
    <t>ממשל צמודה 0923</t>
  </si>
  <si>
    <t>גליל 5904</t>
  </si>
  <si>
    <t>ממשל צמודה 0536</t>
  </si>
  <si>
    <t>סה"כ לא צמודות</t>
  </si>
  <si>
    <t>ממשל שקלית 0421</t>
  </si>
  <si>
    <t>ממשל שקלית 0121</t>
  </si>
  <si>
    <t>ממשל שקלית 1122</t>
  </si>
  <si>
    <t>ממשל שקלית 0347</t>
  </si>
  <si>
    <t>ממשל שקלית 0324</t>
  </si>
  <si>
    <t>ממשל שקלית 0122</t>
  </si>
  <si>
    <t>ממשל שקלית 0142</t>
  </si>
  <si>
    <t>סה"כ צמודות לדולר</t>
  </si>
  <si>
    <t>סה"כ אג"ח של ממשלת ישראל שהונפקו בחו"ל</t>
  </si>
  <si>
    <t>סה"כ אג"ח  שהנפיקו ממשלות זרות בחו"ל</t>
  </si>
  <si>
    <t>B ZCP 12/20</t>
  </si>
  <si>
    <t xml:space="preserve">US912796TU31 </t>
  </si>
  <si>
    <t>AMEX</t>
  </si>
  <si>
    <t>NR</t>
  </si>
  <si>
    <t>** בהתאם לשיטה שיושמה בדוח הכספי</t>
  </si>
  <si>
    <t>2. תעודות חוב מסחריות</t>
  </si>
  <si>
    <t>ספק המידע</t>
  </si>
  <si>
    <t>ענף מסחר</t>
  </si>
  <si>
    <t>(17)</t>
  </si>
  <si>
    <t>(18)</t>
  </si>
  <si>
    <t>(19)</t>
  </si>
  <si>
    <t>סה"כ תעודות חוב מסחריות</t>
  </si>
  <si>
    <t>סה"כ צמודות</t>
  </si>
  <si>
    <t>סה"כ צמודות למט"ח</t>
  </si>
  <si>
    <t>סה"כ חברות זרות בחו"ל</t>
  </si>
  <si>
    <t>סה"כ חברות ישראליות בחו"ל</t>
  </si>
  <si>
    <t>סה"כ בחו"ל</t>
  </si>
  <si>
    <t>3. אג"ח קונצרני</t>
  </si>
  <si>
    <t>תאריך</t>
  </si>
  <si>
    <t>יחידות</t>
  </si>
  <si>
    <t>סה"כ אגרות חוב קונצרניות</t>
  </si>
  <si>
    <t>'דקסיה אג"ח ב</t>
  </si>
  <si>
    <t>בנקים</t>
  </si>
  <si>
    <t>ilAAA</t>
  </si>
  <si>
    <t>לאומי אגח 181</t>
  </si>
  <si>
    <t>Aaa.il</t>
  </si>
  <si>
    <t>מידרוג</t>
  </si>
  <si>
    <t>לאומי אגח 179</t>
  </si>
  <si>
    <t>מזרחי טפ הנפק 38</t>
  </si>
  <si>
    <t>מז טפ הנפק 51</t>
  </si>
  <si>
    <t>מז טפ הנפק 44</t>
  </si>
  <si>
    <t>מז טפ הנפק 43</t>
  </si>
  <si>
    <t>מז טפ הנפק 45</t>
  </si>
  <si>
    <t>מז טפ הנפק 46</t>
  </si>
  <si>
    <t>פועלים הנפקות אגח 32</t>
  </si>
  <si>
    <t>פועלים הנ אגח34</t>
  </si>
  <si>
    <t>פועלים הנ אגח35</t>
  </si>
  <si>
    <t>בינל הנפקות התח כ</t>
  </si>
  <si>
    <t>דיסקונט מנפיקים ד .זפ 2022.10.30</t>
  </si>
  <si>
    <t>עזריאלי אגח ד</t>
  </si>
  <si>
    <t>נדל"ן מניב בישראל</t>
  </si>
  <si>
    <t>Aa1.il</t>
  </si>
  <si>
    <t>פועלים הנפקות הת יד</t>
  </si>
  <si>
    <t>פועלים הנ הת טו</t>
  </si>
  <si>
    <t>ריט 1 אגח ד</t>
  </si>
  <si>
    <t>ilAA</t>
  </si>
  <si>
    <t>ארפורט אגח ה</t>
  </si>
  <si>
    <t>פועלים הנפקות שה נד 1</t>
  </si>
  <si>
    <t>שופרסל אגח ו</t>
  </si>
  <si>
    <t>מסחר</t>
  </si>
  <si>
    <t>אגוד הנפקות אגח ט</t>
  </si>
  <si>
    <t>Aa3.il</t>
  </si>
  <si>
    <t>אדמה אגח ב</t>
  </si>
  <si>
    <t>כימיה גומי ופלסטיק</t>
  </si>
  <si>
    <t>ilAA-</t>
  </si>
  <si>
    <t>אלוני חץ אגח ח</t>
  </si>
  <si>
    <t>בזק אגח 6</t>
  </si>
  <si>
    <t>תקשורת ומדיה</t>
  </si>
  <si>
    <t>ביג אגח טו</t>
  </si>
  <si>
    <t>גזית גלוב אגח יא</t>
  </si>
  <si>
    <t>נדל"ן מניב בחו"ל</t>
  </si>
  <si>
    <t>גזית גלוב אגחיג</t>
  </si>
  <si>
    <t>גזית גלוב אגח יב</t>
  </si>
  <si>
    <t>גזית גלוב אגחיד</t>
  </si>
  <si>
    <t>גזית גלוב אג"ח ד'</t>
  </si>
  <si>
    <t>הראל הנפקות אגח ה</t>
  </si>
  <si>
    <t>ביטוח</t>
  </si>
  <si>
    <t>הראל הנפקות אגח ז</t>
  </si>
  <si>
    <t>הראל הנפקות אגח ו</t>
  </si>
  <si>
    <t>ירושלים הנפקות אגח ט</t>
  </si>
  <si>
    <t>ירושליםהנ אגחטו</t>
  </si>
  <si>
    <t>כללביט אגח ז</t>
  </si>
  <si>
    <t>כללביט אגח ט</t>
  </si>
  <si>
    <t>מבני תעשיה אגח יז</t>
  </si>
  <si>
    <t>מזרחי טפחות אגח א'</t>
  </si>
  <si>
    <t>מליסרון אגח ו</t>
  </si>
  <si>
    <t>מליסרון אגח יג</t>
  </si>
  <si>
    <t>מליסרון אגח יא</t>
  </si>
  <si>
    <t>מנורה גיוס הון א' 2022 %4.05</t>
  </si>
  <si>
    <t>פז נפט אגח ו</t>
  </si>
  <si>
    <t>אנרגיה</t>
  </si>
  <si>
    <t>פז נפט אגח ז</t>
  </si>
  <si>
    <t>רבוע נדלן אגח ז</t>
  </si>
  <si>
    <t>שלמה החז אגח יח</t>
  </si>
  <si>
    <t>שירותים</t>
  </si>
  <si>
    <t>אגוד הנפקות התח יט</t>
  </si>
  <si>
    <t>A1.il</t>
  </si>
  <si>
    <t>מיטב דש אגח ד</t>
  </si>
  <si>
    <t>שירותים פיננסיים</t>
  </si>
  <si>
    <t>רבוע נדלן אגח ה</t>
  </si>
  <si>
    <t>ilA+</t>
  </si>
  <si>
    <t>מימון ישיר אג ב</t>
  </si>
  <si>
    <t>אחר</t>
  </si>
  <si>
    <t>A2.il</t>
  </si>
  <si>
    <t>סלקום אגח ח</t>
  </si>
  <si>
    <t>ilA</t>
  </si>
  <si>
    <t>שכון ובינוי אגח 8</t>
  </si>
  <si>
    <t>בנייה</t>
  </si>
  <si>
    <t>הכשרת ישוב אג22</t>
  </si>
  <si>
    <t>ilA-</t>
  </si>
  <si>
    <t>נכסים ובנין אגח ד</t>
  </si>
  <si>
    <t>מישורים אגח ח</t>
  </si>
  <si>
    <t>ilBBB</t>
  </si>
  <si>
    <t>דיסקונט השק אגח 1</t>
  </si>
  <si>
    <t>השקעה ואחזקות</t>
  </si>
  <si>
    <t>ilBBB-</t>
  </si>
  <si>
    <t>צור אגח י</t>
  </si>
  <si>
    <t>דיסק מנ אגח יד</t>
  </si>
  <si>
    <t>דיסק מנ אגח יג</t>
  </si>
  <si>
    <t>דה זראסאי אגח ג</t>
  </si>
  <si>
    <t>וילאר אגח ז</t>
  </si>
  <si>
    <t>וילאר אגח ח</t>
  </si>
  <si>
    <t>חברת חשמל אגח 26</t>
  </si>
  <si>
    <t>Aa2.il</t>
  </si>
  <si>
    <t>ישראכרט אגח א</t>
  </si>
  <si>
    <t>מנורה מבטחים אגח ג</t>
  </si>
  <si>
    <t>נפטא אגח ח</t>
  </si>
  <si>
    <t>חיפושי נפט וגז</t>
  </si>
  <si>
    <t>סאמיט אגח ו</t>
  </si>
  <si>
    <t>נדל"ן ובינוי</t>
  </si>
  <si>
    <t>סאמיט אגח יא</t>
  </si>
  <si>
    <t>סילברסטין אגח א</t>
  </si>
  <si>
    <t>סילברסטין אגח ב</t>
  </si>
  <si>
    <t>שופרסל אגח ה</t>
  </si>
  <si>
    <t>גמא אגח א-רמ</t>
  </si>
  <si>
    <t>הפניקס אגח 3</t>
  </si>
  <si>
    <t>פניקס הון אגח ח</t>
  </si>
  <si>
    <t>הראל הנפ אגח יא</t>
  </si>
  <si>
    <t>טאואר אגח ז</t>
  </si>
  <si>
    <t>מוליכים למחצה</t>
  </si>
  <si>
    <t>כללביט אגח יא</t>
  </si>
  <si>
    <t>כללביט אגח י</t>
  </si>
  <si>
    <t>מבני תעשיה אגח טז</t>
  </si>
  <si>
    <t>'מגדל הון אגח ג</t>
  </si>
  <si>
    <t>נמקו אגח ב</t>
  </si>
  <si>
    <t>פסיפיק אגח ב</t>
  </si>
  <si>
    <t>שלמה החז אגח יז</t>
  </si>
  <si>
    <t>אמ.ג'יג'י אגח ב</t>
  </si>
  <si>
    <t>ווסטדייל אגח ב</t>
  </si>
  <si>
    <t>לייטסטון אגח ב</t>
  </si>
  <si>
    <t>ממן אגח ב</t>
  </si>
  <si>
    <t>נייר חדרה אגח 6</t>
  </si>
  <si>
    <t>עץ נייר ודפוס</t>
  </si>
  <si>
    <t>אפריקה מגורים אגח ג</t>
  </si>
  <si>
    <t>אשטרום קבוצה אגח ג</t>
  </si>
  <si>
    <t>חברהלישראלאגח14</t>
  </si>
  <si>
    <t>מגדלי תיכוןאגחד</t>
  </si>
  <si>
    <t>סאות'רן אגח ג</t>
  </si>
  <si>
    <t>סטרוברי אגח ב</t>
  </si>
  <si>
    <t>סלקום אגח ט</t>
  </si>
  <si>
    <t>פתאל אגח א</t>
  </si>
  <si>
    <t>רילייטד אגח א</t>
  </si>
  <si>
    <t>אלטיטיוד אגח א</t>
  </si>
  <si>
    <t>פתאל החז אגח ב</t>
  </si>
  <si>
    <t>מלונאות ותיירות</t>
  </si>
  <si>
    <t>A3.il</t>
  </si>
  <si>
    <t>אול-יר אגח ה</t>
  </si>
  <si>
    <t>Baa1.il</t>
  </si>
  <si>
    <t>הכש חב בטוחאגח4</t>
  </si>
  <si>
    <t>Baa2.il</t>
  </si>
  <si>
    <t>הכש חב בטוחאגח3</t>
  </si>
  <si>
    <t>דלק קבוצה אגח לג</t>
  </si>
  <si>
    <t>ilCCC</t>
  </si>
  <si>
    <t>דלק קב אגח לא</t>
  </si>
  <si>
    <t>בי קומיונק אגחג</t>
  </si>
  <si>
    <t>בי קומיונק אגחד</t>
  </si>
  <si>
    <t>שמוס אגח א</t>
  </si>
  <si>
    <t>אבגול אגח ד</t>
  </si>
  <si>
    <t>סאפיינס אגח ב</t>
  </si>
  <si>
    <t>תוכנה ואינטרנט</t>
  </si>
  <si>
    <t>תמר פטרו אגח ב</t>
  </si>
  <si>
    <t>תמר פטרו אגח א</t>
  </si>
  <si>
    <t>חברה לישראל אגח 11</t>
  </si>
  <si>
    <t>נויטס ממון אגחא</t>
  </si>
  <si>
    <t>סה"כ צמודות למדד אחר</t>
  </si>
  <si>
    <t>MS 5 3/4 01/25/21</t>
  </si>
  <si>
    <t xml:space="preserve">US61747WAF68 </t>
  </si>
  <si>
    <t>NYSE</t>
  </si>
  <si>
    <t>בלומברג</t>
  </si>
  <si>
    <t>Diversified Financials</t>
  </si>
  <si>
    <t>A3</t>
  </si>
  <si>
    <t>MOODYS</t>
  </si>
  <si>
    <t>.4 מניות</t>
  </si>
  <si>
    <t>דיבידנד לקבל</t>
  </si>
  <si>
    <t>סה"כ מניות</t>
  </si>
  <si>
    <t xml:space="preserve">סה"כ תל אביב 35 </t>
  </si>
  <si>
    <t>אלביט מערכות</t>
  </si>
  <si>
    <t>ביטחוניות</t>
  </si>
  <si>
    <t>אורמת טכנו</t>
  </si>
  <si>
    <t>קלינטק</t>
  </si>
  <si>
    <t>נייס מערכות</t>
  </si>
  <si>
    <t>טבע</t>
  </si>
  <si>
    <t>פארמה</t>
  </si>
  <si>
    <t>הבנק הבינלאומי</t>
  </si>
  <si>
    <t>דיסקונט</t>
  </si>
  <si>
    <t>לאומי</t>
  </si>
  <si>
    <t>מזרחי טפחות</t>
  </si>
  <si>
    <t>הפועלים</t>
  </si>
  <si>
    <t>פתאל החזקות</t>
  </si>
  <si>
    <t>מבני תעשיה בע"מ מ"ר 1 ש"ח</t>
  </si>
  <si>
    <t>אלקטרה</t>
  </si>
  <si>
    <t>דלק ניהול קידוחים יה"ש</t>
  </si>
  <si>
    <t>סה"כ תל אביב 90</t>
  </si>
  <si>
    <t>קמהדע מ"ר</t>
  </si>
  <si>
    <t>ביוטכנולוגיה</t>
  </si>
  <si>
    <t>. אנלייט אנרגיה מתחדשת בעמ</t>
  </si>
  <si>
    <t>. אנרג'יקס-אנרגיות מתחדשות</t>
  </si>
  <si>
    <t>חילן טק מ"ר 1</t>
  </si>
  <si>
    <t>שרותי מידע</t>
  </si>
  <si>
    <t>מטריקס</t>
  </si>
  <si>
    <t>פז נפט</t>
  </si>
  <si>
    <t>הבורסה לניע בתא</t>
  </si>
  <si>
    <t>דנאל (אדיר יהושוע) בע"מ מ"ר 1 ש"ח</t>
  </si>
  <si>
    <t>אלטשולר שחם גמל</t>
  </si>
  <si>
    <t>ישראכרט</t>
  </si>
  <si>
    <t>ריט 1</t>
  </si>
  <si>
    <t>פוקס-ויזל בע"מ</t>
  </si>
  <si>
    <t>אופנה והלבשה</t>
  </si>
  <si>
    <t>ישראמקו יהש</t>
  </si>
  <si>
    <t>סה"כ מניות היתר</t>
  </si>
  <si>
    <t>אזורים ליו' ריט</t>
  </si>
  <si>
    <t>יוטרון</t>
  </si>
  <si>
    <t>אלקטרוניקה ואופטיקה</t>
  </si>
  <si>
    <t>ג'נריישן קפיטל</t>
  </si>
  <si>
    <t>מור השקעות</t>
  </si>
  <si>
    <t>ג'י וואן</t>
  </si>
  <si>
    <t>נובולוג</t>
  </si>
  <si>
    <t>בי קומיוניקיישנס</t>
  </si>
  <si>
    <t>סים קומרשייל</t>
  </si>
  <si>
    <t>אספן גרופ מר 1</t>
  </si>
  <si>
    <t>מישורים חב' לפיתוח</t>
  </si>
  <si>
    <t>מניבים ריט</t>
  </si>
  <si>
    <t>כלל משקאות</t>
  </si>
  <si>
    <t>מזון</t>
  </si>
  <si>
    <t>ספאנטק</t>
  </si>
  <si>
    <t>דלק תמלוגים</t>
  </si>
  <si>
    <t>סה"כ אופציות Call 001</t>
  </si>
  <si>
    <t>LONG</t>
  </si>
  <si>
    <t>SHORT</t>
  </si>
  <si>
    <t>אלומי מוגבלות</t>
  </si>
  <si>
    <t xml:space="preserve">IL0010826357 </t>
  </si>
  <si>
    <t>Technology Hardware &amp; Equipment</t>
  </si>
  <si>
    <t>MELLANOX (MLNX)</t>
  </si>
  <si>
    <t xml:space="preserve">IL0011017329 </t>
  </si>
  <si>
    <t>NASDAQ</t>
  </si>
  <si>
    <t>ORMAT TECH(ORA)</t>
  </si>
  <si>
    <t xml:space="preserve">US6866881021 </t>
  </si>
  <si>
    <t>TEVA PHARMACEUTICAL IN</t>
  </si>
  <si>
    <t xml:space="preserve">IL0000100581 </t>
  </si>
  <si>
    <t>מוצרי בניה</t>
  </si>
  <si>
    <t>FIVERR INTERNATIONAL LTD</t>
  </si>
  <si>
    <t xml:space="preserve">IL0011582033 </t>
  </si>
  <si>
    <t>Other</t>
  </si>
  <si>
    <t>GLOBAL MEDICAL REIT INC</t>
  </si>
  <si>
    <t xml:space="preserve">US37954A2042 </t>
  </si>
  <si>
    <t>PRIME US REIT</t>
  </si>
  <si>
    <t xml:space="preserve">SGXC75818630 </t>
  </si>
  <si>
    <t>TENCENT HO(700)</t>
  </si>
  <si>
    <t>VBARE IBERIAN PROPERTIES SOCIM</t>
  </si>
  <si>
    <t xml:space="preserve">ES0105196002 </t>
  </si>
  <si>
    <t>BASF AG(BAS)</t>
  </si>
  <si>
    <t xml:space="preserve">DE000BASF111 </t>
  </si>
  <si>
    <t>Materials</t>
  </si>
  <si>
    <t>SIEMENS AG-REG</t>
  </si>
  <si>
    <t xml:space="preserve">DE0007236101 </t>
  </si>
  <si>
    <t>DAX</t>
  </si>
  <si>
    <t>Capital Goods</t>
  </si>
  <si>
    <t>AMAZON.COM INC</t>
  </si>
  <si>
    <t xml:space="preserve">US0231351067 </t>
  </si>
  <si>
    <t>Retailing</t>
  </si>
  <si>
    <t>PRICELINE GROUP INC/THE</t>
  </si>
  <si>
    <t xml:space="preserve">US7415034039 </t>
  </si>
  <si>
    <t>BAC- בנק אמריקה</t>
  </si>
  <si>
    <t xml:space="preserve">US0605051046 </t>
  </si>
  <si>
    <t>Banks</t>
  </si>
  <si>
    <t>ALIBABA GROUP HOLDING LTD</t>
  </si>
  <si>
    <t xml:space="preserve">US01609W1027 </t>
  </si>
  <si>
    <t>Software &amp; Services</t>
  </si>
  <si>
    <t>FACEBOOK INC</t>
  </si>
  <si>
    <t xml:space="preserve">US30303M1027 </t>
  </si>
  <si>
    <t>GOOGLE INC</t>
  </si>
  <si>
    <t xml:space="preserve">US38259P7069 </t>
  </si>
  <si>
    <t>JD.COM INC</t>
  </si>
  <si>
    <t xml:space="preserve">US47215P1066 </t>
  </si>
  <si>
    <t>MICROSOFT (MSFT)</t>
  </si>
  <si>
    <t xml:space="preserve">US5949181045 </t>
  </si>
  <si>
    <t>AAPLE COMP(AAPL</t>
  </si>
  <si>
    <t xml:space="preserve">US0378331005 </t>
  </si>
  <si>
    <t>NVIDIA CORP</t>
  </si>
  <si>
    <t xml:space="preserve">US67066G1040 </t>
  </si>
  <si>
    <t>Semiconductors &amp; Semiconductor Equipment</t>
  </si>
  <si>
    <t>SOLAREDGE TECHNOLOGIES INC</t>
  </si>
  <si>
    <t xml:space="preserve">US83417M1045 </t>
  </si>
  <si>
    <t>.5  קרנות סל</t>
  </si>
  <si>
    <t>סה"כ קרנות סל</t>
  </si>
  <si>
    <t>סה"כ שעוקבות אחר מדדי מניות בישראל</t>
  </si>
  <si>
    <t>ת"א 125 4A הראל סל</t>
  </si>
  <si>
    <t>מניות</t>
  </si>
  <si>
    <t>) ת"א 904Aסל )mtf</t>
  </si>
  <si>
    <t>*פסג.תא 125</t>
  </si>
  <si>
    <t>) ת"א 1254A) ETF קסם</t>
  </si>
  <si>
    <t>) ת"א 904A) ETF קסם</t>
  </si>
  <si>
    <t>60SMEאתכ.סל ת</t>
  </si>
  <si>
    <t>תכ.סל תא125</t>
  </si>
  <si>
    <t>סה"כ שעוקבות אחר מדדי מניות בחו"ל</t>
  </si>
  <si>
    <t>dax 30 4d הראל סל</t>
  </si>
  <si>
    <t>) ת"א 1254A) סל MTF</t>
  </si>
  <si>
    <t>*DJ Industrial Average (4D) ETF פסגות</t>
  </si>
  <si>
    <t>500 s&amp;p.קסם</t>
  </si>
  <si>
    <t>DAX 30 (4D) ETF קסם</t>
  </si>
  <si>
    <t>s&amp;p health careםקס</t>
  </si>
  <si>
    <t>.100NDaX תכלית סל</t>
  </si>
  <si>
    <t>.500SP תכלית סל</t>
  </si>
  <si>
    <t>סה"כ שעוקבות אחר מדדים אחרים בישראל</t>
  </si>
  <si>
    <t>הרל.תל בונד שקלי 50</t>
  </si>
  <si>
    <t>אג"ח</t>
  </si>
  <si>
    <t>) תל בונד 6000) הראל סל</t>
  </si>
  <si>
    <t>הרל.תל בונד שקלי</t>
  </si>
  <si>
    <t>) תל בונד 60 00) סל .mtf</t>
  </si>
  <si>
    <t>) תל-בונד שקלי 5000) סל.MTF</t>
  </si>
  <si>
    <t>*) תל בונד 6000) יETF פסגות</t>
  </si>
  <si>
    <t>) תל בונד 2000) יETF קסם</t>
  </si>
  <si>
    <t>) תל בונד 6000) יETF קסם</t>
  </si>
  <si>
    <t>) תל בונד שקלי 5000) יETF קסם</t>
  </si>
  <si>
    <t>) תל בונד 6000) תכלית סל</t>
  </si>
  <si>
    <t>סה"כ שעוקבות אחר מדדים אחרים בחו"ל</t>
  </si>
  <si>
    <t>סה"כ אחר</t>
  </si>
  <si>
    <t>סה"כ Short</t>
  </si>
  <si>
    <t xml:space="preserve">סה"כ שעוקבות אחר מדדי מניות </t>
  </si>
  <si>
    <t>ISHARES CHI(FXI</t>
  </si>
  <si>
    <t xml:space="preserve">US4642871846 </t>
  </si>
  <si>
    <t>ISHARES DJ (ITB</t>
  </si>
  <si>
    <t xml:space="preserve">US4642887529 </t>
  </si>
  <si>
    <t>ISHARES MSCI INDIA ETF</t>
  </si>
  <si>
    <t xml:space="preserve">US46429B5984 </t>
  </si>
  <si>
    <t>ISHARES DJ (IHI</t>
  </si>
  <si>
    <t xml:space="preserve">US4642888105 </t>
  </si>
  <si>
    <t>ISHARES NASDAQ BIOTECHNOL</t>
  </si>
  <si>
    <t xml:space="preserve">US4642875565 </t>
  </si>
  <si>
    <t>ISHARES MSCI CHINA ETF</t>
  </si>
  <si>
    <t xml:space="preserve">US46429B6719 </t>
  </si>
  <si>
    <t>ISHARES CORE MSCI EMERGIN</t>
  </si>
  <si>
    <t xml:space="preserve">US46434G1031 </t>
  </si>
  <si>
    <t>INVESCO KBW BANK</t>
  </si>
  <si>
    <t xml:space="preserve">US73937B7468 </t>
  </si>
  <si>
    <t>INVESCO SOLAR ETF</t>
  </si>
  <si>
    <t xml:space="preserve">US46138G7060 </t>
  </si>
  <si>
    <t>ISHARES JAP(EWJ)</t>
  </si>
  <si>
    <t xml:space="preserve">US4642868487 </t>
  </si>
  <si>
    <t>ISHARES SEM(SOXX)</t>
  </si>
  <si>
    <t xml:space="preserve">US4642875235 </t>
  </si>
  <si>
    <t>מניות זרות MSCI EMERGI</t>
  </si>
  <si>
    <t xml:space="preserve">US4642872349 </t>
  </si>
  <si>
    <t>ISHARES( AAXJ</t>
  </si>
  <si>
    <t xml:space="preserve">US4642881829 </t>
  </si>
  <si>
    <t>RUSSELL2000(IWM</t>
  </si>
  <si>
    <t xml:space="preserve">US4642876555 </t>
  </si>
  <si>
    <t>ECON US</t>
  </si>
  <si>
    <t xml:space="preserve">US2684617796 </t>
  </si>
  <si>
    <t>VANGUARD S&amp;P 500 ETF</t>
  </si>
  <si>
    <t xml:space="preserve">US9229084135 </t>
  </si>
  <si>
    <t>SPDR S&amp;P CHINA ETF</t>
  </si>
  <si>
    <t xml:space="preserve">US78463X4007 </t>
  </si>
  <si>
    <t>STREET TRA(KBE)</t>
  </si>
  <si>
    <t xml:space="preserve">US78464A7972 </t>
  </si>
  <si>
    <t>STREETTRACK(XHB</t>
  </si>
  <si>
    <t xml:space="preserve">US86330E7452 </t>
  </si>
  <si>
    <t>TECH SPDR(XLK)</t>
  </si>
  <si>
    <t xml:space="preserve">US81369Y8030 </t>
  </si>
  <si>
    <t>CONSUMER DI(XLY</t>
  </si>
  <si>
    <t xml:space="preserve">US81369Y4070 </t>
  </si>
  <si>
    <t>REAL ESTA(XLRE)</t>
  </si>
  <si>
    <t xml:space="preserve">US81369Y8600 </t>
  </si>
  <si>
    <t>FINANC SPDR(XLF</t>
  </si>
  <si>
    <t xml:space="preserve">US81369Y6059 </t>
  </si>
  <si>
    <t>HEALTH SPDR(XVL</t>
  </si>
  <si>
    <t xml:space="preserve">US81369Y2090 </t>
  </si>
  <si>
    <t>CONS' SPDR(XLP)</t>
  </si>
  <si>
    <t xml:space="preserve">US81369Y3080 </t>
  </si>
  <si>
    <t>US GLOBAL JETS ETF</t>
  </si>
  <si>
    <t xml:space="preserve">US26922A8421 </t>
  </si>
  <si>
    <t>VANECK VECTORS JUNIOR GOLD MIN</t>
  </si>
  <si>
    <t xml:space="preserve">US92189F7915 </t>
  </si>
  <si>
    <t>ISHARES CORE SPI ETF CH</t>
  </si>
  <si>
    <t xml:space="preserve">CH0237935652 </t>
  </si>
  <si>
    <t>מניה בחו"ל NASDAQ100(QQQ)</t>
  </si>
  <si>
    <t xml:space="preserve">US6311001043 </t>
  </si>
  <si>
    <t>CHINAAMC ETF SERIES - CHINAAMC</t>
  </si>
  <si>
    <t xml:space="preserve">HK0000123577 </t>
  </si>
  <si>
    <t>COMMUNICATION SERVICES SELECT</t>
  </si>
  <si>
    <t xml:space="preserve">US81369Y8527 </t>
  </si>
  <si>
    <t>FIRST TRUST NASDAQ CYBERSECURI</t>
  </si>
  <si>
    <t>GLOBAL X CLOUD COMPUTING ETF</t>
  </si>
  <si>
    <t xml:space="preserve">US37954Y4420 </t>
  </si>
  <si>
    <t>GLOBAL X (CHIQ)</t>
  </si>
  <si>
    <t xml:space="preserve">US37950E4089 </t>
  </si>
  <si>
    <t>HANG SE(2828 HK</t>
  </si>
  <si>
    <t xml:space="preserve">HK2828013055 </t>
  </si>
  <si>
    <t>HKSE</t>
  </si>
  <si>
    <t>(SXSEEX) יורו סטוק</t>
  </si>
  <si>
    <t xml:space="preserve">DE0005933956 </t>
  </si>
  <si>
    <t>KRANESHARES CSI CHINA INTERNET</t>
  </si>
  <si>
    <t xml:space="preserve">US5007673065 </t>
  </si>
  <si>
    <t>KRANESHARES BOSERA MSCI CHINA</t>
  </si>
  <si>
    <t xml:space="preserve">US5007674055 </t>
  </si>
  <si>
    <t>FIRST TRUST ISE CLOUD COMPUTIN</t>
  </si>
  <si>
    <t xml:space="preserve">US33734X1928 </t>
  </si>
  <si>
    <t>LYXOR HWABAO WP MSCI CHINA A D</t>
  </si>
  <si>
    <t xml:space="preserve">FR0011720911 </t>
  </si>
  <si>
    <t>LYXOR MSCI AC ASIA EX JAPAN UC</t>
  </si>
  <si>
    <t>LYXOR S&amp;P 500 UCITS ETF</t>
  </si>
  <si>
    <t xml:space="preserve">LU1135865084 </t>
  </si>
  <si>
    <t>LYXOR ETF CAC 40</t>
  </si>
  <si>
    <t xml:space="preserve">FR0007052782 </t>
  </si>
  <si>
    <t>CAC</t>
  </si>
  <si>
    <t>LYXOR ETF STOXX EUROPE 60</t>
  </si>
  <si>
    <t xml:space="preserve">FR0010344879 </t>
  </si>
  <si>
    <t>SOURCE JP(N4US)</t>
  </si>
  <si>
    <t xml:space="preserve">IE00BVGC6751 </t>
  </si>
  <si>
    <t>SPDR PORTFOLIO S&amp;P 500 VALUE E</t>
  </si>
  <si>
    <t xml:space="preserve">US78464A5083 </t>
  </si>
  <si>
    <t>דיימונדס טראסט נסחר בדולר</t>
  </si>
  <si>
    <t xml:space="preserve">US78467X1090 </t>
  </si>
  <si>
    <t>(SPY) אס.פי. די נסחר בדולר</t>
  </si>
  <si>
    <t xml:space="preserve">US78462F1030 </t>
  </si>
  <si>
    <t>UBS ETF MSCI EMU USD-H ACC</t>
  </si>
  <si>
    <t xml:space="preserve">LU1169819809 </t>
  </si>
  <si>
    <t>SIX</t>
  </si>
  <si>
    <t>WISDOMTREE CLOUD COMPUTING FUN</t>
  </si>
  <si>
    <t xml:space="preserve">US97717Y6914 </t>
  </si>
  <si>
    <t>WISDOMTREE JAPAN HEDGED E</t>
  </si>
  <si>
    <t xml:space="preserve">US97717W8516 </t>
  </si>
  <si>
    <t>סה"כ שעוקבות אחר מדדים אחרים</t>
  </si>
  <si>
    <t>ISHARES (HYG US</t>
  </si>
  <si>
    <t xml:space="preserve">US4642885135 </t>
  </si>
  <si>
    <t xml:space="preserve">סה"כ אחר </t>
  </si>
  <si>
    <t>.6 קרנות נאמנות</t>
  </si>
  <si>
    <t>סה"כ תעודות השתתפות בקרנות נאמנות</t>
  </si>
  <si>
    <t>סה"כ אג"ח קונצרני</t>
  </si>
  <si>
    <t>סה"כ אג"ח ממשלתי</t>
  </si>
  <si>
    <t>איביאי טכ עילית</t>
  </si>
  <si>
    <t>*) תל בונד שקלי 5000) יETF פסגות</t>
  </si>
  <si>
    <t>CIFC SENIOR LOAN CLASS E</t>
  </si>
  <si>
    <t xml:space="preserve">KYG213931226 </t>
  </si>
  <si>
    <t>BBB</t>
  </si>
  <si>
    <t>פנימי</t>
  </si>
  <si>
    <t>CS NOV(CSNGSMU)</t>
  </si>
  <si>
    <t xml:space="preserve">LU0635707705 </t>
  </si>
  <si>
    <t>B+</t>
  </si>
  <si>
    <t>ANGSANA BOND FUND</t>
  </si>
  <si>
    <t xml:space="preserve">IE00BNN82M77 </t>
  </si>
  <si>
    <t>Fixed Income</t>
  </si>
  <si>
    <t>B</t>
  </si>
  <si>
    <t>TRIGON - NEW EUROPE FUND/LUXEM</t>
  </si>
  <si>
    <t xml:space="preserve">LU1687402393 </t>
  </si>
  <si>
    <t>SCHRODER ISF GREATER CHINA</t>
  </si>
  <si>
    <t xml:space="preserve">LU1953148969 </t>
  </si>
  <si>
    <t>.7 כתבי אופציה</t>
  </si>
  <si>
    <t>סה"כ כתבי אופציה</t>
  </si>
  <si>
    <t>סה"כ בישראל</t>
  </si>
  <si>
    <t>כתבי אופציה בישראל</t>
  </si>
  <si>
    <t>אנרג'יקס אפ 3</t>
  </si>
  <si>
    <t>נאוויטס פט אפ 4</t>
  </si>
  <si>
    <t>כתבי אופציה בחו"ל</t>
  </si>
  <si>
    <t>.8 אופציות</t>
  </si>
  <si>
    <t>סה"כ אופציות</t>
  </si>
  <si>
    <t>סה"כ מדדים כולל מניות</t>
  </si>
  <si>
    <t>C001300M010-35ת</t>
  </si>
  <si>
    <t>P001300M010-35ת</t>
  </si>
  <si>
    <t>C001380M008-35ת</t>
  </si>
  <si>
    <t>P001380M008-35ת</t>
  </si>
  <si>
    <t>סה"כ מט"ח</t>
  </si>
  <si>
    <t>סה"כ ריבית</t>
  </si>
  <si>
    <t>QQQ P250 20/11/20</t>
  </si>
  <si>
    <t>QQQ P290 20/11/20</t>
  </si>
  <si>
    <t>QQQ P270 20/11/20</t>
  </si>
  <si>
    <t>סה"כ מטבע</t>
  </si>
  <si>
    <t>סה"כ סחורות</t>
  </si>
  <si>
    <t>.9 חוזים עתידיים</t>
  </si>
  <si>
    <t>סה"כ חוזים עתידיים</t>
  </si>
  <si>
    <t>MINI NASDAQ 100 12/2020</t>
  </si>
  <si>
    <t xml:space="preserve">NQ1 INDEX </t>
  </si>
  <si>
    <t>RTS</t>
  </si>
  <si>
    <t>ל.ר.</t>
  </si>
  <si>
    <t>MINI S&amp;P 500 FUTURES 12/2020</t>
  </si>
  <si>
    <t xml:space="preserve">ES1 INDEX </t>
  </si>
  <si>
    <t>.10 מוצרים מובנים</t>
  </si>
  <si>
    <t>נכס הבסיס</t>
  </si>
  <si>
    <t xml:space="preserve">סה"כ מוצרים מובנים </t>
  </si>
  <si>
    <t>סה"כ קרן מובטחת</t>
  </si>
  <si>
    <t>סה"כ קרן לא מובטחת</t>
  </si>
  <si>
    <t>אלה פקדון אגח ב</t>
  </si>
  <si>
    <t>מדד</t>
  </si>
  <si>
    <t>אלה פקדון אגח ה</t>
  </si>
  <si>
    <t>אלה פקדון אגח ד</t>
  </si>
  <si>
    <t>מטבע</t>
  </si>
  <si>
    <t>סה"כ מוצרים מאוגחים</t>
  </si>
  <si>
    <t xml:space="preserve">סה"כ מוצרים מאוגחים </t>
  </si>
  <si>
    <t>1. ג. ניירות ערך לא סחירים</t>
  </si>
  <si>
    <t>.1 תעודות התחייבות ממשלתיות</t>
  </si>
  <si>
    <t>סה"כ אג"ח לא סחיר שהנפיקו ממשלות זרות בחו"ל</t>
  </si>
  <si>
    <t>.2 תעודות חוב מסחריות</t>
  </si>
  <si>
    <t>סה"כ צמוד מדד</t>
  </si>
  <si>
    <t>סה"כ לא צמוד</t>
  </si>
  <si>
    <t>סה"כ תעודות חוב מסחריות של חברות ישראליות</t>
  </si>
  <si>
    <t>סה"כ תעודות חוב מסחריות של חברות זרות</t>
  </si>
  <si>
    <t>.3 אג"ח קונצרני</t>
  </si>
  <si>
    <t>2001/2020 'חשמל חב</t>
  </si>
  <si>
    <t>2012-05-09</t>
  </si>
  <si>
    <t>לאומי שטר הון 2027/08 %60.6</t>
  </si>
  <si>
    <t>חשמל צמוד 2022 רמ</t>
  </si>
  <si>
    <t>2012-05-10</t>
  </si>
  <si>
    <t>מ. ישיר אגח7-רמ</t>
  </si>
  <si>
    <t>2018-08-14</t>
  </si>
  <si>
    <t>וי אי די מאוחד 0706 לס נשר</t>
  </si>
  <si>
    <t>2012-06-24</t>
  </si>
  <si>
    <t>מ.ישיר אגח8-רמ</t>
  </si>
  <si>
    <t>2018-09-25</t>
  </si>
  <si>
    <t>דרך ארץ הייווז )בע"מ1997)</t>
  </si>
  <si>
    <t>מימון ישיר אג א-רמ</t>
  </si>
  <si>
    <t>2016-12-28</t>
  </si>
  <si>
    <t>אס פי סי אל אגח 4 - מ</t>
  </si>
  <si>
    <t>אגרקסקו אגח רמ-א</t>
  </si>
  <si>
    <t>D.il</t>
  </si>
  <si>
    <t>2007-12-27</t>
  </si>
  <si>
    <t>אידיבי סד' א הסדר חוב</t>
  </si>
  <si>
    <t>השקעות ואחזקות</t>
  </si>
  <si>
    <t>2014-09-10</t>
  </si>
  <si>
    <t>אלון דלק אגח א' לס</t>
  </si>
  <si>
    <t>אמפל אמריקן ישראל אגח ב</t>
  </si>
  <si>
    <t>2008-04-28</t>
  </si>
  <si>
    <t>ה.ד.ר. טבריה בע"מ אג"ח 1 זפ 01.12.31</t>
  </si>
  <si>
    <t>1988-09-18</t>
  </si>
  <si>
    <t>מת"ם אגח א -רמ</t>
  </si>
  <si>
    <t>2018-12-05</t>
  </si>
  <si>
    <t>מקס איט אגחג-רמ</t>
  </si>
  <si>
    <t>2019-07-09</t>
  </si>
  <si>
    <t>רמ-1A צים אגח</t>
  </si>
  <si>
    <t>2017-02-26</t>
  </si>
  <si>
    <t>סה"כ אג"ח קונצרני של חברות ישראליות</t>
  </si>
  <si>
    <t>סה"כ אג"ח קונצרני של חברות זרות</t>
  </si>
  <si>
    <t>מניות אלון דלק לא סחירה</t>
  </si>
  <si>
    <t>ויולה ג'נריישן ניהול בע"מ(פסגות)</t>
  </si>
  <si>
    <t>צים סדרה ב' הסדר חוב (אי.בי.אי)</t>
  </si>
  <si>
    <t>.5 קרנות השקעה</t>
  </si>
  <si>
    <t>סה"כ קרנות השקעה</t>
  </si>
  <si>
    <t>:סה"כ קרנות השקעה בישראל</t>
  </si>
  <si>
    <t>סה"כ קרנות הון סיכון</t>
  </si>
  <si>
    <t>סה"כ קרנות גידור</t>
  </si>
  <si>
    <t>IBI CONSUMER CR</t>
  </si>
  <si>
    <t>2016-01-26</t>
  </si>
  <si>
    <t>אלפא קרן השקעה</t>
  </si>
  <si>
    <t>2013-03-28</t>
  </si>
  <si>
    <t>קרן נוקד מניות</t>
  </si>
  <si>
    <t>2017-05-29</t>
  </si>
  <si>
    <t>סה"כ קרנות נדל"ן</t>
  </si>
  <si>
    <t>'קרן השקעה יסודות הנדל"ן א</t>
  </si>
  <si>
    <t>2015-08-30</t>
  </si>
  <si>
    <t>יסודות נדל"ן ג' פיתוח ושותפות</t>
  </si>
  <si>
    <t>2019-12-03</t>
  </si>
  <si>
    <t>סה"כ קרנות השקעה אחרות</t>
  </si>
  <si>
    <t>BRIDGES</t>
  </si>
  <si>
    <t>2019-09-12</t>
  </si>
  <si>
    <t>פימי 2 קרן הון סיכון</t>
  </si>
  <si>
    <t>פימי 4</t>
  </si>
  <si>
    <t>מקרסטון קרן השקעה</t>
  </si>
  <si>
    <t>ויולה ג'נריישן ניהול</t>
  </si>
  <si>
    <t>17/08/2018</t>
  </si>
  <si>
    <t>2019-12-02</t>
  </si>
  <si>
    <t>מניבים ניהול הריט החדשה בע"מ</t>
  </si>
  <si>
    <t>2015-11-03</t>
  </si>
  <si>
    <t>קרן תשתיות ישראל</t>
  </si>
  <si>
    <t>2014-11-03</t>
  </si>
  <si>
    <t>טנא הון צמיחה קרן השקעות</t>
  </si>
  <si>
    <t>פרופימקס טאוסנד קרן נדל"ן חו"ל</t>
  </si>
  <si>
    <t>:סה"כ קרנות השקעה בחו"ל</t>
  </si>
  <si>
    <t>PLENUS 4</t>
  </si>
  <si>
    <t>VITALIFE 2</t>
  </si>
  <si>
    <t>ORKA</t>
  </si>
  <si>
    <t>2019-07-29</t>
  </si>
  <si>
    <t>SBL קרן גידור איביאי</t>
  </si>
  <si>
    <t>2019-02-25</t>
  </si>
  <si>
    <t>אלפא קרן הזדמנויות קרן גידור</t>
  </si>
  <si>
    <t>2018-02-27</t>
  </si>
  <si>
    <t>BLUE ATLANTIC PARTNERS II</t>
  </si>
  <si>
    <t>2017-06-22</t>
  </si>
  <si>
    <t>BLUE ATLAN PTNR</t>
  </si>
  <si>
    <t xml:space="preserve">XS222S55FFFF </t>
  </si>
  <si>
    <t>2016-06-20</t>
  </si>
  <si>
    <t>FORMA FUND</t>
  </si>
  <si>
    <t>2017-06-15</t>
  </si>
  <si>
    <t>MIDEAL FUND</t>
  </si>
  <si>
    <t>2017-02-12</t>
  </si>
  <si>
    <t>ALTO FUND</t>
  </si>
  <si>
    <t xml:space="preserve">XSHHHJKKKXXX </t>
  </si>
  <si>
    <t>2015-06-01</t>
  </si>
  <si>
    <t>elctra multifamily</t>
  </si>
  <si>
    <t>2017-03-23</t>
  </si>
  <si>
    <t>ELECTRA MULTIF 2</t>
  </si>
  <si>
    <t>2019-01-15</t>
  </si>
  <si>
    <t>BRACK CAPITAL R</t>
  </si>
  <si>
    <t xml:space="preserve">XXXXXX522222 </t>
  </si>
  <si>
    <t>2012-05-20</t>
  </si>
  <si>
    <t>AMI OPPORTUNIT</t>
  </si>
  <si>
    <t xml:space="preserve">XS22552FF222 </t>
  </si>
  <si>
    <t>2015-12-14</t>
  </si>
  <si>
    <t>BAIN CAPITAL DSS</t>
  </si>
  <si>
    <t>2020-06-18</t>
  </si>
  <si>
    <t>blue bay</t>
  </si>
  <si>
    <t>2019-05-07</t>
  </si>
  <si>
    <t>COLCHIS INCOME</t>
  </si>
  <si>
    <t>07/12/2018</t>
  </si>
  <si>
    <t>COLCHIS INCOME FUND NEW</t>
  </si>
  <si>
    <t>2019-07-31</t>
  </si>
  <si>
    <t>DOVER STREET X LP</t>
  </si>
  <si>
    <t>2020-01-13</t>
  </si>
  <si>
    <t>FIMI V</t>
  </si>
  <si>
    <t>2012-08-29</t>
  </si>
  <si>
    <t>HARBOURVEST DOVER X</t>
  </si>
  <si>
    <t>P2P HELMAN ALDOBI</t>
  </si>
  <si>
    <t>2018-07-30</t>
  </si>
  <si>
    <t>2018-07-31</t>
  </si>
  <si>
    <t>INSIGHT PARTNERS XI</t>
  </si>
  <si>
    <t>2020-03-24</t>
  </si>
  <si>
    <t>KEDMA CAPITAL PARTNERS III LTD</t>
  </si>
  <si>
    <t>2019-04-17</t>
  </si>
  <si>
    <t>KLIRMARK III</t>
  </si>
  <si>
    <t>2019-11-13</t>
  </si>
  <si>
    <t>קרן השקעה KPS SS III</t>
  </si>
  <si>
    <t>LLCP VI</t>
  </si>
  <si>
    <t>2018-06-25</t>
  </si>
  <si>
    <t>MACQUARIE</t>
  </si>
  <si>
    <t>2019-02-06</t>
  </si>
  <si>
    <t>MONETA CAPITAL LIMITED PARTNERSHIP</t>
  </si>
  <si>
    <t>25/01/2019</t>
  </si>
  <si>
    <t>MONETA CAPITAL LIMITED PAR IBI</t>
  </si>
  <si>
    <t>2019-01-22</t>
  </si>
  <si>
    <t>MV SENIOR II DEEDER 1 UL SCSP</t>
  </si>
  <si>
    <t>2020-07-20</t>
  </si>
  <si>
    <t>PAGAYA FUND</t>
  </si>
  <si>
    <t>2019-09-05</t>
  </si>
  <si>
    <t>PAGAYA FUND BY MEITAV DASH LP</t>
  </si>
  <si>
    <t>pantheon פנתאון גלובל קרן 2global</t>
  </si>
  <si>
    <t>2019-11-18</t>
  </si>
  <si>
    <t>פנתאון PGCO IV</t>
  </si>
  <si>
    <t>SOMV 2</t>
  </si>
  <si>
    <t>2018-03-20</t>
  </si>
  <si>
    <t>VINTAGE V ACESS</t>
  </si>
  <si>
    <t>2018-11-14</t>
  </si>
  <si>
    <t>VIOLA PRIVATE</t>
  </si>
  <si>
    <t>HAMIL FEED III</t>
  </si>
  <si>
    <t xml:space="preserve">XS52222211XX </t>
  </si>
  <si>
    <t>2015-05-19</t>
  </si>
  <si>
    <t>HAMILTON LANE 4</t>
  </si>
  <si>
    <t>2019-05-29</t>
  </si>
  <si>
    <t>*איפקס 7 קרן השקעה</t>
  </si>
  <si>
    <t>FORTISSIMO III</t>
  </si>
  <si>
    <t>2012-07-10</t>
  </si>
  <si>
    <t>FORTTISSIMO V</t>
  </si>
  <si>
    <t>2020-04-16</t>
  </si>
  <si>
    <t>FORTISSIMO CAPITAL פורטיסימו 2</t>
  </si>
  <si>
    <t>מדיקה 3 קרן הון סיכון</t>
  </si>
  <si>
    <t>.6 כתבי אופציה</t>
  </si>
  <si>
    <t>:סה"כ כתבי אופציה בישראל</t>
  </si>
  <si>
    <t>:סה"כ כתבי אופציה בחו"ל</t>
  </si>
  <si>
    <t>.7 אופציות</t>
  </si>
  <si>
    <t>:סה"כ אופציות בישראל</t>
  </si>
  <si>
    <t>ש"ח / מט"ח</t>
  </si>
  <si>
    <t>סה"כ מט"ח/ מט"ח</t>
  </si>
  <si>
    <t>:סה"כ אופציות בחו"ל</t>
  </si>
  <si>
    <t>.8 חוזים עתידיים</t>
  </si>
  <si>
    <t>:סה"כ חוזים עתידיים בישראל</t>
  </si>
  <si>
    <t>חוזה עתידי forward 25/11/20</t>
  </si>
  <si>
    <t>2020-08-25</t>
  </si>
  <si>
    <t>USD/ILS FW 3.393750 10/12/20</t>
  </si>
  <si>
    <t>2020-09-09</t>
  </si>
  <si>
    <t>EUR/ILS FW 4.016300 28/10/20</t>
  </si>
  <si>
    <t>2020-08-31</t>
  </si>
  <si>
    <t>GBP/ILS FW 4.463900 25/11/20</t>
  </si>
  <si>
    <t>EUR/ILS FW 4.021900 25/11/20</t>
  </si>
  <si>
    <t>USD/ILS FW 3.360000 28/10/20</t>
  </si>
  <si>
    <t>USD/ILS FW 3.356700 28/10/20</t>
  </si>
  <si>
    <t>:סה"כ חוזים עתידיים בחו"ל</t>
  </si>
  <si>
    <t>.9 מוצרים מובנים</t>
  </si>
  <si>
    <t>סה"כ מוצרים מובנים</t>
  </si>
  <si>
    <t>גלובל פינס גיאר 8 סד' ה'2019</t>
  </si>
  <si>
    <t>שכבת חוב</t>
  </si>
  <si>
    <t>C</t>
  </si>
  <si>
    <t>2008-01-01</t>
  </si>
  <si>
    <t>1. ד. הלוואות</t>
  </si>
  <si>
    <t>קונסורציום כן/לא</t>
  </si>
  <si>
    <t>שיעור ריבית ממוצע</t>
  </si>
  <si>
    <t>סה"כ הלוואות</t>
  </si>
  <si>
    <t>סה"כ הלוואות בישראל</t>
  </si>
  <si>
    <t>סה"כ כנגד חסכון עמיתים/מבוטחים</t>
  </si>
  <si>
    <t>חייבים הלוואות</t>
  </si>
  <si>
    <t>הלוואה לעמיתים1</t>
  </si>
  <si>
    <t>לא</t>
  </si>
  <si>
    <t>AA+</t>
  </si>
  <si>
    <t>2012-12-24</t>
  </si>
  <si>
    <t>חוזרים הלוואות</t>
  </si>
  <si>
    <t>21/07/2015</t>
  </si>
  <si>
    <t>סה"כ מובטחות במשכנתא או תיקי משכנתאות</t>
  </si>
  <si>
    <t>סה"כ מובטחות בערבות בנקאית</t>
  </si>
  <si>
    <t>סה"כ מובטחות בבטחונות אחרים</t>
  </si>
  <si>
    <t>חוצה ישראל 1 %5499.5 2027/2007</t>
  </si>
  <si>
    <t>חוצה ישראל 1 %7142.6 2027/2007</t>
  </si>
  <si>
    <t>2012-05-23</t>
  </si>
  <si>
    <t>DELEK TERM A 1 TO 17</t>
  </si>
  <si>
    <t>BBB+</t>
  </si>
  <si>
    <t>2018-07-25</t>
  </si>
  <si>
    <t>DELEK DRILLING 18 TO 23</t>
  </si>
  <si>
    <t>מאוחד 10-1 C דלק קידוחים</t>
  </si>
  <si>
    <t>26/07/2019</t>
  </si>
  <si>
    <t>דלק אבנר לוויתן 42</t>
  </si>
  <si>
    <t>ilBBB+</t>
  </si>
  <si>
    <t>2020-04-23</t>
  </si>
  <si>
    <t>סה"כ מובטחות בשעבוד כלי רכב</t>
  </si>
  <si>
    <t>סה"כ הלוואות לסוכנים</t>
  </si>
  <si>
    <t>מובטחות בתזרים עמלות</t>
  </si>
  <si>
    <t xml:space="preserve">בטחונות אחרים </t>
  </si>
  <si>
    <t>סה"כ הלוואות לעובדים ונושאי משרה</t>
  </si>
  <si>
    <t>סה"כ לא מובטחות</t>
  </si>
  <si>
    <t>יחידת תשלום עתידי גמולות</t>
  </si>
  <si>
    <t>סה"כ הלוואות בחו"ל</t>
  </si>
  <si>
    <t>1.ה. פקדונות מעל 3 חודשים:</t>
  </si>
  <si>
    <t>תנאי ושיעור ריבית</t>
  </si>
  <si>
    <t xml:space="preserve">סה"כ פקדונות מעל 3 חודשים </t>
  </si>
  <si>
    <t>סה"כ צמוד למדד</t>
  </si>
  <si>
    <t>טפחות פקדון 2012/2001 %55.6</t>
  </si>
  <si>
    <t>בינלאומי פקדון 2020/00 %20.6</t>
  </si>
  <si>
    <t>סה"כ נקוב במט"ח</t>
  </si>
  <si>
    <t>סה"כ צמוד למט"ח</t>
  </si>
  <si>
    <t>1.ו. זכויות במקרקעין</t>
  </si>
  <si>
    <t>תאריך שערוך אחרון</t>
  </si>
  <si>
    <t>אופי הנכס</t>
  </si>
  <si>
    <t>שעור תשואה במהלך התקופה</t>
  </si>
  <si>
    <t>שווי משוערך</t>
  </si>
  <si>
    <t>כתובת הנכס</t>
  </si>
  <si>
    <t>סה"כ מקרקעין</t>
  </si>
  <si>
    <t>:סה"כ מקרקעין בישראל</t>
  </si>
  <si>
    <t>סה"כ מניב</t>
  </si>
  <si>
    <t>סה"כ לא מניב</t>
  </si>
  <si>
    <t>:סה"כ מקרקעין בחו"ל</t>
  </si>
  <si>
    <t>13:46:04</t>
  </si>
  <si>
    <t xml:space="preserve"> 1.ז. השקעה בחברות מוחזקות</t>
  </si>
  <si>
    <t>שם המדרג</t>
  </si>
  <si>
    <t>שיעור הריבית</t>
  </si>
  <si>
    <t>תשואה לפדיון</t>
  </si>
  <si>
    <t>סה"כ השקעה בחברות מוחזקות</t>
  </si>
  <si>
    <t>סה"כ השקעות אחרות</t>
  </si>
  <si>
    <t>אגרק אגא חש12/4</t>
  </si>
  <si>
    <t>אמפל אג"ח ב חש14/1</t>
  </si>
  <si>
    <t>אמפ אגח ב חש 15/2</t>
  </si>
  <si>
    <t>אמפל אגח ב חש12/1</t>
  </si>
  <si>
    <t>אמפלאמ ב חש13/1</t>
  </si>
  <si>
    <t xml:space="preserve"> 1.ט. יתרות התחייבות להשקעה</t>
  </si>
  <si>
    <t>סכום ההתחייבות</t>
  </si>
  <si>
    <t>תאריך סיום ההתחייבות</t>
  </si>
  <si>
    <t>סה'כ יתרות התחייבות להשקעה</t>
  </si>
  <si>
    <t xml:space="preserve"> * בעל ענין / צד קשור </t>
  </si>
  <si>
    <t>2.א. אג"ח קונצרי סחיר</t>
  </si>
  <si>
    <t>ריבית אפקטיבית</t>
  </si>
  <si>
    <t>עלות מתואמת</t>
  </si>
  <si>
    <t xml:space="preserve">אחוזים </t>
  </si>
  <si>
    <t>סה"כ אג"ח קונצרני סחיר</t>
  </si>
  <si>
    <t>סה"כ בחו"ל:</t>
  </si>
  <si>
    <t>2. ב. אג"ח קונצרני לא סחיר</t>
  </si>
  <si>
    <t>סה"כ אג"ח קונצרני לא סחיר</t>
  </si>
  <si>
    <t>בישראל</t>
  </si>
  <si>
    <t>2. ג. מסגרות אשראי מנוצלות ללווים</t>
  </si>
  <si>
    <t>סה"כ מסגרת אשראי מנוצלות ללווים</t>
  </si>
  <si>
    <t xml:space="preserve">סה"כ חברות זרות בחו"ל </t>
  </si>
  <si>
    <t>קיי סי פי אס</t>
  </si>
  <si>
    <t>פורטיסימו 2</t>
  </si>
  <si>
    <t>קלירמארק 3</t>
  </si>
  <si>
    <t>פימי 5</t>
  </si>
  <si>
    <t>בלו אטלנטיק פרטנרס 2</t>
  </si>
  <si>
    <t>וינטאג' 5 אקסס</t>
  </si>
  <si>
    <t>מונטה</t>
  </si>
  <si>
    <t>BlueBay</t>
  </si>
  <si>
    <t xml:space="preserve">המילטון ליין 4 </t>
  </si>
  <si>
    <t>דובר 10</t>
  </si>
  <si>
    <t>פנתיאון גלובל קו אינווסט 4</t>
  </si>
  <si>
    <t>INSIGHT XI</t>
  </si>
  <si>
    <t>פורטיסימו 5</t>
  </si>
  <si>
    <t>Bain Capital Distressed and Special Situations 2019 (B Master)</t>
  </si>
  <si>
    <t>Mv Senior 2</t>
  </si>
  <si>
    <t>APAX EUROPE</t>
  </si>
  <si>
    <t>פלנוס ויולה</t>
  </si>
  <si>
    <t>Brack Capital</t>
  </si>
  <si>
    <t>Hamilton Co-Invest III</t>
  </si>
  <si>
    <t>Ami Opportunities (APAX)</t>
  </si>
  <si>
    <t>מידאל</t>
  </si>
  <si>
    <t>פורמה</t>
  </si>
  <si>
    <t>SOMV II</t>
  </si>
  <si>
    <t>LLCP  VI</t>
  </si>
  <si>
    <t>Macquarie</t>
  </si>
  <si>
    <t>קדמה  3</t>
  </si>
  <si>
    <t>PGCO  IV  פנתאון</t>
  </si>
  <si>
    <t>HarbourVest Dover  X</t>
  </si>
  <si>
    <t>פורטיסימו V</t>
  </si>
  <si>
    <t>יסודות נדל"ן ג</t>
  </si>
  <si>
    <t>ברידג'ס ישראל</t>
  </si>
  <si>
    <t>פימי אופרטוניטי 2</t>
  </si>
  <si>
    <t>יסודות נדלן א</t>
  </si>
  <si>
    <t>פרופימקס</t>
  </si>
  <si>
    <t>תשי</t>
  </si>
  <si>
    <t>טנא הון 2</t>
  </si>
  <si>
    <t>515818524</t>
  </si>
  <si>
    <t>פועלים סהר - דולר סינגפור</t>
  </si>
  <si>
    <t>דולר סינגפור</t>
  </si>
  <si>
    <t>ל.ר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</si>
</sst>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#,##0.00%"/>
  </numFmts>
  <fonts count="20" x14ac:knownFonts="1">
    <font>
      <sz val="11"/>
      <color indexed="8"/>
      <name val="Arial"/>
      <family val="2"/>
      <scheme val="minor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sz val="8"/>
      <name val="Tahoma"/>
      <family val="2"/>
    </font>
    <font>
      <sz val="8"/>
      <name val="Tahoma"/>
      <family val="2"/>
    </font>
    <font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11"/>
      <color indexed="8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40"/>
      </patternFill>
    </fill>
    <fill>
      <patternFill patternType="solid">
        <fgColor indexed="9"/>
      </patternFill>
    </fill>
    <fill>
      <patternFill patternType="solid">
        <fgColor indexed="43"/>
      </patternFill>
    </fill>
    <fill>
      <patternFill patternType="solid">
        <fgColor indexed="5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9" fillId="0" borderId="0" applyFont="0" applyFill="0" applyBorder="0" applyAlignment="0" applyProtection="0"/>
  </cellStyleXfs>
  <cellXfs count="23">
    <xf numFmtId="0" fontId="0" fillId="0" borderId="0" xfId="0"/>
    <xf numFmtId="0" fontId="1" fillId="2" borderId="0" xfId="0" applyFont="1" applyFill="1" applyAlignment="1">
      <alignment horizontal="right" wrapText="1"/>
    </xf>
    <xf numFmtId="0" fontId="2" fillId="3" borderId="0" xfId="0" applyFont="1" applyFill="1" applyAlignment="1">
      <alignment horizontal="center" wrapText="1"/>
    </xf>
    <xf numFmtId="0" fontId="3" fillId="3" borderId="0" xfId="0" applyFont="1" applyFill="1" applyAlignment="1">
      <alignment horizontal="right" wrapText="1"/>
    </xf>
    <xf numFmtId="4" fontId="4" fillId="4" borderId="0" xfId="0" applyNumberFormat="1" applyFont="1" applyFill="1" applyAlignment="1">
      <alignment horizontal="right"/>
    </xf>
    <xf numFmtId="164" fontId="5" fillId="4" borderId="0" xfId="0" applyNumberFormat="1" applyFont="1" applyFill="1" applyAlignment="1">
      <alignment horizontal="right"/>
    </xf>
    <xf numFmtId="0" fontId="6" fillId="4" borderId="0" xfId="0" applyFont="1" applyFill="1" applyAlignment="1">
      <alignment horizontal="right" wrapText="1"/>
    </xf>
    <xf numFmtId="0" fontId="7" fillId="5" borderId="0" xfId="0" applyFont="1" applyFill="1" applyAlignment="1">
      <alignment horizontal="right"/>
    </xf>
    <xf numFmtId="0" fontId="8" fillId="6" borderId="0" xfId="0" applyFont="1" applyFill="1" applyAlignment="1">
      <alignment horizontal="right" wrapText="1"/>
    </xf>
    <xf numFmtId="164" fontId="9" fillId="6" borderId="0" xfId="0" applyNumberFormat="1" applyFont="1" applyFill="1" applyAlignment="1">
      <alignment horizontal="right"/>
    </xf>
    <xf numFmtId="4" fontId="10" fillId="6" borderId="0" xfId="0" applyNumberFormat="1" applyFont="1" applyFill="1" applyAlignment="1">
      <alignment horizontal="right"/>
    </xf>
    <xf numFmtId="164" fontId="11" fillId="3" borderId="0" xfId="0" applyNumberFormat="1" applyFont="1" applyFill="1" applyAlignment="1">
      <alignment horizontal="right"/>
    </xf>
    <xf numFmtId="4" fontId="12" fillId="3" borderId="0" xfId="0" applyNumberFormat="1" applyFont="1" applyFill="1" applyAlignment="1">
      <alignment horizontal="right"/>
    </xf>
    <xf numFmtId="0" fontId="13" fillId="4" borderId="1" xfId="0" applyFont="1" applyFill="1" applyBorder="1" applyAlignment="1" applyProtection="1">
      <alignment horizontal="right" wrapText="1"/>
      <protection locked="0"/>
    </xf>
    <xf numFmtId="1" fontId="14" fillId="4" borderId="1" xfId="0" applyNumberFormat="1" applyFont="1" applyFill="1" applyBorder="1" applyAlignment="1" applyProtection="1">
      <alignment horizontal="right"/>
      <protection locked="0"/>
    </xf>
    <xf numFmtId="164" fontId="15" fillId="4" borderId="1" xfId="0" applyNumberFormat="1" applyFont="1" applyFill="1" applyBorder="1" applyAlignment="1" applyProtection="1">
      <alignment horizontal="right"/>
      <protection locked="0"/>
    </xf>
    <xf numFmtId="4" fontId="16" fillId="4" borderId="1" xfId="0" applyNumberFormat="1" applyFont="1" applyFill="1" applyBorder="1" applyAlignment="1" applyProtection="1">
      <alignment horizontal="right"/>
      <protection locked="0"/>
    </xf>
    <xf numFmtId="164" fontId="17" fillId="3" borderId="0" xfId="0" applyNumberFormat="1" applyFont="1" applyFill="1" applyAlignment="1">
      <alignment horizontal="right"/>
    </xf>
    <xf numFmtId="0" fontId="18" fillId="2" borderId="0" xfId="0" applyFont="1" applyFill="1" applyAlignment="1">
      <alignment horizontal="right" wrapText="1" readingOrder="2"/>
    </xf>
    <xf numFmtId="43" fontId="3" fillId="3" borderId="0" xfId="1" applyFont="1" applyFill="1" applyAlignment="1">
      <alignment horizontal="right" wrapText="1"/>
    </xf>
    <xf numFmtId="14" fontId="3" fillId="3" borderId="0" xfId="0" applyNumberFormat="1" applyFont="1" applyFill="1" applyAlignment="1">
      <alignment horizontal="right" wrapText="1"/>
    </xf>
    <xf numFmtId="4" fontId="0" fillId="0" borderId="0" xfId="0" applyNumberFormat="1"/>
    <xf numFmtId="1" fontId="13" fillId="4" borderId="1" xfId="0" applyNumberFormat="1" applyFont="1" applyFill="1" applyBorder="1" applyAlignment="1" applyProtection="1">
      <alignment horizontal="right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4"/>
  <sheetViews>
    <sheetView rightToLeft="1" tabSelected="1" workbookViewId="0">
      <selection activeCell="F34" sqref="F34"/>
    </sheetView>
  </sheetViews>
  <sheetFormatPr defaultRowHeight="14.25" x14ac:dyDescent="0.2"/>
  <cols>
    <col min="1" max="1" width="2" customWidth="1"/>
    <col min="2" max="2" width="34" customWidth="1"/>
    <col min="3" max="3" width="16" customWidth="1"/>
    <col min="4" max="4" width="19" customWidth="1"/>
    <col min="6" max="6" width="11.375" bestFit="1" customWidth="1"/>
  </cols>
  <sheetData>
    <row r="1" spans="1:4" x14ac:dyDescent="0.2">
      <c r="B1" s="7" t="s">
        <v>0</v>
      </c>
      <c r="C1" s="7" t="s">
        <v>1</v>
      </c>
    </row>
    <row r="2" spans="1:4" x14ac:dyDescent="0.2">
      <c r="B2" s="7" t="s">
        <v>2</v>
      </c>
      <c r="C2" s="7" t="s">
        <v>3</v>
      </c>
    </row>
    <row r="3" spans="1:4" x14ac:dyDescent="0.2">
      <c r="B3" s="7" t="s">
        <v>4</v>
      </c>
      <c r="C3" s="7" t="s">
        <v>5</v>
      </c>
    </row>
    <row r="4" spans="1:4" x14ac:dyDescent="0.2">
      <c r="B4" s="7" t="s">
        <v>6</v>
      </c>
      <c r="C4" s="7">
        <v>408</v>
      </c>
    </row>
    <row r="5" spans="1:4" x14ac:dyDescent="0.2">
      <c r="B5" s="7" t="s">
        <v>7</v>
      </c>
      <c r="C5" s="7" t="s">
        <v>7</v>
      </c>
    </row>
    <row r="6" spans="1:4" x14ac:dyDescent="0.2">
      <c r="A6" s="1" t="s">
        <v>7</v>
      </c>
      <c r="B6" s="1" t="s">
        <v>8</v>
      </c>
      <c r="C6" s="1" t="s">
        <v>7</v>
      </c>
      <c r="D6" s="1" t="s">
        <v>7</v>
      </c>
    </row>
    <row r="7" spans="1:4" x14ac:dyDescent="0.2">
      <c r="A7" s="2" t="s">
        <v>7</v>
      </c>
      <c r="B7" s="2" t="s">
        <v>7</v>
      </c>
      <c r="C7" s="2" t="s">
        <v>9</v>
      </c>
      <c r="D7" s="2" t="s">
        <v>10</v>
      </c>
    </row>
    <row r="8" spans="1:4" x14ac:dyDescent="0.2">
      <c r="A8" s="2" t="s">
        <v>7</v>
      </c>
      <c r="B8" s="2" t="s">
        <v>7</v>
      </c>
      <c r="C8" s="2" t="s">
        <v>11</v>
      </c>
      <c r="D8" s="2" t="s">
        <v>12</v>
      </c>
    </row>
    <row r="9" spans="1:4" x14ac:dyDescent="0.2">
      <c r="A9" s="2" t="s">
        <v>7</v>
      </c>
      <c r="B9" s="2" t="s">
        <v>7</v>
      </c>
      <c r="C9" s="2" t="s">
        <v>13</v>
      </c>
      <c r="D9" s="2" t="s">
        <v>14</v>
      </c>
    </row>
    <row r="10" spans="1:4" x14ac:dyDescent="0.2">
      <c r="A10" s="3" t="s">
        <v>7</v>
      </c>
      <c r="B10" s="3" t="s">
        <v>15</v>
      </c>
      <c r="C10" s="3" t="s">
        <v>7</v>
      </c>
      <c r="D10" s="3" t="s">
        <v>7</v>
      </c>
    </row>
    <row r="11" spans="1:4" x14ac:dyDescent="0.2">
      <c r="A11" s="3" t="s">
        <v>7</v>
      </c>
      <c r="B11" s="3" t="s">
        <v>16</v>
      </c>
      <c r="C11" s="4">
        <v>408800.57</v>
      </c>
      <c r="D11" s="5">
        <v>0.1152</v>
      </c>
    </row>
    <row r="12" spans="1:4" x14ac:dyDescent="0.2">
      <c r="A12" s="3" t="s">
        <v>7</v>
      </c>
      <c r="B12" s="3" t="s">
        <v>17</v>
      </c>
      <c r="C12" s="3" t="s">
        <v>7</v>
      </c>
      <c r="D12" s="3" t="s">
        <v>7</v>
      </c>
    </row>
    <row r="13" spans="1:4" x14ac:dyDescent="0.2">
      <c r="A13" s="3" t="s">
        <v>7</v>
      </c>
      <c r="B13" s="3" t="s">
        <v>18</v>
      </c>
      <c r="C13" s="4">
        <v>944490.71</v>
      </c>
      <c r="D13" s="5">
        <v>0.26619999999999999</v>
      </c>
    </row>
    <row r="14" spans="1:4" x14ac:dyDescent="0.2">
      <c r="A14" s="3" t="s">
        <v>7</v>
      </c>
      <c r="B14" s="3" t="s">
        <v>19</v>
      </c>
      <c r="C14" s="4">
        <v>0</v>
      </c>
      <c r="D14" s="5">
        <v>0</v>
      </c>
    </row>
    <row r="15" spans="1:4" x14ac:dyDescent="0.2">
      <c r="A15" s="3" t="s">
        <v>7</v>
      </c>
      <c r="B15" s="3" t="s">
        <v>20</v>
      </c>
      <c r="C15" s="4">
        <v>177037.8</v>
      </c>
      <c r="D15" s="5">
        <v>4.99E-2</v>
      </c>
    </row>
    <row r="16" spans="1:4" x14ac:dyDescent="0.2">
      <c r="A16" s="3" t="s">
        <v>7</v>
      </c>
      <c r="B16" s="3" t="s">
        <v>21</v>
      </c>
      <c r="C16" s="4">
        <v>233716.27</v>
      </c>
      <c r="D16" s="5">
        <v>6.59E-2</v>
      </c>
    </row>
    <row r="17" spans="1:4" x14ac:dyDescent="0.2">
      <c r="A17" s="3" t="s">
        <v>7</v>
      </c>
      <c r="B17" s="3" t="s">
        <v>22</v>
      </c>
      <c r="C17" s="4">
        <v>1352398.94</v>
      </c>
      <c r="D17" s="5">
        <v>0.38109999999999999</v>
      </c>
    </row>
    <row r="18" spans="1:4" x14ac:dyDescent="0.2">
      <c r="A18" s="3" t="s">
        <v>7</v>
      </c>
      <c r="B18" s="3" t="s">
        <v>23</v>
      </c>
      <c r="C18" s="4">
        <v>59417.16</v>
      </c>
      <c r="D18" s="5">
        <v>1.67E-2</v>
      </c>
    </row>
    <row r="19" spans="1:4" x14ac:dyDescent="0.2">
      <c r="A19" s="3" t="s">
        <v>7</v>
      </c>
      <c r="B19" s="3" t="s">
        <v>24</v>
      </c>
      <c r="C19" s="4">
        <v>293.61</v>
      </c>
      <c r="D19" s="5">
        <v>1E-4</v>
      </c>
    </row>
    <row r="20" spans="1:4" x14ac:dyDescent="0.2">
      <c r="A20" s="3" t="s">
        <v>7</v>
      </c>
      <c r="B20" s="3" t="s">
        <v>25</v>
      </c>
      <c r="C20" s="4">
        <v>-97.86</v>
      </c>
      <c r="D20" s="5">
        <v>0</v>
      </c>
    </row>
    <row r="21" spans="1:4" x14ac:dyDescent="0.2">
      <c r="A21" s="3" t="s">
        <v>7</v>
      </c>
      <c r="B21" s="3" t="s">
        <v>26</v>
      </c>
      <c r="C21" s="4">
        <v>1174.8</v>
      </c>
      <c r="D21" s="5">
        <v>2.9999999999999997E-4</v>
      </c>
    </row>
    <row r="22" spans="1:4" x14ac:dyDescent="0.2">
      <c r="A22" s="3" t="s">
        <v>7</v>
      </c>
      <c r="B22" s="3" t="s">
        <v>27</v>
      </c>
      <c r="C22" s="4">
        <v>19250.63</v>
      </c>
      <c r="D22" s="5">
        <v>5.4000000000000003E-3</v>
      </c>
    </row>
    <row r="23" spans="1:4" x14ac:dyDescent="0.2">
      <c r="A23" s="3" t="s">
        <v>7</v>
      </c>
      <c r="B23" s="3" t="s">
        <v>28</v>
      </c>
      <c r="C23" s="3" t="s">
        <v>7</v>
      </c>
      <c r="D23" s="3" t="s">
        <v>7</v>
      </c>
    </row>
    <row r="24" spans="1:4" x14ac:dyDescent="0.2">
      <c r="A24" s="3" t="s">
        <v>7</v>
      </c>
      <c r="B24" s="3" t="s">
        <v>18</v>
      </c>
      <c r="C24" s="4">
        <v>0</v>
      </c>
      <c r="D24" s="5">
        <v>0</v>
      </c>
    </row>
    <row r="25" spans="1:4" x14ac:dyDescent="0.2">
      <c r="A25" s="3" t="s">
        <v>7</v>
      </c>
      <c r="B25" s="3" t="s">
        <v>19</v>
      </c>
      <c r="C25" s="4">
        <v>0</v>
      </c>
      <c r="D25" s="5">
        <v>0</v>
      </c>
    </row>
    <row r="26" spans="1:4" x14ac:dyDescent="0.2">
      <c r="A26" s="3" t="s">
        <v>7</v>
      </c>
      <c r="B26" s="3" t="s">
        <v>20</v>
      </c>
      <c r="C26" s="4">
        <v>26539.14</v>
      </c>
      <c r="D26" s="5">
        <v>7.4999999999999997E-3</v>
      </c>
    </row>
    <row r="27" spans="1:4" x14ac:dyDescent="0.2">
      <c r="A27" s="3" t="s">
        <v>7</v>
      </c>
      <c r="B27" s="3" t="s">
        <v>21</v>
      </c>
      <c r="C27" s="4">
        <v>236.44</v>
      </c>
      <c r="D27" s="5">
        <v>1E-4</v>
      </c>
    </row>
    <row r="28" spans="1:4" x14ac:dyDescent="0.2">
      <c r="A28" s="3" t="s">
        <v>7</v>
      </c>
      <c r="B28" s="3" t="s">
        <v>29</v>
      </c>
      <c r="C28" s="4">
        <v>221098.74</v>
      </c>
      <c r="D28" s="5">
        <v>6.2300000000000001E-2</v>
      </c>
    </row>
    <row r="29" spans="1:4" x14ac:dyDescent="0.2">
      <c r="A29" s="3" t="s">
        <v>7</v>
      </c>
      <c r="B29" s="3" t="s">
        <v>30</v>
      </c>
      <c r="C29" s="4">
        <v>0</v>
      </c>
      <c r="D29" s="5">
        <v>0</v>
      </c>
    </row>
    <row r="30" spans="1:4" x14ac:dyDescent="0.2">
      <c r="A30" s="3" t="s">
        <v>7</v>
      </c>
      <c r="B30" s="3" t="s">
        <v>31</v>
      </c>
      <c r="C30" s="4">
        <v>0</v>
      </c>
      <c r="D30" s="5">
        <v>0</v>
      </c>
    </row>
    <row r="31" spans="1:4" x14ac:dyDescent="0.2">
      <c r="A31" s="3" t="s">
        <v>7</v>
      </c>
      <c r="B31" s="3" t="s">
        <v>32</v>
      </c>
      <c r="C31" s="4">
        <v>-8676.4599999999991</v>
      </c>
      <c r="D31" s="5">
        <v>-2.3999999999999998E-3</v>
      </c>
    </row>
    <row r="32" spans="1:4" x14ac:dyDescent="0.2">
      <c r="A32" s="3" t="s">
        <v>7</v>
      </c>
      <c r="B32" s="3" t="s">
        <v>33</v>
      </c>
      <c r="C32" s="4">
        <v>0</v>
      </c>
      <c r="D32" s="5">
        <v>0</v>
      </c>
    </row>
    <row r="33" spans="1:6" x14ac:dyDescent="0.2">
      <c r="A33" s="3" t="s">
        <v>7</v>
      </c>
      <c r="B33" s="3" t="s">
        <v>34</v>
      </c>
      <c r="C33" s="4">
        <v>111949.66</v>
      </c>
      <c r="D33" s="5">
        <v>3.15E-2</v>
      </c>
    </row>
    <row r="34" spans="1:6" x14ac:dyDescent="0.2">
      <c r="A34" s="3" t="s">
        <v>7</v>
      </c>
      <c r="B34" s="3" t="s">
        <v>35</v>
      </c>
      <c r="C34" s="4">
        <v>29.79</v>
      </c>
      <c r="D34" s="5">
        <v>0</v>
      </c>
    </row>
    <row r="35" spans="1:6" x14ac:dyDescent="0.2">
      <c r="A35" s="3" t="s">
        <v>7</v>
      </c>
      <c r="B35" s="3" t="s">
        <v>36</v>
      </c>
      <c r="C35" s="4">
        <v>0</v>
      </c>
      <c r="D35" s="5">
        <v>0</v>
      </c>
    </row>
    <row r="36" spans="1:6" x14ac:dyDescent="0.2">
      <c r="A36" s="3" t="s">
        <v>7</v>
      </c>
      <c r="B36" s="3" t="s">
        <v>37</v>
      </c>
      <c r="C36" s="4">
        <v>0</v>
      </c>
      <c r="D36" s="5">
        <v>0</v>
      </c>
    </row>
    <row r="37" spans="1:6" x14ac:dyDescent="0.2">
      <c r="A37" s="3" t="s">
        <v>7</v>
      </c>
      <c r="B37" s="3" t="s">
        <v>38</v>
      </c>
      <c r="C37" s="4">
        <v>813.67</v>
      </c>
      <c r="D37" s="5">
        <v>2.0000000000000001E-4</v>
      </c>
    </row>
    <row r="38" spans="1:6" x14ac:dyDescent="0.2">
      <c r="A38" s="3" t="s">
        <v>7</v>
      </c>
      <c r="B38" s="3" t="s">
        <v>39</v>
      </c>
      <c r="C38" s="3" t="s">
        <v>7</v>
      </c>
      <c r="D38" s="3" t="s">
        <v>7</v>
      </c>
    </row>
    <row r="39" spans="1:6" x14ac:dyDescent="0.2">
      <c r="A39" s="3" t="s">
        <v>7</v>
      </c>
      <c r="B39" s="3" t="s">
        <v>40</v>
      </c>
      <c r="C39" s="4">
        <v>0</v>
      </c>
      <c r="D39" s="5">
        <v>0</v>
      </c>
    </row>
    <row r="40" spans="1:6" x14ac:dyDescent="0.2">
      <c r="A40" s="3" t="s">
        <v>7</v>
      </c>
      <c r="B40" s="3" t="s">
        <v>41</v>
      </c>
      <c r="C40" s="4">
        <v>0</v>
      </c>
      <c r="D40" s="5">
        <v>0</v>
      </c>
    </row>
    <row r="41" spans="1:6" x14ac:dyDescent="0.2">
      <c r="A41" s="3" t="s">
        <v>7</v>
      </c>
      <c r="B41" s="3" t="s">
        <v>42</v>
      </c>
      <c r="C41" s="4">
        <v>0</v>
      </c>
      <c r="D41" s="5">
        <v>0</v>
      </c>
    </row>
    <row r="42" spans="1:6" x14ac:dyDescent="0.2">
      <c r="A42" s="3" t="s">
        <v>7</v>
      </c>
      <c r="B42" s="3" t="s">
        <v>43</v>
      </c>
      <c r="C42" s="4">
        <v>3548473.6100000003</v>
      </c>
      <c r="D42" s="5">
        <v>1.0001</v>
      </c>
      <c r="F42" s="21"/>
    </row>
    <row r="43" spans="1:6" x14ac:dyDescent="0.2">
      <c r="A43" s="3" t="s">
        <v>7</v>
      </c>
      <c r="B43" s="3" t="s">
        <v>44</v>
      </c>
      <c r="C43" s="19">
        <v>103903.43767427</v>
      </c>
      <c r="D43" s="3" t="s">
        <v>7</v>
      </c>
    </row>
    <row r="44" spans="1:6" x14ac:dyDescent="0.2">
      <c r="A44" s="6" t="s">
        <v>7</v>
      </c>
      <c r="B44" s="6" t="s">
        <v>45</v>
      </c>
      <c r="C44" s="6" t="s">
        <v>7</v>
      </c>
      <c r="D44" s="6" t="s">
        <v>7</v>
      </c>
    </row>
    <row r="45" spans="1:6" x14ac:dyDescent="0.2">
      <c r="A45" s="3" t="s">
        <v>7</v>
      </c>
      <c r="B45" s="3" t="s">
        <v>7</v>
      </c>
      <c r="C45" s="3" t="s">
        <v>46</v>
      </c>
      <c r="D45" s="3" t="s">
        <v>47</v>
      </c>
    </row>
    <row r="46" spans="1:6" x14ac:dyDescent="0.2">
      <c r="A46" s="3" t="s">
        <v>7</v>
      </c>
      <c r="B46" s="3" t="s">
        <v>7</v>
      </c>
      <c r="C46" s="3" t="s">
        <v>13</v>
      </c>
      <c r="D46" s="3" t="s">
        <v>14</v>
      </c>
    </row>
    <row r="47" spans="1:6" x14ac:dyDescent="0.2">
      <c r="A47" s="3" t="s">
        <v>7</v>
      </c>
      <c r="B47" s="3" t="s">
        <v>7</v>
      </c>
      <c r="C47" s="6" t="s">
        <v>48</v>
      </c>
      <c r="D47" s="6" t="s">
        <v>49</v>
      </c>
    </row>
    <row r="48" spans="1:6" x14ac:dyDescent="0.2">
      <c r="A48" s="3" t="s">
        <v>7</v>
      </c>
      <c r="B48" s="3" t="s">
        <v>7</v>
      </c>
      <c r="C48" s="6" t="s">
        <v>50</v>
      </c>
      <c r="D48" s="6" t="s">
        <v>51</v>
      </c>
    </row>
    <row r="49" spans="1:4" x14ac:dyDescent="0.2">
      <c r="A49" s="3" t="s">
        <v>7</v>
      </c>
      <c r="B49" s="3" t="s">
        <v>7</v>
      </c>
      <c r="C49" s="6" t="s">
        <v>52</v>
      </c>
      <c r="D49" s="6" t="s">
        <v>53</v>
      </c>
    </row>
    <row r="50" spans="1:4" x14ac:dyDescent="0.2">
      <c r="A50" s="3" t="s">
        <v>7</v>
      </c>
      <c r="B50" s="3" t="s">
        <v>7</v>
      </c>
      <c r="C50" s="6" t="s">
        <v>54</v>
      </c>
      <c r="D50" s="6" t="s">
        <v>55</v>
      </c>
    </row>
    <row r="51" spans="1:4" x14ac:dyDescent="0.2">
      <c r="A51" s="3" t="s">
        <v>7</v>
      </c>
      <c r="B51" s="3" t="s">
        <v>7</v>
      </c>
      <c r="C51" s="6" t="s">
        <v>56</v>
      </c>
      <c r="D51" s="6" t="s">
        <v>57</v>
      </c>
    </row>
    <row r="52" spans="1:4" x14ac:dyDescent="0.2">
      <c r="A52" s="3" t="s">
        <v>7</v>
      </c>
      <c r="B52" s="3" t="s">
        <v>7</v>
      </c>
      <c r="C52" s="6" t="s">
        <v>58</v>
      </c>
      <c r="D52" s="6" t="s">
        <v>59</v>
      </c>
    </row>
    <row r="53" spans="1:4" x14ac:dyDescent="0.2">
      <c r="A53" s="1" t="s">
        <v>7</v>
      </c>
      <c r="B53" s="1" t="s">
        <v>7</v>
      </c>
      <c r="C53" s="1" t="s">
        <v>7</v>
      </c>
      <c r="D53" s="1" t="s">
        <v>7</v>
      </c>
    </row>
    <row r="54" spans="1:4" x14ac:dyDescent="0.2">
      <c r="A54" s="7" t="s">
        <v>60</v>
      </c>
      <c r="B54" s="7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rightToLeft="1" topLeftCell="A10" workbookViewId="0">
      <selection activeCell="D19" sqref="D19"/>
    </sheetView>
  </sheetViews>
  <sheetFormatPr defaultRowHeight="14.25" x14ac:dyDescent="0.2"/>
  <cols>
    <col min="1" max="1" width="2" customWidth="1"/>
    <col min="2" max="2" width="40" customWidth="1"/>
    <col min="3" max="4" width="12" customWidth="1"/>
    <col min="5" max="5" width="7" customWidth="1"/>
    <col min="6" max="6" width="11" customWidth="1"/>
    <col min="7" max="7" width="16" customWidth="1"/>
    <col min="8" max="8" width="13" customWidth="1"/>
    <col min="9" max="9" width="15" customWidth="1"/>
    <col min="10" max="10" width="12" customWidth="1"/>
    <col min="11" max="11" width="24" customWidth="1"/>
    <col min="12" max="12" width="21" customWidth="1"/>
  </cols>
  <sheetData>
    <row r="1" spans="1:12" x14ac:dyDescent="0.2">
      <c r="B1" s="7" t="s">
        <v>0</v>
      </c>
      <c r="C1" s="7" t="s">
        <v>1</v>
      </c>
    </row>
    <row r="2" spans="1:12" x14ac:dyDescent="0.2">
      <c r="B2" s="7" t="s">
        <v>2</v>
      </c>
      <c r="C2" s="7" t="s">
        <v>3</v>
      </c>
    </row>
    <row r="3" spans="1:12" x14ac:dyDescent="0.2">
      <c r="B3" s="7" t="s">
        <v>4</v>
      </c>
      <c r="C3" s="7" t="s">
        <v>5</v>
      </c>
    </row>
    <row r="4" spans="1:12" x14ac:dyDescent="0.2">
      <c r="B4" s="7" t="s">
        <v>6</v>
      </c>
      <c r="C4" s="7">
        <v>408</v>
      </c>
    </row>
    <row r="5" spans="1:12" x14ac:dyDescent="0.2">
      <c r="B5" s="7" t="s">
        <v>7</v>
      </c>
      <c r="C5" s="7" t="s">
        <v>7</v>
      </c>
    </row>
    <row r="6" spans="1:12" x14ac:dyDescent="0.2">
      <c r="A6" s="1" t="s">
        <v>7</v>
      </c>
      <c r="B6" s="1" t="s">
        <v>62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</row>
    <row r="7" spans="1:12" x14ac:dyDescent="0.2">
      <c r="A7" s="1" t="s">
        <v>7</v>
      </c>
      <c r="B7" s="1" t="s">
        <v>63</v>
      </c>
      <c r="C7" s="1" t="s">
        <v>64</v>
      </c>
      <c r="D7" s="1" t="s">
        <v>65</v>
      </c>
      <c r="E7" s="1" t="s">
        <v>66</v>
      </c>
      <c r="F7" s="1" t="s">
        <v>67</v>
      </c>
      <c r="G7" s="1" t="s">
        <v>68</v>
      </c>
      <c r="H7" s="1" t="s">
        <v>69</v>
      </c>
      <c r="I7" s="1" t="s">
        <v>70</v>
      </c>
      <c r="J7" s="1" t="s">
        <v>71</v>
      </c>
      <c r="K7" s="1" t="s">
        <v>72</v>
      </c>
      <c r="L7" s="1" t="s">
        <v>73</v>
      </c>
    </row>
    <row r="8" spans="1:12" x14ac:dyDescent="0.2">
      <c r="A8" s="1" t="s">
        <v>7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7</v>
      </c>
      <c r="H8" s="1" t="s">
        <v>12</v>
      </c>
      <c r="I8" s="1" t="s">
        <v>12</v>
      </c>
      <c r="J8" s="1" t="s">
        <v>11</v>
      </c>
      <c r="K8" s="1" t="s">
        <v>12</v>
      </c>
      <c r="L8" s="1" t="s">
        <v>12</v>
      </c>
    </row>
    <row r="9" spans="1:12" x14ac:dyDescent="0.2">
      <c r="A9" s="1" t="s">
        <v>7</v>
      </c>
      <c r="B9" s="1" t="s">
        <v>7</v>
      </c>
      <c r="C9" s="1" t="s">
        <v>13</v>
      </c>
      <c r="D9" s="1" t="s">
        <v>14</v>
      </c>
      <c r="E9" s="1" t="s">
        <v>74</v>
      </c>
      <c r="F9" s="1" t="s">
        <v>75</v>
      </c>
      <c r="G9" s="1" t="s">
        <v>76</v>
      </c>
      <c r="H9" s="1" t="s">
        <v>77</v>
      </c>
      <c r="I9" s="1" t="s">
        <v>78</v>
      </c>
      <c r="J9" s="1" t="s">
        <v>79</v>
      </c>
      <c r="K9" s="1" t="s">
        <v>80</v>
      </c>
      <c r="L9" s="1" t="s">
        <v>81</v>
      </c>
    </row>
    <row r="10" spans="1:12" x14ac:dyDescent="0.2">
      <c r="A10" s="8" t="s">
        <v>7</v>
      </c>
      <c r="B10" s="8" t="s">
        <v>82</v>
      </c>
      <c r="C10" s="8" t="s">
        <v>7</v>
      </c>
      <c r="D10" s="8" t="s">
        <v>7</v>
      </c>
      <c r="E10" s="8" t="s">
        <v>7</v>
      </c>
      <c r="F10" s="8" t="s">
        <v>7</v>
      </c>
      <c r="G10" s="8" t="s">
        <v>7</v>
      </c>
      <c r="H10" s="9">
        <v>1E-4</v>
      </c>
      <c r="I10" s="9">
        <v>0</v>
      </c>
      <c r="J10" s="10">
        <v>408800.57</v>
      </c>
      <c r="K10" s="9">
        <v>1</v>
      </c>
      <c r="L10" s="9">
        <v>0.1152</v>
      </c>
    </row>
    <row r="11" spans="1:12" x14ac:dyDescent="0.2">
      <c r="A11" s="3" t="s">
        <v>7</v>
      </c>
      <c r="B11" s="3" t="s">
        <v>83</v>
      </c>
      <c r="C11" s="3" t="s">
        <v>7</v>
      </c>
      <c r="D11" s="3" t="s">
        <v>7</v>
      </c>
      <c r="E11" s="3" t="s">
        <v>7</v>
      </c>
      <c r="F11" s="3" t="s">
        <v>7</v>
      </c>
      <c r="G11" s="3" t="s">
        <v>7</v>
      </c>
      <c r="H11" s="11">
        <v>1E-4</v>
      </c>
      <c r="I11" s="11">
        <v>0</v>
      </c>
      <c r="J11" s="12">
        <v>408800.57</v>
      </c>
      <c r="K11" s="11">
        <v>1</v>
      </c>
      <c r="L11" s="11">
        <v>0.1152</v>
      </c>
    </row>
    <row r="12" spans="1:12" x14ac:dyDescent="0.2">
      <c r="A12" s="3" t="s">
        <v>7</v>
      </c>
      <c r="B12" s="3" t="s">
        <v>84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3" t="s">
        <v>7</v>
      </c>
      <c r="J12" s="3" t="s">
        <v>7</v>
      </c>
      <c r="K12" s="3" t="s">
        <v>7</v>
      </c>
      <c r="L12" s="3" t="s">
        <v>7</v>
      </c>
    </row>
    <row r="13" spans="1:12" x14ac:dyDescent="0.2">
      <c r="A13" s="13" t="s">
        <v>7</v>
      </c>
      <c r="B13" s="13" t="s">
        <v>85</v>
      </c>
      <c r="C13" s="14">
        <v>89</v>
      </c>
      <c r="D13" s="13" t="s">
        <v>7</v>
      </c>
      <c r="E13" s="13" t="s">
        <v>86</v>
      </c>
      <c r="F13" s="13" t="s">
        <v>87</v>
      </c>
      <c r="G13" s="13" t="s">
        <v>88</v>
      </c>
      <c r="H13" s="15">
        <v>0</v>
      </c>
      <c r="I13" s="15">
        <v>0</v>
      </c>
      <c r="J13" s="16">
        <v>-18447.46</v>
      </c>
      <c r="K13" s="15">
        <v>-4.5100000000000001E-2</v>
      </c>
      <c r="L13" s="15">
        <v>-5.1999999999999998E-3</v>
      </c>
    </row>
    <row r="14" spans="1:12" x14ac:dyDescent="0.2">
      <c r="A14" s="13" t="s">
        <v>7</v>
      </c>
      <c r="B14" s="13" t="s">
        <v>89</v>
      </c>
      <c r="C14" s="14">
        <v>912001</v>
      </c>
      <c r="D14" s="14">
        <v>12</v>
      </c>
      <c r="E14" s="13" t="s">
        <v>90</v>
      </c>
      <c r="F14" s="13" t="s">
        <v>87</v>
      </c>
      <c r="G14" s="13" t="s">
        <v>88</v>
      </c>
      <c r="H14" s="15">
        <v>0</v>
      </c>
      <c r="I14" s="15">
        <v>0</v>
      </c>
      <c r="J14" s="16">
        <v>11.28</v>
      </c>
      <c r="K14" s="15">
        <v>0</v>
      </c>
      <c r="L14" s="15">
        <v>0</v>
      </c>
    </row>
    <row r="15" spans="1:12" x14ac:dyDescent="0.2">
      <c r="A15" s="13" t="s">
        <v>7</v>
      </c>
      <c r="B15" s="13" t="s">
        <v>91</v>
      </c>
      <c r="C15" s="14">
        <v>111111111</v>
      </c>
      <c r="D15" s="14">
        <v>512199381</v>
      </c>
      <c r="E15" s="13" t="s">
        <v>90</v>
      </c>
      <c r="F15" s="13" t="s">
        <v>87</v>
      </c>
      <c r="G15" s="13" t="s">
        <v>88</v>
      </c>
      <c r="H15" s="15">
        <v>0</v>
      </c>
      <c r="I15" s="15">
        <v>0</v>
      </c>
      <c r="J15" s="16">
        <v>13181.61</v>
      </c>
      <c r="K15" s="15">
        <v>3.2199999999999999E-2</v>
      </c>
      <c r="L15" s="15">
        <v>3.7000000000000002E-3</v>
      </c>
    </row>
    <row r="16" spans="1:12" x14ac:dyDescent="0.2">
      <c r="A16" s="3" t="s">
        <v>7</v>
      </c>
      <c r="B16" s="3" t="s">
        <v>92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3" t="s">
        <v>7</v>
      </c>
      <c r="I16" s="3" t="s">
        <v>7</v>
      </c>
      <c r="J16" s="3" t="s">
        <v>7</v>
      </c>
      <c r="K16" s="3" t="s">
        <v>7</v>
      </c>
      <c r="L16" s="3" t="s">
        <v>7</v>
      </c>
    </row>
    <row r="17" spans="1:12" x14ac:dyDescent="0.2">
      <c r="A17" s="13" t="s">
        <v>7</v>
      </c>
      <c r="B17" s="13" t="s">
        <v>93</v>
      </c>
      <c r="C17" s="14">
        <v>912019</v>
      </c>
      <c r="D17" s="14">
        <v>12</v>
      </c>
      <c r="E17" s="13" t="s">
        <v>90</v>
      </c>
      <c r="F17" s="13" t="s">
        <v>87</v>
      </c>
      <c r="G17" s="13" t="s">
        <v>48</v>
      </c>
      <c r="H17" s="15">
        <v>0</v>
      </c>
      <c r="I17" s="15">
        <v>0</v>
      </c>
      <c r="J17" s="16">
        <v>0.13</v>
      </c>
      <c r="K17" s="15">
        <v>0</v>
      </c>
      <c r="L17" s="15">
        <v>0</v>
      </c>
    </row>
    <row r="18" spans="1:12" x14ac:dyDescent="0.2">
      <c r="A18" s="13" t="s">
        <v>7</v>
      </c>
      <c r="B18" s="13" t="s">
        <v>94</v>
      </c>
      <c r="C18" s="14">
        <v>110002805</v>
      </c>
      <c r="D18" s="14">
        <v>512199381</v>
      </c>
      <c r="E18" s="13" t="s">
        <v>90</v>
      </c>
      <c r="F18" s="13" t="s">
        <v>87</v>
      </c>
      <c r="G18" s="13" t="s">
        <v>48</v>
      </c>
      <c r="H18" s="15">
        <v>0</v>
      </c>
      <c r="I18" s="15">
        <v>0</v>
      </c>
      <c r="J18" s="16">
        <v>32633.07</v>
      </c>
      <c r="K18" s="15">
        <v>7.9799999999999996E-2</v>
      </c>
      <c r="L18" s="15">
        <v>9.1999999999999998E-3</v>
      </c>
    </row>
    <row r="19" spans="1:12" x14ac:dyDescent="0.2">
      <c r="A19" s="13" t="s">
        <v>7</v>
      </c>
      <c r="B19" s="13" t="s">
        <v>95</v>
      </c>
      <c r="C19" s="14">
        <v>110010568</v>
      </c>
      <c r="D19" s="14">
        <v>512199381</v>
      </c>
      <c r="E19" s="13" t="s">
        <v>90</v>
      </c>
      <c r="F19" s="13" t="s">
        <v>87</v>
      </c>
      <c r="G19" s="13" t="s">
        <v>58</v>
      </c>
      <c r="H19" s="15">
        <v>0</v>
      </c>
      <c r="I19" s="15">
        <v>0</v>
      </c>
      <c r="J19" s="16">
        <v>40.549999999999997</v>
      </c>
      <c r="K19" s="15">
        <v>1E-4</v>
      </c>
      <c r="L19" s="15">
        <v>0</v>
      </c>
    </row>
    <row r="20" spans="1:12" x14ac:dyDescent="0.2">
      <c r="A20" s="13" t="s">
        <v>7</v>
      </c>
      <c r="B20" s="13" t="s">
        <v>955</v>
      </c>
      <c r="C20" s="14">
        <v>110031028</v>
      </c>
      <c r="D20" s="14">
        <v>512199381</v>
      </c>
      <c r="E20" s="13" t="s">
        <v>90</v>
      </c>
      <c r="F20" s="13" t="s">
        <v>87</v>
      </c>
      <c r="G20" s="13" t="s">
        <v>956</v>
      </c>
      <c r="H20" s="15">
        <v>0</v>
      </c>
      <c r="I20" s="15">
        <v>0</v>
      </c>
      <c r="J20" s="16">
        <v>8.99</v>
      </c>
      <c r="K20" s="15">
        <v>0</v>
      </c>
      <c r="L20" s="15">
        <v>0</v>
      </c>
    </row>
    <row r="21" spans="1:12" x14ac:dyDescent="0.2">
      <c r="A21" s="13" t="s">
        <v>7</v>
      </c>
      <c r="B21" s="13" t="s">
        <v>96</v>
      </c>
      <c r="C21" s="14">
        <v>110002987</v>
      </c>
      <c r="D21" s="14">
        <v>512199381</v>
      </c>
      <c r="E21" s="13" t="s">
        <v>90</v>
      </c>
      <c r="F21" s="13" t="s">
        <v>87</v>
      </c>
      <c r="G21" s="13" t="s">
        <v>54</v>
      </c>
      <c r="H21" s="15">
        <v>0</v>
      </c>
      <c r="I21" s="15">
        <v>0</v>
      </c>
      <c r="J21" s="16">
        <v>-42.5</v>
      </c>
      <c r="K21" s="15">
        <v>-1E-4</v>
      </c>
      <c r="L21" s="15">
        <v>0</v>
      </c>
    </row>
    <row r="22" spans="1:12" x14ac:dyDescent="0.2">
      <c r="A22" s="3" t="s">
        <v>7</v>
      </c>
      <c r="B22" s="3" t="s">
        <v>97</v>
      </c>
      <c r="C22" s="3" t="s">
        <v>7</v>
      </c>
      <c r="D22" s="3" t="s">
        <v>7</v>
      </c>
      <c r="E22" s="3" t="s">
        <v>7</v>
      </c>
      <c r="F22" s="3" t="s">
        <v>7</v>
      </c>
      <c r="G22" s="3" t="s">
        <v>7</v>
      </c>
      <c r="H22" s="3" t="s">
        <v>7</v>
      </c>
      <c r="I22" s="3" t="s">
        <v>7</v>
      </c>
      <c r="J22" s="3" t="s">
        <v>7</v>
      </c>
      <c r="K22" s="3" t="s">
        <v>7</v>
      </c>
      <c r="L22" s="3" t="s">
        <v>7</v>
      </c>
    </row>
    <row r="23" spans="1:12" x14ac:dyDescent="0.2">
      <c r="A23" s="13" t="s">
        <v>7</v>
      </c>
      <c r="B23" s="13" t="s">
        <v>91</v>
      </c>
      <c r="C23" s="14">
        <v>111111222</v>
      </c>
      <c r="D23" s="14">
        <v>512199381</v>
      </c>
      <c r="E23" s="13" t="s">
        <v>90</v>
      </c>
      <c r="F23" s="13" t="s">
        <v>87</v>
      </c>
      <c r="G23" s="13" t="s">
        <v>88</v>
      </c>
      <c r="H23" s="15">
        <v>1E-4</v>
      </c>
      <c r="I23" s="15">
        <v>0</v>
      </c>
      <c r="J23" s="16">
        <v>381414.88</v>
      </c>
      <c r="K23" s="15">
        <v>0.93300000000000005</v>
      </c>
      <c r="L23" s="15">
        <v>0.1075</v>
      </c>
    </row>
    <row r="24" spans="1:12" x14ac:dyDescent="0.2">
      <c r="A24" s="3" t="s">
        <v>7</v>
      </c>
      <c r="B24" s="3" t="s">
        <v>98</v>
      </c>
      <c r="C24" s="3" t="s">
        <v>7</v>
      </c>
      <c r="D24" s="3" t="s">
        <v>7</v>
      </c>
      <c r="E24" s="3" t="s">
        <v>7</v>
      </c>
      <c r="F24" s="3" t="s">
        <v>7</v>
      </c>
      <c r="G24" s="3" t="s">
        <v>7</v>
      </c>
      <c r="H24" s="3" t="s">
        <v>7</v>
      </c>
      <c r="I24" s="3" t="s">
        <v>7</v>
      </c>
      <c r="J24" s="3" t="s">
        <v>7</v>
      </c>
      <c r="K24" s="3" t="s">
        <v>7</v>
      </c>
      <c r="L24" s="3" t="s">
        <v>7</v>
      </c>
    </row>
    <row r="25" spans="1:12" x14ac:dyDescent="0.2">
      <c r="A25" s="3" t="s">
        <v>7</v>
      </c>
      <c r="B25" s="3" t="s">
        <v>99</v>
      </c>
      <c r="C25" s="3" t="s">
        <v>7</v>
      </c>
      <c r="D25" s="3" t="s">
        <v>7</v>
      </c>
      <c r="E25" s="3" t="s">
        <v>7</v>
      </c>
      <c r="F25" s="3" t="s">
        <v>7</v>
      </c>
      <c r="G25" s="3" t="s">
        <v>7</v>
      </c>
      <c r="H25" s="3" t="s">
        <v>7</v>
      </c>
      <c r="I25" s="3" t="s">
        <v>7</v>
      </c>
      <c r="J25" s="3" t="s">
        <v>7</v>
      </c>
      <c r="K25" s="3" t="s">
        <v>7</v>
      </c>
      <c r="L25" s="3" t="s">
        <v>7</v>
      </c>
    </row>
    <row r="26" spans="1:12" x14ac:dyDescent="0.2">
      <c r="A26" s="3" t="s">
        <v>7</v>
      </c>
      <c r="B26" s="3" t="s">
        <v>100</v>
      </c>
      <c r="C26" s="3" t="s">
        <v>7</v>
      </c>
      <c r="D26" s="3" t="s">
        <v>7</v>
      </c>
      <c r="E26" s="3" t="s">
        <v>7</v>
      </c>
      <c r="F26" s="3" t="s">
        <v>7</v>
      </c>
      <c r="G26" s="3" t="s">
        <v>7</v>
      </c>
      <c r="H26" s="3" t="s">
        <v>7</v>
      </c>
      <c r="I26" s="3" t="s">
        <v>7</v>
      </c>
      <c r="J26" s="3" t="s">
        <v>7</v>
      </c>
      <c r="K26" s="3" t="s">
        <v>7</v>
      </c>
      <c r="L26" s="3" t="s">
        <v>7</v>
      </c>
    </row>
    <row r="27" spans="1:12" x14ac:dyDescent="0.2">
      <c r="A27" s="3" t="s">
        <v>7</v>
      </c>
      <c r="B27" s="3" t="s">
        <v>101</v>
      </c>
      <c r="C27" s="3" t="s">
        <v>7</v>
      </c>
      <c r="D27" s="3" t="s">
        <v>7</v>
      </c>
      <c r="E27" s="3" t="s">
        <v>7</v>
      </c>
      <c r="F27" s="3" t="s">
        <v>7</v>
      </c>
      <c r="G27" s="3" t="s">
        <v>7</v>
      </c>
      <c r="H27" s="3" t="s">
        <v>7</v>
      </c>
      <c r="I27" s="3" t="s">
        <v>7</v>
      </c>
      <c r="J27" s="3" t="s">
        <v>7</v>
      </c>
      <c r="K27" s="3" t="s">
        <v>7</v>
      </c>
      <c r="L27" s="3" t="s">
        <v>7</v>
      </c>
    </row>
    <row r="28" spans="1:12" x14ac:dyDescent="0.2">
      <c r="A28" s="3" t="s">
        <v>7</v>
      </c>
      <c r="B28" s="3" t="s">
        <v>102</v>
      </c>
      <c r="C28" s="3" t="s">
        <v>7</v>
      </c>
      <c r="D28" s="3" t="s">
        <v>7</v>
      </c>
      <c r="E28" s="3" t="s">
        <v>7</v>
      </c>
      <c r="F28" s="3" t="s">
        <v>7</v>
      </c>
      <c r="G28" s="3" t="s">
        <v>7</v>
      </c>
      <c r="H28" s="11">
        <v>0</v>
      </c>
      <c r="I28" s="11">
        <v>0</v>
      </c>
      <c r="J28" s="12">
        <v>0</v>
      </c>
      <c r="K28" s="11">
        <v>0</v>
      </c>
      <c r="L28" s="11">
        <v>0</v>
      </c>
    </row>
    <row r="29" spans="1:12" x14ac:dyDescent="0.2">
      <c r="A29" s="3" t="s">
        <v>7</v>
      </c>
      <c r="B29" s="3" t="s">
        <v>103</v>
      </c>
      <c r="C29" s="3" t="s">
        <v>7</v>
      </c>
      <c r="D29" s="3" t="s">
        <v>7</v>
      </c>
      <c r="E29" s="3" t="s">
        <v>7</v>
      </c>
      <c r="F29" s="3" t="s">
        <v>7</v>
      </c>
      <c r="G29" s="3" t="s">
        <v>7</v>
      </c>
      <c r="H29" s="3" t="s">
        <v>7</v>
      </c>
      <c r="I29" s="3" t="s">
        <v>7</v>
      </c>
      <c r="J29" s="3" t="s">
        <v>7</v>
      </c>
      <c r="K29" s="3" t="s">
        <v>7</v>
      </c>
      <c r="L29" s="3" t="s">
        <v>7</v>
      </c>
    </row>
    <row r="30" spans="1:12" x14ac:dyDescent="0.2">
      <c r="A30" s="3" t="s">
        <v>7</v>
      </c>
      <c r="B30" s="3" t="s">
        <v>101</v>
      </c>
      <c r="C30" s="3" t="s">
        <v>7</v>
      </c>
      <c r="D30" s="3" t="s">
        <v>7</v>
      </c>
      <c r="E30" s="3" t="s">
        <v>7</v>
      </c>
      <c r="F30" s="3" t="s">
        <v>7</v>
      </c>
      <c r="G30" s="3" t="s">
        <v>7</v>
      </c>
      <c r="H30" s="3" t="s">
        <v>7</v>
      </c>
      <c r="I30" s="3" t="s">
        <v>7</v>
      </c>
      <c r="J30" s="3" t="s">
        <v>7</v>
      </c>
      <c r="K30" s="3" t="s">
        <v>7</v>
      </c>
      <c r="L30" s="3" t="s">
        <v>7</v>
      </c>
    </row>
    <row r="31" spans="1:12" x14ac:dyDescent="0.2">
      <c r="A31" s="8" t="s">
        <v>7</v>
      </c>
      <c r="B31" s="8" t="s">
        <v>104</v>
      </c>
      <c r="C31" s="8" t="s">
        <v>7</v>
      </c>
      <c r="D31" s="8" t="s">
        <v>7</v>
      </c>
      <c r="E31" s="8" t="s">
        <v>7</v>
      </c>
      <c r="F31" s="8" t="s">
        <v>7</v>
      </c>
      <c r="G31" s="8" t="s">
        <v>7</v>
      </c>
      <c r="H31" s="8" t="s">
        <v>7</v>
      </c>
      <c r="I31" s="8" t="s">
        <v>7</v>
      </c>
      <c r="J31" s="8" t="s">
        <v>7</v>
      </c>
      <c r="K31" s="8" t="s">
        <v>7</v>
      </c>
      <c r="L31" s="8" t="s">
        <v>7</v>
      </c>
    </row>
    <row r="32" spans="1:12" x14ac:dyDescent="0.2">
      <c r="A32" s="7" t="s">
        <v>60</v>
      </c>
      <c r="B32" s="7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4"/>
  <sheetViews>
    <sheetView rightToLeft="1" workbookViewId="0"/>
  </sheetViews>
  <sheetFormatPr defaultRowHeight="14.25" x14ac:dyDescent="0.2"/>
  <cols>
    <col min="1" max="1" width="2" customWidth="1"/>
    <col min="2" max="2" width="40" customWidth="1"/>
    <col min="3" max="3" width="15" customWidth="1"/>
    <col min="4" max="4" width="11" customWidth="1"/>
    <col min="5" max="5" width="7" customWidth="1"/>
    <col min="6" max="6" width="11" customWidth="1"/>
    <col min="7" max="7" width="13" customWidth="1"/>
    <col min="8" max="8" width="7" customWidth="1"/>
    <col min="9" max="9" width="14" customWidth="1"/>
    <col min="10" max="10" width="13" customWidth="1"/>
    <col min="11" max="11" width="15" customWidth="1"/>
    <col min="12" max="12" width="16" customWidth="1"/>
    <col min="13" max="13" width="8" customWidth="1"/>
    <col min="14" max="14" width="18" customWidth="1"/>
    <col min="15" max="15" width="12" customWidth="1"/>
    <col min="16" max="16" width="22" customWidth="1"/>
    <col min="17" max="17" width="24" customWidth="1"/>
    <col min="18" max="18" width="23" customWidth="1"/>
    <col min="19" max="19" width="11" customWidth="1"/>
  </cols>
  <sheetData>
    <row r="1" spans="1:19" x14ac:dyDescent="0.2">
      <c r="B1" s="7" t="s">
        <v>0</v>
      </c>
      <c r="C1" s="7" t="s">
        <v>1</v>
      </c>
    </row>
    <row r="2" spans="1:19" x14ac:dyDescent="0.2">
      <c r="B2" s="7" t="s">
        <v>2</v>
      </c>
      <c r="C2" s="7" t="s">
        <v>3</v>
      </c>
    </row>
    <row r="3" spans="1:19" x14ac:dyDescent="0.2">
      <c r="B3" s="7" t="s">
        <v>4</v>
      </c>
      <c r="C3" s="7" t="s">
        <v>5</v>
      </c>
    </row>
    <row r="4" spans="1:19" x14ac:dyDescent="0.2">
      <c r="B4" s="7" t="s">
        <v>6</v>
      </c>
      <c r="C4" s="7">
        <v>408</v>
      </c>
    </row>
    <row r="5" spans="1:19" x14ac:dyDescent="0.2">
      <c r="B5" s="7" t="s">
        <v>7</v>
      </c>
      <c r="C5" s="7" t="s">
        <v>7</v>
      </c>
    </row>
    <row r="6" spans="1:19" x14ac:dyDescent="0.2">
      <c r="A6" s="1" t="s">
        <v>7</v>
      </c>
      <c r="B6" s="1" t="s">
        <v>105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  <c r="S6" s="1" t="s">
        <v>7</v>
      </c>
    </row>
    <row r="7" spans="1:19" x14ac:dyDescent="0.2">
      <c r="A7" s="1" t="s">
        <v>7</v>
      </c>
      <c r="B7" s="1" t="s">
        <v>106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  <c r="S7" s="1" t="s">
        <v>7</v>
      </c>
    </row>
    <row r="8" spans="1:19" x14ac:dyDescent="0.2">
      <c r="A8" s="1" t="s">
        <v>7</v>
      </c>
      <c r="B8" s="1" t="s">
        <v>63</v>
      </c>
      <c r="C8" s="1" t="s">
        <v>64</v>
      </c>
      <c r="D8" s="1" t="s">
        <v>107</v>
      </c>
      <c r="E8" s="1" t="s">
        <v>66</v>
      </c>
      <c r="F8" s="1" t="s">
        <v>67</v>
      </c>
      <c r="G8" s="1" t="s">
        <v>108</v>
      </c>
      <c r="H8" s="1" t="s">
        <v>109</v>
      </c>
      <c r="I8" s="1" t="s">
        <v>68</v>
      </c>
      <c r="J8" s="1" t="s">
        <v>69</v>
      </c>
      <c r="K8" s="1" t="s">
        <v>70</v>
      </c>
      <c r="L8" s="1" t="s">
        <v>110</v>
      </c>
      <c r="M8" s="1" t="s">
        <v>111</v>
      </c>
      <c r="N8" s="1" t="s">
        <v>112</v>
      </c>
      <c r="O8" s="1" t="s">
        <v>71</v>
      </c>
      <c r="P8" s="1" t="s">
        <v>113</v>
      </c>
      <c r="Q8" s="1" t="s">
        <v>72</v>
      </c>
      <c r="R8" s="1" t="s">
        <v>114</v>
      </c>
      <c r="S8" s="1" t="s">
        <v>7</v>
      </c>
    </row>
    <row r="9" spans="1:19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115</v>
      </c>
      <c r="I9" s="1" t="s">
        <v>7</v>
      </c>
      <c r="J9" s="1" t="s">
        <v>12</v>
      </c>
      <c r="K9" s="1" t="s">
        <v>12</v>
      </c>
      <c r="L9" s="1" t="s">
        <v>116</v>
      </c>
      <c r="M9" s="1" t="s">
        <v>117</v>
      </c>
      <c r="N9" s="1" t="s">
        <v>11</v>
      </c>
      <c r="O9" s="1" t="s">
        <v>11</v>
      </c>
      <c r="P9" s="1" t="s">
        <v>12</v>
      </c>
      <c r="Q9" s="1" t="s">
        <v>12</v>
      </c>
      <c r="R9" s="1" t="s">
        <v>12</v>
      </c>
      <c r="S9" s="1" t="s">
        <v>7</v>
      </c>
    </row>
    <row r="10" spans="1:19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74</v>
      </c>
      <c r="F10" s="1" t="s">
        <v>75</v>
      </c>
      <c r="G10" s="1" t="s">
        <v>76</v>
      </c>
      <c r="H10" s="1" t="s">
        <v>77</v>
      </c>
      <c r="I10" s="1" t="s">
        <v>78</v>
      </c>
      <c r="J10" s="1" t="s">
        <v>79</v>
      </c>
      <c r="K10" s="1" t="s">
        <v>80</v>
      </c>
      <c r="L10" s="1" t="s">
        <v>81</v>
      </c>
      <c r="M10" s="1" t="s">
        <v>118</v>
      </c>
      <c r="N10" s="1" t="s">
        <v>119</v>
      </c>
      <c r="O10" s="1" t="s">
        <v>120</v>
      </c>
      <c r="P10" s="1" t="s">
        <v>121</v>
      </c>
      <c r="Q10" s="1" t="s">
        <v>122</v>
      </c>
      <c r="R10" s="1" t="s">
        <v>123</v>
      </c>
      <c r="S10" s="1" t="s">
        <v>7</v>
      </c>
    </row>
    <row r="11" spans="1:19" x14ac:dyDescent="0.2">
      <c r="A11" s="8" t="s">
        <v>7</v>
      </c>
      <c r="B11" s="8" t="s">
        <v>124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10">
        <v>2.79</v>
      </c>
      <c r="I11" s="8" t="s">
        <v>7</v>
      </c>
      <c r="J11" s="9">
        <v>3.1600000000000003E-2</v>
      </c>
      <c r="K11" s="9">
        <v>1.6000000000000001E-3</v>
      </c>
      <c r="L11" s="10">
        <v>818256075</v>
      </c>
      <c r="M11" s="8" t="s">
        <v>7</v>
      </c>
      <c r="N11" s="10">
        <v>0</v>
      </c>
      <c r="O11" s="10">
        <v>944490.71</v>
      </c>
      <c r="P11" s="8" t="s">
        <v>7</v>
      </c>
      <c r="Q11" s="9">
        <v>1</v>
      </c>
      <c r="R11" s="9">
        <v>0.26619999999999999</v>
      </c>
      <c r="S11" s="8" t="s">
        <v>7</v>
      </c>
    </row>
    <row r="12" spans="1:19" x14ac:dyDescent="0.2">
      <c r="A12" s="3" t="s">
        <v>7</v>
      </c>
      <c r="B12" s="3" t="s">
        <v>83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12">
        <v>2.81</v>
      </c>
      <c r="I12" s="3" t="s">
        <v>7</v>
      </c>
      <c r="J12" s="11">
        <v>3.1699999999999999E-2</v>
      </c>
      <c r="K12" s="11">
        <v>1.6000000000000001E-3</v>
      </c>
      <c r="L12" s="12">
        <v>816756075</v>
      </c>
      <c r="M12" s="3" t="s">
        <v>7</v>
      </c>
      <c r="N12" s="12">
        <v>0</v>
      </c>
      <c r="O12" s="12">
        <v>939330.06</v>
      </c>
      <c r="P12" s="3" t="s">
        <v>7</v>
      </c>
      <c r="Q12" s="11">
        <v>0.99450000000000005</v>
      </c>
      <c r="R12" s="11">
        <v>0.26469999999999999</v>
      </c>
      <c r="S12" s="3" t="s">
        <v>7</v>
      </c>
    </row>
    <row r="13" spans="1:19" x14ac:dyDescent="0.2">
      <c r="A13" s="3" t="s">
        <v>7</v>
      </c>
      <c r="B13" s="3" t="s">
        <v>125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12">
        <v>2.63</v>
      </c>
      <c r="I13" s="3" t="s">
        <v>7</v>
      </c>
      <c r="J13" s="11">
        <v>3.0099999999999998E-2</v>
      </c>
      <c r="K13" s="11">
        <v>1E-3</v>
      </c>
      <c r="L13" s="12">
        <v>351150159</v>
      </c>
      <c r="M13" s="3" t="s">
        <v>7</v>
      </c>
      <c r="N13" s="12">
        <v>0</v>
      </c>
      <c r="O13" s="12">
        <v>424629.76000000001</v>
      </c>
      <c r="P13" s="3" t="s">
        <v>7</v>
      </c>
      <c r="Q13" s="11">
        <v>0.4496</v>
      </c>
      <c r="R13" s="11">
        <v>0.1197</v>
      </c>
      <c r="S13" s="3" t="s">
        <v>7</v>
      </c>
    </row>
    <row r="14" spans="1:19" x14ac:dyDescent="0.2">
      <c r="A14" s="13" t="s">
        <v>7</v>
      </c>
      <c r="B14" s="13" t="s">
        <v>126</v>
      </c>
      <c r="C14" s="14">
        <v>9590332</v>
      </c>
      <c r="D14" s="13" t="s">
        <v>127</v>
      </c>
      <c r="E14" s="13" t="s">
        <v>128</v>
      </c>
      <c r="F14" s="13" t="s">
        <v>129</v>
      </c>
      <c r="G14" s="13" t="s">
        <v>7</v>
      </c>
      <c r="H14" s="16">
        <v>0.83</v>
      </c>
      <c r="I14" s="13" t="s">
        <v>88</v>
      </c>
      <c r="J14" s="15">
        <v>0.04</v>
      </c>
      <c r="K14" s="15">
        <v>7.6E-3</v>
      </c>
      <c r="L14" s="16">
        <v>87581777</v>
      </c>
      <c r="M14" s="16">
        <v>134.9</v>
      </c>
      <c r="N14" s="16">
        <v>0</v>
      </c>
      <c r="O14" s="16">
        <v>118147.82</v>
      </c>
      <c r="P14" s="15">
        <v>5.5999999999999999E-3</v>
      </c>
      <c r="Q14" s="15">
        <v>0.12509999999999999</v>
      </c>
      <c r="R14" s="15">
        <v>3.3300000000000003E-2</v>
      </c>
      <c r="S14" s="13" t="s">
        <v>7</v>
      </c>
    </row>
    <row r="15" spans="1:19" x14ac:dyDescent="0.2">
      <c r="A15" s="13" t="s">
        <v>7</v>
      </c>
      <c r="B15" s="13" t="s">
        <v>130</v>
      </c>
      <c r="C15" s="14">
        <v>1124056</v>
      </c>
      <c r="D15" s="13" t="s">
        <v>127</v>
      </c>
      <c r="E15" s="13" t="s">
        <v>128</v>
      </c>
      <c r="F15" s="13" t="s">
        <v>129</v>
      </c>
      <c r="G15" s="13" t="s">
        <v>7</v>
      </c>
      <c r="H15" s="16">
        <v>1.97</v>
      </c>
      <c r="I15" s="13" t="s">
        <v>88</v>
      </c>
      <c r="J15" s="15">
        <v>2.75E-2</v>
      </c>
      <c r="K15" s="15">
        <v>-1E-4</v>
      </c>
      <c r="L15" s="16">
        <v>117243533</v>
      </c>
      <c r="M15" s="16">
        <v>109.4</v>
      </c>
      <c r="N15" s="16">
        <v>0</v>
      </c>
      <c r="O15" s="16">
        <v>128264.42</v>
      </c>
      <c r="P15" s="15">
        <v>6.8999999999999999E-3</v>
      </c>
      <c r="Q15" s="15">
        <v>0.1358</v>
      </c>
      <c r="R15" s="15">
        <v>3.61E-2</v>
      </c>
      <c r="S15" s="13" t="s">
        <v>7</v>
      </c>
    </row>
    <row r="16" spans="1:19" x14ac:dyDescent="0.2">
      <c r="A16" s="13" t="s">
        <v>7</v>
      </c>
      <c r="B16" s="13" t="s">
        <v>131</v>
      </c>
      <c r="C16" s="14">
        <v>1128081</v>
      </c>
      <c r="D16" s="13" t="s">
        <v>127</v>
      </c>
      <c r="E16" s="13" t="s">
        <v>128</v>
      </c>
      <c r="F16" s="13" t="s">
        <v>129</v>
      </c>
      <c r="G16" s="13" t="s">
        <v>7</v>
      </c>
      <c r="H16" s="16">
        <v>2.94</v>
      </c>
      <c r="I16" s="13" t="s">
        <v>88</v>
      </c>
      <c r="J16" s="15">
        <v>1.7500000000000002E-2</v>
      </c>
      <c r="K16" s="15">
        <v>-2.3999999999999998E-3</v>
      </c>
      <c r="L16" s="16">
        <v>107577424</v>
      </c>
      <c r="M16" s="16">
        <v>107.9</v>
      </c>
      <c r="N16" s="16">
        <v>0</v>
      </c>
      <c r="O16" s="16">
        <v>116076.04</v>
      </c>
      <c r="P16" s="15">
        <v>6.1000000000000004E-3</v>
      </c>
      <c r="Q16" s="15">
        <v>0.1229</v>
      </c>
      <c r="R16" s="15">
        <v>3.27E-2</v>
      </c>
      <c r="S16" s="13" t="s">
        <v>7</v>
      </c>
    </row>
    <row r="17" spans="1:19" x14ac:dyDescent="0.2">
      <c r="A17" s="13" t="s">
        <v>7</v>
      </c>
      <c r="B17" s="13" t="s">
        <v>132</v>
      </c>
      <c r="C17" s="14">
        <v>9590431</v>
      </c>
      <c r="D17" s="13" t="s">
        <v>127</v>
      </c>
      <c r="E17" s="13" t="s">
        <v>128</v>
      </c>
      <c r="F17" s="13" t="s">
        <v>129</v>
      </c>
      <c r="G17" s="13" t="s">
        <v>7</v>
      </c>
      <c r="H17" s="16">
        <v>3.63</v>
      </c>
      <c r="I17" s="13" t="s">
        <v>88</v>
      </c>
      <c r="J17" s="15">
        <v>0.04</v>
      </c>
      <c r="K17" s="15">
        <v>-3.0999999999999999E-3</v>
      </c>
      <c r="L17" s="16">
        <v>27900000</v>
      </c>
      <c r="M17" s="16">
        <v>144.97</v>
      </c>
      <c r="N17" s="16">
        <v>0</v>
      </c>
      <c r="O17" s="16">
        <v>40446.629999999997</v>
      </c>
      <c r="P17" s="15">
        <v>2.2000000000000001E-3</v>
      </c>
      <c r="Q17" s="15">
        <v>4.2799999999999998E-2</v>
      </c>
      <c r="R17" s="15">
        <v>1.14E-2</v>
      </c>
      <c r="S17" s="13" t="s">
        <v>7</v>
      </c>
    </row>
    <row r="18" spans="1:19" x14ac:dyDescent="0.2">
      <c r="A18" s="13" t="s">
        <v>7</v>
      </c>
      <c r="B18" s="13" t="s">
        <v>133</v>
      </c>
      <c r="C18" s="14">
        <v>1097708</v>
      </c>
      <c r="D18" s="13" t="s">
        <v>127</v>
      </c>
      <c r="E18" s="13" t="s">
        <v>128</v>
      </c>
      <c r="F18" s="13" t="s">
        <v>129</v>
      </c>
      <c r="G18" s="13" t="s">
        <v>7</v>
      </c>
      <c r="H18" s="16">
        <v>12.78</v>
      </c>
      <c r="I18" s="13" t="s">
        <v>88</v>
      </c>
      <c r="J18" s="15">
        <v>0.04</v>
      </c>
      <c r="K18" s="15">
        <v>-1.9E-3</v>
      </c>
      <c r="L18" s="16">
        <v>10847425</v>
      </c>
      <c r="M18" s="16">
        <v>200</v>
      </c>
      <c r="N18" s="16">
        <v>0</v>
      </c>
      <c r="O18" s="16">
        <v>21694.85</v>
      </c>
      <c r="P18" s="15">
        <v>6.9999999999999999E-4</v>
      </c>
      <c r="Q18" s="15">
        <v>2.3E-2</v>
      </c>
      <c r="R18" s="15">
        <v>6.1000000000000004E-3</v>
      </c>
      <c r="S18" s="13" t="s">
        <v>7</v>
      </c>
    </row>
    <row r="19" spans="1:19" x14ac:dyDescent="0.2">
      <c r="A19" s="3" t="s">
        <v>7</v>
      </c>
      <c r="B19" s="3" t="s">
        <v>134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7</v>
      </c>
      <c r="H19" s="12">
        <v>2.96</v>
      </c>
      <c r="I19" s="3" t="s">
        <v>7</v>
      </c>
      <c r="J19" s="11">
        <v>3.3099999999999997E-2</v>
      </c>
      <c r="K19" s="11">
        <v>2.0999999999999999E-3</v>
      </c>
      <c r="L19" s="12">
        <v>465605916</v>
      </c>
      <c r="M19" s="3" t="s">
        <v>7</v>
      </c>
      <c r="N19" s="12">
        <v>0</v>
      </c>
      <c r="O19" s="12">
        <v>514700.3</v>
      </c>
      <c r="P19" s="3" t="s">
        <v>7</v>
      </c>
      <c r="Q19" s="11">
        <v>0.54490000000000005</v>
      </c>
      <c r="R19" s="11">
        <v>0.14499999999999999</v>
      </c>
      <c r="S19" s="3" t="s">
        <v>7</v>
      </c>
    </row>
    <row r="20" spans="1:19" x14ac:dyDescent="0.2">
      <c r="A20" s="13" t="s">
        <v>7</v>
      </c>
      <c r="B20" s="13" t="s">
        <v>135</v>
      </c>
      <c r="C20" s="14">
        <v>1138130</v>
      </c>
      <c r="D20" s="13" t="s">
        <v>127</v>
      </c>
      <c r="E20" s="13" t="s">
        <v>128</v>
      </c>
      <c r="F20" s="13" t="s">
        <v>129</v>
      </c>
      <c r="G20" s="13" t="s">
        <v>7</v>
      </c>
      <c r="H20" s="16">
        <v>0.57999999999999996</v>
      </c>
      <c r="I20" s="13" t="s">
        <v>88</v>
      </c>
      <c r="J20" s="15">
        <v>0.01</v>
      </c>
      <c r="K20" s="15">
        <v>2.9999999999999997E-4</v>
      </c>
      <c r="L20" s="16">
        <v>16850000</v>
      </c>
      <c r="M20" s="16">
        <v>100.98</v>
      </c>
      <c r="N20" s="16">
        <v>0</v>
      </c>
      <c r="O20" s="16">
        <v>17015.13</v>
      </c>
      <c r="P20" s="15">
        <v>1.1000000000000001E-3</v>
      </c>
      <c r="Q20" s="15">
        <v>1.7999999999999999E-2</v>
      </c>
      <c r="R20" s="15">
        <v>4.7999999999999996E-3</v>
      </c>
      <c r="S20" s="13" t="s">
        <v>7</v>
      </c>
    </row>
    <row r="21" spans="1:19" x14ac:dyDescent="0.2">
      <c r="A21" s="13" t="s">
        <v>7</v>
      </c>
      <c r="B21" s="13" t="s">
        <v>136</v>
      </c>
      <c r="C21" s="14">
        <v>1142223</v>
      </c>
      <c r="D21" s="13" t="s">
        <v>127</v>
      </c>
      <c r="E21" s="13" t="s">
        <v>128</v>
      </c>
      <c r="F21" s="13" t="s">
        <v>129</v>
      </c>
      <c r="G21" s="13" t="s">
        <v>7</v>
      </c>
      <c r="H21" s="16">
        <v>0.33</v>
      </c>
      <c r="I21" s="13" t="s">
        <v>88</v>
      </c>
      <c r="J21" s="15">
        <v>5.0000000000000001E-3</v>
      </c>
      <c r="K21" s="15">
        <v>-2.9999999999999997E-4</v>
      </c>
      <c r="L21" s="16">
        <v>75000000</v>
      </c>
      <c r="M21" s="16">
        <v>100.51</v>
      </c>
      <c r="N21" s="16">
        <v>0</v>
      </c>
      <c r="O21" s="16">
        <v>75382.5</v>
      </c>
      <c r="P21" s="15">
        <v>1.01E-2</v>
      </c>
      <c r="Q21" s="15">
        <v>7.9799999999999996E-2</v>
      </c>
      <c r="R21" s="15">
        <v>2.12E-2</v>
      </c>
      <c r="S21" s="13" t="s">
        <v>7</v>
      </c>
    </row>
    <row r="22" spans="1:19" x14ac:dyDescent="0.2">
      <c r="A22" s="13" t="s">
        <v>7</v>
      </c>
      <c r="B22" s="13" t="s">
        <v>137</v>
      </c>
      <c r="C22" s="14">
        <v>1141225</v>
      </c>
      <c r="D22" s="13" t="s">
        <v>127</v>
      </c>
      <c r="E22" s="13" t="s">
        <v>128</v>
      </c>
      <c r="F22" s="13" t="s">
        <v>129</v>
      </c>
      <c r="G22" s="13" t="s">
        <v>7</v>
      </c>
      <c r="H22" s="16">
        <v>2.13</v>
      </c>
      <c r="I22" s="13" t="s">
        <v>88</v>
      </c>
      <c r="J22" s="15">
        <v>1.2500000000000001E-2</v>
      </c>
      <c r="K22" s="15">
        <v>1E-3</v>
      </c>
      <c r="L22" s="16">
        <v>144000000</v>
      </c>
      <c r="M22" s="16">
        <v>103.53</v>
      </c>
      <c r="N22" s="16">
        <v>0</v>
      </c>
      <c r="O22" s="16">
        <v>149083.20000000001</v>
      </c>
      <c r="P22" s="15">
        <v>1.15E-2</v>
      </c>
      <c r="Q22" s="15">
        <v>0.1578</v>
      </c>
      <c r="R22" s="15">
        <v>4.2000000000000003E-2</v>
      </c>
      <c r="S22" s="13" t="s">
        <v>7</v>
      </c>
    </row>
    <row r="23" spans="1:19" x14ac:dyDescent="0.2">
      <c r="A23" s="13" t="s">
        <v>7</v>
      </c>
      <c r="B23" s="13" t="s">
        <v>138</v>
      </c>
      <c r="C23" s="14">
        <v>1140193</v>
      </c>
      <c r="D23" s="13" t="s">
        <v>127</v>
      </c>
      <c r="E23" s="13" t="s">
        <v>128</v>
      </c>
      <c r="F23" s="13" t="s">
        <v>129</v>
      </c>
      <c r="G23" s="13" t="s">
        <v>7</v>
      </c>
      <c r="H23" s="16">
        <v>18.649999999999999</v>
      </c>
      <c r="I23" s="13" t="s">
        <v>88</v>
      </c>
      <c r="J23" s="15">
        <v>3.7499999999999999E-2</v>
      </c>
      <c r="K23" s="15">
        <v>1.7100000000000001E-2</v>
      </c>
      <c r="L23" s="16">
        <v>12003326</v>
      </c>
      <c r="M23" s="16">
        <v>145.04</v>
      </c>
      <c r="N23" s="16">
        <v>0</v>
      </c>
      <c r="O23" s="16">
        <v>17409.62</v>
      </c>
      <c r="P23" s="15">
        <v>5.9999999999999995E-4</v>
      </c>
      <c r="Q23" s="15">
        <v>1.84E-2</v>
      </c>
      <c r="R23" s="15">
        <v>4.8999999999999998E-3</v>
      </c>
      <c r="S23" s="13" t="s">
        <v>7</v>
      </c>
    </row>
    <row r="24" spans="1:19" x14ac:dyDescent="0.2">
      <c r="A24" s="13" t="s">
        <v>7</v>
      </c>
      <c r="B24" s="13" t="s">
        <v>139</v>
      </c>
      <c r="C24" s="14">
        <v>1130848</v>
      </c>
      <c r="D24" s="13" t="s">
        <v>127</v>
      </c>
      <c r="E24" s="13" t="s">
        <v>128</v>
      </c>
      <c r="F24" s="13" t="s">
        <v>129</v>
      </c>
      <c r="G24" s="13" t="s">
        <v>7</v>
      </c>
      <c r="H24" s="16">
        <v>3.3</v>
      </c>
      <c r="I24" s="13" t="s">
        <v>88</v>
      </c>
      <c r="J24" s="15">
        <v>3.7499999999999999E-2</v>
      </c>
      <c r="K24" s="15">
        <v>2.2000000000000001E-3</v>
      </c>
      <c r="L24" s="16">
        <v>4000000</v>
      </c>
      <c r="M24" s="16">
        <v>114.16</v>
      </c>
      <c r="N24" s="16">
        <v>0</v>
      </c>
      <c r="O24" s="16">
        <v>4566.3999999999996</v>
      </c>
      <c r="P24" s="15">
        <v>2.0000000000000001E-4</v>
      </c>
      <c r="Q24" s="15">
        <v>4.7999999999999996E-3</v>
      </c>
      <c r="R24" s="15">
        <v>1.2999999999999999E-3</v>
      </c>
      <c r="S24" s="13" t="s">
        <v>7</v>
      </c>
    </row>
    <row r="25" spans="1:19" x14ac:dyDescent="0.2">
      <c r="A25" s="13" t="s">
        <v>7</v>
      </c>
      <c r="B25" s="13" t="s">
        <v>140</v>
      </c>
      <c r="C25" s="14">
        <v>1123272</v>
      </c>
      <c r="D25" s="13" t="s">
        <v>127</v>
      </c>
      <c r="E25" s="13" t="s">
        <v>128</v>
      </c>
      <c r="F25" s="13" t="s">
        <v>129</v>
      </c>
      <c r="G25" s="13" t="s">
        <v>7</v>
      </c>
      <c r="H25" s="16">
        <v>1.28</v>
      </c>
      <c r="I25" s="13" t="s">
        <v>88</v>
      </c>
      <c r="J25" s="15">
        <v>5.5E-2</v>
      </c>
      <c r="K25" s="15">
        <v>5.0000000000000001E-4</v>
      </c>
      <c r="L25" s="16">
        <v>192638500</v>
      </c>
      <c r="M25" s="16">
        <v>110.94</v>
      </c>
      <c r="N25" s="16">
        <v>0</v>
      </c>
      <c r="O25" s="16">
        <v>213713.15</v>
      </c>
      <c r="P25" s="15">
        <v>1.09E-2</v>
      </c>
      <c r="Q25" s="15">
        <v>0.2263</v>
      </c>
      <c r="R25" s="15">
        <v>6.0199999999999997E-2</v>
      </c>
      <c r="S25" s="13" t="s">
        <v>7</v>
      </c>
    </row>
    <row r="26" spans="1:19" x14ac:dyDescent="0.2">
      <c r="A26" s="13" t="s">
        <v>7</v>
      </c>
      <c r="B26" s="13" t="s">
        <v>141</v>
      </c>
      <c r="C26" s="14">
        <v>1125400</v>
      </c>
      <c r="D26" s="13" t="s">
        <v>127</v>
      </c>
      <c r="E26" s="13" t="s">
        <v>128</v>
      </c>
      <c r="F26" s="13" t="s">
        <v>129</v>
      </c>
      <c r="G26" s="13" t="s">
        <v>7</v>
      </c>
      <c r="H26" s="16">
        <v>14.86</v>
      </c>
      <c r="I26" s="13" t="s">
        <v>88</v>
      </c>
      <c r="J26" s="15">
        <v>5.5E-2</v>
      </c>
      <c r="K26" s="15">
        <v>1.44E-2</v>
      </c>
      <c r="L26" s="16">
        <v>21114090</v>
      </c>
      <c r="M26" s="16">
        <v>177.75</v>
      </c>
      <c r="N26" s="16">
        <v>0</v>
      </c>
      <c r="O26" s="16">
        <v>37530.29</v>
      </c>
      <c r="P26" s="15">
        <v>1.1000000000000001E-3</v>
      </c>
      <c r="Q26" s="15">
        <v>3.9699999999999999E-2</v>
      </c>
      <c r="R26" s="15">
        <v>1.06E-2</v>
      </c>
      <c r="S26" s="13" t="s">
        <v>7</v>
      </c>
    </row>
    <row r="27" spans="1:19" x14ac:dyDescent="0.2">
      <c r="A27" s="3" t="s">
        <v>7</v>
      </c>
      <c r="B27" s="3" t="s">
        <v>142</v>
      </c>
      <c r="C27" s="3" t="s">
        <v>7</v>
      </c>
      <c r="D27" s="3" t="s">
        <v>7</v>
      </c>
      <c r="E27" s="3" t="s">
        <v>7</v>
      </c>
      <c r="F27" s="3" t="s">
        <v>7</v>
      </c>
      <c r="G27" s="3" t="s">
        <v>7</v>
      </c>
      <c r="H27" s="12">
        <v>0</v>
      </c>
      <c r="I27" s="3" t="s">
        <v>7</v>
      </c>
      <c r="J27" s="11">
        <v>0</v>
      </c>
      <c r="K27" s="11">
        <v>0</v>
      </c>
      <c r="L27" s="12">
        <v>0</v>
      </c>
      <c r="M27" s="3" t="s">
        <v>7</v>
      </c>
      <c r="N27" s="12">
        <v>0</v>
      </c>
      <c r="O27" s="12">
        <v>0</v>
      </c>
      <c r="P27" s="3" t="s">
        <v>7</v>
      </c>
      <c r="Q27" s="11">
        <v>0</v>
      </c>
      <c r="R27" s="11">
        <v>0</v>
      </c>
      <c r="S27" s="3" t="s">
        <v>7</v>
      </c>
    </row>
    <row r="28" spans="1:19" x14ac:dyDescent="0.2">
      <c r="A28" s="3" t="s">
        <v>7</v>
      </c>
      <c r="B28" s="3" t="s">
        <v>102</v>
      </c>
      <c r="C28" s="3" t="s">
        <v>7</v>
      </c>
      <c r="D28" s="3" t="s">
        <v>7</v>
      </c>
      <c r="E28" s="3" t="s">
        <v>7</v>
      </c>
      <c r="F28" s="3" t="s">
        <v>7</v>
      </c>
      <c r="G28" s="3" t="s">
        <v>7</v>
      </c>
      <c r="H28" s="12">
        <v>0.17</v>
      </c>
      <c r="I28" s="3" t="s">
        <v>7</v>
      </c>
      <c r="J28" s="11">
        <v>0</v>
      </c>
      <c r="K28" s="11">
        <v>8.9999999999999998E-4</v>
      </c>
      <c r="L28" s="12">
        <v>1500000</v>
      </c>
      <c r="M28" s="3" t="s">
        <v>7</v>
      </c>
      <c r="N28" s="12">
        <v>0</v>
      </c>
      <c r="O28" s="12">
        <v>5160.6499999999996</v>
      </c>
      <c r="P28" s="3" t="s">
        <v>7</v>
      </c>
      <c r="Q28" s="11">
        <v>5.4999999999999997E-3</v>
      </c>
      <c r="R28" s="11">
        <v>1.4E-3</v>
      </c>
      <c r="S28" s="3" t="s">
        <v>7</v>
      </c>
    </row>
    <row r="29" spans="1:19" x14ac:dyDescent="0.2">
      <c r="A29" s="3" t="s">
        <v>7</v>
      </c>
      <c r="B29" s="3" t="s">
        <v>143</v>
      </c>
      <c r="C29" s="3" t="s">
        <v>7</v>
      </c>
      <c r="D29" s="3" t="s">
        <v>7</v>
      </c>
      <c r="E29" s="3" t="s">
        <v>7</v>
      </c>
      <c r="F29" s="3" t="s">
        <v>7</v>
      </c>
      <c r="G29" s="3" t="s">
        <v>7</v>
      </c>
      <c r="H29" s="12">
        <v>0</v>
      </c>
      <c r="I29" s="3" t="s">
        <v>7</v>
      </c>
      <c r="J29" s="11">
        <v>0</v>
      </c>
      <c r="K29" s="11">
        <v>0</v>
      </c>
      <c r="L29" s="12">
        <v>0</v>
      </c>
      <c r="M29" s="3" t="s">
        <v>7</v>
      </c>
      <c r="N29" s="12">
        <v>0</v>
      </c>
      <c r="O29" s="12">
        <v>0</v>
      </c>
      <c r="P29" s="3" t="s">
        <v>7</v>
      </c>
      <c r="Q29" s="11">
        <v>0</v>
      </c>
      <c r="R29" s="11">
        <v>0</v>
      </c>
      <c r="S29" s="3" t="s">
        <v>7</v>
      </c>
    </row>
    <row r="30" spans="1:19" x14ac:dyDescent="0.2">
      <c r="A30" s="3" t="s">
        <v>7</v>
      </c>
      <c r="B30" s="3" t="s">
        <v>144</v>
      </c>
      <c r="C30" s="3" t="s">
        <v>7</v>
      </c>
      <c r="D30" s="3" t="s">
        <v>7</v>
      </c>
      <c r="E30" s="3" t="s">
        <v>7</v>
      </c>
      <c r="F30" s="3" t="s">
        <v>7</v>
      </c>
      <c r="G30" s="3" t="s">
        <v>7</v>
      </c>
      <c r="H30" s="12">
        <v>0.17</v>
      </c>
      <c r="I30" s="3" t="s">
        <v>7</v>
      </c>
      <c r="J30" s="11">
        <v>0</v>
      </c>
      <c r="K30" s="11">
        <v>8.9999999999999998E-4</v>
      </c>
      <c r="L30" s="12">
        <v>1500000</v>
      </c>
      <c r="M30" s="3" t="s">
        <v>7</v>
      </c>
      <c r="N30" s="12">
        <v>0</v>
      </c>
      <c r="O30" s="12">
        <v>5160.6499999999996</v>
      </c>
      <c r="P30" s="3" t="s">
        <v>7</v>
      </c>
      <c r="Q30" s="11">
        <v>5.4999999999999997E-3</v>
      </c>
      <c r="R30" s="11">
        <v>1.4E-3</v>
      </c>
      <c r="S30" s="3" t="s">
        <v>7</v>
      </c>
    </row>
    <row r="31" spans="1:19" x14ac:dyDescent="0.2">
      <c r="A31" s="13" t="s">
        <v>7</v>
      </c>
      <c r="B31" s="13" t="s">
        <v>145</v>
      </c>
      <c r="C31" s="13" t="s">
        <v>146</v>
      </c>
      <c r="D31" s="13" t="s">
        <v>147</v>
      </c>
      <c r="E31" s="13" t="s">
        <v>148</v>
      </c>
      <c r="F31" s="13" t="s">
        <v>129</v>
      </c>
      <c r="G31" s="13" t="s">
        <v>7</v>
      </c>
      <c r="H31" s="16">
        <v>0.17</v>
      </c>
      <c r="I31" s="13" t="s">
        <v>48</v>
      </c>
      <c r="J31" s="15">
        <v>0</v>
      </c>
      <c r="K31" s="15">
        <v>8.9999999999999998E-4</v>
      </c>
      <c r="L31" s="16">
        <v>1500000</v>
      </c>
      <c r="M31" s="16">
        <v>99.98</v>
      </c>
      <c r="N31" s="16">
        <v>0</v>
      </c>
      <c r="O31" s="16">
        <v>5160.6499999999996</v>
      </c>
      <c r="P31" s="15">
        <v>1E-4</v>
      </c>
      <c r="Q31" s="15">
        <v>5.4999999999999997E-3</v>
      </c>
      <c r="R31" s="15">
        <v>1.4E-3</v>
      </c>
      <c r="S31" s="14">
        <v>71959266</v>
      </c>
    </row>
    <row r="32" spans="1:19" x14ac:dyDescent="0.2">
      <c r="A32" s="8" t="s">
        <v>7</v>
      </c>
      <c r="B32" s="8" t="s">
        <v>104</v>
      </c>
      <c r="C32" s="8" t="s">
        <v>7</v>
      </c>
      <c r="D32" s="8" t="s">
        <v>7</v>
      </c>
      <c r="E32" s="8" t="s">
        <v>7</v>
      </c>
      <c r="F32" s="8" t="s">
        <v>7</v>
      </c>
      <c r="G32" s="8" t="s">
        <v>7</v>
      </c>
      <c r="H32" s="8" t="s">
        <v>7</v>
      </c>
      <c r="I32" s="8" t="s">
        <v>7</v>
      </c>
      <c r="J32" s="8" t="s">
        <v>7</v>
      </c>
      <c r="K32" s="8" t="s">
        <v>7</v>
      </c>
      <c r="L32" s="8" t="s">
        <v>7</v>
      </c>
      <c r="M32" s="8" t="s">
        <v>7</v>
      </c>
      <c r="N32" s="8" t="s">
        <v>7</v>
      </c>
      <c r="O32" s="8" t="s">
        <v>7</v>
      </c>
      <c r="P32" s="8" t="s">
        <v>7</v>
      </c>
      <c r="Q32" s="8" t="s">
        <v>7</v>
      </c>
      <c r="R32" s="8" t="s">
        <v>7</v>
      </c>
      <c r="S32" s="8" t="s">
        <v>7</v>
      </c>
    </row>
    <row r="33" spans="1:19" x14ac:dyDescent="0.2">
      <c r="A33" s="8" t="s">
        <v>7</v>
      </c>
      <c r="B33" s="8" t="s">
        <v>149</v>
      </c>
      <c r="C33" s="8" t="s">
        <v>7</v>
      </c>
      <c r="D33" s="8" t="s">
        <v>7</v>
      </c>
      <c r="E33" s="8" t="s">
        <v>7</v>
      </c>
      <c r="F33" s="8" t="s">
        <v>7</v>
      </c>
      <c r="G33" s="8" t="s">
        <v>7</v>
      </c>
      <c r="H33" s="8" t="s">
        <v>7</v>
      </c>
      <c r="I33" s="8" t="s">
        <v>7</v>
      </c>
      <c r="J33" s="8" t="s">
        <v>7</v>
      </c>
      <c r="K33" s="8" t="s">
        <v>7</v>
      </c>
      <c r="L33" s="8" t="s">
        <v>7</v>
      </c>
      <c r="M33" s="8" t="s">
        <v>7</v>
      </c>
      <c r="N33" s="8" t="s">
        <v>7</v>
      </c>
      <c r="O33" s="8" t="s">
        <v>7</v>
      </c>
      <c r="P33" s="8" t="s">
        <v>7</v>
      </c>
      <c r="Q33" s="8" t="s">
        <v>7</v>
      </c>
      <c r="R33" s="8" t="s">
        <v>7</v>
      </c>
      <c r="S33" s="8" t="s">
        <v>7</v>
      </c>
    </row>
    <row r="34" spans="1:19" x14ac:dyDescent="0.2">
      <c r="A34" s="7" t="s">
        <v>60</v>
      </c>
      <c r="B34" s="7" t="s">
        <v>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1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5" width="11" customWidth="1"/>
    <col min="6" max="6" width="12" customWidth="1"/>
    <col min="7" max="7" width="10" customWidth="1"/>
    <col min="8" max="8" width="7" customWidth="1"/>
    <col min="9" max="9" width="9" customWidth="1"/>
    <col min="10" max="10" width="13" customWidth="1"/>
    <col min="11" max="11" width="6" customWidth="1"/>
    <col min="12" max="12" width="10" customWidth="1"/>
    <col min="13" max="13" width="13" customWidth="1"/>
    <col min="14" max="14" width="15" customWidth="1"/>
    <col min="15" max="15" width="10" customWidth="1"/>
    <col min="16" max="16" width="8" customWidth="1"/>
    <col min="17" max="17" width="18" customWidth="1"/>
    <col min="18" max="18" width="10" customWidth="1"/>
    <col min="19" max="19" width="22" customWidth="1"/>
    <col min="20" max="20" width="24" customWidth="1"/>
    <col min="21" max="21" width="23" customWidth="1"/>
    <col min="22" max="22" width="2" customWidth="1"/>
  </cols>
  <sheetData>
    <row r="1" spans="1:22" x14ac:dyDescent="0.2">
      <c r="B1" s="7" t="s">
        <v>0</v>
      </c>
      <c r="C1" s="7" t="s">
        <v>1</v>
      </c>
    </row>
    <row r="2" spans="1:22" x14ac:dyDescent="0.2">
      <c r="B2" s="7" t="s">
        <v>2</v>
      </c>
      <c r="C2" s="7" t="s">
        <v>3</v>
      </c>
    </row>
    <row r="3" spans="1:22" x14ac:dyDescent="0.2">
      <c r="B3" s="7" t="s">
        <v>4</v>
      </c>
      <c r="C3" s="7" t="s">
        <v>5</v>
      </c>
    </row>
    <row r="4" spans="1:22" x14ac:dyDescent="0.2">
      <c r="B4" s="7" t="s">
        <v>6</v>
      </c>
      <c r="C4" s="7">
        <v>408</v>
      </c>
    </row>
    <row r="5" spans="1:22" x14ac:dyDescent="0.2">
      <c r="B5" s="7" t="s">
        <v>7</v>
      </c>
      <c r="C5" s="7" t="s">
        <v>7</v>
      </c>
    </row>
    <row r="6" spans="1:22" x14ac:dyDescent="0.2">
      <c r="A6" s="1" t="s">
        <v>7</v>
      </c>
      <c r="B6" s="1" t="s">
        <v>105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  <c r="S6" s="1" t="s">
        <v>7</v>
      </c>
      <c r="T6" s="1" t="s">
        <v>7</v>
      </c>
      <c r="U6" s="1" t="s">
        <v>7</v>
      </c>
      <c r="V6" s="1" t="s">
        <v>7</v>
      </c>
    </row>
    <row r="7" spans="1:22" x14ac:dyDescent="0.2">
      <c r="A7" s="1" t="s">
        <v>7</v>
      </c>
      <c r="B7" s="1" t="s">
        <v>150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  <c r="S7" s="1" t="s">
        <v>7</v>
      </c>
      <c r="T7" s="1" t="s">
        <v>7</v>
      </c>
      <c r="U7" s="1" t="s">
        <v>7</v>
      </c>
      <c r="V7" s="1" t="s">
        <v>7</v>
      </c>
    </row>
    <row r="8" spans="1:22" x14ac:dyDescent="0.2">
      <c r="A8" s="1" t="s">
        <v>7</v>
      </c>
      <c r="B8" s="1" t="s">
        <v>63</v>
      </c>
      <c r="C8" s="1" t="s">
        <v>64</v>
      </c>
      <c r="D8" s="1" t="s">
        <v>107</v>
      </c>
      <c r="E8" s="1" t="s">
        <v>151</v>
      </c>
      <c r="F8" s="1" t="s">
        <v>65</v>
      </c>
      <c r="G8" s="1" t="s">
        <v>152</v>
      </c>
      <c r="H8" s="1" t="s">
        <v>66</v>
      </c>
      <c r="I8" s="1" t="s">
        <v>67</v>
      </c>
      <c r="J8" s="1" t="s">
        <v>108</v>
      </c>
      <c r="K8" s="1" t="s">
        <v>109</v>
      </c>
      <c r="L8" s="1" t="s">
        <v>68</v>
      </c>
      <c r="M8" s="1" t="s">
        <v>69</v>
      </c>
      <c r="N8" s="1" t="s">
        <v>70</v>
      </c>
      <c r="O8" s="1" t="s">
        <v>110</v>
      </c>
      <c r="P8" s="1" t="s">
        <v>111</v>
      </c>
      <c r="Q8" s="1" t="s">
        <v>112</v>
      </c>
      <c r="R8" s="1" t="s">
        <v>71</v>
      </c>
      <c r="S8" s="1" t="s">
        <v>113</v>
      </c>
      <c r="T8" s="1" t="s">
        <v>72</v>
      </c>
      <c r="U8" s="1" t="s">
        <v>114</v>
      </c>
      <c r="V8" s="1" t="s">
        <v>7</v>
      </c>
    </row>
    <row r="9" spans="1:22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7</v>
      </c>
      <c r="J9" s="1" t="s">
        <v>7</v>
      </c>
      <c r="K9" s="1" t="s">
        <v>115</v>
      </c>
      <c r="L9" s="1" t="s">
        <v>7</v>
      </c>
      <c r="M9" s="1" t="s">
        <v>12</v>
      </c>
      <c r="N9" s="1" t="s">
        <v>12</v>
      </c>
      <c r="O9" s="1" t="s">
        <v>116</v>
      </c>
      <c r="P9" s="1" t="s">
        <v>117</v>
      </c>
      <c r="Q9" s="1" t="s">
        <v>11</v>
      </c>
      <c r="R9" s="1" t="s">
        <v>11</v>
      </c>
      <c r="S9" s="1" t="s">
        <v>12</v>
      </c>
      <c r="T9" s="1" t="s">
        <v>12</v>
      </c>
      <c r="U9" s="1" t="s">
        <v>12</v>
      </c>
      <c r="V9" s="1" t="s">
        <v>7</v>
      </c>
    </row>
    <row r="10" spans="1:22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74</v>
      </c>
      <c r="F10" s="1" t="s">
        <v>75</v>
      </c>
      <c r="G10" s="1" t="s">
        <v>76</v>
      </c>
      <c r="H10" s="1" t="s">
        <v>77</v>
      </c>
      <c r="I10" s="1" t="s">
        <v>78</v>
      </c>
      <c r="J10" s="1" t="s">
        <v>79</v>
      </c>
      <c r="K10" s="1" t="s">
        <v>80</v>
      </c>
      <c r="L10" s="1" t="s">
        <v>81</v>
      </c>
      <c r="M10" s="1" t="s">
        <v>118</v>
      </c>
      <c r="N10" s="1" t="s">
        <v>119</v>
      </c>
      <c r="O10" s="1" t="s">
        <v>120</v>
      </c>
      <c r="P10" s="1" t="s">
        <v>121</v>
      </c>
      <c r="Q10" s="1" t="s">
        <v>122</v>
      </c>
      <c r="R10" s="1" t="s">
        <v>123</v>
      </c>
      <c r="S10" s="1" t="s">
        <v>153</v>
      </c>
      <c r="T10" s="1" t="s">
        <v>154</v>
      </c>
      <c r="U10" s="1" t="s">
        <v>155</v>
      </c>
      <c r="V10" s="1" t="s">
        <v>7</v>
      </c>
    </row>
    <row r="11" spans="1:22" x14ac:dyDescent="0.2">
      <c r="A11" s="8" t="s">
        <v>7</v>
      </c>
      <c r="B11" s="8" t="s">
        <v>156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8" t="s">
        <v>7</v>
      </c>
      <c r="I11" s="8" t="s">
        <v>7</v>
      </c>
      <c r="J11" s="8" t="s">
        <v>7</v>
      </c>
      <c r="K11" s="10">
        <v>0</v>
      </c>
      <c r="L11" s="8" t="s">
        <v>7</v>
      </c>
      <c r="M11" s="9">
        <v>0</v>
      </c>
      <c r="N11" s="9">
        <v>0</v>
      </c>
      <c r="O11" s="10">
        <v>0</v>
      </c>
      <c r="P11" s="8" t="s">
        <v>7</v>
      </c>
      <c r="Q11" s="10">
        <v>0</v>
      </c>
      <c r="R11" s="10">
        <v>0</v>
      </c>
      <c r="S11" s="8" t="s">
        <v>7</v>
      </c>
      <c r="T11" s="9">
        <v>0</v>
      </c>
      <c r="U11" s="9">
        <v>0</v>
      </c>
      <c r="V11" s="8" t="s">
        <v>7</v>
      </c>
    </row>
    <row r="12" spans="1:22" x14ac:dyDescent="0.2">
      <c r="A12" s="3" t="s">
        <v>7</v>
      </c>
      <c r="B12" s="3" t="s">
        <v>83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3" t="s">
        <v>7</v>
      </c>
      <c r="J12" s="3" t="s">
        <v>7</v>
      </c>
      <c r="K12" s="12">
        <v>0</v>
      </c>
      <c r="L12" s="3" t="s">
        <v>7</v>
      </c>
      <c r="M12" s="11">
        <v>0</v>
      </c>
      <c r="N12" s="11">
        <v>0</v>
      </c>
      <c r="O12" s="12">
        <v>0</v>
      </c>
      <c r="P12" s="3" t="s">
        <v>7</v>
      </c>
      <c r="Q12" s="12">
        <v>0</v>
      </c>
      <c r="R12" s="12">
        <v>0</v>
      </c>
      <c r="S12" s="3" t="s">
        <v>7</v>
      </c>
      <c r="T12" s="11">
        <v>0</v>
      </c>
      <c r="U12" s="11">
        <v>0</v>
      </c>
      <c r="V12" s="3" t="s">
        <v>7</v>
      </c>
    </row>
    <row r="13" spans="1:22" x14ac:dyDescent="0.2">
      <c r="A13" s="3" t="s">
        <v>7</v>
      </c>
      <c r="B13" s="3" t="s">
        <v>157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3" t="s">
        <v>7</v>
      </c>
      <c r="J13" s="3" t="s">
        <v>7</v>
      </c>
      <c r="K13" s="12">
        <v>0</v>
      </c>
      <c r="L13" s="3" t="s">
        <v>7</v>
      </c>
      <c r="M13" s="11">
        <v>0</v>
      </c>
      <c r="N13" s="11">
        <v>0</v>
      </c>
      <c r="O13" s="12">
        <v>0</v>
      </c>
      <c r="P13" s="3" t="s">
        <v>7</v>
      </c>
      <c r="Q13" s="12">
        <v>0</v>
      </c>
      <c r="R13" s="12">
        <v>0</v>
      </c>
      <c r="S13" s="3" t="s">
        <v>7</v>
      </c>
      <c r="T13" s="11">
        <v>0</v>
      </c>
      <c r="U13" s="11">
        <v>0</v>
      </c>
      <c r="V13" s="3" t="s">
        <v>7</v>
      </c>
    </row>
    <row r="14" spans="1:22" x14ac:dyDescent="0.2">
      <c r="A14" s="3" t="s">
        <v>7</v>
      </c>
      <c r="B14" s="3" t="s">
        <v>134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3" t="s">
        <v>7</v>
      </c>
      <c r="I14" s="3" t="s">
        <v>7</v>
      </c>
      <c r="J14" s="3" t="s">
        <v>7</v>
      </c>
      <c r="K14" s="12">
        <v>0</v>
      </c>
      <c r="L14" s="3" t="s">
        <v>7</v>
      </c>
      <c r="M14" s="11">
        <v>0</v>
      </c>
      <c r="N14" s="11">
        <v>0</v>
      </c>
      <c r="O14" s="12">
        <v>0</v>
      </c>
      <c r="P14" s="3" t="s">
        <v>7</v>
      </c>
      <c r="Q14" s="12">
        <v>0</v>
      </c>
      <c r="R14" s="12">
        <v>0</v>
      </c>
      <c r="S14" s="3" t="s">
        <v>7</v>
      </c>
      <c r="T14" s="11">
        <v>0</v>
      </c>
      <c r="U14" s="11">
        <v>0</v>
      </c>
      <c r="V14" s="3" t="s">
        <v>7</v>
      </c>
    </row>
    <row r="15" spans="1:22" x14ac:dyDescent="0.2">
      <c r="A15" s="3" t="s">
        <v>7</v>
      </c>
      <c r="B15" s="3" t="s">
        <v>158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3" t="s">
        <v>7</v>
      </c>
      <c r="I15" s="3" t="s">
        <v>7</v>
      </c>
      <c r="J15" s="3" t="s">
        <v>7</v>
      </c>
      <c r="K15" s="12">
        <v>0</v>
      </c>
      <c r="L15" s="3" t="s">
        <v>7</v>
      </c>
      <c r="M15" s="11">
        <v>0</v>
      </c>
      <c r="N15" s="11">
        <v>0</v>
      </c>
      <c r="O15" s="12">
        <v>0</v>
      </c>
      <c r="P15" s="3" t="s">
        <v>7</v>
      </c>
      <c r="Q15" s="12">
        <v>0</v>
      </c>
      <c r="R15" s="12">
        <v>0</v>
      </c>
      <c r="S15" s="3" t="s">
        <v>7</v>
      </c>
      <c r="T15" s="11">
        <v>0</v>
      </c>
      <c r="U15" s="11">
        <v>0</v>
      </c>
      <c r="V15" s="3" t="s">
        <v>7</v>
      </c>
    </row>
    <row r="16" spans="1:22" x14ac:dyDescent="0.2">
      <c r="A16" s="3" t="s">
        <v>7</v>
      </c>
      <c r="B16" s="3" t="s">
        <v>159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3" t="s">
        <v>7</v>
      </c>
      <c r="I16" s="3" t="s">
        <v>7</v>
      </c>
      <c r="J16" s="3" t="s">
        <v>7</v>
      </c>
      <c r="K16" s="12">
        <v>0</v>
      </c>
      <c r="L16" s="3" t="s">
        <v>7</v>
      </c>
      <c r="M16" s="11">
        <v>0</v>
      </c>
      <c r="N16" s="11">
        <v>0</v>
      </c>
      <c r="O16" s="12">
        <v>0</v>
      </c>
      <c r="P16" s="3" t="s">
        <v>7</v>
      </c>
      <c r="Q16" s="12">
        <v>0</v>
      </c>
      <c r="R16" s="12">
        <v>0</v>
      </c>
      <c r="S16" s="3" t="s">
        <v>7</v>
      </c>
      <c r="T16" s="11">
        <v>0</v>
      </c>
      <c r="U16" s="11">
        <v>0</v>
      </c>
      <c r="V16" s="3" t="s">
        <v>7</v>
      </c>
    </row>
    <row r="17" spans="1:22" x14ac:dyDescent="0.2">
      <c r="A17" s="3" t="s">
        <v>7</v>
      </c>
      <c r="B17" s="3" t="s">
        <v>160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3" t="s">
        <v>7</v>
      </c>
      <c r="J17" s="3" t="s">
        <v>7</v>
      </c>
      <c r="K17" s="12">
        <v>0</v>
      </c>
      <c r="L17" s="3" t="s">
        <v>7</v>
      </c>
      <c r="M17" s="11">
        <v>0</v>
      </c>
      <c r="N17" s="11">
        <v>0</v>
      </c>
      <c r="O17" s="12">
        <v>0</v>
      </c>
      <c r="P17" s="3" t="s">
        <v>7</v>
      </c>
      <c r="Q17" s="12">
        <v>0</v>
      </c>
      <c r="R17" s="12">
        <v>0</v>
      </c>
      <c r="S17" s="3" t="s">
        <v>7</v>
      </c>
      <c r="T17" s="11">
        <v>0</v>
      </c>
      <c r="U17" s="11">
        <v>0</v>
      </c>
      <c r="V17" s="3" t="s">
        <v>7</v>
      </c>
    </row>
    <row r="18" spans="1:22" x14ac:dyDescent="0.2">
      <c r="A18" s="3" t="s">
        <v>7</v>
      </c>
      <c r="B18" s="3" t="s">
        <v>161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3" t="s">
        <v>7</v>
      </c>
      <c r="J18" s="3" t="s">
        <v>7</v>
      </c>
      <c r="K18" s="12">
        <v>0</v>
      </c>
      <c r="L18" s="3" t="s">
        <v>7</v>
      </c>
      <c r="M18" s="11">
        <v>0</v>
      </c>
      <c r="N18" s="11">
        <v>0</v>
      </c>
      <c r="O18" s="12">
        <v>0</v>
      </c>
      <c r="P18" s="3" t="s">
        <v>7</v>
      </c>
      <c r="Q18" s="12">
        <v>0</v>
      </c>
      <c r="R18" s="12">
        <v>0</v>
      </c>
      <c r="S18" s="3" t="s">
        <v>7</v>
      </c>
      <c r="T18" s="11">
        <v>0</v>
      </c>
      <c r="U18" s="11">
        <v>0</v>
      </c>
      <c r="V18" s="3" t="s">
        <v>7</v>
      </c>
    </row>
    <row r="19" spans="1:22" x14ac:dyDescent="0.2">
      <c r="A19" s="8" t="s">
        <v>7</v>
      </c>
      <c r="B19" s="8" t="s">
        <v>104</v>
      </c>
      <c r="C19" s="8" t="s">
        <v>7</v>
      </c>
      <c r="D19" s="8" t="s">
        <v>7</v>
      </c>
      <c r="E19" s="8" t="s">
        <v>7</v>
      </c>
      <c r="F19" s="8" t="s">
        <v>7</v>
      </c>
      <c r="G19" s="8" t="s">
        <v>7</v>
      </c>
      <c r="H19" s="8" t="s">
        <v>7</v>
      </c>
      <c r="I19" s="8" t="s">
        <v>7</v>
      </c>
      <c r="J19" s="8" t="s">
        <v>7</v>
      </c>
      <c r="K19" s="8" t="s">
        <v>7</v>
      </c>
      <c r="L19" s="8" t="s">
        <v>7</v>
      </c>
      <c r="M19" s="8" t="s">
        <v>7</v>
      </c>
      <c r="N19" s="8" t="s">
        <v>7</v>
      </c>
      <c r="O19" s="8" t="s">
        <v>7</v>
      </c>
      <c r="P19" s="8" t="s">
        <v>7</v>
      </c>
      <c r="Q19" s="8" t="s">
        <v>7</v>
      </c>
      <c r="R19" s="8" t="s">
        <v>7</v>
      </c>
      <c r="S19" s="8" t="s">
        <v>7</v>
      </c>
      <c r="T19" s="8" t="s">
        <v>7</v>
      </c>
      <c r="U19" s="8" t="s">
        <v>7</v>
      </c>
      <c r="V19" s="8" t="s">
        <v>7</v>
      </c>
    </row>
    <row r="20" spans="1:22" x14ac:dyDescent="0.2">
      <c r="A20" s="8" t="s">
        <v>7</v>
      </c>
      <c r="B20" s="8" t="s">
        <v>149</v>
      </c>
      <c r="C20" s="8" t="s">
        <v>7</v>
      </c>
      <c r="D20" s="8" t="s">
        <v>7</v>
      </c>
      <c r="E20" s="8" t="s">
        <v>7</v>
      </c>
      <c r="F20" s="8" t="s">
        <v>7</v>
      </c>
      <c r="G20" s="8" t="s">
        <v>7</v>
      </c>
      <c r="H20" s="8" t="s">
        <v>7</v>
      </c>
      <c r="I20" s="8" t="s">
        <v>7</v>
      </c>
      <c r="J20" s="8" t="s">
        <v>7</v>
      </c>
      <c r="K20" s="8" t="s">
        <v>7</v>
      </c>
      <c r="L20" s="8" t="s">
        <v>7</v>
      </c>
      <c r="M20" s="8" t="s">
        <v>7</v>
      </c>
      <c r="N20" s="8" t="s">
        <v>7</v>
      </c>
      <c r="O20" s="8" t="s">
        <v>7</v>
      </c>
      <c r="P20" s="8" t="s">
        <v>7</v>
      </c>
      <c r="Q20" s="8" t="s">
        <v>7</v>
      </c>
      <c r="R20" s="8" t="s">
        <v>7</v>
      </c>
      <c r="S20" s="8" t="s">
        <v>7</v>
      </c>
      <c r="T20" s="8" t="s">
        <v>7</v>
      </c>
      <c r="U20" s="8" t="s">
        <v>7</v>
      </c>
      <c r="V20" s="8" t="s">
        <v>7</v>
      </c>
    </row>
    <row r="21" spans="1:22" x14ac:dyDescent="0.2">
      <c r="A21" s="7" t="s">
        <v>60</v>
      </c>
      <c r="B21" s="7" t="s">
        <v>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38"/>
  <sheetViews>
    <sheetView rightToLeft="1" topLeftCell="J1" workbookViewId="0">
      <selection activeCell="R11" sqref="R11"/>
    </sheetView>
  </sheetViews>
  <sheetFormatPr defaultRowHeight="14.25" x14ac:dyDescent="0.2"/>
  <cols>
    <col min="1" max="1" width="2" customWidth="1"/>
    <col min="2" max="2" width="34" customWidth="1"/>
    <col min="3" max="3" width="15" customWidth="1"/>
    <col min="4" max="5" width="11" customWidth="1"/>
    <col min="6" max="6" width="12" customWidth="1"/>
    <col min="7" max="7" width="24" customWidth="1"/>
    <col min="8" max="8" width="9" customWidth="1"/>
    <col min="9" max="9" width="11" customWidth="1"/>
    <col min="10" max="10" width="13" customWidth="1"/>
    <col min="11" max="11" width="6" customWidth="1"/>
    <col min="12" max="12" width="14" customWidth="1"/>
    <col min="13" max="13" width="13" customWidth="1"/>
    <col min="14" max="14" width="15" customWidth="1"/>
    <col min="15" max="15" width="16" customWidth="1"/>
    <col min="16" max="16" width="8" customWidth="1"/>
    <col min="17" max="17" width="18" customWidth="1"/>
    <col min="18" max="18" width="12" customWidth="1"/>
    <col min="19" max="19" width="22" customWidth="1"/>
    <col min="20" max="20" width="24" customWidth="1"/>
    <col min="21" max="21" width="23" customWidth="1"/>
    <col min="22" max="22" width="11" customWidth="1"/>
  </cols>
  <sheetData>
    <row r="1" spans="1:22" x14ac:dyDescent="0.2">
      <c r="B1" s="7" t="s">
        <v>0</v>
      </c>
      <c r="C1" s="7" t="s">
        <v>1</v>
      </c>
    </row>
    <row r="2" spans="1:22" x14ac:dyDescent="0.2">
      <c r="B2" s="7" t="s">
        <v>2</v>
      </c>
      <c r="C2" s="7" t="s">
        <v>3</v>
      </c>
    </row>
    <row r="3" spans="1:22" x14ac:dyDescent="0.2">
      <c r="B3" s="7" t="s">
        <v>4</v>
      </c>
      <c r="C3" s="7" t="s">
        <v>5</v>
      </c>
    </row>
    <row r="4" spans="1:22" x14ac:dyDescent="0.2">
      <c r="B4" s="7" t="s">
        <v>6</v>
      </c>
      <c r="C4" s="7">
        <v>408</v>
      </c>
    </row>
    <row r="5" spans="1:22" x14ac:dyDescent="0.2">
      <c r="B5" s="7" t="s">
        <v>7</v>
      </c>
      <c r="C5" s="7" t="s">
        <v>7</v>
      </c>
    </row>
    <row r="6" spans="1:22" x14ac:dyDescent="0.2">
      <c r="A6" s="1" t="s">
        <v>7</v>
      </c>
      <c r="B6" s="1" t="s">
        <v>105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  <c r="S6" s="1" t="s">
        <v>7</v>
      </c>
      <c r="T6" s="1" t="s">
        <v>7</v>
      </c>
      <c r="U6" s="1" t="s">
        <v>7</v>
      </c>
      <c r="V6" s="1" t="s">
        <v>7</v>
      </c>
    </row>
    <row r="7" spans="1:22" x14ac:dyDescent="0.2">
      <c r="A7" s="1" t="s">
        <v>7</v>
      </c>
      <c r="B7" s="1" t="s">
        <v>162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  <c r="S7" s="1" t="s">
        <v>7</v>
      </c>
      <c r="T7" s="1" t="s">
        <v>7</v>
      </c>
      <c r="U7" s="1" t="s">
        <v>7</v>
      </c>
      <c r="V7" s="1" t="s">
        <v>7</v>
      </c>
    </row>
    <row r="8" spans="1:22" x14ac:dyDescent="0.2">
      <c r="A8" s="1" t="s">
        <v>7</v>
      </c>
      <c r="B8" s="1" t="s">
        <v>63</v>
      </c>
      <c r="C8" s="1" t="s">
        <v>64</v>
      </c>
      <c r="D8" s="1" t="s">
        <v>107</v>
      </c>
      <c r="E8" s="1" t="s">
        <v>151</v>
      </c>
      <c r="F8" s="1" t="s">
        <v>65</v>
      </c>
      <c r="G8" s="1" t="s">
        <v>152</v>
      </c>
      <c r="H8" s="1" t="s">
        <v>66</v>
      </c>
      <c r="I8" s="1" t="s">
        <v>67</v>
      </c>
      <c r="J8" s="1" t="s">
        <v>108</v>
      </c>
      <c r="K8" s="1" t="s">
        <v>109</v>
      </c>
      <c r="L8" s="1" t="s">
        <v>68</v>
      </c>
      <c r="M8" s="1" t="s">
        <v>69</v>
      </c>
      <c r="N8" s="1" t="s">
        <v>70</v>
      </c>
      <c r="O8" s="1" t="s">
        <v>110</v>
      </c>
      <c r="P8" s="1" t="s">
        <v>111</v>
      </c>
      <c r="Q8" s="1" t="s">
        <v>112</v>
      </c>
      <c r="R8" s="1" t="s">
        <v>71</v>
      </c>
      <c r="S8" s="1" t="s">
        <v>113</v>
      </c>
      <c r="T8" s="1" t="s">
        <v>72</v>
      </c>
      <c r="U8" s="1" t="s">
        <v>114</v>
      </c>
      <c r="V8" s="1" t="s">
        <v>7</v>
      </c>
    </row>
    <row r="9" spans="1:22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7</v>
      </c>
      <c r="J9" s="1" t="s">
        <v>163</v>
      </c>
      <c r="K9" s="1" t="s">
        <v>115</v>
      </c>
      <c r="L9" s="1" t="s">
        <v>7</v>
      </c>
      <c r="M9" s="1" t="s">
        <v>12</v>
      </c>
      <c r="N9" s="1" t="s">
        <v>12</v>
      </c>
      <c r="O9" s="1" t="s">
        <v>164</v>
      </c>
      <c r="P9" s="1" t="s">
        <v>7</v>
      </c>
      <c r="Q9" s="1" t="s">
        <v>11</v>
      </c>
      <c r="R9" s="1" t="s">
        <v>11</v>
      </c>
      <c r="S9" s="1" t="s">
        <v>12</v>
      </c>
      <c r="T9" s="1" t="s">
        <v>12</v>
      </c>
      <c r="U9" s="1" t="s">
        <v>12</v>
      </c>
      <c r="V9" s="1" t="s">
        <v>7</v>
      </c>
    </row>
    <row r="10" spans="1:22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74</v>
      </c>
      <c r="F10" s="1" t="s">
        <v>75</v>
      </c>
      <c r="G10" s="1" t="s">
        <v>76</v>
      </c>
      <c r="H10" s="1" t="s">
        <v>77</v>
      </c>
      <c r="I10" s="1" t="s">
        <v>78</v>
      </c>
      <c r="J10" s="1" t="s">
        <v>79</v>
      </c>
      <c r="K10" s="1" t="s">
        <v>80</v>
      </c>
      <c r="L10" s="1" t="s">
        <v>81</v>
      </c>
      <c r="M10" s="1" t="s">
        <v>118</v>
      </c>
      <c r="N10" s="1" t="s">
        <v>119</v>
      </c>
      <c r="O10" s="1" t="s">
        <v>120</v>
      </c>
      <c r="P10" s="1" t="s">
        <v>121</v>
      </c>
      <c r="Q10" s="1" t="s">
        <v>122</v>
      </c>
      <c r="R10" s="1" t="s">
        <v>123</v>
      </c>
      <c r="S10" s="1" t="s">
        <v>153</v>
      </c>
      <c r="T10" s="1" t="s">
        <v>154</v>
      </c>
      <c r="U10" s="1" t="s">
        <v>155</v>
      </c>
      <c r="V10" s="1" t="s">
        <v>7</v>
      </c>
    </row>
    <row r="11" spans="1:22" x14ac:dyDescent="0.2">
      <c r="A11" s="8" t="s">
        <v>7</v>
      </c>
      <c r="B11" s="8" t="s">
        <v>165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8" t="s">
        <v>7</v>
      </c>
      <c r="I11" s="8" t="s">
        <v>7</v>
      </c>
      <c r="J11" s="8" t="s">
        <v>7</v>
      </c>
      <c r="K11" s="10">
        <v>3.32</v>
      </c>
      <c r="L11" s="8" t="s">
        <v>7</v>
      </c>
      <c r="M11" s="9">
        <v>3.4700000000000002E-2</v>
      </c>
      <c r="N11" s="9">
        <v>4.9099999999999998E-2</v>
      </c>
      <c r="O11" s="10">
        <v>179201598.53</v>
      </c>
      <c r="P11" s="8" t="s">
        <v>7</v>
      </c>
      <c r="Q11" s="10">
        <v>946.16</v>
      </c>
      <c r="R11" s="10">
        <v>177037.8</v>
      </c>
      <c r="S11" s="8" t="s">
        <v>7</v>
      </c>
      <c r="T11" s="9">
        <v>1</v>
      </c>
      <c r="U11" s="9">
        <v>4.99E-2</v>
      </c>
      <c r="V11" s="8" t="s">
        <v>7</v>
      </c>
    </row>
    <row r="12" spans="1:22" x14ac:dyDescent="0.2">
      <c r="A12" s="3" t="s">
        <v>7</v>
      </c>
      <c r="B12" s="3" t="s">
        <v>83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3" t="s">
        <v>7</v>
      </c>
      <c r="J12" s="3" t="s">
        <v>7</v>
      </c>
      <c r="K12" s="12">
        <v>3.32</v>
      </c>
      <c r="L12" s="3" t="s">
        <v>7</v>
      </c>
      <c r="M12" s="11">
        <v>3.4700000000000002E-2</v>
      </c>
      <c r="N12" s="11">
        <v>4.9099999999999998E-2</v>
      </c>
      <c r="O12" s="12">
        <v>179201043.53</v>
      </c>
      <c r="P12" s="3" t="s">
        <v>7</v>
      </c>
      <c r="Q12" s="12">
        <v>946.16</v>
      </c>
      <c r="R12" s="12">
        <v>177035.84</v>
      </c>
      <c r="S12" s="3" t="s">
        <v>7</v>
      </c>
      <c r="T12" s="11">
        <v>1</v>
      </c>
      <c r="U12" s="11">
        <v>4.99E-2</v>
      </c>
      <c r="V12" s="3" t="s">
        <v>7</v>
      </c>
    </row>
    <row r="13" spans="1:22" x14ac:dyDescent="0.2">
      <c r="A13" s="3" t="s">
        <v>7</v>
      </c>
      <c r="B13" s="3" t="s">
        <v>157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3" t="s">
        <v>7</v>
      </c>
      <c r="J13" s="3" t="s">
        <v>7</v>
      </c>
      <c r="K13" s="12">
        <v>3.12</v>
      </c>
      <c r="L13" s="3" t="s">
        <v>7</v>
      </c>
      <c r="M13" s="11">
        <v>3.0700000000000002E-2</v>
      </c>
      <c r="N13" s="11">
        <v>1.84E-2</v>
      </c>
      <c r="O13" s="12">
        <v>95838237.280000001</v>
      </c>
      <c r="P13" s="3" t="s">
        <v>7</v>
      </c>
      <c r="Q13" s="12">
        <v>837.09</v>
      </c>
      <c r="R13" s="12">
        <v>102810</v>
      </c>
      <c r="S13" s="3" t="s">
        <v>7</v>
      </c>
      <c r="T13" s="11">
        <v>0.58079999999999998</v>
      </c>
      <c r="U13" s="11">
        <v>2.9000000000000001E-2</v>
      </c>
      <c r="V13" s="3" t="s">
        <v>7</v>
      </c>
    </row>
    <row r="14" spans="1:22" x14ac:dyDescent="0.2">
      <c r="A14" s="13" t="s">
        <v>7</v>
      </c>
      <c r="B14" s="13" t="s">
        <v>166</v>
      </c>
      <c r="C14" s="14">
        <v>1095066</v>
      </c>
      <c r="D14" s="13" t="s">
        <v>127</v>
      </c>
      <c r="E14" s="13" t="s">
        <v>7</v>
      </c>
      <c r="F14" s="14">
        <v>513704304</v>
      </c>
      <c r="G14" s="13" t="s">
        <v>167</v>
      </c>
      <c r="H14" s="13" t="s">
        <v>168</v>
      </c>
      <c r="I14" s="13" t="s">
        <v>87</v>
      </c>
      <c r="J14" s="13" t="s">
        <v>7</v>
      </c>
      <c r="K14" s="16">
        <v>0.19</v>
      </c>
      <c r="L14" s="13" t="s">
        <v>88</v>
      </c>
      <c r="M14" s="15">
        <v>4.65E-2</v>
      </c>
      <c r="N14" s="15">
        <v>1.41E-2</v>
      </c>
      <c r="O14" s="16">
        <v>599805.06000000006</v>
      </c>
      <c r="P14" s="16">
        <v>125.61</v>
      </c>
      <c r="Q14" s="16">
        <v>0</v>
      </c>
      <c r="R14" s="16">
        <v>753.41</v>
      </c>
      <c r="S14" s="15">
        <v>3.0000000000000001E-3</v>
      </c>
      <c r="T14" s="15">
        <v>4.3E-3</v>
      </c>
      <c r="U14" s="15">
        <v>2.0000000000000001E-4</v>
      </c>
      <c r="V14" s="13" t="s">
        <v>7</v>
      </c>
    </row>
    <row r="15" spans="1:22" x14ac:dyDescent="0.2">
      <c r="A15" s="13" t="s">
        <v>7</v>
      </c>
      <c r="B15" s="13" t="s">
        <v>169</v>
      </c>
      <c r="C15" s="14">
        <v>6040505</v>
      </c>
      <c r="D15" s="13" t="s">
        <v>127</v>
      </c>
      <c r="E15" s="13" t="s">
        <v>7</v>
      </c>
      <c r="F15" s="14">
        <v>520018078</v>
      </c>
      <c r="G15" s="13" t="s">
        <v>167</v>
      </c>
      <c r="H15" s="13" t="s">
        <v>170</v>
      </c>
      <c r="I15" s="13" t="s">
        <v>171</v>
      </c>
      <c r="J15" s="13" t="s">
        <v>7</v>
      </c>
      <c r="K15" s="16">
        <v>2.9</v>
      </c>
      <c r="L15" s="13" t="s">
        <v>88</v>
      </c>
      <c r="M15" s="15">
        <v>0.01</v>
      </c>
      <c r="N15" s="15">
        <v>3.5000000000000001E-3</v>
      </c>
      <c r="O15" s="16">
        <v>60</v>
      </c>
      <c r="P15" s="16">
        <v>101.76</v>
      </c>
      <c r="Q15" s="16">
        <v>0</v>
      </c>
      <c r="R15" s="16">
        <v>0.06</v>
      </c>
      <c r="S15" s="15">
        <v>0</v>
      </c>
      <c r="T15" s="15">
        <v>0</v>
      </c>
      <c r="U15" s="15">
        <v>0</v>
      </c>
      <c r="V15" s="13" t="s">
        <v>7</v>
      </c>
    </row>
    <row r="16" spans="1:22" x14ac:dyDescent="0.2">
      <c r="A16" s="13" t="s">
        <v>7</v>
      </c>
      <c r="B16" s="13" t="s">
        <v>172</v>
      </c>
      <c r="C16" s="14">
        <v>6040372</v>
      </c>
      <c r="D16" s="13" t="s">
        <v>127</v>
      </c>
      <c r="E16" s="13" t="s">
        <v>7</v>
      </c>
      <c r="F16" s="14">
        <v>520018078</v>
      </c>
      <c r="G16" s="13" t="s">
        <v>167</v>
      </c>
      <c r="H16" s="13" t="s">
        <v>168</v>
      </c>
      <c r="I16" s="13" t="s">
        <v>87</v>
      </c>
      <c r="J16" s="13" t="s">
        <v>7</v>
      </c>
      <c r="K16" s="16">
        <v>4.67</v>
      </c>
      <c r="L16" s="13" t="s">
        <v>88</v>
      </c>
      <c r="M16" s="15">
        <v>8.3000000000000001E-3</v>
      </c>
      <c r="N16" s="15">
        <v>1E-3</v>
      </c>
      <c r="O16" s="16">
        <v>194001</v>
      </c>
      <c r="P16" s="16">
        <v>103.67</v>
      </c>
      <c r="Q16" s="16">
        <v>0</v>
      </c>
      <c r="R16" s="16">
        <v>201.12</v>
      </c>
      <c r="S16" s="15">
        <v>1E-4</v>
      </c>
      <c r="T16" s="15">
        <v>1.1000000000000001E-3</v>
      </c>
      <c r="U16" s="15">
        <v>1E-4</v>
      </c>
      <c r="V16" s="13" t="s">
        <v>7</v>
      </c>
    </row>
    <row r="17" spans="1:22" x14ac:dyDescent="0.2">
      <c r="A17" s="13" t="s">
        <v>7</v>
      </c>
      <c r="B17" s="13" t="s">
        <v>173</v>
      </c>
      <c r="C17" s="14">
        <v>2310142</v>
      </c>
      <c r="D17" s="13" t="s">
        <v>127</v>
      </c>
      <c r="E17" s="13" t="s">
        <v>7</v>
      </c>
      <c r="F17" s="14">
        <v>520032046</v>
      </c>
      <c r="G17" s="13" t="s">
        <v>167</v>
      </c>
      <c r="H17" s="13" t="s">
        <v>168</v>
      </c>
      <c r="I17" s="13" t="s">
        <v>87</v>
      </c>
      <c r="J17" s="13" t="s">
        <v>7</v>
      </c>
      <c r="K17" s="16">
        <v>0.95</v>
      </c>
      <c r="L17" s="13" t="s">
        <v>88</v>
      </c>
      <c r="M17" s="15">
        <v>4.1000000000000003E-3</v>
      </c>
      <c r="N17" s="15">
        <v>4.4000000000000003E-3</v>
      </c>
      <c r="O17" s="16">
        <v>428.7</v>
      </c>
      <c r="P17" s="16">
        <v>99.99</v>
      </c>
      <c r="Q17" s="16">
        <v>0</v>
      </c>
      <c r="R17" s="16">
        <v>0.43</v>
      </c>
      <c r="S17" s="15">
        <v>0</v>
      </c>
      <c r="T17" s="15">
        <v>0</v>
      </c>
      <c r="U17" s="15">
        <v>0</v>
      </c>
      <c r="V17" s="13" t="s">
        <v>7</v>
      </c>
    </row>
    <row r="18" spans="1:22" x14ac:dyDescent="0.2">
      <c r="A18" s="13" t="s">
        <v>7</v>
      </c>
      <c r="B18" s="13" t="s">
        <v>174</v>
      </c>
      <c r="C18" s="14">
        <v>2310324</v>
      </c>
      <c r="D18" s="13" t="s">
        <v>127</v>
      </c>
      <c r="E18" s="13" t="s">
        <v>7</v>
      </c>
      <c r="F18" s="14">
        <v>520032046</v>
      </c>
      <c r="G18" s="13" t="s">
        <v>167</v>
      </c>
      <c r="H18" s="13" t="s">
        <v>168</v>
      </c>
      <c r="I18" s="13" t="s">
        <v>87</v>
      </c>
      <c r="J18" s="13" t="s">
        <v>7</v>
      </c>
      <c r="K18" s="16">
        <v>3.07</v>
      </c>
      <c r="L18" s="13" t="s">
        <v>88</v>
      </c>
      <c r="M18" s="15">
        <v>1E-3</v>
      </c>
      <c r="N18" s="15">
        <v>4.3E-3</v>
      </c>
      <c r="O18" s="16">
        <v>1400000</v>
      </c>
      <c r="P18" s="16">
        <v>98.49</v>
      </c>
      <c r="Q18" s="16">
        <v>0</v>
      </c>
      <c r="R18" s="16">
        <v>1378.86</v>
      </c>
      <c r="S18" s="15">
        <v>5.0000000000000001E-4</v>
      </c>
      <c r="T18" s="15">
        <v>7.7999999999999996E-3</v>
      </c>
      <c r="U18" s="15">
        <v>4.0000000000000002E-4</v>
      </c>
      <c r="V18" s="13" t="s">
        <v>7</v>
      </c>
    </row>
    <row r="19" spans="1:22" x14ac:dyDescent="0.2">
      <c r="A19" s="13" t="s">
        <v>7</v>
      </c>
      <c r="B19" s="13" t="s">
        <v>175</v>
      </c>
      <c r="C19" s="14">
        <v>2310209</v>
      </c>
      <c r="D19" s="13" t="s">
        <v>127</v>
      </c>
      <c r="E19" s="13" t="s">
        <v>7</v>
      </c>
      <c r="F19" s="14">
        <v>520032046</v>
      </c>
      <c r="G19" s="13" t="s">
        <v>167</v>
      </c>
      <c r="H19" s="13" t="s">
        <v>168</v>
      </c>
      <c r="I19" s="13" t="s">
        <v>87</v>
      </c>
      <c r="J19" s="13" t="s">
        <v>7</v>
      </c>
      <c r="K19" s="16">
        <v>1.97</v>
      </c>
      <c r="L19" s="13" t="s">
        <v>88</v>
      </c>
      <c r="M19" s="15">
        <v>9.9000000000000008E-3</v>
      </c>
      <c r="N19" s="15">
        <v>7.7000000000000002E-3</v>
      </c>
      <c r="O19" s="16">
        <v>2497446</v>
      </c>
      <c r="P19" s="16">
        <v>101.35</v>
      </c>
      <c r="Q19" s="16">
        <v>0</v>
      </c>
      <c r="R19" s="16">
        <v>2531.16</v>
      </c>
      <c r="S19" s="15">
        <v>8.0000000000000004E-4</v>
      </c>
      <c r="T19" s="15">
        <v>1.43E-2</v>
      </c>
      <c r="U19" s="15">
        <v>6.9999999999999999E-4</v>
      </c>
      <c r="V19" s="13" t="s">
        <v>7</v>
      </c>
    </row>
    <row r="20" spans="1:22" x14ac:dyDescent="0.2">
      <c r="A20" s="13" t="s">
        <v>7</v>
      </c>
      <c r="B20" s="13" t="s">
        <v>176</v>
      </c>
      <c r="C20" s="14">
        <v>2310191</v>
      </c>
      <c r="D20" s="13" t="s">
        <v>127</v>
      </c>
      <c r="E20" s="13" t="s">
        <v>7</v>
      </c>
      <c r="F20" s="14">
        <v>520032046</v>
      </c>
      <c r="G20" s="13" t="s">
        <v>167</v>
      </c>
      <c r="H20" s="13" t="s">
        <v>168</v>
      </c>
      <c r="I20" s="13" t="s">
        <v>87</v>
      </c>
      <c r="J20" s="13" t="s">
        <v>7</v>
      </c>
      <c r="K20" s="16">
        <v>0.83</v>
      </c>
      <c r="L20" s="13" t="s">
        <v>88</v>
      </c>
      <c r="M20" s="15">
        <v>0.04</v>
      </c>
      <c r="N20" s="15">
        <v>1.35E-2</v>
      </c>
      <c r="O20" s="16">
        <v>275717</v>
      </c>
      <c r="P20" s="16">
        <v>104.4</v>
      </c>
      <c r="Q20" s="16">
        <v>0</v>
      </c>
      <c r="R20" s="16">
        <v>287.85000000000002</v>
      </c>
      <c r="S20" s="15">
        <v>1E-4</v>
      </c>
      <c r="T20" s="15">
        <v>1.6000000000000001E-3</v>
      </c>
      <c r="U20" s="15">
        <v>1E-4</v>
      </c>
      <c r="V20" s="13" t="s">
        <v>7</v>
      </c>
    </row>
    <row r="21" spans="1:22" x14ac:dyDescent="0.2">
      <c r="A21" s="13" t="s">
        <v>7</v>
      </c>
      <c r="B21" s="13" t="s">
        <v>177</v>
      </c>
      <c r="C21" s="14">
        <v>2310217</v>
      </c>
      <c r="D21" s="13" t="s">
        <v>127</v>
      </c>
      <c r="E21" s="13" t="s">
        <v>7</v>
      </c>
      <c r="F21" s="14">
        <v>520032046</v>
      </c>
      <c r="G21" s="13" t="s">
        <v>167</v>
      </c>
      <c r="H21" s="13" t="s">
        <v>168</v>
      </c>
      <c r="I21" s="13" t="s">
        <v>87</v>
      </c>
      <c r="J21" s="13" t="s">
        <v>7</v>
      </c>
      <c r="K21" s="16">
        <v>3.94</v>
      </c>
      <c r="L21" s="13" t="s">
        <v>88</v>
      </c>
      <c r="M21" s="15">
        <v>8.6E-3</v>
      </c>
      <c r="N21" s="15">
        <v>3.0999999999999999E-3</v>
      </c>
      <c r="O21" s="16">
        <v>3702944</v>
      </c>
      <c r="P21" s="16">
        <v>103.2</v>
      </c>
      <c r="Q21" s="16">
        <v>0</v>
      </c>
      <c r="R21" s="16">
        <v>3821.44</v>
      </c>
      <c r="S21" s="15">
        <v>1.5E-3</v>
      </c>
      <c r="T21" s="15">
        <v>2.1600000000000001E-2</v>
      </c>
      <c r="U21" s="15">
        <v>1.1000000000000001E-3</v>
      </c>
      <c r="V21" s="13" t="s">
        <v>7</v>
      </c>
    </row>
    <row r="22" spans="1:22" x14ac:dyDescent="0.2">
      <c r="A22" s="13" t="s">
        <v>7</v>
      </c>
      <c r="B22" s="13" t="s">
        <v>178</v>
      </c>
      <c r="C22" s="14">
        <v>2310225</v>
      </c>
      <c r="D22" s="13" t="s">
        <v>127</v>
      </c>
      <c r="E22" s="13" t="s">
        <v>7</v>
      </c>
      <c r="F22" s="14">
        <v>520032046</v>
      </c>
      <c r="G22" s="13" t="s">
        <v>167</v>
      </c>
      <c r="H22" s="13" t="s">
        <v>168</v>
      </c>
      <c r="I22" s="13" t="s">
        <v>87</v>
      </c>
      <c r="J22" s="13" t="s">
        <v>7</v>
      </c>
      <c r="K22" s="16">
        <v>6.76</v>
      </c>
      <c r="L22" s="13" t="s">
        <v>88</v>
      </c>
      <c r="M22" s="15">
        <v>1.2200000000000001E-2</v>
      </c>
      <c r="N22" s="15">
        <v>2E-3</v>
      </c>
      <c r="O22" s="16">
        <v>2842000</v>
      </c>
      <c r="P22" s="16">
        <v>108.16</v>
      </c>
      <c r="Q22" s="16">
        <v>0</v>
      </c>
      <c r="R22" s="16">
        <v>3073.91</v>
      </c>
      <c r="S22" s="15">
        <v>1.4E-3</v>
      </c>
      <c r="T22" s="15">
        <v>1.7399999999999999E-2</v>
      </c>
      <c r="U22" s="15">
        <v>8.9999999999999998E-4</v>
      </c>
      <c r="V22" s="13" t="s">
        <v>7</v>
      </c>
    </row>
    <row r="23" spans="1:22" x14ac:dyDescent="0.2">
      <c r="A23" s="13" t="s">
        <v>7</v>
      </c>
      <c r="B23" s="13" t="s">
        <v>179</v>
      </c>
      <c r="C23" s="14">
        <v>1940535</v>
      </c>
      <c r="D23" s="13" t="s">
        <v>127</v>
      </c>
      <c r="E23" s="13" t="s">
        <v>7</v>
      </c>
      <c r="F23" s="14">
        <v>520032640</v>
      </c>
      <c r="G23" s="13" t="s">
        <v>167</v>
      </c>
      <c r="H23" s="13" t="s">
        <v>168</v>
      </c>
      <c r="I23" s="13" t="s">
        <v>87</v>
      </c>
      <c r="J23" s="13" t="s">
        <v>7</v>
      </c>
      <c r="K23" s="16">
        <v>1.79</v>
      </c>
      <c r="L23" s="13" t="s">
        <v>88</v>
      </c>
      <c r="M23" s="15">
        <v>0.05</v>
      </c>
      <c r="N23" s="15">
        <v>8.2000000000000007E-3</v>
      </c>
      <c r="O23" s="16">
        <v>1433015</v>
      </c>
      <c r="P23" s="16">
        <v>111.95</v>
      </c>
      <c r="Q23" s="16">
        <v>0</v>
      </c>
      <c r="R23" s="16">
        <v>1604.26</v>
      </c>
      <c r="S23" s="15">
        <v>4.0000000000000002E-4</v>
      </c>
      <c r="T23" s="15">
        <v>9.1000000000000004E-3</v>
      </c>
      <c r="U23" s="15">
        <v>4.0000000000000002E-4</v>
      </c>
      <c r="V23" s="13" t="s">
        <v>7</v>
      </c>
    </row>
    <row r="24" spans="1:22" x14ac:dyDescent="0.2">
      <c r="A24" s="13" t="s">
        <v>7</v>
      </c>
      <c r="B24" s="13" t="s">
        <v>180</v>
      </c>
      <c r="C24" s="14">
        <v>1940576</v>
      </c>
      <c r="D24" s="13" t="s">
        <v>127</v>
      </c>
      <c r="E24" s="13" t="s">
        <v>7</v>
      </c>
      <c r="F24" s="14">
        <v>520032640</v>
      </c>
      <c r="G24" s="13" t="s">
        <v>167</v>
      </c>
      <c r="H24" s="13" t="s">
        <v>168</v>
      </c>
      <c r="I24" s="13" t="s">
        <v>87</v>
      </c>
      <c r="J24" s="13" t="s">
        <v>7</v>
      </c>
      <c r="K24" s="16">
        <v>1.47</v>
      </c>
      <c r="L24" s="13" t="s">
        <v>88</v>
      </c>
      <c r="M24" s="15">
        <v>7.0000000000000001E-3</v>
      </c>
      <c r="N24" s="15">
        <v>1.15E-2</v>
      </c>
      <c r="O24" s="16">
        <v>3000000</v>
      </c>
      <c r="P24" s="16">
        <v>101.32</v>
      </c>
      <c r="Q24" s="16">
        <v>0</v>
      </c>
      <c r="R24" s="16">
        <v>3039.6</v>
      </c>
      <c r="S24" s="15">
        <v>1.4E-3</v>
      </c>
      <c r="T24" s="15">
        <v>1.72E-2</v>
      </c>
      <c r="U24" s="15">
        <v>8.9999999999999998E-4</v>
      </c>
      <c r="V24" s="13" t="s">
        <v>7</v>
      </c>
    </row>
    <row r="25" spans="1:22" x14ac:dyDescent="0.2">
      <c r="A25" s="13" t="s">
        <v>7</v>
      </c>
      <c r="B25" s="13" t="s">
        <v>181</v>
      </c>
      <c r="C25" s="14">
        <v>1940618</v>
      </c>
      <c r="D25" s="13" t="s">
        <v>127</v>
      </c>
      <c r="E25" s="13" t="s">
        <v>7</v>
      </c>
      <c r="F25" s="14">
        <v>520032640</v>
      </c>
      <c r="G25" s="13" t="s">
        <v>167</v>
      </c>
      <c r="H25" s="13" t="s">
        <v>168</v>
      </c>
      <c r="I25" s="13" t="s">
        <v>87</v>
      </c>
      <c r="J25" s="13" t="s">
        <v>7</v>
      </c>
      <c r="K25" s="16">
        <v>4.03</v>
      </c>
      <c r="L25" s="13" t="s">
        <v>88</v>
      </c>
      <c r="M25" s="15">
        <v>6.0000000000000001E-3</v>
      </c>
      <c r="N25" s="15">
        <v>3.0999999999999999E-3</v>
      </c>
      <c r="O25" s="16">
        <v>1893953.11</v>
      </c>
      <c r="P25" s="16">
        <v>102.35</v>
      </c>
      <c r="Q25" s="16">
        <v>0</v>
      </c>
      <c r="R25" s="16">
        <v>1938.46</v>
      </c>
      <c r="S25" s="15">
        <v>1.1000000000000001E-3</v>
      </c>
      <c r="T25" s="15">
        <v>1.09E-2</v>
      </c>
      <c r="U25" s="15">
        <v>5.0000000000000001E-4</v>
      </c>
      <c r="V25" s="13" t="s">
        <v>7</v>
      </c>
    </row>
    <row r="26" spans="1:22" x14ac:dyDescent="0.2">
      <c r="A26" s="13" t="s">
        <v>7</v>
      </c>
      <c r="B26" s="13" t="s">
        <v>182</v>
      </c>
      <c r="C26" s="14">
        <v>1121953</v>
      </c>
      <c r="D26" s="13" t="s">
        <v>127</v>
      </c>
      <c r="E26" s="13" t="s">
        <v>7</v>
      </c>
      <c r="F26" s="14">
        <v>513141879</v>
      </c>
      <c r="G26" s="13" t="s">
        <v>167</v>
      </c>
      <c r="H26" s="13" t="s">
        <v>90</v>
      </c>
      <c r="I26" s="13" t="s">
        <v>87</v>
      </c>
      <c r="J26" s="13" t="s">
        <v>7</v>
      </c>
      <c r="K26" s="16">
        <v>0.33</v>
      </c>
      <c r="L26" s="13" t="s">
        <v>88</v>
      </c>
      <c r="M26" s="15">
        <v>3.1E-2</v>
      </c>
      <c r="N26" s="15">
        <v>1.12E-2</v>
      </c>
      <c r="O26" s="16">
        <v>203277.81</v>
      </c>
      <c r="P26" s="16">
        <v>108.79</v>
      </c>
      <c r="Q26" s="16">
        <v>0</v>
      </c>
      <c r="R26" s="16">
        <v>221.15</v>
      </c>
      <c r="S26" s="15">
        <v>1.1999999999999999E-3</v>
      </c>
      <c r="T26" s="15">
        <v>1.1999999999999999E-3</v>
      </c>
      <c r="U26" s="15">
        <v>1E-4</v>
      </c>
      <c r="V26" s="13" t="s">
        <v>7</v>
      </c>
    </row>
    <row r="27" spans="1:22" x14ac:dyDescent="0.2">
      <c r="A27" s="13" t="s">
        <v>7</v>
      </c>
      <c r="B27" s="13" t="s">
        <v>183</v>
      </c>
      <c r="C27" s="14">
        <v>7480049</v>
      </c>
      <c r="D27" s="13" t="s">
        <v>127</v>
      </c>
      <c r="E27" s="13" t="s">
        <v>7</v>
      </c>
      <c r="F27" s="14">
        <v>520029935</v>
      </c>
      <c r="G27" s="13" t="s">
        <v>167</v>
      </c>
      <c r="H27" s="13" t="s">
        <v>90</v>
      </c>
      <c r="I27" s="13" t="s">
        <v>87</v>
      </c>
      <c r="J27" s="13" t="s">
        <v>7</v>
      </c>
      <c r="K27" s="16">
        <v>1.04</v>
      </c>
      <c r="L27" s="13" t="s">
        <v>88</v>
      </c>
      <c r="M27" s="15">
        <v>4.7500000000000001E-2</v>
      </c>
      <c r="N27" s="15">
        <v>1.44E-2</v>
      </c>
      <c r="O27" s="16">
        <v>1413209.15</v>
      </c>
      <c r="P27" s="16">
        <v>127.41</v>
      </c>
      <c r="Q27" s="16">
        <v>0</v>
      </c>
      <c r="R27" s="16">
        <v>1800.57</v>
      </c>
      <c r="S27" s="15">
        <v>6.4999999999999997E-3</v>
      </c>
      <c r="T27" s="15">
        <v>1.0200000000000001E-2</v>
      </c>
      <c r="U27" s="15">
        <v>5.0000000000000001E-4</v>
      </c>
      <c r="V27" s="13" t="s">
        <v>7</v>
      </c>
    </row>
    <row r="28" spans="1:22" x14ac:dyDescent="0.2">
      <c r="A28" s="13" t="s">
        <v>7</v>
      </c>
      <c r="B28" s="13" t="s">
        <v>184</v>
      </c>
      <c r="C28" s="14">
        <v>1138650</v>
      </c>
      <c r="D28" s="13" t="s">
        <v>127</v>
      </c>
      <c r="E28" s="13" t="s">
        <v>7</v>
      </c>
      <c r="F28" s="14">
        <v>510960719</v>
      </c>
      <c r="G28" s="13" t="s">
        <v>185</v>
      </c>
      <c r="H28" s="13" t="s">
        <v>186</v>
      </c>
      <c r="I28" s="13" t="s">
        <v>171</v>
      </c>
      <c r="J28" s="13" t="s">
        <v>7</v>
      </c>
      <c r="K28" s="16">
        <v>4.84</v>
      </c>
      <c r="L28" s="13" t="s">
        <v>88</v>
      </c>
      <c r="M28" s="15">
        <v>1.34E-2</v>
      </c>
      <c r="N28" s="15">
        <v>8.2000000000000007E-3</v>
      </c>
      <c r="O28" s="16">
        <v>0.9</v>
      </c>
      <c r="P28" s="16">
        <v>104.18</v>
      </c>
      <c r="Q28" s="16">
        <v>0</v>
      </c>
      <c r="R28" s="16">
        <v>0</v>
      </c>
      <c r="S28" s="15">
        <v>0</v>
      </c>
      <c r="T28" s="15">
        <v>0</v>
      </c>
      <c r="U28" s="15">
        <v>0</v>
      </c>
      <c r="V28" s="13" t="s">
        <v>7</v>
      </c>
    </row>
    <row r="29" spans="1:22" x14ac:dyDescent="0.2">
      <c r="A29" s="13" t="s">
        <v>7</v>
      </c>
      <c r="B29" s="13" t="s">
        <v>187</v>
      </c>
      <c r="C29" s="14">
        <v>1940501</v>
      </c>
      <c r="D29" s="13" t="s">
        <v>127</v>
      </c>
      <c r="E29" s="13" t="s">
        <v>7</v>
      </c>
      <c r="F29" s="14">
        <v>520032640</v>
      </c>
      <c r="G29" s="13" t="s">
        <v>167</v>
      </c>
      <c r="H29" s="13" t="s">
        <v>90</v>
      </c>
      <c r="I29" s="13" t="s">
        <v>87</v>
      </c>
      <c r="J29" s="13" t="s">
        <v>7</v>
      </c>
      <c r="K29" s="16">
        <v>1.1599999999999999</v>
      </c>
      <c r="L29" s="13" t="s">
        <v>88</v>
      </c>
      <c r="M29" s="15">
        <v>0.04</v>
      </c>
      <c r="N29" s="15">
        <v>1.0500000000000001E-2</v>
      </c>
      <c r="O29" s="16">
        <v>1907271.25</v>
      </c>
      <c r="P29" s="16">
        <v>111</v>
      </c>
      <c r="Q29" s="16">
        <v>0</v>
      </c>
      <c r="R29" s="16">
        <v>2117.0700000000002</v>
      </c>
      <c r="S29" s="15">
        <v>8.9999999999999998E-4</v>
      </c>
      <c r="T29" s="15">
        <v>1.2E-2</v>
      </c>
      <c r="U29" s="15">
        <v>5.9999999999999995E-4</v>
      </c>
      <c r="V29" s="13" t="s">
        <v>7</v>
      </c>
    </row>
    <row r="30" spans="1:22" x14ac:dyDescent="0.2">
      <c r="A30" s="13" t="s">
        <v>7</v>
      </c>
      <c r="B30" s="13" t="s">
        <v>188</v>
      </c>
      <c r="C30" s="14">
        <v>1940543</v>
      </c>
      <c r="D30" s="13" t="s">
        <v>127</v>
      </c>
      <c r="E30" s="13" t="s">
        <v>7</v>
      </c>
      <c r="F30" s="14">
        <v>520032640</v>
      </c>
      <c r="G30" s="13" t="s">
        <v>167</v>
      </c>
      <c r="H30" s="13" t="s">
        <v>90</v>
      </c>
      <c r="I30" s="13" t="s">
        <v>87</v>
      </c>
      <c r="J30" s="13" t="s">
        <v>7</v>
      </c>
      <c r="K30" s="16">
        <v>1.63</v>
      </c>
      <c r="L30" s="13" t="s">
        <v>88</v>
      </c>
      <c r="M30" s="15">
        <v>4.2000000000000003E-2</v>
      </c>
      <c r="N30" s="15">
        <v>5.7999999999999996E-3</v>
      </c>
      <c r="O30" s="16">
        <v>4964088</v>
      </c>
      <c r="P30" s="16">
        <v>109.52</v>
      </c>
      <c r="Q30" s="16">
        <v>0</v>
      </c>
      <c r="R30" s="16">
        <v>5436.67</v>
      </c>
      <c r="S30" s="15">
        <v>5.0000000000000001E-3</v>
      </c>
      <c r="T30" s="15">
        <v>3.0700000000000002E-2</v>
      </c>
      <c r="U30" s="15">
        <v>1.5E-3</v>
      </c>
      <c r="V30" s="13" t="s">
        <v>7</v>
      </c>
    </row>
    <row r="31" spans="1:22" x14ac:dyDescent="0.2">
      <c r="A31" s="13" t="s">
        <v>7</v>
      </c>
      <c r="B31" s="13" t="s">
        <v>189</v>
      </c>
      <c r="C31" s="14">
        <v>1129899</v>
      </c>
      <c r="D31" s="13" t="s">
        <v>127</v>
      </c>
      <c r="E31" s="13" t="s">
        <v>7</v>
      </c>
      <c r="F31" s="14">
        <v>513821488</v>
      </c>
      <c r="G31" s="13" t="s">
        <v>185</v>
      </c>
      <c r="H31" s="13" t="s">
        <v>190</v>
      </c>
      <c r="I31" s="13" t="s">
        <v>87</v>
      </c>
      <c r="J31" s="13" t="s">
        <v>7</v>
      </c>
      <c r="K31" s="16">
        <v>2.4900000000000002</v>
      </c>
      <c r="L31" s="13" t="s">
        <v>88</v>
      </c>
      <c r="M31" s="15">
        <v>0.04</v>
      </c>
      <c r="N31" s="15">
        <v>4.5999999999999999E-3</v>
      </c>
      <c r="O31" s="16">
        <v>1164234.51</v>
      </c>
      <c r="P31" s="16">
        <v>109.14</v>
      </c>
      <c r="Q31" s="16">
        <v>0</v>
      </c>
      <c r="R31" s="16">
        <v>1270.6500000000001</v>
      </c>
      <c r="S31" s="15">
        <v>3.8E-3</v>
      </c>
      <c r="T31" s="15">
        <v>7.1999999999999998E-3</v>
      </c>
      <c r="U31" s="15">
        <v>4.0000000000000002E-4</v>
      </c>
      <c r="V31" s="13" t="s">
        <v>7</v>
      </c>
    </row>
    <row r="32" spans="1:22" x14ac:dyDescent="0.2">
      <c r="A32" s="13" t="s">
        <v>7</v>
      </c>
      <c r="B32" s="13" t="s">
        <v>191</v>
      </c>
      <c r="C32" s="14">
        <v>1133487</v>
      </c>
      <c r="D32" s="13" t="s">
        <v>127</v>
      </c>
      <c r="E32" s="13" t="s">
        <v>7</v>
      </c>
      <c r="F32" s="14">
        <v>511659401</v>
      </c>
      <c r="G32" s="13" t="s">
        <v>185</v>
      </c>
      <c r="H32" s="13" t="s">
        <v>190</v>
      </c>
      <c r="I32" s="13" t="s">
        <v>87</v>
      </c>
      <c r="J32" s="13" t="s">
        <v>7</v>
      </c>
      <c r="K32" s="16">
        <v>3.97</v>
      </c>
      <c r="L32" s="13" t="s">
        <v>88</v>
      </c>
      <c r="M32" s="15">
        <v>2.3400000000000001E-2</v>
      </c>
      <c r="N32" s="15">
        <v>1.0800000000000001E-2</v>
      </c>
      <c r="O32" s="16">
        <v>0.86</v>
      </c>
      <c r="P32" s="16">
        <v>106.4</v>
      </c>
      <c r="Q32" s="16">
        <v>0</v>
      </c>
      <c r="R32" s="16">
        <v>0</v>
      </c>
      <c r="S32" s="15">
        <v>0</v>
      </c>
      <c r="T32" s="15">
        <v>0</v>
      </c>
      <c r="U32" s="15">
        <v>0</v>
      </c>
      <c r="V32" s="13" t="s">
        <v>7</v>
      </c>
    </row>
    <row r="33" spans="1:22" x14ac:dyDescent="0.2">
      <c r="A33" s="13" t="s">
        <v>7</v>
      </c>
      <c r="B33" s="13" t="s">
        <v>192</v>
      </c>
      <c r="C33" s="14">
        <v>1940444</v>
      </c>
      <c r="D33" s="13" t="s">
        <v>127</v>
      </c>
      <c r="E33" s="13" t="s">
        <v>7</v>
      </c>
      <c r="F33" s="14">
        <v>520032640</v>
      </c>
      <c r="G33" s="13" t="s">
        <v>167</v>
      </c>
      <c r="H33" s="13" t="s">
        <v>190</v>
      </c>
      <c r="I33" s="13" t="s">
        <v>87</v>
      </c>
      <c r="J33" s="13" t="s">
        <v>7</v>
      </c>
      <c r="K33" s="16">
        <v>0.74</v>
      </c>
      <c r="L33" s="13" t="s">
        <v>88</v>
      </c>
      <c r="M33" s="15">
        <v>3.8899999999999997E-2</v>
      </c>
      <c r="N33" s="15">
        <v>1.7299999999999999E-2</v>
      </c>
      <c r="O33" s="16">
        <v>32805.339999999997</v>
      </c>
      <c r="P33" s="16">
        <v>112.97</v>
      </c>
      <c r="Q33" s="16">
        <v>0.35</v>
      </c>
      <c r="R33" s="16">
        <v>37.409999999999997</v>
      </c>
      <c r="S33" s="15">
        <v>0</v>
      </c>
      <c r="T33" s="15">
        <v>2.0000000000000001E-4</v>
      </c>
      <c r="U33" s="15">
        <v>0</v>
      </c>
      <c r="V33" s="13" t="s">
        <v>7</v>
      </c>
    </row>
    <row r="34" spans="1:22" x14ac:dyDescent="0.2">
      <c r="A34" s="13" t="s">
        <v>7</v>
      </c>
      <c r="B34" s="13" t="s">
        <v>193</v>
      </c>
      <c r="C34" s="14">
        <v>7770217</v>
      </c>
      <c r="D34" s="13" t="s">
        <v>127</v>
      </c>
      <c r="E34" s="13" t="s">
        <v>7</v>
      </c>
      <c r="F34" s="14">
        <v>520022732</v>
      </c>
      <c r="G34" s="13" t="s">
        <v>194</v>
      </c>
      <c r="H34" s="13" t="s">
        <v>190</v>
      </c>
      <c r="I34" s="13" t="s">
        <v>87</v>
      </c>
      <c r="J34" s="13" t="s">
        <v>7</v>
      </c>
      <c r="K34" s="16">
        <v>4.32</v>
      </c>
      <c r="L34" s="13" t="s">
        <v>88</v>
      </c>
      <c r="M34" s="15">
        <v>4.2999999999999997E-2</v>
      </c>
      <c r="N34" s="15">
        <v>3.3E-3</v>
      </c>
      <c r="O34" s="16">
        <v>73469.179999999993</v>
      </c>
      <c r="P34" s="16">
        <v>117.68</v>
      </c>
      <c r="Q34" s="16">
        <v>12.74</v>
      </c>
      <c r="R34" s="16">
        <v>99.2</v>
      </c>
      <c r="S34" s="15">
        <v>1E-4</v>
      </c>
      <c r="T34" s="15">
        <v>5.9999999999999995E-4</v>
      </c>
      <c r="U34" s="15">
        <v>0</v>
      </c>
      <c r="V34" s="13" t="s">
        <v>7</v>
      </c>
    </row>
    <row r="35" spans="1:22" x14ac:dyDescent="0.2">
      <c r="A35" s="13" t="s">
        <v>7</v>
      </c>
      <c r="B35" s="13" t="s">
        <v>195</v>
      </c>
      <c r="C35" s="14">
        <v>1139492</v>
      </c>
      <c r="D35" s="13" t="s">
        <v>127</v>
      </c>
      <c r="E35" s="13" t="s">
        <v>7</v>
      </c>
      <c r="F35" s="14">
        <v>513668277</v>
      </c>
      <c r="G35" s="13" t="s">
        <v>167</v>
      </c>
      <c r="H35" s="13" t="s">
        <v>196</v>
      </c>
      <c r="I35" s="13" t="s">
        <v>171</v>
      </c>
      <c r="J35" s="13" t="s">
        <v>7</v>
      </c>
      <c r="K35" s="16">
        <v>2.39</v>
      </c>
      <c r="L35" s="13" t="s">
        <v>88</v>
      </c>
      <c r="M35" s="15">
        <v>9.4999999999999998E-3</v>
      </c>
      <c r="N35" s="15">
        <v>5.1999999999999998E-3</v>
      </c>
      <c r="O35" s="16">
        <v>3307750.72</v>
      </c>
      <c r="P35" s="16">
        <v>102.38</v>
      </c>
      <c r="Q35" s="16">
        <v>0</v>
      </c>
      <c r="R35" s="16">
        <v>3386.47</v>
      </c>
      <c r="S35" s="15">
        <v>4.1000000000000003E-3</v>
      </c>
      <c r="T35" s="15">
        <v>1.9099999999999999E-2</v>
      </c>
      <c r="U35" s="15">
        <v>8.9999999999999998E-4</v>
      </c>
      <c r="V35" s="13" t="s">
        <v>7</v>
      </c>
    </row>
    <row r="36" spans="1:22" x14ac:dyDescent="0.2">
      <c r="A36" s="13" t="s">
        <v>7</v>
      </c>
      <c r="B36" s="13" t="s">
        <v>197</v>
      </c>
      <c r="C36" s="14">
        <v>1110915</v>
      </c>
      <c r="D36" s="13" t="s">
        <v>127</v>
      </c>
      <c r="E36" s="13" t="s">
        <v>7</v>
      </c>
      <c r="F36" s="14">
        <v>520043605</v>
      </c>
      <c r="G36" s="13" t="s">
        <v>198</v>
      </c>
      <c r="H36" s="13" t="s">
        <v>199</v>
      </c>
      <c r="I36" s="13" t="s">
        <v>87</v>
      </c>
      <c r="J36" s="13" t="s">
        <v>7</v>
      </c>
      <c r="K36" s="16">
        <v>6.98</v>
      </c>
      <c r="L36" s="13" t="s">
        <v>88</v>
      </c>
      <c r="M36" s="15">
        <v>5.1499999999999997E-2</v>
      </c>
      <c r="N36" s="15">
        <v>1.7500000000000002E-2</v>
      </c>
      <c r="O36" s="16">
        <v>1732727</v>
      </c>
      <c r="P36" s="16">
        <v>153.05000000000001</v>
      </c>
      <c r="Q36" s="16">
        <v>0</v>
      </c>
      <c r="R36" s="16">
        <v>2651.94</v>
      </c>
      <c r="S36" s="15">
        <v>5.0000000000000001E-4</v>
      </c>
      <c r="T36" s="15">
        <v>1.4999999999999999E-2</v>
      </c>
      <c r="U36" s="15">
        <v>6.9999999999999999E-4</v>
      </c>
      <c r="V36" s="13" t="s">
        <v>7</v>
      </c>
    </row>
    <row r="37" spans="1:22" x14ac:dyDescent="0.2">
      <c r="A37" s="13" t="s">
        <v>7</v>
      </c>
      <c r="B37" s="13" t="s">
        <v>200</v>
      </c>
      <c r="C37" s="14">
        <v>3900271</v>
      </c>
      <c r="D37" s="13" t="s">
        <v>127</v>
      </c>
      <c r="E37" s="13" t="s">
        <v>7</v>
      </c>
      <c r="F37" s="14">
        <v>520038506</v>
      </c>
      <c r="G37" s="13" t="s">
        <v>185</v>
      </c>
      <c r="H37" s="13" t="s">
        <v>199</v>
      </c>
      <c r="I37" s="13" t="s">
        <v>87</v>
      </c>
      <c r="J37" s="13" t="s">
        <v>7</v>
      </c>
      <c r="K37" s="16">
        <v>1.36</v>
      </c>
      <c r="L37" s="13" t="s">
        <v>88</v>
      </c>
      <c r="M37" s="15">
        <v>4.4499999999999998E-2</v>
      </c>
      <c r="N37" s="15">
        <v>1.43E-2</v>
      </c>
      <c r="O37" s="16">
        <v>2371926.2400000002</v>
      </c>
      <c r="P37" s="16">
        <v>110.29</v>
      </c>
      <c r="Q37" s="16">
        <v>0</v>
      </c>
      <c r="R37" s="16">
        <v>2616</v>
      </c>
      <c r="S37" s="15">
        <v>3.8E-3</v>
      </c>
      <c r="T37" s="15">
        <v>1.4800000000000001E-2</v>
      </c>
      <c r="U37" s="15">
        <v>6.9999999999999999E-4</v>
      </c>
      <c r="V37" s="13" t="s">
        <v>7</v>
      </c>
    </row>
    <row r="38" spans="1:22" x14ac:dyDescent="0.2">
      <c r="A38" s="13" t="s">
        <v>7</v>
      </c>
      <c r="B38" s="13" t="s">
        <v>201</v>
      </c>
      <c r="C38" s="14">
        <v>2300143</v>
      </c>
      <c r="D38" s="13" t="s">
        <v>127</v>
      </c>
      <c r="E38" s="13" t="s">
        <v>7</v>
      </c>
      <c r="F38" s="14">
        <v>520031931</v>
      </c>
      <c r="G38" s="13" t="s">
        <v>202</v>
      </c>
      <c r="H38" s="13" t="s">
        <v>199</v>
      </c>
      <c r="I38" s="13" t="s">
        <v>87</v>
      </c>
      <c r="J38" s="13" t="s">
        <v>7</v>
      </c>
      <c r="K38" s="16">
        <v>1.1499999999999999</v>
      </c>
      <c r="L38" s="13" t="s">
        <v>88</v>
      </c>
      <c r="M38" s="15">
        <v>3.6999999999999998E-2</v>
      </c>
      <c r="N38" s="15">
        <v>9.1000000000000004E-3</v>
      </c>
      <c r="O38" s="16">
        <v>1465774</v>
      </c>
      <c r="P38" s="16">
        <v>108.29</v>
      </c>
      <c r="Q38" s="16">
        <v>0</v>
      </c>
      <c r="R38" s="16">
        <v>1587.29</v>
      </c>
      <c r="S38" s="15">
        <v>1E-3</v>
      </c>
      <c r="T38" s="15">
        <v>8.9999999999999993E-3</v>
      </c>
      <c r="U38" s="15">
        <v>4.0000000000000002E-4</v>
      </c>
      <c r="V38" s="13" t="s">
        <v>7</v>
      </c>
    </row>
    <row r="39" spans="1:22" x14ac:dyDescent="0.2">
      <c r="A39" s="13" t="s">
        <v>7</v>
      </c>
      <c r="B39" s="13" t="s">
        <v>203</v>
      </c>
      <c r="C39" s="14">
        <v>1162221</v>
      </c>
      <c r="D39" s="13" t="s">
        <v>127</v>
      </c>
      <c r="E39" s="13" t="s">
        <v>7</v>
      </c>
      <c r="F39" s="14">
        <v>513623314</v>
      </c>
      <c r="G39" s="13" t="s">
        <v>185</v>
      </c>
      <c r="H39" s="13" t="s">
        <v>196</v>
      </c>
      <c r="I39" s="13" t="s">
        <v>171</v>
      </c>
      <c r="J39" s="13" t="s">
        <v>7</v>
      </c>
      <c r="K39" s="16">
        <v>7.12</v>
      </c>
      <c r="L39" s="13" t="s">
        <v>88</v>
      </c>
      <c r="M39" s="15">
        <v>1.17E-2</v>
      </c>
      <c r="N39" s="15">
        <v>1.9099999999999999E-2</v>
      </c>
      <c r="O39" s="16">
        <v>1771000</v>
      </c>
      <c r="P39" s="16">
        <v>95.1</v>
      </c>
      <c r="Q39" s="16">
        <v>0</v>
      </c>
      <c r="R39" s="16">
        <v>1684.22</v>
      </c>
      <c r="S39" s="15">
        <v>2.2000000000000001E-3</v>
      </c>
      <c r="T39" s="15">
        <v>9.4999999999999998E-3</v>
      </c>
      <c r="U39" s="15">
        <v>5.0000000000000001E-4</v>
      </c>
      <c r="V39" s="13" t="s">
        <v>7</v>
      </c>
    </row>
    <row r="40" spans="1:22" x14ac:dyDescent="0.2">
      <c r="A40" s="13" t="s">
        <v>7</v>
      </c>
      <c r="B40" s="13" t="s">
        <v>204</v>
      </c>
      <c r="C40" s="14">
        <v>1260546</v>
      </c>
      <c r="D40" s="13" t="s">
        <v>127</v>
      </c>
      <c r="E40" s="13" t="s">
        <v>7</v>
      </c>
      <c r="F40" s="14">
        <v>520033234</v>
      </c>
      <c r="G40" s="13" t="s">
        <v>205</v>
      </c>
      <c r="H40" s="13" t="s">
        <v>199</v>
      </c>
      <c r="I40" s="13" t="s">
        <v>87</v>
      </c>
      <c r="J40" s="13" t="s">
        <v>7</v>
      </c>
      <c r="K40" s="16">
        <v>2.8</v>
      </c>
      <c r="L40" s="13" t="s">
        <v>88</v>
      </c>
      <c r="M40" s="15">
        <v>5.3499999999999999E-2</v>
      </c>
      <c r="N40" s="15">
        <v>4.9000000000000002E-2</v>
      </c>
      <c r="O40" s="16">
        <v>1666667.08</v>
      </c>
      <c r="P40" s="16">
        <v>105.01</v>
      </c>
      <c r="Q40" s="16">
        <v>0</v>
      </c>
      <c r="R40" s="16">
        <v>1750.17</v>
      </c>
      <c r="S40" s="15">
        <v>1.5E-3</v>
      </c>
      <c r="T40" s="15">
        <v>9.9000000000000008E-3</v>
      </c>
      <c r="U40" s="15">
        <v>5.0000000000000001E-4</v>
      </c>
      <c r="V40" s="13" t="s">
        <v>7</v>
      </c>
    </row>
    <row r="41" spans="1:22" x14ac:dyDescent="0.2">
      <c r="A41" s="13" t="s">
        <v>7</v>
      </c>
      <c r="B41" s="13" t="s">
        <v>206</v>
      </c>
      <c r="C41" s="14">
        <v>1260652</v>
      </c>
      <c r="D41" s="13" t="s">
        <v>127</v>
      </c>
      <c r="E41" s="13" t="s">
        <v>7</v>
      </c>
      <c r="F41" s="14">
        <v>520033234</v>
      </c>
      <c r="G41" s="13" t="s">
        <v>205</v>
      </c>
      <c r="H41" s="13" t="s">
        <v>199</v>
      </c>
      <c r="I41" s="13" t="s">
        <v>87</v>
      </c>
      <c r="J41" s="13" t="s">
        <v>7</v>
      </c>
      <c r="K41" s="16">
        <v>4.8899999999999997</v>
      </c>
      <c r="L41" s="13" t="s">
        <v>88</v>
      </c>
      <c r="M41" s="15">
        <v>2.7799999999999998E-2</v>
      </c>
      <c r="N41" s="15">
        <v>4.6699999999999998E-2</v>
      </c>
      <c r="O41" s="16">
        <v>4500000</v>
      </c>
      <c r="P41" s="16">
        <v>93.3</v>
      </c>
      <c r="Q41" s="16">
        <v>0</v>
      </c>
      <c r="R41" s="16">
        <v>4198.5</v>
      </c>
      <c r="S41" s="15">
        <v>2.5000000000000001E-3</v>
      </c>
      <c r="T41" s="15">
        <v>2.3699999999999999E-2</v>
      </c>
      <c r="U41" s="15">
        <v>1.1999999999999999E-3</v>
      </c>
      <c r="V41" s="13" t="s">
        <v>7</v>
      </c>
    </row>
    <row r="42" spans="1:22" x14ac:dyDescent="0.2">
      <c r="A42" s="13" t="s">
        <v>7</v>
      </c>
      <c r="B42" s="13" t="s">
        <v>207</v>
      </c>
      <c r="C42" s="14">
        <v>1260603</v>
      </c>
      <c r="D42" s="13" t="s">
        <v>127</v>
      </c>
      <c r="E42" s="13" t="s">
        <v>7</v>
      </c>
      <c r="F42" s="14">
        <v>520033234</v>
      </c>
      <c r="G42" s="13" t="s">
        <v>205</v>
      </c>
      <c r="H42" s="13" t="s">
        <v>199</v>
      </c>
      <c r="I42" s="13" t="s">
        <v>87</v>
      </c>
      <c r="J42" s="13" t="s">
        <v>7</v>
      </c>
      <c r="K42" s="16">
        <v>4.74</v>
      </c>
      <c r="L42" s="13" t="s">
        <v>88</v>
      </c>
      <c r="M42" s="15">
        <v>0.04</v>
      </c>
      <c r="N42" s="15">
        <v>4.5499999999999999E-2</v>
      </c>
      <c r="O42" s="16">
        <v>8585717</v>
      </c>
      <c r="P42" s="16">
        <v>98.7</v>
      </c>
      <c r="Q42" s="16">
        <v>0</v>
      </c>
      <c r="R42" s="16">
        <v>8474.1</v>
      </c>
      <c r="S42" s="15">
        <v>2.8999999999999998E-3</v>
      </c>
      <c r="T42" s="15">
        <v>4.7899999999999998E-2</v>
      </c>
      <c r="U42" s="15">
        <v>2.3999999999999998E-3</v>
      </c>
      <c r="V42" s="13" t="s">
        <v>7</v>
      </c>
    </row>
    <row r="43" spans="1:22" x14ac:dyDescent="0.2">
      <c r="A43" s="13" t="s">
        <v>7</v>
      </c>
      <c r="B43" s="13" t="s">
        <v>208</v>
      </c>
      <c r="C43" s="14">
        <v>1260736</v>
      </c>
      <c r="D43" s="13" t="s">
        <v>127</v>
      </c>
      <c r="E43" s="13" t="s">
        <v>7</v>
      </c>
      <c r="F43" s="14">
        <v>520033234</v>
      </c>
      <c r="G43" s="13" t="s">
        <v>205</v>
      </c>
      <c r="H43" s="13" t="s">
        <v>199</v>
      </c>
      <c r="I43" s="13" t="s">
        <v>87</v>
      </c>
      <c r="J43" s="13" t="s">
        <v>7</v>
      </c>
      <c r="K43" s="16">
        <v>5.91</v>
      </c>
      <c r="L43" s="13" t="s">
        <v>88</v>
      </c>
      <c r="M43" s="15">
        <v>1.29E-2</v>
      </c>
      <c r="N43" s="15">
        <v>4.2999999999999997E-2</v>
      </c>
      <c r="O43" s="16">
        <v>3377000</v>
      </c>
      <c r="P43" s="16">
        <v>83.65</v>
      </c>
      <c r="Q43" s="16">
        <v>0</v>
      </c>
      <c r="R43" s="16">
        <v>2824.86</v>
      </c>
      <c r="S43" s="15">
        <v>3.3999999999999998E-3</v>
      </c>
      <c r="T43" s="15">
        <v>1.6E-2</v>
      </c>
      <c r="U43" s="15">
        <v>8.0000000000000004E-4</v>
      </c>
      <c r="V43" s="13" t="s">
        <v>7</v>
      </c>
    </row>
    <row r="44" spans="1:22" x14ac:dyDescent="0.2">
      <c r="A44" s="13" t="s">
        <v>7</v>
      </c>
      <c r="B44" s="13" t="s">
        <v>209</v>
      </c>
      <c r="C44" s="14">
        <v>1260397</v>
      </c>
      <c r="D44" s="13" t="s">
        <v>127</v>
      </c>
      <c r="E44" s="13" t="s">
        <v>7</v>
      </c>
      <c r="F44" s="14">
        <v>520033234</v>
      </c>
      <c r="G44" s="13" t="s">
        <v>205</v>
      </c>
      <c r="H44" s="13" t="s">
        <v>199</v>
      </c>
      <c r="I44" s="13" t="s">
        <v>87</v>
      </c>
      <c r="J44" s="13" t="s">
        <v>7</v>
      </c>
      <c r="K44" s="16">
        <v>0.5</v>
      </c>
      <c r="L44" s="13" t="s">
        <v>88</v>
      </c>
      <c r="M44" s="15">
        <v>5.0999999999999997E-2</v>
      </c>
      <c r="N44" s="15">
        <v>1.29E-2</v>
      </c>
      <c r="O44" s="16">
        <v>1714285.8</v>
      </c>
      <c r="P44" s="16">
        <v>124</v>
      </c>
      <c r="Q44" s="16">
        <v>0</v>
      </c>
      <c r="R44" s="16">
        <v>2125.71</v>
      </c>
      <c r="S44" s="15">
        <v>7.9000000000000008E-3</v>
      </c>
      <c r="T44" s="15">
        <v>1.2E-2</v>
      </c>
      <c r="U44" s="15">
        <v>5.9999999999999995E-4</v>
      </c>
      <c r="V44" s="13" t="s">
        <v>7</v>
      </c>
    </row>
    <row r="45" spans="1:22" x14ac:dyDescent="0.2">
      <c r="A45" s="13" t="s">
        <v>7</v>
      </c>
      <c r="B45" s="13" t="s">
        <v>210</v>
      </c>
      <c r="C45" s="14">
        <v>1119221</v>
      </c>
      <c r="D45" s="13" t="s">
        <v>127</v>
      </c>
      <c r="E45" s="13" t="s">
        <v>7</v>
      </c>
      <c r="F45" s="14">
        <v>513834200</v>
      </c>
      <c r="G45" s="13" t="s">
        <v>211</v>
      </c>
      <c r="H45" s="13" t="s">
        <v>199</v>
      </c>
      <c r="I45" s="13" t="s">
        <v>87</v>
      </c>
      <c r="J45" s="13" t="s">
        <v>7</v>
      </c>
      <c r="K45" s="16">
        <v>0.65</v>
      </c>
      <c r="L45" s="13" t="s">
        <v>88</v>
      </c>
      <c r="M45" s="15">
        <v>3.9E-2</v>
      </c>
      <c r="N45" s="15">
        <v>1.2E-2</v>
      </c>
      <c r="O45" s="16">
        <v>482517</v>
      </c>
      <c r="P45" s="16">
        <v>111.67</v>
      </c>
      <c r="Q45" s="16">
        <v>0</v>
      </c>
      <c r="R45" s="16">
        <v>538.83000000000004</v>
      </c>
      <c r="S45" s="15">
        <v>1.1999999999999999E-3</v>
      </c>
      <c r="T45" s="15">
        <v>3.0000000000000001E-3</v>
      </c>
      <c r="U45" s="15">
        <v>1E-4</v>
      </c>
      <c r="V45" s="13" t="s">
        <v>7</v>
      </c>
    </row>
    <row r="46" spans="1:22" x14ac:dyDescent="0.2">
      <c r="A46" s="13" t="s">
        <v>7</v>
      </c>
      <c r="B46" s="13" t="s">
        <v>212</v>
      </c>
      <c r="C46" s="14">
        <v>1126077</v>
      </c>
      <c r="D46" s="13" t="s">
        <v>127</v>
      </c>
      <c r="E46" s="13" t="s">
        <v>7</v>
      </c>
      <c r="F46" s="14">
        <v>513834200</v>
      </c>
      <c r="G46" s="13" t="s">
        <v>211</v>
      </c>
      <c r="H46" s="13" t="s">
        <v>199</v>
      </c>
      <c r="I46" s="13" t="s">
        <v>87</v>
      </c>
      <c r="J46" s="13" t="s">
        <v>7</v>
      </c>
      <c r="K46" s="16">
        <v>3.43</v>
      </c>
      <c r="L46" s="13" t="s">
        <v>88</v>
      </c>
      <c r="M46" s="15">
        <v>3.85E-2</v>
      </c>
      <c r="N46" s="15">
        <v>2.2000000000000001E-3</v>
      </c>
      <c r="O46" s="16">
        <v>1786263</v>
      </c>
      <c r="P46" s="16">
        <v>118.29</v>
      </c>
      <c r="Q46" s="16">
        <v>0</v>
      </c>
      <c r="R46" s="16">
        <v>2112.9699999999998</v>
      </c>
      <c r="S46" s="15">
        <v>7.1000000000000004E-3</v>
      </c>
      <c r="T46" s="15">
        <v>1.1900000000000001E-2</v>
      </c>
      <c r="U46" s="15">
        <v>5.9999999999999995E-4</v>
      </c>
      <c r="V46" s="13" t="s">
        <v>7</v>
      </c>
    </row>
    <row r="47" spans="1:22" x14ac:dyDescent="0.2">
      <c r="A47" s="13" t="s">
        <v>7</v>
      </c>
      <c r="B47" s="13" t="s">
        <v>213</v>
      </c>
      <c r="C47" s="14">
        <v>1126069</v>
      </c>
      <c r="D47" s="13" t="s">
        <v>127</v>
      </c>
      <c r="E47" s="13" t="s">
        <v>7</v>
      </c>
      <c r="F47" s="14">
        <v>513834200</v>
      </c>
      <c r="G47" s="13" t="s">
        <v>211</v>
      </c>
      <c r="H47" s="13" t="s">
        <v>199</v>
      </c>
      <c r="I47" s="13" t="s">
        <v>87</v>
      </c>
      <c r="J47" s="13" t="s">
        <v>7</v>
      </c>
      <c r="K47" s="16">
        <v>2.5299999999999998</v>
      </c>
      <c r="L47" s="13" t="s">
        <v>88</v>
      </c>
      <c r="M47" s="15">
        <v>3.85E-2</v>
      </c>
      <c r="N47" s="15">
        <v>3.3999999999999998E-3</v>
      </c>
      <c r="O47" s="16">
        <v>1044045</v>
      </c>
      <c r="P47" s="16">
        <v>114.2</v>
      </c>
      <c r="Q47" s="16">
        <v>0</v>
      </c>
      <c r="R47" s="16">
        <v>1192.3</v>
      </c>
      <c r="S47" s="15">
        <v>4.4000000000000003E-3</v>
      </c>
      <c r="T47" s="15">
        <v>6.7000000000000002E-3</v>
      </c>
      <c r="U47" s="15">
        <v>2.9999999999999997E-4</v>
      </c>
      <c r="V47" s="13" t="s">
        <v>7</v>
      </c>
    </row>
    <row r="48" spans="1:22" x14ac:dyDescent="0.2">
      <c r="A48" s="13" t="s">
        <v>7</v>
      </c>
      <c r="B48" s="13" t="s">
        <v>214</v>
      </c>
      <c r="C48" s="14">
        <v>1127422</v>
      </c>
      <c r="D48" s="13" t="s">
        <v>127</v>
      </c>
      <c r="E48" s="13" t="s">
        <v>7</v>
      </c>
      <c r="F48" s="14">
        <v>513682146</v>
      </c>
      <c r="G48" s="13" t="s">
        <v>167</v>
      </c>
      <c r="H48" s="13" t="s">
        <v>199</v>
      </c>
      <c r="I48" s="13" t="s">
        <v>87</v>
      </c>
      <c r="J48" s="13" t="s">
        <v>7</v>
      </c>
      <c r="K48" s="16">
        <v>0.75</v>
      </c>
      <c r="L48" s="13" t="s">
        <v>88</v>
      </c>
      <c r="M48" s="15">
        <v>0.02</v>
      </c>
      <c r="N48" s="15">
        <v>-1.7899999999999999E-2</v>
      </c>
      <c r="O48" s="16">
        <v>2214745.71</v>
      </c>
      <c r="P48" s="16">
        <v>106.28</v>
      </c>
      <c r="Q48" s="16">
        <v>0</v>
      </c>
      <c r="R48" s="16">
        <v>2353.83</v>
      </c>
      <c r="S48" s="15">
        <v>7.7999999999999996E-3</v>
      </c>
      <c r="T48" s="15">
        <v>1.3299999999999999E-2</v>
      </c>
      <c r="U48" s="15">
        <v>6.9999999999999999E-4</v>
      </c>
      <c r="V48" s="13" t="s">
        <v>7</v>
      </c>
    </row>
    <row r="49" spans="1:22" x14ac:dyDescent="0.2">
      <c r="A49" s="13" t="s">
        <v>7</v>
      </c>
      <c r="B49" s="13" t="s">
        <v>215</v>
      </c>
      <c r="C49" s="14">
        <v>1161769</v>
      </c>
      <c r="D49" s="13" t="s">
        <v>127</v>
      </c>
      <c r="E49" s="13" t="s">
        <v>7</v>
      </c>
      <c r="F49" s="14">
        <v>513682146</v>
      </c>
      <c r="G49" s="13" t="s">
        <v>167</v>
      </c>
      <c r="H49" s="13" t="s">
        <v>199</v>
      </c>
      <c r="I49" s="13" t="s">
        <v>87</v>
      </c>
      <c r="J49" s="13" t="s">
        <v>7</v>
      </c>
      <c r="K49" s="16">
        <v>4.72</v>
      </c>
      <c r="L49" s="13" t="s">
        <v>88</v>
      </c>
      <c r="M49" s="15">
        <v>2E-3</v>
      </c>
      <c r="N49" s="15">
        <v>4.5999999999999999E-3</v>
      </c>
      <c r="O49" s="16">
        <v>1689000</v>
      </c>
      <c r="P49" s="16">
        <v>97.94</v>
      </c>
      <c r="Q49" s="16">
        <v>0</v>
      </c>
      <c r="R49" s="16">
        <v>1654.21</v>
      </c>
      <c r="S49" s="15">
        <v>3.0000000000000001E-3</v>
      </c>
      <c r="T49" s="15">
        <v>9.2999999999999992E-3</v>
      </c>
      <c r="U49" s="15">
        <v>5.0000000000000001E-4</v>
      </c>
      <c r="V49" s="13" t="s">
        <v>7</v>
      </c>
    </row>
    <row r="50" spans="1:22" x14ac:dyDescent="0.2">
      <c r="A50" s="13" t="s">
        <v>7</v>
      </c>
      <c r="B50" s="13" t="s">
        <v>216</v>
      </c>
      <c r="C50" s="14">
        <v>1132950</v>
      </c>
      <c r="D50" s="13" t="s">
        <v>127</v>
      </c>
      <c r="E50" s="13" t="s">
        <v>7</v>
      </c>
      <c r="F50" s="14">
        <v>513754069</v>
      </c>
      <c r="G50" s="13" t="s">
        <v>211</v>
      </c>
      <c r="H50" s="13" t="s">
        <v>199</v>
      </c>
      <c r="I50" s="13" t="s">
        <v>87</v>
      </c>
      <c r="J50" s="13" t="s">
        <v>7</v>
      </c>
      <c r="K50" s="16">
        <v>3.13</v>
      </c>
      <c r="L50" s="13" t="s">
        <v>88</v>
      </c>
      <c r="M50" s="15">
        <v>2.3199999999999998E-2</v>
      </c>
      <c r="N50" s="15">
        <v>1.0200000000000001E-2</v>
      </c>
      <c r="O50" s="16">
        <v>1131000</v>
      </c>
      <c r="P50" s="16">
        <v>104.82</v>
      </c>
      <c r="Q50" s="16">
        <v>0</v>
      </c>
      <c r="R50" s="16">
        <v>1185.51</v>
      </c>
      <c r="S50" s="15">
        <v>3.0999999999999999E-3</v>
      </c>
      <c r="T50" s="15">
        <v>6.7000000000000002E-3</v>
      </c>
      <c r="U50" s="15">
        <v>2.9999999999999997E-4</v>
      </c>
      <c r="V50" s="13" t="s">
        <v>7</v>
      </c>
    </row>
    <row r="51" spans="1:22" x14ac:dyDescent="0.2">
      <c r="A51" s="13" t="s">
        <v>7</v>
      </c>
      <c r="B51" s="13" t="s">
        <v>217</v>
      </c>
      <c r="C51" s="14">
        <v>1136050</v>
      </c>
      <c r="D51" s="13" t="s">
        <v>127</v>
      </c>
      <c r="E51" s="13" t="s">
        <v>7</v>
      </c>
      <c r="F51" s="14">
        <v>513754069</v>
      </c>
      <c r="G51" s="13" t="s">
        <v>211</v>
      </c>
      <c r="H51" s="13" t="s">
        <v>199</v>
      </c>
      <c r="I51" s="13" t="s">
        <v>87</v>
      </c>
      <c r="J51" s="13" t="s">
        <v>7</v>
      </c>
      <c r="K51" s="16">
        <v>4.58</v>
      </c>
      <c r="L51" s="13" t="s">
        <v>88</v>
      </c>
      <c r="M51" s="15">
        <v>2.4799999999999999E-2</v>
      </c>
      <c r="N51" s="15">
        <v>7.1000000000000004E-3</v>
      </c>
      <c r="O51" s="16">
        <v>850137.71</v>
      </c>
      <c r="P51" s="16">
        <v>109</v>
      </c>
      <c r="Q51" s="16">
        <v>0</v>
      </c>
      <c r="R51" s="16">
        <v>926.65</v>
      </c>
      <c r="S51" s="15">
        <v>2E-3</v>
      </c>
      <c r="T51" s="15">
        <v>5.1999999999999998E-3</v>
      </c>
      <c r="U51" s="15">
        <v>2.9999999999999997E-4</v>
      </c>
      <c r="V51" s="13" t="s">
        <v>7</v>
      </c>
    </row>
    <row r="52" spans="1:22" x14ac:dyDescent="0.2">
      <c r="A52" s="13" t="s">
        <v>7</v>
      </c>
      <c r="B52" s="13" t="s">
        <v>218</v>
      </c>
      <c r="C52" s="14">
        <v>2260446</v>
      </c>
      <c r="D52" s="13" t="s">
        <v>127</v>
      </c>
      <c r="E52" s="13" t="s">
        <v>7</v>
      </c>
      <c r="F52" s="14">
        <v>520024126</v>
      </c>
      <c r="G52" s="13" t="s">
        <v>185</v>
      </c>
      <c r="H52" s="13" t="s">
        <v>199</v>
      </c>
      <c r="I52" s="13" t="s">
        <v>87</v>
      </c>
      <c r="J52" s="13" t="s">
        <v>7</v>
      </c>
      <c r="K52" s="16">
        <v>3.98</v>
      </c>
      <c r="L52" s="13" t="s">
        <v>88</v>
      </c>
      <c r="M52" s="15">
        <v>3.6999999999999998E-2</v>
      </c>
      <c r="N52" s="15">
        <v>1.29E-2</v>
      </c>
      <c r="O52" s="16">
        <v>0.22</v>
      </c>
      <c r="P52" s="16">
        <v>110.89</v>
      </c>
      <c r="Q52" s="16">
        <v>0</v>
      </c>
      <c r="R52" s="16">
        <v>0</v>
      </c>
      <c r="S52" s="15">
        <v>0</v>
      </c>
      <c r="T52" s="15">
        <v>0</v>
      </c>
      <c r="U52" s="15">
        <v>0</v>
      </c>
      <c r="V52" s="13" t="s">
        <v>7</v>
      </c>
    </row>
    <row r="53" spans="1:22" x14ac:dyDescent="0.2">
      <c r="A53" s="13" t="s">
        <v>7</v>
      </c>
      <c r="B53" s="13" t="s">
        <v>219</v>
      </c>
      <c r="C53" s="14">
        <v>6950083</v>
      </c>
      <c r="D53" s="13" t="s">
        <v>127</v>
      </c>
      <c r="E53" s="13" t="s">
        <v>7</v>
      </c>
      <c r="F53" s="14">
        <v>520000522</v>
      </c>
      <c r="G53" s="13" t="s">
        <v>167</v>
      </c>
      <c r="H53" s="13" t="s">
        <v>199</v>
      </c>
      <c r="I53" s="13" t="s">
        <v>87</v>
      </c>
      <c r="J53" s="13" t="s">
        <v>7</v>
      </c>
      <c r="K53" s="16">
        <v>1.23</v>
      </c>
      <c r="L53" s="13" t="s">
        <v>88</v>
      </c>
      <c r="M53" s="15">
        <v>4.4999999999999998E-2</v>
      </c>
      <c r="N53" s="15">
        <v>1.8800000000000001E-2</v>
      </c>
      <c r="O53" s="16">
        <v>2260026</v>
      </c>
      <c r="P53" s="16">
        <v>124.49</v>
      </c>
      <c r="Q53" s="16">
        <v>30.66</v>
      </c>
      <c r="R53" s="16">
        <v>2844.16</v>
      </c>
      <c r="S53" s="15">
        <v>1.2999999999999999E-3</v>
      </c>
      <c r="T53" s="15">
        <v>1.61E-2</v>
      </c>
      <c r="U53" s="15">
        <v>8.0000000000000004E-4</v>
      </c>
      <c r="V53" s="13" t="s">
        <v>7</v>
      </c>
    </row>
    <row r="54" spans="1:22" x14ac:dyDescent="0.2">
      <c r="A54" s="13" t="s">
        <v>7</v>
      </c>
      <c r="B54" s="13" t="s">
        <v>220</v>
      </c>
      <c r="C54" s="14">
        <v>3230125</v>
      </c>
      <c r="D54" s="13" t="s">
        <v>127</v>
      </c>
      <c r="E54" s="13" t="s">
        <v>7</v>
      </c>
      <c r="F54" s="14">
        <v>520037789</v>
      </c>
      <c r="G54" s="13" t="s">
        <v>185</v>
      </c>
      <c r="H54" s="13" t="s">
        <v>199</v>
      </c>
      <c r="I54" s="13" t="s">
        <v>87</v>
      </c>
      <c r="J54" s="13" t="s">
        <v>7</v>
      </c>
      <c r="K54" s="16">
        <v>1.96</v>
      </c>
      <c r="L54" s="13" t="s">
        <v>88</v>
      </c>
      <c r="M54" s="15">
        <v>4.9000000000000002E-2</v>
      </c>
      <c r="N54" s="15">
        <v>1.6400000000000001E-2</v>
      </c>
      <c r="O54" s="16">
        <v>2103019.96</v>
      </c>
      <c r="P54" s="16">
        <v>109.61</v>
      </c>
      <c r="Q54" s="16">
        <v>793.34</v>
      </c>
      <c r="R54" s="16">
        <v>3098.46</v>
      </c>
      <c r="S54" s="15">
        <v>5.3E-3</v>
      </c>
      <c r="T54" s="15">
        <v>1.7500000000000002E-2</v>
      </c>
      <c r="U54" s="15">
        <v>8.9999999999999998E-4</v>
      </c>
      <c r="V54" s="13" t="s">
        <v>7</v>
      </c>
    </row>
    <row r="55" spans="1:22" x14ac:dyDescent="0.2">
      <c r="A55" s="13" t="s">
        <v>7</v>
      </c>
      <c r="B55" s="13" t="s">
        <v>221</v>
      </c>
      <c r="C55" s="14">
        <v>3230224</v>
      </c>
      <c r="D55" s="13" t="s">
        <v>127</v>
      </c>
      <c r="E55" s="13" t="s">
        <v>7</v>
      </c>
      <c r="F55" s="14">
        <v>520037789</v>
      </c>
      <c r="G55" s="13" t="s">
        <v>185</v>
      </c>
      <c r="H55" s="13" t="s">
        <v>199</v>
      </c>
      <c r="I55" s="13" t="s">
        <v>87</v>
      </c>
      <c r="J55" s="13" t="s">
        <v>7</v>
      </c>
      <c r="K55" s="16">
        <v>1.36</v>
      </c>
      <c r="L55" s="13" t="s">
        <v>88</v>
      </c>
      <c r="M55" s="15">
        <v>5.8500000000000003E-2</v>
      </c>
      <c r="N55" s="15">
        <v>2.0899999999999998E-2</v>
      </c>
      <c r="O55" s="16">
        <v>3411389.25</v>
      </c>
      <c r="P55" s="16">
        <v>116.09</v>
      </c>
      <c r="Q55" s="16">
        <v>0</v>
      </c>
      <c r="R55" s="16">
        <v>3960.28</v>
      </c>
      <c r="S55" s="15">
        <v>4.7999999999999996E-3</v>
      </c>
      <c r="T55" s="15">
        <v>2.24E-2</v>
      </c>
      <c r="U55" s="15">
        <v>1.1000000000000001E-3</v>
      </c>
      <c r="V55" s="13" t="s">
        <v>7</v>
      </c>
    </row>
    <row r="56" spans="1:22" x14ac:dyDescent="0.2">
      <c r="A56" s="13" t="s">
        <v>7</v>
      </c>
      <c r="B56" s="13" t="s">
        <v>222</v>
      </c>
      <c r="C56" s="14">
        <v>3230208</v>
      </c>
      <c r="D56" s="13" t="s">
        <v>127</v>
      </c>
      <c r="E56" s="13" t="s">
        <v>7</v>
      </c>
      <c r="F56" s="14">
        <v>520037789</v>
      </c>
      <c r="G56" s="13" t="s">
        <v>185</v>
      </c>
      <c r="H56" s="13" t="s">
        <v>199</v>
      </c>
      <c r="I56" s="13" t="s">
        <v>87</v>
      </c>
      <c r="J56" s="13" t="s">
        <v>7</v>
      </c>
      <c r="K56" s="16">
        <v>4.3</v>
      </c>
      <c r="L56" s="13" t="s">
        <v>88</v>
      </c>
      <c r="M56" s="15">
        <v>2.3E-2</v>
      </c>
      <c r="N56" s="15">
        <v>1.5599999999999999E-2</v>
      </c>
      <c r="O56" s="16">
        <v>122564.03</v>
      </c>
      <c r="P56" s="16">
        <v>105.42</v>
      </c>
      <c r="Q56" s="16">
        <v>0</v>
      </c>
      <c r="R56" s="16">
        <v>129.21</v>
      </c>
      <c r="S56" s="15">
        <v>1E-4</v>
      </c>
      <c r="T56" s="15">
        <v>6.9999999999999999E-4</v>
      </c>
      <c r="U56" s="15">
        <v>0</v>
      </c>
      <c r="V56" s="13" t="s">
        <v>7</v>
      </c>
    </row>
    <row r="57" spans="1:22" x14ac:dyDescent="0.2">
      <c r="A57" s="13" t="s">
        <v>7</v>
      </c>
      <c r="B57" s="13" t="s">
        <v>223</v>
      </c>
      <c r="C57" s="14">
        <v>1103670</v>
      </c>
      <c r="D57" s="13" t="s">
        <v>127</v>
      </c>
      <c r="E57" s="13" t="s">
        <v>7</v>
      </c>
      <c r="F57" s="14">
        <v>513937714</v>
      </c>
      <c r="G57" s="13" t="s">
        <v>211</v>
      </c>
      <c r="H57" s="13" t="s">
        <v>196</v>
      </c>
      <c r="I57" s="13" t="s">
        <v>171</v>
      </c>
      <c r="J57" s="13" t="s">
        <v>7</v>
      </c>
      <c r="K57" s="16">
        <v>1.24</v>
      </c>
      <c r="L57" s="13" t="s">
        <v>88</v>
      </c>
      <c r="M57" s="15">
        <v>4.0500000000000001E-2</v>
      </c>
      <c r="N57" s="15">
        <v>9.9000000000000008E-3</v>
      </c>
      <c r="O57" s="16">
        <v>602826.07999999996</v>
      </c>
      <c r="P57" s="16">
        <v>126.25</v>
      </c>
      <c r="Q57" s="16">
        <v>0</v>
      </c>
      <c r="R57" s="16">
        <v>761.07</v>
      </c>
      <c r="S57" s="15">
        <v>8.3000000000000001E-3</v>
      </c>
      <c r="T57" s="15">
        <v>4.3E-3</v>
      </c>
      <c r="U57" s="15">
        <v>2.0000000000000001E-4</v>
      </c>
      <c r="V57" s="13" t="s">
        <v>7</v>
      </c>
    </row>
    <row r="58" spans="1:22" x14ac:dyDescent="0.2">
      <c r="A58" s="13" t="s">
        <v>7</v>
      </c>
      <c r="B58" s="13" t="s">
        <v>224</v>
      </c>
      <c r="C58" s="14">
        <v>1139542</v>
      </c>
      <c r="D58" s="13" t="s">
        <v>127</v>
      </c>
      <c r="E58" s="13" t="s">
        <v>7</v>
      </c>
      <c r="F58" s="14">
        <v>510216054</v>
      </c>
      <c r="G58" s="13" t="s">
        <v>225</v>
      </c>
      <c r="H58" s="13" t="s">
        <v>199</v>
      </c>
      <c r="I58" s="13" t="s">
        <v>87</v>
      </c>
      <c r="J58" s="13" t="s">
        <v>7</v>
      </c>
      <c r="K58" s="16">
        <v>4.03</v>
      </c>
      <c r="L58" s="13" t="s">
        <v>88</v>
      </c>
      <c r="M58" s="15">
        <v>1.9400000000000001E-2</v>
      </c>
      <c r="N58" s="15">
        <v>4.8999999999999998E-3</v>
      </c>
      <c r="O58" s="16">
        <v>1694475.99</v>
      </c>
      <c r="P58" s="16">
        <v>107.43</v>
      </c>
      <c r="Q58" s="16">
        <v>0</v>
      </c>
      <c r="R58" s="16">
        <v>1820.38</v>
      </c>
      <c r="S58" s="15">
        <v>3.0999999999999999E-3</v>
      </c>
      <c r="T58" s="15">
        <v>1.03E-2</v>
      </c>
      <c r="U58" s="15">
        <v>5.0000000000000001E-4</v>
      </c>
      <c r="V58" s="13" t="s">
        <v>7</v>
      </c>
    </row>
    <row r="59" spans="1:22" x14ac:dyDescent="0.2">
      <c r="A59" s="13" t="s">
        <v>7</v>
      </c>
      <c r="B59" s="13" t="s">
        <v>226</v>
      </c>
      <c r="C59" s="14">
        <v>1142595</v>
      </c>
      <c r="D59" s="13" t="s">
        <v>127</v>
      </c>
      <c r="E59" s="13" t="s">
        <v>7</v>
      </c>
      <c r="F59" s="14">
        <v>510216054</v>
      </c>
      <c r="G59" s="13" t="s">
        <v>225</v>
      </c>
      <c r="H59" s="13" t="s">
        <v>199</v>
      </c>
      <c r="I59" s="13" t="s">
        <v>87</v>
      </c>
      <c r="J59" s="13" t="s">
        <v>7</v>
      </c>
      <c r="K59" s="16">
        <v>5.03</v>
      </c>
      <c r="L59" s="13" t="s">
        <v>88</v>
      </c>
      <c r="M59" s="15">
        <v>1.23E-2</v>
      </c>
      <c r="N59" s="15">
        <v>7.9000000000000008E-3</v>
      </c>
      <c r="O59" s="16">
        <v>1329616</v>
      </c>
      <c r="P59" s="16">
        <v>103.25</v>
      </c>
      <c r="Q59" s="16">
        <v>0</v>
      </c>
      <c r="R59" s="16">
        <v>1372.83</v>
      </c>
      <c r="S59" s="15">
        <v>8.0000000000000004E-4</v>
      </c>
      <c r="T59" s="15">
        <v>7.7000000000000002E-3</v>
      </c>
      <c r="U59" s="15">
        <v>4.0000000000000002E-4</v>
      </c>
      <c r="V59" s="13" t="s">
        <v>7</v>
      </c>
    </row>
    <row r="60" spans="1:22" x14ac:dyDescent="0.2">
      <c r="A60" s="13" t="s">
        <v>7</v>
      </c>
      <c r="B60" s="13" t="s">
        <v>227</v>
      </c>
      <c r="C60" s="14">
        <v>1140615</v>
      </c>
      <c r="D60" s="13" t="s">
        <v>127</v>
      </c>
      <c r="E60" s="13" t="s">
        <v>7</v>
      </c>
      <c r="F60" s="14">
        <v>513765859</v>
      </c>
      <c r="G60" s="13" t="s">
        <v>185</v>
      </c>
      <c r="H60" s="13" t="s">
        <v>199</v>
      </c>
      <c r="I60" s="13" t="s">
        <v>87</v>
      </c>
      <c r="J60" s="13" t="s">
        <v>7</v>
      </c>
      <c r="K60" s="16">
        <v>5.21</v>
      </c>
      <c r="L60" s="13" t="s">
        <v>88</v>
      </c>
      <c r="M60" s="15">
        <v>1.6E-2</v>
      </c>
      <c r="N60" s="15">
        <v>1.14E-2</v>
      </c>
      <c r="O60" s="16">
        <v>913640.31</v>
      </c>
      <c r="P60" s="16">
        <v>103.89</v>
      </c>
      <c r="Q60" s="16">
        <v>0</v>
      </c>
      <c r="R60" s="16">
        <v>949.18</v>
      </c>
      <c r="S60" s="15">
        <v>1.6000000000000001E-3</v>
      </c>
      <c r="T60" s="15">
        <v>5.4000000000000003E-3</v>
      </c>
      <c r="U60" s="15">
        <v>2.9999999999999997E-4</v>
      </c>
      <c r="V60" s="13" t="s">
        <v>7</v>
      </c>
    </row>
    <row r="61" spans="1:22" x14ac:dyDescent="0.2">
      <c r="A61" s="13" t="s">
        <v>7</v>
      </c>
      <c r="B61" s="13" t="s">
        <v>228</v>
      </c>
      <c r="C61" s="14">
        <v>1410307</v>
      </c>
      <c r="D61" s="13" t="s">
        <v>127</v>
      </c>
      <c r="E61" s="13" t="s">
        <v>7</v>
      </c>
      <c r="F61" s="14">
        <v>520034372</v>
      </c>
      <c r="G61" s="13" t="s">
        <v>229</v>
      </c>
      <c r="H61" s="13" t="s">
        <v>199</v>
      </c>
      <c r="I61" s="13" t="s">
        <v>87</v>
      </c>
      <c r="J61" s="13" t="s">
        <v>7</v>
      </c>
      <c r="K61" s="16">
        <v>2.87</v>
      </c>
      <c r="L61" s="13" t="s">
        <v>88</v>
      </c>
      <c r="M61" s="15">
        <v>1.7999999999999999E-2</v>
      </c>
      <c r="N61" s="15">
        <v>2.0400000000000001E-2</v>
      </c>
      <c r="O61" s="16">
        <v>3709559.28</v>
      </c>
      <c r="P61" s="16">
        <v>99.9</v>
      </c>
      <c r="Q61" s="16">
        <v>0</v>
      </c>
      <c r="R61" s="16">
        <v>3705.85</v>
      </c>
      <c r="S61" s="15">
        <v>4.4999999999999997E-3</v>
      </c>
      <c r="T61" s="15">
        <v>2.0899999999999998E-2</v>
      </c>
      <c r="U61" s="15">
        <v>1E-3</v>
      </c>
      <c r="V61" s="13" t="s">
        <v>7</v>
      </c>
    </row>
    <row r="62" spans="1:22" x14ac:dyDescent="0.2">
      <c r="A62" s="13" t="s">
        <v>7</v>
      </c>
      <c r="B62" s="13" t="s">
        <v>230</v>
      </c>
      <c r="C62" s="14">
        <v>1124080</v>
      </c>
      <c r="D62" s="13" t="s">
        <v>127</v>
      </c>
      <c r="E62" s="13" t="s">
        <v>7</v>
      </c>
      <c r="F62" s="14">
        <v>513668277</v>
      </c>
      <c r="G62" s="13" t="s">
        <v>167</v>
      </c>
      <c r="H62" s="13" t="s">
        <v>231</v>
      </c>
      <c r="I62" s="13" t="s">
        <v>171</v>
      </c>
      <c r="J62" s="13" t="s">
        <v>7</v>
      </c>
      <c r="K62" s="16">
        <v>0.76</v>
      </c>
      <c r="L62" s="13" t="s">
        <v>88</v>
      </c>
      <c r="M62" s="15">
        <v>4.1500000000000002E-2</v>
      </c>
      <c r="N62" s="15">
        <v>1.66E-2</v>
      </c>
      <c r="O62" s="16">
        <v>559.16</v>
      </c>
      <c r="P62" s="16">
        <v>106.63</v>
      </c>
      <c r="Q62" s="16">
        <v>0</v>
      </c>
      <c r="R62" s="16">
        <v>0.6</v>
      </c>
      <c r="S62" s="15">
        <v>0</v>
      </c>
      <c r="T62" s="15">
        <v>0</v>
      </c>
      <c r="U62" s="15">
        <v>0</v>
      </c>
      <c r="V62" s="13" t="s">
        <v>7</v>
      </c>
    </row>
    <row r="63" spans="1:22" x14ac:dyDescent="0.2">
      <c r="A63" s="13" t="s">
        <v>7</v>
      </c>
      <c r="B63" s="13" t="s">
        <v>232</v>
      </c>
      <c r="C63" s="14">
        <v>1161371</v>
      </c>
      <c r="D63" s="13" t="s">
        <v>127</v>
      </c>
      <c r="E63" s="13" t="s">
        <v>7</v>
      </c>
      <c r="F63" s="14">
        <v>520043795</v>
      </c>
      <c r="G63" s="13" t="s">
        <v>233</v>
      </c>
      <c r="H63" s="13" t="s">
        <v>231</v>
      </c>
      <c r="I63" s="13" t="s">
        <v>171</v>
      </c>
      <c r="J63" s="13" t="s">
        <v>7</v>
      </c>
      <c r="K63" s="16">
        <v>5.75</v>
      </c>
      <c r="L63" s="13" t="s">
        <v>88</v>
      </c>
      <c r="M63" s="15">
        <v>2.1100000000000001E-2</v>
      </c>
      <c r="N63" s="15">
        <v>1.9900000000000001E-2</v>
      </c>
      <c r="O63" s="16">
        <v>806000</v>
      </c>
      <c r="P63" s="16">
        <v>101.4</v>
      </c>
      <c r="Q63" s="16">
        <v>0</v>
      </c>
      <c r="R63" s="16">
        <v>817.28</v>
      </c>
      <c r="S63" s="15">
        <v>2E-3</v>
      </c>
      <c r="T63" s="15">
        <v>4.5999999999999999E-3</v>
      </c>
      <c r="U63" s="15">
        <v>2.0000000000000001E-4</v>
      </c>
      <c r="V63" s="13" t="s">
        <v>7</v>
      </c>
    </row>
    <row r="64" spans="1:22" x14ac:dyDescent="0.2">
      <c r="A64" s="13" t="s">
        <v>7</v>
      </c>
      <c r="B64" s="13" t="s">
        <v>234</v>
      </c>
      <c r="C64" s="14">
        <v>1130467</v>
      </c>
      <c r="D64" s="13" t="s">
        <v>127</v>
      </c>
      <c r="E64" s="13" t="s">
        <v>7</v>
      </c>
      <c r="F64" s="14">
        <v>513765859</v>
      </c>
      <c r="G64" s="13" t="s">
        <v>185</v>
      </c>
      <c r="H64" s="13" t="s">
        <v>235</v>
      </c>
      <c r="I64" s="13" t="s">
        <v>87</v>
      </c>
      <c r="J64" s="13" t="s">
        <v>7</v>
      </c>
      <c r="K64" s="16">
        <v>1.95</v>
      </c>
      <c r="L64" s="13" t="s">
        <v>88</v>
      </c>
      <c r="M64" s="15">
        <v>3.3000000000000002E-2</v>
      </c>
      <c r="N64" s="15">
        <v>2.1899999999999999E-2</v>
      </c>
      <c r="O64" s="16">
        <v>0.74</v>
      </c>
      <c r="P64" s="16">
        <v>103.31</v>
      </c>
      <c r="Q64" s="16">
        <v>0</v>
      </c>
      <c r="R64" s="16">
        <v>0</v>
      </c>
      <c r="S64" s="15">
        <v>0</v>
      </c>
      <c r="T64" s="15">
        <v>0</v>
      </c>
      <c r="U64" s="15">
        <v>0</v>
      </c>
      <c r="V64" s="13" t="s">
        <v>7</v>
      </c>
    </row>
    <row r="65" spans="1:22" x14ac:dyDescent="0.2">
      <c r="A65" s="13" t="s">
        <v>7</v>
      </c>
      <c r="B65" s="13" t="s">
        <v>236</v>
      </c>
      <c r="C65" s="14">
        <v>1168145</v>
      </c>
      <c r="D65" s="13" t="s">
        <v>127</v>
      </c>
      <c r="E65" s="13" t="s">
        <v>7</v>
      </c>
      <c r="F65" s="14">
        <v>513893123</v>
      </c>
      <c r="G65" s="13" t="s">
        <v>233</v>
      </c>
      <c r="H65" s="13" t="s">
        <v>238</v>
      </c>
      <c r="I65" s="13" t="s">
        <v>171</v>
      </c>
      <c r="J65" s="13" t="s">
        <v>7</v>
      </c>
      <c r="K65" s="16">
        <v>1.62</v>
      </c>
      <c r="L65" s="13" t="s">
        <v>88</v>
      </c>
      <c r="M65" s="15">
        <v>1.35E-2</v>
      </c>
      <c r="N65" s="15">
        <v>2.0299999999999999E-2</v>
      </c>
      <c r="O65" s="16">
        <v>2663800.11</v>
      </c>
      <c r="P65" s="16">
        <v>99.05</v>
      </c>
      <c r="Q65" s="16">
        <v>0</v>
      </c>
      <c r="R65" s="16">
        <v>2638.49</v>
      </c>
      <c r="S65" s="15">
        <v>3.8999999999999998E-3</v>
      </c>
      <c r="T65" s="15">
        <v>1.49E-2</v>
      </c>
      <c r="U65" s="15">
        <v>6.9999999999999999E-4</v>
      </c>
      <c r="V65" s="13" t="s">
        <v>7</v>
      </c>
    </row>
    <row r="66" spans="1:22" x14ac:dyDescent="0.2">
      <c r="A66" s="13" t="s">
        <v>7</v>
      </c>
      <c r="B66" s="13" t="s">
        <v>239</v>
      </c>
      <c r="C66" s="14">
        <v>1132828</v>
      </c>
      <c r="D66" s="13" t="s">
        <v>127</v>
      </c>
      <c r="E66" s="13" t="s">
        <v>7</v>
      </c>
      <c r="F66" s="14">
        <v>511930125</v>
      </c>
      <c r="G66" s="13" t="s">
        <v>202</v>
      </c>
      <c r="H66" s="13" t="s">
        <v>240</v>
      </c>
      <c r="I66" s="13" t="s">
        <v>87</v>
      </c>
      <c r="J66" s="13" t="s">
        <v>7</v>
      </c>
      <c r="K66" s="16">
        <v>2.19</v>
      </c>
      <c r="L66" s="13" t="s">
        <v>88</v>
      </c>
      <c r="M66" s="15">
        <v>1.9800000000000002E-2</v>
      </c>
      <c r="N66" s="15">
        <v>2.4400000000000002E-2</v>
      </c>
      <c r="O66" s="16">
        <v>65340.98</v>
      </c>
      <c r="P66" s="16">
        <v>99.6</v>
      </c>
      <c r="Q66" s="16">
        <v>0</v>
      </c>
      <c r="R66" s="16">
        <v>65.08</v>
      </c>
      <c r="S66" s="15">
        <v>1E-4</v>
      </c>
      <c r="T66" s="15">
        <v>4.0000000000000002E-4</v>
      </c>
      <c r="U66" s="15">
        <v>0</v>
      </c>
      <c r="V66" s="13" t="s">
        <v>7</v>
      </c>
    </row>
    <row r="67" spans="1:22" x14ac:dyDescent="0.2">
      <c r="A67" s="13" t="s">
        <v>7</v>
      </c>
      <c r="B67" s="13" t="s">
        <v>241</v>
      </c>
      <c r="C67" s="14">
        <v>1135888</v>
      </c>
      <c r="D67" s="13" t="s">
        <v>127</v>
      </c>
      <c r="E67" s="13" t="s">
        <v>7</v>
      </c>
      <c r="F67" s="14">
        <v>520036104</v>
      </c>
      <c r="G67" s="13" t="s">
        <v>242</v>
      </c>
      <c r="H67" s="13" t="s">
        <v>240</v>
      </c>
      <c r="I67" s="13" t="s">
        <v>87</v>
      </c>
      <c r="J67" s="13" t="s">
        <v>7</v>
      </c>
      <c r="K67" s="16">
        <v>5.7</v>
      </c>
      <c r="L67" s="13" t="s">
        <v>88</v>
      </c>
      <c r="M67" s="15">
        <v>3.9E-2</v>
      </c>
      <c r="N67" s="15">
        <v>2.3199999999999998E-2</v>
      </c>
      <c r="O67" s="16">
        <v>191013.92</v>
      </c>
      <c r="P67" s="16">
        <v>111.6</v>
      </c>
      <c r="Q67" s="16">
        <v>0</v>
      </c>
      <c r="R67" s="16">
        <v>213.17</v>
      </c>
      <c r="S67" s="15">
        <v>1E-4</v>
      </c>
      <c r="T67" s="15">
        <v>1.1999999999999999E-3</v>
      </c>
      <c r="U67" s="15">
        <v>1E-4</v>
      </c>
      <c r="V67" s="13" t="s">
        <v>7</v>
      </c>
    </row>
    <row r="68" spans="1:22" x14ac:dyDescent="0.2">
      <c r="A68" s="13" t="s">
        <v>7</v>
      </c>
      <c r="B68" s="13" t="s">
        <v>243</v>
      </c>
      <c r="C68" s="14">
        <v>6120240</v>
      </c>
      <c r="D68" s="13" t="s">
        <v>127</v>
      </c>
      <c r="E68" s="13" t="s">
        <v>7</v>
      </c>
      <c r="F68" s="14">
        <v>520020116</v>
      </c>
      <c r="G68" s="13" t="s">
        <v>185</v>
      </c>
      <c r="H68" s="13" t="s">
        <v>244</v>
      </c>
      <c r="I68" s="13" t="s">
        <v>87</v>
      </c>
      <c r="J68" s="13" t="s">
        <v>7</v>
      </c>
      <c r="K68" s="16">
        <v>3.53</v>
      </c>
      <c r="L68" s="13" t="s">
        <v>88</v>
      </c>
      <c r="M68" s="15">
        <v>2.2499999999999999E-2</v>
      </c>
      <c r="N68" s="15">
        <v>3.2000000000000001E-2</v>
      </c>
      <c r="O68" s="16">
        <v>1923844</v>
      </c>
      <c r="P68" s="16">
        <v>97.41</v>
      </c>
      <c r="Q68" s="16">
        <v>0</v>
      </c>
      <c r="R68" s="16">
        <v>1874.02</v>
      </c>
      <c r="S68" s="15">
        <v>3.3E-3</v>
      </c>
      <c r="T68" s="15">
        <v>1.06E-2</v>
      </c>
      <c r="U68" s="15">
        <v>5.0000000000000001E-4</v>
      </c>
      <c r="V68" s="13" t="s">
        <v>7</v>
      </c>
    </row>
    <row r="69" spans="1:22" x14ac:dyDescent="0.2">
      <c r="A69" s="13" t="s">
        <v>7</v>
      </c>
      <c r="B69" s="13" t="s">
        <v>245</v>
      </c>
      <c r="C69" s="14">
        <v>6990154</v>
      </c>
      <c r="D69" s="13" t="s">
        <v>127</v>
      </c>
      <c r="E69" s="13" t="s">
        <v>7</v>
      </c>
      <c r="F69" s="14">
        <v>520025438</v>
      </c>
      <c r="G69" s="13" t="s">
        <v>185</v>
      </c>
      <c r="H69" s="13" t="s">
        <v>244</v>
      </c>
      <c r="I69" s="13" t="s">
        <v>87</v>
      </c>
      <c r="J69" s="13" t="s">
        <v>7</v>
      </c>
      <c r="K69" s="16">
        <v>2.59</v>
      </c>
      <c r="L69" s="13" t="s">
        <v>88</v>
      </c>
      <c r="M69" s="15">
        <v>4.9500000000000002E-2</v>
      </c>
      <c r="N69" s="15">
        <v>2.2200000000000001E-2</v>
      </c>
      <c r="O69" s="16">
        <v>4150687</v>
      </c>
      <c r="P69" s="16">
        <v>131</v>
      </c>
      <c r="Q69" s="16">
        <v>0</v>
      </c>
      <c r="R69" s="16">
        <v>5437.4</v>
      </c>
      <c r="S69" s="15">
        <v>2.5999999999999999E-3</v>
      </c>
      <c r="T69" s="15">
        <v>3.0700000000000002E-2</v>
      </c>
      <c r="U69" s="15">
        <v>1.5E-3</v>
      </c>
      <c r="V69" s="13" t="s">
        <v>7</v>
      </c>
    </row>
    <row r="70" spans="1:22" x14ac:dyDescent="0.2">
      <c r="A70" s="13" t="s">
        <v>7</v>
      </c>
      <c r="B70" s="13" t="s">
        <v>246</v>
      </c>
      <c r="C70" s="14">
        <v>1143163</v>
      </c>
      <c r="D70" s="13" t="s">
        <v>127</v>
      </c>
      <c r="E70" s="13" t="s">
        <v>7</v>
      </c>
      <c r="F70" s="14">
        <v>511491839</v>
      </c>
      <c r="G70" s="13" t="s">
        <v>205</v>
      </c>
      <c r="H70" s="13" t="s">
        <v>247</v>
      </c>
      <c r="I70" s="13" t="s">
        <v>87</v>
      </c>
      <c r="J70" s="13" t="s">
        <v>7</v>
      </c>
      <c r="K70" s="16">
        <v>3.6</v>
      </c>
      <c r="L70" s="13" t="s">
        <v>88</v>
      </c>
      <c r="M70" s="15">
        <v>2.9000000000000001E-2</v>
      </c>
      <c r="N70" s="15">
        <v>9.2600000000000002E-2</v>
      </c>
      <c r="O70" s="16">
        <v>1095292.5</v>
      </c>
      <c r="P70" s="16">
        <v>81.260000000000005</v>
      </c>
      <c r="Q70" s="16">
        <v>0</v>
      </c>
      <c r="R70" s="16">
        <v>890.03</v>
      </c>
      <c r="S70" s="15">
        <v>7.7000000000000002E-3</v>
      </c>
      <c r="T70" s="15">
        <v>5.0000000000000001E-3</v>
      </c>
      <c r="U70" s="15">
        <v>2.0000000000000001E-4</v>
      </c>
      <c r="V70" s="13" t="s">
        <v>7</v>
      </c>
    </row>
    <row r="71" spans="1:22" x14ac:dyDescent="0.2">
      <c r="A71" s="13" t="s">
        <v>7</v>
      </c>
      <c r="B71" s="13" t="s">
        <v>248</v>
      </c>
      <c r="C71" s="14">
        <v>6390207</v>
      </c>
      <c r="D71" s="13" t="s">
        <v>127</v>
      </c>
      <c r="E71" s="13" t="s">
        <v>7</v>
      </c>
      <c r="F71" s="14">
        <v>520023896</v>
      </c>
      <c r="G71" s="13" t="s">
        <v>249</v>
      </c>
      <c r="H71" s="13" t="s">
        <v>250</v>
      </c>
      <c r="I71" s="13" t="s">
        <v>87</v>
      </c>
      <c r="J71" s="13" t="s">
        <v>7</v>
      </c>
      <c r="K71" s="16">
        <v>2.4500000000000002</v>
      </c>
      <c r="L71" s="13" t="s">
        <v>88</v>
      </c>
      <c r="M71" s="15">
        <v>4.9500000000000002E-2</v>
      </c>
      <c r="N71" s="15">
        <v>6.4199999999999993E-2</v>
      </c>
      <c r="O71" s="16">
        <v>0.61</v>
      </c>
      <c r="P71" s="16">
        <v>121.03</v>
      </c>
      <c r="Q71" s="16">
        <v>0</v>
      </c>
      <c r="R71" s="16">
        <v>0</v>
      </c>
      <c r="S71" s="15">
        <v>0</v>
      </c>
      <c r="T71" s="15">
        <v>0</v>
      </c>
      <c r="U71" s="15">
        <v>0</v>
      </c>
      <c r="V71" s="13" t="s">
        <v>7</v>
      </c>
    </row>
    <row r="72" spans="1:22" x14ac:dyDescent="0.2">
      <c r="A72" s="13" t="s">
        <v>7</v>
      </c>
      <c r="B72" s="13" t="s">
        <v>251</v>
      </c>
      <c r="C72" s="14">
        <v>7300171</v>
      </c>
      <c r="D72" s="13" t="s">
        <v>127</v>
      </c>
      <c r="E72" s="13" t="s">
        <v>7</v>
      </c>
      <c r="F72" s="14">
        <v>520025586</v>
      </c>
      <c r="G72" s="13" t="s">
        <v>249</v>
      </c>
      <c r="H72" s="13" t="s">
        <v>148</v>
      </c>
      <c r="I72" s="13" t="s">
        <v>129</v>
      </c>
      <c r="J72" s="13" t="s">
        <v>7</v>
      </c>
      <c r="K72" s="16">
        <v>4.8099999999999996</v>
      </c>
      <c r="L72" s="13" t="s">
        <v>88</v>
      </c>
      <c r="M72" s="15">
        <v>3.6999999999999998E-2</v>
      </c>
      <c r="N72" s="15">
        <v>6.1899999999999997E-2</v>
      </c>
      <c r="O72" s="16">
        <v>1506298.01</v>
      </c>
      <c r="P72" s="16">
        <v>90</v>
      </c>
      <c r="Q72" s="16">
        <v>0</v>
      </c>
      <c r="R72" s="16">
        <v>1355.67</v>
      </c>
      <c r="S72" s="15">
        <v>1.5E-3</v>
      </c>
      <c r="T72" s="15">
        <v>7.7000000000000002E-3</v>
      </c>
      <c r="U72" s="15">
        <v>4.0000000000000002E-4</v>
      </c>
      <c r="V72" s="13" t="s">
        <v>7</v>
      </c>
    </row>
    <row r="73" spans="1:22" x14ac:dyDescent="0.2">
      <c r="A73" s="3" t="s">
        <v>7</v>
      </c>
      <c r="B73" s="3" t="s">
        <v>134</v>
      </c>
      <c r="C73" s="3" t="s">
        <v>7</v>
      </c>
      <c r="D73" s="3" t="s">
        <v>7</v>
      </c>
      <c r="E73" s="3" t="s">
        <v>7</v>
      </c>
      <c r="F73" s="3" t="s">
        <v>7</v>
      </c>
      <c r="G73" s="3" t="s">
        <v>7</v>
      </c>
      <c r="H73" s="3" t="s">
        <v>7</v>
      </c>
      <c r="I73" s="3" t="s">
        <v>7</v>
      </c>
      <c r="J73" s="3" t="s">
        <v>7</v>
      </c>
      <c r="K73" s="12">
        <v>3.45</v>
      </c>
      <c r="L73" s="3" t="s">
        <v>7</v>
      </c>
      <c r="M73" s="11">
        <v>3.9699999999999999E-2</v>
      </c>
      <c r="N73" s="11">
        <v>9.5299999999999996E-2</v>
      </c>
      <c r="O73" s="12">
        <v>72233259.379999995</v>
      </c>
      <c r="P73" s="3" t="s">
        <v>7</v>
      </c>
      <c r="Q73" s="12">
        <v>109.08</v>
      </c>
      <c r="R73" s="12">
        <v>64762.989999999991</v>
      </c>
      <c r="S73" s="3" t="s">
        <v>7</v>
      </c>
      <c r="T73" s="11">
        <v>0.36580000000000001</v>
      </c>
      <c r="U73" s="11">
        <v>1.8200000000000001E-2</v>
      </c>
      <c r="V73" s="3" t="s">
        <v>7</v>
      </c>
    </row>
    <row r="74" spans="1:22" x14ac:dyDescent="0.2">
      <c r="A74" s="13" t="s">
        <v>7</v>
      </c>
      <c r="B74" s="13" t="s">
        <v>252</v>
      </c>
      <c r="C74" s="14">
        <v>7480163</v>
      </c>
      <c r="D74" s="13" t="s">
        <v>127</v>
      </c>
      <c r="E74" s="13" t="s">
        <v>7</v>
      </c>
      <c r="F74" s="14">
        <v>520029935</v>
      </c>
      <c r="G74" s="13" t="s">
        <v>167</v>
      </c>
      <c r="H74" s="13" t="s">
        <v>168</v>
      </c>
      <c r="I74" s="13" t="s">
        <v>87</v>
      </c>
      <c r="J74" s="13" t="s">
        <v>7</v>
      </c>
      <c r="K74" s="16">
        <v>4.8600000000000003</v>
      </c>
      <c r="L74" s="13" t="s">
        <v>88</v>
      </c>
      <c r="M74" s="15">
        <v>2.6800000000000001E-2</v>
      </c>
      <c r="N74" s="15">
        <v>9.4999999999999998E-3</v>
      </c>
      <c r="O74" s="16">
        <v>9</v>
      </c>
      <c r="P74" s="16">
        <v>110.81</v>
      </c>
      <c r="Q74" s="16">
        <v>0</v>
      </c>
      <c r="R74" s="16">
        <v>0.01</v>
      </c>
      <c r="S74" s="15">
        <v>0</v>
      </c>
      <c r="T74" s="15">
        <v>0</v>
      </c>
      <c r="U74" s="15">
        <v>0</v>
      </c>
      <c r="V74" s="13" t="s">
        <v>7</v>
      </c>
    </row>
    <row r="75" spans="1:22" x14ac:dyDescent="0.2">
      <c r="A75" s="13" t="s">
        <v>7</v>
      </c>
      <c r="B75" s="13" t="s">
        <v>253</v>
      </c>
      <c r="C75" s="14">
        <v>7480155</v>
      </c>
      <c r="D75" s="13" t="s">
        <v>127</v>
      </c>
      <c r="E75" s="13" t="s">
        <v>7</v>
      </c>
      <c r="F75" s="14">
        <v>520029935</v>
      </c>
      <c r="G75" s="13" t="s">
        <v>167</v>
      </c>
      <c r="H75" s="13" t="s">
        <v>168</v>
      </c>
      <c r="I75" s="13" t="s">
        <v>87</v>
      </c>
      <c r="J75" s="13" t="s">
        <v>7</v>
      </c>
      <c r="K75" s="16">
        <v>2.13</v>
      </c>
      <c r="L75" s="13" t="s">
        <v>88</v>
      </c>
      <c r="M75" s="15">
        <v>1.8700000000000001E-2</v>
      </c>
      <c r="N75" s="15">
        <v>5.8999999999999999E-3</v>
      </c>
      <c r="O75" s="16">
        <v>0.04</v>
      </c>
      <c r="P75" s="16">
        <v>104.28</v>
      </c>
      <c r="Q75" s="16">
        <v>0</v>
      </c>
      <c r="R75" s="16">
        <v>0</v>
      </c>
      <c r="S75" s="15">
        <v>0</v>
      </c>
      <c r="T75" s="15">
        <v>0</v>
      </c>
      <c r="U75" s="15">
        <v>0</v>
      </c>
      <c r="V75" s="13" t="s">
        <v>7</v>
      </c>
    </row>
    <row r="76" spans="1:22" x14ac:dyDescent="0.2">
      <c r="A76" s="13" t="s">
        <v>7</v>
      </c>
      <c r="B76" s="13" t="s">
        <v>254</v>
      </c>
      <c r="C76" s="14">
        <v>1137975</v>
      </c>
      <c r="D76" s="13" t="s">
        <v>127</v>
      </c>
      <c r="E76" s="13" t="s">
        <v>7</v>
      </c>
      <c r="F76" s="14">
        <v>1744984</v>
      </c>
      <c r="G76" s="13" t="s">
        <v>205</v>
      </c>
      <c r="H76" s="13" t="s">
        <v>190</v>
      </c>
      <c r="I76" s="13" t="s">
        <v>87</v>
      </c>
      <c r="J76" s="13" t="s">
        <v>7</v>
      </c>
      <c r="K76" s="16">
        <v>3.01</v>
      </c>
      <c r="L76" s="13" t="s">
        <v>88</v>
      </c>
      <c r="M76" s="15">
        <v>4.3499999999999997E-2</v>
      </c>
      <c r="N76" s="15">
        <v>0.1012</v>
      </c>
      <c r="O76" s="16">
        <v>1000351.43</v>
      </c>
      <c r="P76" s="16">
        <v>86</v>
      </c>
      <c r="Q76" s="16">
        <v>0</v>
      </c>
      <c r="R76" s="16">
        <v>860.3</v>
      </c>
      <c r="S76" s="15">
        <v>5.9999999999999995E-4</v>
      </c>
      <c r="T76" s="15">
        <v>4.8999999999999998E-3</v>
      </c>
      <c r="U76" s="15">
        <v>2.0000000000000001E-4</v>
      </c>
      <c r="V76" s="13" t="s">
        <v>7</v>
      </c>
    </row>
    <row r="77" spans="1:22" x14ac:dyDescent="0.2">
      <c r="A77" s="13" t="s">
        <v>7</v>
      </c>
      <c r="B77" s="13" t="s">
        <v>255</v>
      </c>
      <c r="C77" s="14">
        <v>4160149</v>
      </c>
      <c r="D77" s="13" t="s">
        <v>127</v>
      </c>
      <c r="E77" s="13" t="s">
        <v>7</v>
      </c>
      <c r="F77" s="14">
        <v>520038910</v>
      </c>
      <c r="G77" s="13" t="s">
        <v>185</v>
      </c>
      <c r="H77" s="13" t="s">
        <v>190</v>
      </c>
      <c r="I77" s="13" t="s">
        <v>87</v>
      </c>
      <c r="J77" s="13" t="s">
        <v>7</v>
      </c>
      <c r="K77" s="16">
        <v>1.7</v>
      </c>
      <c r="L77" s="13" t="s">
        <v>88</v>
      </c>
      <c r="M77" s="15">
        <v>4.5999999999999999E-2</v>
      </c>
      <c r="N77" s="15">
        <v>8.2000000000000007E-3</v>
      </c>
      <c r="O77" s="16">
        <v>239200</v>
      </c>
      <c r="P77" s="16">
        <v>107.7</v>
      </c>
      <c r="Q77" s="16">
        <v>0</v>
      </c>
      <c r="R77" s="16">
        <v>257.62</v>
      </c>
      <c r="S77" s="15">
        <v>1.1999999999999999E-3</v>
      </c>
      <c r="T77" s="15">
        <v>1.5E-3</v>
      </c>
      <c r="U77" s="15">
        <v>1E-4</v>
      </c>
      <c r="V77" s="13" t="s">
        <v>7</v>
      </c>
    </row>
    <row r="78" spans="1:22" x14ac:dyDescent="0.2">
      <c r="A78" s="13" t="s">
        <v>7</v>
      </c>
      <c r="B78" s="13" t="s">
        <v>256</v>
      </c>
      <c r="C78" s="14">
        <v>4160156</v>
      </c>
      <c r="D78" s="13" t="s">
        <v>127</v>
      </c>
      <c r="E78" s="13" t="s">
        <v>7</v>
      </c>
      <c r="F78" s="14">
        <v>520038910</v>
      </c>
      <c r="G78" s="13" t="s">
        <v>185</v>
      </c>
      <c r="H78" s="13" t="s">
        <v>190</v>
      </c>
      <c r="I78" s="13" t="s">
        <v>87</v>
      </c>
      <c r="J78" s="13" t="s">
        <v>7</v>
      </c>
      <c r="K78" s="16">
        <v>3.3</v>
      </c>
      <c r="L78" s="13" t="s">
        <v>88</v>
      </c>
      <c r="M78" s="15">
        <v>2.5499999999999998E-2</v>
      </c>
      <c r="N78" s="15">
        <v>8.9999999999999993E-3</v>
      </c>
      <c r="O78" s="16">
        <v>789000</v>
      </c>
      <c r="P78" s="16">
        <v>106.26</v>
      </c>
      <c r="Q78" s="16">
        <v>0</v>
      </c>
      <c r="R78" s="16">
        <v>838.39</v>
      </c>
      <c r="S78" s="15">
        <v>2.3E-3</v>
      </c>
      <c r="T78" s="15">
        <v>4.7000000000000002E-3</v>
      </c>
      <c r="U78" s="15">
        <v>2.0000000000000001E-4</v>
      </c>
      <c r="V78" s="13" t="s">
        <v>7</v>
      </c>
    </row>
    <row r="79" spans="1:22" x14ac:dyDescent="0.2">
      <c r="A79" s="13" t="s">
        <v>7</v>
      </c>
      <c r="B79" s="13" t="s">
        <v>257</v>
      </c>
      <c r="C79" s="14">
        <v>6000202</v>
      </c>
      <c r="D79" s="13" t="s">
        <v>127</v>
      </c>
      <c r="E79" s="13" t="s">
        <v>7</v>
      </c>
      <c r="F79" s="14">
        <v>520000472</v>
      </c>
      <c r="G79" s="13" t="s">
        <v>225</v>
      </c>
      <c r="H79" s="13" t="s">
        <v>258</v>
      </c>
      <c r="I79" s="13" t="s">
        <v>171</v>
      </c>
      <c r="J79" s="13" t="s">
        <v>7</v>
      </c>
      <c r="K79" s="16">
        <v>2.0299999999999998</v>
      </c>
      <c r="L79" s="13" t="s">
        <v>88</v>
      </c>
      <c r="M79" s="15">
        <v>4.8000000000000001E-2</v>
      </c>
      <c r="N79" s="15">
        <v>6.1999999999999998E-3</v>
      </c>
      <c r="O79" s="16">
        <v>513238.75</v>
      </c>
      <c r="P79" s="16">
        <v>108.52</v>
      </c>
      <c r="Q79" s="16">
        <v>30.87</v>
      </c>
      <c r="R79" s="16">
        <v>587.83000000000004</v>
      </c>
      <c r="S79" s="15">
        <v>2.9999999999999997E-4</v>
      </c>
      <c r="T79" s="15">
        <v>3.3E-3</v>
      </c>
      <c r="U79" s="15">
        <v>2.0000000000000001E-4</v>
      </c>
      <c r="V79" s="13" t="s">
        <v>7</v>
      </c>
    </row>
    <row r="80" spans="1:22" x14ac:dyDescent="0.2">
      <c r="A80" s="13" t="s">
        <v>7</v>
      </c>
      <c r="B80" s="13" t="s">
        <v>259</v>
      </c>
      <c r="C80" s="14">
        <v>1157536</v>
      </c>
      <c r="D80" s="13" t="s">
        <v>127</v>
      </c>
      <c r="E80" s="13" t="s">
        <v>7</v>
      </c>
      <c r="F80" s="14">
        <v>1773</v>
      </c>
      <c r="G80" s="13" t="s">
        <v>233</v>
      </c>
      <c r="H80" s="13" t="s">
        <v>258</v>
      </c>
      <c r="I80" s="13" t="s">
        <v>171</v>
      </c>
      <c r="J80" s="13" t="s">
        <v>7</v>
      </c>
      <c r="K80" s="16">
        <v>1.89</v>
      </c>
      <c r="L80" s="13" t="s">
        <v>88</v>
      </c>
      <c r="M80" s="15">
        <v>1.49E-2</v>
      </c>
      <c r="N80" s="15">
        <v>6.1999999999999998E-3</v>
      </c>
      <c r="O80" s="16">
        <v>0.85</v>
      </c>
      <c r="P80" s="16">
        <v>102.15</v>
      </c>
      <c r="Q80" s="16">
        <v>0</v>
      </c>
      <c r="R80" s="16">
        <v>0</v>
      </c>
      <c r="S80" s="15">
        <v>0</v>
      </c>
      <c r="T80" s="15">
        <v>0</v>
      </c>
      <c r="U80" s="15">
        <v>0</v>
      </c>
      <c r="V80" s="13" t="s">
        <v>7</v>
      </c>
    </row>
    <row r="81" spans="1:22" x14ac:dyDescent="0.2">
      <c r="A81" s="13" t="s">
        <v>7</v>
      </c>
      <c r="B81" s="13" t="s">
        <v>260</v>
      </c>
      <c r="C81" s="14">
        <v>5660063</v>
      </c>
      <c r="D81" s="13" t="s">
        <v>127</v>
      </c>
      <c r="E81" s="13" t="s">
        <v>7</v>
      </c>
      <c r="F81" s="14">
        <v>520007469</v>
      </c>
      <c r="G81" s="13" t="s">
        <v>211</v>
      </c>
      <c r="H81" s="13" t="s">
        <v>258</v>
      </c>
      <c r="I81" s="13" t="s">
        <v>171</v>
      </c>
      <c r="J81" s="13" t="s">
        <v>7</v>
      </c>
      <c r="K81" s="16">
        <v>3.4</v>
      </c>
      <c r="L81" s="13" t="s">
        <v>88</v>
      </c>
      <c r="M81" s="15">
        <v>2.9399999999999999E-2</v>
      </c>
      <c r="N81" s="15">
        <v>7.9000000000000008E-3</v>
      </c>
      <c r="O81" s="16">
        <v>453885.9</v>
      </c>
      <c r="P81" s="16">
        <v>107.4</v>
      </c>
      <c r="Q81" s="16">
        <v>0</v>
      </c>
      <c r="R81" s="16">
        <v>487.47</v>
      </c>
      <c r="S81" s="15">
        <v>1.4E-3</v>
      </c>
      <c r="T81" s="15">
        <v>2.7000000000000001E-3</v>
      </c>
      <c r="U81" s="15">
        <v>1E-4</v>
      </c>
      <c r="V81" s="13" t="s">
        <v>7</v>
      </c>
    </row>
    <row r="82" spans="1:22" x14ac:dyDescent="0.2">
      <c r="A82" s="13" t="s">
        <v>7</v>
      </c>
      <c r="B82" s="13" t="s">
        <v>261</v>
      </c>
      <c r="C82" s="14">
        <v>6430169</v>
      </c>
      <c r="D82" s="13" t="s">
        <v>127</v>
      </c>
      <c r="E82" s="13" t="s">
        <v>7</v>
      </c>
      <c r="F82" s="14">
        <v>520020942</v>
      </c>
      <c r="G82" s="13" t="s">
        <v>262</v>
      </c>
      <c r="H82" s="13" t="s">
        <v>190</v>
      </c>
      <c r="I82" s="13" t="s">
        <v>87</v>
      </c>
      <c r="J82" s="13" t="s">
        <v>7</v>
      </c>
      <c r="K82" s="16">
        <v>2.17</v>
      </c>
      <c r="L82" s="13" t="s">
        <v>88</v>
      </c>
      <c r="M82" s="15">
        <v>2.3599999999999999E-2</v>
      </c>
      <c r="N82" s="15">
        <v>9.7000000000000003E-3</v>
      </c>
      <c r="O82" s="16">
        <v>1051050.0900000001</v>
      </c>
      <c r="P82" s="16">
        <v>103.47</v>
      </c>
      <c r="Q82" s="16">
        <v>0</v>
      </c>
      <c r="R82" s="16">
        <v>1087.52</v>
      </c>
      <c r="S82" s="15">
        <v>3.8E-3</v>
      </c>
      <c r="T82" s="15">
        <v>6.1000000000000004E-3</v>
      </c>
      <c r="U82" s="15">
        <v>2.9999999999999997E-4</v>
      </c>
      <c r="V82" s="13" t="s">
        <v>7</v>
      </c>
    </row>
    <row r="83" spans="1:22" x14ac:dyDescent="0.2">
      <c r="A83" s="13" t="s">
        <v>7</v>
      </c>
      <c r="B83" s="13" t="s">
        <v>263</v>
      </c>
      <c r="C83" s="14">
        <v>1130939</v>
      </c>
      <c r="D83" s="13" t="s">
        <v>127</v>
      </c>
      <c r="E83" s="13" t="s">
        <v>7</v>
      </c>
      <c r="F83" s="14">
        <v>520043720</v>
      </c>
      <c r="G83" s="13" t="s">
        <v>205</v>
      </c>
      <c r="H83" s="13" t="s">
        <v>258</v>
      </c>
      <c r="I83" s="13" t="s">
        <v>171</v>
      </c>
      <c r="J83" s="13" t="s">
        <v>7</v>
      </c>
      <c r="K83" s="16">
        <v>2.41</v>
      </c>
      <c r="L83" s="13" t="s">
        <v>88</v>
      </c>
      <c r="M83" s="15">
        <v>6.4000000000000001E-2</v>
      </c>
      <c r="N83" s="15">
        <v>1.0200000000000001E-2</v>
      </c>
      <c r="O83" s="16">
        <v>1574721.48</v>
      </c>
      <c r="P83" s="16">
        <v>114.71</v>
      </c>
      <c r="Q83" s="16">
        <v>0</v>
      </c>
      <c r="R83" s="16">
        <v>1806.36</v>
      </c>
      <c r="S83" s="15">
        <v>8.5000000000000006E-3</v>
      </c>
      <c r="T83" s="15">
        <v>1.0200000000000001E-2</v>
      </c>
      <c r="U83" s="15">
        <v>5.0000000000000001E-4</v>
      </c>
      <c r="V83" s="13" t="s">
        <v>7</v>
      </c>
    </row>
    <row r="84" spans="1:22" x14ac:dyDescent="0.2">
      <c r="A84" s="13" t="s">
        <v>7</v>
      </c>
      <c r="B84" s="13" t="s">
        <v>265</v>
      </c>
      <c r="C84" s="14">
        <v>1156405</v>
      </c>
      <c r="D84" s="13" t="s">
        <v>127</v>
      </c>
      <c r="E84" s="13" t="s">
        <v>7</v>
      </c>
      <c r="F84" s="14">
        <v>520043720</v>
      </c>
      <c r="G84" s="13" t="s">
        <v>205</v>
      </c>
      <c r="H84" s="13" t="s">
        <v>258</v>
      </c>
      <c r="I84" s="13" t="s">
        <v>171</v>
      </c>
      <c r="J84" s="13" t="s">
        <v>7</v>
      </c>
      <c r="K84" s="16">
        <v>0.33</v>
      </c>
      <c r="L84" s="13" t="s">
        <v>88</v>
      </c>
      <c r="M84" s="15">
        <v>2.1700000000000001E-2</v>
      </c>
      <c r="N84" s="15">
        <v>6.9999999999999999E-4</v>
      </c>
      <c r="O84" s="16">
        <v>421596.9</v>
      </c>
      <c r="P84" s="16">
        <v>101.06</v>
      </c>
      <c r="Q84" s="16">
        <v>0</v>
      </c>
      <c r="R84" s="16">
        <v>426.07</v>
      </c>
      <c r="S84" s="15">
        <v>2.3E-3</v>
      </c>
      <c r="T84" s="15">
        <v>2.3999999999999998E-3</v>
      </c>
      <c r="U84" s="15">
        <v>1E-4</v>
      </c>
      <c r="V84" s="13" t="s">
        <v>7</v>
      </c>
    </row>
    <row r="85" spans="1:22" x14ac:dyDescent="0.2">
      <c r="A85" s="13" t="s">
        <v>7</v>
      </c>
      <c r="B85" s="13" t="s">
        <v>266</v>
      </c>
      <c r="C85" s="14">
        <v>1145598</v>
      </c>
      <c r="D85" s="13" t="s">
        <v>127</v>
      </c>
      <c r="E85" s="13" t="s">
        <v>7</v>
      </c>
      <c r="F85" s="14">
        <v>1737</v>
      </c>
      <c r="G85" s="13" t="s">
        <v>205</v>
      </c>
      <c r="H85" s="13" t="s">
        <v>190</v>
      </c>
      <c r="I85" s="13" t="s">
        <v>87</v>
      </c>
      <c r="J85" s="13" t="s">
        <v>7</v>
      </c>
      <c r="K85" s="16">
        <v>2.62</v>
      </c>
      <c r="L85" s="13" t="s">
        <v>88</v>
      </c>
      <c r="M85" s="15">
        <v>3.3799999999999997E-2</v>
      </c>
      <c r="N85" s="15">
        <v>2.6100000000000002E-2</v>
      </c>
      <c r="O85" s="16">
        <v>32000</v>
      </c>
      <c r="P85" s="16">
        <v>102.9</v>
      </c>
      <c r="Q85" s="16">
        <v>0</v>
      </c>
      <c r="R85" s="16">
        <v>32.93</v>
      </c>
      <c r="S85" s="15">
        <v>0</v>
      </c>
      <c r="T85" s="15">
        <v>2.0000000000000001E-4</v>
      </c>
      <c r="U85" s="15">
        <v>0</v>
      </c>
      <c r="V85" s="13" t="s">
        <v>7</v>
      </c>
    </row>
    <row r="86" spans="1:22" x14ac:dyDescent="0.2">
      <c r="A86" s="13" t="s">
        <v>7</v>
      </c>
      <c r="B86" s="13" t="s">
        <v>267</v>
      </c>
      <c r="C86" s="14">
        <v>1160597</v>
      </c>
      <c r="D86" s="13" t="s">
        <v>127</v>
      </c>
      <c r="E86" s="13" t="s">
        <v>7</v>
      </c>
      <c r="F86" s="14">
        <v>1737</v>
      </c>
      <c r="G86" s="13" t="s">
        <v>205</v>
      </c>
      <c r="H86" s="13" t="s">
        <v>190</v>
      </c>
      <c r="I86" s="13" t="s">
        <v>87</v>
      </c>
      <c r="J86" s="13" t="s">
        <v>7</v>
      </c>
      <c r="K86" s="16">
        <v>5.6</v>
      </c>
      <c r="L86" s="13" t="s">
        <v>88</v>
      </c>
      <c r="M86" s="15">
        <v>3.49E-2</v>
      </c>
      <c r="N86" s="15">
        <v>4.24E-2</v>
      </c>
      <c r="O86" s="16">
        <v>3089986</v>
      </c>
      <c r="P86" s="16">
        <v>97</v>
      </c>
      <c r="Q86" s="16">
        <v>0</v>
      </c>
      <c r="R86" s="16">
        <v>2997.29</v>
      </c>
      <c r="S86" s="15">
        <v>9.1999999999999998E-3</v>
      </c>
      <c r="T86" s="15">
        <v>1.6899999999999998E-2</v>
      </c>
      <c r="U86" s="15">
        <v>8.0000000000000004E-4</v>
      </c>
      <c r="V86" s="13" t="s">
        <v>7</v>
      </c>
    </row>
    <row r="87" spans="1:22" x14ac:dyDescent="0.2">
      <c r="A87" s="13" t="s">
        <v>7</v>
      </c>
      <c r="B87" s="13" t="s">
        <v>268</v>
      </c>
      <c r="C87" s="14">
        <v>7770209</v>
      </c>
      <c r="D87" s="13" t="s">
        <v>127</v>
      </c>
      <c r="E87" s="13" t="s">
        <v>7</v>
      </c>
      <c r="F87" s="14">
        <v>520022732</v>
      </c>
      <c r="G87" s="13" t="s">
        <v>194</v>
      </c>
      <c r="H87" s="13" t="s">
        <v>190</v>
      </c>
      <c r="I87" s="13" t="s">
        <v>87</v>
      </c>
      <c r="J87" s="13" t="s">
        <v>7</v>
      </c>
      <c r="K87" s="16">
        <v>4.68</v>
      </c>
      <c r="L87" s="13" t="s">
        <v>88</v>
      </c>
      <c r="M87" s="15">
        <v>5.0900000000000001E-2</v>
      </c>
      <c r="N87" s="15">
        <v>1.0800000000000001E-2</v>
      </c>
      <c r="O87" s="16">
        <v>0.24</v>
      </c>
      <c r="P87" s="16">
        <v>119.25</v>
      </c>
      <c r="Q87" s="16">
        <v>0</v>
      </c>
      <c r="R87" s="16">
        <v>0</v>
      </c>
      <c r="S87" s="15">
        <v>0</v>
      </c>
      <c r="T87" s="15">
        <v>0</v>
      </c>
      <c r="U87" s="15">
        <v>0</v>
      </c>
      <c r="V87" s="13" t="s">
        <v>7</v>
      </c>
    </row>
    <row r="88" spans="1:22" x14ac:dyDescent="0.2">
      <c r="A88" s="13" t="s">
        <v>7</v>
      </c>
      <c r="B88" s="13" t="s">
        <v>269</v>
      </c>
      <c r="C88" s="14">
        <v>1160852</v>
      </c>
      <c r="D88" s="13" t="s">
        <v>127</v>
      </c>
      <c r="E88" s="13" t="s">
        <v>7</v>
      </c>
      <c r="F88" s="14">
        <v>512711789</v>
      </c>
      <c r="G88" s="13" t="s">
        <v>233</v>
      </c>
      <c r="H88" s="13" t="s">
        <v>196</v>
      </c>
      <c r="I88" s="13" t="s">
        <v>171</v>
      </c>
      <c r="J88" s="13" t="s">
        <v>7</v>
      </c>
      <c r="K88" s="16">
        <v>1.24</v>
      </c>
      <c r="L88" s="13" t="s">
        <v>88</v>
      </c>
      <c r="M88" s="15">
        <v>1.1900000000000001E-2</v>
      </c>
      <c r="N88" s="15">
        <v>2.53E-2</v>
      </c>
      <c r="O88" s="16">
        <v>4800000</v>
      </c>
      <c r="P88" s="16">
        <v>99.5</v>
      </c>
      <c r="Q88" s="16">
        <v>0</v>
      </c>
      <c r="R88" s="16">
        <v>4776</v>
      </c>
      <c r="S88" s="15">
        <v>9.1999999999999998E-3</v>
      </c>
      <c r="T88" s="15">
        <v>2.7E-2</v>
      </c>
      <c r="U88" s="15">
        <v>1.2999999999999999E-3</v>
      </c>
      <c r="V88" s="13" t="s">
        <v>7</v>
      </c>
    </row>
    <row r="89" spans="1:22" x14ac:dyDescent="0.2">
      <c r="A89" s="13" t="s">
        <v>7</v>
      </c>
      <c r="B89" s="13" t="s">
        <v>270</v>
      </c>
      <c r="C89" s="14">
        <v>7670201</v>
      </c>
      <c r="D89" s="13" t="s">
        <v>127</v>
      </c>
      <c r="E89" s="13" t="s">
        <v>7</v>
      </c>
      <c r="F89" s="14">
        <v>520017450</v>
      </c>
      <c r="G89" s="13" t="s">
        <v>211</v>
      </c>
      <c r="H89" s="13" t="s">
        <v>199</v>
      </c>
      <c r="I89" s="13" t="s">
        <v>87</v>
      </c>
      <c r="J89" s="13" t="s">
        <v>7</v>
      </c>
      <c r="K89" s="16">
        <v>4.1399999999999997</v>
      </c>
      <c r="L89" s="13" t="s">
        <v>88</v>
      </c>
      <c r="M89" s="15">
        <v>2.2200000000000001E-2</v>
      </c>
      <c r="N89" s="15">
        <v>1.32E-2</v>
      </c>
      <c r="O89" s="16">
        <v>1233898</v>
      </c>
      <c r="P89" s="16">
        <v>104.17</v>
      </c>
      <c r="Q89" s="16">
        <v>0</v>
      </c>
      <c r="R89" s="16">
        <v>1285.3499999999999</v>
      </c>
      <c r="S89" s="15">
        <v>4.4999999999999997E-3</v>
      </c>
      <c r="T89" s="15">
        <v>7.3000000000000001E-3</v>
      </c>
      <c r="U89" s="15">
        <v>4.0000000000000002E-4</v>
      </c>
      <c r="V89" s="13" t="s">
        <v>7</v>
      </c>
    </row>
    <row r="90" spans="1:22" x14ac:dyDescent="0.2">
      <c r="A90" s="13" t="s">
        <v>7</v>
      </c>
      <c r="B90" s="13" t="s">
        <v>271</v>
      </c>
      <c r="C90" s="14">
        <v>1139815</v>
      </c>
      <c r="D90" s="13" t="s">
        <v>127</v>
      </c>
      <c r="E90" s="13" t="s">
        <v>7</v>
      </c>
      <c r="F90" s="14">
        <v>514290345</v>
      </c>
      <c r="G90" s="13" t="s">
        <v>211</v>
      </c>
      <c r="H90" s="13" t="s">
        <v>199</v>
      </c>
      <c r="I90" s="13" t="s">
        <v>87</v>
      </c>
      <c r="J90" s="13" t="s">
        <v>7</v>
      </c>
      <c r="K90" s="16">
        <v>4.4800000000000004</v>
      </c>
      <c r="L90" s="13" t="s">
        <v>88</v>
      </c>
      <c r="M90" s="15">
        <v>3.61E-2</v>
      </c>
      <c r="N90" s="15">
        <v>1.2800000000000001E-2</v>
      </c>
      <c r="O90" s="16">
        <v>636840</v>
      </c>
      <c r="P90" s="16">
        <v>111.5</v>
      </c>
      <c r="Q90" s="16">
        <v>0</v>
      </c>
      <c r="R90" s="16">
        <v>710.08</v>
      </c>
      <c r="S90" s="15">
        <v>8.0000000000000004E-4</v>
      </c>
      <c r="T90" s="15">
        <v>4.0000000000000001E-3</v>
      </c>
      <c r="U90" s="15">
        <v>2.0000000000000001E-4</v>
      </c>
      <c r="V90" s="13" t="s">
        <v>7</v>
      </c>
    </row>
    <row r="91" spans="1:22" x14ac:dyDescent="0.2">
      <c r="A91" s="13" t="s">
        <v>7</v>
      </c>
      <c r="B91" s="13" t="s">
        <v>272</v>
      </c>
      <c r="C91" s="14">
        <v>1136316</v>
      </c>
      <c r="D91" s="13" t="s">
        <v>127</v>
      </c>
      <c r="E91" s="13" t="s">
        <v>7</v>
      </c>
      <c r="F91" s="14">
        <v>513834200</v>
      </c>
      <c r="G91" s="13" t="s">
        <v>211</v>
      </c>
      <c r="H91" s="13" t="s">
        <v>199</v>
      </c>
      <c r="I91" s="13" t="s">
        <v>87</v>
      </c>
      <c r="J91" s="13" t="s">
        <v>7</v>
      </c>
      <c r="K91" s="16">
        <v>6.34</v>
      </c>
      <c r="L91" s="13" t="s">
        <v>88</v>
      </c>
      <c r="M91" s="15">
        <v>4.36E-2</v>
      </c>
      <c r="N91" s="15">
        <v>1.5299999999999999E-2</v>
      </c>
      <c r="O91" s="16">
        <v>1058399</v>
      </c>
      <c r="P91" s="16">
        <v>120.5</v>
      </c>
      <c r="Q91" s="16">
        <v>0</v>
      </c>
      <c r="R91" s="16">
        <v>1275.3699999999999</v>
      </c>
      <c r="S91" s="15">
        <v>3.5000000000000001E-3</v>
      </c>
      <c r="T91" s="15">
        <v>7.1999999999999998E-3</v>
      </c>
      <c r="U91" s="15">
        <v>4.0000000000000002E-4</v>
      </c>
      <c r="V91" s="13" t="s">
        <v>7</v>
      </c>
    </row>
    <row r="92" spans="1:22" x14ac:dyDescent="0.2">
      <c r="A92" s="13" t="s">
        <v>7</v>
      </c>
      <c r="B92" s="13" t="s">
        <v>273</v>
      </c>
      <c r="C92" s="14">
        <v>1138494</v>
      </c>
      <c r="D92" s="13" t="s">
        <v>127</v>
      </c>
      <c r="E92" s="13" t="s">
        <v>7</v>
      </c>
      <c r="F92" s="14">
        <v>520041997</v>
      </c>
      <c r="G92" s="13" t="s">
        <v>274</v>
      </c>
      <c r="H92" s="13" t="s">
        <v>199</v>
      </c>
      <c r="I92" s="13" t="s">
        <v>87</v>
      </c>
      <c r="J92" s="13" t="s">
        <v>7</v>
      </c>
      <c r="K92" s="16">
        <v>1.48</v>
      </c>
      <c r="L92" s="13" t="s">
        <v>88</v>
      </c>
      <c r="M92" s="15">
        <v>2.7900000000000001E-2</v>
      </c>
      <c r="N92" s="15">
        <v>-2E-3</v>
      </c>
      <c r="O92" s="16">
        <v>0.62</v>
      </c>
      <c r="P92" s="16">
        <v>104.5</v>
      </c>
      <c r="Q92" s="16">
        <v>0</v>
      </c>
      <c r="R92" s="16">
        <v>0</v>
      </c>
      <c r="S92" s="15">
        <v>0</v>
      </c>
      <c r="T92" s="15">
        <v>0</v>
      </c>
      <c r="U92" s="15">
        <v>0</v>
      </c>
      <c r="V92" s="13" t="s">
        <v>7</v>
      </c>
    </row>
    <row r="93" spans="1:22" x14ac:dyDescent="0.2">
      <c r="A93" s="13" t="s">
        <v>7</v>
      </c>
      <c r="B93" s="13" t="s">
        <v>275</v>
      </c>
      <c r="C93" s="14">
        <v>1160647</v>
      </c>
      <c r="D93" s="13" t="s">
        <v>127</v>
      </c>
      <c r="E93" s="13" t="s">
        <v>7</v>
      </c>
      <c r="F93" s="14">
        <v>513754069</v>
      </c>
      <c r="G93" s="13" t="s">
        <v>211</v>
      </c>
      <c r="H93" s="13" t="s">
        <v>199</v>
      </c>
      <c r="I93" s="13" t="s">
        <v>87</v>
      </c>
      <c r="J93" s="13" t="s">
        <v>7</v>
      </c>
      <c r="K93" s="16">
        <v>8.48</v>
      </c>
      <c r="L93" s="13" t="s">
        <v>88</v>
      </c>
      <c r="M93" s="15">
        <v>2.64E-2</v>
      </c>
      <c r="N93" s="15">
        <v>2.35E-2</v>
      </c>
      <c r="O93" s="16">
        <v>4049076.16</v>
      </c>
      <c r="P93" s="16">
        <v>102.61</v>
      </c>
      <c r="Q93" s="16">
        <v>0</v>
      </c>
      <c r="R93" s="16">
        <v>4154.76</v>
      </c>
      <c r="S93" s="15">
        <v>2.5000000000000001E-3</v>
      </c>
      <c r="T93" s="15">
        <v>2.35E-2</v>
      </c>
      <c r="U93" s="15">
        <v>1.1999999999999999E-3</v>
      </c>
      <c r="V93" s="13" t="s">
        <v>7</v>
      </c>
    </row>
    <row r="94" spans="1:22" x14ac:dyDescent="0.2">
      <c r="A94" s="13" t="s">
        <v>7</v>
      </c>
      <c r="B94" s="13" t="s">
        <v>276</v>
      </c>
      <c r="C94" s="14">
        <v>1136068</v>
      </c>
      <c r="D94" s="13" t="s">
        <v>127</v>
      </c>
      <c r="E94" s="13" t="s">
        <v>7</v>
      </c>
      <c r="F94" s="14">
        <v>513754069</v>
      </c>
      <c r="G94" s="13" t="s">
        <v>211</v>
      </c>
      <c r="H94" s="13" t="s">
        <v>199</v>
      </c>
      <c r="I94" s="13" t="s">
        <v>87</v>
      </c>
      <c r="J94" s="13" t="s">
        <v>7</v>
      </c>
      <c r="K94" s="16">
        <v>3.59</v>
      </c>
      <c r="L94" s="13" t="s">
        <v>88</v>
      </c>
      <c r="M94" s="15">
        <v>3.9199999999999999E-2</v>
      </c>
      <c r="N94" s="15">
        <v>1.3599999999999999E-2</v>
      </c>
      <c r="O94" s="16">
        <v>1942262</v>
      </c>
      <c r="P94" s="16">
        <v>110.2</v>
      </c>
      <c r="Q94" s="16">
        <v>0</v>
      </c>
      <c r="R94" s="16">
        <v>2140.37</v>
      </c>
      <c r="S94" s="15">
        <v>2E-3</v>
      </c>
      <c r="T94" s="15">
        <v>1.21E-2</v>
      </c>
      <c r="U94" s="15">
        <v>5.9999999999999995E-4</v>
      </c>
      <c r="V94" s="13" t="s">
        <v>7</v>
      </c>
    </row>
    <row r="95" spans="1:22" x14ac:dyDescent="0.2">
      <c r="A95" s="13" t="s">
        <v>7</v>
      </c>
      <c r="B95" s="13" t="s">
        <v>277</v>
      </c>
      <c r="C95" s="14">
        <v>2260438</v>
      </c>
      <c r="D95" s="13" t="s">
        <v>127</v>
      </c>
      <c r="E95" s="13" t="s">
        <v>7</v>
      </c>
      <c r="F95" s="14">
        <v>520024126</v>
      </c>
      <c r="G95" s="13" t="s">
        <v>185</v>
      </c>
      <c r="H95" s="13" t="s">
        <v>199</v>
      </c>
      <c r="I95" s="13" t="s">
        <v>87</v>
      </c>
      <c r="J95" s="13" t="s">
        <v>7</v>
      </c>
      <c r="K95" s="16">
        <v>3.87</v>
      </c>
      <c r="L95" s="13" t="s">
        <v>88</v>
      </c>
      <c r="M95" s="15">
        <v>5.6500000000000002E-2</v>
      </c>
      <c r="N95" s="15">
        <v>1.66E-2</v>
      </c>
      <c r="O95" s="16">
        <v>1320470.6299999999</v>
      </c>
      <c r="P95" s="16">
        <v>117.6</v>
      </c>
      <c r="Q95" s="16">
        <v>0</v>
      </c>
      <c r="R95" s="16">
        <v>1552.87</v>
      </c>
      <c r="S95" s="15">
        <v>4.1999999999999997E-3</v>
      </c>
      <c r="T95" s="15">
        <v>8.8000000000000005E-3</v>
      </c>
      <c r="U95" s="15">
        <v>4.0000000000000002E-4</v>
      </c>
      <c r="V95" s="13" t="s">
        <v>7</v>
      </c>
    </row>
    <row r="96" spans="1:22" x14ac:dyDescent="0.2">
      <c r="A96" s="13" t="s">
        <v>7</v>
      </c>
      <c r="B96" s="13" t="s">
        <v>278</v>
      </c>
      <c r="C96" s="14">
        <v>1135862</v>
      </c>
      <c r="D96" s="13" t="s">
        <v>127</v>
      </c>
      <c r="E96" s="13" t="s">
        <v>7</v>
      </c>
      <c r="F96" s="14">
        <v>513230029</v>
      </c>
      <c r="G96" s="13" t="s">
        <v>211</v>
      </c>
      <c r="H96" s="13" t="s">
        <v>196</v>
      </c>
      <c r="I96" s="13" t="s">
        <v>171</v>
      </c>
      <c r="J96" s="13" t="s">
        <v>7</v>
      </c>
      <c r="K96" s="16">
        <v>2.4</v>
      </c>
      <c r="L96" s="13" t="s">
        <v>88</v>
      </c>
      <c r="M96" s="15">
        <v>3.5799999999999998E-2</v>
      </c>
      <c r="N96" s="15">
        <v>1.54E-2</v>
      </c>
      <c r="O96" s="16">
        <v>3500000</v>
      </c>
      <c r="P96" s="16">
        <v>106.76</v>
      </c>
      <c r="Q96" s="16">
        <v>0</v>
      </c>
      <c r="R96" s="16">
        <v>3736.6</v>
      </c>
      <c r="S96" s="15">
        <v>2.8999999999999998E-3</v>
      </c>
      <c r="T96" s="15">
        <v>2.1100000000000001E-2</v>
      </c>
      <c r="U96" s="15">
        <v>1E-3</v>
      </c>
      <c r="V96" s="13" t="s">
        <v>7</v>
      </c>
    </row>
    <row r="97" spans="1:22" x14ac:dyDescent="0.2">
      <c r="A97" s="13" t="s">
        <v>7</v>
      </c>
      <c r="B97" s="13" t="s">
        <v>279</v>
      </c>
      <c r="C97" s="14">
        <v>1160258</v>
      </c>
      <c r="D97" s="13" t="s">
        <v>127</v>
      </c>
      <c r="E97" s="13" t="s">
        <v>7</v>
      </c>
      <c r="F97" s="14">
        <v>1905761</v>
      </c>
      <c r="G97" s="13" t="s">
        <v>205</v>
      </c>
      <c r="H97" s="13" t="s">
        <v>199</v>
      </c>
      <c r="I97" s="13" t="s">
        <v>87</v>
      </c>
      <c r="J97" s="13" t="s">
        <v>7</v>
      </c>
      <c r="K97" s="16">
        <v>4.8899999999999997</v>
      </c>
      <c r="L97" s="13" t="s">
        <v>88</v>
      </c>
      <c r="M97" s="15">
        <v>4.4999999999999998E-2</v>
      </c>
      <c r="N97" s="15">
        <v>5.6899999999999999E-2</v>
      </c>
      <c r="O97" s="16">
        <v>2248714</v>
      </c>
      <c r="P97" s="16">
        <v>96.71</v>
      </c>
      <c r="Q97" s="16">
        <v>0</v>
      </c>
      <c r="R97" s="16">
        <v>2174.73</v>
      </c>
      <c r="S97" s="15">
        <v>5.8999999999999999E-3</v>
      </c>
      <c r="T97" s="15">
        <v>1.23E-2</v>
      </c>
      <c r="U97" s="15">
        <v>5.9999999999999995E-4</v>
      </c>
      <c r="V97" s="13" t="s">
        <v>7</v>
      </c>
    </row>
    <row r="98" spans="1:22" x14ac:dyDescent="0.2">
      <c r="A98" s="13" t="s">
        <v>7</v>
      </c>
      <c r="B98" s="13" t="s">
        <v>280</v>
      </c>
      <c r="C98" s="14">
        <v>1163062</v>
      </c>
      <c r="D98" s="13" t="s">
        <v>127</v>
      </c>
      <c r="E98" s="13" t="s">
        <v>7</v>
      </c>
      <c r="F98" s="14">
        <v>1900288</v>
      </c>
      <c r="G98" s="13" t="s">
        <v>205</v>
      </c>
      <c r="H98" s="13" t="s">
        <v>199</v>
      </c>
      <c r="I98" s="13" t="s">
        <v>87</v>
      </c>
      <c r="J98" s="13" t="s">
        <v>7</v>
      </c>
      <c r="K98" s="16">
        <v>3.92</v>
      </c>
      <c r="L98" s="13" t="s">
        <v>88</v>
      </c>
      <c r="M98" s="15">
        <v>3.9300000000000002E-2</v>
      </c>
      <c r="N98" s="15">
        <v>9.4899999999999998E-2</v>
      </c>
      <c r="O98" s="16">
        <v>1771000</v>
      </c>
      <c r="P98" s="16">
        <v>82</v>
      </c>
      <c r="Q98" s="16">
        <v>0</v>
      </c>
      <c r="R98" s="16">
        <v>1452.22</v>
      </c>
      <c r="S98" s="15">
        <v>7.0000000000000001E-3</v>
      </c>
      <c r="T98" s="15">
        <v>8.2000000000000007E-3</v>
      </c>
      <c r="U98" s="15">
        <v>4.0000000000000002E-4</v>
      </c>
      <c r="V98" s="13" t="s">
        <v>7</v>
      </c>
    </row>
    <row r="99" spans="1:22" x14ac:dyDescent="0.2">
      <c r="A99" s="13" t="s">
        <v>7</v>
      </c>
      <c r="B99" s="13" t="s">
        <v>281</v>
      </c>
      <c r="C99" s="14">
        <v>1410299</v>
      </c>
      <c r="D99" s="13" t="s">
        <v>127</v>
      </c>
      <c r="E99" s="13" t="s">
        <v>7</v>
      </c>
      <c r="F99" s="14">
        <v>520034372</v>
      </c>
      <c r="G99" s="13" t="s">
        <v>229</v>
      </c>
      <c r="H99" s="13" t="s">
        <v>199</v>
      </c>
      <c r="I99" s="13" t="s">
        <v>87</v>
      </c>
      <c r="J99" s="13" t="s">
        <v>7</v>
      </c>
      <c r="K99" s="16">
        <v>2.84</v>
      </c>
      <c r="L99" s="13" t="s">
        <v>88</v>
      </c>
      <c r="M99" s="15">
        <v>2.7E-2</v>
      </c>
      <c r="N99" s="15">
        <v>2.0400000000000001E-2</v>
      </c>
      <c r="O99" s="16">
        <v>0.6</v>
      </c>
      <c r="P99" s="16">
        <v>102</v>
      </c>
      <c r="Q99" s="16">
        <v>0</v>
      </c>
      <c r="R99" s="16">
        <v>0</v>
      </c>
      <c r="S99" s="15">
        <v>0</v>
      </c>
      <c r="T99" s="15">
        <v>0</v>
      </c>
      <c r="U99" s="15">
        <v>0</v>
      </c>
      <c r="V99" s="13" t="s">
        <v>7</v>
      </c>
    </row>
    <row r="100" spans="1:22" x14ac:dyDescent="0.2">
      <c r="A100" s="13" t="s">
        <v>7</v>
      </c>
      <c r="B100" s="13" t="s">
        <v>282</v>
      </c>
      <c r="C100" s="14">
        <v>1160811</v>
      </c>
      <c r="D100" s="13" t="s">
        <v>127</v>
      </c>
      <c r="E100" s="13" t="s">
        <v>7</v>
      </c>
      <c r="F100" s="14">
        <v>1981143</v>
      </c>
      <c r="G100" s="13" t="s">
        <v>233</v>
      </c>
      <c r="H100" s="13" t="s">
        <v>235</v>
      </c>
      <c r="I100" s="13" t="s">
        <v>87</v>
      </c>
      <c r="J100" s="13" t="s">
        <v>7</v>
      </c>
      <c r="K100" s="16">
        <v>3.26</v>
      </c>
      <c r="L100" s="13" t="s">
        <v>88</v>
      </c>
      <c r="M100" s="15">
        <v>4.7500000000000001E-2</v>
      </c>
      <c r="N100" s="15">
        <v>5.7599999999999998E-2</v>
      </c>
      <c r="O100" s="16">
        <v>4503068.0999999996</v>
      </c>
      <c r="P100" s="16">
        <v>97.22</v>
      </c>
      <c r="Q100" s="16">
        <v>0</v>
      </c>
      <c r="R100" s="16">
        <v>4377.88</v>
      </c>
      <c r="S100" s="15">
        <v>7.4000000000000003E-3</v>
      </c>
      <c r="T100" s="15">
        <v>2.47E-2</v>
      </c>
      <c r="U100" s="15">
        <v>1.1999999999999999E-3</v>
      </c>
      <c r="V100" s="13" t="s">
        <v>7</v>
      </c>
    </row>
    <row r="101" spans="1:22" x14ac:dyDescent="0.2">
      <c r="A101" s="13" t="s">
        <v>7</v>
      </c>
      <c r="B101" s="13" t="s">
        <v>283</v>
      </c>
      <c r="C101" s="14">
        <v>1161322</v>
      </c>
      <c r="D101" s="13" t="s">
        <v>127</v>
      </c>
      <c r="E101" s="13" t="s">
        <v>7</v>
      </c>
      <c r="F101" s="14">
        <v>1772</v>
      </c>
      <c r="G101" s="13" t="s">
        <v>205</v>
      </c>
      <c r="H101" s="13" t="s">
        <v>235</v>
      </c>
      <c r="I101" s="13" t="s">
        <v>87</v>
      </c>
      <c r="J101" s="13" t="s">
        <v>7</v>
      </c>
      <c r="K101" s="16">
        <v>5.1100000000000003</v>
      </c>
      <c r="L101" s="13" t="s">
        <v>88</v>
      </c>
      <c r="M101" s="15">
        <v>4.3499999999999997E-2</v>
      </c>
      <c r="N101" s="15">
        <v>5.3999999999999999E-2</v>
      </c>
      <c r="O101" s="16">
        <v>1960608</v>
      </c>
      <c r="P101" s="16">
        <v>95.89</v>
      </c>
      <c r="Q101" s="16">
        <v>0</v>
      </c>
      <c r="R101" s="16">
        <v>1880.03</v>
      </c>
      <c r="S101" s="15">
        <v>8.5000000000000006E-3</v>
      </c>
      <c r="T101" s="15">
        <v>1.06E-2</v>
      </c>
      <c r="U101" s="15">
        <v>5.0000000000000001E-4</v>
      </c>
      <c r="V101" s="13" t="s">
        <v>7</v>
      </c>
    </row>
    <row r="102" spans="1:22" x14ac:dyDescent="0.2">
      <c r="A102" s="13" t="s">
        <v>7</v>
      </c>
      <c r="B102" s="13" t="s">
        <v>284</v>
      </c>
      <c r="C102" s="14">
        <v>1160746</v>
      </c>
      <c r="D102" s="13" t="s">
        <v>127</v>
      </c>
      <c r="E102" s="13" t="s">
        <v>7</v>
      </c>
      <c r="F102" s="14">
        <v>1838682</v>
      </c>
      <c r="G102" s="13" t="s">
        <v>205</v>
      </c>
      <c r="H102" s="13" t="s">
        <v>235</v>
      </c>
      <c r="I102" s="13" t="s">
        <v>87</v>
      </c>
      <c r="J102" s="13" t="s">
        <v>7</v>
      </c>
      <c r="K102" s="16">
        <v>3.8</v>
      </c>
      <c r="L102" s="13" t="s">
        <v>88</v>
      </c>
      <c r="M102" s="15">
        <v>3.95E-2</v>
      </c>
      <c r="N102" s="15">
        <v>5.1999999999999998E-2</v>
      </c>
      <c r="O102" s="16">
        <v>2833046</v>
      </c>
      <c r="P102" s="16">
        <v>96.95</v>
      </c>
      <c r="Q102" s="16">
        <v>0</v>
      </c>
      <c r="R102" s="16">
        <v>2746.64</v>
      </c>
      <c r="S102" s="15">
        <v>7.9000000000000008E-3</v>
      </c>
      <c r="T102" s="15">
        <v>1.55E-2</v>
      </c>
      <c r="U102" s="15">
        <v>8.0000000000000004E-4</v>
      </c>
      <c r="V102" s="13" t="s">
        <v>7</v>
      </c>
    </row>
    <row r="103" spans="1:22" x14ac:dyDescent="0.2">
      <c r="A103" s="13" t="s">
        <v>7</v>
      </c>
      <c r="B103" s="13" t="s">
        <v>285</v>
      </c>
      <c r="C103" s="14">
        <v>2380046</v>
      </c>
      <c r="D103" s="13" t="s">
        <v>127</v>
      </c>
      <c r="E103" s="13" t="s">
        <v>7</v>
      </c>
      <c r="F103" s="14">
        <v>520036435</v>
      </c>
      <c r="G103" s="13" t="s">
        <v>229</v>
      </c>
      <c r="H103" s="13" t="s">
        <v>235</v>
      </c>
      <c r="I103" s="13" t="s">
        <v>87</v>
      </c>
      <c r="J103" s="13" t="s">
        <v>7</v>
      </c>
      <c r="K103" s="16">
        <v>2.1800000000000002</v>
      </c>
      <c r="L103" s="13" t="s">
        <v>88</v>
      </c>
      <c r="M103" s="15">
        <v>2.9499999999999998E-2</v>
      </c>
      <c r="N103" s="15">
        <v>1.38E-2</v>
      </c>
      <c r="O103" s="16">
        <v>36281.68</v>
      </c>
      <c r="P103" s="16">
        <v>104.2</v>
      </c>
      <c r="Q103" s="16">
        <v>0</v>
      </c>
      <c r="R103" s="16">
        <v>37.81</v>
      </c>
      <c r="S103" s="15">
        <v>2.0000000000000001E-4</v>
      </c>
      <c r="T103" s="15">
        <v>2.0000000000000001E-4</v>
      </c>
      <c r="U103" s="15">
        <v>0</v>
      </c>
      <c r="V103" s="13" t="s">
        <v>7</v>
      </c>
    </row>
    <row r="104" spans="1:22" x14ac:dyDescent="0.2">
      <c r="A104" s="13" t="s">
        <v>7</v>
      </c>
      <c r="B104" s="13" t="s">
        <v>286</v>
      </c>
      <c r="C104" s="14">
        <v>6320105</v>
      </c>
      <c r="D104" s="13" t="s">
        <v>127</v>
      </c>
      <c r="E104" s="13" t="s">
        <v>7</v>
      </c>
      <c r="F104" s="14">
        <v>520018383</v>
      </c>
      <c r="G104" s="13" t="s">
        <v>287</v>
      </c>
      <c r="H104" s="13" t="s">
        <v>235</v>
      </c>
      <c r="I104" s="13" t="s">
        <v>87</v>
      </c>
      <c r="J104" s="13" t="s">
        <v>7</v>
      </c>
      <c r="K104" s="16">
        <v>2.52</v>
      </c>
      <c r="L104" s="13" t="s">
        <v>88</v>
      </c>
      <c r="M104" s="15">
        <v>5.8900000000000001E-2</v>
      </c>
      <c r="N104" s="15">
        <v>1.44E-2</v>
      </c>
      <c r="O104" s="16">
        <v>473594.32</v>
      </c>
      <c r="P104" s="16">
        <v>113.09</v>
      </c>
      <c r="Q104" s="16">
        <v>0</v>
      </c>
      <c r="R104" s="16">
        <v>535.59</v>
      </c>
      <c r="S104" s="15">
        <v>1.1999999999999999E-3</v>
      </c>
      <c r="T104" s="15">
        <v>3.0000000000000001E-3</v>
      </c>
      <c r="U104" s="15">
        <v>1E-4</v>
      </c>
      <c r="V104" s="13" t="s">
        <v>7</v>
      </c>
    </row>
    <row r="105" spans="1:22" x14ac:dyDescent="0.2">
      <c r="A105" s="13" t="s">
        <v>7</v>
      </c>
      <c r="B105" s="13" t="s">
        <v>288</v>
      </c>
      <c r="C105" s="14">
        <v>1135698</v>
      </c>
      <c r="D105" s="13" t="s">
        <v>127</v>
      </c>
      <c r="E105" s="13" t="s">
        <v>7</v>
      </c>
      <c r="F105" s="14">
        <v>520034760</v>
      </c>
      <c r="G105" s="13" t="s">
        <v>242</v>
      </c>
      <c r="H105" s="13" t="s">
        <v>238</v>
      </c>
      <c r="I105" s="13" t="s">
        <v>171</v>
      </c>
      <c r="J105" s="13" t="s">
        <v>7</v>
      </c>
      <c r="K105" s="16">
        <v>0.99</v>
      </c>
      <c r="L105" s="13" t="s">
        <v>88</v>
      </c>
      <c r="M105" s="15">
        <v>3.9E-2</v>
      </c>
      <c r="N105" s="15">
        <v>1.9E-2</v>
      </c>
      <c r="O105" s="16">
        <v>953611.94</v>
      </c>
      <c r="P105" s="16">
        <v>101.98</v>
      </c>
      <c r="Q105" s="16">
        <v>0</v>
      </c>
      <c r="R105" s="16">
        <v>972.49</v>
      </c>
      <c r="S105" s="15">
        <v>4.0000000000000001E-3</v>
      </c>
      <c r="T105" s="15">
        <v>5.4999999999999997E-3</v>
      </c>
      <c r="U105" s="15">
        <v>2.9999999999999997E-4</v>
      </c>
      <c r="V105" s="13" t="s">
        <v>7</v>
      </c>
    </row>
    <row r="106" spans="1:22" x14ac:dyDescent="0.2">
      <c r="A106" s="13" t="s">
        <v>7</v>
      </c>
      <c r="B106" s="13" t="s">
        <v>289</v>
      </c>
      <c r="C106" s="14">
        <v>1140102</v>
      </c>
      <c r="D106" s="13" t="s">
        <v>127</v>
      </c>
      <c r="E106" s="13" t="s">
        <v>7</v>
      </c>
      <c r="F106" s="14">
        <v>510381601</v>
      </c>
      <c r="G106" s="13" t="s">
        <v>242</v>
      </c>
      <c r="H106" s="13" t="s">
        <v>240</v>
      </c>
      <c r="I106" s="13" t="s">
        <v>87</v>
      </c>
      <c r="J106" s="13" t="s">
        <v>7</v>
      </c>
      <c r="K106" s="16">
        <v>3.89</v>
      </c>
      <c r="L106" s="13" t="s">
        <v>88</v>
      </c>
      <c r="M106" s="15">
        <v>4.2999999999999997E-2</v>
      </c>
      <c r="N106" s="15">
        <v>3.1199999999999999E-2</v>
      </c>
      <c r="O106" s="16">
        <v>217039.53</v>
      </c>
      <c r="P106" s="16">
        <v>105.61</v>
      </c>
      <c r="Q106" s="16">
        <v>0</v>
      </c>
      <c r="R106" s="16">
        <v>229.21</v>
      </c>
      <c r="S106" s="15">
        <v>2.0000000000000001E-4</v>
      </c>
      <c r="T106" s="15">
        <v>1.2999999999999999E-3</v>
      </c>
      <c r="U106" s="15">
        <v>1E-4</v>
      </c>
      <c r="V106" s="13" t="s">
        <v>7</v>
      </c>
    </row>
    <row r="107" spans="1:22" x14ac:dyDescent="0.2">
      <c r="A107" s="13" t="s">
        <v>7</v>
      </c>
      <c r="B107" s="13" t="s">
        <v>290</v>
      </c>
      <c r="C107" s="14">
        <v>5760301</v>
      </c>
      <c r="D107" s="13" t="s">
        <v>127</v>
      </c>
      <c r="E107" s="13" t="s">
        <v>7</v>
      </c>
      <c r="F107" s="14">
        <v>520028010</v>
      </c>
      <c r="G107" s="13" t="s">
        <v>249</v>
      </c>
      <c r="H107" s="13" t="s">
        <v>240</v>
      </c>
      <c r="I107" s="13" t="s">
        <v>87</v>
      </c>
      <c r="J107" s="13" t="s">
        <v>7</v>
      </c>
      <c r="K107" s="16">
        <v>5.09</v>
      </c>
      <c r="L107" s="13" t="s">
        <v>88</v>
      </c>
      <c r="M107" s="15">
        <v>2.1999999999999999E-2</v>
      </c>
      <c r="N107" s="15">
        <v>2.9600000000000001E-2</v>
      </c>
      <c r="O107" s="16">
        <v>1644815</v>
      </c>
      <c r="P107" s="16">
        <v>96.88</v>
      </c>
      <c r="Q107" s="16">
        <v>0</v>
      </c>
      <c r="R107" s="16">
        <v>1593.5</v>
      </c>
      <c r="S107" s="15">
        <v>1.1000000000000001E-3</v>
      </c>
      <c r="T107" s="15">
        <v>8.9999999999999993E-3</v>
      </c>
      <c r="U107" s="15">
        <v>4.0000000000000002E-4</v>
      </c>
      <c r="V107" s="13" t="s">
        <v>7</v>
      </c>
    </row>
    <row r="108" spans="1:22" x14ac:dyDescent="0.2">
      <c r="A108" s="13" t="s">
        <v>7</v>
      </c>
      <c r="B108" s="13" t="s">
        <v>291</v>
      </c>
      <c r="C108" s="14">
        <v>1159326</v>
      </c>
      <c r="D108" s="13" t="s">
        <v>127</v>
      </c>
      <c r="E108" s="13" t="s">
        <v>7</v>
      </c>
      <c r="F108" s="14">
        <v>512719485</v>
      </c>
      <c r="G108" s="13" t="s">
        <v>185</v>
      </c>
      <c r="H108" s="13" t="s">
        <v>238</v>
      </c>
      <c r="I108" s="13" t="s">
        <v>171</v>
      </c>
      <c r="J108" s="13" t="s">
        <v>7</v>
      </c>
      <c r="K108" s="16">
        <v>5.04</v>
      </c>
      <c r="L108" s="13" t="s">
        <v>88</v>
      </c>
      <c r="M108" s="15">
        <v>2.8000000000000001E-2</v>
      </c>
      <c r="N108" s="15">
        <v>2.3599999999999999E-2</v>
      </c>
      <c r="O108" s="16">
        <v>924777</v>
      </c>
      <c r="P108" s="16">
        <v>103</v>
      </c>
      <c r="Q108" s="16">
        <v>0</v>
      </c>
      <c r="R108" s="16">
        <v>952.52</v>
      </c>
      <c r="S108" s="15">
        <v>1.8E-3</v>
      </c>
      <c r="T108" s="15">
        <v>5.4000000000000003E-3</v>
      </c>
      <c r="U108" s="15">
        <v>2.9999999999999997E-4</v>
      </c>
      <c r="V108" s="13" t="s">
        <v>7</v>
      </c>
    </row>
    <row r="109" spans="1:22" x14ac:dyDescent="0.2">
      <c r="A109" s="13" t="s">
        <v>7</v>
      </c>
      <c r="B109" s="13" t="s">
        <v>292</v>
      </c>
      <c r="C109" s="14">
        <v>1159474</v>
      </c>
      <c r="D109" s="13" t="s">
        <v>127</v>
      </c>
      <c r="E109" s="13" t="s">
        <v>7</v>
      </c>
      <c r="F109" s="14">
        <v>1921080</v>
      </c>
      <c r="G109" s="13" t="s">
        <v>205</v>
      </c>
      <c r="H109" s="13" t="s">
        <v>240</v>
      </c>
      <c r="I109" s="13" t="s">
        <v>87</v>
      </c>
      <c r="J109" s="13" t="s">
        <v>7</v>
      </c>
      <c r="K109" s="16">
        <v>2.2200000000000002</v>
      </c>
      <c r="L109" s="13" t="s">
        <v>88</v>
      </c>
      <c r="M109" s="15">
        <v>4.65E-2</v>
      </c>
      <c r="N109" s="15">
        <v>3.6200000000000003E-2</v>
      </c>
      <c r="O109" s="16">
        <v>488332</v>
      </c>
      <c r="P109" s="16">
        <v>103.12</v>
      </c>
      <c r="Q109" s="16">
        <v>0</v>
      </c>
      <c r="R109" s="16">
        <v>503.57</v>
      </c>
      <c r="S109" s="15">
        <v>1.8E-3</v>
      </c>
      <c r="T109" s="15">
        <v>2.8E-3</v>
      </c>
      <c r="U109" s="15">
        <v>1E-4</v>
      </c>
      <c r="V109" s="13" t="s">
        <v>7</v>
      </c>
    </row>
    <row r="110" spans="1:22" x14ac:dyDescent="0.2">
      <c r="A110" s="13" t="s">
        <v>7</v>
      </c>
      <c r="B110" s="13" t="s">
        <v>293</v>
      </c>
      <c r="C110" s="14">
        <v>1145432</v>
      </c>
      <c r="D110" s="13" t="s">
        <v>127</v>
      </c>
      <c r="E110" s="13" t="s">
        <v>7</v>
      </c>
      <c r="F110" s="14">
        <v>1863501</v>
      </c>
      <c r="G110" s="13" t="s">
        <v>205</v>
      </c>
      <c r="H110" s="13" t="s">
        <v>240</v>
      </c>
      <c r="I110" s="13" t="s">
        <v>87</v>
      </c>
      <c r="J110" s="13" t="s">
        <v>7</v>
      </c>
      <c r="K110" s="16">
        <v>1.35</v>
      </c>
      <c r="L110" s="13" t="s">
        <v>88</v>
      </c>
      <c r="M110" s="15">
        <v>5.1999999999999998E-2</v>
      </c>
      <c r="N110" s="15">
        <v>7.0300000000000001E-2</v>
      </c>
      <c r="O110" s="16">
        <v>1510370</v>
      </c>
      <c r="P110" s="16">
        <v>97.8</v>
      </c>
      <c r="Q110" s="16">
        <v>0</v>
      </c>
      <c r="R110" s="16">
        <v>1477.14</v>
      </c>
      <c r="S110" s="15">
        <v>4.5999999999999999E-3</v>
      </c>
      <c r="T110" s="15">
        <v>8.3000000000000001E-3</v>
      </c>
      <c r="U110" s="15">
        <v>4.0000000000000002E-4</v>
      </c>
      <c r="V110" s="13" t="s">
        <v>7</v>
      </c>
    </row>
    <row r="111" spans="1:22" x14ac:dyDescent="0.2">
      <c r="A111" s="13" t="s">
        <v>7</v>
      </c>
      <c r="B111" s="13" t="s">
        <v>294</v>
      </c>
      <c r="C111" s="14">
        <v>1132836</v>
      </c>
      <c r="D111" s="13" t="s">
        <v>127</v>
      </c>
      <c r="E111" s="13" t="s">
        <v>7</v>
      </c>
      <c r="F111" s="14">
        <v>511930125</v>
      </c>
      <c r="G111" s="13" t="s">
        <v>202</v>
      </c>
      <c r="H111" s="13" t="s">
        <v>240</v>
      </c>
      <c r="I111" s="13" t="s">
        <v>87</v>
      </c>
      <c r="J111" s="13" t="s">
        <v>7</v>
      </c>
      <c r="K111" s="16">
        <v>2.6</v>
      </c>
      <c r="L111" s="13" t="s">
        <v>88</v>
      </c>
      <c r="M111" s="15">
        <v>4.1399999999999999E-2</v>
      </c>
      <c r="N111" s="15">
        <v>2.7799999999999998E-2</v>
      </c>
      <c r="O111" s="16">
        <v>2125.58</v>
      </c>
      <c r="P111" s="16">
        <v>104.59</v>
      </c>
      <c r="Q111" s="16">
        <v>0</v>
      </c>
      <c r="R111" s="16">
        <v>2.2200000000000002</v>
      </c>
      <c r="S111" s="15">
        <v>0</v>
      </c>
      <c r="T111" s="15">
        <v>0</v>
      </c>
      <c r="U111" s="15">
        <v>0</v>
      </c>
      <c r="V111" s="13" t="s">
        <v>7</v>
      </c>
    </row>
    <row r="112" spans="1:22" x14ac:dyDescent="0.2">
      <c r="A112" s="13" t="s">
        <v>7</v>
      </c>
      <c r="B112" s="13" t="s">
        <v>295</v>
      </c>
      <c r="C112" s="14">
        <v>1137512</v>
      </c>
      <c r="D112" s="13" t="s">
        <v>127</v>
      </c>
      <c r="E112" s="13" t="s">
        <v>7</v>
      </c>
      <c r="F112" s="14">
        <v>515328250</v>
      </c>
      <c r="G112" s="13" t="s">
        <v>205</v>
      </c>
      <c r="H112" s="13" t="s">
        <v>238</v>
      </c>
      <c r="I112" s="13" t="s">
        <v>171</v>
      </c>
      <c r="J112" s="13" t="s">
        <v>7</v>
      </c>
      <c r="K112" s="16">
        <v>2.4</v>
      </c>
      <c r="L112" s="13" t="s">
        <v>88</v>
      </c>
      <c r="M112" s="15">
        <v>3.5000000000000003E-2</v>
      </c>
      <c r="N112" s="15">
        <v>7.7899999999999997E-2</v>
      </c>
      <c r="O112" s="16">
        <v>0</v>
      </c>
      <c r="P112" s="16">
        <v>91</v>
      </c>
      <c r="Q112" s="16">
        <v>0</v>
      </c>
      <c r="R112" s="16">
        <v>0</v>
      </c>
      <c r="S112" s="15">
        <v>0</v>
      </c>
      <c r="T112" s="15">
        <v>0</v>
      </c>
      <c r="U112" s="15">
        <v>0</v>
      </c>
      <c r="V112" s="13" t="s">
        <v>7</v>
      </c>
    </row>
    <row r="113" spans="1:22" x14ac:dyDescent="0.2">
      <c r="A113" s="13" t="s">
        <v>7</v>
      </c>
      <c r="B113" s="13" t="s">
        <v>296</v>
      </c>
      <c r="C113" s="14">
        <v>1134923</v>
      </c>
      <c r="D113" s="13" t="s">
        <v>127</v>
      </c>
      <c r="E113" s="13" t="s">
        <v>7</v>
      </c>
      <c r="F113" s="14">
        <v>1849766</v>
      </c>
      <c r="G113" s="13" t="s">
        <v>205</v>
      </c>
      <c r="H113" s="13" t="s">
        <v>240</v>
      </c>
      <c r="I113" s="13" t="s">
        <v>87</v>
      </c>
      <c r="J113" s="13" t="s">
        <v>7</v>
      </c>
      <c r="K113" s="16">
        <v>0.98</v>
      </c>
      <c r="L113" s="13" t="s">
        <v>88</v>
      </c>
      <c r="M113" s="15">
        <v>6.9800000000000001E-2</v>
      </c>
      <c r="N113" s="15">
        <v>4.5600000000000002E-2</v>
      </c>
      <c r="O113" s="16">
        <v>2125650.2400000002</v>
      </c>
      <c r="P113" s="16">
        <v>102.4</v>
      </c>
      <c r="Q113" s="16">
        <v>70.650000000000006</v>
      </c>
      <c r="R113" s="16">
        <v>2247.31</v>
      </c>
      <c r="S113" s="15">
        <v>5.0000000000000001E-3</v>
      </c>
      <c r="T113" s="15">
        <v>1.2699999999999999E-2</v>
      </c>
      <c r="U113" s="15">
        <v>5.9999999999999995E-4</v>
      </c>
      <c r="V113" s="13" t="s">
        <v>7</v>
      </c>
    </row>
    <row r="114" spans="1:22" x14ac:dyDescent="0.2">
      <c r="A114" s="13" t="s">
        <v>7</v>
      </c>
      <c r="B114" s="13" t="s">
        <v>297</v>
      </c>
      <c r="C114" s="14">
        <v>1143924</v>
      </c>
      <c r="D114" s="13" t="s">
        <v>127</v>
      </c>
      <c r="E114" s="13" t="s">
        <v>7</v>
      </c>
      <c r="F114" s="14">
        <v>1729</v>
      </c>
      <c r="G114" s="13" t="s">
        <v>205</v>
      </c>
      <c r="H114" s="13" t="s">
        <v>244</v>
      </c>
      <c r="I114" s="13" t="s">
        <v>87</v>
      </c>
      <c r="J114" s="13" t="s">
        <v>7</v>
      </c>
      <c r="K114" s="16">
        <v>3</v>
      </c>
      <c r="L114" s="13" t="s">
        <v>88</v>
      </c>
      <c r="M114" s="15">
        <v>6.5000000000000002E-2</v>
      </c>
      <c r="N114" s="15">
        <v>8.3400000000000002E-2</v>
      </c>
      <c r="O114" s="16">
        <v>272267.83</v>
      </c>
      <c r="P114" s="16">
        <v>96.8</v>
      </c>
      <c r="Q114" s="16">
        <v>0</v>
      </c>
      <c r="R114" s="16">
        <v>263.55</v>
      </c>
      <c r="S114" s="15">
        <v>1.1000000000000001E-3</v>
      </c>
      <c r="T114" s="15">
        <v>1.5E-3</v>
      </c>
      <c r="U114" s="15">
        <v>1E-4</v>
      </c>
      <c r="V114" s="13" t="s">
        <v>7</v>
      </c>
    </row>
    <row r="115" spans="1:22" x14ac:dyDescent="0.2">
      <c r="A115" s="13" t="s">
        <v>7</v>
      </c>
      <c r="B115" s="13" t="s">
        <v>298</v>
      </c>
      <c r="C115" s="14">
        <v>1150812</v>
      </c>
      <c r="D115" s="13" t="s">
        <v>127</v>
      </c>
      <c r="E115" s="13" t="s">
        <v>7</v>
      </c>
      <c r="F115" s="14">
        <v>512607888</v>
      </c>
      <c r="G115" s="13" t="s">
        <v>299</v>
      </c>
      <c r="H115" s="13" t="s">
        <v>300</v>
      </c>
      <c r="I115" s="13" t="s">
        <v>171</v>
      </c>
      <c r="J115" s="13" t="s">
        <v>7</v>
      </c>
      <c r="K115" s="16">
        <v>2.78</v>
      </c>
      <c r="L115" s="13" t="s">
        <v>88</v>
      </c>
      <c r="M115" s="15">
        <v>0.04</v>
      </c>
      <c r="N115" s="15">
        <v>0.10589999999999999</v>
      </c>
      <c r="O115" s="16">
        <v>1579212</v>
      </c>
      <c r="P115" s="16">
        <v>84.7</v>
      </c>
      <c r="Q115" s="16">
        <v>0</v>
      </c>
      <c r="R115" s="16">
        <v>1337.59</v>
      </c>
      <c r="S115" s="15">
        <v>2.2000000000000001E-3</v>
      </c>
      <c r="T115" s="15">
        <v>7.6E-3</v>
      </c>
      <c r="U115" s="15">
        <v>4.0000000000000002E-4</v>
      </c>
      <c r="V115" s="13" t="s">
        <v>7</v>
      </c>
    </row>
    <row r="116" spans="1:22" x14ac:dyDescent="0.2">
      <c r="A116" s="13" t="s">
        <v>7</v>
      </c>
      <c r="B116" s="13" t="s">
        <v>301</v>
      </c>
      <c r="C116" s="14">
        <v>1143304</v>
      </c>
      <c r="D116" s="13" t="s">
        <v>127</v>
      </c>
      <c r="E116" s="13" t="s">
        <v>7</v>
      </c>
      <c r="F116" s="14">
        <v>1841580</v>
      </c>
      <c r="G116" s="13" t="s">
        <v>205</v>
      </c>
      <c r="H116" s="13" t="s">
        <v>302</v>
      </c>
      <c r="I116" s="13" t="s">
        <v>171</v>
      </c>
      <c r="J116" s="13" t="s">
        <v>7</v>
      </c>
      <c r="K116" s="16">
        <v>3.43</v>
      </c>
      <c r="L116" s="13" t="s">
        <v>88</v>
      </c>
      <c r="M116" s="15">
        <v>3.5000000000000003E-2</v>
      </c>
      <c r="N116" s="15">
        <v>6.5799999999999997E-2</v>
      </c>
      <c r="O116" s="16">
        <v>2515715</v>
      </c>
      <c r="P116" s="16">
        <v>91</v>
      </c>
      <c r="Q116" s="16">
        <v>0</v>
      </c>
      <c r="R116" s="16">
        <v>2289.3000000000002</v>
      </c>
      <c r="S116" s="15">
        <v>3.0999999999999999E-3</v>
      </c>
      <c r="T116" s="15">
        <v>1.29E-2</v>
      </c>
      <c r="U116" s="15">
        <v>5.9999999999999995E-4</v>
      </c>
      <c r="V116" s="13" t="s">
        <v>7</v>
      </c>
    </row>
    <row r="117" spans="1:22" x14ac:dyDescent="0.2">
      <c r="A117" s="13" t="s">
        <v>7</v>
      </c>
      <c r="B117" s="13" t="s">
        <v>303</v>
      </c>
      <c r="C117" s="14">
        <v>1156025</v>
      </c>
      <c r="D117" s="13" t="s">
        <v>127</v>
      </c>
      <c r="E117" s="13" t="s">
        <v>7</v>
      </c>
      <c r="F117" s="14">
        <v>520042177</v>
      </c>
      <c r="G117" s="13" t="s">
        <v>211</v>
      </c>
      <c r="H117" s="13" t="s">
        <v>304</v>
      </c>
      <c r="I117" s="13" t="s">
        <v>171</v>
      </c>
      <c r="J117" s="13" t="s">
        <v>7</v>
      </c>
      <c r="K117" s="16">
        <v>3.81</v>
      </c>
      <c r="L117" s="13" t="s">
        <v>88</v>
      </c>
      <c r="M117" s="15">
        <v>5.45E-2</v>
      </c>
      <c r="N117" s="15">
        <v>4.8599999999999997E-2</v>
      </c>
      <c r="O117" s="16">
        <v>1593000</v>
      </c>
      <c r="P117" s="16">
        <v>103.8</v>
      </c>
      <c r="Q117" s="16">
        <v>0</v>
      </c>
      <c r="R117" s="16">
        <v>1653.53</v>
      </c>
      <c r="S117" s="15">
        <v>9.4000000000000004E-3</v>
      </c>
      <c r="T117" s="15">
        <v>9.2999999999999992E-3</v>
      </c>
      <c r="U117" s="15">
        <v>5.0000000000000001E-4</v>
      </c>
      <c r="V117" s="13" t="s">
        <v>7</v>
      </c>
    </row>
    <row r="118" spans="1:22" x14ac:dyDescent="0.2">
      <c r="A118" s="13" t="s">
        <v>7</v>
      </c>
      <c r="B118" s="13" t="s">
        <v>305</v>
      </c>
      <c r="C118" s="14">
        <v>1151026</v>
      </c>
      <c r="D118" s="13" t="s">
        <v>127</v>
      </c>
      <c r="E118" s="13" t="s">
        <v>7</v>
      </c>
      <c r="F118" s="14">
        <v>520042177</v>
      </c>
      <c r="G118" s="13" t="s">
        <v>211</v>
      </c>
      <c r="H118" s="13" t="s">
        <v>304</v>
      </c>
      <c r="I118" s="13" t="s">
        <v>171</v>
      </c>
      <c r="J118" s="13" t="s">
        <v>7</v>
      </c>
      <c r="K118" s="16">
        <v>2.6</v>
      </c>
      <c r="L118" s="13" t="s">
        <v>88</v>
      </c>
      <c r="M118" s="15">
        <v>4.7500000000000001E-2</v>
      </c>
      <c r="N118" s="15">
        <v>3.5000000000000003E-2</v>
      </c>
      <c r="O118" s="16">
        <v>637000</v>
      </c>
      <c r="P118" s="16">
        <v>103.39</v>
      </c>
      <c r="Q118" s="16">
        <v>7.56</v>
      </c>
      <c r="R118" s="16">
        <v>666.16</v>
      </c>
      <c r="S118" s="15">
        <v>6.1999999999999998E-3</v>
      </c>
      <c r="T118" s="15">
        <v>3.8E-3</v>
      </c>
      <c r="U118" s="15">
        <v>2.0000000000000001E-4</v>
      </c>
      <c r="V118" s="13" t="s">
        <v>7</v>
      </c>
    </row>
    <row r="119" spans="1:22" x14ac:dyDescent="0.2">
      <c r="A119" s="13" t="s">
        <v>7</v>
      </c>
      <c r="B119" s="13" t="s">
        <v>306</v>
      </c>
      <c r="C119" s="14">
        <v>1138882</v>
      </c>
      <c r="D119" s="13" t="s">
        <v>127</v>
      </c>
      <c r="E119" s="13" t="s">
        <v>7</v>
      </c>
      <c r="F119" s="14">
        <v>520044322</v>
      </c>
      <c r="G119" s="13" t="s">
        <v>262</v>
      </c>
      <c r="H119" s="13" t="s">
        <v>307</v>
      </c>
      <c r="I119" s="13" t="s">
        <v>87</v>
      </c>
      <c r="J119" s="13" t="s">
        <v>7</v>
      </c>
      <c r="K119" s="16">
        <v>1.23</v>
      </c>
      <c r="L119" s="13" t="s">
        <v>88</v>
      </c>
      <c r="M119" s="15">
        <v>3.7999999999999999E-2</v>
      </c>
      <c r="N119" s="15">
        <v>0.80959999999999999</v>
      </c>
      <c r="O119" s="16">
        <v>3600000</v>
      </c>
      <c r="P119" s="16">
        <v>50.6</v>
      </c>
      <c r="Q119" s="16">
        <v>0</v>
      </c>
      <c r="R119" s="16">
        <v>1821.6</v>
      </c>
      <c r="S119" s="15">
        <v>5.1000000000000004E-3</v>
      </c>
      <c r="T119" s="15">
        <v>1.03E-2</v>
      </c>
      <c r="U119" s="15">
        <v>5.0000000000000001E-4</v>
      </c>
      <c r="V119" s="13" t="s">
        <v>7</v>
      </c>
    </row>
    <row r="120" spans="1:22" x14ac:dyDescent="0.2">
      <c r="A120" s="13" t="s">
        <v>7</v>
      </c>
      <c r="B120" s="13" t="s">
        <v>308</v>
      </c>
      <c r="C120" s="14">
        <v>1134790</v>
      </c>
      <c r="D120" s="13" t="s">
        <v>127</v>
      </c>
      <c r="E120" s="13" t="s">
        <v>7</v>
      </c>
      <c r="F120" s="14">
        <v>520044322</v>
      </c>
      <c r="G120" s="13" t="s">
        <v>262</v>
      </c>
      <c r="H120" s="13" t="s">
        <v>307</v>
      </c>
      <c r="I120" s="13" t="s">
        <v>87</v>
      </c>
      <c r="J120" s="13" t="s">
        <v>7</v>
      </c>
      <c r="K120" s="16">
        <v>2.02</v>
      </c>
      <c r="L120" s="13" t="s">
        <v>88</v>
      </c>
      <c r="M120" s="15">
        <v>5.2999999999999999E-2</v>
      </c>
      <c r="N120" s="15">
        <v>0.49459999999999998</v>
      </c>
      <c r="O120" s="16">
        <v>11038555.5</v>
      </c>
      <c r="P120" s="16">
        <v>45.26</v>
      </c>
      <c r="Q120" s="16">
        <v>0</v>
      </c>
      <c r="R120" s="16">
        <v>4996.05</v>
      </c>
      <c r="S120" s="15">
        <v>3.5000000000000001E-3</v>
      </c>
      <c r="T120" s="15">
        <v>2.8199999999999999E-2</v>
      </c>
      <c r="U120" s="15">
        <v>1.4E-3</v>
      </c>
      <c r="V120" s="13" t="s">
        <v>7</v>
      </c>
    </row>
    <row r="121" spans="1:22" x14ac:dyDescent="0.2">
      <c r="A121" s="13" t="s">
        <v>7</v>
      </c>
      <c r="B121" s="13" t="s">
        <v>309</v>
      </c>
      <c r="C121" s="14">
        <v>1139203</v>
      </c>
      <c r="D121" s="13" t="s">
        <v>127</v>
      </c>
      <c r="E121" s="13" t="s">
        <v>7</v>
      </c>
      <c r="F121" s="14">
        <v>512832742</v>
      </c>
      <c r="G121" s="13" t="s">
        <v>202</v>
      </c>
      <c r="H121" s="13" t="s">
        <v>148</v>
      </c>
      <c r="I121" s="13" t="s">
        <v>129</v>
      </c>
      <c r="J121" s="13" t="s">
        <v>7</v>
      </c>
      <c r="K121" s="16">
        <v>3.83</v>
      </c>
      <c r="L121" s="13" t="s">
        <v>88</v>
      </c>
      <c r="M121" s="15">
        <v>3.85E-2</v>
      </c>
      <c r="N121" s="15">
        <v>5.2900000000000003E-2</v>
      </c>
      <c r="O121" s="16">
        <v>1541478.19</v>
      </c>
      <c r="P121" s="16">
        <v>96.2</v>
      </c>
      <c r="Q121" s="16">
        <v>0</v>
      </c>
      <c r="R121" s="16">
        <v>1482.9</v>
      </c>
      <c r="S121" s="15">
        <v>8.0000000000000004E-4</v>
      </c>
      <c r="T121" s="15">
        <v>8.3999999999999995E-3</v>
      </c>
      <c r="U121" s="15">
        <v>4.0000000000000002E-4</v>
      </c>
      <c r="V121" s="13" t="s">
        <v>7</v>
      </c>
    </row>
    <row r="122" spans="1:22" x14ac:dyDescent="0.2">
      <c r="A122" s="13" t="s">
        <v>7</v>
      </c>
      <c r="B122" s="13" t="s">
        <v>310</v>
      </c>
      <c r="C122" s="14">
        <v>1161298</v>
      </c>
      <c r="D122" s="13" t="s">
        <v>127</v>
      </c>
      <c r="E122" s="13" t="s">
        <v>7</v>
      </c>
      <c r="F122" s="14">
        <v>512832742</v>
      </c>
      <c r="G122" s="13" t="s">
        <v>202</v>
      </c>
      <c r="H122" s="13" t="s">
        <v>148</v>
      </c>
      <c r="I122" s="13" t="s">
        <v>129</v>
      </c>
      <c r="J122" s="13" t="s">
        <v>7</v>
      </c>
      <c r="K122" s="16">
        <v>3.84</v>
      </c>
      <c r="L122" s="13" t="s">
        <v>88</v>
      </c>
      <c r="M122" s="15">
        <v>3.85E-2</v>
      </c>
      <c r="N122" s="15">
        <v>4.5900000000000003E-2</v>
      </c>
      <c r="O122" s="16">
        <v>57009.78</v>
      </c>
      <c r="P122" s="16">
        <v>98.68</v>
      </c>
      <c r="Q122" s="16">
        <v>0</v>
      </c>
      <c r="R122" s="16">
        <v>56.26</v>
      </c>
      <c r="S122" s="15">
        <v>1E-3</v>
      </c>
      <c r="T122" s="15">
        <v>2.9999999999999997E-4</v>
      </c>
      <c r="U122" s="15">
        <v>0</v>
      </c>
      <c r="V122" s="13" t="s">
        <v>7</v>
      </c>
    </row>
    <row r="123" spans="1:22" x14ac:dyDescent="0.2">
      <c r="A123" s="3" t="s">
        <v>7</v>
      </c>
      <c r="B123" s="3" t="s">
        <v>158</v>
      </c>
      <c r="C123" s="3" t="s">
        <v>7</v>
      </c>
      <c r="D123" s="3" t="s">
        <v>7</v>
      </c>
      <c r="E123" s="3" t="s">
        <v>7</v>
      </c>
      <c r="F123" s="3" t="s">
        <v>7</v>
      </c>
      <c r="G123" s="3" t="s">
        <v>7</v>
      </c>
      <c r="H123" s="3" t="s">
        <v>7</v>
      </c>
      <c r="I123" s="3" t="s">
        <v>7</v>
      </c>
      <c r="J123" s="3" t="s">
        <v>7</v>
      </c>
      <c r="K123" s="12">
        <v>4.54</v>
      </c>
      <c r="L123" s="3" t="s">
        <v>7</v>
      </c>
      <c r="M123" s="11">
        <v>4.3900000000000002E-2</v>
      </c>
      <c r="N123" s="11">
        <v>6.7799999999999999E-2</v>
      </c>
      <c r="O123" s="12">
        <v>11129546.869999999</v>
      </c>
      <c r="P123" s="3" t="s">
        <v>7</v>
      </c>
      <c r="Q123" s="12">
        <v>0</v>
      </c>
      <c r="R123" s="12">
        <v>9462.85</v>
      </c>
      <c r="S123" s="3" t="s">
        <v>7</v>
      </c>
      <c r="T123" s="11">
        <v>5.3400000000000003E-2</v>
      </c>
      <c r="U123" s="11">
        <v>2.7000000000000001E-3</v>
      </c>
      <c r="V123" s="3" t="s">
        <v>7</v>
      </c>
    </row>
    <row r="124" spans="1:22" x14ac:dyDescent="0.2">
      <c r="A124" s="13" t="s">
        <v>7</v>
      </c>
      <c r="B124" s="13" t="s">
        <v>311</v>
      </c>
      <c r="C124" s="14">
        <v>1155951</v>
      </c>
      <c r="D124" s="13" t="s">
        <v>127</v>
      </c>
      <c r="E124" s="13" t="s">
        <v>7</v>
      </c>
      <c r="F124" s="14">
        <v>1742</v>
      </c>
      <c r="G124" s="13" t="s">
        <v>205</v>
      </c>
      <c r="H124" s="13" t="s">
        <v>196</v>
      </c>
      <c r="I124" s="13" t="s">
        <v>171</v>
      </c>
      <c r="J124" s="13" t="s">
        <v>7</v>
      </c>
      <c r="K124" s="16">
        <v>5.26</v>
      </c>
      <c r="L124" s="13" t="s">
        <v>88</v>
      </c>
      <c r="M124" s="15">
        <v>4.2999999999999997E-2</v>
      </c>
      <c r="N124" s="15">
        <v>6.3799999999999996E-2</v>
      </c>
      <c r="O124" s="16">
        <v>4661852.1399999997</v>
      </c>
      <c r="P124" s="16">
        <v>84.61</v>
      </c>
      <c r="Q124" s="16">
        <v>0</v>
      </c>
      <c r="R124" s="16">
        <v>3944.39</v>
      </c>
      <c r="S124" s="15">
        <v>3.3E-3</v>
      </c>
      <c r="T124" s="15">
        <v>2.23E-2</v>
      </c>
      <c r="U124" s="15">
        <v>1.1000000000000001E-3</v>
      </c>
      <c r="V124" s="13" t="s">
        <v>7</v>
      </c>
    </row>
    <row r="125" spans="1:22" x14ac:dyDescent="0.2">
      <c r="A125" s="13" t="s">
        <v>7</v>
      </c>
      <c r="B125" s="13" t="s">
        <v>312</v>
      </c>
      <c r="C125" s="14">
        <v>1140417</v>
      </c>
      <c r="D125" s="13" t="s">
        <v>127</v>
      </c>
      <c r="E125" s="13" t="s">
        <v>7</v>
      </c>
      <c r="F125" s="14">
        <v>510119068</v>
      </c>
      <c r="G125" s="13" t="s">
        <v>287</v>
      </c>
      <c r="H125" s="13" t="s">
        <v>235</v>
      </c>
      <c r="I125" s="13" t="s">
        <v>87</v>
      </c>
      <c r="J125" s="13" t="s">
        <v>7</v>
      </c>
      <c r="K125" s="16">
        <v>3.05</v>
      </c>
      <c r="L125" s="13" t="s">
        <v>88</v>
      </c>
      <c r="M125" s="15">
        <v>3.9E-2</v>
      </c>
      <c r="N125" s="15">
        <v>2.6800000000000001E-2</v>
      </c>
      <c r="O125" s="16">
        <v>13000</v>
      </c>
      <c r="P125" s="16">
        <v>98.08</v>
      </c>
      <c r="Q125" s="16">
        <v>0</v>
      </c>
      <c r="R125" s="16">
        <v>12.75</v>
      </c>
      <c r="S125" s="15">
        <v>1E-4</v>
      </c>
      <c r="T125" s="15">
        <v>1E-4</v>
      </c>
      <c r="U125" s="15">
        <v>0</v>
      </c>
      <c r="V125" s="13" t="s">
        <v>7</v>
      </c>
    </row>
    <row r="126" spans="1:22" x14ac:dyDescent="0.2">
      <c r="A126" s="13" t="s">
        <v>7</v>
      </c>
      <c r="B126" s="13" t="s">
        <v>313</v>
      </c>
      <c r="C126" s="14">
        <v>1141936</v>
      </c>
      <c r="D126" s="13" t="s">
        <v>127</v>
      </c>
      <c r="E126" s="13" t="s">
        <v>7</v>
      </c>
      <c r="F126" s="14">
        <v>1146</v>
      </c>
      <c r="G126" s="13" t="s">
        <v>314</v>
      </c>
      <c r="H126" s="13" t="s">
        <v>235</v>
      </c>
      <c r="I126" s="13" t="s">
        <v>87</v>
      </c>
      <c r="J126" s="13" t="s">
        <v>7</v>
      </c>
      <c r="K126" s="16">
        <v>2.62</v>
      </c>
      <c r="L126" s="13" t="s">
        <v>88</v>
      </c>
      <c r="M126" s="15">
        <v>3.3700000000000001E-2</v>
      </c>
      <c r="N126" s="15">
        <v>2.0799999999999999E-2</v>
      </c>
      <c r="O126" s="16">
        <v>1421000</v>
      </c>
      <c r="P126" s="16">
        <v>100.91</v>
      </c>
      <c r="Q126" s="16">
        <v>0</v>
      </c>
      <c r="R126" s="16">
        <v>1433.93</v>
      </c>
      <c r="S126" s="15">
        <v>3.3999999999999998E-3</v>
      </c>
      <c r="T126" s="15">
        <v>8.0999999999999996E-3</v>
      </c>
      <c r="U126" s="15">
        <v>4.0000000000000002E-4</v>
      </c>
      <c r="V126" s="13" t="s">
        <v>7</v>
      </c>
    </row>
    <row r="127" spans="1:22" x14ac:dyDescent="0.2">
      <c r="A127" s="13" t="s">
        <v>7</v>
      </c>
      <c r="B127" s="13" t="s">
        <v>315</v>
      </c>
      <c r="C127" s="14">
        <v>1143593</v>
      </c>
      <c r="D127" s="13" t="s">
        <v>127</v>
      </c>
      <c r="E127" s="13" t="s">
        <v>7</v>
      </c>
      <c r="F127" s="14">
        <v>515334662</v>
      </c>
      <c r="G127" s="13" t="s">
        <v>262</v>
      </c>
      <c r="H127" s="13" t="s">
        <v>231</v>
      </c>
      <c r="I127" s="13" t="s">
        <v>171</v>
      </c>
      <c r="J127" s="13" t="s">
        <v>7</v>
      </c>
      <c r="K127" s="16">
        <v>4.93</v>
      </c>
      <c r="L127" s="13" t="s">
        <v>88</v>
      </c>
      <c r="M127" s="15">
        <v>4.6899999999999997E-2</v>
      </c>
      <c r="N127" s="15">
        <v>9.11E-2</v>
      </c>
      <c r="O127" s="16">
        <v>59727.7</v>
      </c>
      <c r="P127" s="16">
        <v>80.7</v>
      </c>
      <c r="Q127" s="16">
        <v>0</v>
      </c>
      <c r="R127" s="16">
        <v>48.2</v>
      </c>
      <c r="S127" s="15">
        <v>0</v>
      </c>
      <c r="T127" s="15">
        <v>2.9999999999999997E-4</v>
      </c>
      <c r="U127" s="15">
        <v>0</v>
      </c>
      <c r="V127" s="13" t="s">
        <v>7</v>
      </c>
    </row>
    <row r="128" spans="1:22" x14ac:dyDescent="0.2">
      <c r="A128" s="13" t="s">
        <v>7</v>
      </c>
      <c r="B128" s="13" t="s">
        <v>316</v>
      </c>
      <c r="C128" s="14">
        <v>1141332</v>
      </c>
      <c r="D128" s="13" t="s">
        <v>127</v>
      </c>
      <c r="E128" s="13" t="s">
        <v>7</v>
      </c>
      <c r="F128" s="14">
        <v>515334662</v>
      </c>
      <c r="G128" s="13" t="s">
        <v>262</v>
      </c>
      <c r="H128" s="13" t="s">
        <v>231</v>
      </c>
      <c r="I128" s="13" t="s">
        <v>171</v>
      </c>
      <c r="J128" s="13" t="s">
        <v>7</v>
      </c>
      <c r="K128" s="16">
        <v>4.72</v>
      </c>
      <c r="L128" s="13" t="s">
        <v>88</v>
      </c>
      <c r="M128" s="15">
        <v>4.6899999999999997E-2</v>
      </c>
      <c r="N128" s="15">
        <v>9.0800000000000006E-2</v>
      </c>
      <c r="O128" s="16">
        <v>4770908.97</v>
      </c>
      <c r="P128" s="16">
        <v>80.05</v>
      </c>
      <c r="Q128" s="16">
        <v>0</v>
      </c>
      <c r="R128" s="16">
        <v>3819.11</v>
      </c>
      <c r="S128" s="15">
        <v>2.5000000000000001E-3</v>
      </c>
      <c r="T128" s="15">
        <v>2.1600000000000001E-2</v>
      </c>
      <c r="U128" s="15">
        <v>1.1000000000000001E-3</v>
      </c>
      <c r="V128" s="13" t="s">
        <v>7</v>
      </c>
    </row>
    <row r="129" spans="1:22" x14ac:dyDescent="0.2">
      <c r="A129" s="13" t="s">
        <v>7</v>
      </c>
      <c r="B129" s="13" t="s">
        <v>317</v>
      </c>
      <c r="C129" s="14">
        <v>5760244</v>
      </c>
      <c r="D129" s="13" t="s">
        <v>127</v>
      </c>
      <c r="E129" s="13" t="s">
        <v>7</v>
      </c>
      <c r="F129" s="14">
        <v>520028010</v>
      </c>
      <c r="G129" s="13" t="s">
        <v>249</v>
      </c>
      <c r="H129" s="13" t="s">
        <v>240</v>
      </c>
      <c r="I129" s="13" t="s">
        <v>87</v>
      </c>
      <c r="J129" s="13" t="s">
        <v>7</v>
      </c>
      <c r="K129" s="16">
        <v>2.19</v>
      </c>
      <c r="L129" s="13" t="s">
        <v>88</v>
      </c>
      <c r="M129" s="15">
        <v>5.7000000000000002E-2</v>
      </c>
      <c r="N129" s="15">
        <v>3.7600000000000001E-2</v>
      </c>
      <c r="O129" s="16">
        <v>0.06</v>
      </c>
      <c r="P129" s="16">
        <v>94.35</v>
      </c>
      <c r="Q129" s="16">
        <v>0</v>
      </c>
      <c r="R129" s="16">
        <v>0</v>
      </c>
      <c r="S129" s="15">
        <v>0</v>
      </c>
      <c r="T129" s="15">
        <v>0</v>
      </c>
      <c r="U129" s="15">
        <v>0</v>
      </c>
      <c r="V129" s="13" t="s">
        <v>7</v>
      </c>
    </row>
    <row r="130" spans="1:22" x14ac:dyDescent="0.2">
      <c r="A130" s="13" t="s">
        <v>7</v>
      </c>
      <c r="B130" s="13" t="s">
        <v>318</v>
      </c>
      <c r="C130" s="14">
        <v>1141365</v>
      </c>
      <c r="D130" s="13" t="s">
        <v>127</v>
      </c>
      <c r="E130" s="13" t="s">
        <v>7</v>
      </c>
      <c r="F130" s="14">
        <v>515643484</v>
      </c>
      <c r="G130" s="13" t="s">
        <v>262</v>
      </c>
      <c r="H130" s="13" t="s">
        <v>240</v>
      </c>
      <c r="I130" s="13" t="s">
        <v>87</v>
      </c>
      <c r="J130" s="13" t="s">
        <v>7</v>
      </c>
      <c r="K130" s="16">
        <v>0.73</v>
      </c>
      <c r="L130" s="13" t="s">
        <v>88</v>
      </c>
      <c r="M130" s="15">
        <v>7.7499999999999999E-2</v>
      </c>
      <c r="N130" s="15">
        <v>4.2099999999999999E-2</v>
      </c>
      <c r="O130" s="16">
        <v>203058</v>
      </c>
      <c r="P130" s="16">
        <v>100.69</v>
      </c>
      <c r="Q130" s="16">
        <v>0</v>
      </c>
      <c r="R130" s="16">
        <v>204.46</v>
      </c>
      <c r="S130" s="15">
        <v>1.4E-3</v>
      </c>
      <c r="T130" s="15">
        <v>1.1000000000000001E-3</v>
      </c>
      <c r="U130" s="15">
        <v>1E-4</v>
      </c>
      <c r="V130" s="13" t="s">
        <v>7</v>
      </c>
    </row>
    <row r="131" spans="1:22" x14ac:dyDescent="0.2">
      <c r="A131" s="3" t="s">
        <v>7</v>
      </c>
      <c r="B131" s="3" t="s">
        <v>319</v>
      </c>
      <c r="C131" s="3" t="s">
        <v>7</v>
      </c>
      <c r="D131" s="3" t="s">
        <v>7</v>
      </c>
      <c r="E131" s="3" t="s">
        <v>7</v>
      </c>
      <c r="F131" s="3" t="s">
        <v>7</v>
      </c>
      <c r="G131" s="3" t="s">
        <v>7</v>
      </c>
      <c r="H131" s="3" t="s">
        <v>7</v>
      </c>
      <c r="I131" s="3" t="s">
        <v>7</v>
      </c>
      <c r="J131" s="3" t="s">
        <v>7</v>
      </c>
      <c r="K131" s="12">
        <v>0</v>
      </c>
      <c r="L131" s="3" t="s">
        <v>7</v>
      </c>
      <c r="M131" s="11">
        <v>0</v>
      </c>
      <c r="N131" s="11">
        <v>0</v>
      </c>
      <c r="O131" s="12">
        <v>0</v>
      </c>
      <c r="P131" s="3" t="s">
        <v>7</v>
      </c>
      <c r="Q131" s="12">
        <v>0</v>
      </c>
      <c r="R131" s="12">
        <v>0</v>
      </c>
      <c r="S131" s="3" t="s">
        <v>7</v>
      </c>
      <c r="T131" s="11">
        <v>0</v>
      </c>
      <c r="U131" s="11">
        <v>0</v>
      </c>
      <c r="V131" s="3" t="s">
        <v>7</v>
      </c>
    </row>
    <row r="132" spans="1:22" x14ac:dyDescent="0.2">
      <c r="A132" s="3" t="s">
        <v>7</v>
      </c>
      <c r="B132" s="3" t="s">
        <v>102</v>
      </c>
      <c r="C132" s="3" t="s">
        <v>7</v>
      </c>
      <c r="D132" s="3" t="s">
        <v>7</v>
      </c>
      <c r="E132" s="3" t="s">
        <v>7</v>
      </c>
      <c r="F132" s="3" t="s">
        <v>7</v>
      </c>
      <c r="G132" s="3" t="s">
        <v>7</v>
      </c>
      <c r="H132" s="3" t="s">
        <v>7</v>
      </c>
      <c r="I132" s="3" t="s">
        <v>7</v>
      </c>
      <c r="J132" s="3" t="s">
        <v>7</v>
      </c>
      <c r="K132" s="12">
        <v>0.3</v>
      </c>
      <c r="L132" s="3" t="s">
        <v>7</v>
      </c>
      <c r="M132" s="11">
        <v>5.7500000000000002E-2</v>
      </c>
      <c r="N132" s="11">
        <v>3.3E-3</v>
      </c>
      <c r="O132" s="12">
        <v>555</v>
      </c>
      <c r="P132" s="3" t="s">
        <v>7</v>
      </c>
      <c r="Q132" s="12">
        <v>0</v>
      </c>
      <c r="R132" s="12">
        <v>1.96</v>
      </c>
      <c r="S132" s="3" t="s">
        <v>7</v>
      </c>
      <c r="T132" s="11">
        <v>0</v>
      </c>
      <c r="U132" s="11">
        <v>0</v>
      </c>
      <c r="V132" s="3" t="s">
        <v>7</v>
      </c>
    </row>
    <row r="133" spans="1:22" x14ac:dyDescent="0.2">
      <c r="A133" s="3" t="s">
        <v>7</v>
      </c>
      <c r="B133" s="3" t="s">
        <v>160</v>
      </c>
      <c r="C133" s="3" t="s">
        <v>7</v>
      </c>
      <c r="D133" s="3" t="s">
        <v>7</v>
      </c>
      <c r="E133" s="3" t="s">
        <v>7</v>
      </c>
      <c r="F133" s="3" t="s">
        <v>7</v>
      </c>
      <c r="G133" s="3" t="s">
        <v>7</v>
      </c>
      <c r="H133" s="3" t="s">
        <v>7</v>
      </c>
      <c r="I133" s="3" t="s">
        <v>7</v>
      </c>
      <c r="J133" s="3" t="s">
        <v>7</v>
      </c>
      <c r="K133" s="12">
        <v>0</v>
      </c>
      <c r="L133" s="3" t="s">
        <v>7</v>
      </c>
      <c r="M133" s="11">
        <v>0</v>
      </c>
      <c r="N133" s="11">
        <v>0</v>
      </c>
      <c r="O133" s="12">
        <v>0</v>
      </c>
      <c r="P133" s="3" t="s">
        <v>7</v>
      </c>
      <c r="Q133" s="12">
        <v>0</v>
      </c>
      <c r="R133" s="12">
        <v>0</v>
      </c>
      <c r="S133" s="3" t="s">
        <v>7</v>
      </c>
      <c r="T133" s="11">
        <v>0</v>
      </c>
      <c r="U133" s="11">
        <v>0</v>
      </c>
      <c r="V133" s="3" t="s">
        <v>7</v>
      </c>
    </row>
    <row r="134" spans="1:22" x14ac:dyDescent="0.2">
      <c r="A134" s="3" t="s">
        <v>7</v>
      </c>
      <c r="B134" s="3" t="s">
        <v>159</v>
      </c>
      <c r="C134" s="3" t="s">
        <v>7</v>
      </c>
      <c r="D134" s="3" t="s">
        <v>7</v>
      </c>
      <c r="E134" s="3" t="s">
        <v>7</v>
      </c>
      <c r="F134" s="3" t="s">
        <v>7</v>
      </c>
      <c r="G134" s="3" t="s">
        <v>7</v>
      </c>
      <c r="H134" s="3" t="s">
        <v>7</v>
      </c>
      <c r="I134" s="3" t="s">
        <v>7</v>
      </c>
      <c r="J134" s="3" t="s">
        <v>7</v>
      </c>
      <c r="K134" s="12">
        <v>0.3</v>
      </c>
      <c r="L134" s="3" t="s">
        <v>7</v>
      </c>
      <c r="M134" s="11">
        <v>5.7500000000000002E-2</v>
      </c>
      <c r="N134" s="11">
        <v>3.3E-3</v>
      </c>
      <c r="O134" s="12">
        <v>555</v>
      </c>
      <c r="P134" s="3" t="s">
        <v>7</v>
      </c>
      <c r="Q134" s="12">
        <v>0</v>
      </c>
      <c r="R134" s="12">
        <v>1.96</v>
      </c>
      <c r="S134" s="3" t="s">
        <v>7</v>
      </c>
      <c r="T134" s="11">
        <v>0</v>
      </c>
      <c r="U134" s="11">
        <v>0</v>
      </c>
      <c r="V134" s="3" t="s">
        <v>7</v>
      </c>
    </row>
    <row r="135" spans="1:22" x14ac:dyDescent="0.2">
      <c r="A135" s="13" t="s">
        <v>7</v>
      </c>
      <c r="B135" s="13" t="s">
        <v>320</v>
      </c>
      <c r="C135" s="13" t="s">
        <v>321</v>
      </c>
      <c r="D135" s="13" t="s">
        <v>322</v>
      </c>
      <c r="E135" s="13" t="s">
        <v>323</v>
      </c>
      <c r="F135" s="14">
        <v>99282</v>
      </c>
      <c r="G135" s="13" t="s">
        <v>324</v>
      </c>
      <c r="H135" s="13" t="s">
        <v>325</v>
      </c>
      <c r="I135" s="13" t="s">
        <v>326</v>
      </c>
      <c r="J135" s="13" t="s">
        <v>7</v>
      </c>
      <c r="K135" s="16">
        <v>0.3</v>
      </c>
      <c r="L135" s="13" t="s">
        <v>48</v>
      </c>
      <c r="M135" s="15">
        <v>5.7500000000000002E-2</v>
      </c>
      <c r="N135" s="15">
        <v>3.3E-3</v>
      </c>
      <c r="O135" s="16">
        <v>555</v>
      </c>
      <c r="P135" s="16">
        <v>102.78</v>
      </c>
      <c r="Q135" s="16">
        <v>0</v>
      </c>
      <c r="R135" s="16">
        <v>1.96</v>
      </c>
      <c r="S135" s="15">
        <v>0</v>
      </c>
      <c r="T135" s="15">
        <v>0</v>
      </c>
      <c r="U135" s="15">
        <v>0</v>
      </c>
      <c r="V135" s="14">
        <v>60309077</v>
      </c>
    </row>
    <row r="136" spans="1:22" x14ac:dyDescent="0.2">
      <c r="A136" s="8" t="s">
        <v>7</v>
      </c>
      <c r="B136" s="8" t="s">
        <v>104</v>
      </c>
      <c r="C136" s="8" t="s">
        <v>7</v>
      </c>
      <c r="D136" s="8" t="s">
        <v>7</v>
      </c>
      <c r="E136" s="8" t="s">
        <v>7</v>
      </c>
      <c r="F136" s="8" t="s">
        <v>7</v>
      </c>
      <c r="G136" s="8" t="s">
        <v>7</v>
      </c>
      <c r="H136" s="8" t="s">
        <v>7</v>
      </c>
      <c r="I136" s="8" t="s">
        <v>7</v>
      </c>
      <c r="J136" s="8" t="s">
        <v>7</v>
      </c>
      <c r="K136" s="8" t="s">
        <v>7</v>
      </c>
      <c r="L136" s="8" t="s">
        <v>7</v>
      </c>
      <c r="M136" s="8" t="s">
        <v>7</v>
      </c>
      <c r="N136" s="8" t="s">
        <v>7</v>
      </c>
      <c r="O136" s="8" t="s">
        <v>7</v>
      </c>
      <c r="P136" s="8" t="s">
        <v>7</v>
      </c>
      <c r="Q136" s="8" t="s">
        <v>7</v>
      </c>
      <c r="R136" s="8" t="s">
        <v>7</v>
      </c>
      <c r="S136" s="8" t="s">
        <v>7</v>
      </c>
      <c r="T136" s="8" t="s">
        <v>7</v>
      </c>
      <c r="U136" s="8" t="s">
        <v>7</v>
      </c>
      <c r="V136" s="8" t="s">
        <v>7</v>
      </c>
    </row>
    <row r="137" spans="1:22" x14ac:dyDescent="0.2">
      <c r="A137" s="8" t="s">
        <v>7</v>
      </c>
      <c r="B137" s="8" t="s">
        <v>149</v>
      </c>
      <c r="C137" s="8" t="s">
        <v>7</v>
      </c>
      <c r="D137" s="8" t="s">
        <v>7</v>
      </c>
      <c r="E137" s="8" t="s">
        <v>7</v>
      </c>
      <c r="F137" s="8" t="s">
        <v>7</v>
      </c>
      <c r="G137" s="8" t="s">
        <v>7</v>
      </c>
      <c r="H137" s="8" t="s">
        <v>7</v>
      </c>
      <c r="I137" s="8" t="s">
        <v>7</v>
      </c>
      <c r="J137" s="8" t="s">
        <v>7</v>
      </c>
      <c r="K137" s="8" t="s">
        <v>7</v>
      </c>
      <c r="L137" s="8" t="s">
        <v>7</v>
      </c>
      <c r="M137" s="8" t="s">
        <v>7</v>
      </c>
      <c r="N137" s="8" t="s">
        <v>7</v>
      </c>
      <c r="O137" s="8" t="s">
        <v>7</v>
      </c>
      <c r="P137" s="8" t="s">
        <v>7</v>
      </c>
      <c r="Q137" s="8" t="s">
        <v>7</v>
      </c>
      <c r="R137" s="8" t="s">
        <v>7</v>
      </c>
      <c r="S137" s="8" t="s">
        <v>7</v>
      </c>
      <c r="T137" s="8" t="s">
        <v>7</v>
      </c>
      <c r="U137" s="8" t="s">
        <v>7</v>
      </c>
      <c r="V137" s="8" t="s">
        <v>7</v>
      </c>
    </row>
    <row r="138" spans="1:22" x14ac:dyDescent="0.2">
      <c r="A138" s="7" t="s">
        <v>60</v>
      </c>
      <c r="B138" s="7" t="s">
        <v>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6"/>
  <sheetViews>
    <sheetView rightToLeft="1" topLeftCell="D2" workbookViewId="0">
      <selection activeCell="F18" sqref="E18:F20"/>
    </sheetView>
  </sheetViews>
  <sheetFormatPr defaultRowHeight="14.25" x14ac:dyDescent="0.2"/>
  <cols>
    <col min="1" max="1" width="2" customWidth="1"/>
    <col min="2" max="2" width="35" customWidth="1"/>
    <col min="3" max="3" width="15" customWidth="1"/>
    <col min="4" max="5" width="11" customWidth="1"/>
    <col min="6" max="6" width="12" customWidth="1"/>
    <col min="7" max="7" width="42" customWidth="1"/>
    <col min="8" max="8" width="16" customWidth="1"/>
    <col min="9" max="9" width="15" customWidth="1"/>
    <col min="10" max="10" width="12" customWidth="1"/>
    <col min="11" max="11" width="14" customWidth="1"/>
    <col min="12" max="12" width="12" customWidth="1"/>
    <col min="13" max="13" width="22" customWidth="1"/>
    <col min="14" max="14" width="24" customWidth="1"/>
    <col min="15" max="15" width="23" customWidth="1"/>
    <col min="16" max="16" width="11" customWidth="1"/>
  </cols>
  <sheetData>
    <row r="1" spans="1:16" x14ac:dyDescent="0.2">
      <c r="B1" s="7" t="s">
        <v>0</v>
      </c>
      <c r="C1" s="7" t="s">
        <v>1</v>
      </c>
    </row>
    <row r="2" spans="1:16" x14ac:dyDescent="0.2">
      <c r="B2" s="7" t="s">
        <v>2</v>
      </c>
      <c r="C2" s="7" t="s">
        <v>3</v>
      </c>
    </row>
    <row r="3" spans="1:16" x14ac:dyDescent="0.2">
      <c r="B3" s="7" t="s">
        <v>4</v>
      </c>
      <c r="C3" s="7" t="s">
        <v>5</v>
      </c>
    </row>
    <row r="4" spans="1:16" x14ac:dyDescent="0.2">
      <c r="B4" s="7" t="s">
        <v>6</v>
      </c>
      <c r="C4" s="7">
        <v>408</v>
      </c>
    </row>
    <row r="5" spans="1:16" x14ac:dyDescent="0.2">
      <c r="B5" s="7" t="s">
        <v>7</v>
      </c>
      <c r="C5" s="7" t="s">
        <v>7</v>
      </c>
    </row>
    <row r="6" spans="1:16" x14ac:dyDescent="0.2">
      <c r="A6" s="1" t="s">
        <v>7</v>
      </c>
      <c r="B6" s="1" t="s">
        <v>105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</row>
    <row r="7" spans="1:16" x14ac:dyDescent="0.2">
      <c r="A7" s="1" t="s">
        <v>7</v>
      </c>
      <c r="B7" s="1" t="s">
        <v>327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</row>
    <row r="8" spans="1:16" x14ac:dyDescent="0.2">
      <c r="A8" s="1" t="s">
        <v>7</v>
      </c>
      <c r="B8" s="1" t="s">
        <v>63</v>
      </c>
      <c r="C8" s="1" t="s">
        <v>64</v>
      </c>
      <c r="D8" s="1" t="s">
        <v>107</v>
      </c>
      <c r="E8" s="1" t="s">
        <v>151</v>
      </c>
      <c r="F8" s="1" t="s">
        <v>65</v>
      </c>
      <c r="G8" s="1" t="s">
        <v>152</v>
      </c>
      <c r="H8" s="1" t="s">
        <v>68</v>
      </c>
      <c r="I8" s="1" t="s">
        <v>110</v>
      </c>
      <c r="J8" s="1" t="s">
        <v>111</v>
      </c>
      <c r="K8" s="1" t="s">
        <v>328</v>
      </c>
      <c r="L8" s="1" t="s">
        <v>71</v>
      </c>
      <c r="M8" s="1" t="s">
        <v>113</v>
      </c>
      <c r="N8" s="1" t="s">
        <v>72</v>
      </c>
      <c r="O8" s="1" t="s">
        <v>114</v>
      </c>
      <c r="P8" s="1" t="s">
        <v>7</v>
      </c>
    </row>
    <row r="9" spans="1:16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116</v>
      </c>
      <c r="J9" s="1" t="s">
        <v>117</v>
      </c>
      <c r="K9" s="1" t="s">
        <v>11</v>
      </c>
      <c r="L9" s="1" t="s">
        <v>11</v>
      </c>
      <c r="M9" s="1" t="s">
        <v>12</v>
      </c>
      <c r="N9" s="1" t="s">
        <v>12</v>
      </c>
      <c r="O9" s="1" t="s">
        <v>12</v>
      </c>
      <c r="P9" s="1" t="s">
        <v>7</v>
      </c>
    </row>
    <row r="10" spans="1:16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74</v>
      </c>
      <c r="F10" s="1" t="s">
        <v>75</v>
      </c>
      <c r="G10" s="1" t="s">
        <v>76</v>
      </c>
      <c r="H10" s="1" t="s">
        <v>77</v>
      </c>
      <c r="I10" s="1" t="s">
        <v>78</v>
      </c>
      <c r="J10" s="1" t="s">
        <v>79</v>
      </c>
      <c r="K10" s="1" t="s">
        <v>80</v>
      </c>
      <c r="L10" s="1" t="s">
        <v>81</v>
      </c>
      <c r="M10" s="1" t="s">
        <v>118</v>
      </c>
      <c r="N10" s="1" t="s">
        <v>119</v>
      </c>
      <c r="O10" s="1" t="s">
        <v>120</v>
      </c>
      <c r="P10" s="1" t="s">
        <v>7</v>
      </c>
    </row>
    <row r="11" spans="1:16" x14ac:dyDescent="0.2">
      <c r="A11" s="8" t="s">
        <v>7</v>
      </c>
      <c r="B11" s="8" t="s">
        <v>329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8" t="s">
        <v>7</v>
      </c>
      <c r="I11" s="10">
        <v>18432979.32</v>
      </c>
      <c r="J11" s="8" t="s">
        <v>7</v>
      </c>
      <c r="K11" s="10">
        <f>366.1-254.03</f>
        <v>112.07000000000002</v>
      </c>
      <c r="L11" s="10">
        <v>233716.27</v>
      </c>
      <c r="M11" s="8" t="s">
        <v>7</v>
      </c>
      <c r="N11" s="9">
        <v>1</v>
      </c>
      <c r="O11" s="9">
        <v>6.59E-2</v>
      </c>
      <c r="P11" s="8" t="s">
        <v>7</v>
      </c>
    </row>
    <row r="12" spans="1:16" x14ac:dyDescent="0.2">
      <c r="A12" s="3" t="s">
        <v>7</v>
      </c>
      <c r="B12" s="3" t="s">
        <v>83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12">
        <v>18039804.32</v>
      </c>
      <c r="J12" s="3" t="s">
        <v>7</v>
      </c>
      <c r="K12" s="12">
        <f>317.33-254.03</f>
        <v>63.299999999999983</v>
      </c>
      <c r="L12" s="12">
        <v>149556.14000000001</v>
      </c>
      <c r="M12" s="3" t="s">
        <v>7</v>
      </c>
      <c r="N12" s="11">
        <v>0.64029999999999998</v>
      </c>
      <c r="O12" s="11">
        <v>4.2200000000000001E-2</v>
      </c>
      <c r="P12" s="3" t="s">
        <v>7</v>
      </c>
    </row>
    <row r="13" spans="1:16" x14ac:dyDescent="0.2">
      <c r="A13" s="3" t="s">
        <v>7</v>
      </c>
      <c r="B13" s="3" t="s">
        <v>330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12">
        <v>2103404.91</v>
      </c>
      <c r="J13" s="3" t="s">
        <v>7</v>
      </c>
      <c r="K13" s="12">
        <v>0</v>
      </c>
      <c r="L13" s="12">
        <v>70155.16</v>
      </c>
      <c r="M13" s="3" t="s">
        <v>7</v>
      </c>
      <c r="N13" s="17">
        <v>0.29980000000000001</v>
      </c>
      <c r="O13" s="17">
        <v>1.9800000000000002E-2</v>
      </c>
      <c r="P13" s="3" t="s">
        <v>7</v>
      </c>
    </row>
    <row r="14" spans="1:16" x14ac:dyDescent="0.2">
      <c r="A14" s="13" t="s">
        <v>7</v>
      </c>
      <c r="B14" s="13" t="s">
        <v>331</v>
      </c>
      <c r="C14" s="14">
        <v>1081124</v>
      </c>
      <c r="D14" s="13" t="s">
        <v>127</v>
      </c>
      <c r="E14" s="13" t="s">
        <v>7</v>
      </c>
      <c r="F14" s="14">
        <v>520043027</v>
      </c>
      <c r="G14" s="13" t="s">
        <v>332</v>
      </c>
      <c r="H14" s="13" t="s">
        <v>88</v>
      </c>
      <c r="I14" s="16">
        <v>19485.72</v>
      </c>
      <c r="J14" s="16">
        <v>41690</v>
      </c>
      <c r="K14" s="16">
        <v>0</v>
      </c>
      <c r="L14" s="16">
        <v>8123.6</v>
      </c>
      <c r="M14" s="15">
        <v>4.0000000000000002E-4</v>
      </c>
      <c r="N14" s="15">
        <v>3.4700000000000002E-2</v>
      </c>
      <c r="O14" s="15">
        <v>2.3E-3</v>
      </c>
      <c r="P14" s="13" t="s">
        <v>7</v>
      </c>
    </row>
    <row r="15" spans="1:16" x14ac:dyDescent="0.2">
      <c r="A15" s="13" t="s">
        <v>7</v>
      </c>
      <c r="B15" s="13" t="s">
        <v>333</v>
      </c>
      <c r="C15" s="14">
        <v>1134402</v>
      </c>
      <c r="D15" s="13" t="s">
        <v>127</v>
      </c>
      <c r="E15" s="13" t="s">
        <v>7</v>
      </c>
      <c r="F15" s="14">
        <v>880326081</v>
      </c>
      <c r="G15" s="13" t="s">
        <v>334</v>
      </c>
      <c r="H15" s="13" t="s">
        <v>88</v>
      </c>
      <c r="I15" s="16">
        <v>13275.66</v>
      </c>
      <c r="J15" s="16">
        <v>20100</v>
      </c>
      <c r="K15" s="16">
        <v>0</v>
      </c>
      <c r="L15" s="16">
        <v>2668.41</v>
      </c>
      <c r="M15" s="15">
        <v>2.9999999999999997E-4</v>
      </c>
      <c r="N15" s="15">
        <v>1.14E-2</v>
      </c>
      <c r="O15" s="15">
        <v>6.9999999999999999E-4</v>
      </c>
      <c r="P15" s="13" t="s">
        <v>7</v>
      </c>
    </row>
    <row r="16" spans="1:16" x14ac:dyDescent="0.2">
      <c r="A16" s="13" t="s">
        <v>7</v>
      </c>
      <c r="B16" s="13" t="s">
        <v>335</v>
      </c>
      <c r="C16" s="14">
        <v>273011</v>
      </c>
      <c r="D16" s="13" t="s">
        <v>127</v>
      </c>
      <c r="E16" s="13" t="s">
        <v>7</v>
      </c>
      <c r="F16" s="14">
        <v>520036872</v>
      </c>
      <c r="G16" s="13" t="s">
        <v>314</v>
      </c>
      <c r="H16" s="13" t="s">
        <v>88</v>
      </c>
      <c r="I16" s="16">
        <v>33540</v>
      </c>
      <c r="J16" s="16">
        <v>77390</v>
      </c>
      <c r="K16" s="16">
        <v>0</v>
      </c>
      <c r="L16" s="16">
        <v>25956.61</v>
      </c>
      <c r="M16" s="15">
        <v>5.0000000000000001E-4</v>
      </c>
      <c r="N16" s="15">
        <v>0.1109</v>
      </c>
      <c r="O16" s="15">
        <v>7.3000000000000001E-3</v>
      </c>
      <c r="P16" s="13" t="s">
        <v>7</v>
      </c>
    </row>
    <row r="17" spans="1:16" x14ac:dyDescent="0.2">
      <c r="A17" s="13" t="s">
        <v>7</v>
      </c>
      <c r="B17" s="13" t="s">
        <v>336</v>
      </c>
      <c r="C17" s="14">
        <v>629014</v>
      </c>
      <c r="D17" s="13" t="s">
        <v>127</v>
      </c>
      <c r="E17" s="13" t="s">
        <v>7</v>
      </c>
      <c r="F17" s="14">
        <v>520013954</v>
      </c>
      <c r="G17" s="13" t="s">
        <v>337</v>
      </c>
      <c r="H17" s="13" t="s">
        <v>88</v>
      </c>
      <c r="I17" s="16">
        <v>75863</v>
      </c>
      <c r="J17" s="16">
        <v>3100</v>
      </c>
      <c r="K17" s="16">
        <v>0</v>
      </c>
      <c r="L17" s="16">
        <v>2351.75</v>
      </c>
      <c r="M17" s="15">
        <v>1E-4</v>
      </c>
      <c r="N17" s="15">
        <v>0.01</v>
      </c>
      <c r="O17" s="15">
        <v>6.9999999999999999E-4</v>
      </c>
      <c r="P17" s="13" t="s">
        <v>7</v>
      </c>
    </row>
    <row r="18" spans="1:16" x14ac:dyDescent="0.2">
      <c r="A18" s="13" t="s">
        <v>7</v>
      </c>
      <c r="B18" s="13" t="s">
        <v>338</v>
      </c>
      <c r="C18" s="14">
        <v>593038</v>
      </c>
      <c r="D18" s="13" t="s">
        <v>127</v>
      </c>
      <c r="E18" s="13" t="s">
        <v>7</v>
      </c>
      <c r="F18" s="14">
        <v>520029083</v>
      </c>
      <c r="G18" s="13" t="s">
        <v>167</v>
      </c>
      <c r="H18" s="13" t="s">
        <v>88</v>
      </c>
      <c r="I18" s="16">
        <v>55000</v>
      </c>
      <c r="J18" s="16">
        <v>7108</v>
      </c>
      <c r="K18" s="16">
        <v>0</v>
      </c>
      <c r="L18" s="16">
        <v>3909.4</v>
      </c>
      <c r="M18" s="15">
        <v>5.0000000000000001E-4</v>
      </c>
      <c r="N18" s="15">
        <v>1.67E-2</v>
      </c>
      <c r="O18" s="15">
        <v>1.1000000000000001E-3</v>
      </c>
      <c r="P18" s="13" t="s">
        <v>7</v>
      </c>
    </row>
    <row r="19" spans="1:16" x14ac:dyDescent="0.2">
      <c r="A19" s="13" t="s">
        <v>7</v>
      </c>
      <c r="B19" s="13" t="s">
        <v>339</v>
      </c>
      <c r="C19" s="14">
        <v>691212</v>
      </c>
      <c r="D19" s="13" t="s">
        <v>127</v>
      </c>
      <c r="E19" s="13" t="s">
        <v>7</v>
      </c>
      <c r="F19" s="14">
        <v>520007030</v>
      </c>
      <c r="G19" s="13" t="s">
        <v>167</v>
      </c>
      <c r="H19" s="13" t="s">
        <v>88</v>
      </c>
      <c r="I19" s="16">
        <v>562200</v>
      </c>
      <c r="J19" s="16">
        <v>924</v>
      </c>
      <c r="K19" s="16">
        <v>0</v>
      </c>
      <c r="L19" s="16">
        <v>5194.7299999999996</v>
      </c>
      <c r="M19" s="15">
        <v>5.0000000000000001E-4</v>
      </c>
      <c r="N19" s="15">
        <v>2.2200000000000001E-2</v>
      </c>
      <c r="O19" s="15">
        <v>1.5E-3</v>
      </c>
      <c r="P19" s="13" t="s">
        <v>7</v>
      </c>
    </row>
    <row r="20" spans="1:16" x14ac:dyDescent="0.2">
      <c r="A20" s="13" t="s">
        <v>7</v>
      </c>
      <c r="B20" s="13" t="s">
        <v>340</v>
      </c>
      <c r="C20" s="14">
        <v>604611</v>
      </c>
      <c r="D20" s="13" t="s">
        <v>127</v>
      </c>
      <c r="E20" s="13" t="s">
        <v>7</v>
      </c>
      <c r="F20" s="14">
        <v>520018078</v>
      </c>
      <c r="G20" s="13" t="s">
        <v>167</v>
      </c>
      <c r="H20" s="13" t="s">
        <v>88</v>
      </c>
      <c r="I20" s="16">
        <v>389500</v>
      </c>
      <c r="J20" s="16">
        <v>1508</v>
      </c>
      <c r="K20" s="16">
        <v>0</v>
      </c>
      <c r="L20" s="16">
        <v>5873.66</v>
      </c>
      <c r="M20" s="15">
        <v>2.9999999999999997E-4</v>
      </c>
      <c r="N20" s="15">
        <v>2.5100000000000001E-2</v>
      </c>
      <c r="O20" s="15">
        <v>1.6999999999999999E-3</v>
      </c>
      <c r="P20" s="13" t="s">
        <v>7</v>
      </c>
    </row>
    <row r="21" spans="1:16" x14ac:dyDescent="0.2">
      <c r="A21" s="13" t="s">
        <v>7</v>
      </c>
      <c r="B21" s="13" t="s">
        <v>341</v>
      </c>
      <c r="C21" s="14">
        <v>695437</v>
      </c>
      <c r="D21" s="13" t="s">
        <v>127</v>
      </c>
      <c r="E21" s="13" t="s">
        <v>7</v>
      </c>
      <c r="F21" s="14">
        <v>520000522</v>
      </c>
      <c r="G21" s="13" t="s">
        <v>167</v>
      </c>
      <c r="H21" s="13" t="s">
        <v>88</v>
      </c>
      <c r="I21" s="16">
        <v>32700</v>
      </c>
      <c r="J21" s="16">
        <v>6074</v>
      </c>
      <c r="K21" s="16">
        <v>0</v>
      </c>
      <c r="L21" s="16">
        <v>1986.2</v>
      </c>
      <c r="M21" s="15">
        <v>1E-4</v>
      </c>
      <c r="N21" s="15">
        <v>8.5000000000000006E-3</v>
      </c>
      <c r="O21" s="15">
        <v>5.9999999999999995E-4</v>
      </c>
      <c r="P21" s="13" t="s">
        <v>7</v>
      </c>
    </row>
    <row r="22" spans="1:16" x14ac:dyDescent="0.2">
      <c r="A22" s="13" t="s">
        <v>7</v>
      </c>
      <c r="B22" s="13" t="s">
        <v>342</v>
      </c>
      <c r="C22" s="14">
        <v>662577</v>
      </c>
      <c r="D22" s="13" t="s">
        <v>127</v>
      </c>
      <c r="E22" s="13" t="s">
        <v>7</v>
      </c>
      <c r="F22" s="14">
        <v>520000118</v>
      </c>
      <c r="G22" s="13" t="s">
        <v>167</v>
      </c>
      <c r="H22" s="13" t="s">
        <v>88</v>
      </c>
      <c r="I22" s="16">
        <v>515200</v>
      </c>
      <c r="J22" s="16">
        <v>1830</v>
      </c>
      <c r="K22" s="16">
        <v>0</v>
      </c>
      <c r="L22" s="16">
        <v>9428.16</v>
      </c>
      <c r="M22" s="15">
        <v>4.0000000000000002E-4</v>
      </c>
      <c r="N22" s="15">
        <v>4.0300000000000002E-2</v>
      </c>
      <c r="O22" s="15">
        <v>2.7000000000000001E-3</v>
      </c>
      <c r="P22" s="13" t="s">
        <v>7</v>
      </c>
    </row>
    <row r="23" spans="1:16" x14ac:dyDescent="0.2">
      <c r="A23" s="13" t="s">
        <v>7</v>
      </c>
      <c r="B23" s="13" t="s">
        <v>343</v>
      </c>
      <c r="C23" s="14">
        <v>1143429</v>
      </c>
      <c r="D23" s="13" t="s">
        <v>127</v>
      </c>
      <c r="E23" s="13" t="s">
        <v>7</v>
      </c>
      <c r="F23" s="14">
        <v>512607888</v>
      </c>
      <c r="G23" s="13" t="s">
        <v>299</v>
      </c>
      <c r="H23" s="13" t="s">
        <v>88</v>
      </c>
      <c r="I23" s="16">
        <v>6030</v>
      </c>
      <c r="J23" s="16">
        <v>19340</v>
      </c>
      <c r="K23" s="16">
        <v>0</v>
      </c>
      <c r="L23" s="16">
        <v>1166.2</v>
      </c>
      <c r="M23" s="15">
        <v>4.0000000000000002E-4</v>
      </c>
      <c r="N23" s="15">
        <v>5.0000000000000001E-3</v>
      </c>
      <c r="O23" s="15">
        <v>2.9999999999999997E-4</v>
      </c>
      <c r="P23" s="13" t="s">
        <v>7</v>
      </c>
    </row>
    <row r="24" spans="1:16" x14ac:dyDescent="0.2">
      <c r="A24" s="13" t="s">
        <v>7</v>
      </c>
      <c r="B24" s="13" t="s">
        <v>344</v>
      </c>
      <c r="C24" s="14">
        <v>226019</v>
      </c>
      <c r="D24" s="13" t="s">
        <v>127</v>
      </c>
      <c r="E24" s="13" t="s">
        <v>7</v>
      </c>
      <c r="F24" s="14">
        <v>520024126</v>
      </c>
      <c r="G24" s="13" t="s">
        <v>185</v>
      </c>
      <c r="H24" s="13" t="s">
        <v>88</v>
      </c>
      <c r="I24" s="16">
        <v>400000</v>
      </c>
      <c r="J24" s="16">
        <v>638.5</v>
      </c>
      <c r="K24" s="16">
        <v>0</v>
      </c>
      <c r="L24" s="16">
        <v>2554</v>
      </c>
      <c r="M24" s="15">
        <v>5.0000000000000001E-4</v>
      </c>
      <c r="N24" s="15">
        <v>1.09E-2</v>
      </c>
      <c r="O24" s="15">
        <v>6.9999999999999999E-4</v>
      </c>
      <c r="P24" s="13" t="s">
        <v>7</v>
      </c>
    </row>
    <row r="25" spans="1:16" x14ac:dyDescent="0.2">
      <c r="A25" s="13" t="s">
        <v>7</v>
      </c>
      <c r="B25" s="13" t="s">
        <v>345</v>
      </c>
      <c r="C25" s="14">
        <v>739037</v>
      </c>
      <c r="D25" s="13" t="s">
        <v>127</v>
      </c>
      <c r="E25" s="13" t="s">
        <v>7</v>
      </c>
      <c r="F25" s="14">
        <v>520028911</v>
      </c>
      <c r="G25" s="13" t="s">
        <v>249</v>
      </c>
      <c r="H25" s="13" t="s">
        <v>88</v>
      </c>
      <c r="I25" s="16">
        <v>610</v>
      </c>
      <c r="J25" s="16">
        <v>154500</v>
      </c>
      <c r="K25" s="16">
        <v>0</v>
      </c>
      <c r="L25" s="16">
        <v>942.45</v>
      </c>
      <c r="M25" s="15">
        <v>2.0000000000000001E-4</v>
      </c>
      <c r="N25" s="15">
        <v>4.0000000000000001E-3</v>
      </c>
      <c r="O25" s="15">
        <v>2.9999999999999997E-4</v>
      </c>
      <c r="P25" s="13" t="s">
        <v>7</v>
      </c>
    </row>
    <row r="26" spans="1:16" x14ac:dyDescent="0.2">
      <c r="A26" s="13" t="s">
        <v>7</v>
      </c>
      <c r="B26" s="13" t="s">
        <v>346</v>
      </c>
      <c r="C26" s="14">
        <v>475020</v>
      </c>
      <c r="D26" s="13" t="s">
        <v>127</v>
      </c>
      <c r="E26" s="13" t="s">
        <v>7</v>
      </c>
      <c r="F26" s="14">
        <v>550013098</v>
      </c>
      <c r="G26" s="13" t="s">
        <v>262</v>
      </c>
      <c r="H26" s="13" t="s">
        <v>88</v>
      </c>
      <c r="I26" s="16">
        <v>0.53</v>
      </c>
      <c r="J26" s="16">
        <v>303.89999999999998</v>
      </c>
      <c r="K26" s="16">
        <v>0</v>
      </c>
      <c r="L26" s="16">
        <v>0</v>
      </c>
      <c r="M26" s="15">
        <v>0</v>
      </c>
      <c r="N26" s="15">
        <v>0</v>
      </c>
      <c r="O26" s="15">
        <v>0</v>
      </c>
      <c r="P26" s="13" t="s">
        <v>7</v>
      </c>
    </row>
    <row r="27" spans="1:16" x14ac:dyDescent="0.2">
      <c r="A27" s="3" t="s">
        <v>7</v>
      </c>
      <c r="B27" s="3" t="s">
        <v>347</v>
      </c>
      <c r="C27" s="3" t="s">
        <v>7</v>
      </c>
      <c r="D27" s="3" t="s">
        <v>7</v>
      </c>
      <c r="E27" s="3" t="s">
        <v>7</v>
      </c>
      <c r="F27" s="3" t="s">
        <v>7</v>
      </c>
      <c r="G27" s="3" t="s">
        <v>7</v>
      </c>
      <c r="H27" s="3" t="s">
        <v>7</v>
      </c>
      <c r="I27" s="12">
        <v>4335182.93</v>
      </c>
      <c r="J27" s="3" t="s">
        <v>7</v>
      </c>
      <c r="K27" s="12">
        <v>63.3</v>
      </c>
      <c r="L27" s="12">
        <v>48046.36</v>
      </c>
      <c r="M27" s="3" t="s">
        <v>7</v>
      </c>
      <c r="N27" s="11">
        <v>0.20530000000000001</v>
      </c>
      <c r="O27" s="11">
        <v>1.35E-2</v>
      </c>
      <c r="P27" s="3" t="s">
        <v>7</v>
      </c>
    </row>
    <row r="28" spans="1:16" x14ac:dyDescent="0.2">
      <c r="A28" s="13" t="s">
        <v>7</v>
      </c>
      <c r="B28" s="13" t="s">
        <v>348</v>
      </c>
      <c r="C28" s="14">
        <v>1094119</v>
      </c>
      <c r="D28" s="13" t="s">
        <v>127</v>
      </c>
      <c r="E28" s="13" t="s">
        <v>7</v>
      </c>
      <c r="F28" s="14">
        <v>511524605</v>
      </c>
      <c r="G28" s="13" t="s">
        <v>349</v>
      </c>
      <c r="H28" s="13" t="s">
        <v>88</v>
      </c>
      <c r="I28" s="16">
        <v>40000</v>
      </c>
      <c r="J28" s="16">
        <v>2925</v>
      </c>
      <c r="K28" s="16">
        <v>0</v>
      </c>
      <c r="L28" s="16">
        <v>1170</v>
      </c>
      <c r="M28" s="15">
        <v>8.9999999999999998E-4</v>
      </c>
      <c r="N28" s="15">
        <v>5.0000000000000001E-3</v>
      </c>
      <c r="O28" s="15">
        <v>2.9999999999999997E-4</v>
      </c>
      <c r="P28" s="13" t="s">
        <v>7</v>
      </c>
    </row>
    <row r="29" spans="1:16" x14ac:dyDescent="0.2">
      <c r="A29" s="13" t="s">
        <v>7</v>
      </c>
      <c r="B29" s="13" t="s">
        <v>350</v>
      </c>
      <c r="C29" s="14">
        <v>720011</v>
      </c>
      <c r="D29" s="13" t="s">
        <v>127</v>
      </c>
      <c r="E29" s="13" t="s">
        <v>7</v>
      </c>
      <c r="F29" s="14">
        <v>520041146</v>
      </c>
      <c r="G29" s="13" t="s">
        <v>334</v>
      </c>
      <c r="H29" s="13" t="s">
        <v>88</v>
      </c>
      <c r="I29" s="16">
        <v>1571550</v>
      </c>
      <c r="J29" s="16">
        <v>611.4</v>
      </c>
      <c r="K29" s="16">
        <v>0</v>
      </c>
      <c r="L29" s="16">
        <v>9608.4599999999991</v>
      </c>
      <c r="M29" s="15">
        <v>1.9E-3</v>
      </c>
      <c r="N29" s="15">
        <v>4.1099999999999998E-2</v>
      </c>
      <c r="O29" s="15">
        <v>2.7000000000000001E-3</v>
      </c>
      <c r="P29" s="13" t="s">
        <v>7</v>
      </c>
    </row>
    <row r="30" spans="1:16" x14ac:dyDescent="0.2">
      <c r="A30" s="13" t="s">
        <v>7</v>
      </c>
      <c r="B30" s="13" t="s">
        <v>351</v>
      </c>
      <c r="C30" s="14">
        <v>1123355</v>
      </c>
      <c r="D30" s="13" t="s">
        <v>127</v>
      </c>
      <c r="E30" s="13" t="s">
        <v>7</v>
      </c>
      <c r="F30" s="14">
        <v>513901371</v>
      </c>
      <c r="G30" s="13" t="s">
        <v>334</v>
      </c>
      <c r="H30" s="13" t="s">
        <v>88</v>
      </c>
      <c r="I30" s="16">
        <v>582865.37</v>
      </c>
      <c r="J30" s="16">
        <v>1365</v>
      </c>
      <c r="K30" s="16">
        <v>0</v>
      </c>
      <c r="L30" s="16">
        <v>7956.11</v>
      </c>
      <c r="M30" s="15">
        <v>1.1999999999999999E-3</v>
      </c>
      <c r="N30" s="15">
        <v>3.4000000000000002E-2</v>
      </c>
      <c r="O30" s="15">
        <v>2.2000000000000001E-3</v>
      </c>
      <c r="P30" s="13" t="s">
        <v>7</v>
      </c>
    </row>
    <row r="31" spans="1:16" x14ac:dyDescent="0.2">
      <c r="A31" s="13" t="s">
        <v>7</v>
      </c>
      <c r="B31" s="13" t="s">
        <v>352</v>
      </c>
      <c r="C31" s="14">
        <v>1084698</v>
      </c>
      <c r="D31" s="13" t="s">
        <v>127</v>
      </c>
      <c r="E31" s="13" t="s">
        <v>7</v>
      </c>
      <c r="F31" s="14">
        <v>520039942</v>
      </c>
      <c r="G31" s="13" t="s">
        <v>353</v>
      </c>
      <c r="H31" s="13" t="s">
        <v>88</v>
      </c>
      <c r="I31" s="16">
        <v>7500</v>
      </c>
      <c r="J31" s="16">
        <v>14970</v>
      </c>
      <c r="K31" s="16">
        <v>0</v>
      </c>
      <c r="L31" s="16">
        <v>1122.75</v>
      </c>
      <c r="M31" s="15">
        <v>2.9999999999999997E-4</v>
      </c>
      <c r="N31" s="15">
        <v>4.7999999999999996E-3</v>
      </c>
      <c r="O31" s="15">
        <v>2.9999999999999997E-4</v>
      </c>
      <c r="P31" s="13" t="s">
        <v>7</v>
      </c>
    </row>
    <row r="32" spans="1:16" x14ac:dyDescent="0.2">
      <c r="A32" s="13" t="s">
        <v>7</v>
      </c>
      <c r="B32" s="13" t="s">
        <v>354</v>
      </c>
      <c r="C32" s="14">
        <v>445015</v>
      </c>
      <c r="D32" s="13" t="s">
        <v>127</v>
      </c>
      <c r="E32" s="13" t="s">
        <v>7</v>
      </c>
      <c r="F32" s="14">
        <v>520039413</v>
      </c>
      <c r="G32" s="13" t="s">
        <v>353</v>
      </c>
      <c r="H32" s="13" t="s">
        <v>88</v>
      </c>
      <c r="I32" s="16">
        <v>20000</v>
      </c>
      <c r="J32" s="16">
        <v>8060</v>
      </c>
      <c r="K32" s="16">
        <v>0</v>
      </c>
      <c r="L32" s="16">
        <v>1612</v>
      </c>
      <c r="M32" s="15">
        <v>2.9999999999999997E-4</v>
      </c>
      <c r="N32" s="15">
        <v>6.8999999999999999E-3</v>
      </c>
      <c r="O32" s="15">
        <v>4.0000000000000002E-4</v>
      </c>
      <c r="P32" s="13" t="s">
        <v>7</v>
      </c>
    </row>
    <row r="33" spans="1:16" x14ac:dyDescent="0.2">
      <c r="A33" s="13" t="s">
        <v>7</v>
      </c>
      <c r="B33" s="13" t="s">
        <v>355</v>
      </c>
      <c r="C33" s="14">
        <v>1100007</v>
      </c>
      <c r="D33" s="13" t="s">
        <v>127</v>
      </c>
      <c r="E33" s="13" t="s">
        <v>7</v>
      </c>
      <c r="F33" s="14">
        <v>510216054</v>
      </c>
      <c r="G33" s="13" t="s">
        <v>225</v>
      </c>
      <c r="H33" s="13" t="s">
        <v>88</v>
      </c>
      <c r="I33" s="16">
        <v>4700</v>
      </c>
      <c r="J33" s="16">
        <v>26940</v>
      </c>
      <c r="K33" s="16">
        <v>0</v>
      </c>
      <c r="L33" s="16">
        <v>1266.18</v>
      </c>
      <c r="M33" s="15">
        <v>5.0000000000000001E-4</v>
      </c>
      <c r="N33" s="15">
        <v>5.4000000000000003E-3</v>
      </c>
      <c r="O33" s="15">
        <v>4.0000000000000002E-4</v>
      </c>
      <c r="P33" s="13" t="s">
        <v>7</v>
      </c>
    </row>
    <row r="34" spans="1:16" x14ac:dyDescent="0.2">
      <c r="A34" s="13" t="s">
        <v>7</v>
      </c>
      <c r="B34" s="13" t="s">
        <v>356</v>
      </c>
      <c r="C34" s="14">
        <v>1159029</v>
      </c>
      <c r="D34" s="13" t="s">
        <v>127</v>
      </c>
      <c r="E34" s="13" t="s">
        <v>7</v>
      </c>
      <c r="F34" s="14">
        <v>1778</v>
      </c>
      <c r="G34" s="13" t="s">
        <v>233</v>
      </c>
      <c r="H34" s="13" t="s">
        <v>88</v>
      </c>
      <c r="I34" s="16">
        <v>105520</v>
      </c>
      <c r="J34" s="16">
        <v>1534</v>
      </c>
      <c r="K34" s="16">
        <v>0</v>
      </c>
      <c r="L34" s="16">
        <v>1618.68</v>
      </c>
      <c r="M34" s="15">
        <v>1E-3</v>
      </c>
      <c r="N34" s="15">
        <v>6.8999999999999999E-3</v>
      </c>
      <c r="O34" s="15">
        <v>5.0000000000000001E-4</v>
      </c>
      <c r="P34" s="13" t="s">
        <v>7</v>
      </c>
    </row>
    <row r="35" spans="1:16" x14ac:dyDescent="0.2">
      <c r="A35" s="13" t="s">
        <v>7</v>
      </c>
      <c r="B35" s="13" t="s">
        <v>357</v>
      </c>
      <c r="C35" s="14">
        <v>314013</v>
      </c>
      <c r="D35" s="13" t="s">
        <v>127</v>
      </c>
      <c r="E35" s="13" t="s">
        <v>7</v>
      </c>
      <c r="F35" s="14">
        <v>520037565</v>
      </c>
      <c r="G35" s="13" t="s">
        <v>229</v>
      </c>
      <c r="H35" s="13" t="s">
        <v>88</v>
      </c>
      <c r="I35" s="16">
        <v>2300</v>
      </c>
      <c r="J35" s="16">
        <v>39700</v>
      </c>
      <c r="K35" s="16">
        <v>0</v>
      </c>
      <c r="L35" s="16">
        <v>913.1</v>
      </c>
      <c r="M35" s="15">
        <v>4.0000000000000002E-4</v>
      </c>
      <c r="N35" s="15">
        <v>3.8999999999999998E-3</v>
      </c>
      <c r="O35" s="15">
        <v>2.9999999999999997E-4</v>
      </c>
      <c r="P35" s="13" t="s">
        <v>7</v>
      </c>
    </row>
    <row r="36" spans="1:16" x14ac:dyDescent="0.2">
      <c r="A36" s="13" t="s">
        <v>7</v>
      </c>
      <c r="B36" s="13" t="s">
        <v>358</v>
      </c>
      <c r="C36" s="14">
        <v>1159037</v>
      </c>
      <c r="D36" s="13" t="s">
        <v>127</v>
      </c>
      <c r="E36" s="13" t="s">
        <v>7</v>
      </c>
      <c r="F36" s="14">
        <v>1775</v>
      </c>
      <c r="G36" s="13" t="s">
        <v>233</v>
      </c>
      <c r="H36" s="13" t="s">
        <v>88</v>
      </c>
      <c r="I36" s="16">
        <v>551118</v>
      </c>
      <c r="J36" s="16">
        <v>1555</v>
      </c>
      <c r="K36" s="16">
        <v>63.3</v>
      </c>
      <c r="L36" s="16">
        <v>8633.18</v>
      </c>
      <c r="M36" s="15">
        <v>2.8999999999999998E-3</v>
      </c>
      <c r="N36" s="15">
        <v>3.6900000000000002E-2</v>
      </c>
      <c r="O36" s="15">
        <v>2.3999999999999998E-3</v>
      </c>
      <c r="P36" s="13" t="s">
        <v>7</v>
      </c>
    </row>
    <row r="37" spans="1:16" x14ac:dyDescent="0.2">
      <c r="A37" s="13" t="s">
        <v>7</v>
      </c>
      <c r="B37" s="13" t="s">
        <v>359</v>
      </c>
      <c r="C37" s="14">
        <v>1157403</v>
      </c>
      <c r="D37" s="13" t="s">
        <v>127</v>
      </c>
      <c r="E37" s="13" t="s">
        <v>7</v>
      </c>
      <c r="F37" s="14">
        <v>1773</v>
      </c>
      <c r="G37" s="13" t="s">
        <v>233</v>
      </c>
      <c r="H37" s="13" t="s">
        <v>88</v>
      </c>
      <c r="I37" s="16">
        <v>1343129.37</v>
      </c>
      <c r="J37" s="16">
        <v>850</v>
      </c>
      <c r="K37" s="16">
        <v>0</v>
      </c>
      <c r="L37" s="16">
        <v>11416.6</v>
      </c>
      <c r="M37" s="15">
        <v>6.7000000000000002E-3</v>
      </c>
      <c r="N37" s="15">
        <v>4.8800000000000003E-2</v>
      </c>
      <c r="O37" s="15">
        <v>3.2000000000000002E-3</v>
      </c>
      <c r="P37" s="13" t="s">
        <v>7</v>
      </c>
    </row>
    <row r="38" spans="1:16" x14ac:dyDescent="0.2">
      <c r="A38" s="13" t="s">
        <v>7</v>
      </c>
      <c r="B38" s="13" t="s">
        <v>360</v>
      </c>
      <c r="C38" s="14">
        <v>1098920</v>
      </c>
      <c r="D38" s="13" t="s">
        <v>127</v>
      </c>
      <c r="E38" s="13" t="s">
        <v>7</v>
      </c>
      <c r="F38" s="14">
        <v>513821488</v>
      </c>
      <c r="G38" s="13" t="s">
        <v>185</v>
      </c>
      <c r="H38" s="13" t="s">
        <v>88</v>
      </c>
      <c r="I38" s="16">
        <v>100000</v>
      </c>
      <c r="J38" s="16">
        <v>1259</v>
      </c>
      <c r="K38" s="16">
        <v>0</v>
      </c>
      <c r="L38" s="16">
        <v>1259</v>
      </c>
      <c r="M38" s="15">
        <v>5.9999999999999995E-4</v>
      </c>
      <c r="N38" s="15">
        <v>5.4000000000000003E-3</v>
      </c>
      <c r="O38" s="15">
        <v>2.9999999999999997E-4</v>
      </c>
      <c r="P38" s="13" t="s">
        <v>7</v>
      </c>
    </row>
    <row r="39" spans="1:16" x14ac:dyDescent="0.2">
      <c r="A39" s="13" t="s">
        <v>7</v>
      </c>
      <c r="B39" s="13" t="s">
        <v>361</v>
      </c>
      <c r="C39" s="14">
        <v>1087022</v>
      </c>
      <c r="D39" s="13" t="s">
        <v>127</v>
      </c>
      <c r="E39" s="13" t="s">
        <v>7</v>
      </c>
      <c r="F39" s="14">
        <v>512157603</v>
      </c>
      <c r="G39" s="13" t="s">
        <v>362</v>
      </c>
      <c r="H39" s="13" t="s">
        <v>88</v>
      </c>
      <c r="I39" s="16">
        <v>6500</v>
      </c>
      <c r="J39" s="16">
        <v>22620</v>
      </c>
      <c r="K39" s="16">
        <v>0</v>
      </c>
      <c r="L39" s="16">
        <v>1470.3</v>
      </c>
      <c r="M39" s="15">
        <v>5.0000000000000001E-4</v>
      </c>
      <c r="N39" s="15">
        <v>6.3E-3</v>
      </c>
      <c r="O39" s="15">
        <v>4.0000000000000002E-4</v>
      </c>
      <c r="P39" s="13" t="s">
        <v>7</v>
      </c>
    </row>
    <row r="40" spans="1:16" x14ac:dyDescent="0.2">
      <c r="A40" s="13" t="s">
        <v>7</v>
      </c>
      <c r="B40" s="13" t="s">
        <v>363</v>
      </c>
      <c r="C40" s="14">
        <v>232017</v>
      </c>
      <c r="D40" s="13" t="s">
        <v>127</v>
      </c>
      <c r="E40" s="13" t="s">
        <v>7</v>
      </c>
      <c r="F40" s="14">
        <v>550010003</v>
      </c>
      <c r="G40" s="13" t="s">
        <v>262</v>
      </c>
      <c r="H40" s="13" t="s">
        <v>88</v>
      </c>
      <c r="I40" s="16">
        <v>0.19</v>
      </c>
      <c r="J40" s="16">
        <v>56.8</v>
      </c>
      <c r="K40" s="16">
        <v>0</v>
      </c>
      <c r="L40" s="16">
        <v>0</v>
      </c>
      <c r="M40" s="15">
        <v>0</v>
      </c>
      <c r="N40" s="15">
        <v>0</v>
      </c>
      <c r="O40" s="15">
        <v>0</v>
      </c>
      <c r="P40" s="13" t="s">
        <v>7</v>
      </c>
    </row>
    <row r="41" spans="1:16" x14ac:dyDescent="0.2">
      <c r="A41" s="3" t="s">
        <v>7</v>
      </c>
      <c r="B41" s="3" t="s">
        <v>364</v>
      </c>
      <c r="C41" s="3" t="s">
        <v>7</v>
      </c>
      <c r="D41" s="3" t="s">
        <v>7</v>
      </c>
      <c r="E41" s="3" t="s">
        <v>7</v>
      </c>
      <c r="F41" s="3" t="s">
        <v>7</v>
      </c>
      <c r="G41" s="3" t="s">
        <v>7</v>
      </c>
      <c r="H41" s="3" t="s">
        <v>7</v>
      </c>
      <c r="I41" s="12">
        <v>11601216.48</v>
      </c>
      <c r="J41" s="3" t="s">
        <v>7</v>
      </c>
      <c r="K41" s="12">
        <v>0</v>
      </c>
      <c r="L41" s="12">
        <v>31354.620000000003</v>
      </c>
      <c r="M41" s="3" t="s">
        <v>7</v>
      </c>
      <c r="N41" s="11">
        <v>0.1351</v>
      </c>
      <c r="O41" s="11">
        <v>8.8999999999999999E-3</v>
      </c>
      <c r="P41" s="3" t="s">
        <v>7</v>
      </c>
    </row>
    <row r="42" spans="1:16" x14ac:dyDescent="0.2">
      <c r="A42" s="13" t="s">
        <v>7</v>
      </c>
      <c r="B42" s="13" t="s">
        <v>365</v>
      </c>
      <c r="C42" s="14">
        <v>1162775</v>
      </c>
      <c r="D42" s="13" t="s">
        <v>127</v>
      </c>
      <c r="E42" s="13" t="s">
        <v>7</v>
      </c>
      <c r="F42" s="14">
        <v>516117181</v>
      </c>
      <c r="G42" s="13" t="s">
        <v>185</v>
      </c>
      <c r="H42" s="13" t="s">
        <v>88</v>
      </c>
      <c r="I42" s="16">
        <v>93712</v>
      </c>
      <c r="J42" s="16">
        <v>1047</v>
      </c>
      <c r="K42" s="16">
        <v>0</v>
      </c>
      <c r="L42" s="16">
        <v>981.16</v>
      </c>
      <c r="M42" s="15">
        <v>1.5E-3</v>
      </c>
      <c r="N42" s="15">
        <v>4.1999999999999997E-3</v>
      </c>
      <c r="O42" s="15">
        <v>2.9999999999999997E-4</v>
      </c>
      <c r="P42" s="13" t="s">
        <v>7</v>
      </c>
    </row>
    <row r="43" spans="1:16" x14ac:dyDescent="0.2">
      <c r="A43" s="13" t="s">
        <v>7</v>
      </c>
      <c r="B43" s="13" t="s">
        <v>366</v>
      </c>
      <c r="C43" s="14">
        <v>1157114</v>
      </c>
      <c r="D43" s="13" t="s">
        <v>127</v>
      </c>
      <c r="E43" s="13" t="s">
        <v>7</v>
      </c>
      <c r="F43" s="14">
        <v>1771</v>
      </c>
      <c r="G43" s="13" t="s">
        <v>367</v>
      </c>
      <c r="H43" s="13" t="s">
        <v>88</v>
      </c>
      <c r="I43" s="16">
        <v>73718.960000000006</v>
      </c>
      <c r="J43" s="16">
        <v>594.29999999999995</v>
      </c>
      <c r="K43" s="16">
        <v>0</v>
      </c>
      <c r="L43" s="16">
        <v>438.11</v>
      </c>
      <c r="M43" s="15">
        <v>3.5999999999999999E-3</v>
      </c>
      <c r="N43" s="15">
        <v>1.9E-3</v>
      </c>
      <c r="O43" s="15">
        <v>1E-4</v>
      </c>
      <c r="P43" s="13" t="s">
        <v>7</v>
      </c>
    </row>
    <row r="44" spans="1:16" x14ac:dyDescent="0.2">
      <c r="A44" s="13" t="s">
        <v>7</v>
      </c>
      <c r="B44" s="13" t="s">
        <v>368</v>
      </c>
      <c r="C44" s="14">
        <v>1156926</v>
      </c>
      <c r="D44" s="13" t="s">
        <v>127</v>
      </c>
      <c r="E44" s="13" t="s">
        <v>7</v>
      </c>
      <c r="F44" s="14">
        <v>1769</v>
      </c>
      <c r="G44" s="13" t="s">
        <v>225</v>
      </c>
      <c r="H44" s="13" t="s">
        <v>88</v>
      </c>
      <c r="I44" s="16">
        <v>6273092</v>
      </c>
      <c r="J44" s="16">
        <v>81.7</v>
      </c>
      <c r="K44" s="16">
        <v>0</v>
      </c>
      <c r="L44" s="16">
        <v>5125.12</v>
      </c>
      <c r="M44" s="15">
        <v>5.7000000000000002E-3</v>
      </c>
      <c r="N44" s="15">
        <v>2.1899999999999999E-2</v>
      </c>
      <c r="O44" s="15">
        <v>1.4E-3</v>
      </c>
      <c r="P44" s="13" t="s">
        <v>7</v>
      </c>
    </row>
    <row r="45" spans="1:16" x14ac:dyDescent="0.2">
      <c r="A45" s="13" t="s">
        <v>7</v>
      </c>
      <c r="B45" s="13" t="s">
        <v>369</v>
      </c>
      <c r="C45" s="14">
        <v>1141464</v>
      </c>
      <c r="D45" s="13" t="s">
        <v>127</v>
      </c>
      <c r="E45" s="13" t="s">
        <v>7</v>
      </c>
      <c r="F45" s="14">
        <v>1692</v>
      </c>
      <c r="G45" s="13" t="s">
        <v>233</v>
      </c>
      <c r="H45" s="13" t="s">
        <v>88</v>
      </c>
      <c r="I45" s="16">
        <v>1200000</v>
      </c>
      <c r="J45" s="16">
        <v>1095</v>
      </c>
      <c r="K45" s="16">
        <v>0</v>
      </c>
      <c r="L45" s="16">
        <v>13140</v>
      </c>
      <c r="M45" s="15">
        <v>1.8599999999999998E-2</v>
      </c>
      <c r="N45" s="15">
        <v>5.62E-2</v>
      </c>
      <c r="O45" s="15">
        <v>3.7000000000000002E-3</v>
      </c>
      <c r="P45" s="13" t="s">
        <v>7</v>
      </c>
    </row>
    <row r="46" spans="1:16" x14ac:dyDescent="0.2">
      <c r="A46" s="13" t="s">
        <v>7</v>
      </c>
      <c r="B46" s="13" t="s">
        <v>370</v>
      </c>
      <c r="C46" s="14">
        <v>1156280</v>
      </c>
      <c r="D46" s="13" t="s">
        <v>127</v>
      </c>
      <c r="E46" s="13" t="s">
        <v>7</v>
      </c>
      <c r="F46" s="14">
        <v>1765</v>
      </c>
      <c r="G46" s="13" t="s">
        <v>229</v>
      </c>
      <c r="H46" s="13" t="s">
        <v>88</v>
      </c>
      <c r="I46" s="16">
        <v>160052</v>
      </c>
      <c r="J46" s="16">
        <v>626.4</v>
      </c>
      <c r="K46" s="16">
        <v>0</v>
      </c>
      <c r="L46" s="16">
        <v>1002.57</v>
      </c>
      <c r="M46" s="15">
        <v>2E-3</v>
      </c>
      <c r="N46" s="15">
        <v>4.3E-3</v>
      </c>
      <c r="O46" s="15">
        <v>2.9999999999999997E-4</v>
      </c>
      <c r="P46" s="13" t="s">
        <v>7</v>
      </c>
    </row>
    <row r="47" spans="1:16" x14ac:dyDescent="0.2">
      <c r="A47" s="13" t="s">
        <v>7</v>
      </c>
      <c r="B47" s="13" t="s">
        <v>371</v>
      </c>
      <c r="C47" s="14">
        <v>1140151</v>
      </c>
      <c r="D47" s="13" t="s">
        <v>127</v>
      </c>
      <c r="E47" s="13" t="s">
        <v>7</v>
      </c>
      <c r="F47" s="14">
        <v>510475312</v>
      </c>
      <c r="G47" s="13" t="s">
        <v>229</v>
      </c>
      <c r="H47" s="13" t="s">
        <v>88</v>
      </c>
      <c r="I47" s="16">
        <v>480000</v>
      </c>
      <c r="J47" s="16">
        <v>284.89999999999998</v>
      </c>
      <c r="K47" s="16">
        <v>0</v>
      </c>
      <c r="L47" s="16">
        <v>1367.52</v>
      </c>
      <c r="M47" s="15">
        <v>1E-3</v>
      </c>
      <c r="N47" s="15">
        <v>5.7999999999999996E-3</v>
      </c>
      <c r="O47" s="15">
        <v>4.0000000000000002E-4</v>
      </c>
      <c r="P47" s="13" t="s">
        <v>7</v>
      </c>
    </row>
    <row r="48" spans="1:16" x14ac:dyDescent="0.2">
      <c r="A48" s="13" t="s">
        <v>7</v>
      </c>
      <c r="B48" s="13" t="s">
        <v>372</v>
      </c>
      <c r="C48" s="14">
        <v>1107663</v>
      </c>
      <c r="D48" s="13" t="s">
        <v>127</v>
      </c>
      <c r="E48" s="13" t="s">
        <v>7</v>
      </c>
      <c r="F48" s="14">
        <v>512832742</v>
      </c>
      <c r="G48" s="13" t="s">
        <v>202</v>
      </c>
      <c r="H48" s="13" t="s">
        <v>88</v>
      </c>
      <c r="I48" s="16">
        <v>41000</v>
      </c>
      <c r="J48" s="16">
        <v>862</v>
      </c>
      <c r="K48" s="16">
        <v>0</v>
      </c>
      <c r="L48" s="16">
        <v>353.42</v>
      </c>
      <c r="M48" s="15">
        <v>2.9999999999999997E-4</v>
      </c>
      <c r="N48" s="15">
        <v>1.5E-3</v>
      </c>
      <c r="O48" s="15">
        <v>1E-4</v>
      </c>
      <c r="P48" s="13" t="s">
        <v>7</v>
      </c>
    </row>
    <row r="49" spans="1:16" x14ac:dyDescent="0.2">
      <c r="A49" s="13" t="s">
        <v>7</v>
      </c>
      <c r="B49" s="13" t="s">
        <v>373</v>
      </c>
      <c r="C49" s="14">
        <v>1142355</v>
      </c>
      <c r="D49" s="13" t="s">
        <v>127</v>
      </c>
      <c r="E49" s="13" t="s">
        <v>7</v>
      </c>
      <c r="F49" s="14">
        <v>908311</v>
      </c>
      <c r="G49" s="13" t="s">
        <v>205</v>
      </c>
      <c r="H49" s="13" t="s">
        <v>88</v>
      </c>
      <c r="I49" s="16">
        <v>23455.52</v>
      </c>
      <c r="J49" s="16">
        <v>7992</v>
      </c>
      <c r="K49" s="16">
        <v>0</v>
      </c>
      <c r="L49" s="16">
        <v>1874.57</v>
      </c>
      <c r="M49" s="15">
        <v>2.8999999999999998E-3</v>
      </c>
      <c r="N49" s="15">
        <v>9.1000000000000004E-3</v>
      </c>
      <c r="O49" s="15">
        <v>5.9999999999999995E-4</v>
      </c>
      <c r="P49" s="13" t="s">
        <v>7</v>
      </c>
    </row>
    <row r="50" spans="1:16" x14ac:dyDescent="0.2">
      <c r="A50" s="13" t="s">
        <v>7</v>
      </c>
      <c r="B50" s="13" t="s">
        <v>374</v>
      </c>
      <c r="C50" s="14">
        <v>313015</v>
      </c>
      <c r="D50" s="13" t="s">
        <v>127</v>
      </c>
      <c r="E50" s="13" t="s">
        <v>7</v>
      </c>
      <c r="F50" s="14">
        <v>520037540</v>
      </c>
      <c r="G50" s="13" t="s">
        <v>205</v>
      </c>
      <c r="H50" s="13" t="s">
        <v>88</v>
      </c>
      <c r="I50" s="16">
        <v>53967</v>
      </c>
      <c r="J50" s="16">
        <v>526.70000000000005</v>
      </c>
      <c r="K50" s="16">
        <v>0</v>
      </c>
      <c r="L50" s="16">
        <v>284.24</v>
      </c>
      <c r="M50" s="15">
        <v>8.9999999999999998E-4</v>
      </c>
      <c r="N50" s="15">
        <v>1.1999999999999999E-3</v>
      </c>
      <c r="O50" s="15">
        <v>1E-4</v>
      </c>
      <c r="P50" s="13" t="s">
        <v>7</v>
      </c>
    </row>
    <row r="51" spans="1:16" x14ac:dyDescent="0.2">
      <c r="A51" s="13" t="s">
        <v>7</v>
      </c>
      <c r="B51" s="13" t="s">
        <v>375</v>
      </c>
      <c r="C51" s="14">
        <v>1105196</v>
      </c>
      <c r="D51" s="13" t="s">
        <v>127</v>
      </c>
      <c r="E51" s="13" t="s">
        <v>7</v>
      </c>
      <c r="F51" s="14">
        <v>511491839</v>
      </c>
      <c r="G51" s="13" t="s">
        <v>205</v>
      </c>
      <c r="H51" s="13" t="s">
        <v>88</v>
      </c>
      <c r="I51" s="16">
        <v>38319</v>
      </c>
      <c r="J51" s="16">
        <v>549.9</v>
      </c>
      <c r="K51" s="16">
        <v>0</v>
      </c>
      <c r="L51" s="16">
        <v>210.72</v>
      </c>
      <c r="M51" s="15">
        <v>1.1000000000000001E-3</v>
      </c>
      <c r="N51" s="15">
        <v>8.9999999999999998E-4</v>
      </c>
      <c r="O51" s="15">
        <v>1E-4</v>
      </c>
      <c r="P51" s="13" t="s">
        <v>7</v>
      </c>
    </row>
    <row r="52" spans="1:16" x14ac:dyDescent="0.2">
      <c r="A52" s="13" t="s">
        <v>7</v>
      </c>
      <c r="B52" s="13" t="s">
        <v>376</v>
      </c>
      <c r="C52" s="14">
        <v>1140573</v>
      </c>
      <c r="D52" s="13" t="s">
        <v>127</v>
      </c>
      <c r="E52" s="13" t="s">
        <v>7</v>
      </c>
      <c r="F52" s="14">
        <v>515327120</v>
      </c>
      <c r="G52" s="13" t="s">
        <v>185</v>
      </c>
      <c r="H52" s="13" t="s">
        <v>88</v>
      </c>
      <c r="I52" s="16">
        <v>3000000</v>
      </c>
      <c r="J52" s="16">
        <v>154.80000000000001</v>
      </c>
      <c r="K52" s="16">
        <v>0</v>
      </c>
      <c r="L52" s="16">
        <v>4644</v>
      </c>
      <c r="M52" s="15">
        <v>5.7000000000000002E-3</v>
      </c>
      <c r="N52" s="15">
        <v>1.9800000000000002E-2</v>
      </c>
      <c r="O52" s="15">
        <v>1.2999999999999999E-3</v>
      </c>
      <c r="P52" s="13" t="s">
        <v>7</v>
      </c>
    </row>
    <row r="53" spans="1:16" x14ac:dyDescent="0.2">
      <c r="A53" s="13" t="s">
        <v>7</v>
      </c>
      <c r="B53" s="13" t="s">
        <v>377</v>
      </c>
      <c r="C53" s="14">
        <v>1147685</v>
      </c>
      <c r="D53" s="13" t="s">
        <v>127</v>
      </c>
      <c r="E53" s="13" t="s">
        <v>7</v>
      </c>
      <c r="F53" s="14" t="s">
        <v>954</v>
      </c>
      <c r="G53" s="13" t="s">
        <v>378</v>
      </c>
      <c r="H53" s="13" t="s">
        <v>88</v>
      </c>
      <c r="I53" s="16">
        <v>18300</v>
      </c>
      <c r="J53" s="16">
        <v>4180</v>
      </c>
      <c r="K53" s="16">
        <v>0</v>
      </c>
      <c r="L53" s="16">
        <v>764.94</v>
      </c>
      <c r="M53" s="15">
        <v>1.8E-3</v>
      </c>
      <c r="N53" s="15">
        <v>3.3E-3</v>
      </c>
      <c r="O53" s="15">
        <v>2.0000000000000001E-4</v>
      </c>
      <c r="P53" s="13" t="s">
        <v>7</v>
      </c>
    </row>
    <row r="54" spans="1:16" x14ac:dyDescent="0.2">
      <c r="A54" s="13" t="s">
        <v>7</v>
      </c>
      <c r="B54" s="13" t="s">
        <v>379</v>
      </c>
      <c r="C54" s="14">
        <v>1090117</v>
      </c>
      <c r="D54" s="13" t="s">
        <v>127</v>
      </c>
      <c r="E54" s="13" t="s">
        <v>7</v>
      </c>
      <c r="F54" s="14">
        <v>512288713</v>
      </c>
      <c r="G54" s="13" t="s">
        <v>287</v>
      </c>
      <c r="H54" s="13" t="s">
        <v>88</v>
      </c>
      <c r="I54" s="16">
        <v>60000</v>
      </c>
      <c r="J54" s="16">
        <v>1160</v>
      </c>
      <c r="K54" s="16">
        <v>0</v>
      </c>
      <c r="L54" s="16">
        <v>696</v>
      </c>
      <c r="M54" s="15">
        <v>8.9999999999999998E-4</v>
      </c>
      <c r="N54" s="15">
        <v>3.0000000000000001E-3</v>
      </c>
      <c r="O54" s="15">
        <v>2.0000000000000001E-4</v>
      </c>
      <c r="P54" s="13" t="s">
        <v>7</v>
      </c>
    </row>
    <row r="55" spans="1:16" x14ac:dyDescent="0.2">
      <c r="A55" s="13" t="s">
        <v>7</v>
      </c>
      <c r="B55" s="13" t="s">
        <v>380</v>
      </c>
      <c r="C55" s="14">
        <v>1129493</v>
      </c>
      <c r="D55" s="13" t="s">
        <v>127</v>
      </c>
      <c r="E55" s="13" t="s">
        <v>7</v>
      </c>
      <c r="F55" s="14">
        <v>514837111</v>
      </c>
      <c r="G55" s="13" t="s">
        <v>262</v>
      </c>
      <c r="H55" s="13" t="s">
        <v>88</v>
      </c>
      <c r="I55" s="16">
        <v>85600</v>
      </c>
      <c r="J55" s="16">
        <v>551.70000000000005</v>
      </c>
      <c r="K55" s="16">
        <v>0</v>
      </c>
      <c r="L55" s="16">
        <v>472.25</v>
      </c>
      <c r="M55" s="15">
        <v>4.3E-3</v>
      </c>
      <c r="N55" s="15">
        <v>2E-3</v>
      </c>
      <c r="O55" s="15">
        <v>1E-4</v>
      </c>
      <c r="P55" s="13" t="s">
        <v>7</v>
      </c>
    </row>
    <row r="56" spans="1:16" x14ac:dyDescent="0.2">
      <c r="A56" s="3" t="s">
        <v>7</v>
      </c>
      <c r="B56" s="3" t="s">
        <v>381</v>
      </c>
      <c r="C56" s="3" t="s">
        <v>7</v>
      </c>
      <c r="D56" s="3" t="s">
        <v>7</v>
      </c>
      <c r="E56" s="3" t="s">
        <v>7</v>
      </c>
      <c r="F56" s="3" t="s">
        <v>7</v>
      </c>
      <c r="G56" s="3" t="s">
        <v>7</v>
      </c>
      <c r="H56" s="3" t="s">
        <v>7</v>
      </c>
      <c r="I56" s="12">
        <v>0</v>
      </c>
      <c r="J56" s="3" t="s">
        <v>7</v>
      </c>
      <c r="K56" s="12">
        <v>0</v>
      </c>
      <c r="L56" s="12">
        <v>0</v>
      </c>
      <c r="M56" s="3" t="s">
        <v>7</v>
      </c>
      <c r="N56" s="11">
        <v>0</v>
      </c>
      <c r="O56" s="11">
        <v>0</v>
      </c>
      <c r="P56" s="3" t="s">
        <v>7</v>
      </c>
    </row>
    <row r="57" spans="1:16" x14ac:dyDescent="0.2">
      <c r="A57" s="3" t="s">
        <v>7</v>
      </c>
      <c r="B57" s="3" t="s">
        <v>382</v>
      </c>
      <c r="C57" s="3" t="s">
        <v>7</v>
      </c>
      <c r="D57" s="3" t="s">
        <v>7</v>
      </c>
      <c r="E57" s="3" t="s">
        <v>7</v>
      </c>
      <c r="F57" s="3" t="s">
        <v>7</v>
      </c>
      <c r="G57" s="3" t="s">
        <v>7</v>
      </c>
      <c r="H57" s="3" t="s">
        <v>7</v>
      </c>
      <c r="I57" s="3" t="s">
        <v>7</v>
      </c>
      <c r="J57" s="3" t="s">
        <v>7</v>
      </c>
      <c r="K57" s="3" t="s">
        <v>7</v>
      </c>
      <c r="L57" s="3" t="s">
        <v>7</v>
      </c>
      <c r="M57" s="3" t="s">
        <v>7</v>
      </c>
      <c r="N57" s="3" t="s">
        <v>7</v>
      </c>
      <c r="O57" s="3" t="s">
        <v>7</v>
      </c>
      <c r="P57" s="3" t="s">
        <v>7</v>
      </c>
    </row>
    <row r="58" spans="1:16" x14ac:dyDescent="0.2">
      <c r="A58" s="3" t="s">
        <v>7</v>
      </c>
      <c r="B58" s="3" t="s">
        <v>383</v>
      </c>
      <c r="C58" s="3" t="s">
        <v>7</v>
      </c>
      <c r="D58" s="3" t="s">
        <v>7</v>
      </c>
      <c r="E58" s="3" t="s">
        <v>7</v>
      </c>
      <c r="F58" s="3" t="s">
        <v>7</v>
      </c>
      <c r="G58" s="3" t="s">
        <v>7</v>
      </c>
      <c r="H58" s="3" t="s">
        <v>7</v>
      </c>
      <c r="I58" s="3" t="s">
        <v>7</v>
      </c>
      <c r="J58" s="3" t="s">
        <v>7</v>
      </c>
      <c r="K58" s="3" t="s">
        <v>7</v>
      </c>
      <c r="L58" s="3" t="s">
        <v>7</v>
      </c>
      <c r="M58" s="3" t="s">
        <v>7</v>
      </c>
      <c r="N58" s="3" t="s">
        <v>7</v>
      </c>
      <c r="O58" s="3" t="s">
        <v>7</v>
      </c>
      <c r="P58" s="3" t="s">
        <v>7</v>
      </c>
    </row>
    <row r="59" spans="1:16" x14ac:dyDescent="0.2">
      <c r="A59" s="3" t="s">
        <v>7</v>
      </c>
      <c r="B59" s="3" t="s">
        <v>102</v>
      </c>
      <c r="C59" s="3" t="s">
        <v>7</v>
      </c>
      <c r="D59" s="3" t="s">
        <v>7</v>
      </c>
      <c r="E59" s="3" t="s">
        <v>7</v>
      </c>
      <c r="F59" s="3" t="s">
        <v>7</v>
      </c>
      <c r="G59" s="3" t="s">
        <v>7</v>
      </c>
      <c r="H59" s="3" t="s">
        <v>7</v>
      </c>
      <c r="I59" s="12">
        <v>393175</v>
      </c>
      <c r="J59" s="3" t="s">
        <v>7</v>
      </c>
      <c r="K59" s="12">
        <v>48.77</v>
      </c>
      <c r="L59" s="12">
        <v>84160.13</v>
      </c>
      <c r="M59" s="3" t="s">
        <v>7</v>
      </c>
      <c r="N59" s="11">
        <v>0.35970000000000002</v>
      </c>
      <c r="O59" s="11">
        <v>2.3699999999999999E-2</v>
      </c>
      <c r="P59" s="3" t="s">
        <v>7</v>
      </c>
    </row>
    <row r="60" spans="1:16" x14ac:dyDescent="0.2">
      <c r="A60" s="3" t="s">
        <v>7</v>
      </c>
      <c r="B60" s="3" t="s">
        <v>160</v>
      </c>
      <c r="C60" s="3" t="s">
        <v>7</v>
      </c>
      <c r="D60" s="3" t="s">
        <v>7</v>
      </c>
      <c r="E60" s="3" t="s">
        <v>7</v>
      </c>
      <c r="F60" s="3" t="s">
        <v>7</v>
      </c>
      <c r="G60" s="3" t="s">
        <v>7</v>
      </c>
      <c r="H60" s="3" t="s">
        <v>7</v>
      </c>
      <c r="I60" s="12">
        <v>54919</v>
      </c>
      <c r="J60" s="3" t="s">
        <v>7</v>
      </c>
      <c r="K60" s="12">
        <v>0</v>
      </c>
      <c r="L60" s="12">
        <v>5259.45</v>
      </c>
      <c r="M60" s="3" t="s">
        <v>7</v>
      </c>
      <c r="N60" s="11">
        <v>2.2499999999999999E-2</v>
      </c>
      <c r="O60" s="11">
        <v>1.5E-3</v>
      </c>
      <c r="P60" s="3" t="s">
        <v>7</v>
      </c>
    </row>
    <row r="61" spans="1:16" x14ac:dyDescent="0.2">
      <c r="A61" s="13" t="s">
        <v>7</v>
      </c>
      <c r="B61" s="13" t="s">
        <v>384</v>
      </c>
      <c r="C61" s="13" t="s">
        <v>385</v>
      </c>
      <c r="D61" s="13" t="s">
        <v>322</v>
      </c>
      <c r="E61" s="13" t="s">
        <v>323</v>
      </c>
      <c r="F61" s="14">
        <v>99976</v>
      </c>
      <c r="G61" s="13" t="s">
        <v>334</v>
      </c>
      <c r="H61" s="13" t="s">
        <v>48</v>
      </c>
      <c r="I61" s="16">
        <v>350</v>
      </c>
      <c r="J61" s="16">
        <v>2900</v>
      </c>
      <c r="K61" s="16">
        <v>0</v>
      </c>
      <c r="L61" s="16">
        <v>34.93</v>
      </c>
      <c r="M61" s="15">
        <v>0</v>
      </c>
      <c r="N61" s="15">
        <v>1E-4</v>
      </c>
      <c r="O61" s="15">
        <v>0</v>
      </c>
      <c r="P61" s="14">
        <v>74048653</v>
      </c>
    </row>
    <row r="62" spans="1:16" x14ac:dyDescent="0.2">
      <c r="A62" s="13" t="s">
        <v>7</v>
      </c>
      <c r="B62" s="13" t="s">
        <v>387</v>
      </c>
      <c r="C62" s="13" t="s">
        <v>388</v>
      </c>
      <c r="D62" s="13" t="s">
        <v>389</v>
      </c>
      <c r="E62" s="13" t="s">
        <v>323</v>
      </c>
      <c r="F62" s="14">
        <v>512763285</v>
      </c>
      <c r="G62" s="13" t="s">
        <v>274</v>
      </c>
      <c r="H62" s="13" t="s">
        <v>48</v>
      </c>
      <c r="I62" s="16">
        <v>6352</v>
      </c>
      <c r="J62" s="16">
        <v>12489</v>
      </c>
      <c r="K62" s="16">
        <v>0</v>
      </c>
      <c r="L62" s="16">
        <v>2729.75</v>
      </c>
      <c r="M62" s="15">
        <v>1E-4</v>
      </c>
      <c r="N62" s="15">
        <v>1.17E-2</v>
      </c>
      <c r="O62" s="15">
        <v>8.0000000000000004E-4</v>
      </c>
      <c r="P62" s="14">
        <v>60084126</v>
      </c>
    </row>
    <row r="63" spans="1:16" x14ac:dyDescent="0.2">
      <c r="A63" s="13" t="s">
        <v>7</v>
      </c>
      <c r="B63" s="13" t="s">
        <v>390</v>
      </c>
      <c r="C63" s="13" t="s">
        <v>391</v>
      </c>
      <c r="D63" s="13" t="s">
        <v>322</v>
      </c>
      <c r="E63" s="13" t="s">
        <v>323</v>
      </c>
      <c r="F63" s="14">
        <v>520036716</v>
      </c>
      <c r="G63" s="13" t="s">
        <v>334</v>
      </c>
      <c r="H63" s="13" t="s">
        <v>48</v>
      </c>
      <c r="I63" s="16">
        <v>5800</v>
      </c>
      <c r="J63" s="16">
        <v>5911</v>
      </c>
      <c r="K63" s="16">
        <v>0</v>
      </c>
      <c r="L63" s="16">
        <v>1179.71</v>
      </c>
      <c r="M63" s="15">
        <v>1E-4</v>
      </c>
      <c r="N63" s="15">
        <v>5.0000000000000001E-3</v>
      </c>
      <c r="O63" s="15">
        <v>2.9999999999999997E-4</v>
      </c>
      <c r="P63" s="14">
        <v>60036159</v>
      </c>
    </row>
    <row r="64" spans="1:16" x14ac:dyDescent="0.2">
      <c r="A64" s="13" t="s">
        <v>7</v>
      </c>
      <c r="B64" s="13" t="s">
        <v>392</v>
      </c>
      <c r="C64" s="13" t="s">
        <v>393</v>
      </c>
      <c r="D64" s="13" t="s">
        <v>127</v>
      </c>
      <c r="E64" s="13" t="s">
        <v>323</v>
      </c>
      <c r="F64" s="14">
        <v>520013954</v>
      </c>
      <c r="G64" s="13" t="s">
        <v>394</v>
      </c>
      <c r="H64" s="13" t="s">
        <v>48</v>
      </c>
      <c r="I64" s="16">
        <v>42417</v>
      </c>
      <c r="J64" s="16">
        <v>901</v>
      </c>
      <c r="K64" s="16">
        <v>0</v>
      </c>
      <c r="L64" s="16">
        <v>1315.07</v>
      </c>
      <c r="M64" s="15">
        <v>0</v>
      </c>
      <c r="N64" s="15">
        <v>5.5999999999999999E-3</v>
      </c>
      <c r="O64" s="15">
        <v>4.0000000000000002E-4</v>
      </c>
      <c r="P64" s="14">
        <v>100057</v>
      </c>
    </row>
    <row r="65" spans="1:16" x14ac:dyDescent="0.2">
      <c r="A65" s="3" t="s">
        <v>7</v>
      </c>
      <c r="B65" s="3" t="s">
        <v>159</v>
      </c>
      <c r="C65" s="3" t="s">
        <v>7</v>
      </c>
      <c r="D65" s="3" t="s">
        <v>7</v>
      </c>
      <c r="E65" s="3" t="s">
        <v>7</v>
      </c>
      <c r="F65" s="3" t="s">
        <v>7</v>
      </c>
      <c r="G65" s="3" t="s">
        <v>7</v>
      </c>
      <c r="H65" s="3" t="s">
        <v>7</v>
      </c>
      <c r="I65" s="12">
        <v>338256</v>
      </c>
      <c r="J65" s="3" t="s">
        <v>7</v>
      </c>
      <c r="K65" s="12">
        <v>48.77</v>
      </c>
      <c r="L65" s="12">
        <v>78900.67</v>
      </c>
      <c r="M65" s="3" t="s">
        <v>7</v>
      </c>
      <c r="N65" s="11">
        <v>0.3372</v>
      </c>
      <c r="O65" s="11">
        <v>2.2200000000000001E-2</v>
      </c>
      <c r="P65" s="3" t="s">
        <v>7</v>
      </c>
    </row>
    <row r="66" spans="1:16" x14ac:dyDescent="0.2">
      <c r="A66" s="13" t="s">
        <v>7</v>
      </c>
      <c r="B66" s="13" t="s">
        <v>395</v>
      </c>
      <c r="C66" s="13" t="s">
        <v>396</v>
      </c>
      <c r="D66" s="13" t="s">
        <v>237</v>
      </c>
      <c r="E66" s="13" t="s">
        <v>323</v>
      </c>
      <c r="F66" s="14">
        <v>96549</v>
      </c>
      <c r="G66" s="13" t="s">
        <v>397</v>
      </c>
      <c r="H66" s="13" t="s">
        <v>48</v>
      </c>
      <c r="I66" s="16">
        <v>4827</v>
      </c>
      <c r="J66" s="16">
        <v>13898</v>
      </c>
      <c r="K66" s="16">
        <v>0</v>
      </c>
      <c r="L66" s="16">
        <v>2308.42</v>
      </c>
      <c r="M66" s="15">
        <v>1E-4</v>
      </c>
      <c r="N66" s="15">
        <v>9.9000000000000008E-3</v>
      </c>
      <c r="O66" s="15">
        <v>5.9999999999999995E-4</v>
      </c>
      <c r="P66" s="14">
        <v>62013925</v>
      </c>
    </row>
    <row r="67" spans="1:16" x14ac:dyDescent="0.2">
      <c r="A67" s="13" t="s">
        <v>7</v>
      </c>
      <c r="B67" s="13" t="s">
        <v>398</v>
      </c>
      <c r="C67" s="13" t="s">
        <v>399</v>
      </c>
      <c r="D67" s="13" t="s">
        <v>237</v>
      </c>
      <c r="E67" s="13" t="s">
        <v>323</v>
      </c>
      <c r="F67" s="14">
        <v>918626</v>
      </c>
      <c r="G67" s="13" t="s">
        <v>397</v>
      </c>
      <c r="H67" s="13" t="s">
        <v>48</v>
      </c>
      <c r="I67" s="16">
        <v>94486</v>
      </c>
      <c r="J67" s="16">
        <v>1350</v>
      </c>
      <c r="K67" s="16">
        <v>48.77</v>
      </c>
      <c r="L67" s="16">
        <v>4437.97</v>
      </c>
      <c r="M67" s="15">
        <v>2E-3</v>
      </c>
      <c r="N67" s="15">
        <v>1.9E-2</v>
      </c>
      <c r="O67" s="15">
        <v>1.1999999999999999E-3</v>
      </c>
      <c r="P67" s="14">
        <v>62011374</v>
      </c>
    </row>
    <row r="68" spans="1:16" x14ac:dyDescent="0.2">
      <c r="A68" s="13" t="s">
        <v>7</v>
      </c>
      <c r="B68" s="13" t="s">
        <v>400</v>
      </c>
      <c r="C68" s="13" t="s">
        <v>401</v>
      </c>
      <c r="D68" s="13" t="s">
        <v>237</v>
      </c>
      <c r="E68" s="13" t="s">
        <v>323</v>
      </c>
      <c r="F68" s="14">
        <v>98901</v>
      </c>
      <c r="G68" s="13" t="s">
        <v>397</v>
      </c>
      <c r="H68" s="13" t="s">
        <v>48</v>
      </c>
      <c r="I68" s="16">
        <v>102800</v>
      </c>
      <c r="J68" s="16">
        <v>82.5</v>
      </c>
      <c r="K68" s="16">
        <v>0</v>
      </c>
      <c r="L68" s="16">
        <v>291.83</v>
      </c>
      <c r="M68" s="15">
        <v>1E-4</v>
      </c>
      <c r="N68" s="15">
        <v>1.1999999999999999E-3</v>
      </c>
      <c r="O68" s="15">
        <v>1E-4</v>
      </c>
      <c r="P68" s="14">
        <v>62015581</v>
      </c>
    </row>
    <row r="69" spans="1:16" x14ac:dyDescent="0.2">
      <c r="A69" s="13" t="s">
        <v>7</v>
      </c>
      <c r="B69" s="13" t="s">
        <v>402</v>
      </c>
      <c r="C69" s="14">
        <v>60175411</v>
      </c>
      <c r="D69" s="13" t="s">
        <v>237</v>
      </c>
      <c r="E69" s="13" t="s">
        <v>323</v>
      </c>
      <c r="F69" s="14">
        <v>98225</v>
      </c>
      <c r="G69" s="13" t="s">
        <v>397</v>
      </c>
      <c r="H69" s="13" t="s">
        <v>58</v>
      </c>
      <c r="I69" s="16">
        <v>10085</v>
      </c>
      <c r="J69" s="16">
        <v>51150</v>
      </c>
      <c r="K69" s="16">
        <v>0</v>
      </c>
      <c r="L69" s="16">
        <v>2286.2399999999998</v>
      </c>
      <c r="M69" s="15">
        <v>0</v>
      </c>
      <c r="N69" s="15">
        <v>9.7999999999999997E-3</v>
      </c>
      <c r="O69" s="15">
        <v>5.9999999999999995E-4</v>
      </c>
      <c r="P69" s="13" t="s">
        <v>7</v>
      </c>
    </row>
    <row r="70" spans="1:16" x14ac:dyDescent="0.2">
      <c r="A70" s="13" t="s">
        <v>7</v>
      </c>
      <c r="B70" s="13" t="s">
        <v>403</v>
      </c>
      <c r="C70" s="13" t="s">
        <v>404</v>
      </c>
      <c r="D70" s="13" t="s">
        <v>237</v>
      </c>
      <c r="E70" s="13" t="s">
        <v>323</v>
      </c>
      <c r="F70" s="14">
        <v>96137</v>
      </c>
      <c r="G70" s="13" t="s">
        <v>397</v>
      </c>
      <c r="H70" s="13" t="s">
        <v>54</v>
      </c>
      <c r="I70" s="16">
        <v>23457</v>
      </c>
      <c r="J70" s="16">
        <v>1210</v>
      </c>
      <c r="K70" s="16">
        <v>0</v>
      </c>
      <c r="L70" s="16">
        <v>1142.6400000000001</v>
      </c>
      <c r="M70" s="15">
        <v>6.4999999999999997E-3</v>
      </c>
      <c r="N70" s="15">
        <v>4.8999999999999998E-3</v>
      </c>
      <c r="O70" s="15">
        <v>2.9999999999999997E-4</v>
      </c>
      <c r="P70" s="14">
        <v>62003310</v>
      </c>
    </row>
    <row r="71" spans="1:16" x14ac:dyDescent="0.2">
      <c r="A71" s="13" t="s">
        <v>7</v>
      </c>
      <c r="B71" s="13" t="s">
        <v>405</v>
      </c>
      <c r="C71" s="13" t="s">
        <v>406</v>
      </c>
      <c r="D71" s="13" t="s">
        <v>237</v>
      </c>
      <c r="E71" s="13" t="s">
        <v>323</v>
      </c>
      <c r="F71" s="14">
        <v>99489</v>
      </c>
      <c r="G71" s="13" t="s">
        <v>407</v>
      </c>
      <c r="H71" s="13" t="s">
        <v>54</v>
      </c>
      <c r="I71" s="16">
        <v>1700</v>
      </c>
      <c r="J71" s="16">
        <v>5198</v>
      </c>
      <c r="K71" s="16">
        <v>0</v>
      </c>
      <c r="L71" s="16">
        <v>355.74</v>
      </c>
      <c r="M71" s="15">
        <v>0</v>
      </c>
      <c r="N71" s="15">
        <v>1.5E-3</v>
      </c>
      <c r="O71" s="15">
        <v>1E-4</v>
      </c>
      <c r="P71" s="14">
        <v>1069178</v>
      </c>
    </row>
    <row r="72" spans="1:16" x14ac:dyDescent="0.2">
      <c r="A72" s="13" t="s">
        <v>7</v>
      </c>
      <c r="B72" s="13" t="s">
        <v>408</v>
      </c>
      <c r="C72" s="13" t="s">
        <v>409</v>
      </c>
      <c r="D72" s="13" t="s">
        <v>410</v>
      </c>
      <c r="E72" s="13" t="s">
        <v>323</v>
      </c>
      <c r="F72" s="14">
        <v>99087</v>
      </c>
      <c r="G72" s="13" t="s">
        <v>411</v>
      </c>
      <c r="H72" s="13" t="s">
        <v>54</v>
      </c>
      <c r="I72" s="16">
        <v>2044</v>
      </c>
      <c r="J72" s="16">
        <v>10788</v>
      </c>
      <c r="K72" s="16">
        <v>0</v>
      </c>
      <c r="L72" s="16">
        <v>887.72</v>
      </c>
      <c r="M72" s="15">
        <v>0</v>
      </c>
      <c r="N72" s="15">
        <v>3.8E-3</v>
      </c>
      <c r="O72" s="15">
        <v>2.0000000000000001E-4</v>
      </c>
      <c r="P72" s="14">
        <v>70359997</v>
      </c>
    </row>
    <row r="73" spans="1:16" x14ac:dyDescent="0.2">
      <c r="A73" s="13" t="s">
        <v>7</v>
      </c>
      <c r="B73" s="13" t="s">
        <v>412</v>
      </c>
      <c r="C73" s="13" t="s">
        <v>413</v>
      </c>
      <c r="D73" s="13" t="s">
        <v>389</v>
      </c>
      <c r="E73" s="13" t="s">
        <v>323</v>
      </c>
      <c r="F73" s="14">
        <v>99122</v>
      </c>
      <c r="G73" s="13" t="s">
        <v>414</v>
      </c>
      <c r="H73" s="13" t="s">
        <v>48</v>
      </c>
      <c r="I73" s="16">
        <v>620</v>
      </c>
      <c r="J73" s="16">
        <v>314873</v>
      </c>
      <c r="K73" s="16">
        <v>0</v>
      </c>
      <c r="L73" s="16">
        <v>6717.56</v>
      </c>
      <c r="M73" s="15">
        <v>0</v>
      </c>
      <c r="N73" s="15">
        <v>2.87E-2</v>
      </c>
      <c r="O73" s="15">
        <v>1.9E-3</v>
      </c>
      <c r="P73" s="14">
        <v>108092</v>
      </c>
    </row>
    <row r="74" spans="1:16" x14ac:dyDescent="0.2">
      <c r="A74" s="13" t="s">
        <v>7</v>
      </c>
      <c r="B74" s="13" t="s">
        <v>415</v>
      </c>
      <c r="C74" s="13" t="s">
        <v>416</v>
      </c>
      <c r="D74" s="13" t="s">
        <v>389</v>
      </c>
      <c r="E74" s="13" t="s">
        <v>323</v>
      </c>
      <c r="F74" s="14">
        <v>97472</v>
      </c>
      <c r="G74" s="13" t="s">
        <v>414</v>
      </c>
      <c r="H74" s="13" t="s">
        <v>48</v>
      </c>
      <c r="I74" s="16">
        <v>353</v>
      </c>
      <c r="J74" s="16">
        <v>171068</v>
      </c>
      <c r="K74" s="16">
        <v>0</v>
      </c>
      <c r="L74" s="16">
        <v>2077.92</v>
      </c>
      <c r="M74" s="15">
        <v>0</v>
      </c>
      <c r="N74" s="15">
        <v>8.8999999999999999E-3</v>
      </c>
      <c r="O74" s="15">
        <v>5.9999999999999995E-4</v>
      </c>
      <c r="P74" s="14">
        <v>109728</v>
      </c>
    </row>
    <row r="75" spans="1:16" x14ac:dyDescent="0.2">
      <c r="A75" s="13" t="s">
        <v>7</v>
      </c>
      <c r="B75" s="13" t="s">
        <v>417</v>
      </c>
      <c r="C75" s="13" t="s">
        <v>418</v>
      </c>
      <c r="D75" s="13" t="s">
        <v>322</v>
      </c>
      <c r="E75" s="13" t="s">
        <v>323</v>
      </c>
      <c r="F75" s="14">
        <v>99204</v>
      </c>
      <c r="G75" s="13" t="s">
        <v>419</v>
      </c>
      <c r="H75" s="13" t="s">
        <v>48</v>
      </c>
      <c r="I75" s="16">
        <v>17000</v>
      </c>
      <c r="J75" s="16">
        <v>2409</v>
      </c>
      <c r="K75" s="16">
        <v>0</v>
      </c>
      <c r="L75" s="16">
        <v>1409.19</v>
      </c>
      <c r="M75" s="15">
        <v>0</v>
      </c>
      <c r="N75" s="15">
        <v>6.0000000000000001E-3</v>
      </c>
      <c r="O75" s="15">
        <v>4.0000000000000002E-4</v>
      </c>
      <c r="P75" s="14">
        <v>1060193</v>
      </c>
    </row>
    <row r="76" spans="1:16" x14ac:dyDescent="0.2">
      <c r="A76" s="13" t="s">
        <v>7</v>
      </c>
      <c r="B76" s="13" t="s">
        <v>420</v>
      </c>
      <c r="C76" s="13" t="s">
        <v>421</v>
      </c>
      <c r="D76" s="13" t="s">
        <v>322</v>
      </c>
      <c r="E76" s="13" t="s">
        <v>323</v>
      </c>
      <c r="F76" s="14">
        <v>97585</v>
      </c>
      <c r="G76" s="13" t="s">
        <v>422</v>
      </c>
      <c r="H76" s="13" t="s">
        <v>48</v>
      </c>
      <c r="I76" s="16">
        <v>19104</v>
      </c>
      <c r="J76" s="16">
        <v>29398</v>
      </c>
      <c r="K76" s="16">
        <v>0</v>
      </c>
      <c r="L76" s="16">
        <v>19325.32</v>
      </c>
      <c r="M76" s="15">
        <v>0</v>
      </c>
      <c r="N76" s="15">
        <v>8.2600000000000007E-2</v>
      </c>
      <c r="O76" s="15">
        <v>5.4000000000000003E-3</v>
      </c>
      <c r="P76" s="14">
        <v>60615838</v>
      </c>
    </row>
    <row r="77" spans="1:16" x14ac:dyDescent="0.2">
      <c r="A77" s="13" t="s">
        <v>7</v>
      </c>
      <c r="B77" s="13" t="s">
        <v>423</v>
      </c>
      <c r="C77" s="13" t="s">
        <v>424</v>
      </c>
      <c r="D77" s="13" t="s">
        <v>389</v>
      </c>
      <c r="E77" s="13" t="s">
        <v>323</v>
      </c>
      <c r="F77" s="14">
        <v>97149</v>
      </c>
      <c r="G77" s="13" t="s">
        <v>422</v>
      </c>
      <c r="H77" s="13" t="s">
        <v>48</v>
      </c>
      <c r="I77" s="16">
        <v>1581</v>
      </c>
      <c r="J77" s="16">
        <v>26190</v>
      </c>
      <c r="K77" s="16">
        <v>0</v>
      </c>
      <c r="L77" s="16">
        <v>1424.79</v>
      </c>
      <c r="M77" s="15">
        <v>0</v>
      </c>
      <c r="N77" s="15">
        <v>6.1000000000000004E-3</v>
      </c>
      <c r="O77" s="15">
        <v>4.0000000000000002E-4</v>
      </c>
      <c r="P77" s="14">
        <v>60606209</v>
      </c>
    </row>
    <row r="78" spans="1:16" x14ac:dyDescent="0.2">
      <c r="A78" s="13" t="s">
        <v>7</v>
      </c>
      <c r="B78" s="13" t="s">
        <v>425</v>
      </c>
      <c r="C78" s="13" t="s">
        <v>426</v>
      </c>
      <c r="D78" s="13" t="s">
        <v>389</v>
      </c>
      <c r="E78" s="13" t="s">
        <v>323</v>
      </c>
      <c r="F78" s="14">
        <v>99915</v>
      </c>
      <c r="G78" s="13" t="s">
        <v>422</v>
      </c>
      <c r="H78" s="13" t="s">
        <v>48</v>
      </c>
      <c r="I78" s="16">
        <v>834</v>
      </c>
      <c r="J78" s="16">
        <v>146960</v>
      </c>
      <c r="K78" s="16">
        <v>0</v>
      </c>
      <c r="L78" s="16">
        <v>4217.45</v>
      </c>
      <c r="M78" s="15">
        <v>0</v>
      </c>
      <c r="N78" s="15">
        <v>1.7999999999999999E-2</v>
      </c>
      <c r="O78" s="15">
        <v>1.1999999999999999E-3</v>
      </c>
      <c r="P78" s="14">
        <v>60354768</v>
      </c>
    </row>
    <row r="79" spans="1:16" x14ac:dyDescent="0.2">
      <c r="A79" s="13" t="s">
        <v>7</v>
      </c>
      <c r="B79" s="13" t="s">
        <v>427</v>
      </c>
      <c r="C79" s="13" t="s">
        <v>428</v>
      </c>
      <c r="D79" s="13" t="s">
        <v>237</v>
      </c>
      <c r="E79" s="13" t="s">
        <v>323</v>
      </c>
      <c r="F79" s="14">
        <v>99127</v>
      </c>
      <c r="G79" s="13" t="s">
        <v>422</v>
      </c>
      <c r="H79" s="13" t="s">
        <v>48</v>
      </c>
      <c r="I79" s="16">
        <v>27211</v>
      </c>
      <c r="J79" s="16">
        <v>7761</v>
      </c>
      <c r="K79" s="16">
        <v>0</v>
      </c>
      <c r="L79" s="16">
        <v>7266.86</v>
      </c>
      <c r="M79" s="15">
        <v>0</v>
      </c>
      <c r="N79" s="15">
        <v>3.1099999999999999E-2</v>
      </c>
      <c r="O79" s="15">
        <v>2E-3</v>
      </c>
      <c r="P79" s="14">
        <v>60359221</v>
      </c>
    </row>
    <row r="80" spans="1:16" x14ac:dyDescent="0.2">
      <c r="A80" s="13" t="s">
        <v>7</v>
      </c>
      <c r="B80" s="13" t="s">
        <v>429</v>
      </c>
      <c r="C80" s="13" t="s">
        <v>430</v>
      </c>
      <c r="D80" s="13" t="s">
        <v>389</v>
      </c>
      <c r="E80" s="13" t="s">
        <v>323</v>
      </c>
      <c r="F80" s="14">
        <v>99275</v>
      </c>
      <c r="G80" s="13" t="s">
        <v>422</v>
      </c>
      <c r="H80" s="13" t="s">
        <v>48</v>
      </c>
      <c r="I80" s="16">
        <v>8111</v>
      </c>
      <c r="J80" s="16">
        <v>21033</v>
      </c>
      <c r="K80" s="16">
        <v>0</v>
      </c>
      <c r="L80" s="16">
        <v>5870.3</v>
      </c>
      <c r="M80" s="15">
        <v>0</v>
      </c>
      <c r="N80" s="15">
        <v>2.5100000000000001E-2</v>
      </c>
      <c r="O80" s="15">
        <v>1.6000000000000001E-3</v>
      </c>
      <c r="P80" s="14">
        <v>105049</v>
      </c>
    </row>
    <row r="81" spans="1:16" x14ac:dyDescent="0.2">
      <c r="A81" s="13" t="s">
        <v>7</v>
      </c>
      <c r="B81" s="13" t="s">
        <v>431</v>
      </c>
      <c r="C81" s="13" t="s">
        <v>432</v>
      </c>
      <c r="D81" s="13" t="s">
        <v>389</v>
      </c>
      <c r="E81" s="13" t="s">
        <v>323</v>
      </c>
      <c r="F81" s="14">
        <v>99771</v>
      </c>
      <c r="G81" s="13" t="s">
        <v>386</v>
      </c>
      <c r="H81" s="13" t="s">
        <v>48</v>
      </c>
      <c r="I81" s="16">
        <v>12080</v>
      </c>
      <c r="J81" s="16">
        <v>11581</v>
      </c>
      <c r="K81" s="16">
        <v>0</v>
      </c>
      <c r="L81" s="16">
        <v>4813.91</v>
      </c>
      <c r="M81" s="15">
        <v>0</v>
      </c>
      <c r="N81" s="15">
        <v>2.06E-2</v>
      </c>
      <c r="O81" s="15">
        <v>1.4E-3</v>
      </c>
      <c r="P81" s="14">
        <v>103788</v>
      </c>
    </row>
    <row r="82" spans="1:16" x14ac:dyDescent="0.2">
      <c r="A82" s="13" t="s">
        <v>7</v>
      </c>
      <c r="B82" s="13" t="s">
        <v>433</v>
      </c>
      <c r="C82" s="13" t="s">
        <v>434</v>
      </c>
      <c r="D82" s="13" t="s">
        <v>237</v>
      </c>
      <c r="E82" s="13" t="s">
        <v>323</v>
      </c>
      <c r="F82" s="14">
        <v>99456</v>
      </c>
      <c r="G82" s="13" t="s">
        <v>435</v>
      </c>
      <c r="H82" s="13" t="s">
        <v>48</v>
      </c>
      <c r="I82" s="16">
        <v>4083</v>
      </c>
      <c r="J82" s="16">
        <v>54122</v>
      </c>
      <c r="K82" s="16">
        <v>0</v>
      </c>
      <c r="L82" s="16">
        <v>7603.93</v>
      </c>
      <c r="M82" s="15">
        <v>0</v>
      </c>
      <c r="N82" s="15">
        <v>3.2500000000000001E-2</v>
      </c>
      <c r="O82" s="15">
        <v>2.0999999999999999E-3</v>
      </c>
      <c r="P82" s="14">
        <v>119636</v>
      </c>
    </row>
    <row r="83" spans="1:16" x14ac:dyDescent="0.2">
      <c r="A83" s="13" t="s">
        <v>7</v>
      </c>
      <c r="B83" s="13" t="s">
        <v>436</v>
      </c>
      <c r="C83" s="13" t="s">
        <v>437</v>
      </c>
      <c r="D83" s="13" t="s">
        <v>237</v>
      </c>
      <c r="E83" s="13" t="s">
        <v>323</v>
      </c>
      <c r="F83" s="14">
        <v>94189</v>
      </c>
      <c r="G83" s="13" t="s">
        <v>435</v>
      </c>
      <c r="H83" s="13" t="s">
        <v>48</v>
      </c>
      <c r="I83" s="16">
        <v>7880</v>
      </c>
      <c r="J83" s="16">
        <v>23835</v>
      </c>
      <c r="K83" s="16">
        <v>0</v>
      </c>
      <c r="L83" s="16">
        <v>6462.88</v>
      </c>
      <c r="M83" s="15">
        <v>2.0000000000000001E-4</v>
      </c>
      <c r="N83" s="15">
        <v>2.76E-2</v>
      </c>
      <c r="O83" s="15">
        <v>1.8E-3</v>
      </c>
      <c r="P83" s="14">
        <v>20001775</v>
      </c>
    </row>
    <row r="84" spans="1:16" x14ac:dyDescent="0.2">
      <c r="A84" s="8" t="s">
        <v>7</v>
      </c>
      <c r="B84" s="8" t="s">
        <v>104</v>
      </c>
      <c r="C84" s="8" t="s">
        <v>7</v>
      </c>
      <c r="D84" s="8" t="s">
        <v>7</v>
      </c>
      <c r="E84" s="8" t="s">
        <v>7</v>
      </c>
      <c r="F84" s="8" t="s">
        <v>7</v>
      </c>
      <c r="G84" s="8" t="s">
        <v>7</v>
      </c>
      <c r="H84" s="8" t="s">
        <v>7</v>
      </c>
      <c r="I84" s="8" t="s">
        <v>7</v>
      </c>
      <c r="J84" s="8" t="s">
        <v>7</v>
      </c>
      <c r="K84" s="8" t="s">
        <v>7</v>
      </c>
      <c r="L84" s="8" t="s">
        <v>7</v>
      </c>
      <c r="M84" s="8" t="s">
        <v>7</v>
      </c>
      <c r="N84" s="8" t="s">
        <v>7</v>
      </c>
      <c r="O84" s="8" t="s">
        <v>7</v>
      </c>
      <c r="P84" s="8" t="s">
        <v>7</v>
      </c>
    </row>
    <row r="85" spans="1:16" x14ac:dyDescent="0.2">
      <c r="A85" s="8" t="s">
        <v>7</v>
      </c>
      <c r="B85" s="8" t="s">
        <v>149</v>
      </c>
      <c r="C85" s="8" t="s">
        <v>7</v>
      </c>
      <c r="D85" s="8" t="s">
        <v>7</v>
      </c>
      <c r="E85" s="8" t="s">
        <v>7</v>
      </c>
      <c r="F85" s="8" t="s">
        <v>7</v>
      </c>
      <c r="G85" s="8" t="s">
        <v>7</v>
      </c>
      <c r="H85" s="8" t="s">
        <v>7</v>
      </c>
      <c r="I85" s="8" t="s">
        <v>7</v>
      </c>
      <c r="J85" s="8" t="s">
        <v>7</v>
      </c>
      <c r="K85" s="8" t="s">
        <v>7</v>
      </c>
      <c r="L85" s="8" t="s">
        <v>7</v>
      </c>
      <c r="M85" s="8" t="s">
        <v>7</v>
      </c>
      <c r="N85" s="8" t="s">
        <v>7</v>
      </c>
      <c r="O85" s="8" t="s">
        <v>7</v>
      </c>
      <c r="P85" s="8" t="s">
        <v>7</v>
      </c>
    </row>
    <row r="86" spans="1:16" x14ac:dyDescent="0.2">
      <c r="A86" s="7" t="s">
        <v>60</v>
      </c>
      <c r="B86" s="7" t="s">
        <v>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3"/>
  <sheetViews>
    <sheetView rightToLeft="1" workbookViewId="0"/>
  </sheetViews>
  <sheetFormatPr defaultRowHeight="14.25" x14ac:dyDescent="0.2"/>
  <cols>
    <col min="1" max="1" width="2" customWidth="1"/>
    <col min="2" max="2" width="39" customWidth="1"/>
    <col min="3" max="3" width="15" customWidth="1"/>
    <col min="4" max="4" width="11" customWidth="1"/>
    <col min="5" max="5" width="12" customWidth="1"/>
    <col min="6" max="6" width="10" customWidth="1"/>
    <col min="7" max="7" width="16" customWidth="1"/>
    <col min="8" max="8" width="15" customWidth="1"/>
    <col min="9" max="9" width="11" customWidth="1"/>
    <col min="10" max="10" width="18" customWidth="1"/>
    <col min="11" max="11" width="14" customWidth="1"/>
    <col min="12" max="12" width="22" customWidth="1"/>
    <col min="13" max="13" width="24" customWidth="1"/>
    <col min="14" max="14" width="23" customWidth="1"/>
    <col min="15" max="15" width="11" customWidth="1"/>
  </cols>
  <sheetData>
    <row r="1" spans="1:15" x14ac:dyDescent="0.2">
      <c r="B1" s="7" t="s">
        <v>0</v>
      </c>
      <c r="C1" s="7" t="s">
        <v>1</v>
      </c>
    </row>
    <row r="2" spans="1:15" x14ac:dyDescent="0.2">
      <c r="B2" s="7" t="s">
        <v>2</v>
      </c>
      <c r="C2" s="7" t="s">
        <v>3</v>
      </c>
    </row>
    <row r="3" spans="1:15" x14ac:dyDescent="0.2">
      <c r="B3" s="7" t="s">
        <v>4</v>
      </c>
      <c r="C3" s="7" t="s">
        <v>5</v>
      </c>
    </row>
    <row r="4" spans="1:15" x14ac:dyDescent="0.2">
      <c r="B4" s="7" t="s">
        <v>6</v>
      </c>
      <c r="C4" s="7">
        <v>408</v>
      </c>
    </row>
    <row r="5" spans="1:15" x14ac:dyDescent="0.2">
      <c r="B5" s="7" t="s">
        <v>7</v>
      </c>
      <c r="C5" s="7" t="s">
        <v>7</v>
      </c>
    </row>
    <row r="6" spans="1:15" x14ac:dyDescent="0.2">
      <c r="A6" s="1" t="s">
        <v>7</v>
      </c>
      <c r="B6" s="1" t="s">
        <v>105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</row>
    <row r="7" spans="1:15" x14ac:dyDescent="0.2">
      <c r="A7" s="1" t="s">
        <v>7</v>
      </c>
      <c r="B7" s="1" t="s">
        <v>438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</row>
    <row r="8" spans="1:15" x14ac:dyDescent="0.2">
      <c r="A8" s="1" t="s">
        <v>7</v>
      </c>
      <c r="B8" s="1" t="s">
        <v>63</v>
      </c>
      <c r="C8" s="1" t="s">
        <v>64</v>
      </c>
      <c r="D8" s="1" t="s">
        <v>107</v>
      </c>
      <c r="E8" s="1" t="s">
        <v>65</v>
      </c>
      <c r="F8" s="1" t="s">
        <v>152</v>
      </c>
      <c r="G8" s="1" t="s">
        <v>68</v>
      </c>
      <c r="H8" s="1" t="s">
        <v>110</v>
      </c>
      <c r="I8" s="1" t="s">
        <v>111</v>
      </c>
      <c r="J8" s="1" t="s">
        <v>112</v>
      </c>
      <c r="K8" s="1" t="s">
        <v>71</v>
      </c>
      <c r="L8" s="1" t="s">
        <v>113</v>
      </c>
      <c r="M8" s="1" t="s">
        <v>72</v>
      </c>
      <c r="N8" s="1" t="s">
        <v>114</v>
      </c>
      <c r="O8" s="1" t="s">
        <v>7</v>
      </c>
    </row>
    <row r="9" spans="1:15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164</v>
      </c>
      <c r="I9" s="1" t="s">
        <v>7</v>
      </c>
      <c r="J9" s="1" t="s">
        <v>11</v>
      </c>
      <c r="K9" s="1" t="s">
        <v>11</v>
      </c>
      <c r="L9" s="1" t="s">
        <v>12</v>
      </c>
      <c r="M9" s="1" t="s">
        <v>12</v>
      </c>
      <c r="N9" s="1" t="s">
        <v>12</v>
      </c>
      <c r="O9" s="1" t="s">
        <v>7</v>
      </c>
    </row>
    <row r="10" spans="1:15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74</v>
      </c>
      <c r="F10" s="1" t="s">
        <v>75</v>
      </c>
      <c r="G10" s="1" t="s">
        <v>76</v>
      </c>
      <c r="H10" s="1" t="s">
        <v>77</v>
      </c>
      <c r="I10" s="1" t="s">
        <v>78</v>
      </c>
      <c r="J10" s="1" t="s">
        <v>79</v>
      </c>
      <c r="K10" s="1" t="s">
        <v>79</v>
      </c>
      <c r="L10" s="1" t="s">
        <v>80</v>
      </c>
      <c r="M10" s="1" t="s">
        <v>81</v>
      </c>
      <c r="N10" s="1" t="s">
        <v>118</v>
      </c>
      <c r="O10" s="1" t="s">
        <v>7</v>
      </c>
    </row>
    <row r="11" spans="1:15" x14ac:dyDescent="0.2">
      <c r="A11" s="8" t="s">
        <v>7</v>
      </c>
      <c r="B11" s="8" t="s">
        <v>439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10">
        <v>69334454.230000004</v>
      </c>
      <c r="I11" s="8" t="s">
        <v>7</v>
      </c>
      <c r="J11" s="10">
        <v>394.48</v>
      </c>
      <c r="K11" s="10">
        <v>1352398.94</v>
      </c>
      <c r="L11" s="8" t="s">
        <v>7</v>
      </c>
      <c r="M11" s="9">
        <v>1</v>
      </c>
      <c r="N11" s="9">
        <v>0.38109999999999999</v>
      </c>
      <c r="O11" s="8" t="s">
        <v>7</v>
      </c>
    </row>
    <row r="12" spans="1:15" x14ac:dyDescent="0.2">
      <c r="A12" s="3" t="s">
        <v>7</v>
      </c>
      <c r="B12" s="3" t="s">
        <v>83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12">
        <v>67243548.810000002</v>
      </c>
      <c r="I12" s="3" t="s">
        <v>7</v>
      </c>
      <c r="J12" s="12">
        <v>0</v>
      </c>
      <c r="K12" s="12">
        <v>678095.53</v>
      </c>
      <c r="L12" s="3" t="s">
        <v>7</v>
      </c>
      <c r="M12" s="11">
        <v>0.50139999999999996</v>
      </c>
      <c r="N12" s="11">
        <v>0.19109999999999999</v>
      </c>
      <c r="O12" s="3" t="s">
        <v>7</v>
      </c>
    </row>
    <row r="13" spans="1:15" x14ac:dyDescent="0.2">
      <c r="A13" s="3" t="s">
        <v>7</v>
      </c>
      <c r="B13" s="3" t="s">
        <v>440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12">
        <v>6081280.8099999996</v>
      </c>
      <c r="I13" s="3" t="s">
        <v>7</v>
      </c>
      <c r="J13" s="12">
        <v>0</v>
      </c>
      <c r="K13" s="12">
        <v>155455.56</v>
      </c>
      <c r="L13" s="3" t="s">
        <v>7</v>
      </c>
      <c r="M13" s="11">
        <v>0.1149</v>
      </c>
      <c r="N13" s="11">
        <v>4.3799999999999999E-2</v>
      </c>
      <c r="O13" s="3" t="s">
        <v>7</v>
      </c>
    </row>
    <row r="14" spans="1:15" x14ac:dyDescent="0.2">
      <c r="A14" s="13" t="s">
        <v>7</v>
      </c>
      <c r="B14" s="13" t="s">
        <v>441</v>
      </c>
      <c r="C14" s="14">
        <v>1148899</v>
      </c>
      <c r="D14" s="13" t="s">
        <v>127</v>
      </c>
      <c r="E14" s="14">
        <v>511776783</v>
      </c>
      <c r="F14" s="13" t="s">
        <v>442</v>
      </c>
      <c r="G14" s="13" t="s">
        <v>88</v>
      </c>
      <c r="H14" s="16">
        <v>1837448</v>
      </c>
      <c r="I14" s="16">
        <v>1328</v>
      </c>
      <c r="J14" s="16">
        <v>0</v>
      </c>
      <c r="K14" s="16">
        <v>24401.31</v>
      </c>
      <c r="L14" s="15">
        <v>2.5600000000000001E-2</v>
      </c>
      <c r="M14" s="15">
        <v>1.7999999999999999E-2</v>
      </c>
      <c r="N14" s="15">
        <v>6.8999999999999999E-3</v>
      </c>
      <c r="O14" s="13" t="s">
        <v>7</v>
      </c>
    </row>
    <row r="15" spans="1:15" x14ac:dyDescent="0.2">
      <c r="A15" s="13" t="s">
        <v>7</v>
      </c>
      <c r="B15" s="13" t="s">
        <v>443</v>
      </c>
      <c r="C15" s="14">
        <v>1150259</v>
      </c>
      <c r="D15" s="13" t="s">
        <v>127</v>
      </c>
      <c r="E15" s="14">
        <v>511303661</v>
      </c>
      <c r="F15" s="13" t="s">
        <v>442</v>
      </c>
      <c r="G15" s="13" t="s">
        <v>88</v>
      </c>
      <c r="H15" s="16">
        <v>423000</v>
      </c>
      <c r="I15" s="16">
        <v>1993</v>
      </c>
      <c r="J15" s="16">
        <v>0</v>
      </c>
      <c r="K15" s="16">
        <v>8430.39</v>
      </c>
      <c r="L15" s="15">
        <v>1.9900000000000001E-2</v>
      </c>
      <c r="M15" s="15">
        <v>6.1999999999999998E-3</v>
      </c>
      <c r="N15" s="15">
        <v>2.3999999999999998E-3</v>
      </c>
      <c r="O15" s="13" t="s">
        <v>7</v>
      </c>
    </row>
    <row r="16" spans="1:15" x14ac:dyDescent="0.2">
      <c r="A16" s="13" t="s">
        <v>7</v>
      </c>
      <c r="B16" s="13" t="s">
        <v>444</v>
      </c>
      <c r="C16" s="14">
        <v>1148808</v>
      </c>
      <c r="D16" s="13" t="s">
        <v>127</v>
      </c>
      <c r="E16" s="14">
        <v>513765339</v>
      </c>
      <c r="F16" s="13" t="s">
        <v>442</v>
      </c>
      <c r="G16" s="13" t="s">
        <v>88</v>
      </c>
      <c r="H16" s="16">
        <v>1550000.95</v>
      </c>
      <c r="I16" s="16">
        <v>1325</v>
      </c>
      <c r="J16" s="16">
        <v>0</v>
      </c>
      <c r="K16" s="16">
        <v>20537.509999999998</v>
      </c>
      <c r="L16" s="15">
        <v>1.49E-2</v>
      </c>
      <c r="M16" s="15">
        <v>1.52E-2</v>
      </c>
      <c r="N16" s="15">
        <v>5.7999999999999996E-3</v>
      </c>
      <c r="O16" s="13" t="s">
        <v>7</v>
      </c>
    </row>
    <row r="17" spans="1:15" x14ac:dyDescent="0.2">
      <c r="A17" s="13" t="s">
        <v>7</v>
      </c>
      <c r="B17" s="13" t="s">
        <v>445</v>
      </c>
      <c r="C17" s="14">
        <v>1146356</v>
      </c>
      <c r="D17" s="13" t="s">
        <v>127</v>
      </c>
      <c r="E17" s="14">
        <v>510938608</v>
      </c>
      <c r="F17" s="13" t="s">
        <v>442</v>
      </c>
      <c r="G17" s="13" t="s">
        <v>88</v>
      </c>
      <c r="H17" s="16">
        <v>179189</v>
      </c>
      <c r="I17" s="16">
        <v>13340</v>
      </c>
      <c r="J17" s="16">
        <v>0</v>
      </c>
      <c r="K17" s="16">
        <v>23903.81</v>
      </c>
      <c r="L17" s="15">
        <v>1.24E-2</v>
      </c>
      <c r="M17" s="15">
        <v>1.77E-2</v>
      </c>
      <c r="N17" s="15">
        <v>6.7000000000000002E-3</v>
      </c>
      <c r="O17" s="13" t="s">
        <v>7</v>
      </c>
    </row>
    <row r="18" spans="1:15" x14ac:dyDescent="0.2">
      <c r="A18" s="13" t="s">
        <v>7</v>
      </c>
      <c r="B18" s="13" t="s">
        <v>446</v>
      </c>
      <c r="C18" s="14">
        <v>1146331</v>
      </c>
      <c r="D18" s="13" t="s">
        <v>127</v>
      </c>
      <c r="E18" s="14">
        <v>510938608</v>
      </c>
      <c r="F18" s="13" t="s">
        <v>442</v>
      </c>
      <c r="G18" s="13" t="s">
        <v>88</v>
      </c>
      <c r="H18" s="16">
        <v>441642</v>
      </c>
      <c r="I18" s="16">
        <v>12730</v>
      </c>
      <c r="J18" s="16">
        <v>0</v>
      </c>
      <c r="K18" s="16">
        <v>56221.03</v>
      </c>
      <c r="L18" s="15">
        <v>8.43E-2</v>
      </c>
      <c r="M18" s="15">
        <v>4.1599999999999998E-2</v>
      </c>
      <c r="N18" s="15">
        <v>1.5800000000000002E-2</v>
      </c>
      <c r="O18" s="13" t="s">
        <v>7</v>
      </c>
    </row>
    <row r="19" spans="1:15" x14ac:dyDescent="0.2">
      <c r="A19" s="13" t="s">
        <v>7</v>
      </c>
      <c r="B19" s="13" t="s">
        <v>447</v>
      </c>
      <c r="C19" s="14">
        <v>1145044</v>
      </c>
      <c r="D19" s="13" t="s">
        <v>127</v>
      </c>
      <c r="E19" s="14">
        <v>513534974</v>
      </c>
      <c r="F19" s="13" t="s">
        <v>442</v>
      </c>
      <c r="G19" s="13" t="s">
        <v>88</v>
      </c>
      <c r="H19" s="16">
        <v>0.86</v>
      </c>
      <c r="I19" s="16">
        <v>498.2</v>
      </c>
      <c r="J19" s="16">
        <v>0</v>
      </c>
      <c r="K19" s="16">
        <v>0</v>
      </c>
      <c r="L19" s="15">
        <v>0</v>
      </c>
      <c r="M19" s="15">
        <v>0</v>
      </c>
      <c r="N19" s="15">
        <v>0</v>
      </c>
      <c r="O19" s="13" t="s">
        <v>7</v>
      </c>
    </row>
    <row r="20" spans="1:15" x14ac:dyDescent="0.2">
      <c r="A20" s="13" t="s">
        <v>7</v>
      </c>
      <c r="B20" s="13" t="s">
        <v>448</v>
      </c>
      <c r="C20" s="14">
        <v>1143718</v>
      </c>
      <c r="D20" s="13" t="s">
        <v>127</v>
      </c>
      <c r="E20" s="14">
        <v>513534974</v>
      </c>
      <c r="F20" s="13" t="s">
        <v>442</v>
      </c>
      <c r="G20" s="13" t="s">
        <v>88</v>
      </c>
      <c r="H20" s="16">
        <v>1650000</v>
      </c>
      <c r="I20" s="16">
        <v>1331</v>
      </c>
      <c r="J20" s="16">
        <v>0</v>
      </c>
      <c r="K20" s="16">
        <v>21961.5</v>
      </c>
      <c r="L20" s="15">
        <v>9.7999999999999997E-3</v>
      </c>
      <c r="M20" s="15">
        <v>1.6199999999999999E-2</v>
      </c>
      <c r="N20" s="15">
        <v>6.1999999999999998E-3</v>
      </c>
      <c r="O20" s="13" t="s">
        <v>7</v>
      </c>
    </row>
    <row r="21" spans="1:15" x14ac:dyDescent="0.2">
      <c r="A21" s="3" t="s">
        <v>7</v>
      </c>
      <c r="B21" s="3" t="s">
        <v>449</v>
      </c>
      <c r="C21" s="3" t="s">
        <v>7</v>
      </c>
      <c r="D21" s="3" t="s">
        <v>7</v>
      </c>
      <c r="E21" s="3" t="s">
        <v>7</v>
      </c>
      <c r="F21" s="3" t="s">
        <v>7</v>
      </c>
      <c r="G21" s="3" t="s">
        <v>7</v>
      </c>
      <c r="H21" s="12">
        <v>2505768</v>
      </c>
      <c r="I21" s="3" t="s">
        <v>7</v>
      </c>
      <c r="J21" s="12">
        <v>0</v>
      </c>
      <c r="K21" s="12">
        <v>155498.35999999999</v>
      </c>
      <c r="L21" s="3" t="s">
        <v>7</v>
      </c>
      <c r="M21" s="11">
        <v>0.115</v>
      </c>
      <c r="N21" s="11">
        <v>4.3799999999999999E-2</v>
      </c>
      <c r="O21" s="3" t="s">
        <v>7</v>
      </c>
    </row>
    <row r="22" spans="1:15" x14ac:dyDescent="0.2">
      <c r="A22" s="13" t="s">
        <v>7</v>
      </c>
      <c r="B22" s="13" t="s">
        <v>450</v>
      </c>
      <c r="C22" s="14">
        <v>1149053</v>
      </c>
      <c r="D22" s="13" t="s">
        <v>127</v>
      </c>
      <c r="E22" s="14">
        <v>511776783</v>
      </c>
      <c r="F22" s="13" t="s">
        <v>442</v>
      </c>
      <c r="G22" s="13" t="s">
        <v>88</v>
      </c>
      <c r="H22" s="16">
        <v>438000</v>
      </c>
      <c r="I22" s="16">
        <v>4887</v>
      </c>
      <c r="J22" s="16">
        <v>0</v>
      </c>
      <c r="K22" s="16">
        <v>21405.06</v>
      </c>
      <c r="L22" s="15">
        <v>0.5272</v>
      </c>
      <c r="M22" s="15">
        <v>1.5800000000000002E-2</v>
      </c>
      <c r="N22" s="15">
        <v>6.0000000000000001E-3</v>
      </c>
      <c r="O22" s="13" t="s">
        <v>7</v>
      </c>
    </row>
    <row r="23" spans="1:15" x14ac:dyDescent="0.2">
      <c r="A23" s="13" t="s">
        <v>7</v>
      </c>
      <c r="B23" s="13" t="s">
        <v>451</v>
      </c>
      <c r="C23" s="14">
        <v>1150283</v>
      </c>
      <c r="D23" s="13" t="s">
        <v>127</v>
      </c>
      <c r="E23" s="14">
        <v>511303661</v>
      </c>
      <c r="F23" s="13" t="s">
        <v>442</v>
      </c>
      <c r="G23" s="13" t="s">
        <v>88</v>
      </c>
      <c r="H23" s="16">
        <v>1000000</v>
      </c>
      <c r="I23" s="16">
        <v>2068</v>
      </c>
      <c r="J23" s="16">
        <v>0</v>
      </c>
      <c r="K23" s="16">
        <v>20680</v>
      </c>
      <c r="L23" s="15">
        <v>6.0999999999999999E-2</v>
      </c>
      <c r="M23" s="15">
        <v>1.5299999999999999E-2</v>
      </c>
      <c r="N23" s="15">
        <v>5.7999999999999996E-3</v>
      </c>
      <c r="O23" s="13" t="s">
        <v>7</v>
      </c>
    </row>
    <row r="24" spans="1:15" x14ac:dyDescent="0.2">
      <c r="A24" s="13" t="s">
        <v>7</v>
      </c>
      <c r="B24" s="13" t="s">
        <v>452</v>
      </c>
      <c r="C24" s="14">
        <v>1148253</v>
      </c>
      <c r="D24" s="13" t="s">
        <v>127</v>
      </c>
      <c r="E24" s="14">
        <v>513765339</v>
      </c>
      <c r="F24" s="13" t="s">
        <v>442</v>
      </c>
      <c r="G24" s="13" t="s">
        <v>88</v>
      </c>
      <c r="H24" s="16">
        <v>112958</v>
      </c>
      <c r="I24" s="16">
        <v>10830</v>
      </c>
      <c r="J24" s="16">
        <v>0</v>
      </c>
      <c r="K24" s="16">
        <v>12233.35</v>
      </c>
      <c r="L24" s="15">
        <v>0.28589999999999999</v>
      </c>
      <c r="M24" s="15">
        <v>8.9999999999999993E-3</v>
      </c>
      <c r="N24" s="15">
        <v>3.3999999999999998E-3</v>
      </c>
      <c r="O24" s="13" t="s">
        <v>7</v>
      </c>
    </row>
    <row r="25" spans="1:15" x14ac:dyDescent="0.2">
      <c r="A25" s="13" t="s">
        <v>7</v>
      </c>
      <c r="B25" s="13" t="s">
        <v>453</v>
      </c>
      <c r="C25" s="14">
        <v>1146471</v>
      </c>
      <c r="D25" s="13" t="s">
        <v>127</v>
      </c>
      <c r="E25" s="14">
        <v>510938608</v>
      </c>
      <c r="F25" s="13" t="s">
        <v>442</v>
      </c>
      <c r="G25" s="13" t="s">
        <v>88</v>
      </c>
      <c r="H25" s="16">
        <v>347902</v>
      </c>
      <c r="I25" s="16">
        <v>12220</v>
      </c>
      <c r="J25" s="16">
        <v>0</v>
      </c>
      <c r="K25" s="16">
        <v>42513.62</v>
      </c>
      <c r="L25" s="15">
        <v>2.6700000000000002E-2</v>
      </c>
      <c r="M25" s="15">
        <v>3.1399999999999997E-2</v>
      </c>
      <c r="N25" s="15">
        <v>1.2E-2</v>
      </c>
      <c r="O25" s="13" t="s">
        <v>7</v>
      </c>
    </row>
    <row r="26" spans="1:15" x14ac:dyDescent="0.2">
      <c r="A26" s="13" t="s">
        <v>7</v>
      </c>
      <c r="B26" s="13" t="s">
        <v>454</v>
      </c>
      <c r="C26" s="14">
        <v>1146513</v>
      </c>
      <c r="D26" s="13" t="s">
        <v>127</v>
      </c>
      <c r="E26" s="14">
        <v>510938608</v>
      </c>
      <c r="F26" s="13" t="s">
        <v>442</v>
      </c>
      <c r="G26" s="13" t="s">
        <v>88</v>
      </c>
      <c r="H26" s="16">
        <v>112896</v>
      </c>
      <c r="I26" s="16">
        <v>4688</v>
      </c>
      <c r="J26" s="16">
        <v>0</v>
      </c>
      <c r="K26" s="16">
        <v>5292.56</v>
      </c>
      <c r="L26" s="15">
        <v>6.7500000000000004E-2</v>
      </c>
      <c r="M26" s="15">
        <v>3.8999999999999998E-3</v>
      </c>
      <c r="N26" s="15">
        <v>1.5E-3</v>
      </c>
      <c r="O26" s="13" t="s">
        <v>7</v>
      </c>
    </row>
    <row r="27" spans="1:15" x14ac:dyDescent="0.2">
      <c r="A27" s="13" t="s">
        <v>7</v>
      </c>
      <c r="B27" s="13" t="s">
        <v>455</v>
      </c>
      <c r="C27" s="14">
        <v>1147172</v>
      </c>
      <c r="D27" s="13" t="s">
        <v>127</v>
      </c>
      <c r="E27" s="14">
        <v>510938608</v>
      </c>
      <c r="F27" s="13" t="s">
        <v>442</v>
      </c>
      <c r="G27" s="13" t="s">
        <v>88</v>
      </c>
      <c r="H27" s="16">
        <v>188932</v>
      </c>
      <c r="I27" s="16">
        <v>3678</v>
      </c>
      <c r="J27" s="16">
        <v>0</v>
      </c>
      <c r="K27" s="16">
        <v>6948.92</v>
      </c>
      <c r="L27" s="15">
        <v>8.6199999999999999E-2</v>
      </c>
      <c r="M27" s="15">
        <v>5.1000000000000004E-3</v>
      </c>
      <c r="N27" s="15">
        <v>2E-3</v>
      </c>
      <c r="O27" s="13" t="s">
        <v>7</v>
      </c>
    </row>
    <row r="28" spans="1:15" x14ac:dyDescent="0.2">
      <c r="A28" s="13" t="s">
        <v>7</v>
      </c>
      <c r="B28" s="13" t="s">
        <v>456</v>
      </c>
      <c r="C28" s="14">
        <v>1144401</v>
      </c>
      <c r="D28" s="13" t="s">
        <v>127</v>
      </c>
      <c r="E28" s="14">
        <v>513534974</v>
      </c>
      <c r="F28" s="13" t="s">
        <v>442</v>
      </c>
      <c r="G28" s="13" t="s">
        <v>88</v>
      </c>
      <c r="H28" s="16">
        <v>92080</v>
      </c>
      <c r="I28" s="16">
        <v>20300</v>
      </c>
      <c r="J28" s="16">
        <v>0</v>
      </c>
      <c r="K28" s="16">
        <v>18692.240000000002</v>
      </c>
      <c r="L28" s="15">
        <v>1.9599999999999999E-2</v>
      </c>
      <c r="M28" s="15">
        <v>1.38E-2</v>
      </c>
      <c r="N28" s="15">
        <v>5.3E-3</v>
      </c>
      <c r="O28" s="13" t="s">
        <v>7</v>
      </c>
    </row>
    <row r="29" spans="1:15" x14ac:dyDescent="0.2">
      <c r="A29" s="13" t="s">
        <v>7</v>
      </c>
      <c r="B29" s="13" t="s">
        <v>457</v>
      </c>
      <c r="C29" s="14">
        <v>1144385</v>
      </c>
      <c r="D29" s="13" t="s">
        <v>127</v>
      </c>
      <c r="E29" s="14">
        <v>513534974</v>
      </c>
      <c r="F29" s="13" t="s">
        <v>442</v>
      </c>
      <c r="G29" s="13" t="s">
        <v>88</v>
      </c>
      <c r="H29" s="16">
        <v>213000</v>
      </c>
      <c r="I29" s="16">
        <v>13020</v>
      </c>
      <c r="J29" s="16">
        <v>0</v>
      </c>
      <c r="K29" s="16">
        <v>27732.6</v>
      </c>
      <c r="L29" s="15">
        <v>1.84E-2</v>
      </c>
      <c r="M29" s="15">
        <v>2.0500000000000001E-2</v>
      </c>
      <c r="N29" s="15">
        <v>7.7999999999999996E-3</v>
      </c>
      <c r="O29" s="13" t="s">
        <v>7</v>
      </c>
    </row>
    <row r="30" spans="1:15" x14ac:dyDescent="0.2">
      <c r="A30" s="3" t="s">
        <v>7</v>
      </c>
      <c r="B30" s="3" t="s">
        <v>458</v>
      </c>
      <c r="C30" s="3" t="s">
        <v>7</v>
      </c>
      <c r="D30" s="3" t="s">
        <v>7</v>
      </c>
      <c r="E30" s="3" t="s">
        <v>7</v>
      </c>
      <c r="F30" s="3" t="s">
        <v>7</v>
      </c>
      <c r="G30" s="3" t="s">
        <v>7</v>
      </c>
      <c r="H30" s="12">
        <v>58656500</v>
      </c>
      <c r="I30" s="3" t="s">
        <v>7</v>
      </c>
      <c r="J30" s="12">
        <v>0</v>
      </c>
      <c r="K30" s="12">
        <v>367141.61</v>
      </c>
      <c r="L30" s="3" t="s">
        <v>7</v>
      </c>
      <c r="M30" s="11">
        <v>0.27150000000000002</v>
      </c>
      <c r="N30" s="11">
        <v>0.10349999999999999</v>
      </c>
      <c r="O30" s="3" t="s">
        <v>7</v>
      </c>
    </row>
    <row r="31" spans="1:15" x14ac:dyDescent="0.2">
      <c r="A31" s="13" t="s">
        <v>7</v>
      </c>
      <c r="B31" s="13" t="s">
        <v>459</v>
      </c>
      <c r="C31" s="14">
        <v>1150713</v>
      </c>
      <c r="D31" s="13" t="s">
        <v>127</v>
      </c>
      <c r="E31" s="14">
        <v>511776783</v>
      </c>
      <c r="F31" s="13" t="s">
        <v>460</v>
      </c>
      <c r="G31" s="13" t="s">
        <v>88</v>
      </c>
      <c r="H31" s="16">
        <v>6315000</v>
      </c>
      <c r="I31" s="16">
        <v>386.1</v>
      </c>
      <c r="J31" s="16">
        <v>0</v>
      </c>
      <c r="K31" s="16">
        <v>24382.21</v>
      </c>
      <c r="L31" s="15">
        <v>8.9800000000000005E-2</v>
      </c>
      <c r="M31" s="15">
        <v>1.7999999999999999E-2</v>
      </c>
      <c r="N31" s="15">
        <v>6.8999999999999999E-3</v>
      </c>
      <c r="O31" s="13" t="s">
        <v>7</v>
      </c>
    </row>
    <row r="32" spans="1:15" x14ac:dyDescent="0.2">
      <c r="A32" s="13" t="s">
        <v>7</v>
      </c>
      <c r="B32" s="13" t="s">
        <v>461</v>
      </c>
      <c r="C32" s="14">
        <v>1150473</v>
      </c>
      <c r="D32" s="13" t="s">
        <v>127</v>
      </c>
      <c r="E32" s="14">
        <v>511776783</v>
      </c>
      <c r="F32" s="13" t="s">
        <v>460</v>
      </c>
      <c r="G32" s="13" t="s">
        <v>88</v>
      </c>
      <c r="H32" s="16">
        <v>10024662</v>
      </c>
      <c r="I32" s="16">
        <v>333.41</v>
      </c>
      <c r="J32" s="16">
        <v>0</v>
      </c>
      <c r="K32" s="16">
        <v>33423.230000000003</v>
      </c>
      <c r="L32" s="15">
        <v>3.7600000000000001E-2</v>
      </c>
      <c r="M32" s="15">
        <v>2.47E-2</v>
      </c>
      <c r="N32" s="15">
        <v>9.4000000000000004E-3</v>
      </c>
      <c r="O32" s="13" t="s">
        <v>7</v>
      </c>
    </row>
    <row r="33" spans="1:15" x14ac:dyDescent="0.2">
      <c r="A33" s="13" t="s">
        <v>7</v>
      </c>
      <c r="B33" s="13" t="s">
        <v>462</v>
      </c>
      <c r="C33" s="14">
        <v>1150523</v>
      </c>
      <c r="D33" s="13" t="s">
        <v>127</v>
      </c>
      <c r="E33" s="14">
        <v>511776783</v>
      </c>
      <c r="F33" s="13" t="s">
        <v>460</v>
      </c>
      <c r="G33" s="13" t="s">
        <v>88</v>
      </c>
      <c r="H33" s="16">
        <v>5673584</v>
      </c>
      <c r="I33" s="16">
        <v>373.91</v>
      </c>
      <c r="J33" s="16">
        <v>0</v>
      </c>
      <c r="K33" s="16">
        <v>21214.1</v>
      </c>
      <c r="L33" s="15">
        <v>3.7100000000000001E-2</v>
      </c>
      <c r="M33" s="15">
        <v>1.5699999999999999E-2</v>
      </c>
      <c r="N33" s="15">
        <v>6.0000000000000001E-3</v>
      </c>
      <c r="O33" s="13" t="s">
        <v>7</v>
      </c>
    </row>
    <row r="34" spans="1:15" x14ac:dyDescent="0.2">
      <c r="A34" s="13" t="s">
        <v>7</v>
      </c>
      <c r="B34" s="13" t="s">
        <v>463</v>
      </c>
      <c r="C34" s="14">
        <v>1149996</v>
      </c>
      <c r="D34" s="13" t="s">
        <v>127</v>
      </c>
      <c r="E34" s="14">
        <v>511303661</v>
      </c>
      <c r="F34" s="13" t="s">
        <v>460</v>
      </c>
      <c r="G34" s="13" t="s">
        <v>88</v>
      </c>
      <c r="H34" s="16">
        <v>8206000</v>
      </c>
      <c r="I34" s="16">
        <v>424.7</v>
      </c>
      <c r="J34" s="16">
        <v>0</v>
      </c>
      <c r="K34" s="16">
        <v>34850.879999999997</v>
      </c>
      <c r="L34" s="15">
        <v>9.74E-2</v>
      </c>
      <c r="M34" s="15">
        <v>2.58E-2</v>
      </c>
      <c r="N34" s="15">
        <v>9.7999999999999997E-3</v>
      </c>
      <c r="O34" s="13" t="s">
        <v>7</v>
      </c>
    </row>
    <row r="35" spans="1:15" x14ac:dyDescent="0.2">
      <c r="A35" s="13" t="s">
        <v>7</v>
      </c>
      <c r="B35" s="13" t="s">
        <v>464</v>
      </c>
      <c r="C35" s="14">
        <v>1150168</v>
      </c>
      <c r="D35" s="13" t="s">
        <v>127</v>
      </c>
      <c r="E35" s="14">
        <v>511303661</v>
      </c>
      <c r="F35" s="13" t="s">
        <v>460</v>
      </c>
      <c r="G35" s="13" t="s">
        <v>88</v>
      </c>
      <c r="H35" s="16">
        <v>8768000</v>
      </c>
      <c r="I35" s="16">
        <v>310.70999999999998</v>
      </c>
      <c r="J35" s="16">
        <v>0</v>
      </c>
      <c r="K35" s="16">
        <v>27243.05</v>
      </c>
      <c r="L35" s="15">
        <v>6.7100000000000007E-2</v>
      </c>
      <c r="M35" s="15">
        <v>2.01E-2</v>
      </c>
      <c r="N35" s="15">
        <v>7.7000000000000002E-3</v>
      </c>
      <c r="O35" s="13" t="s">
        <v>7</v>
      </c>
    </row>
    <row r="36" spans="1:15" x14ac:dyDescent="0.2">
      <c r="A36" s="13" t="s">
        <v>7</v>
      </c>
      <c r="B36" s="13" t="s">
        <v>465</v>
      </c>
      <c r="C36" s="14">
        <v>1148006</v>
      </c>
      <c r="D36" s="13" t="s">
        <v>127</v>
      </c>
      <c r="E36" s="14">
        <v>513765339</v>
      </c>
      <c r="F36" s="13" t="s">
        <v>460</v>
      </c>
      <c r="G36" s="13" t="s">
        <v>88</v>
      </c>
      <c r="H36" s="16">
        <v>4768100</v>
      </c>
      <c r="I36" s="16">
        <v>333.72</v>
      </c>
      <c r="J36" s="16">
        <v>0</v>
      </c>
      <c r="K36" s="16">
        <v>15912.1</v>
      </c>
      <c r="L36" s="15">
        <v>1.2E-2</v>
      </c>
      <c r="M36" s="15">
        <v>1.18E-2</v>
      </c>
      <c r="N36" s="15">
        <v>4.4999999999999997E-3</v>
      </c>
      <c r="O36" s="13" t="s">
        <v>7</v>
      </c>
    </row>
    <row r="37" spans="1:15" x14ac:dyDescent="0.2">
      <c r="A37" s="13" t="s">
        <v>7</v>
      </c>
      <c r="B37" s="13" t="s">
        <v>466</v>
      </c>
      <c r="C37" s="14">
        <v>1145960</v>
      </c>
      <c r="D37" s="13" t="s">
        <v>127</v>
      </c>
      <c r="E37" s="14">
        <v>510938608</v>
      </c>
      <c r="F37" s="13" t="s">
        <v>460</v>
      </c>
      <c r="G37" s="13" t="s">
        <v>88</v>
      </c>
      <c r="H37" s="16">
        <v>3505150</v>
      </c>
      <c r="I37" s="16">
        <v>3416.02</v>
      </c>
      <c r="J37" s="16">
        <v>0</v>
      </c>
      <c r="K37" s="16">
        <v>119736.62</v>
      </c>
      <c r="L37" s="15">
        <v>0.14419999999999999</v>
      </c>
      <c r="M37" s="15">
        <v>8.8499999999999995E-2</v>
      </c>
      <c r="N37" s="15">
        <v>3.3700000000000001E-2</v>
      </c>
      <c r="O37" s="13" t="s">
        <v>7</v>
      </c>
    </row>
    <row r="38" spans="1:15" x14ac:dyDescent="0.2">
      <c r="A38" s="13" t="s">
        <v>7</v>
      </c>
      <c r="B38" s="13" t="s">
        <v>467</v>
      </c>
      <c r="C38" s="14">
        <v>1146232</v>
      </c>
      <c r="D38" s="13" t="s">
        <v>127</v>
      </c>
      <c r="E38" s="14">
        <v>510938608</v>
      </c>
      <c r="F38" s="13" t="s">
        <v>460</v>
      </c>
      <c r="G38" s="13" t="s">
        <v>88</v>
      </c>
      <c r="H38" s="16">
        <v>1161887</v>
      </c>
      <c r="I38" s="16">
        <v>3322.82</v>
      </c>
      <c r="J38" s="16">
        <v>0</v>
      </c>
      <c r="K38" s="16">
        <v>38607.410000000003</v>
      </c>
      <c r="L38" s="15">
        <v>3.04E-2</v>
      </c>
      <c r="M38" s="15">
        <v>2.8500000000000001E-2</v>
      </c>
      <c r="N38" s="15">
        <v>1.09E-2</v>
      </c>
      <c r="O38" s="13" t="s">
        <v>7</v>
      </c>
    </row>
    <row r="39" spans="1:15" x14ac:dyDescent="0.2">
      <c r="A39" s="13" t="s">
        <v>7</v>
      </c>
      <c r="B39" s="13" t="s">
        <v>468</v>
      </c>
      <c r="C39" s="14">
        <v>1150762</v>
      </c>
      <c r="D39" s="13" t="s">
        <v>127</v>
      </c>
      <c r="E39" s="14">
        <v>510938608</v>
      </c>
      <c r="F39" s="13" t="s">
        <v>460</v>
      </c>
      <c r="G39" s="13" t="s">
        <v>88</v>
      </c>
      <c r="H39" s="16">
        <v>498631</v>
      </c>
      <c r="I39" s="16">
        <v>3871.43</v>
      </c>
      <c r="J39" s="16">
        <v>0</v>
      </c>
      <c r="K39" s="16">
        <v>19304.150000000001</v>
      </c>
      <c r="L39" s="15">
        <v>3.4200000000000001E-2</v>
      </c>
      <c r="M39" s="15">
        <v>1.43E-2</v>
      </c>
      <c r="N39" s="15">
        <v>5.4000000000000003E-3</v>
      </c>
      <c r="O39" s="13" t="s">
        <v>7</v>
      </c>
    </row>
    <row r="40" spans="1:15" x14ac:dyDescent="0.2">
      <c r="A40" s="13" t="s">
        <v>7</v>
      </c>
      <c r="B40" s="13" t="s">
        <v>469</v>
      </c>
      <c r="C40" s="14">
        <v>1145101</v>
      </c>
      <c r="D40" s="13" t="s">
        <v>127</v>
      </c>
      <c r="E40" s="14">
        <v>513534974</v>
      </c>
      <c r="F40" s="13" t="s">
        <v>460</v>
      </c>
      <c r="G40" s="13" t="s">
        <v>88</v>
      </c>
      <c r="H40" s="16">
        <v>9735486</v>
      </c>
      <c r="I40" s="16">
        <v>333.5</v>
      </c>
      <c r="J40" s="16">
        <v>0</v>
      </c>
      <c r="K40" s="16">
        <v>32467.85</v>
      </c>
      <c r="L40" s="15">
        <v>2.2800000000000001E-2</v>
      </c>
      <c r="M40" s="15">
        <v>2.4E-2</v>
      </c>
      <c r="N40" s="15">
        <v>9.1000000000000004E-3</v>
      </c>
      <c r="O40" s="13" t="s">
        <v>7</v>
      </c>
    </row>
    <row r="41" spans="1:15" x14ac:dyDescent="0.2">
      <c r="A41" s="3" t="s">
        <v>7</v>
      </c>
      <c r="B41" s="3" t="s">
        <v>470</v>
      </c>
      <c r="C41" s="3" t="s">
        <v>7</v>
      </c>
      <c r="D41" s="3" t="s">
        <v>7</v>
      </c>
      <c r="E41" s="3" t="s">
        <v>7</v>
      </c>
      <c r="F41" s="3" t="s">
        <v>7</v>
      </c>
      <c r="G41" s="3" t="s">
        <v>7</v>
      </c>
      <c r="H41" s="12">
        <v>0</v>
      </c>
      <c r="I41" s="3" t="s">
        <v>7</v>
      </c>
      <c r="J41" s="12">
        <v>0</v>
      </c>
      <c r="K41" s="12">
        <v>0</v>
      </c>
      <c r="L41" s="3" t="s">
        <v>7</v>
      </c>
      <c r="M41" s="11">
        <v>0</v>
      </c>
      <c r="N41" s="11">
        <v>0</v>
      </c>
      <c r="O41" s="3" t="s">
        <v>7</v>
      </c>
    </row>
    <row r="42" spans="1:15" x14ac:dyDescent="0.2">
      <c r="A42" s="3" t="s">
        <v>7</v>
      </c>
      <c r="B42" s="3" t="s">
        <v>471</v>
      </c>
      <c r="C42" s="3" t="s">
        <v>7</v>
      </c>
      <c r="D42" s="3" t="s">
        <v>7</v>
      </c>
      <c r="E42" s="3" t="s">
        <v>7</v>
      </c>
      <c r="F42" s="3" t="s">
        <v>7</v>
      </c>
      <c r="G42" s="3" t="s">
        <v>7</v>
      </c>
      <c r="H42" s="12">
        <v>0</v>
      </c>
      <c r="I42" s="3" t="s">
        <v>7</v>
      </c>
      <c r="J42" s="12">
        <v>0</v>
      </c>
      <c r="K42" s="12">
        <v>0</v>
      </c>
      <c r="L42" s="3" t="s">
        <v>7</v>
      </c>
      <c r="M42" s="11">
        <v>0</v>
      </c>
      <c r="N42" s="11">
        <v>0</v>
      </c>
      <c r="O42" s="3" t="s">
        <v>7</v>
      </c>
    </row>
    <row r="43" spans="1:15" x14ac:dyDescent="0.2">
      <c r="A43" s="3" t="s">
        <v>7</v>
      </c>
      <c r="B43" s="3" t="s">
        <v>472</v>
      </c>
      <c r="C43" s="3" t="s">
        <v>7</v>
      </c>
      <c r="D43" s="3" t="s">
        <v>7</v>
      </c>
      <c r="E43" s="3" t="s">
        <v>7</v>
      </c>
      <c r="F43" s="3" t="s">
        <v>7</v>
      </c>
      <c r="G43" s="3" t="s">
        <v>7</v>
      </c>
      <c r="H43" s="12">
        <v>0</v>
      </c>
      <c r="I43" s="3" t="s">
        <v>7</v>
      </c>
      <c r="J43" s="12">
        <v>0</v>
      </c>
      <c r="K43" s="12">
        <v>0</v>
      </c>
      <c r="L43" s="3" t="s">
        <v>7</v>
      </c>
      <c r="M43" s="11">
        <v>0</v>
      </c>
      <c r="N43" s="11">
        <v>0</v>
      </c>
      <c r="O43" s="3" t="s">
        <v>7</v>
      </c>
    </row>
    <row r="44" spans="1:15" x14ac:dyDescent="0.2">
      <c r="A44" s="3" t="s">
        <v>7</v>
      </c>
      <c r="B44" s="3" t="s">
        <v>102</v>
      </c>
      <c r="C44" s="3" t="s">
        <v>7</v>
      </c>
      <c r="D44" s="3" t="s">
        <v>7</v>
      </c>
      <c r="E44" s="3" t="s">
        <v>7</v>
      </c>
      <c r="F44" s="3" t="s">
        <v>7</v>
      </c>
      <c r="G44" s="3" t="s">
        <v>7</v>
      </c>
      <c r="H44" s="12">
        <v>2090905.42</v>
      </c>
      <c r="I44" s="3" t="s">
        <v>7</v>
      </c>
      <c r="J44" s="12">
        <v>394.48</v>
      </c>
      <c r="K44" s="12">
        <v>674303.41</v>
      </c>
      <c r="L44" s="3" t="s">
        <v>7</v>
      </c>
      <c r="M44" s="11">
        <v>0.49859999999999999</v>
      </c>
      <c r="N44" s="11">
        <v>0.19</v>
      </c>
      <c r="O44" s="3" t="s">
        <v>7</v>
      </c>
    </row>
    <row r="45" spans="1:15" x14ac:dyDescent="0.2">
      <c r="A45" s="3" t="s">
        <v>7</v>
      </c>
      <c r="B45" s="3" t="s">
        <v>473</v>
      </c>
      <c r="C45" s="3" t="s">
        <v>7</v>
      </c>
      <c r="D45" s="3" t="s">
        <v>7</v>
      </c>
      <c r="E45" s="3" t="s">
        <v>7</v>
      </c>
      <c r="F45" s="3" t="s">
        <v>7</v>
      </c>
      <c r="G45" s="3" t="s">
        <v>7</v>
      </c>
      <c r="H45" s="12">
        <v>2073240.42</v>
      </c>
      <c r="I45" s="3" t="s">
        <v>7</v>
      </c>
      <c r="J45" s="12">
        <v>394.48</v>
      </c>
      <c r="K45" s="12">
        <v>669203.53</v>
      </c>
      <c r="L45" s="3" t="s">
        <v>7</v>
      </c>
      <c r="M45" s="11">
        <v>0.49480000000000002</v>
      </c>
      <c r="N45" s="11">
        <v>0.18859999999999999</v>
      </c>
      <c r="O45" s="3" t="s">
        <v>7</v>
      </c>
    </row>
    <row r="46" spans="1:15" x14ac:dyDescent="0.2">
      <c r="A46" s="13" t="s">
        <v>7</v>
      </c>
      <c r="B46" s="13" t="s">
        <v>474</v>
      </c>
      <c r="C46" s="13" t="s">
        <v>475</v>
      </c>
      <c r="D46" s="13" t="s">
        <v>322</v>
      </c>
      <c r="E46" s="14">
        <v>99568</v>
      </c>
      <c r="F46" s="13" t="s">
        <v>442</v>
      </c>
      <c r="G46" s="13" t="s">
        <v>48</v>
      </c>
      <c r="H46" s="16">
        <v>18000</v>
      </c>
      <c r="I46" s="16">
        <v>4200</v>
      </c>
      <c r="J46" s="16">
        <v>0</v>
      </c>
      <c r="K46" s="16">
        <v>2601.4</v>
      </c>
      <c r="L46" s="15">
        <v>2.0000000000000001E-4</v>
      </c>
      <c r="M46" s="15">
        <v>1.9E-3</v>
      </c>
      <c r="N46" s="15">
        <v>6.9999999999999999E-4</v>
      </c>
      <c r="O46" s="14">
        <v>60039435</v>
      </c>
    </row>
    <row r="47" spans="1:15" x14ac:dyDescent="0.2">
      <c r="A47" s="13" t="s">
        <v>7</v>
      </c>
      <c r="B47" s="13" t="s">
        <v>476</v>
      </c>
      <c r="C47" s="13" t="s">
        <v>477</v>
      </c>
      <c r="D47" s="13" t="s">
        <v>322</v>
      </c>
      <c r="E47" s="14">
        <v>98339</v>
      </c>
      <c r="F47" s="13" t="s">
        <v>442</v>
      </c>
      <c r="G47" s="13" t="s">
        <v>48</v>
      </c>
      <c r="H47" s="16">
        <v>10000</v>
      </c>
      <c r="I47" s="16">
        <v>5665</v>
      </c>
      <c r="J47" s="16">
        <v>0</v>
      </c>
      <c r="K47" s="16">
        <v>1949.33</v>
      </c>
      <c r="L47" s="15">
        <v>2.0000000000000001E-4</v>
      </c>
      <c r="M47" s="15">
        <v>1.4E-3</v>
      </c>
      <c r="N47" s="15">
        <v>5.0000000000000001E-4</v>
      </c>
      <c r="O47" s="14">
        <v>60133352</v>
      </c>
    </row>
    <row r="48" spans="1:15" x14ac:dyDescent="0.2">
      <c r="A48" s="13" t="s">
        <v>7</v>
      </c>
      <c r="B48" s="13" t="s">
        <v>478</v>
      </c>
      <c r="C48" s="13" t="s">
        <v>479</v>
      </c>
      <c r="D48" s="13" t="s">
        <v>237</v>
      </c>
      <c r="E48" s="14">
        <v>98339</v>
      </c>
      <c r="F48" s="13" t="s">
        <v>442</v>
      </c>
      <c r="G48" s="13" t="s">
        <v>48</v>
      </c>
      <c r="H48" s="16">
        <v>7030</v>
      </c>
      <c r="I48" s="16">
        <v>3386</v>
      </c>
      <c r="J48" s="16">
        <v>0</v>
      </c>
      <c r="K48" s="16">
        <v>819.08</v>
      </c>
      <c r="L48" s="15">
        <v>1E-4</v>
      </c>
      <c r="M48" s="15">
        <v>5.9999999999999995E-4</v>
      </c>
      <c r="N48" s="15">
        <v>2.0000000000000001E-4</v>
      </c>
      <c r="O48" s="14">
        <v>60336534</v>
      </c>
    </row>
    <row r="49" spans="1:15" x14ac:dyDescent="0.2">
      <c r="A49" s="13" t="s">
        <v>7</v>
      </c>
      <c r="B49" s="13" t="s">
        <v>480</v>
      </c>
      <c r="C49" s="13" t="s">
        <v>481</v>
      </c>
      <c r="D49" s="13" t="s">
        <v>322</v>
      </c>
      <c r="E49" s="14">
        <v>98339</v>
      </c>
      <c r="F49" s="13" t="s">
        <v>442</v>
      </c>
      <c r="G49" s="13" t="s">
        <v>48</v>
      </c>
      <c r="H49" s="16">
        <v>1440</v>
      </c>
      <c r="I49" s="16">
        <v>29962</v>
      </c>
      <c r="J49" s="16">
        <v>0</v>
      </c>
      <c r="K49" s="16">
        <v>1484.63</v>
      </c>
      <c r="L49" s="15">
        <v>0</v>
      </c>
      <c r="M49" s="15">
        <v>1.1000000000000001E-3</v>
      </c>
      <c r="N49" s="15">
        <v>4.0000000000000002E-4</v>
      </c>
      <c r="O49" s="14">
        <v>60077435</v>
      </c>
    </row>
    <row r="50" spans="1:15" x14ac:dyDescent="0.2">
      <c r="A50" s="13" t="s">
        <v>7</v>
      </c>
      <c r="B50" s="13" t="s">
        <v>482</v>
      </c>
      <c r="C50" s="13" t="s">
        <v>483</v>
      </c>
      <c r="D50" s="13" t="s">
        <v>237</v>
      </c>
      <c r="E50" s="14">
        <v>98339</v>
      </c>
      <c r="F50" s="13" t="s">
        <v>442</v>
      </c>
      <c r="G50" s="13" t="s">
        <v>48</v>
      </c>
      <c r="H50" s="16">
        <v>3000</v>
      </c>
      <c r="I50" s="16">
        <v>13541</v>
      </c>
      <c r="J50" s="16">
        <v>0</v>
      </c>
      <c r="K50" s="16">
        <v>1397.84</v>
      </c>
      <c r="L50" s="15">
        <v>0</v>
      </c>
      <c r="M50" s="15">
        <v>1E-3</v>
      </c>
      <c r="N50" s="15">
        <v>4.0000000000000002E-4</v>
      </c>
      <c r="O50" s="14">
        <v>1065481</v>
      </c>
    </row>
    <row r="51" spans="1:15" x14ac:dyDescent="0.2">
      <c r="A51" s="13" t="s">
        <v>7</v>
      </c>
      <c r="B51" s="13" t="s">
        <v>484</v>
      </c>
      <c r="C51" s="13" t="s">
        <v>485</v>
      </c>
      <c r="D51" s="13" t="s">
        <v>237</v>
      </c>
      <c r="E51" s="14">
        <v>97553</v>
      </c>
      <c r="F51" s="13" t="s">
        <v>442</v>
      </c>
      <c r="G51" s="13" t="s">
        <v>48</v>
      </c>
      <c r="H51" s="16">
        <v>44100</v>
      </c>
      <c r="I51" s="16">
        <v>7417</v>
      </c>
      <c r="J51" s="16">
        <v>0</v>
      </c>
      <c r="K51" s="16">
        <v>11255.16</v>
      </c>
      <c r="L51" s="15">
        <v>5.0000000000000001E-4</v>
      </c>
      <c r="M51" s="15">
        <v>8.3000000000000001E-3</v>
      </c>
      <c r="N51" s="15">
        <v>3.2000000000000002E-3</v>
      </c>
      <c r="O51" s="14">
        <v>60317641</v>
      </c>
    </row>
    <row r="52" spans="1:15" x14ac:dyDescent="0.2">
      <c r="A52" s="13" t="s">
        <v>7</v>
      </c>
      <c r="B52" s="13" t="s">
        <v>486</v>
      </c>
      <c r="C52" s="13" t="s">
        <v>487</v>
      </c>
      <c r="D52" s="13" t="s">
        <v>237</v>
      </c>
      <c r="E52" s="14">
        <v>97553</v>
      </c>
      <c r="F52" s="13" t="s">
        <v>442</v>
      </c>
      <c r="G52" s="13" t="s">
        <v>48</v>
      </c>
      <c r="H52" s="16">
        <v>16900</v>
      </c>
      <c r="I52" s="16">
        <v>5280</v>
      </c>
      <c r="J52" s="16">
        <v>0</v>
      </c>
      <c r="K52" s="16">
        <v>3070.47</v>
      </c>
      <c r="L52" s="15">
        <v>0</v>
      </c>
      <c r="M52" s="15">
        <v>2.3E-3</v>
      </c>
      <c r="N52" s="15">
        <v>8.9999999999999998E-4</v>
      </c>
      <c r="O52" s="14">
        <v>60355153</v>
      </c>
    </row>
    <row r="53" spans="1:15" x14ac:dyDescent="0.2">
      <c r="A53" s="13" t="s">
        <v>7</v>
      </c>
      <c r="B53" s="13" t="s">
        <v>488</v>
      </c>
      <c r="C53" s="13" t="s">
        <v>489</v>
      </c>
      <c r="D53" s="13" t="s">
        <v>237</v>
      </c>
      <c r="E53" s="14">
        <v>97153</v>
      </c>
      <c r="F53" s="13" t="s">
        <v>442</v>
      </c>
      <c r="G53" s="13" t="s">
        <v>48</v>
      </c>
      <c r="H53" s="16">
        <v>40920</v>
      </c>
      <c r="I53" s="16">
        <v>3749</v>
      </c>
      <c r="J53" s="16">
        <v>0</v>
      </c>
      <c r="K53" s="16">
        <v>5278.81</v>
      </c>
      <c r="L53" s="15">
        <v>1.8E-3</v>
      </c>
      <c r="M53" s="15">
        <v>3.8999999999999998E-3</v>
      </c>
      <c r="N53" s="15">
        <v>1.5E-3</v>
      </c>
      <c r="O53" s="14">
        <v>60310638</v>
      </c>
    </row>
    <row r="54" spans="1:15" x14ac:dyDescent="0.2">
      <c r="A54" s="13" t="s">
        <v>7</v>
      </c>
      <c r="B54" s="13" t="s">
        <v>490</v>
      </c>
      <c r="C54" s="13" t="s">
        <v>491</v>
      </c>
      <c r="D54" s="13" t="s">
        <v>237</v>
      </c>
      <c r="E54" s="14">
        <v>97153</v>
      </c>
      <c r="F54" s="13" t="s">
        <v>442</v>
      </c>
      <c r="G54" s="13" t="s">
        <v>48</v>
      </c>
      <c r="H54" s="16">
        <v>48733</v>
      </c>
      <c r="I54" s="16">
        <v>6479</v>
      </c>
      <c r="J54" s="16">
        <v>0</v>
      </c>
      <c r="K54" s="16">
        <v>10864.65</v>
      </c>
      <c r="L54" s="15">
        <v>2.2000000000000001E-3</v>
      </c>
      <c r="M54" s="15">
        <v>8.0000000000000002E-3</v>
      </c>
      <c r="N54" s="15">
        <v>3.0999999999999999E-3</v>
      </c>
      <c r="O54" s="14">
        <v>62015722</v>
      </c>
    </row>
    <row r="55" spans="1:15" x14ac:dyDescent="0.2">
      <c r="A55" s="13" t="s">
        <v>7</v>
      </c>
      <c r="B55" s="13" t="s">
        <v>492</v>
      </c>
      <c r="C55" s="13" t="s">
        <v>493</v>
      </c>
      <c r="D55" s="13" t="s">
        <v>322</v>
      </c>
      <c r="E55" s="14">
        <v>99341</v>
      </c>
      <c r="F55" s="13" t="s">
        <v>442</v>
      </c>
      <c r="G55" s="13" t="s">
        <v>48</v>
      </c>
      <c r="H55" s="16">
        <v>30400</v>
      </c>
      <c r="I55" s="16">
        <v>5907</v>
      </c>
      <c r="J55" s="16">
        <v>0</v>
      </c>
      <c r="K55" s="16">
        <v>6179.1</v>
      </c>
      <c r="L55" s="15">
        <v>2.0000000000000001E-4</v>
      </c>
      <c r="M55" s="15">
        <v>4.5999999999999999E-3</v>
      </c>
      <c r="N55" s="15">
        <v>1.6999999999999999E-3</v>
      </c>
      <c r="O55" s="14">
        <v>115865</v>
      </c>
    </row>
    <row r="56" spans="1:15" x14ac:dyDescent="0.2">
      <c r="A56" s="13" t="s">
        <v>7</v>
      </c>
      <c r="B56" s="13" t="s">
        <v>494</v>
      </c>
      <c r="C56" s="13" t="s">
        <v>495</v>
      </c>
      <c r="D56" s="13" t="s">
        <v>389</v>
      </c>
      <c r="E56" s="14">
        <v>99341</v>
      </c>
      <c r="F56" s="13" t="s">
        <v>442</v>
      </c>
      <c r="G56" s="13" t="s">
        <v>48</v>
      </c>
      <c r="H56" s="16">
        <v>2346</v>
      </c>
      <c r="I56" s="16">
        <v>30461</v>
      </c>
      <c r="J56" s="16">
        <v>0</v>
      </c>
      <c r="K56" s="16">
        <v>2458.9899999999998</v>
      </c>
      <c r="L56" s="15">
        <v>2.0000000000000001E-4</v>
      </c>
      <c r="M56" s="15">
        <v>1.8E-3</v>
      </c>
      <c r="N56" s="15">
        <v>6.9999999999999999E-4</v>
      </c>
      <c r="O56" s="14">
        <v>60021425</v>
      </c>
    </row>
    <row r="57" spans="1:15" x14ac:dyDescent="0.2">
      <c r="A57" s="13" t="s">
        <v>7</v>
      </c>
      <c r="B57" s="13" t="s">
        <v>496</v>
      </c>
      <c r="C57" s="13" t="s">
        <v>497</v>
      </c>
      <c r="D57" s="13" t="s">
        <v>322</v>
      </c>
      <c r="E57" s="14">
        <v>99341</v>
      </c>
      <c r="F57" s="13" t="s">
        <v>442</v>
      </c>
      <c r="G57" s="13" t="s">
        <v>48</v>
      </c>
      <c r="H57" s="16">
        <v>34000</v>
      </c>
      <c r="I57" s="16">
        <v>4409</v>
      </c>
      <c r="J57" s="16">
        <v>0</v>
      </c>
      <c r="K57" s="16">
        <v>5158.26</v>
      </c>
      <c r="L57" s="15">
        <v>1E-4</v>
      </c>
      <c r="M57" s="15">
        <v>3.8E-3</v>
      </c>
      <c r="N57" s="15">
        <v>1.4E-3</v>
      </c>
      <c r="O57" s="14">
        <v>60019619</v>
      </c>
    </row>
    <row r="58" spans="1:15" x14ac:dyDescent="0.2">
      <c r="A58" s="13" t="s">
        <v>7</v>
      </c>
      <c r="B58" s="13" t="s">
        <v>498</v>
      </c>
      <c r="C58" s="13" t="s">
        <v>499</v>
      </c>
      <c r="D58" s="13" t="s">
        <v>389</v>
      </c>
      <c r="E58" s="14">
        <v>99588</v>
      </c>
      <c r="F58" s="13" t="s">
        <v>442</v>
      </c>
      <c r="G58" s="13" t="s">
        <v>48</v>
      </c>
      <c r="H58" s="16">
        <v>46000</v>
      </c>
      <c r="I58" s="16">
        <v>7717</v>
      </c>
      <c r="J58" s="16">
        <v>0</v>
      </c>
      <c r="K58" s="16">
        <v>12214.93</v>
      </c>
      <c r="L58" s="15">
        <v>8.0000000000000004E-4</v>
      </c>
      <c r="M58" s="15">
        <v>8.9999999999999993E-3</v>
      </c>
      <c r="N58" s="15">
        <v>3.3999999999999998E-3</v>
      </c>
      <c r="O58" s="14">
        <v>60205473</v>
      </c>
    </row>
    <row r="59" spans="1:15" x14ac:dyDescent="0.2">
      <c r="A59" s="13" t="s">
        <v>7</v>
      </c>
      <c r="B59" s="13" t="s">
        <v>500</v>
      </c>
      <c r="C59" s="13" t="s">
        <v>501</v>
      </c>
      <c r="D59" s="13" t="s">
        <v>322</v>
      </c>
      <c r="E59" s="14">
        <v>99342</v>
      </c>
      <c r="F59" s="13" t="s">
        <v>442</v>
      </c>
      <c r="G59" s="13" t="s">
        <v>48</v>
      </c>
      <c r="H59" s="16">
        <v>19918</v>
      </c>
      <c r="I59" s="16">
        <v>14979</v>
      </c>
      <c r="J59" s="16">
        <v>0</v>
      </c>
      <c r="K59" s="16">
        <v>10266.280000000001</v>
      </c>
      <c r="L59" s="15">
        <v>1E-4</v>
      </c>
      <c r="M59" s="15">
        <v>7.6E-3</v>
      </c>
      <c r="N59" s="15">
        <v>2.8999999999999998E-3</v>
      </c>
      <c r="O59" s="14">
        <v>1073907</v>
      </c>
    </row>
    <row r="60" spans="1:15" x14ac:dyDescent="0.2">
      <c r="A60" s="13" t="s">
        <v>7</v>
      </c>
      <c r="B60" s="13" t="s">
        <v>502</v>
      </c>
      <c r="C60" s="13" t="s">
        <v>503</v>
      </c>
      <c r="D60" s="13" t="s">
        <v>322</v>
      </c>
      <c r="E60" s="14">
        <v>95020</v>
      </c>
      <c r="F60" s="13" t="s">
        <v>442</v>
      </c>
      <c r="G60" s="13" t="s">
        <v>48</v>
      </c>
      <c r="H60" s="16">
        <v>24000</v>
      </c>
      <c r="I60" s="16">
        <v>2506</v>
      </c>
      <c r="J60" s="16">
        <v>0</v>
      </c>
      <c r="K60" s="16">
        <v>2069.5500000000002</v>
      </c>
      <c r="L60" s="15">
        <v>3.7000000000000002E-3</v>
      </c>
      <c r="M60" s="15">
        <v>1.5E-3</v>
      </c>
      <c r="N60" s="15">
        <v>5.9999999999999995E-4</v>
      </c>
      <c r="O60" s="14">
        <v>60255528</v>
      </c>
    </row>
    <row r="61" spans="1:15" x14ac:dyDescent="0.2">
      <c r="A61" s="13" t="s">
        <v>7</v>
      </c>
      <c r="B61" s="13" t="s">
        <v>504</v>
      </c>
      <c r="C61" s="13" t="s">
        <v>505</v>
      </c>
      <c r="D61" s="13" t="s">
        <v>322</v>
      </c>
      <c r="E61" s="14">
        <v>99237</v>
      </c>
      <c r="F61" s="13" t="s">
        <v>442</v>
      </c>
      <c r="G61" s="13" t="s">
        <v>48</v>
      </c>
      <c r="H61" s="16">
        <v>86910</v>
      </c>
      <c r="I61" s="16">
        <v>30765</v>
      </c>
      <c r="J61" s="16">
        <v>0</v>
      </c>
      <c r="K61" s="16">
        <v>92004.98</v>
      </c>
      <c r="L61" s="15">
        <v>2.0000000000000001E-4</v>
      </c>
      <c r="M61" s="15">
        <v>6.8000000000000005E-2</v>
      </c>
      <c r="N61" s="15">
        <v>2.5899999999999999E-2</v>
      </c>
      <c r="O61" s="14">
        <v>60604105</v>
      </c>
    </row>
    <row r="62" spans="1:15" x14ac:dyDescent="0.2">
      <c r="A62" s="13" t="s">
        <v>7</v>
      </c>
      <c r="B62" s="13" t="s">
        <v>506</v>
      </c>
      <c r="C62" s="13" t="s">
        <v>507</v>
      </c>
      <c r="D62" s="13" t="s">
        <v>322</v>
      </c>
      <c r="E62" s="14">
        <v>99343</v>
      </c>
      <c r="F62" s="13" t="s">
        <v>442</v>
      </c>
      <c r="G62" s="13" t="s">
        <v>48</v>
      </c>
      <c r="H62" s="16">
        <v>30937</v>
      </c>
      <c r="I62" s="16">
        <v>11882</v>
      </c>
      <c r="J62" s="16">
        <v>0</v>
      </c>
      <c r="K62" s="16">
        <v>12648.89</v>
      </c>
      <c r="L62" s="15">
        <v>2.5999999999999999E-3</v>
      </c>
      <c r="M62" s="15">
        <v>9.2999999999999992E-3</v>
      </c>
      <c r="N62" s="15">
        <v>3.5999999999999999E-3</v>
      </c>
      <c r="O62" s="14">
        <v>60157997</v>
      </c>
    </row>
    <row r="63" spans="1:15" x14ac:dyDescent="0.2">
      <c r="A63" s="13" t="s">
        <v>7</v>
      </c>
      <c r="B63" s="13" t="s">
        <v>508</v>
      </c>
      <c r="C63" s="13" t="s">
        <v>509</v>
      </c>
      <c r="D63" s="13" t="s">
        <v>322</v>
      </c>
      <c r="E63" s="14">
        <v>99506</v>
      </c>
      <c r="F63" s="13" t="s">
        <v>442</v>
      </c>
      <c r="G63" s="13" t="s">
        <v>48</v>
      </c>
      <c r="H63" s="16">
        <v>37235</v>
      </c>
      <c r="I63" s="16">
        <v>2945</v>
      </c>
      <c r="J63" s="16">
        <v>0</v>
      </c>
      <c r="K63" s="16">
        <v>3773.3</v>
      </c>
      <c r="L63" s="15">
        <v>8.9999999999999998E-4</v>
      </c>
      <c r="M63" s="15">
        <v>2.8E-3</v>
      </c>
      <c r="N63" s="15">
        <v>1.1000000000000001E-3</v>
      </c>
      <c r="O63" s="14">
        <v>60127503</v>
      </c>
    </row>
    <row r="64" spans="1:15" x14ac:dyDescent="0.2">
      <c r="A64" s="13" t="s">
        <v>7</v>
      </c>
      <c r="B64" s="13" t="s">
        <v>510</v>
      </c>
      <c r="C64" s="13" t="s">
        <v>511</v>
      </c>
      <c r="D64" s="13" t="s">
        <v>322</v>
      </c>
      <c r="E64" s="14">
        <v>99506</v>
      </c>
      <c r="F64" s="13" t="s">
        <v>442</v>
      </c>
      <c r="G64" s="13" t="s">
        <v>48</v>
      </c>
      <c r="H64" s="16">
        <v>10600</v>
      </c>
      <c r="I64" s="16">
        <v>5388</v>
      </c>
      <c r="J64" s="16">
        <v>0</v>
      </c>
      <c r="K64" s="16">
        <v>1965.25</v>
      </c>
      <c r="L64" s="15">
        <v>4.0000000000000002E-4</v>
      </c>
      <c r="M64" s="15">
        <v>1.4E-3</v>
      </c>
      <c r="N64" s="15">
        <v>5.0000000000000001E-4</v>
      </c>
      <c r="O64" s="14">
        <v>60133634</v>
      </c>
    </row>
    <row r="65" spans="1:15" x14ac:dyDescent="0.2">
      <c r="A65" s="13" t="s">
        <v>7</v>
      </c>
      <c r="B65" s="13" t="s">
        <v>512</v>
      </c>
      <c r="C65" s="13" t="s">
        <v>513</v>
      </c>
      <c r="D65" s="13" t="s">
        <v>322</v>
      </c>
      <c r="E65" s="14">
        <v>99506</v>
      </c>
      <c r="F65" s="13" t="s">
        <v>442</v>
      </c>
      <c r="G65" s="13" t="s">
        <v>48</v>
      </c>
      <c r="H65" s="16">
        <v>104457</v>
      </c>
      <c r="I65" s="16">
        <v>11670</v>
      </c>
      <c r="J65" s="16">
        <v>0</v>
      </c>
      <c r="K65" s="16">
        <v>41946.239999999998</v>
      </c>
      <c r="L65" s="15">
        <v>2.9999999999999997E-4</v>
      </c>
      <c r="M65" s="15">
        <v>3.1E-2</v>
      </c>
      <c r="N65" s="15">
        <v>1.18E-2</v>
      </c>
      <c r="O65" s="14">
        <v>108183</v>
      </c>
    </row>
    <row r="66" spans="1:15" x14ac:dyDescent="0.2">
      <c r="A66" s="13" t="s">
        <v>7</v>
      </c>
      <c r="B66" s="13" t="s">
        <v>514</v>
      </c>
      <c r="C66" s="13" t="s">
        <v>515</v>
      </c>
      <c r="D66" s="13" t="s">
        <v>322</v>
      </c>
      <c r="E66" s="14">
        <v>99506</v>
      </c>
      <c r="F66" s="13" t="s">
        <v>442</v>
      </c>
      <c r="G66" s="13" t="s">
        <v>48</v>
      </c>
      <c r="H66" s="16">
        <v>6515</v>
      </c>
      <c r="I66" s="16">
        <v>14698</v>
      </c>
      <c r="J66" s="16">
        <v>0</v>
      </c>
      <c r="K66" s="16">
        <v>3295.01</v>
      </c>
      <c r="L66" s="15">
        <v>1E-4</v>
      </c>
      <c r="M66" s="15">
        <v>2.3999999999999998E-3</v>
      </c>
      <c r="N66" s="15">
        <v>8.9999999999999998E-4</v>
      </c>
      <c r="O66" s="14">
        <v>60021169</v>
      </c>
    </row>
    <row r="67" spans="1:15" x14ac:dyDescent="0.2">
      <c r="A67" s="13" t="s">
        <v>7</v>
      </c>
      <c r="B67" s="13" t="s">
        <v>516</v>
      </c>
      <c r="C67" s="13" t="s">
        <v>517</v>
      </c>
      <c r="D67" s="13" t="s">
        <v>237</v>
      </c>
      <c r="E67" s="14">
        <v>93014</v>
      </c>
      <c r="F67" s="13" t="s">
        <v>442</v>
      </c>
      <c r="G67" s="13" t="s">
        <v>48</v>
      </c>
      <c r="H67" s="16">
        <v>7662</v>
      </c>
      <c r="I67" s="16">
        <v>3527</v>
      </c>
      <c r="J67" s="16">
        <v>0</v>
      </c>
      <c r="K67" s="16">
        <v>929.89</v>
      </c>
      <c r="L67" s="15">
        <v>1E-4</v>
      </c>
      <c r="M67" s="15">
        <v>6.9999999999999999E-4</v>
      </c>
      <c r="N67" s="15">
        <v>2.9999999999999997E-4</v>
      </c>
      <c r="O67" s="14">
        <v>20001748</v>
      </c>
    </row>
    <row r="68" spans="1:15" x14ac:dyDescent="0.2">
      <c r="A68" s="13" t="s">
        <v>7</v>
      </c>
      <c r="B68" s="13" t="s">
        <v>518</v>
      </c>
      <c r="C68" s="13" t="s">
        <v>519</v>
      </c>
      <c r="D68" s="13" t="s">
        <v>322</v>
      </c>
      <c r="E68" s="14">
        <v>99390</v>
      </c>
      <c r="F68" s="13" t="s">
        <v>442</v>
      </c>
      <c r="G68" s="13" t="s">
        <v>48</v>
      </c>
      <c r="H68" s="16">
        <v>73280</v>
      </c>
      <c r="I68" s="16">
        <v>2407</v>
      </c>
      <c r="J68" s="16">
        <v>0</v>
      </c>
      <c r="K68" s="16">
        <v>6069.41</v>
      </c>
      <c r="L68" s="15">
        <v>1E-4</v>
      </c>
      <c r="M68" s="15">
        <v>4.4999999999999997E-3</v>
      </c>
      <c r="N68" s="15">
        <v>1.6999999999999999E-3</v>
      </c>
      <c r="O68" s="14">
        <v>111575</v>
      </c>
    </row>
    <row r="69" spans="1:15" x14ac:dyDescent="0.2">
      <c r="A69" s="13" t="s">
        <v>7</v>
      </c>
      <c r="B69" s="13" t="s">
        <v>520</v>
      </c>
      <c r="C69" s="13" t="s">
        <v>521</v>
      </c>
      <c r="D69" s="13" t="s">
        <v>322</v>
      </c>
      <c r="E69" s="14">
        <v>99390</v>
      </c>
      <c r="F69" s="13" t="s">
        <v>442</v>
      </c>
      <c r="G69" s="13" t="s">
        <v>48</v>
      </c>
      <c r="H69" s="16">
        <v>13700</v>
      </c>
      <c r="I69" s="16">
        <v>10548</v>
      </c>
      <c r="J69" s="16">
        <v>0</v>
      </c>
      <c r="K69" s="16">
        <v>4972.51</v>
      </c>
      <c r="L69" s="15">
        <v>1E-4</v>
      </c>
      <c r="M69" s="15">
        <v>3.7000000000000002E-3</v>
      </c>
      <c r="N69" s="15">
        <v>1.4E-3</v>
      </c>
      <c r="O69" s="14">
        <v>108209</v>
      </c>
    </row>
    <row r="70" spans="1:15" x14ac:dyDescent="0.2">
      <c r="A70" s="13" t="s">
        <v>7</v>
      </c>
      <c r="B70" s="13" t="s">
        <v>522</v>
      </c>
      <c r="C70" s="13" t="s">
        <v>523</v>
      </c>
      <c r="D70" s="13" t="s">
        <v>322</v>
      </c>
      <c r="E70" s="14">
        <v>99390</v>
      </c>
      <c r="F70" s="13" t="s">
        <v>442</v>
      </c>
      <c r="G70" s="13" t="s">
        <v>48</v>
      </c>
      <c r="H70" s="16">
        <v>14374</v>
      </c>
      <c r="I70" s="16">
        <v>6410</v>
      </c>
      <c r="J70" s="16">
        <v>0</v>
      </c>
      <c r="K70" s="16">
        <v>3170.45</v>
      </c>
      <c r="L70" s="15">
        <v>1E-4</v>
      </c>
      <c r="M70" s="15">
        <v>2.3E-3</v>
      </c>
      <c r="N70" s="15">
        <v>8.9999999999999998E-4</v>
      </c>
      <c r="O70" s="14">
        <v>108191</v>
      </c>
    </row>
    <row r="71" spans="1:15" x14ac:dyDescent="0.2">
      <c r="A71" s="13" t="s">
        <v>7</v>
      </c>
      <c r="B71" s="13" t="s">
        <v>524</v>
      </c>
      <c r="C71" s="13" t="s">
        <v>525</v>
      </c>
      <c r="D71" s="13" t="s">
        <v>237</v>
      </c>
      <c r="E71" s="14">
        <v>97124</v>
      </c>
      <c r="F71" s="13" t="s">
        <v>442</v>
      </c>
      <c r="G71" s="13" t="s">
        <v>48</v>
      </c>
      <c r="H71" s="16">
        <v>48660</v>
      </c>
      <c r="I71" s="16">
        <v>1690</v>
      </c>
      <c r="J71" s="16">
        <v>0</v>
      </c>
      <c r="K71" s="16">
        <v>2829.72</v>
      </c>
      <c r="L71" s="15">
        <v>5.0000000000000001E-4</v>
      </c>
      <c r="M71" s="15">
        <v>2.0999999999999999E-3</v>
      </c>
      <c r="N71" s="15">
        <v>8.0000000000000004E-4</v>
      </c>
      <c r="O71" s="14">
        <v>20002104</v>
      </c>
    </row>
    <row r="72" spans="1:15" x14ac:dyDescent="0.2">
      <c r="A72" s="13" t="s">
        <v>7</v>
      </c>
      <c r="B72" s="13" t="s">
        <v>526</v>
      </c>
      <c r="C72" s="13" t="s">
        <v>527</v>
      </c>
      <c r="D72" s="13" t="s">
        <v>237</v>
      </c>
      <c r="E72" s="14">
        <v>5391</v>
      </c>
      <c r="F72" s="13" t="s">
        <v>442</v>
      </c>
      <c r="G72" s="13" t="s">
        <v>48</v>
      </c>
      <c r="H72" s="16">
        <v>21317</v>
      </c>
      <c r="I72" s="16">
        <v>5536</v>
      </c>
      <c r="J72" s="16">
        <v>0</v>
      </c>
      <c r="K72" s="16">
        <v>4060.75</v>
      </c>
      <c r="L72" s="15">
        <v>2.0000000000000001E-4</v>
      </c>
      <c r="M72" s="15">
        <v>3.0000000000000001E-3</v>
      </c>
      <c r="N72" s="15">
        <v>1.1000000000000001E-3</v>
      </c>
      <c r="O72" s="14">
        <v>60228475</v>
      </c>
    </row>
    <row r="73" spans="1:15" x14ac:dyDescent="0.2">
      <c r="A73" s="13" t="s">
        <v>7</v>
      </c>
      <c r="B73" s="13" t="s">
        <v>528</v>
      </c>
      <c r="C73" s="13" t="s">
        <v>529</v>
      </c>
      <c r="D73" s="13" t="s">
        <v>237</v>
      </c>
      <c r="E73" s="14">
        <v>97553</v>
      </c>
      <c r="F73" s="13" t="s">
        <v>442</v>
      </c>
      <c r="G73" s="13" t="s">
        <v>52</v>
      </c>
      <c r="H73" s="16">
        <v>19669</v>
      </c>
      <c r="I73" s="16">
        <v>12802</v>
      </c>
      <c r="J73" s="16">
        <v>0</v>
      </c>
      <c r="K73" s="16">
        <v>9382.16</v>
      </c>
      <c r="L73" s="15">
        <v>1.5E-3</v>
      </c>
      <c r="M73" s="15">
        <v>6.8999999999999999E-3</v>
      </c>
      <c r="N73" s="15">
        <v>2.5999999999999999E-3</v>
      </c>
      <c r="O73" s="14">
        <v>62003276</v>
      </c>
    </row>
    <row r="74" spans="1:15" x14ac:dyDescent="0.2">
      <c r="A74" s="13" t="s">
        <v>7</v>
      </c>
      <c r="B74" s="13" t="s">
        <v>530</v>
      </c>
      <c r="C74" s="13" t="s">
        <v>531</v>
      </c>
      <c r="D74" s="13" t="s">
        <v>389</v>
      </c>
      <c r="E74" s="14">
        <v>99965</v>
      </c>
      <c r="F74" s="13" t="s">
        <v>442</v>
      </c>
      <c r="G74" s="13" t="s">
        <v>48</v>
      </c>
      <c r="H74" s="16">
        <v>199601</v>
      </c>
      <c r="I74" s="16">
        <v>27784</v>
      </c>
      <c r="J74" s="16">
        <v>202.14</v>
      </c>
      <c r="K74" s="16">
        <v>191030.17</v>
      </c>
      <c r="L74" s="15">
        <v>4.0000000000000002E-4</v>
      </c>
      <c r="M74" s="15">
        <v>0.14119999999999999</v>
      </c>
      <c r="N74" s="15">
        <v>5.3800000000000001E-2</v>
      </c>
      <c r="O74" s="14">
        <v>112243</v>
      </c>
    </row>
    <row r="75" spans="1:15" x14ac:dyDescent="0.2">
      <c r="A75" s="13" t="s">
        <v>7</v>
      </c>
      <c r="B75" s="13" t="s">
        <v>532</v>
      </c>
      <c r="C75" s="13" t="s">
        <v>533</v>
      </c>
      <c r="D75" s="13" t="s">
        <v>237</v>
      </c>
      <c r="E75" s="14">
        <v>97495</v>
      </c>
      <c r="F75" s="13" t="s">
        <v>442</v>
      </c>
      <c r="G75" s="13" t="s">
        <v>58</v>
      </c>
      <c r="H75" s="16">
        <v>80000</v>
      </c>
      <c r="I75" s="16">
        <v>5312</v>
      </c>
      <c r="J75" s="16">
        <v>0</v>
      </c>
      <c r="K75" s="16">
        <v>1883.42</v>
      </c>
      <c r="L75" s="15">
        <v>2.9999999999999997E-4</v>
      </c>
      <c r="M75" s="15">
        <v>1.4E-3</v>
      </c>
      <c r="N75" s="15">
        <v>5.0000000000000001E-4</v>
      </c>
      <c r="O75" s="14">
        <v>60321791</v>
      </c>
    </row>
    <row r="76" spans="1:15" x14ac:dyDescent="0.2">
      <c r="A76" s="13" t="s">
        <v>7</v>
      </c>
      <c r="B76" s="13" t="s">
        <v>534</v>
      </c>
      <c r="C76" s="13" t="s">
        <v>535</v>
      </c>
      <c r="D76" s="13" t="s">
        <v>237</v>
      </c>
      <c r="E76" s="14">
        <v>93273</v>
      </c>
      <c r="F76" s="13" t="s">
        <v>442</v>
      </c>
      <c r="G76" s="13" t="s">
        <v>48</v>
      </c>
      <c r="H76" s="16">
        <v>8700</v>
      </c>
      <c r="I76" s="16">
        <v>5940</v>
      </c>
      <c r="J76" s="16">
        <v>0</v>
      </c>
      <c r="K76" s="16">
        <v>1778.24</v>
      </c>
      <c r="L76" s="15">
        <v>0</v>
      </c>
      <c r="M76" s="15">
        <v>1.2999999999999999E-3</v>
      </c>
      <c r="N76" s="15">
        <v>5.0000000000000001E-4</v>
      </c>
      <c r="O76" s="14">
        <v>62008057</v>
      </c>
    </row>
    <row r="77" spans="1:15" x14ac:dyDescent="0.2">
      <c r="A77" s="13" t="s">
        <v>7</v>
      </c>
      <c r="B77" s="13" t="s">
        <v>536</v>
      </c>
      <c r="C77" s="14">
        <v>62015045</v>
      </c>
      <c r="D77" s="13" t="s">
        <v>237</v>
      </c>
      <c r="E77" s="14">
        <v>98697</v>
      </c>
      <c r="F77" s="13" t="s">
        <v>442</v>
      </c>
      <c r="G77" s="13" t="s">
        <v>48</v>
      </c>
      <c r="H77" s="16">
        <v>28769</v>
      </c>
      <c r="I77" s="16">
        <v>3480</v>
      </c>
      <c r="J77" s="16">
        <v>0</v>
      </c>
      <c r="K77" s="16">
        <v>3445</v>
      </c>
      <c r="L77" s="15">
        <v>5.0000000000000001E-4</v>
      </c>
      <c r="M77" s="15">
        <v>2.5000000000000001E-3</v>
      </c>
      <c r="N77" s="15">
        <v>1E-3</v>
      </c>
      <c r="O77" s="13" t="s">
        <v>7</v>
      </c>
    </row>
    <row r="78" spans="1:15" x14ac:dyDescent="0.2">
      <c r="A78" s="13" t="s">
        <v>7</v>
      </c>
      <c r="B78" s="13" t="s">
        <v>537</v>
      </c>
      <c r="C78" s="13" t="s">
        <v>538</v>
      </c>
      <c r="D78" s="13" t="s">
        <v>237</v>
      </c>
      <c r="E78" s="14">
        <v>98677</v>
      </c>
      <c r="F78" s="13" t="s">
        <v>442</v>
      </c>
      <c r="G78" s="13" t="s">
        <v>48</v>
      </c>
      <c r="H78" s="16">
        <v>25008</v>
      </c>
      <c r="I78" s="16">
        <v>2389</v>
      </c>
      <c r="J78" s="16">
        <v>0</v>
      </c>
      <c r="K78" s="16">
        <v>2055.79</v>
      </c>
      <c r="L78" s="15">
        <v>5.0000000000000001E-4</v>
      </c>
      <c r="M78" s="15">
        <v>1.5E-3</v>
      </c>
      <c r="N78" s="15">
        <v>5.9999999999999995E-4</v>
      </c>
      <c r="O78" s="14">
        <v>62016456</v>
      </c>
    </row>
    <row r="79" spans="1:15" x14ac:dyDescent="0.2">
      <c r="A79" s="13" t="s">
        <v>7</v>
      </c>
      <c r="B79" s="13" t="s">
        <v>539</v>
      </c>
      <c r="C79" s="13" t="s">
        <v>540</v>
      </c>
      <c r="D79" s="13" t="s">
        <v>322</v>
      </c>
      <c r="E79" s="14">
        <v>98677</v>
      </c>
      <c r="F79" s="13" t="s">
        <v>442</v>
      </c>
      <c r="G79" s="13" t="s">
        <v>48</v>
      </c>
      <c r="H79" s="16">
        <v>29960</v>
      </c>
      <c r="I79" s="16">
        <v>2749</v>
      </c>
      <c r="J79" s="16">
        <v>0</v>
      </c>
      <c r="K79" s="16">
        <v>2834.01</v>
      </c>
      <c r="L79" s="15">
        <v>2.8999999999999998E-3</v>
      </c>
      <c r="M79" s="15">
        <v>2.0999999999999999E-3</v>
      </c>
      <c r="N79" s="15">
        <v>8.0000000000000004E-4</v>
      </c>
      <c r="O79" s="14">
        <v>60230406</v>
      </c>
    </row>
    <row r="80" spans="1:15" x14ac:dyDescent="0.2">
      <c r="A80" s="13" t="s">
        <v>7</v>
      </c>
      <c r="B80" s="13" t="s">
        <v>541</v>
      </c>
      <c r="C80" s="13" t="s">
        <v>542</v>
      </c>
      <c r="D80" s="13" t="s">
        <v>543</v>
      </c>
      <c r="E80" s="14">
        <v>97723</v>
      </c>
      <c r="F80" s="13" t="s">
        <v>442</v>
      </c>
      <c r="G80" s="13" t="s">
        <v>58</v>
      </c>
      <c r="H80" s="16">
        <v>61000</v>
      </c>
      <c r="I80" s="16">
        <v>9546</v>
      </c>
      <c r="J80" s="16">
        <v>0</v>
      </c>
      <c r="K80" s="16">
        <v>2580.7800000000002</v>
      </c>
      <c r="L80" s="15">
        <v>2.0000000000000001E-4</v>
      </c>
      <c r="M80" s="15">
        <v>1.9E-3</v>
      </c>
      <c r="N80" s="15">
        <v>6.9999999999999999E-4</v>
      </c>
      <c r="O80" s="14">
        <v>60160421</v>
      </c>
    </row>
    <row r="81" spans="1:15" x14ac:dyDescent="0.2">
      <c r="A81" s="13" t="s">
        <v>7</v>
      </c>
      <c r="B81" s="13" t="s">
        <v>544</v>
      </c>
      <c r="C81" s="13" t="s">
        <v>545</v>
      </c>
      <c r="D81" s="13" t="s">
        <v>237</v>
      </c>
      <c r="E81" s="14">
        <v>99307</v>
      </c>
      <c r="F81" s="13" t="s">
        <v>442</v>
      </c>
      <c r="G81" s="13" t="s">
        <v>54</v>
      </c>
      <c r="H81" s="16">
        <v>80000</v>
      </c>
      <c r="I81" s="16">
        <v>3213</v>
      </c>
      <c r="J81" s="16">
        <v>0</v>
      </c>
      <c r="K81" s="16">
        <v>10347.92</v>
      </c>
      <c r="L81" s="15">
        <v>5.0000000000000001E-4</v>
      </c>
      <c r="M81" s="15">
        <v>7.6E-3</v>
      </c>
      <c r="N81" s="15">
        <v>2.8999999999999998E-3</v>
      </c>
      <c r="O81" s="14">
        <v>1077486</v>
      </c>
    </row>
    <row r="82" spans="1:15" x14ac:dyDescent="0.2">
      <c r="A82" s="13" t="s">
        <v>7</v>
      </c>
      <c r="B82" s="13" t="s">
        <v>546</v>
      </c>
      <c r="C82" s="13" t="s">
        <v>547</v>
      </c>
      <c r="D82" s="13" t="s">
        <v>237</v>
      </c>
      <c r="E82" s="14">
        <v>97857</v>
      </c>
      <c r="F82" s="13" t="s">
        <v>442</v>
      </c>
      <c r="G82" s="13" t="s">
        <v>48</v>
      </c>
      <c r="H82" s="16">
        <v>50954</v>
      </c>
      <c r="I82" s="16">
        <v>6818</v>
      </c>
      <c r="J82" s="16">
        <v>0</v>
      </c>
      <c r="K82" s="16">
        <v>11954.18</v>
      </c>
      <c r="L82" s="15">
        <v>1.1999999999999999E-3</v>
      </c>
      <c r="M82" s="15">
        <v>8.8000000000000005E-3</v>
      </c>
      <c r="N82" s="15">
        <v>3.3999999999999998E-3</v>
      </c>
      <c r="O82" s="14">
        <v>60354529</v>
      </c>
    </row>
    <row r="83" spans="1:15" x14ac:dyDescent="0.2">
      <c r="A83" s="13" t="s">
        <v>7</v>
      </c>
      <c r="B83" s="13" t="s">
        <v>548</v>
      </c>
      <c r="C83" s="13" t="s">
        <v>549</v>
      </c>
      <c r="D83" s="13" t="s">
        <v>237</v>
      </c>
      <c r="E83" s="14">
        <v>93170</v>
      </c>
      <c r="F83" s="13" t="s">
        <v>442</v>
      </c>
      <c r="G83" s="13" t="s">
        <v>48</v>
      </c>
      <c r="H83" s="16">
        <v>41000</v>
      </c>
      <c r="I83" s="16">
        <v>3947</v>
      </c>
      <c r="J83" s="16">
        <v>0</v>
      </c>
      <c r="K83" s="16">
        <v>5568.47</v>
      </c>
      <c r="L83" s="15">
        <v>2.5000000000000001E-3</v>
      </c>
      <c r="M83" s="15">
        <v>4.1000000000000003E-3</v>
      </c>
      <c r="N83" s="15">
        <v>1.6000000000000001E-3</v>
      </c>
      <c r="O83" s="14">
        <v>62005673</v>
      </c>
    </row>
    <row r="84" spans="1:15" x14ac:dyDescent="0.2">
      <c r="A84" s="13" t="s">
        <v>7</v>
      </c>
      <c r="B84" s="13" t="s">
        <v>550</v>
      </c>
      <c r="C84" s="13" t="s">
        <v>551</v>
      </c>
      <c r="D84" s="13" t="s">
        <v>237</v>
      </c>
      <c r="E84" s="14">
        <v>91465</v>
      </c>
      <c r="F84" s="13" t="s">
        <v>442</v>
      </c>
      <c r="G84" s="13" t="s">
        <v>48</v>
      </c>
      <c r="H84" s="16">
        <v>20775</v>
      </c>
      <c r="I84" s="16">
        <v>7849</v>
      </c>
      <c r="J84" s="16">
        <v>0</v>
      </c>
      <c r="K84" s="16">
        <v>5611</v>
      </c>
      <c r="L84" s="15">
        <v>2.9999999999999997E-4</v>
      </c>
      <c r="M84" s="15">
        <v>4.1000000000000003E-3</v>
      </c>
      <c r="N84" s="15">
        <v>1.6000000000000001E-3</v>
      </c>
      <c r="O84" s="14">
        <v>60280450</v>
      </c>
    </row>
    <row r="85" spans="1:15" x14ac:dyDescent="0.2">
      <c r="A85" s="13" t="s">
        <v>7</v>
      </c>
      <c r="B85" s="13" t="s">
        <v>552</v>
      </c>
      <c r="C85" s="13" t="s">
        <v>553</v>
      </c>
      <c r="D85" s="13" t="s">
        <v>237</v>
      </c>
      <c r="E85" s="14">
        <v>99964</v>
      </c>
      <c r="F85" s="13" t="s">
        <v>442</v>
      </c>
      <c r="G85" s="13" t="s">
        <v>48</v>
      </c>
      <c r="H85" s="16">
        <v>17136</v>
      </c>
      <c r="I85" s="16">
        <v>17746</v>
      </c>
      <c r="J85" s="16">
        <v>0</v>
      </c>
      <c r="K85" s="16">
        <v>10463.92</v>
      </c>
      <c r="L85" s="15">
        <v>3.85E-2</v>
      </c>
      <c r="M85" s="15">
        <v>7.7000000000000002E-3</v>
      </c>
      <c r="N85" s="15">
        <v>2.8999999999999998E-3</v>
      </c>
      <c r="O85" s="14">
        <v>62017165</v>
      </c>
    </row>
    <row r="86" spans="1:15" x14ac:dyDescent="0.2">
      <c r="A86" s="13" t="s">
        <v>7</v>
      </c>
      <c r="B86" s="13" t="s">
        <v>554</v>
      </c>
      <c r="C86" s="14">
        <v>62017157</v>
      </c>
      <c r="D86" s="13" t="s">
        <v>237</v>
      </c>
      <c r="E86" s="14">
        <v>99964</v>
      </c>
      <c r="F86" s="13" t="s">
        <v>442</v>
      </c>
      <c r="G86" s="13" t="s">
        <v>54</v>
      </c>
      <c r="H86" s="16">
        <v>27010</v>
      </c>
      <c r="I86" s="16">
        <v>11416.2</v>
      </c>
      <c r="J86" s="16">
        <v>0</v>
      </c>
      <c r="K86" s="16">
        <v>12413.62</v>
      </c>
      <c r="L86" s="15">
        <v>6.7999999999999996E-3</v>
      </c>
      <c r="M86" s="15">
        <v>9.1999999999999998E-3</v>
      </c>
      <c r="N86" s="15">
        <v>3.5000000000000001E-3</v>
      </c>
      <c r="O86" s="13" t="s">
        <v>7</v>
      </c>
    </row>
    <row r="87" spans="1:15" x14ac:dyDescent="0.2">
      <c r="A87" s="13" t="s">
        <v>7</v>
      </c>
      <c r="B87" s="13" t="s">
        <v>555</v>
      </c>
      <c r="C87" s="13" t="s">
        <v>556</v>
      </c>
      <c r="D87" s="13" t="s">
        <v>237</v>
      </c>
      <c r="E87" s="14">
        <v>99964</v>
      </c>
      <c r="F87" s="13" t="s">
        <v>442</v>
      </c>
      <c r="G87" s="13" t="s">
        <v>54</v>
      </c>
      <c r="H87" s="16">
        <v>13161</v>
      </c>
      <c r="I87" s="16">
        <v>19327</v>
      </c>
      <c r="J87" s="16">
        <v>0</v>
      </c>
      <c r="K87" s="16">
        <v>10240.129999999999</v>
      </c>
      <c r="L87" s="15">
        <v>1.6999999999999999E-3</v>
      </c>
      <c r="M87" s="15">
        <v>7.6E-3</v>
      </c>
      <c r="N87" s="15">
        <v>2.8999999999999998E-3</v>
      </c>
      <c r="O87" s="14">
        <v>62017215</v>
      </c>
    </row>
    <row r="88" spans="1:15" x14ac:dyDescent="0.2">
      <c r="A88" s="13" t="s">
        <v>7</v>
      </c>
      <c r="B88" s="13" t="s">
        <v>557</v>
      </c>
      <c r="C88" s="13" t="s">
        <v>558</v>
      </c>
      <c r="D88" s="13" t="s">
        <v>559</v>
      </c>
      <c r="E88" s="14">
        <v>99964</v>
      </c>
      <c r="F88" s="13" t="s">
        <v>442</v>
      </c>
      <c r="G88" s="13" t="s">
        <v>54</v>
      </c>
      <c r="H88" s="16">
        <v>103638</v>
      </c>
      <c r="I88" s="16">
        <v>4757.5</v>
      </c>
      <c r="J88" s="16">
        <v>0</v>
      </c>
      <c r="K88" s="16">
        <v>19849.52</v>
      </c>
      <c r="L88" s="15">
        <v>1.5E-3</v>
      </c>
      <c r="M88" s="15">
        <v>1.47E-2</v>
      </c>
      <c r="N88" s="15">
        <v>5.5999999999999999E-3</v>
      </c>
      <c r="O88" s="14">
        <v>60039740</v>
      </c>
    </row>
    <row r="89" spans="1:15" x14ac:dyDescent="0.2">
      <c r="A89" s="13" t="s">
        <v>7</v>
      </c>
      <c r="B89" s="13" t="s">
        <v>560</v>
      </c>
      <c r="C89" s="13" t="s">
        <v>561</v>
      </c>
      <c r="D89" s="13" t="s">
        <v>237</v>
      </c>
      <c r="E89" s="14">
        <v>97320</v>
      </c>
      <c r="F89" s="13" t="s">
        <v>442</v>
      </c>
      <c r="G89" s="13" t="s">
        <v>54</v>
      </c>
      <c r="H89" s="16">
        <v>10959</v>
      </c>
      <c r="I89" s="16">
        <v>10892.9</v>
      </c>
      <c r="J89" s="16">
        <v>0</v>
      </c>
      <c r="K89" s="16">
        <v>4805.8100000000004</v>
      </c>
      <c r="L89" s="15">
        <v>2.3999999999999998E-3</v>
      </c>
      <c r="M89" s="15">
        <v>3.5000000000000001E-3</v>
      </c>
      <c r="N89" s="15">
        <v>1.2999999999999999E-3</v>
      </c>
      <c r="O89" s="14">
        <v>60196003</v>
      </c>
    </row>
    <row r="90" spans="1:15" x14ac:dyDescent="0.2">
      <c r="A90" s="13" t="s">
        <v>7</v>
      </c>
      <c r="B90" s="13" t="s">
        <v>562</v>
      </c>
      <c r="C90" s="13" t="s">
        <v>563</v>
      </c>
      <c r="D90" s="13" t="s">
        <v>237</v>
      </c>
      <c r="E90" s="14">
        <v>97260</v>
      </c>
      <c r="F90" s="13" t="s">
        <v>442</v>
      </c>
      <c r="G90" s="13" t="s">
        <v>48</v>
      </c>
      <c r="H90" s="16">
        <v>13000</v>
      </c>
      <c r="I90" s="16">
        <v>1739.5</v>
      </c>
      <c r="J90" s="16">
        <v>0</v>
      </c>
      <c r="K90" s="16">
        <v>778.13</v>
      </c>
      <c r="L90" s="15">
        <v>2.47E-2</v>
      </c>
      <c r="M90" s="15">
        <v>5.9999999999999995E-4</v>
      </c>
      <c r="N90" s="15">
        <v>2.0000000000000001E-4</v>
      </c>
      <c r="O90" s="14">
        <v>60393121</v>
      </c>
    </row>
    <row r="91" spans="1:15" x14ac:dyDescent="0.2">
      <c r="A91" s="13" t="s">
        <v>7</v>
      </c>
      <c r="B91" s="13" t="s">
        <v>564</v>
      </c>
      <c r="C91" s="13" t="s">
        <v>565</v>
      </c>
      <c r="D91" s="13" t="s">
        <v>237</v>
      </c>
      <c r="E91" s="14">
        <v>99343</v>
      </c>
      <c r="F91" s="13" t="s">
        <v>442</v>
      </c>
      <c r="G91" s="13" t="s">
        <v>48</v>
      </c>
      <c r="H91" s="16">
        <v>81000</v>
      </c>
      <c r="I91" s="16">
        <v>3020</v>
      </c>
      <c r="J91" s="16">
        <v>0</v>
      </c>
      <c r="K91" s="16">
        <v>8417.3700000000008</v>
      </c>
      <c r="L91" s="15">
        <v>5.0000000000000001E-4</v>
      </c>
      <c r="M91" s="15">
        <v>6.1999999999999998E-3</v>
      </c>
      <c r="N91" s="15">
        <v>2.3999999999999998E-3</v>
      </c>
      <c r="O91" s="14">
        <v>62006143</v>
      </c>
    </row>
    <row r="92" spans="1:15" x14ac:dyDescent="0.2">
      <c r="A92" s="13" t="s">
        <v>7</v>
      </c>
      <c r="B92" s="13" t="s">
        <v>566</v>
      </c>
      <c r="C92" s="13" t="s">
        <v>567</v>
      </c>
      <c r="D92" s="13" t="s">
        <v>322</v>
      </c>
      <c r="E92" s="14">
        <v>99343</v>
      </c>
      <c r="F92" s="13" t="s">
        <v>442</v>
      </c>
      <c r="G92" s="13" t="s">
        <v>48</v>
      </c>
      <c r="H92" s="16">
        <v>4000</v>
      </c>
      <c r="I92" s="16">
        <v>27750</v>
      </c>
      <c r="J92" s="16">
        <v>6.96</v>
      </c>
      <c r="K92" s="16">
        <v>3826.47</v>
      </c>
      <c r="L92" s="15">
        <v>0</v>
      </c>
      <c r="M92" s="15">
        <v>2.8E-3</v>
      </c>
      <c r="N92" s="15">
        <v>1.1000000000000001E-3</v>
      </c>
      <c r="O92" s="14">
        <v>102624</v>
      </c>
    </row>
    <row r="93" spans="1:15" x14ac:dyDescent="0.2">
      <c r="A93" s="13" t="s">
        <v>7</v>
      </c>
      <c r="B93" s="13" t="s">
        <v>568</v>
      </c>
      <c r="C93" s="13" t="s">
        <v>569</v>
      </c>
      <c r="D93" s="13" t="s">
        <v>322</v>
      </c>
      <c r="E93" s="14">
        <v>99390</v>
      </c>
      <c r="F93" s="13" t="s">
        <v>442</v>
      </c>
      <c r="G93" s="13" t="s">
        <v>48</v>
      </c>
      <c r="H93" s="16">
        <v>53235</v>
      </c>
      <c r="I93" s="16">
        <v>33489</v>
      </c>
      <c r="J93" s="16">
        <v>185.38</v>
      </c>
      <c r="K93" s="16">
        <v>61531.08</v>
      </c>
      <c r="L93" s="15">
        <v>1E-4</v>
      </c>
      <c r="M93" s="15">
        <v>4.5499999999999999E-2</v>
      </c>
      <c r="N93" s="15">
        <v>1.7299999999999999E-2</v>
      </c>
      <c r="O93" s="14">
        <v>1056787</v>
      </c>
    </row>
    <row r="94" spans="1:15" x14ac:dyDescent="0.2">
      <c r="A94" s="13" t="s">
        <v>7</v>
      </c>
      <c r="B94" s="13" t="s">
        <v>570</v>
      </c>
      <c r="C94" s="13" t="s">
        <v>571</v>
      </c>
      <c r="D94" s="13" t="s">
        <v>572</v>
      </c>
      <c r="E94" s="14">
        <v>99836</v>
      </c>
      <c r="F94" s="13" t="s">
        <v>442</v>
      </c>
      <c r="G94" s="13" t="s">
        <v>48</v>
      </c>
      <c r="H94" s="16">
        <v>108120.42</v>
      </c>
      <c r="I94" s="16">
        <v>1052.8</v>
      </c>
      <c r="J94" s="16">
        <v>0</v>
      </c>
      <c r="K94" s="16">
        <v>3916.86</v>
      </c>
      <c r="L94" s="15">
        <v>1.1999999999999999E-3</v>
      </c>
      <c r="M94" s="15">
        <v>2.8999999999999998E-3</v>
      </c>
      <c r="N94" s="15">
        <v>1.1000000000000001E-3</v>
      </c>
      <c r="O94" s="14">
        <v>77388122</v>
      </c>
    </row>
    <row r="95" spans="1:15" x14ac:dyDescent="0.2">
      <c r="A95" s="13" t="s">
        <v>7</v>
      </c>
      <c r="B95" s="13" t="s">
        <v>573</v>
      </c>
      <c r="C95" s="13" t="s">
        <v>574</v>
      </c>
      <c r="D95" s="13" t="s">
        <v>237</v>
      </c>
      <c r="E95" s="14">
        <v>97330</v>
      </c>
      <c r="F95" s="13" t="s">
        <v>442</v>
      </c>
      <c r="G95" s="13" t="s">
        <v>48</v>
      </c>
      <c r="H95" s="16">
        <v>137857</v>
      </c>
      <c r="I95" s="16">
        <v>4273</v>
      </c>
      <c r="J95" s="16">
        <v>0</v>
      </c>
      <c r="K95" s="16">
        <v>20269.66</v>
      </c>
      <c r="L95" s="15">
        <v>7.6E-3</v>
      </c>
      <c r="M95" s="15">
        <v>1.4999999999999999E-2</v>
      </c>
      <c r="N95" s="15">
        <v>5.7000000000000002E-3</v>
      </c>
      <c r="O95" s="14">
        <v>62016753</v>
      </c>
    </row>
    <row r="96" spans="1:15" x14ac:dyDescent="0.2">
      <c r="A96" s="13" t="s">
        <v>7</v>
      </c>
      <c r="B96" s="13" t="s">
        <v>575</v>
      </c>
      <c r="C96" s="13" t="s">
        <v>576</v>
      </c>
      <c r="D96" s="13" t="s">
        <v>322</v>
      </c>
      <c r="E96" s="14">
        <v>99939</v>
      </c>
      <c r="F96" s="13" t="s">
        <v>442</v>
      </c>
      <c r="G96" s="13" t="s">
        <v>48</v>
      </c>
      <c r="H96" s="16">
        <v>56254</v>
      </c>
      <c r="I96" s="16">
        <v>4900</v>
      </c>
      <c r="J96" s="16">
        <v>0</v>
      </c>
      <c r="K96" s="16">
        <v>9484.93</v>
      </c>
      <c r="L96" s="15">
        <v>1.8E-3</v>
      </c>
      <c r="M96" s="15">
        <v>7.0000000000000001E-3</v>
      </c>
      <c r="N96" s="15">
        <v>2.7000000000000001E-3</v>
      </c>
      <c r="O96" s="14">
        <v>60147469</v>
      </c>
    </row>
    <row r="97" spans="1:15" x14ac:dyDescent="0.2">
      <c r="A97" s="3" t="s">
        <v>7</v>
      </c>
      <c r="B97" s="3" t="s">
        <v>577</v>
      </c>
      <c r="C97" s="3" t="s">
        <v>7</v>
      </c>
      <c r="D97" s="3" t="s">
        <v>7</v>
      </c>
      <c r="E97" s="3" t="s">
        <v>7</v>
      </c>
      <c r="F97" s="3" t="s">
        <v>7</v>
      </c>
      <c r="G97" s="3" t="s">
        <v>7</v>
      </c>
      <c r="H97" s="12">
        <v>17665</v>
      </c>
      <c r="I97" s="3" t="s">
        <v>7</v>
      </c>
      <c r="J97" s="12">
        <v>0</v>
      </c>
      <c r="K97" s="12">
        <v>5099.88</v>
      </c>
      <c r="L97" s="3" t="s">
        <v>7</v>
      </c>
      <c r="M97" s="11">
        <v>3.8E-3</v>
      </c>
      <c r="N97" s="11">
        <v>1.4E-3</v>
      </c>
      <c r="O97" s="3" t="s">
        <v>7</v>
      </c>
    </row>
    <row r="98" spans="1:15" x14ac:dyDescent="0.2">
      <c r="A98" s="13" t="s">
        <v>7</v>
      </c>
      <c r="B98" s="13" t="s">
        <v>578</v>
      </c>
      <c r="C98" s="13" t="s">
        <v>579</v>
      </c>
      <c r="D98" s="13" t="s">
        <v>322</v>
      </c>
      <c r="E98" s="14">
        <v>99568</v>
      </c>
      <c r="F98" s="13" t="s">
        <v>460</v>
      </c>
      <c r="G98" s="13" t="s">
        <v>48</v>
      </c>
      <c r="H98" s="16">
        <v>17665</v>
      </c>
      <c r="I98" s="16">
        <v>8390</v>
      </c>
      <c r="J98" s="16">
        <v>0</v>
      </c>
      <c r="K98" s="16">
        <v>5099.88</v>
      </c>
      <c r="L98" s="15">
        <v>0</v>
      </c>
      <c r="M98" s="15">
        <v>3.8E-3</v>
      </c>
      <c r="N98" s="15">
        <v>1.4E-3</v>
      </c>
      <c r="O98" s="14">
        <v>60155264</v>
      </c>
    </row>
    <row r="99" spans="1:15" x14ac:dyDescent="0.2">
      <c r="A99" s="3" t="s">
        <v>7</v>
      </c>
      <c r="B99" s="3" t="s">
        <v>580</v>
      </c>
      <c r="C99" s="3" t="s">
        <v>7</v>
      </c>
      <c r="D99" s="3" t="s">
        <v>7</v>
      </c>
      <c r="E99" s="3" t="s">
        <v>7</v>
      </c>
      <c r="F99" s="3" t="s">
        <v>7</v>
      </c>
      <c r="G99" s="3" t="s">
        <v>7</v>
      </c>
      <c r="H99" s="12">
        <v>0</v>
      </c>
      <c r="I99" s="3" t="s">
        <v>7</v>
      </c>
      <c r="J99" s="12">
        <v>0</v>
      </c>
      <c r="K99" s="12">
        <v>0</v>
      </c>
      <c r="L99" s="3" t="s">
        <v>7</v>
      </c>
      <c r="M99" s="11">
        <v>0</v>
      </c>
      <c r="N99" s="11">
        <v>0</v>
      </c>
      <c r="O99" s="3" t="s">
        <v>7</v>
      </c>
    </row>
    <row r="100" spans="1:15" x14ac:dyDescent="0.2">
      <c r="A100" s="3" t="s">
        <v>7</v>
      </c>
      <c r="B100" s="3" t="s">
        <v>472</v>
      </c>
      <c r="C100" s="3" t="s">
        <v>7</v>
      </c>
      <c r="D100" s="3" t="s">
        <v>7</v>
      </c>
      <c r="E100" s="3" t="s">
        <v>7</v>
      </c>
      <c r="F100" s="3" t="s">
        <v>7</v>
      </c>
      <c r="G100" s="3" t="s">
        <v>7</v>
      </c>
      <c r="H100" s="12">
        <v>0</v>
      </c>
      <c r="I100" s="3" t="s">
        <v>7</v>
      </c>
      <c r="J100" s="12">
        <v>0</v>
      </c>
      <c r="K100" s="12">
        <v>0</v>
      </c>
      <c r="L100" s="3" t="s">
        <v>7</v>
      </c>
      <c r="M100" s="11">
        <v>0</v>
      </c>
      <c r="N100" s="11">
        <v>0</v>
      </c>
      <c r="O100" s="3" t="s">
        <v>7</v>
      </c>
    </row>
    <row r="101" spans="1:15" x14ac:dyDescent="0.2">
      <c r="A101" s="8" t="s">
        <v>7</v>
      </c>
      <c r="B101" s="8" t="s">
        <v>104</v>
      </c>
      <c r="C101" s="8" t="s">
        <v>7</v>
      </c>
      <c r="D101" s="8" t="s">
        <v>7</v>
      </c>
      <c r="E101" s="8" t="s">
        <v>7</v>
      </c>
      <c r="F101" s="8" t="s">
        <v>7</v>
      </c>
      <c r="G101" s="8" t="s">
        <v>7</v>
      </c>
      <c r="H101" s="8" t="s">
        <v>7</v>
      </c>
      <c r="I101" s="8" t="s">
        <v>7</v>
      </c>
      <c r="J101" s="8" t="s">
        <v>7</v>
      </c>
      <c r="K101" s="8" t="s">
        <v>7</v>
      </c>
      <c r="L101" s="8" t="s">
        <v>7</v>
      </c>
      <c r="M101" s="8" t="s">
        <v>7</v>
      </c>
      <c r="N101" s="8" t="s">
        <v>7</v>
      </c>
      <c r="O101" s="8" t="s">
        <v>7</v>
      </c>
    </row>
    <row r="102" spans="1:15" x14ac:dyDescent="0.2">
      <c r="A102" s="8" t="s">
        <v>7</v>
      </c>
      <c r="B102" s="8" t="s">
        <v>149</v>
      </c>
      <c r="C102" s="8" t="s">
        <v>7</v>
      </c>
      <c r="D102" s="8" t="s">
        <v>7</v>
      </c>
      <c r="E102" s="8" t="s">
        <v>7</v>
      </c>
      <c r="F102" s="8" t="s">
        <v>7</v>
      </c>
      <c r="G102" s="8" t="s">
        <v>7</v>
      </c>
      <c r="H102" s="8" t="s">
        <v>7</v>
      </c>
      <c r="I102" s="8" t="s">
        <v>7</v>
      </c>
      <c r="J102" s="8" t="s">
        <v>7</v>
      </c>
      <c r="K102" s="8" t="s">
        <v>7</v>
      </c>
      <c r="L102" s="8" t="s">
        <v>7</v>
      </c>
      <c r="M102" s="8" t="s">
        <v>7</v>
      </c>
      <c r="N102" s="8" t="s">
        <v>7</v>
      </c>
      <c r="O102" s="8" t="s">
        <v>7</v>
      </c>
    </row>
    <row r="103" spans="1:15" x14ac:dyDescent="0.2">
      <c r="A103" s="7" t="s">
        <v>60</v>
      </c>
      <c r="B103" s="7" t="s">
        <v>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rightToLeft="1" topLeftCell="A10" workbookViewId="0">
      <selection activeCell="F18" sqref="F18"/>
    </sheetView>
  </sheetViews>
  <sheetFormatPr defaultRowHeight="14.25" x14ac:dyDescent="0.2"/>
  <cols>
    <col min="1" max="1" width="2" customWidth="1"/>
    <col min="2" max="2" width="35" customWidth="1"/>
    <col min="3" max="3" width="15" customWidth="1"/>
    <col min="4" max="4" width="11" customWidth="1"/>
    <col min="5" max="5" width="12" customWidth="1"/>
    <col min="6" max="6" width="24" customWidth="1"/>
    <col min="7" max="7" width="7" customWidth="1"/>
    <col min="8" max="8" width="11" customWidth="1"/>
    <col min="9" max="9" width="14" customWidth="1"/>
    <col min="10" max="10" width="15" customWidth="1"/>
    <col min="11" max="11" width="12" customWidth="1"/>
    <col min="12" max="12" width="11" customWidth="1"/>
    <col min="13" max="13" width="22" customWidth="1"/>
    <col min="14" max="14" width="24" customWidth="1"/>
    <col min="15" max="15" width="23" customWidth="1"/>
    <col min="16" max="16" width="11" customWidth="1"/>
  </cols>
  <sheetData>
    <row r="1" spans="1:16" x14ac:dyDescent="0.2">
      <c r="B1" s="7" t="s">
        <v>0</v>
      </c>
      <c r="C1" s="7" t="s">
        <v>1</v>
      </c>
    </row>
    <row r="2" spans="1:16" x14ac:dyDescent="0.2">
      <c r="B2" s="7" t="s">
        <v>2</v>
      </c>
      <c r="C2" s="7" t="s">
        <v>3</v>
      </c>
    </row>
    <row r="3" spans="1:16" x14ac:dyDescent="0.2">
      <c r="B3" s="7" t="s">
        <v>4</v>
      </c>
      <c r="C3" s="7" t="s">
        <v>5</v>
      </c>
    </row>
    <row r="4" spans="1:16" x14ac:dyDescent="0.2">
      <c r="B4" s="7" t="s">
        <v>6</v>
      </c>
      <c r="C4" s="7">
        <v>408</v>
      </c>
    </row>
    <row r="5" spans="1:16" x14ac:dyDescent="0.2">
      <c r="B5" s="7" t="s">
        <v>7</v>
      </c>
      <c r="C5" s="7" t="s">
        <v>7</v>
      </c>
    </row>
    <row r="6" spans="1:16" x14ac:dyDescent="0.2">
      <c r="A6" s="1" t="s">
        <v>7</v>
      </c>
      <c r="B6" s="1" t="s">
        <v>105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</row>
    <row r="7" spans="1:16" x14ac:dyDescent="0.2">
      <c r="A7" s="1" t="s">
        <v>7</v>
      </c>
      <c r="B7" s="1" t="s">
        <v>581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</row>
    <row r="8" spans="1:16" x14ac:dyDescent="0.2">
      <c r="A8" s="1" t="s">
        <v>7</v>
      </c>
      <c r="B8" s="1" t="s">
        <v>63</v>
      </c>
      <c r="C8" s="1" t="s">
        <v>64</v>
      </c>
      <c r="D8" s="1" t="s">
        <v>107</v>
      </c>
      <c r="E8" s="1" t="s">
        <v>65</v>
      </c>
      <c r="F8" s="1" t="s">
        <v>152</v>
      </c>
      <c r="G8" s="1" t="s">
        <v>66</v>
      </c>
      <c r="H8" s="1" t="s">
        <v>67</v>
      </c>
      <c r="I8" s="1" t="s">
        <v>68</v>
      </c>
      <c r="J8" s="1" t="s">
        <v>110</v>
      </c>
      <c r="K8" s="1" t="s">
        <v>111</v>
      </c>
      <c r="L8" s="1" t="s">
        <v>71</v>
      </c>
      <c r="M8" s="1" t="s">
        <v>113</v>
      </c>
      <c r="N8" s="1" t="s">
        <v>72</v>
      </c>
      <c r="O8" s="1" t="s">
        <v>114</v>
      </c>
      <c r="P8" s="1" t="s">
        <v>7</v>
      </c>
    </row>
    <row r="9" spans="1:16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7</v>
      </c>
      <c r="J9" s="1" t="s">
        <v>116</v>
      </c>
      <c r="K9" s="1" t="s">
        <v>117</v>
      </c>
      <c r="L9" s="1" t="s">
        <v>11</v>
      </c>
      <c r="M9" s="1" t="s">
        <v>12</v>
      </c>
      <c r="N9" s="1" t="s">
        <v>12</v>
      </c>
      <c r="O9" s="1" t="s">
        <v>12</v>
      </c>
      <c r="P9" s="1" t="s">
        <v>7</v>
      </c>
    </row>
    <row r="10" spans="1:16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74</v>
      </c>
      <c r="F10" s="1" t="s">
        <v>75</v>
      </c>
      <c r="G10" s="1" t="s">
        <v>76</v>
      </c>
      <c r="H10" s="1" t="s">
        <v>77</v>
      </c>
      <c r="I10" s="1" t="s">
        <v>78</v>
      </c>
      <c r="J10" s="1" t="s">
        <v>79</v>
      </c>
      <c r="K10" s="1" t="s">
        <v>80</v>
      </c>
      <c r="L10" s="1" t="s">
        <v>81</v>
      </c>
      <c r="M10" s="1" t="s">
        <v>118</v>
      </c>
      <c r="N10" s="1" t="s">
        <v>119</v>
      </c>
      <c r="O10" s="1" t="s">
        <v>120</v>
      </c>
      <c r="P10" s="1" t="s">
        <v>7</v>
      </c>
    </row>
    <row r="11" spans="1:16" x14ac:dyDescent="0.2">
      <c r="A11" s="8" t="s">
        <v>7</v>
      </c>
      <c r="B11" s="8" t="s">
        <v>582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8" t="s">
        <v>7</v>
      </c>
      <c r="I11" s="8" t="s">
        <v>7</v>
      </c>
      <c r="J11" s="10">
        <v>10485404.390000001</v>
      </c>
      <c r="K11" s="8" t="s">
        <v>7</v>
      </c>
      <c r="L11" s="10">
        <v>59417.16</v>
      </c>
      <c r="M11" s="8" t="s">
        <v>7</v>
      </c>
      <c r="N11" s="9">
        <v>1</v>
      </c>
      <c r="O11" s="9">
        <v>1.67E-2</v>
      </c>
      <c r="P11" s="8" t="s">
        <v>7</v>
      </c>
    </row>
    <row r="12" spans="1:16" x14ac:dyDescent="0.2">
      <c r="A12" s="3" t="s">
        <v>7</v>
      </c>
      <c r="B12" s="3" t="s">
        <v>83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3" t="s">
        <v>7</v>
      </c>
      <c r="J12" s="12">
        <v>10447200</v>
      </c>
      <c r="K12" s="3" t="s">
        <v>7</v>
      </c>
      <c r="L12" s="12">
        <v>25448.05</v>
      </c>
      <c r="M12" s="3" t="s">
        <v>7</v>
      </c>
      <c r="N12" s="11">
        <v>0.42830000000000001</v>
      </c>
      <c r="O12" s="11">
        <v>7.1999999999999998E-3</v>
      </c>
      <c r="P12" s="3" t="s">
        <v>7</v>
      </c>
    </row>
    <row r="13" spans="1:16" x14ac:dyDescent="0.2">
      <c r="A13" s="3" t="s">
        <v>7</v>
      </c>
      <c r="B13" s="3" t="s">
        <v>583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3" t="s">
        <v>7</v>
      </c>
      <c r="J13" s="12">
        <v>0</v>
      </c>
      <c r="K13" s="3" t="s">
        <v>7</v>
      </c>
      <c r="L13" s="12">
        <v>0</v>
      </c>
      <c r="M13" s="3" t="s">
        <v>7</v>
      </c>
      <c r="N13" s="11">
        <v>0</v>
      </c>
      <c r="O13" s="11">
        <v>0</v>
      </c>
      <c r="P13" s="3" t="s">
        <v>7</v>
      </c>
    </row>
    <row r="14" spans="1:16" x14ac:dyDescent="0.2">
      <c r="A14" s="3" t="s">
        <v>7</v>
      </c>
      <c r="B14" s="3" t="s">
        <v>584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3" t="s">
        <v>7</v>
      </c>
      <c r="I14" s="3" t="s">
        <v>7</v>
      </c>
      <c r="J14" s="12">
        <v>0</v>
      </c>
      <c r="K14" s="3" t="s">
        <v>7</v>
      </c>
      <c r="L14" s="12">
        <v>0</v>
      </c>
      <c r="M14" s="3" t="s">
        <v>7</v>
      </c>
      <c r="N14" s="11">
        <v>0</v>
      </c>
      <c r="O14" s="11">
        <v>0</v>
      </c>
      <c r="P14" s="3" t="s">
        <v>7</v>
      </c>
    </row>
    <row r="15" spans="1:16" x14ac:dyDescent="0.2">
      <c r="A15" s="3" t="s">
        <v>7</v>
      </c>
      <c r="B15" s="3" t="s">
        <v>329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3" t="s">
        <v>7</v>
      </c>
      <c r="I15" s="3" t="s">
        <v>7</v>
      </c>
      <c r="J15" s="12">
        <v>0</v>
      </c>
      <c r="K15" s="3" t="s">
        <v>7</v>
      </c>
      <c r="L15" s="12">
        <v>0</v>
      </c>
      <c r="M15" s="3" t="s">
        <v>7</v>
      </c>
      <c r="N15" s="11">
        <v>0</v>
      </c>
      <c r="O15" s="11">
        <v>0</v>
      </c>
      <c r="P15" s="3" t="s">
        <v>7</v>
      </c>
    </row>
    <row r="16" spans="1:16" x14ac:dyDescent="0.2">
      <c r="A16" s="3" t="s">
        <v>7</v>
      </c>
      <c r="B16" s="3" t="s">
        <v>471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3" t="s">
        <v>7</v>
      </c>
      <c r="I16" s="3" t="s">
        <v>7</v>
      </c>
      <c r="J16" s="12">
        <v>10447200</v>
      </c>
      <c r="K16" s="3" t="s">
        <v>7</v>
      </c>
      <c r="L16" s="12">
        <v>25448.05</v>
      </c>
      <c r="M16" s="3" t="s">
        <v>7</v>
      </c>
      <c r="N16" s="11">
        <v>0.42830000000000001</v>
      </c>
      <c r="O16" s="11">
        <v>7.1999999999999998E-3</v>
      </c>
      <c r="P16" s="3" t="s">
        <v>7</v>
      </c>
    </row>
    <row r="17" spans="1:16" x14ac:dyDescent="0.2">
      <c r="A17" s="13" t="s">
        <v>7</v>
      </c>
      <c r="B17" s="13" t="s">
        <v>585</v>
      </c>
      <c r="C17" s="14">
        <v>1142538</v>
      </c>
      <c r="D17" s="13" t="s">
        <v>127</v>
      </c>
      <c r="E17" s="14">
        <v>520034356</v>
      </c>
      <c r="F17" s="13" t="s">
        <v>233</v>
      </c>
      <c r="G17" s="13" t="s">
        <v>148</v>
      </c>
      <c r="H17" s="13" t="s">
        <v>129</v>
      </c>
      <c r="I17" s="13" t="s">
        <v>88</v>
      </c>
      <c r="J17" s="16">
        <v>10000000</v>
      </c>
      <c r="K17" s="16">
        <v>81.8</v>
      </c>
      <c r="L17" s="16">
        <v>8180</v>
      </c>
      <c r="M17" s="15">
        <v>2.4799999999999999E-2</v>
      </c>
      <c r="N17" s="15">
        <v>0.13769999999999999</v>
      </c>
      <c r="O17" s="15">
        <v>2.3E-3</v>
      </c>
      <c r="P17" s="13" t="s">
        <v>7</v>
      </c>
    </row>
    <row r="18" spans="1:16" x14ac:dyDescent="0.2">
      <c r="A18" s="13" t="s">
        <v>7</v>
      </c>
      <c r="B18" s="13" t="s">
        <v>586</v>
      </c>
      <c r="C18" s="14">
        <v>1148337</v>
      </c>
      <c r="D18" s="13" t="s">
        <v>127</v>
      </c>
      <c r="E18" s="14">
        <v>513765339</v>
      </c>
      <c r="F18" s="13" t="s">
        <v>460</v>
      </c>
      <c r="G18" s="13" t="s">
        <v>148</v>
      </c>
      <c r="H18" s="13" t="s">
        <v>129</v>
      </c>
      <c r="I18" s="13" t="s">
        <v>88</v>
      </c>
      <c r="J18" s="16">
        <v>447200</v>
      </c>
      <c r="K18" s="16">
        <v>3861.37</v>
      </c>
      <c r="L18" s="16">
        <v>17268.05</v>
      </c>
      <c r="M18" s="15">
        <v>2.8000000000000001E-2</v>
      </c>
      <c r="N18" s="15">
        <v>0.29060000000000002</v>
      </c>
      <c r="O18" s="15">
        <v>4.8999999999999998E-3</v>
      </c>
      <c r="P18" s="13" t="s">
        <v>7</v>
      </c>
    </row>
    <row r="19" spans="1:16" x14ac:dyDescent="0.2">
      <c r="A19" s="3" t="s">
        <v>7</v>
      </c>
      <c r="B19" s="3" t="s">
        <v>102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7</v>
      </c>
      <c r="H19" s="3" t="s">
        <v>7</v>
      </c>
      <c r="I19" s="3" t="s">
        <v>7</v>
      </c>
      <c r="J19" s="12">
        <v>38204.39</v>
      </c>
      <c r="K19" s="3" t="s">
        <v>7</v>
      </c>
      <c r="L19" s="12">
        <v>33969.120000000003</v>
      </c>
      <c r="M19" s="3" t="s">
        <v>7</v>
      </c>
      <c r="N19" s="11">
        <v>0.57169999999999999</v>
      </c>
      <c r="O19" s="11">
        <v>9.5999999999999992E-3</v>
      </c>
      <c r="P19" s="3" t="s">
        <v>7</v>
      </c>
    </row>
    <row r="20" spans="1:16" x14ac:dyDescent="0.2">
      <c r="A20" s="3" t="s">
        <v>7</v>
      </c>
      <c r="B20" s="3" t="s">
        <v>583</v>
      </c>
      <c r="C20" s="3" t="s">
        <v>7</v>
      </c>
      <c r="D20" s="3" t="s">
        <v>7</v>
      </c>
      <c r="E20" s="3" t="s">
        <v>7</v>
      </c>
      <c r="F20" s="3" t="s">
        <v>7</v>
      </c>
      <c r="G20" s="3" t="s">
        <v>7</v>
      </c>
      <c r="H20" s="3" t="s">
        <v>7</v>
      </c>
      <c r="I20" s="3" t="s">
        <v>7</v>
      </c>
      <c r="J20" s="12">
        <v>20279.23</v>
      </c>
      <c r="K20" s="3" t="s">
        <v>7</v>
      </c>
      <c r="L20" s="12">
        <v>27614.85</v>
      </c>
      <c r="M20" s="3" t="s">
        <v>7</v>
      </c>
      <c r="N20" s="11">
        <v>0.46479999999999999</v>
      </c>
      <c r="O20" s="11">
        <v>7.7999999999999996E-3</v>
      </c>
      <c r="P20" s="3" t="s">
        <v>7</v>
      </c>
    </row>
    <row r="21" spans="1:16" x14ac:dyDescent="0.2">
      <c r="A21" s="13" t="s">
        <v>7</v>
      </c>
      <c r="B21" s="13" t="s">
        <v>587</v>
      </c>
      <c r="C21" s="13" t="s">
        <v>588</v>
      </c>
      <c r="D21" s="13" t="s">
        <v>237</v>
      </c>
      <c r="E21" s="14">
        <v>93164</v>
      </c>
      <c r="F21" s="13" t="s">
        <v>397</v>
      </c>
      <c r="G21" s="13" t="s">
        <v>589</v>
      </c>
      <c r="H21" s="13" t="s">
        <v>590</v>
      </c>
      <c r="I21" s="13" t="s">
        <v>48</v>
      </c>
      <c r="J21" s="16">
        <v>3395.96</v>
      </c>
      <c r="K21" s="16">
        <v>106179.86</v>
      </c>
      <c r="L21" s="16">
        <v>12407.65</v>
      </c>
      <c r="M21" s="15">
        <v>0</v>
      </c>
      <c r="N21" s="15">
        <v>0.20880000000000001</v>
      </c>
      <c r="O21" s="15">
        <v>3.5000000000000001E-3</v>
      </c>
      <c r="P21" s="14">
        <v>62008446</v>
      </c>
    </row>
    <row r="22" spans="1:16" x14ac:dyDescent="0.2">
      <c r="A22" s="13" t="s">
        <v>7</v>
      </c>
      <c r="B22" s="13" t="s">
        <v>591</v>
      </c>
      <c r="C22" s="13" t="s">
        <v>592</v>
      </c>
      <c r="D22" s="13" t="s">
        <v>237</v>
      </c>
      <c r="E22" s="14">
        <v>99298</v>
      </c>
      <c r="F22" s="13" t="s">
        <v>324</v>
      </c>
      <c r="G22" s="13" t="s">
        <v>593</v>
      </c>
      <c r="H22" s="13" t="s">
        <v>590</v>
      </c>
      <c r="I22" s="13" t="s">
        <v>48</v>
      </c>
      <c r="J22" s="16">
        <v>1436.34</v>
      </c>
      <c r="K22" s="16">
        <v>134605</v>
      </c>
      <c r="L22" s="16">
        <v>6652.78</v>
      </c>
      <c r="M22" s="15">
        <v>4.0000000000000002E-4</v>
      </c>
      <c r="N22" s="15">
        <v>0.112</v>
      </c>
      <c r="O22" s="15">
        <v>1.9E-3</v>
      </c>
      <c r="P22" s="14">
        <v>60319043</v>
      </c>
    </row>
    <row r="23" spans="1:16" x14ac:dyDescent="0.2">
      <c r="A23" s="13" t="s">
        <v>7</v>
      </c>
      <c r="B23" s="13" t="s">
        <v>594</v>
      </c>
      <c r="C23" s="13" t="s">
        <v>595</v>
      </c>
      <c r="D23" s="13" t="s">
        <v>237</v>
      </c>
      <c r="E23" s="14">
        <v>94166</v>
      </c>
      <c r="F23" s="13" t="s">
        <v>596</v>
      </c>
      <c r="G23" s="13" t="s">
        <v>597</v>
      </c>
      <c r="H23" s="13" t="s">
        <v>590</v>
      </c>
      <c r="I23" s="13" t="s">
        <v>48</v>
      </c>
      <c r="J23" s="16">
        <v>15446.93</v>
      </c>
      <c r="K23" s="16">
        <v>16094</v>
      </c>
      <c r="L23" s="16">
        <v>8554.42</v>
      </c>
      <c r="M23" s="15">
        <v>7.1999999999999998E-3</v>
      </c>
      <c r="N23" s="15">
        <v>0.14399999999999999</v>
      </c>
      <c r="O23" s="15">
        <v>2.3999999999999998E-3</v>
      </c>
      <c r="P23" s="14">
        <v>62002712</v>
      </c>
    </row>
    <row r="24" spans="1:16" x14ac:dyDescent="0.2">
      <c r="A24" s="3" t="s">
        <v>7</v>
      </c>
      <c r="B24" s="3" t="s">
        <v>584</v>
      </c>
      <c r="C24" s="3" t="s">
        <v>7</v>
      </c>
      <c r="D24" s="3" t="s">
        <v>7</v>
      </c>
      <c r="E24" s="3" t="s">
        <v>7</v>
      </c>
      <c r="F24" s="3" t="s">
        <v>7</v>
      </c>
      <c r="G24" s="3" t="s">
        <v>7</v>
      </c>
      <c r="H24" s="3" t="s">
        <v>7</v>
      </c>
      <c r="I24" s="3" t="s">
        <v>7</v>
      </c>
      <c r="J24" s="12">
        <v>0</v>
      </c>
      <c r="K24" s="3" t="s">
        <v>7</v>
      </c>
      <c r="L24" s="12">
        <v>0</v>
      </c>
      <c r="M24" s="3" t="s">
        <v>7</v>
      </c>
      <c r="N24" s="11">
        <v>0</v>
      </c>
      <c r="O24" s="11">
        <v>0</v>
      </c>
      <c r="P24" s="3" t="s">
        <v>7</v>
      </c>
    </row>
    <row r="25" spans="1:16" x14ac:dyDescent="0.2">
      <c r="A25" s="3" t="s">
        <v>7</v>
      </c>
      <c r="B25" s="3" t="s">
        <v>329</v>
      </c>
      <c r="C25" s="3" t="s">
        <v>7</v>
      </c>
      <c r="D25" s="3" t="s">
        <v>7</v>
      </c>
      <c r="E25" s="3" t="s">
        <v>7</v>
      </c>
      <c r="F25" s="3" t="s">
        <v>7</v>
      </c>
      <c r="G25" s="3" t="s">
        <v>7</v>
      </c>
      <c r="H25" s="3" t="s">
        <v>7</v>
      </c>
      <c r="I25" s="3" t="s">
        <v>7</v>
      </c>
      <c r="J25" s="12">
        <v>9540.16</v>
      </c>
      <c r="K25" s="3" t="s">
        <v>7</v>
      </c>
      <c r="L25" s="12">
        <v>2947.34</v>
      </c>
      <c r="M25" s="3" t="s">
        <v>7</v>
      </c>
      <c r="N25" s="11">
        <v>4.9599999999999998E-2</v>
      </c>
      <c r="O25" s="11">
        <v>8.0000000000000004E-4</v>
      </c>
      <c r="P25" s="3" t="s">
        <v>7</v>
      </c>
    </row>
    <row r="26" spans="1:16" x14ac:dyDescent="0.2">
      <c r="A26" s="13" t="s">
        <v>7</v>
      </c>
      <c r="B26" s="13" t="s">
        <v>598</v>
      </c>
      <c r="C26" s="13" t="s">
        <v>599</v>
      </c>
      <c r="D26" s="13" t="s">
        <v>237</v>
      </c>
      <c r="E26" s="14">
        <v>984423</v>
      </c>
      <c r="F26" s="13" t="s">
        <v>397</v>
      </c>
      <c r="G26" s="13" t="s">
        <v>148</v>
      </c>
      <c r="H26" s="13" t="s">
        <v>129</v>
      </c>
      <c r="I26" s="13" t="s">
        <v>54</v>
      </c>
      <c r="J26" s="16">
        <v>9540.16</v>
      </c>
      <c r="K26" s="16">
        <v>7674</v>
      </c>
      <c r="L26" s="16">
        <v>2947.34</v>
      </c>
      <c r="M26" s="15">
        <v>3.5000000000000001E-3</v>
      </c>
      <c r="N26" s="15">
        <v>4.9599999999999998E-2</v>
      </c>
      <c r="O26" s="15">
        <v>8.0000000000000004E-4</v>
      </c>
      <c r="P26" s="14">
        <v>62013891</v>
      </c>
    </row>
    <row r="27" spans="1:16" x14ac:dyDescent="0.2">
      <c r="A27" s="3" t="s">
        <v>7</v>
      </c>
      <c r="B27" s="3" t="s">
        <v>471</v>
      </c>
      <c r="C27" s="3" t="s">
        <v>7</v>
      </c>
      <c r="D27" s="3" t="s">
        <v>7</v>
      </c>
      <c r="E27" s="3" t="s">
        <v>7</v>
      </c>
      <c r="F27" s="3" t="s">
        <v>7</v>
      </c>
      <c r="G27" s="3" t="s">
        <v>7</v>
      </c>
      <c r="H27" s="3" t="s">
        <v>7</v>
      </c>
      <c r="I27" s="3" t="s">
        <v>7</v>
      </c>
      <c r="J27" s="12">
        <v>8385</v>
      </c>
      <c r="K27" s="3" t="s">
        <v>7</v>
      </c>
      <c r="L27" s="12">
        <v>3406.93</v>
      </c>
      <c r="M27" s="3" t="s">
        <v>7</v>
      </c>
      <c r="N27" s="11">
        <v>5.7299999999999997E-2</v>
      </c>
      <c r="O27" s="11">
        <v>1E-3</v>
      </c>
      <c r="P27" s="3" t="s">
        <v>7</v>
      </c>
    </row>
    <row r="28" spans="1:16" x14ac:dyDescent="0.2">
      <c r="A28" s="13" t="s">
        <v>7</v>
      </c>
      <c r="B28" s="13" t="s">
        <v>600</v>
      </c>
      <c r="C28" s="13" t="s">
        <v>601</v>
      </c>
      <c r="D28" s="13" t="s">
        <v>237</v>
      </c>
      <c r="E28" s="14">
        <v>98193</v>
      </c>
      <c r="F28" s="13" t="s">
        <v>397</v>
      </c>
      <c r="G28" s="13" t="s">
        <v>148</v>
      </c>
      <c r="H28" s="13" t="s">
        <v>129</v>
      </c>
      <c r="I28" s="13" t="s">
        <v>48</v>
      </c>
      <c r="J28" s="16">
        <v>8385</v>
      </c>
      <c r="K28" s="16">
        <v>11807.98</v>
      </c>
      <c r="L28" s="16">
        <v>3406.93</v>
      </c>
      <c r="M28" s="15">
        <v>4.0000000000000002E-4</v>
      </c>
      <c r="N28" s="15">
        <v>5.7299999999999997E-2</v>
      </c>
      <c r="O28" s="15">
        <v>1E-3</v>
      </c>
      <c r="P28" s="14">
        <v>62012323</v>
      </c>
    </row>
    <row r="29" spans="1:16" x14ac:dyDescent="0.2">
      <c r="A29" s="8" t="s">
        <v>7</v>
      </c>
      <c r="B29" s="8" t="s">
        <v>104</v>
      </c>
      <c r="C29" s="8" t="s">
        <v>7</v>
      </c>
      <c r="D29" s="8" t="s">
        <v>7</v>
      </c>
      <c r="E29" s="8" t="s">
        <v>7</v>
      </c>
      <c r="F29" s="8" t="s">
        <v>7</v>
      </c>
      <c r="G29" s="8" t="s">
        <v>7</v>
      </c>
      <c r="H29" s="8" t="s">
        <v>7</v>
      </c>
      <c r="I29" s="8" t="s">
        <v>7</v>
      </c>
      <c r="J29" s="8" t="s">
        <v>7</v>
      </c>
      <c r="K29" s="8" t="s">
        <v>7</v>
      </c>
      <c r="L29" s="8" t="s">
        <v>7</v>
      </c>
      <c r="M29" s="8" t="s">
        <v>7</v>
      </c>
      <c r="N29" s="8" t="s">
        <v>7</v>
      </c>
      <c r="O29" s="8" t="s">
        <v>7</v>
      </c>
      <c r="P29" s="8" t="s">
        <v>7</v>
      </c>
    </row>
    <row r="30" spans="1:16" x14ac:dyDescent="0.2">
      <c r="A30" s="8" t="s">
        <v>7</v>
      </c>
      <c r="B30" s="8" t="s">
        <v>149</v>
      </c>
      <c r="C30" s="8" t="s">
        <v>7</v>
      </c>
      <c r="D30" s="8" t="s">
        <v>7</v>
      </c>
      <c r="E30" s="8" t="s">
        <v>7</v>
      </c>
      <c r="F30" s="8" t="s">
        <v>7</v>
      </c>
      <c r="G30" s="8" t="s">
        <v>7</v>
      </c>
      <c r="H30" s="8" t="s">
        <v>7</v>
      </c>
      <c r="I30" s="8" t="s">
        <v>7</v>
      </c>
      <c r="J30" s="8" t="s">
        <v>7</v>
      </c>
      <c r="K30" s="8" t="s">
        <v>7</v>
      </c>
      <c r="L30" s="8" t="s">
        <v>7</v>
      </c>
      <c r="M30" s="8" t="s">
        <v>7</v>
      </c>
      <c r="N30" s="8" t="s">
        <v>7</v>
      </c>
      <c r="O30" s="8" t="s">
        <v>7</v>
      </c>
      <c r="P30" s="8" t="s">
        <v>7</v>
      </c>
    </row>
    <row r="31" spans="1:16" x14ac:dyDescent="0.2">
      <c r="A31" s="7" t="s">
        <v>60</v>
      </c>
      <c r="B31" s="7" t="s">
        <v>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5" width="16" customWidth="1"/>
    <col min="6" max="6" width="10" customWidth="1"/>
    <col min="7" max="7" width="11" customWidth="1"/>
    <col min="8" max="8" width="8" customWidth="1"/>
    <col min="9" max="9" width="10" customWidth="1"/>
    <col min="10" max="10" width="22" customWidth="1"/>
    <col min="11" max="11" width="24" customWidth="1"/>
    <col min="12" max="12" width="23" customWidth="1"/>
    <col min="13" max="13" width="2" customWidth="1"/>
  </cols>
  <sheetData>
    <row r="1" spans="1:13" x14ac:dyDescent="0.2">
      <c r="B1" s="7" t="s">
        <v>0</v>
      </c>
      <c r="C1" s="7" t="s">
        <v>1</v>
      </c>
    </row>
    <row r="2" spans="1:13" x14ac:dyDescent="0.2">
      <c r="B2" s="7" t="s">
        <v>2</v>
      </c>
      <c r="C2" s="7" t="s">
        <v>3</v>
      </c>
    </row>
    <row r="3" spans="1:13" x14ac:dyDescent="0.2">
      <c r="B3" s="7" t="s">
        <v>4</v>
      </c>
      <c r="C3" s="7" t="s">
        <v>5</v>
      </c>
    </row>
    <row r="4" spans="1:13" x14ac:dyDescent="0.2">
      <c r="B4" s="7" t="s">
        <v>6</v>
      </c>
      <c r="C4" s="7">
        <v>408</v>
      </c>
    </row>
    <row r="5" spans="1:13" x14ac:dyDescent="0.2">
      <c r="B5" s="7" t="s">
        <v>7</v>
      </c>
      <c r="C5" s="7" t="s">
        <v>7</v>
      </c>
    </row>
    <row r="6" spans="1:13" x14ac:dyDescent="0.2">
      <c r="A6" s="1" t="s">
        <v>7</v>
      </c>
      <c r="B6" s="1" t="s">
        <v>105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</row>
    <row r="7" spans="1:13" x14ac:dyDescent="0.2">
      <c r="A7" s="1" t="s">
        <v>7</v>
      </c>
      <c r="B7" s="1" t="s">
        <v>602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</row>
    <row r="8" spans="1:13" x14ac:dyDescent="0.2">
      <c r="A8" s="1" t="s">
        <v>7</v>
      </c>
      <c r="B8" s="1" t="s">
        <v>63</v>
      </c>
      <c r="C8" s="1" t="s">
        <v>64</v>
      </c>
      <c r="D8" s="1" t="s">
        <v>107</v>
      </c>
      <c r="E8" s="1" t="s">
        <v>152</v>
      </c>
      <c r="F8" s="1" t="s">
        <v>68</v>
      </c>
      <c r="G8" s="1" t="s">
        <v>110</v>
      </c>
      <c r="H8" s="1" t="s">
        <v>111</v>
      </c>
      <c r="I8" s="1" t="s">
        <v>71</v>
      </c>
      <c r="J8" s="1" t="s">
        <v>113</v>
      </c>
      <c r="K8" s="1" t="s">
        <v>72</v>
      </c>
      <c r="L8" s="1" t="s">
        <v>114</v>
      </c>
      <c r="M8" s="1" t="s">
        <v>7</v>
      </c>
    </row>
    <row r="9" spans="1:13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116</v>
      </c>
      <c r="H9" s="1" t="s">
        <v>117</v>
      </c>
      <c r="I9" s="1" t="s">
        <v>11</v>
      </c>
      <c r="J9" s="1" t="s">
        <v>12</v>
      </c>
      <c r="K9" s="1" t="s">
        <v>12</v>
      </c>
      <c r="L9" s="1" t="s">
        <v>12</v>
      </c>
      <c r="M9" s="1" t="s">
        <v>7</v>
      </c>
    </row>
    <row r="10" spans="1:13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74</v>
      </c>
      <c r="F10" s="1" t="s">
        <v>75</v>
      </c>
      <c r="G10" s="1" t="s">
        <v>76</v>
      </c>
      <c r="H10" s="1" t="s">
        <v>77</v>
      </c>
      <c r="I10" s="1" t="s">
        <v>78</v>
      </c>
      <c r="J10" s="1" t="s">
        <v>79</v>
      </c>
      <c r="K10" s="1" t="s">
        <v>80</v>
      </c>
      <c r="L10" s="1" t="s">
        <v>81</v>
      </c>
      <c r="M10" s="1" t="s">
        <v>7</v>
      </c>
    </row>
    <row r="11" spans="1:13" x14ac:dyDescent="0.2">
      <c r="A11" s="8" t="s">
        <v>7</v>
      </c>
      <c r="B11" s="8" t="s">
        <v>603</v>
      </c>
      <c r="C11" s="8" t="s">
        <v>7</v>
      </c>
      <c r="D11" s="8" t="s">
        <v>7</v>
      </c>
      <c r="E11" s="8" t="s">
        <v>7</v>
      </c>
      <c r="F11" s="8" t="s">
        <v>7</v>
      </c>
      <c r="G11" s="10">
        <v>91590</v>
      </c>
      <c r="H11" s="8" t="s">
        <v>7</v>
      </c>
      <c r="I11" s="10">
        <v>293.61</v>
      </c>
      <c r="J11" s="8" t="s">
        <v>7</v>
      </c>
      <c r="K11" s="9">
        <v>1</v>
      </c>
      <c r="L11" s="9">
        <v>1E-4</v>
      </c>
      <c r="M11" s="8" t="s">
        <v>7</v>
      </c>
    </row>
    <row r="12" spans="1:13" x14ac:dyDescent="0.2">
      <c r="A12" s="3" t="s">
        <v>7</v>
      </c>
      <c r="B12" s="3" t="s">
        <v>604</v>
      </c>
      <c r="C12" s="3" t="s">
        <v>7</v>
      </c>
      <c r="D12" s="3" t="s">
        <v>7</v>
      </c>
      <c r="E12" s="3" t="s">
        <v>7</v>
      </c>
      <c r="F12" s="3" t="s">
        <v>7</v>
      </c>
      <c r="G12" s="12">
        <v>91590</v>
      </c>
      <c r="H12" s="3" t="s">
        <v>7</v>
      </c>
      <c r="I12" s="12">
        <v>293.61</v>
      </c>
      <c r="J12" s="3" t="s">
        <v>7</v>
      </c>
      <c r="K12" s="11">
        <v>1</v>
      </c>
      <c r="L12" s="11">
        <v>1E-4</v>
      </c>
      <c r="M12" s="3" t="s">
        <v>7</v>
      </c>
    </row>
    <row r="13" spans="1:13" x14ac:dyDescent="0.2">
      <c r="A13" s="3" t="s">
        <v>7</v>
      </c>
      <c r="B13" s="3" t="s">
        <v>605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3" t="s">
        <v>7</v>
      </c>
      <c r="J13" s="3" t="s">
        <v>7</v>
      </c>
      <c r="K13" s="3" t="s">
        <v>7</v>
      </c>
      <c r="L13" s="3" t="s">
        <v>7</v>
      </c>
      <c r="M13" s="3" t="s">
        <v>7</v>
      </c>
    </row>
    <row r="14" spans="1:13" x14ac:dyDescent="0.2">
      <c r="A14" s="13" t="s">
        <v>7</v>
      </c>
      <c r="B14" s="13" t="s">
        <v>606</v>
      </c>
      <c r="C14" s="14">
        <v>1158922</v>
      </c>
      <c r="D14" s="13" t="s">
        <v>127</v>
      </c>
      <c r="E14" s="13" t="s">
        <v>334</v>
      </c>
      <c r="F14" s="13" t="s">
        <v>88</v>
      </c>
      <c r="G14" s="16">
        <v>54840</v>
      </c>
      <c r="H14" s="16">
        <v>510.8</v>
      </c>
      <c r="I14" s="16">
        <v>280.12</v>
      </c>
      <c r="J14" s="15">
        <v>6.4999999999999997E-3</v>
      </c>
      <c r="K14" s="15">
        <v>0.95409999999999995</v>
      </c>
      <c r="L14" s="15">
        <v>1E-4</v>
      </c>
      <c r="M14" s="13" t="s">
        <v>7</v>
      </c>
    </row>
    <row r="15" spans="1:13" x14ac:dyDescent="0.2">
      <c r="A15" s="13" t="s">
        <v>7</v>
      </c>
      <c r="B15" s="13" t="s">
        <v>607</v>
      </c>
      <c r="C15" s="14">
        <v>1156454</v>
      </c>
      <c r="D15" s="13" t="s">
        <v>127</v>
      </c>
      <c r="E15" s="13" t="s">
        <v>262</v>
      </c>
      <c r="F15" s="13" t="s">
        <v>88</v>
      </c>
      <c r="G15" s="16">
        <v>36750</v>
      </c>
      <c r="H15" s="16">
        <v>36.700000000000003</v>
      </c>
      <c r="I15" s="16">
        <v>13.49</v>
      </c>
      <c r="J15" s="15">
        <v>2.5600000000000001E-2</v>
      </c>
      <c r="K15" s="15">
        <v>4.5900000000000003E-2</v>
      </c>
      <c r="L15" s="15">
        <v>0</v>
      </c>
      <c r="M15" s="13" t="s">
        <v>7</v>
      </c>
    </row>
    <row r="16" spans="1:13" x14ac:dyDescent="0.2">
      <c r="A16" s="3" t="s">
        <v>7</v>
      </c>
      <c r="B16" s="3" t="s">
        <v>161</v>
      </c>
      <c r="C16" s="3" t="s">
        <v>7</v>
      </c>
      <c r="D16" s="3" t="s">
        <v>7</v>
      </c>
      <c r="E16" s="3" t="s">
        <v>7</v>
      </c>
      <c r="F16" s="3" t="s">
        <v>7</v>
      </c>
      <c r="G16" s="12">
        <v>0</v>
      </c>
      <c r="H16" s="3" t="s">
        <v>7</v>
      </c>
      <c r="I16" s="12">
        <v>0</v>
      </c>
      <c r="J16" s="3" t="s">
        <v>7</v>
      </c>
      <c r="K16" s="11">
        <v>0</v>
      </c>
      <c r="L16" s="11">
        <v>0</v>
      </c>
      <c r="M16" s="3" t="s">
        <v>7</v>
      </c>
    </row>
    <row r="17" spans="1:13" x14ac:dyDescent="0.2">
      <c r="A17" s="3" t="s">
        <v>7</v>
      </c>
      <c r="B17" s="3" t="s">
        <v>608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3" t="s">
        <v>7</v>
      </c>
      <c r="J17" s="3" t="s">
        <v>7</v>
      </c>
      <c r="K17" s="3" t="s">
        <v>7</v>
      </c>
      <c r="L17" s="3" t="s">
        <v>7</v>
      </c>
      <c r="M17" s="3" t="s">
        <v>7</v>
      </c>
    </row>
    <row r="18" spans="1:13" x14ac:dyDescent="0.2">
      <c r="A18" s="8" t="s">
        <v>7</v>
      </c>
      <c r="B18" s="8" t="s">
        <v>104</v>
      </c>
      <c r="C18" s="8" t="s">
        <v>7</v>
      </c>
      <c r="D18" s="8" t="s">
        <v>7</v>
      </c>
      <c r="E18" s="8" t="s">
        <v>7</v>
      </c>
      <c r="F18" s="8" t="s">
        <v>7</v>
      </c>
      <c r="G18" s="8" t="s">
        <v>7</v>
      </c>
      <c r="H18" s="8" t="s">
        <v>7</v>
      </c>
      <c r="I18" s="8" t="s">
        <v>7</v>
      </c>
      <c r="J18" s="8" t="s">
        <v>7</v>
      </c>
      <c r="K18" s="8" t="s">
        <v>7</v>
      </c>
      <c r="L18" s="8" t="s">
        <v>7</v>
      </c>
      <c r="M18" s="8" t="s">
        <v>7</v>
      </c>
    </row>
    <row r="19" spans="1:13" x14ac:dyDescent="0.2">
      <c r="A19" s="8" t="s">
        <v>7</v>
      </c>
      <c r="B19" s="8" t="s">
        <v>149</v>
      </c>
      <c r="C19" s="8" t="s">
        <v>7</v>
      </c>
      <c r="D19" s="8" t="s">
        <v>7</v>
      </c>
      <c r="E19" s="8" t="s">
        <v>7</v>
      </c>
      <c r="F19" s="8" t="s">
        <v>7</v>
      </c>
      <c r="G19" s="8" t="s">
        <v>7</v>
      </c>
      <c r="H19" s="8" t="s">
        <v>7</v>
      </c>
      <c r="I19" s="8" t="s">
        <v>7</v>
      </c>
      <c r="J19" s="8" t="s">
        <v>7</v>
      </c>
      <c r="K19" s="8" t="s">
        <v>7</v>
      </c>
      <c r="L19" s="8" t="s">
        <v>7</v>
      </c>
      <c r="M19" s="8" t="s">
        <v>7</v>
      </c>
    </row>
    <row r="20" spans="1:13" x14ac:dyDescent="0.2">
      <c r="A20" s="7" t="s">
        <v>60</v>
      </c>
      <c r="B20" s="7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rightToLeft="1" workbookViewId="0">
      <selection activeCell="E7" sqref="E7"/>
    </sheetView>
  </sheetViews>
  <sheetFormatPr defaultRowHeight="14.25" x14ac:dyDescent="0.2"/>
  <cols>
    <col min="1" max="1" width="2" customWidth="1"/>
    <col min="2" max="2" width="34" customWidth="1"/>
    <col min="3" max="4" width="11" customWidth="1"/>
    <col min="5" max="5" width="10" customWidth="1"/>
    <col min="6" max="6" width="14" customWidth="1"/>
    <col min="7" max="7" width="11" customWidth="1"/>
    <col min="8" max="8" width="12" customWidth="1"/>
    <col min="9" max="9" width="11" customWidth="1"/>
    <col min="10" max="10" width="22" customWidth="1"/>
    <col min="11" max="11" width="24" customWidth="1"/>
    <col min="12" max="12" width="23" customWidth="1"/>
    <col min="13" max="13" width="2" customWidth="1"/>
  </cols>
  <sheetData>
    <row r="1" spans="1:13" x14ac:dyDescent="0.2">
      <c r="B1" s="7" t="s">
        <v>0</v>
      </c>
      <c r="C1" s="7" t="s">
        <v>1</v>
      </c>
    </row>
    <row r="2" spans="1:13" x14ac:dyDescent="0.2">
      <c r="B2" s="7" t="s">
        <v>2</v>
      </c>
      <c r="C2" s="7" t="s">
        <v>3</v>
      </c>
    </row>
    <row r="3" spans="1:13" x14ac:dyDescent="0.2">
      <c r="B3" s="7" t="s">
        <v>4</v>
      </c>
      <c r="C3" s="7" t="s">
        <v>5</v>
      </c>
    </row>
    <row r="4" spans="1:13" x14ac:dyDescent="0.2">
      <c r="B4" s="7" t="s">
        <v>6</v>
      </c>
      <c r="C4" s="7">
        <v>408</v>
      </c>
    </row>
    <row r="5" spans="1:13" x14ac:dyDescent="0.2">
      <c r="B5" s="7" t="s">
        <v>7</v>
      </c>
      <c r="C5" s="7" t="s">
        <v>7</v>
      </c>
    </row>
    <row r="6" spans="1:13" x14ac:dyDescent="0.2">
      <c r="A6" s="1" t="s">
        <v>7</v>
      </c>
      <c r="B6" s="1" t="s">
        <v>105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</row>
    <row r="7" spans="1:13" x14ac:dyDescent="0.2">
      <c r="A7" s="1" t="s">
        <v>7</v>
      </c>
      <c r="B7" s="1" t="s">
        <v>609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</row>
    <row r="8" spans="1:13" x14ac:dyDescent="0.2">
      <c r="A8" s="1" t="s">
        <v>7</v>
      </c>
      <c r="B8" s="1" t="s">
        <v>63</v>
      </c>
      <c r="C8" s="1" t="s">
        <v>64</v>
      </c>
      <c r="D8" s="1" t="s">
        <v>107</v>
      </c>
      <c r="E8" s="1" t="s">
        <v>152</v>
      </c>
      <c r="F8" s="1" t="s">
        <v>68</v>
      </c>
      <c r="G8" s="1" t="s">
        <v>110</v>
      </c>
      <c r="H8" s="1" t="s">
        <v>111</v>
      </c>
      <c r="I8" s="1" t="s">
        <v>71</v>
      </c>
      <c r="J8" s="1" t="s">
        <v>113</v>
      </c>
      <c r="K8" s="1" t="s">
        <v>72</v>
      </c>
      <c r="L8" s="1" t="s">
        <v>114</v>
      </c>
      <c r="M8" s="1" t="s">
        <v>7</v>
      </c>
    </row>
    <row r="9" spans="1:13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164</v>
      </c>
      <c r="H9" s="1" t="s">
        <v>7</v>
      </c>
      <c r="I9" s="1" t="s">
        <v>11</v>
      </c>
      <c r="J9" s="1" t="s">
        <v>12</v>
      </c>
      <c r="K9" s="1" t="s">
        <v>12</v>
      </c>
      <c r="L9" s="1" t="s">
        <v>12</v>
      </c>
      <c r="M9" s="1" t="s">
        <v>7</v>
      </c>
    </row>
    <row r="10" spans="1:13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74</v>
      </c>
      <c r="F10" s="1" t="s">
        <v>75</v>
      </c>
      <c r="G10" s="1" t="s">
        <v>76</v>
      </c>
      <c r="H10" s="1" t="s">
        <v>77</v>
      </c>
      <c r="I10" s="1" t="s">
        <v>78</v>
      </c>
      <c r="J10" s="1" t="s">
        <v>79</v>
      </c>
      <c r="K10" s="1" t="s">
        <v>80</v>
      </c>
      <c r="L10" s="1" t="s">
        <v>81</v>
      </c>
      <c r="M10" s="1" t="s">
        <v>7</v>
      </c>
    </row>
    <row r="11" spans="1:13" x14ac:dyDescent="0.2">
      <c r="A11" s="8" t="s">
        <v>7</v>
      </c>
      <c r="B11" s="8" t="s">
        <v>610</v>
      </c>
      <c r="C11" s="8" t="s">
        <v>7</v>
      </c>
      <c r="D11" s="8" t="s">
        <v>7</v>
      </c>
      <c r="E11" s="8" t="s">
        <v>7</v>
      </c>
      <c r="F11" s="8" t="s">
        <v>7</v>
      </c>
      <c r="G11" s="10">
        <v>200</v>
      </c>
      <c r="H11" s="8" t="s">
        <v>7</v>
      </c>
      <c r="I11" s="10">
        <v>-97.86</v>
      </c>
      <c r="J11" s="8" t="s">
        <v>7</v>
      </c>
      <c r="K11" s="9">
        <v>1</v>
      </c>
      <c r="L11" s="9">
        <v>0</v>
      </c>
      <c r="M11" s="8" t="s">
        <v>7</v>
      </c>
    </row>
    <row r="12" spans="1:13" x14ac:dyDescent="0.2">
      <c r="A12" s="3" t="s">
        <v>7</v>
      </c>
      <c r="B12" s="3" t="s">
        <v>83</v>
      </c>
      <c r="C12" s="3" t="s">
        <v>7</v>
      </c>
      <c r="D12" s="3" t="s">
        <v>7</v>
      </c>
      <c r="E12" s="3" t="s">
        <v>7</v>
      </c>
      <c r="F12" s="3" t="s">
        <v>7</v>
      </c>
      <c r="G12" s="12">
        <v>0</v>
      </c>
      <c r="H12" s="3" t="s">
        <v>7</v>
      </c>
      <c r="I12" s="12">
        <v>-1779.82</v>
      </c>
      <c r="J12" s="3" t="s">
        <v>7</v>
      </c>
      <c r="K12" s="11">
        <v>18.186699999999998</v>
      </c>
      <c r="L12" s="11">
        <v>-5.0000000000000001E-4</v>
      </c>
      <c r="M12" s="3" t="s">
        <v>7</v>
      </c>
    </row>
    <row r="13" spans="1:13" x14ac:dyDescent="0.2">
      <c r="A13" s="3" t="s">
        <v>7</v>
      </c>
      <c r="B13" s="3" t="s">
        <v>611</v>
      </c>
      <c r="C13" s="3" t="s">
        <v>7</v>
      </c>
      <c r="D13" s="3" t="s">
        <v>7</v>
      </c>
      <c r="E13" s="3" t="s">
        <v>7</v>
      </c>
      <c r="F13" s="3" t="s">
        <v>7</v>
      </c>
      <c r="G13" s="12">
        <v>0</v>
      </c>
      <c r="H13" s="3" t="s">
        <v>7</v>
      </c>
      <c r="I13" s="12">
        <v>-1779.82</v>
      </c>
      <c r="J13" s="3" t="s">
        <v>7</v>
      </c>
      <c r="K13" s="11">
        <v>18.186699999999998</v>
      </c>
      <c r="L13" s="11">
        <v>-5.0000000000000001E-4</v>
      </c>
      <c r="M13" s="3" t="s">
        <v>7</v>
      </c>
    </row>
    <row r="14" spans="1:13" x14ac:dyDescent="0.2">
      <c r="A14" s="13" t="s">
        <v>7</v>
      </c>
      <c r="B14" s="13" t="s">
        <v>612</v>
      </c>
      <c r="C14" s="14">
        <v>83243220</v>
      </c>
      <c r="D14" s="13" t="s">
        <v>127</v>
      </c>
      <c r="E14" s="13" t="s">
        <v>957</v>
      </c>
      <c r="F14" s="13" t="s">
        <v>88</v>
      </c>
      <c r="G14" s="16">
        <v>475</v>
      </c>
      <c r="H14" s="16">
        <v>340100</v>
      </c>
      <c r="I14" s="16">
        <v>1615.47</v>
      </c>
      <c r="J14" s="15">
        <v>0</v>
      </c>
      <c r="K14" s="15">
        <v>-16.507300000000001</v>
      </c>
      <c r="L14" s="15">
        <v>5.0000000000000001E-4</v>
      </c>
      <c r="M14" s="13" t="s">
        <v>7</v>
      </c>
    </row>
    <row r="15" spans="1:13" x14ac:dyDescent="0.2">
      <c r="A15" s="13" t="s">
        <v>7</v>
      </c>
      <c r="B15" s="13" t="s">
        <v>613</v>
      </c>
      <c r="C15" s="14">
        <v>83243774</v>
      </c>
      <c r="D15" s="13" t="s">
        <v>127</v>
      </c>
      <c r="E15" s="13" t="s">
        <v>957</v>
      </c>
      <c r="F15" s="13" t="s">
        <v>88</v>
      </c>
      <c r="G15" s="16">
        <v>-475</v>
      </c>
      <c r="H15" s="16">
        <v>261400</v>
      </c>
      <c r="I15" s="16">
        <v>-1241.6500000000001</v>
      </c>
      <c r="J15" s="15">
        <v>0</v>
      </c>
      <c r="K15" s="15">
        <v>12.6875</v>
      </c>
      <c r="L15" s="15">
        <v>-2.9999999999999997E-4</v>
      </c>
      <c r="M15" s="13" t="s">
        <v>7</v>
      </c>
    </row>
    <row r="16" spans="1:13" x14ac:dyDescent="0.2">
      <c r="A16" s="13" t="s">
        <v>7</v>
      </c>
      <c r="B16" s="13" t="s">
        <v>614</v>
      </c>
      <c r="C16" s="14">
        <v>83171652</v>
      </c>
      <c r="D16" s="13" t="s">
        <v>127</v>
      </c>
      <c r="E16" s="13" t="s">
        <v>957</v>
      </c>
      <c r="F16" s="13" t="s">
        <v>88</v>
      </c>
      <c r="G16" s="16">
        <v>-475</v>
      </c>
      <c r="H16" s="16">
        <v>455100</v>
      </c>
      <c r="I16" s="16">
        <v>-2161.7199999999998</v>
      </c>
      <c r="J16" s="15">
        <v>0</v>
      </c>
      <c r="K16" s="15">
        <v>22.088999999999999</v>
      </c>
      <c r="L16" s="15">
        <v>-5.9999999999999995E-4</v>
      </c>
      <c r="M16" s="13" t="s">
        <v>7</v>
      </c>
    </row>
    <row r="17" spans="1:13" x14ac:dyDescent="0.2">
      <c r="A17" s="13" t="s">
        <v>7</v>
      </c>
      <c r="B17" s="13" t="s">
        <v>615</v>
      </c>
      <c r="C17" s="14">
        <v>83172239</v>
      </c>
      <c r="D17" s="13" t="s">
        <v>127</v>
      </c>
      <c r="E17" s="13" t="s">
        <v>957</v>
      </c>
      <c r="F17" s="13" t="s">
        <v>88</v>
      </c>
      <c r="G17" s="16">
        <v>475</v>
      </c>
      <c r="H17" s="16">
        <v>1700</v>
      </c>
      <c r="I17" s="16">
        <v>8.07</v>
      </c>
      <c r="J17" s="15">
        <v>0</v>
      </c>
      <c r="K17" s="15">
        <v>-8.2500000000000004E-2</v>
      </c>
      <c r="L17" s="15">
        <v>0</v>
      </c>
      <c r="M17" s="13" t="s">
        <v>7</v>
      </c>
    </row>
    <row r="18" spans="1:13" x14ac:dyDescent="0.2">
      <c r="A18" s="3" t="s">
        <v>7</v>
      </c>
      <c r="B18" s="3" t="s">
        <v>616</v>
      </c>
      <c r="C18" s="3" t="s">
        <v>7</v>
      </c>
      <c r="D18" s="3" t="s">
        <v>7</v>
      </c>
      <c r="E18" s="3" t="s">
        <v>7</v>
      </c>
      <c r="F18" s="3" t="s">
        <v>7</v>
      </c>
      <c r="G18" s="12">
        <v>0</v>
      </c>
      <c r="H18" s="3" t="s">
        <v>7</v>
      </c>
      <c r="I18" s="12">
        <v>0</v>
      </c>
      <c r="J18" s="3" t="s">
        <v>7</v>
      </c>
      <c r="K18" s="11">
        <v>0</v>
      </c>
      <c r="L18" s="11">
        <v>0</v>
      </c>
      <c r="M18" s="3" t="s">
        <v>7</v>
      </c>
    </row>
    <row r="19" spans="1:13" x14ac:dyDescent="0.2">
      <c r="A19" s="3" t="s">
        <v>7</v>
      </c>
      <c r="B19" s="3" t="s">
        <v>617</v>
      </c>
      <c r="C19" s="3" t="s">
        <v>7</v>
      </c>
      <c r="D19" s="3" t="s">
        <v>7</v>
      </c>
      <c r="E19" s="3" t="s">
        <v>7</v>
      </c>
      <c r="F19" s="3" t="s">
        <v>7</v>
      </c>
      <c r="G19" s="12">
        <v>0</v>
      </c>
      <c r="H19" s="3" t="s">
        <v>7</v>
      </c>
      <c r="I19" s="12">
        <v>0</v>
      </c>
      <c r="J19" s="3" t="s">
        <v>7</v>
      </c>
      <c r="K19" s="11">
        <v>0</v>
      </c>
      <c r="L19" s="11">
        <v>0</v>
      </c>
      <c r="M19" s="3" t="s">
        <v>7</v>
      </c>
    </row>
    <row r="20" spans="1:13" x14ac:dyDescent="0.2">
      <c r="A20" s="3" t="s">
        <v>7</v>
      </c>
      <c r="B20" s="3" t="s">
        <v>471</v>
      </c>
      <c r="C20" s="3" t="s">
        <v>7</v>
      </c>
      <c r="D20" s="3" t="s">
        <v>7</v>
      </c>
      <c r="E20" s="3" t="s">
        <v>7</v>
      </c>
      <c r="F20" s="3" t="s">
        <v>7</v>
      </c>
      <c r="G20" s="12">
        <v>0</v>
      </c>
      <c r="H20" s="3" t="s">
        <v>7</v>
      </c>
      <c r="I20" s="12">
        <v>0</v>
      </c>
      <c r="J20" s="3" t="s">
        <v>7</v>
      </c>
      <c r="K20" s="11">
        <v>0</v>
      </c>
      <c r="L20" s="11">
        <v>0</v>
      </c>
      <c r="M20" s="3" t="s">
        <v>7</v>
      </c>
    </row>
    <row r="21" spans="1:13" x14ac:dyDescent="0.2">
      <c r="A21" s="3" t="s">
        <v>7</v>
      </c>
      <c r="B21" s="3" t="s">
        <v>102</v>
      </c>
      <c r="C21" s="3" t="s">
        <v>7</v>
      </c>
      <c r="D21" s="3" t="s">
        <v>7</v>
      </c>
      <c r="E21" s="3" t="s">
        <v>7</v>
      </c>
      <c r="F21" s="3" t="s">
        <v>7</v>
      </c>
      <c r="G21" s="12">
        <v>200</v>
      </c>
      <c r="H21" s="3" t="s">
        <v>7</v>
      </c>
      <c r="I21" s="12">
        <v>1681.96</v>
      </c>
      <c r="J21" s="3" t="s">
        <v>7</v>
      </c>
      <c r="K21" s="11">
        <v>-17.186699999999998</v>
      </c>
      <c r="L21" s="11">
        <v>5.0000000000000001E-4</v>
      </c>
      <c r="M21" s="3" t="s">
        <v>7</v>
      </c>
    </row>
    <row r="22" spans="1:13" x14ac:dyDescent="0.2">
      <c r="A22" s="3" t="s">
        <v>7</v>
      </c>
      <c r="B22" s="3" t="s">
        <v>611</v>
      </c>
      <c r="C22" s="3" t="s">
        <v>7</v>
      </c>
      <c r="D22" s="3" t="s">
        <v>7</v>
      </c>
      <c r="E22" s="3" t="s">
        <v>7</v>
      </c>
      <c r="F22" s="3" t="s">
        <v>7</v>
      </c>
      <c r="G22" s="12">
        <v>200</v>
      </c>
      <c r="H22" s="3" t="s">
        <v>7</v>
      </c>
      <c r="I22" s="12">
        <v>1681.96</v>
      </c>
      <c r="J22" s="3" t="s">
        <v>7</v>
      </c>
      <c r="K22" s="11">
        <v>-17.186699999999998</v>
      </c>
      <c r="L22" s="11">
        <v>5.0000000000000001E-4</v>
      </c>
      <c r="M22" s="3" t="s">
        <v>7</v>
      </c>
    </row>
    <row r="23" spans="1:13" x14ac:dyDescent="0.2">
      <c r="A23" s="13" t="s">
        <v>7</v>
      </c>
      <c r="B23" s="13" t="s">
        <v>618</v>
      </c>
      <c r="C23" s="14">
        <v>77272912</v>
      </c>
      <c r="D23" s="13" t="s">
        <v>237</v>
      </c>
      <c r="E23" s="13" t="s">
        <v>397</v>
      </c>
      <c r="F23" s="13" t="s">
        <v>48</v>
      </c>
      <c r="G23" s="16">
        <v>1200</v>
      </c>
      <c r="H23" s="16">
        <v>58400</v>
      </c>
      <c r="I23" s="16">
        <v>2411.4499999999998</v>
      </c>
      <c r="J23" s="15">
        <v>0</v>
      </c>
      <c r="K23" s="15">
        <v>-24.640799999999999</v>
      </c>
      <c r="L23" s="15">
        <v>6.9999999999999999E-4</v>
      </c>
      <c r="M23" s="13" t="s">
        <v>7</v>
      </c>
    </row>
    <row r="24" spans="1:13" x14ac:dyDescent="0.2">
      <c r="A24" s="13" t="s">
        <v>7</v>
      </c>
      <c r="B24" s="13" t="s">
        <v>619</v>
      </c>
      <c r="C24" s="14">
        <v>77272870</v>
      </c>
      <c r="D24" s="13" t="s">
        <v>237</v>
      </c>
      <c r="E24" s="13" t="s">
        <v>397</v>
      </c>
      <c r="F24" s="13" t="s">
        <v>48</v>
      </c>
      <c r="G24" s="16">
        <v>1000</v>
      </c>
      <c r="H24" s="16">
        <v>208800</v>
      </c>
      <c r="I24" s="16">
        <v>7184.81</v>
      </c>
      <c r="J24" s="15">
        <v>0</v>
      </c>
      <c r="K24" s="15">
        <v>-73.4161</v>
      </c>
      <c r="L24" s="15">
        <v>2E-3</v>
      </c>
      <c r="M24" s="13" t="s">
        <v>7</v>
      </c>
    </row>
    <row r="25" spans="1:13" x14ac:dyDescent="0.2">
      <c r="A25" s="13" t="s">
        <v>7</v>
      </c>
      <c r="B25" s="13" t="s">
        <v>620</v>
      </c>
      <c r="C25" s="14">
        <v>77272920</v>
      </c>
      <c r="D25" s="13" t="s">
        <v>237</v>
      </c>
      <c r="E25" s="13" t="s">
        <v>397</v>
      </c>
      <c r="F25" s="13" t="s">
        <v>48</v>
      </c>
      <c r="G25" s="16">
        <v>-2000</v>
      </c>
      <c r="H25" s="16">
        <v>115000</v>
      </c>
      <c r="I25" s="16">
        <v>-7914.3</v>
      </c>
      <c r="J25" s="15">
        <v>0</v>
      </c>
      <c r="K25" s="15">
        <v>80.870199999999997</v>
      </c>
      <c r="L25" s="15">
        <v>-2.2000000000000001E-3</v>
      </c>
      <c r="M25" s="13" t="s">
        <v>7</v>
      </c>
    </row>
    <row r="26" spans="1:13" x14ac:dyDescent="0.2">
      <c r="A26" s="3" t="s">
        <v>7</v>
      </c>
      <c r="B26" s="3" t="s">
        <v>621</v>
      </c>
      <c r="C26" s="3" t="s">
        <v>7</v>
      </c>
      <c r="D26" s="3" t="s">
        <v>7</v>
      </c>
      <c r="E26" s="3" t="s">
        <v>7</v>
      </c>
      <c r="F26" s="3" t="s">
        <v>7</v>
      </c>
      <c r="G26" s="12">
        <v>0</v>
      </c>
      <c r="H26" s="3" t="s">
        <v>7</v>
      </c>
      <c r="I26" s="12">
        <v>0</v>
      </c>
      <c r="J26" s="3" t="s">
        <v>7</v>
      </c>
      <c r="K26" s="11">
        <v>0</v>
      </c>
      <c r="L26" s="11">
        <v>0</v>
      </c>
      <c r="M26" s="3" t="s">
        <v>7</v>
      </c>
    </row>
    <row r="27" spans="1:13" x14ac:dyDescent="0.2">
      <c r="A27" s="3" t="s">
        <v>7</v>
      </c>
      <c r="B27" s="3" t="s">
        <v>617</v>
      </c>
      <c r="C27" s="3" t="s">
        <v>7</v>
      </c>
      <c r="D27" s="3" t="s">
        <v>7</v>
      </c>
      <c r="E27" s="3" t="s">
        <v>7</v>
      </c>
      <c r="F27" s="3" t="s">
        <v>7</v>
      </c>
      <c r="G27" s="12">
        <v>0</v>
      </c>
      <c r="H27" s="3" t="s">
        <v>7</v>
      </c>
      <c r="I27" s="12">
        <v>0</v>
      </c>
      <c r="J27" s="3" t="s">
        <v>7</v>
      </c>
      <c r="K27" s="11">
        <v>0</v>
      </c>
      <c r="L27" s="11">
        <v>0</v>
      </c>
      <c r="M27" s="3" t="s">
        <v>7</v>
      </c>
    </row>
    <row r="28" spans="1:13" x14ac:dyDescent="0.2">
      <c r="A28" s="3" t="s">
        <v>7</v>
      </c>
      <c r="B28" s="3" t="s">
        <v>622</v>
      </c>
      <c r="C28" s="3" t="s">
        <v>7</v>
      </c>
      <c r="D28" s="3" t="s">
        <v>7</v>
      </c>
      <c r="E28" s="3" t="s">
        <v>7</v>
      </c>
      <c r="F28" s="3" t="s">
        <v>7</v>
      </c>
      <c r="G28" s="12">
        <v>0</v>
      </c>
      <c r="H28" s="3" t="s">
        <v>7</v>
      </c>
      <c r="I28" s="12">
        <v>0</v>
      </c>
      <c r="J28" s="3" t="s">
        <v>7</v>
      </c>
      <c r="K28" s="11">
        <v>0</v>
      </c>
      <c r="L28" s="11">
        <v>0</v>
      </c>
      <c r="M28" s="3" t="s">
        <v>7</v>
      </c>
    </row>
    <row r="29" spans="1:13" x14ac:dyDescent="0.2">
      <c r="A29" s="3" t="s">
        <v>7</v>
      </c>
      <c r="B29" s="3" t="s">
        <v>471</v>
      </c>
      <c r="C29" s="3" t="s">
        <v>7</v>
      </c>
      <c r="D29" s="3" t="s">
        <v>7</v>
      </c>
      <c r="E29" s="3" t="s">
        <v>7</v>
      </c>
      <c r="F29" s="3" t="s">
        <v>7</v>
      </c>
      <c r="G29" s="12">
        <v>0</v>
      </c>
      <c r="H29" s="3" t="s">
        <v>7</v>
      </c>
      <c r="I29" s="12">
        <v>0</v>
      </c>
      <c r="J29" s="3" t="s">
        <v>7</v>
      </c>
      <c r="K29" s="11">
        <v>0</v>
      </c>
      <c r="L29" s="11">
        <v>0</v>
      </c>
      <c r="M29" s="3" t="s">
        <v>7</v>
      </c>
    </row>
    <row r="30" spans="1:13" x14ac:dyDescent="0.2">
      <c r="A30" s="8" t="s">
        <v>7</v>
      </c>
      <c r="B30" s="8" t="s">
        <v>104</v>
      </c>
      <c r="C30" s="8" t="s">
        <v>7</v>
      </c>
      <c r="D30" s="8" t="s">
        <v>7</v>
      </c>
      <c r="E30" s="8" t="s">
        <v>7</v>
      </c>
      <c r="F30" s="8" t="s">
        <v>7</v>
      </c>
      <c r="G30" s="8" t="s">
        <v>7</v>
      </c>
      <c r="H30" s="8" t="s">
        <v>7</v>
      </c>
      <c r="I30" s="8" t="s">
        <v>7</v>
      </c>
      <c r="J30" s="8" t="s">
        <v>7</v>
      </c>
      <c r="K30" s="8" t="s">
        <v>7</v>
      </c>
      <c r="L30" s="8" t="s">
        <v>7</v>
      </c>
      <c r="M30" s="8" t="s">
        <v>7</v>
      </c>
    </row>
    <row r="31" spans="1:13" x14ac:dyDescent="0.2">
      <c r="A31" s="8" t="s">
        <v>7</v>
      </c>
      <c r="B31" s="8" t="s">
        <v>149</v>
      </c>
      <c r="C31" s="8" t="s">
        <v>7</v>
      </c>
      <c r="D31" s="8" t="s">
        <v>7</v>
      </c>
      <c r="E31" s="8" t="s">
        <v>7</v>
      </c>
      <c r="F31" s="8" t="s">
        <v>7</v>
      </c>
      <c r="G31" s="8" t="s">
        <v>7</v>
      </c>
      <c r="H31" s="8" t="s">
        <v>7</v>
      </c>
      <c r="I31" s="8" t="s">
        <v>7</v>
      </c>
      <c r="J31" s="8" t="s">
        <v>7</v>
      </c>
      <c r="K31" s="8" t="s">
        <v>7</v>
      </c>
      <c r="L31" s="8" t="s">
        <v>7</v>
      </c>
      <c r="M31" s="8" t="s">
        <v>7</v>
      </c>
    </row>
    <row r="32" spans="1:13" x14ac:dyDescent="0.2">
      <c r="A32" s="7" t="s">
        <v>60</v>
      </c>
      <c r="B32" s="7" t="s">
        <v>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2" customWidth="1"/>
    <col min="4" max="4" width="11" customWidth="1"/>
    <col min="5" max="5" width="10" customWidth="1"/>
    <col min="6" max="6" width="14" customWidth="1"/>
    <col min="7" max="7" width="10" customWidth="1"/>
    <col min="8" max="8" width="12" customWidth="1"/>
    <col min="9" max="9" width="10" customWidth="1"/>
    <col min="10" max="10" width="24" customWidth="1"/>
    <col min="11" max="11" width="21" customWidth="1"/>
    <col min="12" max="12" width="11" customWidth="1"/>
  </cols>
  <sheetData>
    <row r="1" spans="1:12" x14ac:dyDescent="0.2">
      <c r="B1" s="7" t="s">
        <v>0</v>
      </c>
      <c r="C1" s="7" t="s">
        <v>1</v>
      </c>
    </row>
    <row r="2" spans="1:12" x14ac:dyDescent="0.2">
      <c r="B2" s="7" t="s">
        <v>2</v>
      </c>
      <c r="C2" s="7" t="s">
        <v>3</v>
      </c>
    </row>
    <row r="3" spans="1:12" x14ac:dyDescent="0.2">
      <c r="B3" s="7" t="s">
        <v>4</v>
      </c>
      <c r="C3" s="7" t="s">
        <v>5</v>
      </c>
    </row>
    <row r="4" spans="1:12" x14ac:dyDescent="0.2">
      <c r="B4" s="7" t="s">
        <v>6</v>
      </c>
      <c r="C4" s="7">
        <v>408</v>
      </c>
    </row>
    <row r="5" spans="1:12" x14ac:dyDescent="0.2">
      <c r="B5" s="7" t="s">
        <v>7</v>
      </c>
      <c r="C5" s="7" t="s">
        <v>7</v>
      </c>
    </row>
    <row r="6" spans="1:12" x14ac:dyDescent="0.2">
      <c r="A6" s="1" t="s">
        <v>7</v>
      </c>
      <c r="B6" s="1" t="s">
        <v>105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</row>
    <row r="7" spans="1:12" x14ac:dyDescent="0.2">
      <c r="A7" s="1" t="s">
        <v>7</v>
      </c>
      <c r="B7" s="1" t="s">
        <v>623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</row>
    <row r="8" spans="1:12" x14ac:dyDescent="0.2">
      <c r="A8" s="1" t="s">
        <v>7</v>
      </c>
      <c r="B8" s="1" t="s">
        <v>63</v>
      </c>
      <c r="C8" s="1" t="s">
        <v>64</v>
      </c>
      <c r="D8" s="1" t="s">
        <v>107</v>
      </c>
      <c r="E8" s="1" t="s">
        <v>152</v>
      </c>
      <c r="F8" s="1" t="s">
        <v>68</v>
      </c>
      <c r="G8" s="1" t="s">
        <v>110</v>
      </c>
      <c r="H8" s="1" t="s">
        <v>111</v>
      </c>
      <c r="I8" s="1" t="s">
        <v>71</v>
      </c>
      <c r="J8" s="1" t="s">
        <v>72</v>
      </c>
      <c r="K8" s="1" t="s">
        <v>73</v>
      </c>
      <c r="L8" s="1" t="s">
        <v>7</v>
      </c>
    </row>
    <row r="9" spans="1:12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116</v>
      </c>
      <c r="H9" s="1" t="s">
        <v>117</v>
      </c>
      <c r="I9" s="1" t="s">
        <v>11</v>
      </c>
      <c r="J9" s="1" t="s">
        <v>12</v>
      </c>
      <c r="K9" s="1" t="s">
        <v>12</v>
      </c>
      <c r="L9" s="1" t="s">
        <v>7</v>
      </c>
    </row>
    <row r="10" spans="1:12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74</v>
      </c>
      <c r="F10" s="1" t="s">
        <v>75</v>
      </c>
      <c r="G10" s="1" t="s">
        <v>76</v>
      </c>
      <c r="H10" s="1" t="s">
        <v>77</v>
      </c>
      <c r="I10" s="1" t="s">
        <v>78</v>
      </c>
      <c r="J10" s="1" t="s">
        <v>79</v>
      </c>
      <c r="K10" s="1" t="s">
        <v>80</v>
      </c>
      <c r="L10" s="1" t="s">
        <v>7</v>
      </c>
    </row>
    <row r="11" spans="1:12" x14ac:dyDescent="0.2">
      <c r="A11" s="8" t="s">
        <v>7</v>
      </c>
      <c r="B11" s="8" t="s">
        <v>624</v>
      </c>
      <c r="C11" s="8" t="s">
        <v>7</v>
      </c>
      <c r="D11" s="8" t="s">
        <v>7</v>
      </c>
      <c r="E11" s="8" t="s">
        <v>7</v>
      </c>
      <c r="F11" s="8" t="s">
        <v>7</v>
      </c>
      <c r="G11" s="10">
        <v>86</v>
      </c>
      <c r="H11" s="8" t="s">
        <v>7</v>
      </c>
      <c r="I11" s="10">
        <v>1174.8</v>
      </c>
      <c r="J11" s="9">
        <v>1</v>
      </c>
      <c r="K11" s="9">
        <v>2.9999999999999997E-4</v>
      </c>
      <c r="L11" s="8" t="s">
        <v>7</v>
      </c>
    </row>
    <row r="12" spans="1:12" x14ac:dyDescent="0.2">
      <c r="A12" s="3" t="s">
        <v>7</v>
      </c>
      <c r="B12" s="3" t="s">
        <v>83</v>
      </c>
      <c r="C12" s="3" t="s">
        <v>7</v>
      </c>
      <c r="D12" s="3" t="s">
        <v>7</v>
      </c>
      <c r="E12" s="3" t="s">
        <v>7</v>
      </c>
      <c r="F12" s="3" t="s">
        <v>7</v>
      </c>
      <c r="G12" s="12">
        <v>0</v>
      </c>
      <c r="H12" s="3" t="s">
        <v>7</v>
      </c>
      <c r="I12" s="12">
        <v>0</v>
      </c>
      <c r="J12" s="11">
        <v>0</v>
      </c>
      <c r="K12" s="11">
        <v>0</v>
      </c>
      <c r="L12" s="3" t="s">
        <v>7</v>
      </c>
    </row>
    <row r="13" spans="1:12" x14ac:dyDescent="0.2">
      <c r="A13" s="3" t="s">
        <v>7</v>
      </c>
      <c r="B13" s="3" t="s">
        <v>102</v>
      </c>
      <c r="C13" s="3" t="s">
        <v>7</v>
      </c>
      <c r="D13" s="3" t="s">
        <v>7</v>
      </c>
      <c r="E13" s="3" t="s">
        <v>7</v>
      </c>
      <c r="F13" s="3" t="s">
        <v>7</v>
      </c>
      <c r="G13" s="12">
        <v>86</v>
      </c>
      <c r="H13" s="3" t="s">
        <v>7</v>
      </c>
      <c r="I13" s="12">
        <v>1174.8</v>
      </c>
      <c r="J13" s="11">
        <v>1</v>
      </c>
      <c r="K13" s="11">
        <v>2.9999999999999997E-4</v>
      </c>
      <c r="L13" s="3" t="s">
        <v>7</v>
      </c>
    </row>
    <row r="14" spans="1:12" x14ac:dyDescent="0.2">
      <c r="A14" s="13" t="s">
        <v>7</v>
      </c>
      <c r="B14" s="13" t="s">
        <v>625</v>
      </c>
      <c r="C14" s="13" t="s">
        <v>626</v>
      </c>
      <c r="D14" s="13" t="s">
        <v>627</v>
      </c>
      <c r="E14" s="13" t="s">
        <v>628</v>
      </c>
      <c r="F14" s="13" t="s">
        <v>48</v>
      </c>
      <c r="G14" s="16">
        <v>38</v>
      </c>
      <c r="H14" s="16">
        <v>717508.4</v>
      </c>
      <c r="I14" s="16">
        <v>938.2</v>
      </c>
      <c r="J14" s="15">
        <v>0.79859999999999998</v>
      </c>
      <c r="K14" s="15">
        <v>2.9999999999999997E-4</v>
      </c>
      <c r="L14" s="14">
        <v>77272995</v>
      </c>
    </row>
    <row r="15" spans="1:12" x14ac:dyDescent="0.2">
      <c r="A15" s="13" t="s">
        <v>7</v>
      </c>
      <c r="B15" s="13" t="s">
        <v>629</v>
      </c>
      <c r="C15" s="13" t="s">
        <v>630</v>
      </c>
      <c r="D15" s="13" t="s">
        <v>627</v>
      </c>
      <c r="E15" s="13" t="s">
        <v>628</v>
      </c>
      <c r="F15" s="13" t="s">
        <v>48</v>
      </c>
      <c r="G15" s="16">
        <v>48</v>
      </c>
      <c r="H15" s="16">
        <v>143250</v>
      </c>
      <c r="I15" s="16">
        <v>236.6</v>
      </c>
      <c r="J15" s="15">
        <v>0.2014</v>
      </c>
      <c r="K15" s="15">
        <v>1E-4</v>
      </c>
      <c r="L15" s="14">
        <v>77198802</v>
      </c>
    </row>
    <row r="16" spans="1:12" x14ac:dyDescent="0.2">
      <c r="A16" s="8" t="s">
        <v>7</v>
      </c>
      <c r="B16" s="8" t="s">
        <v>104</v>
      </c>
      <c r="C16" s="8" t="s">
        <v>7</v>
      </c>
      <c r="D16" s="8" t="s">
        <v>7</v>
      </c>
      <c r="E16" s="8" t="s">
        <v>7</v>
      </c>
      <c r="F16" s="8" t="s">
        <v>7</v>
      </c>
      <c r="G16" s="8" t="s">
        <v>7</v>
      </c>
      <c r="H16" s="8" t="s">
        <v>7</v>
      </c>
      <c r="I16" s="8" t="s">
        <v>7</v>
      </c>
      <c r="J16" s="8" t="s">
        <v>7</v>
      </c>
      <c r="K16" s="8" t="s">
        <v>7</v>
      </c>
      <c r="L16" s="8" t="s">
        <v>7</v>
      </c>
    </row>
    <row r="17" spans="1:12" x14ac:dyDescent="0.2">
      <c r="A17" s="8" t="s">
        <v>7</v>
      </c>
      <c r="B17" s="8" t="s">
        <v>149</v>
      </c>
      <c r="C17" s="8" t="s">
        <v>7</v>
      </c>
      <c r="D17" s="8" t="s">
        <v>7</v>
      </c>
      <c r="E17" s="8" t="s">
        <v>7</v>
      </c>
      <c r="F17" s="8" t="s">
        <v>7</v>
      </c>
      <c r="G17" s="8" t="s">
        <v>7</v>
      </c>
      <c r="H17" s="8" t="s">
        <v>7</v>
      </c>
      <c r="I17" s="8" t="s">
        <v>7</v>
      </c>
      <c r="J17" s="8" t="s">
        <v>7</v>
      </c>
      <c r="K17" s="8" t="s">
        <v>7</v>
      </c>
      <c r="L17" s="8" t="s">
        <v>7</v>
      </c>
    </row>
    <row r="18" spans="1:12" x14ac:dyDescent="0.2">
      <c r="A18" s="7" t="s">
        <v>60</v>
      </c>
      <c r="B18" s="7" t="s">
        <v>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5" width="7" customWidth="1"/>
    <col min="6" max="6" width="11" customWidth="1"/>
    <col min="7" max="7" width="13" customWidth="1"/>
    <col min="8" max="8" width="6" customWidth="1"/>
    <col min="9" max="9" width="10" customWidth="1"/>
    <col min="10" max="10" width="13" customWidth="1"/>
    <col min="11" max="12" width="15" customWidth="1"/>
    <col min="13" max="13" width="8" customWidth="1"/>
    <col min="14" max="14" width="11" customWidth="1"/>
    <col min="15" max="15" width="22" customWidth="1"/>
    <col min="16" max="16" width="24" customWidth="1"/>
    <col min="17" max="17" width="23" customWidth="1"/>
    <col min="18" max="18" width="2" customWidth="1"/>
  </cols>
  <sheetData>
    <row r="1" spans="1:18" x14ac:dyDescent="0.2">
      <c r="B1" s="7" t="s">
        <v>0</v>
      </c>
      <c r="C1" s="7" t="s">
        <v>1</v>
      </c>
    </row>
    <row r="2" spans="1:18" x14ac:dyDescent="0.2">
      <c r="B2" s="7" t="s">
        <v>2</v>
      </c>
      <c r="C2" s="7" t="s">
        <v>3</v>
      </c>
    </row>
    <row r="3" spans="1:18" x14ac:dyDescent="0.2">
      <c r="B3" s="7" t="s">
        <v>4</v>
      </c>
      <c r="C3" s="7" t="s">
        <v>5</v>
      </c>
    </row>
    <row r="4" spans="1:18" x14ac:dyDescent="0.2">
      <c r="B4" s="7" t="s">
        <v>6</v>
      </c>
      <c r="C4" s="7">
        <v>408</v>
      </c>
    </row>
    <row r="5" spans="1:18" x14ac:dyDescent="0.2">
      <c r="B5" s="7" t="s">
        <v>7</v>
      </c>
      <c r="C5" s="7" t="s">
        <v>7</v>
      </c>
    </row>
    <row r="6" spans="1:18" x14ac:dyDescent="0.2">
      <c r="A6" s="1" t="s">
        <v>7</v>
      </c>
      <c r="B6" s="1" t="s">
        <v>105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</row>
    <row r="7" spans="1:18" x14ac:dyDescent="0.2">
      <c r="A7" s="1" t="s">
        <v>7</v>
      </c>
      <c r="B7" s="1" t="s">
        <v>631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</row>
    <row r="8" spans="1:18" x14ac:dyDescent="0.2">
      <c r="A8" s="1" t="s">
        <v>7</v>
      </c>
      <c r="B8" s="1" t="s">
        <v>63</v>
      </c>
      <c r="C8" s="1" t="s">
        <v>64</v>
      </c>
      <c r="D8" s="1" t="s">
        <v>632</v>
      </c>
      <c r="E8" s="1" t="s">
        <v>66</v>
      </c>
      <c r="F8" s="1" t="s">
        <v>67</v>
      </c>
      <c r="G8" s="1" t="s">
        <v>108</v>
      </c>
      <c r="H8" s="1" t="s">
        <v>109</v>
      </c>
      <c r="I8" s="1" t="s">
        <v>68</v>
      </c>
      <c r="J8" s="1" t="s">
        <v>69</v>
      </c>
      <c r="K8" s="1" t="s">
        <v>70</v>
      </c>
      <c r="L8" s="1" t="s">
        <v>110</v>
      </c>
      <c r="M8" s="1" t="s">
        <v>111</v>
      </c>
      <c r="N8" s="1" t="s">
        <v>71</v>
      </c>
      <c r="O8" s="1" t="s">
        <v>113</v>
      </c>
      <c r="P8" s="1" t="s">
        <v>72</v>
      </c>
      <c r="Q8" s="1" t="s">
        <v>114</v>
      </c>
      <c r="R8" s="1" t="s">
        <v>7</v>
      </c>
    </row>
    <row r="9" spans="1:18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115</v>
      </c>
      <c r="I9" s="1" t="s">
        <v>7</v>
      </c>
      <c r="J9" s="1" t="s">
        <v>12</v>
      </c>
      <c r="K9" s="1" t="s">
        <v>12</v>
      </c>
      <c r="L9" s="1" t="s">
        <v>116</v>
      </c>
      <c r="M9" s="1" t="s">
        <v>117</v>
      </c>
      <c r="N9" s="1" t="s">
        <v>11</v>
      </c>
      <c r="O9" s="1" t="s">
        <v>12</v>
      </c>
      <c r="P9" s="1" t="s">
        <v>12</v>
      </c>
      <c r="Q9" s="1" t="s">
        <v>12</v>
      </c>
      <c r="R9" s="1" t="s">
        <v>7</v>
      </c>
    </row>
    <row r="10" spans="1:18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74</v>
      </c>
      <c r="F10" s="1" t="s">
        <v>75</v>
      </c>
      <c r="G10" s="1" t="s">
        <v>76</v>
      </c>
      <c r="H10" s="1" t="s">
        <v>77</v>
      </c>
      <c r="I10" s="1" t="s">
        <v>78</v>
      </c>
      <c r="J10" s="1" t="s">
        <v>79</v>
      </c>
      <c r="K10" s="1" t="s">
        <v>80</v>
      </c>
      <c r="L10" s="1" t="s">
        <v>81</v>
      </c>
      <c r="M10" s="1" t="s">
        <v>118</v>
      </c>
      <c r="N10" s="1" t="s">
        <v>119</v>
      </c>
      <c r="O10" s="1" t="s">
        <v>120</v>
      </c>
      <c r="P10" s="1" t="s">
        <v>121</v>
      </c>
      <c r="Q10" s="1" t="s">
        <v>122</v>
      </c>
      <c r="R10" s="1" t="s">
        <v>7</v>
      </c>
    </row>
    <row r="11" spans="1:18" x14ac:dyDescent="0.2">
      <c r="A11" s="8" t="s">
        <v>7</v>
      </c>
      <c r="B11" s="8" t="s">
        <v>633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10">
        <v>3.37</v>
      </c>
      <c r="I11" s="8" t="s">
        <v>7</v>
      </c>
      <c r="J11" s="9">
        <v>4.8999999999999998E-3</v>
      </c>
      <c r="K11" s="9">
        <v>8.2000000000000007E-3</v>
      </c>
      <c r="L11" s="10">
        <v>19432000</v>
      </c>
      <c r="M11" s="8" t="s">
        <v>7</v>
      </c>
      <c r="N11" s="10">
        <v>19250.63</v>
      </c>
      <c r="O11" s="8" t="s">
        <v>7</v>
      </c>
      <c r="P11" s="9">
        <v>1</v>
      </c>
      <c r="Q11" s="9">
        <v>5.4000000000000003E-3</v>
      </c>
      <c r="R11" s="8" t="s">
        <v>7</v>
      </c>
    </row>
    <row r="12" spans="1:18" x14ac:dyDescent="0.2">
      <c r="A12" s="3" t="s">
        <v>7</v>
      </c>
      <c r="B12" s="3" t="s">
        <v>83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12">
        <v>3.37</v>
      </c>
      <c r="I12" s="3" t="s">
        <v>7</v>
      </c>
      <c r="J12" s="11">
        <v>4.8999999999999998E-3</v>
      </c>
      <c r="K12" s="11">
        <v>8.2000000000000007E-3</v>
      </c>
      <c r="L12" s="12">
        <v>19432000</v>
      </c>
      <c r="M12" s="3" t="s">
        <v>7</v>
      </c>
      <c r="N12" s="12">
        <v>19250.63</v>
      </c>
      <c r="O12" s="3" t="s">
        <v>7</v>
      </c>
      <c r="P12" s="11">
        <v>1</v>
      </c>
      <c r="Q12" s="11">
        <v>5.4000000000000003E-3</v>
      </c>
      <c r="R12" s="3" t="s">
        <v>7</v>
      </c>
    </row>
    <row r="13" spans="1:18" x14ac:dyDescent="0.2">
      <c r="A13" s="3" t="s">
        <v>7</v>
      </c>
      <c r="B13" s="3" t="s">
        <v>634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12">
        <v>0</v>
      </c>
      <c r="I13" s="3" t="s">
        <v>7</v>
      </c>
      <c r="J13" s="11">
        <v>0</v>
      </c>
      <c r="K13" s="11">
        <v>0</v>
      </c>
      <c r="L13" s="12">
        <v>0</v>
      </c>
      <c r="M13" s="3" t="s">
        <v>7</v>
      </c>
      <c r="N13" s="12">
        <v>0</v>
      </c>
      <c r="O13" s="3" t="s">
        <v>7</v>
      </c>
      <c r="P13" s="11">
        <v>0</v>
      </c>
      <c r="Q13" s="11">
        <v>0</v>
      </c>
      <c r="R13" s="3" t="s">
        <v>7</v>
      </c>
    </row>
    <row r="14" spans="1:18" x14ac:dyDescent="0.2">
      <c r="A14" s="3" t="s">
        <v>7</v>
      </c>
      <c r="B14" s="3" t="s">
        <v>635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12">
        <v>3.37</v>
      </c>
      <c r="I14" s="3" t="s">
        <v>7</v>
      </c>
      <c r="J14" s="11">
        <v>4.8999999999999998E-3</v>
      </c>
      <c r="K14" s="11">
        <v>8.2000000000000007E-3</v>
      </c>
      <c r="L14" s="12">
        <v>19432000</v>
      </c>
      <c r="M14" s="3" t="s">
        <v>7</v>
      </c>
      <c r="N14" s="12">
        <v>19250.63</v>
      </c>
      <c r="O14" s="3" t="s">
        <v>7</v>
      </c>
      <c r="P14" s="11">
        <v>1</v>
      </c>
      <c r="Q14" s="11">
        <v>5.4000000000000003E-3</v>
      </c>
      <c r="R14" s="3" t="s">
        <v>7</v>
      </c>
    </row>
    <row r="15" spans="1:18" x14ac:dyDescent="0.2">
      <c r="A15" s="13" t="s">
        <v>7</v>
      </c>
      <c r="B15" s="13" t="s">
        <v>636</v>
      </c>
      <c r="C15" s="14">
        <v>1142215</v>
      </c>
      <c r="D15" s="13" t="s">
        <v>637</v>
      </c>
      <c r="E15" s="13" t="s">
        <v>168</v>
      </c>
      <c r="F15" s="13" t="s">
        <v>87</v>
      </c>
      <c r="G15" s="13" t="s">
        <v>7</v>
      </c>
      <c r="H15" s="16">
        <v>2.0699999999999998</v>
      </c>
      <c r="I15" s="13" t="s">
        <v>88</v>
      </c>
      <c r="J15" s="15">
        <v>6.1999999999999998E-3</v>
      </c>
      <c r="K15" s="15">
        <v>7.4000000000000003E-3</v>
      </c>
      <c r="L15" s="16">
        <v>11425000</v>
      </c>
      <c r="M15" s="16">
        <v>101.21</v>
      </c>
      <c r="N15" s="16">
        <v>11563.24</v>
      </c>
      <c r="O15" s="15">
        <v>2.3E-3</v>
      </c>
      <c r="P15" s="15">
        <v>0.60070000000000001</v>
      </c>
      <c r="Q15" s="15">
        <v>3.3E-3</v>
      </c>
      <c r="R15" s="13" t="s">
        <v>7</v>
      </c>
    </row>
    <row r="16" spans="1:18" x14ac:dyDescent="0.2">
      <c r="A16" s="13" t="s">
        <v>7</v>
      </c>
      <c r="B16" s="13" t="s">
        <v>638</v>
      </c>
      <c r="C16" s="14">
        <v>1162577</v>
      </c>
      <c r="D16" s="13" t="s">
        <v>637</v>
      </c>
      <c r="E16" s="13" t="s">
        <v>168</v>
      </c>
      <c r="F16" s="13" t="s">
        <v>87</v>
      </c>
      <c r="G16" s="13" t="s">
        <v>7</v>
      </c>
      <c r="H16" s="16">
        <v>5.31</v>
      </c>
      <c r="I16" s="13" t="s">
        <v>88</v>
      </c>
      <c r="J16" s="15">
        <v>5.0000000000000001E-4</v>
      </c>
      <c r="K16" s="15">
        <v>5.0000000000000001E-3</v>
      </c>
      <c r="L16" s="16">
        <v>5579000</v>
      </c>
      <c r="M16" s="16">
        <v>97.1</v>
      </c>
      <c r="N16" s="16">
        <v>5417.21</v>
      </c>
      <c r="O16" s="15">
        <v>7.0000000000000001E-3</v>
      </c>
      <c r="P16" s="15">
        <v>0.28139999999999998</v>
      </c>
      <c r="Q16" s="15">
        <v>1.5E-3</v>
      </c>
      <c r="R16" s="13" t="s">
        <v>7</v>
      </c>
    </row>
    <row r="17" spans="1:18" x14ac:dyDescent="0.2">
      <c r="A17" s="13" t="s">
        <v>7</v>
      </c>
      <c r="B17" s="13" t="s">
        <v>639</v>
      </c>
      <c r="C17" s="14">
        <v>1162304</v>
      </c>
      <c r="D17" s="13" t="s">
        <v>640</v>
      </c>
      <c r="E17" s="13" t="s">
        <v>168</v>
      </c>
      <c r="F17" s="13" t="s">
        <v>87</v>
      </c>
      <c r="G17" s="13" t="s">
        <v>7</v>
      </c>
      <c r="H17" s="16">
        <v>5.4</v>
      </c>
      <c r="I17" s="13" t="s">
        <v>88</v>
      </c>
      <c r="J17" s="15">
        <v>9.1999999999999998E-3</v>
      </c>
      <c r="K17" s="15">
        <v>1.9599999999999999E-2</v>
      </c>
      <c r="L17" s="16">
        <v>2428000</v>
      </c>
      <c r="M17" s="16">
        <v>93.5</v>
      </c>
      <c r="N17" s="16">
        <v>2270.1799999999998</v>
      </c>
      <c r="O17" s="15">
        <v>8.6E-3</v>
      </c>
      <c r="P17" s="15">
        <v>0.1179</v>
      </c>
      <c r="Q17" s="15">
        <v>5.9999999999999995E-4</v>
      </c>
      <c r="R17" s="13" t="s">
        <v>7</v>
      </c>
    </row>
    <row r="18" spans="1:18" x14ac:dyDescent="0.2">
      <c r="A18" s="3" t="s">
        <v>7</v>
      </c>
      <c r="B18" s="3" t="s">
        <v>641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12">
        <v>0</v>
      </c>
      <c r="I18" s="3" t="s">
        <v>7</v>
      </c>
      <c r="J18" s="11">
        <v>0</v>
      </c>
      <c r="K18" s="11">
        <v>0</v>
      </c>
      <c r="L18" s="12">
        <v>0</v>
      </c>
      <c r="M18" s="3" t="s">
        <v>7</v>
      </c>
      <c r="N18" s="12">
        <v>0</v>
      </c>
      <c r="O18" s="3" t="s">
        <v>7</v>
      </c>
      <c r="P18" s="11">
        <v>0</v>
      </c>
      <c r="Q18" s="11">
        <v>0</v>
      </c>
      <c r="R18" s="3" t="s">
        <v>7</v>
      </c>
    </row>
    <row r="19" spans="1:18" x14ac:dyDescent="0.2">
      <c r="A19" s="3" t="s">
        <v>7</v>
      </c>
      <c r="B19" s="3" t="s">
        <v>102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7</v>
      </c>
      <c r="H19" s="12">
        <v>0</v>
      </c>
      <c r="I19" s="3" t="s">
        <v>7</v>
      </c>
      <c r="J19" s="11">
        <v>0</v>
      </c>
      <c r="K19" s="11">
        <v>0</v>
      </c>
      <c r="L19" s="12">
        <v>0</v>
      </c>
      <c r="M19" s="3" t="s">
        <v>7</v>
      </c>
      <c r="N19" s="12">
        <v>0</v>
      </c>
      <c r="O19" s="3" t="s">
        <v>7</v>
      </c>
      <c r="P19" s="11">
        <v>0</v>
      </c>
      <c r="Q19" s="11">
        <v>0</v>
      </c>
      <c r="R19" s="3" t="s">
        <v>7</v>
      </c>
    </row>
    <row r="20" spans="1:18" x14ac:dyDescent="0.2">
      <c r="A20" s="3" t="s">
        <v>7</v>
      </c>
      <c r="B20" s="3" t="s">
        <v>634</v>
      </c>
      <c r="C20" s="3" t="s">
        <v>7</v>
      </c>
      <c r="D20" s="3" t="s">
        <v>7</v>
      </c>
      <c r="E20" s="3" t="s">
        <v>7</v>
      </c>
      <c r="F20" s="3" t="s">
        <v>7</v>
      </c>
      <c r="G20" s="3" t="s">
        <v>7</v>
      </c>
      <c r="H20" s="12">
        <v>0</v>
      </c>
      <c r="I20" s="3" t="s">
        <v>7</v>
      </c>
      <c r="J20" s="11">
        <v>0</v>
      </c>
      <c r="K20" s="11">
        <v>0</v>
      </c>
      <c r="L20" s="12">
        <v>0</v>
      </c>
      <c r="M20" s="3" t="s">
        <v>7</v>
      </c>
      <c r="N20" s="12">
        <v>0</v>
      </c>
      <c r="O20" s="3" t="s">
        <v>7</v>
      </c>
      <c r="P20" s="11">
        <v>0</v>
      </c>
      <c r="Q20" s="11">
        <v>0</v>
      </c>
      <c r="R20" s="3" t="s">
        <v>7</v>
      </c>
    </row>
    <row r="21" spans="1:18" x14ac:dyDescent="0.2">
      <c r="A21" s="3" t="s">
        <v>7</v>
      </c>
      <c r="B21" s="3" t="s">
        <v>635</v>
      </c>
      <c r="C21" s="3" t="s">
        <v>7</v>
      </c>
      <c r="D21" s="3" t="s">
        <v>7</v>
      </c>
      <c r="E21" s="3" t="s">
        <v>7</v>
      </c>
      <c r="F21" s="3" t="s">
        <v>7</v>
      </c>
      <c r="G21" s="3" t="s">
        <v>7</v>
      </c>
      <c r="H21" s="12">
        <v>0</v>
      </c>
      <c r="I21" s="3" t="s">
        <v>7</v>
      </c>
      <c r="J21" s="11">
        <v>0</v>
      </c>
      <c r="K21" s="11">
        <v>0</v>
      </c>
      <c r="L21" s="12">
        <v>0</v>
      </c>
      <c r="M21" s="3" t="s">
        <v>7</v>
      </c>
      <c r="N21" s="12">
        <v>0</v>
      </c>
      <c r="O21" s="3" t="s">
        <v>7</v>
      </c>
      <c r="P21" s="11">
        <v>0</v>
      </c>
      <c r="Q21" s="11">
        <v>0</v>
      </c>
      <c r="R21" s="3" t="s">
        <v>7</v>
      </c>
    </row>
    <row r="22" spans="1:18" x14ac:dyDescent="0.2">
      <c r="A22" s="3" t="s">
        <v>7</v>
      </c>
      <c r="B22" s="3" t="s">
        <v>642</v>
      </c>
      <c r="C22" s="3" t="s">
        <v>7</v>
      </c>
      <c r="D22" s="3" t="s">
        <v>7</v>
      </c>
      <c r="E22" s="3" t="s">
        <v>7</v>
      </c>
      <c r="F22" s="3" t="s">
        <v>7</v>
      </c>
      <c r="G22" s="3" t="s">
        <v>7</v>
      </c>
      <c r="H22" s="12">
        <v>0</v>
      </c>
      <c r="I22" s="3" t="s">
        <v>7</v>
      </c>
      <c r="J22" s="11">
        <v>0</v>
      </c>
      <c r="K22" s="11">
        <v>0</v>
      </c>
      <c r="L22" s="12">
        <v>0</v>
      </c>
      <c r="M22" s="3" t="s">
        <v>7</v>
      </c>
      <c r="N22" s="12">
        <v>0</v>
      </c>
      <c r="O22" s="3" t="s">
        <v>7</v>
      </c>
      <c r="P22" s="11">
        <v>0</v>
      </c>
      <c r="Q22" s="11">
        <v>0</v>
      </c>
      <c r="R22" s="3" t="s">
        <v>7</v>
      </c>
    </row>
    <row r="23" spans="1:18" x14ac:dyDescent="0.2">
      <c r="A23" s="8" t="s">
        <v>7</v>
      </c>
      <c r="B23" s="8" t="s">
        <v>104</v>
      </c>
      <c r="C23" s="8" t="s">
        <v>7</v>
      </c>
      <c r="D23" s="8" t="s">
        <v>7</v>
      </c>
      <c r="E23" s="8" t="s">
        <v>7</v>
      </c>
      <c r="F23" s="8" t="s">
        <v>7</v>
      </c>
      <c r="G23" s="8" t="s">
        <v>7</v>
      </c>
      <c r="H23" s="8" t="s">
        <v>7</v>
      </c>
      <c r="I23" s="8" t="s">
        <v>7</v>
      </c>
      <c r="J23" s="8" t="s">
        <v>7</v>
      </c>
      <c r="K23" s="8" t="s">
        <v>7</v>
      </c>
      <c r="L23" s="8" t="s">
        <v>7</v>
      </c>
      <c r="M23" s="8" t="s">
        <v>7</v>
      </c>
      <c r="N23" s="8" t="s">
        <v>7</v>
      </c>
      <c r="O23" s="8" t="s">
        <v>7</v>
      </c>
      <c r="P23" s="8" t="s">
        <v>7</v>
      </c>
      <c r="Q23" s="8" t="s">
        <v>7</v>
      </c>
      <c r="R23" s="8" t="s">
        <v>7</v>
      </c>
    </row>
    <row r="24" spans="1:18" x14ac:dyDescent="0.2">
      <c r="A24" s="8" t="s">
        <v>7</v>
      </c>
      <c r="B24" s="8" t="s">
        <v>149</v>
      </c>
      <c r="C24" s="8" t="s">
        <v>7</v>
      </c>
      <c r="D24" s="8" t="s">
        <v>7</v>
      </c>
      <c r="E24" s="8" t="s">
        <v>7</v>
      </c>
      <c r="F24" s="8" t="s">
        <v>7</v>
      </c>
      <c r="G24" s="8" t="s">
        <v>7</v>
      </c>
      <c r="H24" s="8" t="s">
        <v>7</v>
      </c>
      <c r="I24" s="8" t="s">
        <v>7</v>
      </c>
      <c r="J24" s="8" t="s">
        <v>7</v>
      </c>
      <c r="K24" s="8" t="s">
        <v>7</v>
      </c>
      <c r="L24" s="8" t="s">
        <v>7</v>
      </c>
      <c r="M24" s="8" t="s">
        <v>7</v>
      </c>
      <c r="N24" s="8" t="s">
        <v>7</v>
      </c>
      <c r="O24" s="8" t="s">
        <v>7</v>
      </c>
      <c r="P24" s="8" t="s">
        <v>7</v>
      </c>
      <c r="Q24" s="8" t="s">
        <v>7</v>
      </c>
      <c r="R24" s="8" t="s">
        <v>7</v>
      </c>
    </row>
    <row r="25" spans="1:18" x14ac:dyDescent="0.2">
      <c r="A25" s="7" t="s">
        <v>60</v>
      </c>
      <c r="B25" s="7" t="s">
        <v>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"/>
  <sheetViews>
    <sheetView rightToLeft="1" workbookViewId="0"/>
  </sheetViews>
  <sheetFormatPr defaultRowHeight="14.25" x14ac:dyDescent="0.2"/>
  <cols>
    <col min="1" max="1" width="2" customWidth="1"/>
    <col min="2" max="2" width="45" customWidth="1"/>
    <col min="3" max="3" width="11" customWidth="1"/>
    <col min="4" max="4" width="7" customWidth="1"/>
    <col min="5" max="5" width="9" customWidth="1"/>
    <col min="6" max="6" width="13" customWidth="1"/>
    <col min="7" max="7" width="6" customWidth="1"/>
    <col min="8" max="8" width="10" customWidth="1"/>
    <col min="9" max="9" width="13" customWidth="1"/>
    <col min="10" max="10" width="15" customWidth="1"/>
    <col min="11" max="11" width="10" customWidth="1"/>
    <col min="12" max="12" width="8" customWidth="1"/>
    <col min="13" max="13" width="11" customWidth="1"/>
    <col min="14" max="14" width="22" customWidth="1"/>
    <col min="15" max="15" width="24" customWidth="1"/>
    <col min="16" max="16" width="23" customWidth="1"/>
    <col min="17" max="17" width="2" customWidth="1"/>
  </cols>
  <sheetData>
    <row r="1" spans="1:17" x14ac:dyDescent="0.2">
      <c r="B1" s="7" t="s">
        <v>0</v>
      </c>
      <c r="C1" s="7" t="s">
        <v>1</v>
      </c>
    </row>
    <row r="2" spans="1:17" x14ac:dyDescent="0.2">
      <c r="B2" s="7" t="s">
        <v>2</v>
      </c>
      <c r="C2" s="7" t="s">
        <v>3</v>
      </c>
    </row>
    <row r="3" spans="1:17" x14ac:dyDescent="0.2">
      <c r="B3" s="7" t="s">
        <v>4</v>
      </c>
      <c r="C3" s="7" t="s">
        <v>5</v>
      </c>
    </row>
    <row r="4" spans="1:17" x14ac:dyDescent="0.2">
      <c r="B4" s="7" t="s">
        <v>6</v>
      </c>
      <c r="C4" s="7">
        <v>408</v>
      </c>
    </row>
    <row r="5" spans="1:17" x14ac:dyDescent="0.2">
      <c r="B5" s="7" t="s">
        <v>7</v>
      </c>
      <c r="C5" s="7" t="s">
        <v>7</v>
      </c>
    </row>
    <row r="6" spans="1:17" x14ac:dyDescent="0.2">
      <c r="A6" s="1" t="s">
        <v>7</v>
      </c>
      <c r="B6" s="1" t="s">
        <v>643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</row>
    <row r="7" spans="1:17" x14ac:dyDescent="0.2">
      <c r="A7" s="1" t="s">
        <v>7</v>
      </c>
      <c r="B7" s="1" t="s">
        <v>644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</row>
    <row r="8" spans="1:17" x14ac:dyDescent="0.2">
      <c r="A8" s="1" t="s">
        <v>7</v>
      </c>
      <c r="B8" s="1" t="s">
        <v>63</v>
      </c>
      <c r="C8" s="1" t="s">
        <v>64</v>
      </c>
      <c r="D8" s="1" t="s">
        <v>66</v>
      </c>
      <c r="E8" s="1" t="s">
        <v>67</v>
      </c>
      <c r="F8" s="1" t="s">
        <v>108</v>
      </c>
      <c r="G8" s="1" t="s">
        <v>109</v>
      </c>
      <c r="H8" s="1" t="s">
        <v>68</v>
      </c>
      <c r="I8" s="1" t="s">
        <v>69</v>
      </c>
      <c r="J8" s="1" t="s">
        <v>70</v>
      </c>
      <c r="K8" s="1" t="s">
        <v>110</v>
      </c>
      <c r="L8" s="1" t="s">
        <v>111</v>
      </c>
      <c r="M8" s="1" t="s">
        <v>9</v>
      </c>
      <c r="N8" s="1" t="s">
        <v>113</v>
      </c>
      <c r="O8" s="1" t="s">
        <v>72</v>
      </c>
      <c r="P8" s="1" t="s">
        <v>114</v>
      </c>
      <c r="Q8" s="1" t="s">
        <v>7</v>
      </c>
    </row>
    <row r="9" spans="1:17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163</v>
      </c>
      <c r="G9" s="1" t="s">
        <v>115</v>
      </c>
      <c r="H9" s="1" t="s">
        <v>7</v>
      </c>
      <c r="I9" s="1" t="s">
        <v>12</v>
      </c>
      <c r="J9" s="1" t="s">
        <v>12</v>
      </c>
      <c r="K9" s="1" t="s">
        <v>116</v>
      </c>
      <c r="L9" s="1" t="s">
        <v>117</v>
      </c>
      <c r="M9" s="1" t="s">
        <v>11</v>
      </c>
      <c r="N9" s="1" t="s">
        <v>12</v>
      </c>
      <c r="O9" s="1" t="s">
        <v>12</v>
      </c>
      <c r="P9" s="1" t="s">
        <v>12</v>
      </c>
      <c r="Q9" s="1" t="s">
        <v>7</v>
      </c>
    </row>
    <row r="10" spans="1:17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74</v>
      </c>
      <c r="F10" s="1" t="s">
        <v>75</v>
      </c>
      <c r="G10" s="1" t="s">
        <v>76</v>
      </c>
      <c r="H10" s="1" t="s">
        <v>77</v>
      </c>
      <c r="I10" s="1" t="s">
        <v>78</v>
      </c>
      <c r="J10" s="1" t="s">
        <v>79</v>
      </c>
      <c r="K10" s="1" t="s">
        <v>80</v>
      </c>
      <c r="L10" s="1" t="s">
        <v>81</v>
      </c>
      <c r="M10" s="1" t="s">
        <v>118</v>
      </c>
      <c r="N10" s="1" t="s">
        <v>119</v>
      </c>
      <c r="O10" s="1" t="s">
        <v>120</v>
      </c>
      <c r="P10" s="1" t="s">
        <v>121</v>
      </c>
      <c r="Q10" s="1" t="s">
        <v>7</v>
      </c>
    </row>
    <row r="11" spans="1:17" x14ac:dyDescent="0.2">
      <c r="A11" s="8" t="s">
        <v>7</v>
      </c>
      <c r="B11" s="8" t="s">
        <v>124</v>
      </c>
      <c r="C11" s="8" t="s">
        <v>7</v>
      </c>
      <c r="D11" s="8" t="s">
        <v>7</v>
      </c>
      <c r="E11" s="8" t="s">
        <v>7</v>
      </c>
      <c r="F11" s="8" t="s">
        <v>7</v>
      </c>
      <c r="G11" s="10">
        <v>0</v>
      </c>
      <c r="H11" s="8" t="s">
        <v>7</v>
      </c>
      <c r="I11" s="9">
        <v>0</v>
      </c>
      <c r="J11" s="9">
        <v>0</v>
      </c>
      <c r="K11" s="10">
        <v>0</v>
      </c>
      <c r="L11" s="8" t="s">
        <v>7</v>
      </c>
      <c r="M11" s="10">
        <v>0</v>
      </c>
      <c r="N11" s="8" t="s">
        <v>7</v>
      </c>
      <c r="O11" s="9">
        <v>0</v>
      </c>
      <c r="P11" s="9">
        <v>0</v>
      </c>
      <c r="Q11" s="8" t="s">
        <v>7</v>
      </c>
    </row>
    <row r="12" spans="1:17" x14ac:dyDescent="0.2">
      <c r="A12" s="3" t="s">
        <v>7</v>
      </c>
      <c r="B12" s="3" t="s">
        <v>83</v>
      </c>
      <c r="C12" s="3" t="s">
        <v>7</v>
      </c>
      <c r="D12" s="3" t="s">
        <v>7</v>
      </c>
      <c r="E12" s="3" t="s">
        <v>7</v>
      </c>
      <c r="F12" s="3" t="s">
        <v>7</v>
      </c>
      <c r="G12" s="12">
        <v>0</v>
      </c>
      <c r="H12" s="3" t="s">
        <v>7</v>
      </c>
      <c r="I12" s="11">
        <v>0</v>
      </c>
      <c r="J12" s="11">
        <v>0</v>
      </c>
      <c r="K12" s="12">
        <v>0</v>
      </c>
      <c r="L12" s="3" t="s">
        <v>7</v>
      </c>
      <c r="M12" s="12">
        <v>0</v>
      </c>
      <c r="N12" s="3" t="s">
        <v>7</v>
      </c>
      <c r="O12" s="11">
        <v>0</v>
      </c>
      <c r="P12" s="11">
        <v>0</v>
      </c>
      <c r="Q12" s="3" t="s">
        <v>7</v>
      </c>
    </row>
    <row r="13" spans="1:17" x14ac:dyDescent="0.2">
      <c r="A13" s="3" t="s">
        <v>7</v>
      </c>
      <c r="B13" s="3" t="s">
        <v>102</v>
      </c>
      <c r="C13" s="3" t="s">
        <v>7</v>
      </c>
      <c r="D13" s="3" t="s">
        <v>7</v>
      </c>
      <c r="E13" s="3" t="s">
        <v>7</v>
      </c>
      <c r="F13" s="3" t="s">
        <v>7</v>
      </c>
      <c r="G13" s="12">
        <v>0</v>
      </c>
      <c r="H13" s="3" t="s">
        <v>7</v>
      </c>
      <c r="I13" s="11">
        <v>0</v>
      </c>
      <c r="J13" s="11">
        <v>0</v>
      </c>
      <c r="K13" s="12">
        <v>0</v>
      </c>
      <c r="L13" s="3" t="s">
        <v>7</v>
      </c>
      <c r="M13" s="12">
        <v>0</v>
      </c>
      <c r="N13" s="3" t="s">
        <v>7</v>
      </c>
      <c r="O13" s="11">
        <v>0</v>
      </c>
      <c r="P13" s="11">
        <v>0</v>
      </c>
      <c r="Q13" s="3" t="s">
        <v>7</v>
      </c>
    </row>
    <row r="14" spans="1:17" x14ac:dyDescent="0.2">
      <c r="A14" s="3" t="s">
        <v>7</v>
      </c>
      <c r="B14" s="3" t="s">
        <v>143</v>
      </c>
      <c r="C14" s="3" t="s">
        <v>7</v>
      </c>
      <c r="D14" s="3" t="s">
        <v>7</v>
      </c>
      <c r="E14" s="3" t="s">
        <v>7</v>
      </c>
      <c r="F14" s="3" t="s">
        <v>7</v>
      </c>
      <c r="G14" s="12">
        <v>0</v>
      </c>
      <c r="H14" s="3" t="s">
        <v>7</v>
      </c>
      <c r="I14" s="11">
        <v>0</v>
      </c>
      <c r="J14" s="11">
        <v>0</v>
      </c>
      <c r="K14" s="12">
        <v>0</v>
      </c>
      <c r="L14" s="3" t="s">
        <v>7</v>
      </c>
      <c r="M14" s="12">
        <v>0</v>
      </c>
      <c r="N14" s="3" t="s">
        <v>7</v>
      </c>
      <c r="O14" s="11">
        <v>0</v>
      </c>
      <c r="P14" s="11">
        <v>0</v>
      </c>
      <c r="Q14" s="3" t="s">
        <v>7</v>
      </c>
    </row>
    <row r="15" spans="1:17" x14ac:dyDescent="0.2">
      <c r="A15" s="3" t="s">
        <v>7</v>
      </c>
      <c r="B15" s="3" t="s">
        <v>645</v>
      </c>
      <c r="C15" s="3" t="s">
        <v>7</v>
      </c>
      <c r="D15" s="3" t="s">
        <v>7</v>
      </c>
      <c r="E15" s="3" t="s">
        <v>7</v>
      </c>
      <c r="F15" s="3" t="s">
        <v>7</v>
      </c>
      <c r="G15" s="12">
        <v>0</v>
      </c>
      <c r="H15" s="3" t="s">
        <v>7</v>
      </c>
      <c r="I15" s="11">
        <v>0</v>
      </c>
      <c r="J15" s="11">
        <v>0</v>
      </c>
      <c r="K15" s="12">
        <v>0</v>
      </c>
      <c r="L15" s="3" t="s">
        <v>7</v>
      </c>
      <c r="M15" s="12">
        <v>0</v>
      </c>
      <c r="N15" s="3" t="s">
        <v>7</v>
      </c>
      <c r="O15" s="11">
        <v>0</v>
      </c>
      <c r="P15" s="11">
        <v>0</v>
      </c>
      <c r="Q15" s="3" t="s">
        <v>7</v>
      </c>
    </row>
    <row r="16" spans="1:17" x14ac:dyDescent="0.2">
      <c r="A16" s="8" t="s">
        <v>7</v>
      </c>
      <c r="B16" s="8" t="s">
        <v>104</v>
      </c>
      <c r="C16" s="8" t="s">
        <v>7</v>
      </c>
      <c r="D16" s="8" t="s">
        <v>7</v>
      </c>
      <c r="E16" s="8" t="s">
        <v>7</v>
      </c>
      <c r="F16" s="8" t="s">
        <v>7</v>
      </c>
      <c r="G16" s="8" t="s">
        <v>7</v>
      </c>
      <c r="H16" s="8" t="s">
        <v>7</v>
      </c>
      <c r="I16" s="8" t="s">
        <v>7</v>
      </c>
      <c r="J16" s="8" t="s">
        <v>7</v>
      </c>
      <c r="K16" s="8" t="s">
        <v>7</v>
      </c>
      <c r="L16" s="8" t="s">
        <v>7</v>
      </c>
      <c r="M16" s="8" t="s">
        <v>7</v>
      </c>
      <c r="N16" s="8" t="s">
        <v>7</v>
      </c>
      <c r="O16" s="8" t="s">
        <v>7</v>
      </c>
      <c r="P16" s="8" t="s">
        <v>7</v>
      </c>
      <c r="Q16" s="8" t="s">
        <v>7</v>
      </c>
    </row>
    <row r="17" spans="1:17" x14ac:dyDescent="0.2">
      <c r="A17" s="8" t="s">
        <v>7</v>
      </c>
      <c r="B17" s="8" t="s">
        <v>149</v>
      </c>
      <c r="C17" s="8" t="s">
        <v>7</v>
      </c>
      <c r="D17" s="8" t="s">
        <v>7</v>
      </c>
      <c r="E17" s="8" t="s">
        <v>7</v>
      </c>
      <c r="F17" s="8" t="s">
        <v>7</v>
      </c>
      <c r="G17" s="8" t="s">
        <v>7</v>
      </c>
      <c r="H17" s="8" t="s">
        <v>7</v>
      </c>
      <c r="I17" s="8" t="s">
        <v>7</v>
      </c>
      <c r="J17" s="8" t="s">
        <v>7</v>
      </c>
      <c r="K17" s="8" t="s">
        <v>7</v>
      </c>
      <c r="L17" s="8" t="s">
        <v>7</v>
      </c>
      <c r="M17" s="8" t="s">
        <v>7</v>
      </c>
      <c r="N17" s="8" t="s">
        <v>7</v>
      </c>
      <c r="O17" s="8" t="s">
        <v>7</v>
      </c>
      <c r="P17" s="8" t="s">
        <v>7</v>
      </c>
      <c r="Q17" s="8" t="s">
        <v>7</v>
      </c>
    </row>
    <row r="18" spans="1:17" x14ac:dyDescent="0.2">
      <c r="A18" s="7" t="s">
        <v>60</v>
      </c>
      <c r="B18" s="7" t="s">
        <v>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2"/>
  <sheetViews>
    <sheetView rightToLeft="1" workbookViewId="0"/>
  </sheetViews>
  <sheetFormatPr defaultRowHeight="14.25" x14ac:dyDescent="0.2"/>
  <cols>
    <col min="1" max="1" width="2" customWidth="1"/>
    <col min="2" max="2" width="43" customWidth="1"/>
    <col min="3" max="4" width="11" customWidth="1"/>
    <col min="5" max="5" width="12" customWidth="1"/>
    <col min="6" max="6" width="10" customWidth="1"/>
    <col min="7" max="7" width="7" customWidth="1"/>
    <col min="8" max="8" width="9" customWidth="1"/>
    <col min="9" max="9" width="13" customWidth="1"/>
    <col min="10" max="10" width="6" customWidth="1"/>
    <col min="11" max="11" width="10" customWidth="1"/>
    <col min="12" max="12" width="13" customWidth="1"/>
    <col min="13" max="13" width="15" customWidth="1"/>
    <col min="14" max="14" width="10" customWidth="1"/>
    <col min="15" max="15" width="8" customWidth="1"/>
    <col min="16" max="16" width="11" customWidth="1"/>
    <col min="17" max="17" width="22" customWidth="1"/>
    <col min="18" max="18" width="24" customWidth="1"/>
    <col min="19" max="19" width="23" customWidth="1"/>
    <col min="20" max="20" width="2" customWidth="1"/>
  </cols>
  <sheetData>
    <row r="1" spans="1:20" x14ac:dyDescent="0.2">
      <c r="B1" s="7" t="s">
        <v>0</v>
      </c>
      <c r="C1" s="7" t="s">
        <v>1</v>
      </c>
    </row>
    <row r="2" spans="1:20" x14ac:dyDescent="0.2">
      <c r="B2" s="7" t="s">
        <v>2</v>
      </c>
      <c r="C2" s="7" t="s">
        <v>3</v>
      </c>
    </row>
    <row r="3" spans="1:20" x14ac:dyDescent="0.2">
      <c r="B3" s="7" t="s">
        <v>4</v>
      </c>
      <c r="C3" s="7" t="s">
        <v>5</v>
      </c>
    </row>
    <row r="4" spans="1:20" x14ac:dyDescent="0.2">
      <c r="B4" s="7" t="s">
        <v>6</v>
      </c>
      <c r="C4" s="7">
        <v>408</v>
      </c>
    </row>
    <row r="5" spans="1:20" x14ac:dyDescent="0.2">
      <c r="B5" s="7" t="s">
        <v>7</v>
      </c>
      <c r="C5" s="7" t="s">
        <v>7</v>
      </c>
    </row>
    <row r="6" spans="1:20" x14ac:dyDescent="0.2">
      <c r="A6" s="1" t="s">
        <v>7</v>
      </c>
      <c r="B6" s="1" t="s">
        <v>643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  <c r="S6" s="1" t="s">
        <v>7</v>
      </c>
      <c r="T6" s="1" t="s">
        <v>7</v>
      </c>
    </row>
    <row r="7" spans="1:20" x14ac:dyDescent="0.2">
      <c r="A7" s="1" t="s">
        <v>7</v>
      </c>
      <c r="B7" s="1" t="s">
        <v>646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  <c r="S7" s="1" t="s">
        <v>7</v>
      </c>
      <c r="T7" s="1" t="s">
        <v>7</v>
      </c>
    </row>
    <row r="8" spans="1:20" x14ac:dyDescent="0.2">
      <c r="A8" s="1" t="s">
        <v>7</v>
      </c>
      <c r="B8" s="1" t="s">
        <v>63</v>
      </c>
      <c r="C8" s="1" t="s">
        <v>64</v>
      </c>
      <c r="D8" s="1" t="s">
        <v>151</v>
      </c>
      <c r="E8" s="1" t="s">
        <v>65</v>
      </c>
      <c r="F8" s="1" t="s">
        <v>152</v>
      </c>
      <c r="G8" s="1" t="s">
        <v>66</v>
      </c>
      <c r="H8" s="1" t="s">
        <v>67</v>
      </c>
      <c r="I8" s="1" t="s">
        <v>108</v>
      </c>
      <c r="J8" s="1" t="s">
        <v>109</v>
      </c>
      <c r="K8" s="1" t="s">
        <v>68</v>
      </c>
      <c r="L8" s="1" t="s">
        <v>69</v>
      </c>
      <c r="M8" s="1" t="s">
        <v>70</v>
      </c>
      <c r="N8" s="1" t="s">
        <v>110</v>
      </c>
      <c r="O8" s="1" t="s">
        <v>111</v>
      </c>
      <c r="P8" s="1" t="s">
        <v>9</v>
      </c>
      <c r="Q8" s="1" t="s">
        <v>113</v>
      </c>
      <c r="R8" s="1" t="s">
        <v>72</v>
      </c>
      <c r="S8" s="1" t="s">
        <v>114</v>
      </c>
      <c r="T8" s="1" t="s">
        <v>7</v>
      </c>
    </row>
    <row r="9" spans="1:20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163</v>
      </c>
      <c r="J9" s="1" t="s">
        <v>115</v>
      </c>
      <c r="K9" s="1" t="s">
        <v>7</v>
      </c>
      <c r="L9" s="1" t="s">
        <v>12</v>
      </c>
      <c r="M9" s="1" t="s">
        <v>12</v>
      </c>
      <c r="N9" s="1" t="s">
        <v>116</v>
      </c>
      <c r="O9" s="1" t="s">
        <v>117</v>
      </c>
      <c r="P9" s="1" t="s">
        <v>11</v>
      </c>
      <c r="Q9" s="1" t="s">
        <v>12</v>
      </c>
      <c r="R9" s="1" t="s">
        <v>12</v>
      </c>
      <c r="S9" s="1" t="s">
        <v>12</v>
      </c>
      <c r="T9" s="1" t="s">
        <v>7</v>
      </c>
    </row>
    <row r="10" spans="1:20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74</v>
      </c>
      <c r="F10" s="1" t="s">
        <v>75</v>
      </c>
      <c r="G10" s="1" t="s">
        <v>76</v>
      </c>
      <c r="H10" s="1" t="s">
        <v>77</v>
      </c>
      <c r="I10" s="1" t="s">
        <v>78</v>
      </c>
      <c r="J10" s="1" t="s">
        <v>79</v>
      </c>
      <c r="K10" s="1" t="s">
        <v>80</v>
      </c>
      <c r="L10" s="1" t="s">
        <v>81</v>
      </c>
      <c r="M10" s="1" t="s">
        <v>118</v>
      </c>
      <c r="N10" s="1" t="s">
        <v>119</v>
      </c>
      <c r="O10" s="1" t="s">
        <v>120</v>
      </c>
      <c r="P10" s="1" t="s">
        <v>121</v>
      </c>
      <c r="Q10" s="1" t="s">
        <v>122</v>
      </c>
      <c r="R10" s="1" t="s">
        <v>123</v>
      </c>
      <c r="S10" s="1" t="s">
        <v>153</v>
      </c>
      <c r="T10" s="1" t="s">
        <v>7</v>
      </c>
    </row>
    <row r="11" spans="1:20" x14ac:dyDescent="0.2">
      <c r="A11" s="8" t="s">
        <v>7</v>
      </c>
      <c r="B11" s="8" t="s">
        <v>156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8" t="s">
        <v>7</v>
      </c>
      <c r="I11" s="8" t="s">
        <v>7</v>
      </c>
      <c r="J11" s="10">
        <v>0</v>
      </c>
      <c r="K11" s="8" t="s">
        <v>7</v>
      </c>
      <c r="L11" s="9">
        <v>0</v>
      </c>
      <c r="M11" s="9">
        <v>0</v>
      </c>
      <c r="N11" s="10">
        <v>0</v>
      </c>
      <c r="O11" s="8" t="s">
        <v>7</v>
      </c>
      <c r="P11" s="10">
        <v>0</v>
      </c>
      <c r="Q11" s="8" t="s">
        <v>7</v>
      </c>
      <c r="R11" s="9">
        <v>0</v>
      </c>
      <c r="S11" s="9">
        <v>0</v>
      </c>
      <c r="T11" s="8" t="s">
        <v>7</v>
      </c>
    </row>
    <row r="12" spans="1:20" x14ac:dyDescent="0.2">
      <c r="A12" s="3" t="s">
        <v>7</v>
      </c>
      <c r="B12" s="3" t="s">
        <v>83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3" t="s">
        <v>7</v>
      </c>
      <c r="J12" s="12">
        <v>0</v>
      </c>
      <c r="K12" s="3" t="s">
        <v>7</v>
      </c>
      <c r="L12" s="11">
        <v>0</v>
      </c>
      <c r="M12" s="11">
        <v>0</v>
      </c>
      <c r="N12" s="12">
        <v>0</v>
      </c>
      <c r="O12" s="3" t="s">
        <v>7</v>
      </c>
      <c r="P12" s="12">
        <v>0</v>
      </c>
      <c r="Q12" s="3" t="s">
        <v>7</v>
      </c>
      <c r="R12" s="11">
        <v>0</v>
      </c>
      <c r="S12" s="11">
        <v>0</v>
      </c>
      <c r="T12" s="3" t="s">
        <v>7</v>
      </c>
    </row>
    <row r="13" spans="1:20" x14ac:dyDescent="0.2">
      <c r="A13" s="3" t="s">
        <v>7</v>
      </c>
      <c r="B13" s="3" t="s">
        <v>647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3" t="s">
        <v>7</v>
      </c>
      <c r="J13" s="12">
        <v>0</v>
      </c>
      <c r="K13" s="3" t="s">
        <v>7</v>
      </c>
      <c r="L13" s="11">
        <v>0</v>
      </c>
      <c r="M13" s="11">
        <v>0</v>
      </c>
      <c r="N13" s="12">
        <v>0</v>
      </c>
      <c r="O13" s="3" t="s">
        <v>7</v>
      </c>
      <c r="P13" s="12">
        <v>0</v>
      </c>
      <c r="Q13" s="3" t="s">
        <v>7</v>
      </c>
      <c r="R13" s="11">
        <v>0</v>
      </c>
      <c r="S13" s="11">
        <v>0</v>
      </c>
      <c r="T13" s="3" t="s">
        <v>7</v>
      </c>
    </row>
    <row r="14" spans="1:20" x14ac:dyDescent="0.2">
      <c r="A14" s="3" t="s">
        <v>7</v>
      </c>
      <c r="B14" s="3" t="s">
        <v>648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3" t="s">
        <v>7</v>
      </c>
      <c r="I14" s="3" t="s">
        <v>7</v>
      </c>
      <c r="J14" s="12">
        <v>0</v>
      </c>
      <c r="K14" s="3" t="s">
        <v>7</v>
      </c>
      <c r="L14" s="11">
        <v>0</v>
      </c>
      <c r="M14" s="11">
        <v>0</v>
      </c>
      <c r="N14" s="12">
        <v>0</v>
      </c>
      <c r="O14" s="3" t="s">
        <v>7</v>
      </c>
      <c r="P14" s="12">
        <v>0</v>
      </c>
      <c r="Q14" s="3" t="s">
        <v>7</v>
      </c>
      <c r="R14" s="11">
        <v>0</v>
      </c>
      <c r="S14" s="11">
        <v>0</v>
      </c>
      <c r="T14" s="3" t="s">
        <v>7</v>
      </c>
    </row>
    <row r="15" spans="1:20" x14ac:dyDescent="0.2">
      <c r="A15" s="3" t="s">
        <v>7</v>
      </c>
      <c r="B15" s="3" t="s">
        <v>158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3" t="s">
        <v>7</v>
      </c>
      <c r="I15" s="3" t="s">
        <v>7</v>
      </c>
      <c r="J15" s="12">
        <v>0</v>
      </c>
      <c r="K15" s="3" t="s">
        <v>7</v>
      </c>
      <c r="L15" s="11">
        <v>0</v>
      </c>
      <c r="M15" s="11">
        <v>0</v>
      </c>
      <c r="N15" s="12">
        <v>0</v>
      </c>
      <c r="O15" s="3" t="s">
        <v>7</v>
      </c>
      <c r="P15" s="12">
        <v>0</v>
      </c>
      <c r="Q15" s="3" t="s">
        <v>7</v>
      </c>
      <c r="R15" s="11">
        <v>0</v>
      </c>
      <c r="S15" s="11">
        <v>0</v>
      </c>
      <c r="T15" s="3" t="s">
        <v>7</v>
      </c>
    </row>
    <row r="16" spans="1:20" x14ac:dyDescent="0.2">
      <c r="A16" s="3" t="s">
        <v>7</v>
      </c>
      <c r="B16" s="3" t="s">
        <v>471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3" t="s">
        <v>7</v>
      </c>
      <c r="I16" s="3" t="s">
        <v>7</v>
      </c>
      <c r="J16" s="3" t="s">
        <v>7</v>
      </c>
      <c r="K16" s="3" t="s">
        <v>7</v>
      </c>
      <c r="L16" s="3" t="s">
        <v>7</v>
      </c>
      <c r="M16" s="3" t="s">
        <v>7</v>
      </c>
      <c r="N16" s="3" t="s">
        <v>7</v>
      </c>
      <c r="O16" s="3" t="s">
        <v>7</v>
      </c>
      <c r="P16" s="3" t="s">
        <v>7</v>
      </c>
      <c r="Q16" s="3" t="s">
        <v>7</v>
      </c>
      <c r="R16" s="3" t="s">
        <v>7</v>
      </c>
      <c r="S16" s="3" t="s">
        <v>7</v>
      </c>
      <c r="T16" s="3" t="s">
        <v>7</v>
      </c>
    </row>
    <row r="17" spans="1:20" x14ac:dyDescent="0.2">
      <c r="A17" s="3" t="s">
        <v>7</v>
      </c>
      <c r="B17" s="3" t="s">
        <v>102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3" t="s">
        <v>7</v>
      </c>
      <c r="J17" s="12">
        <v>0</v>
      </c>
      <c r="K17" s="3" t="s">
        <v>7</v>
      </c>
      <c r="L17" s="11">
        <v>0</v>
      </c>
      <c r="M17" s="11">
        <v>0</v>
      </c>
      <c r="N17" s="12">
        <v>0</v>
      </c>
      <c r="O17" s="3" t="s">
        <v>7</v>
      </c>
      <c r="P17" s="12">
        <v>0</v>
      </c>
      <c r="Q17" s="3" t="s">
        <v>7</v>
      </c>
      <c r="R17" s="11">
        <v>0</v>
      </c>
      <c r="S17" s="11">
        <v>0</v>
      </c>
      <c r="T17" s="3" t="s">
        <v>7</v>
      </c>
    </row>
    <row r="18" spans="1:20" x14ac:dyDescent="0.2">
      <c r="A18" s="3" t="s">
        <v>7</v>
      </c>
      <c r="B18" s="3" t="s">
        <v>649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3" t="s">
        <v>7</v>
      </c>
      <c r="J18" s="12">
        <v>0</v>
      </c>
      <c r="K18" s="3" t="s">
        <v>7</v>
      </c>
      <c r="L18" s="11">
        <v>0</v>
      </c>
      <c r="M18" s="11">
        <v>0</v>
      </c>
      <c r="N18" s="12">
        <v>0</v>
      </c>
      <c r="O18" s="3" t="s">
        <v>7</v>
      </c>
      <c r="P18" s="12">
        <v>0</v>
      </c>
      <c r="Q18" s="3" t="s">
        <v>7</v>
      </c>
      <c r="R18" s="11">
        <v>0</v>
      </c>
      <c r="S18" s="11">
        <v>0</v>
      </c>
      <c r="T18" s="3" t="s">
        <v>7</v>
      </c>
    </row>
    <row r="19" spans="1:20" x14ac:dyDescent="0.2">
      <c r="A19" s="3" t="s">
        <v>7</v>
      </c>
      <c r="B19" s="3" t="s">
        <v>650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7</v>
      </c>
      <c r="H19" s="3" t="s">
        <v>7</v>
      </c>
      <c r="I19" s="3" t="s">
        <v>7</v>
      </c>
      <c r="J19" s="12">
        <v>0</v>
      </c>
      <c r="K19" s="3" t="s">
        <v>7</v>
      </c>
      <c r="L19" s="11">
        <v>0</v>
      </c>
      <c r="M19" s="11">
        <v>0</v>
      </c>
      <c r="N19" s="12">
        <v>0</v>
      </c>
      <c r="O19" s="3" t="s">
        <v>7</v>
      </c>
      <c r="P19" s="12">
        <v>0</v>
      </c>
      <c r="Q19" s="3" t="s">
        <v>7</v>
      </c>
      <c r="R19" s="11">
        <v>0</v>
      </c>
      <c r="S19" s="11">
        <v>0</v>
      </c>
      <c r="T19" s="3" t="s">
        <v>7</v>
      </c>
    </row>
    <row r="20" spans="1:20" x14ac:dyDescent="0.2">
      <c r="A20" s="8" t="s">
        <v>7</v>
      </c>
      <c r="B20" s="8" t="s">
        <v>104</v>
      </c>
      <c r="C20" s="8" t="s">
        <v>7</v>
      </c>
      <c r="D20" s="8" t="s">
        <v>7</v>
      </c>
      <c r="E20" s="8" t="s">
        <v>7</v>
      </c>
      <c r="F20" s="8" t="s">
        <v>7</v>
      </c>
      <c r="G20" s="8" t="s">
        <v>7</v>
      </c>
      <c r="H20" s="8" t="s">
        <v>7</v>
      </c>
      <c r="I20" s="8" t="s">
        <v>7</v>
      </c>
      <c r="J20" s="8" t="s">
        <v>7</v>
      </c>
      <c r="K20" s="8" t="s">
        <v>7</v>
      </c>
      <c r="L20" s="8" t="s">
        <v>7</v>
      </c>
      <c r="M20" s="8" t="s">
        <v>7</v>
      </c>
      <c r="N20" s="8" t="s">
        <v>7</v>
      </c>
      <c r="O20" s="8" t="s">
        <v>7</v>
      </c>
      <c r="P20" s="8" t="s">
        <v>7</v>
      </c>
      <c r="Q20" s="8" t="s">
        <v>7</v>
      </c>
      <c r="R20" s="8" t="s">
        <v>7</v>
      </c>
      <c r="S20" s="8" t="s">
        <v>7</v>
      </c>
      <c r="T20" s="8" t="s">
        <v>7</v>
      </c>
    </row>
    <row r="21" spans="1:20" x14ac:dyDescent="0.2">
      <c r="A21" s="8" t="s">
        <v>7</v>
      </c>
      <c r="B21" s="8" t="s">
        <v>149</v>
      </c>
      <c r="C21" s="8" t="s">
        <v>7</v>
      </c>
      <c r="D21" s="8" t="s">
        <v>7</v>
      </c>
      <c r="E21" s="8" t="s">
        <v>7</v>
      </c>
      <c r="F21" s="8" t="s">
        <v>7</v>
      </c>
      <c r="G21" s="8" t="s">
        <v>7</v>
      </c>
      <c r="H21" s="8" t="s">
        <v>7</v>
      </c>
      <c r="I21" s="8" t="s">
        <v>7</v>
      </c>
      <c r="J21" s="8" t="s">
        <v>7</v>
      </c>
      <c r="K21" s="8" t="s">
        <v>7</v>
      </c>
      <c r="L21" s="8" t="s">
        <v>7</v>
      </c>
      <c r="M21" s="8" t="s">
        <v>7</v>
      </c>
      <c r="N21" s="8" t="s">
        <v>7</v>
      </c>
      <c r="O21" s="8" t="s">
        <v>7</v>
      </c>
      <c r="P21" s="8" t="s">
        <v>7</v>
      </c>
      <c r="Q21" s="8" t="s">
        <v>7</v>
      </c>
      <c r="R21" s="8" t="s">
        <v>7</v>
      </c>
      <c r="S21" s="8" t="s">
        <v>7</v>
      </c>
      <c r="T21" s="8" t="s">
        <v>7</v>
      </c>
    </row>
    <row r="22" spans="1:20" x14ac:dyDescent="0.2">
      <c r="A22" s="7" t="s">
        <v>60</v>
      </c>
      <c r="B22" s="7" t="s">
        <v>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9"/>
  <sheetViews>
    <sheetView rightToLeft="1" workbookViewId="0">
      <selection activeCell="F17" sqref="F17"/>
    </sheetView>
  </sheetViews>
  <sheetFormatPr defaultRowHeight="14.25" x14ac:dyDescent="0.2"/>
  <cols>
    <col min="1" max="1" width="2" customWidth="1"/>
    <col min="2" max="2" width="38" customWidth="1"/>
    <col min="3" max="3" width="12" customWidth="1"/>
    <col min="4" max="4" width="11" customWidth="1"/>
    <col min="5" max="5" width="12" customWidth="1"/>
    <col min="6" max="6" width="19" customWidth="1"/>
    <col min="7" max="7" width="8" customWidth="1"/>
    <col min="8" max="8" width="11" customWidth="1"/>
    <col min="9" max="9" width="13" customWidth="1"/>
    <col min="10" max="10" width="6" customWidth="1"/>
    <col min="11" max="11" width="14" customWidth="1"/>
    <col min="12" max="12" width="13" customWidth="1"/>
    <col min="13" max="14" width="15" customWidth="1"/>
    <col min="15" max="15" width="8" customWidth="1"/>
    <col min="16" max="16" width="11" customWidth="1"/>
    <col min="17" max="17" width="22" customWidth="1"/>
    <col min="18" max="18" width="24" customWidth="1"/>
    <col min="19" max="19" width="23" customWidth="1"/>
    <col min="20" max="20" width="2" customWidth="1"/>
  </cols>
  <sheetData>
    <row r="1" spans="1:20" x14ac:dyDescent="0.2">
      <c r="B1" s="7" t="s">
        <v>0</v>
      </c>
      <c r="C1" s="7" t="s">
        <v>1</v>
      </c>
    </row>
    <row r="2" spans="1:20" x14ac:dyDescent="0.2">
      <c r="B2" s="7" t="s">
        <v>2</v>
      </c>
      <c r="C2" s="7" t="s">
        <v>3</v>
      </c>
    </row>
    <row r="3" spans="1:20" x14ac:dyDescent="0.2">
      <c r="B3" s="7" t="s">
        <v>4</v>
      </c>
      <c r="C3" s="7" t="s">
        <v>5</v>
      </c>
    </row>
    <row r="4" spans="1:20" x14ac:dyDescent="0.2">
      <c r="B4" s="7" t="s">
        <v>6</v>
      </c>
      <c r="C4" s="7">
        <v>408</v>
      </c>
    </row>
    <row r="5" spans="1:20" x14ac:dyDescent="0.2">
      <c r="B5" s="7" t="s">
        <v>7</v>
      </c>
      <c r="C5" s="7" t="s">
        <v>7</v>
      </c>
    </row>
    <row r="6" spans="1:20" x14ac:dyDescent="0.2">
      <c r="A6" s="1" t="s">
        <v>7</v>
      </c>
      <c r="B6" s="1" t="s">
        <v>643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  <c r="S6" s="1" t="s">
        <v>7</v>
      </c>
      <c r="T6" s="1" t="s">
        <v>7</v>
      </c>
    </row>
    <row r="7" spans="1:20" x14ac:dyDescent="0.2">
      <c r="A7" s="1" t="s">
        <v>7</v>
      </c>
      <c r="B7" s="1" t="s">
        <v>651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  <c r="S7" s="1" t="s">
        <v>7</v>
      </c>
      <c r="T7" s="1" t="s">
        <v>7</v>
      </c>
    </row>
    <row r="8" spans="1:20" x14ac:dyDescent="0.2">
      <c r="A8" s="1" t="s">
        <v>7</v>
      </c>
      <c r="B8" s="1" t="s">
        <v>63</v>
      </c>
      <c r="C8" s="1" t="s">
        <v>64</v>
      </c>
      <c r="D8" s="1" t="s">
        <v>151</v>
      </c>
      <c r="E8" s="1" t="s">
        <v>65</v>
      </c>
      <c r="F8" s="1" t="s">
        <v>152</v>
      </c>
      <c r="G8" s="1" t="s">
        <v>66</v>
      </c>
      <c r="H8" s="1" t="s">
        <v>67</v>
      </c>
      <c r="I8" s="1" t="s">
        <v>108</v>
      </c>
      <c r="J8" s="1" t="s">
        <v>109</v>
      </c>
      <c r="K8" s="1" t="s">
        <v>68</v>
      </c>
      <c r="L8" s="1" t="s">
        <v>69</v>
      </c>
      <c r="M8" s="1" t="s">
        <v>70</v>
      </c>
      <c r="N8" s="1" t="s">
        <v>110</v>
      </c>
      <c r="O8" s="1" t="s">
        <v>111</v>
      </c>
      <c r="P8" s="1" t="s">
        <v>9</v>
      </c>
      <c r="Q8" s="1" t="s">
        <v>113</v>
      </c>
      <c r="R8" s="1" t="s">
        <v>72</v>
      </c>
      <c r="S8" s="1" t="s">
        <v>114</v>
      </c>
      <c r="T8" s="1" t="s">
        <v>7</v>
      </c>
    </row>
    <row r="9" spans="1:20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7</v>
      </c>
      <c r="J9" s="1" t="s">
        <v>115</v>
      </c>
      <c r="K9" s="1" t="s">
        <v>7</v>
      </c>
      <c r="L9" s="1" t="s">
        <v>12</v>
      </c>
      <c r="M9" s="1" t="s">
        <v>12</v>
      </c>
      <c r="N9" s="1" t="s">
        <v>116</v>
      </c>
      <c r="O9" s="1" t="s">
        <v>117</v>
      </c>
      <c r="P9" s="1" t="s">
        <v>11</v>
      </c>
      <c r="Q9" s="1" t="s">
        <v>12</v>
      </c>
      <c r="R9" s="1" t="s">
        <v>12</v>
      </c>
      <c r="S9" s="1" t="s">
        <v>12</v>
      </c>
      <c r="T9" s="1" t="s">
        <v>7</v>
      </c>
    </row>
    <row r="10" spans="1:20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74</v>
      </c>
      <c r="F10" s="1" t="s">
        <v>75</v>
      </c>
      <c r="G10" s="1" t="s">
        <v>76</v>
      </c>
      <c r="H10" s="1" t="s">
        <v>77</v>
      </c>
      <c r="I10" s="1" t="s">
        <v>78</v>
      </c>
      <c r="J10" s="1" t="s">
        <v>79</v>
      </c>
      <c r="K10" s="1" t="s">
        <v>80</v>
      </c>
      <c r="L10" s="1" t="s">
        <v>81</v>
      </c>
      <c r="M10" s="1" t="s">
        <v>118</v>
      </c>
      <c r="N10" s="1" t="s">
        <v>119</v>
      </c>
      <c r="O10" s="1" t="s">
        <v>120</v>
      </c>
      <c r="P10" s="1" t="s">
        <v>121</v>
      </c>
      <c r="Q10" s="1" t="s">
        <v>122</v>
      </c>
      <c r="R10" s="1" t="s">
        <v>123</v>
      </c>
      <c r="S10" s="1" t="s">
        <v>153</v>
      </c>
      <c r="T10" s="1" t="s">
        <v>7</v>
      </c>
    </row>
    <row r="11" spans="1:20" x14ac:dyDescent="0.2">
      <c r="A11" s="8" t="s">
        <v>7</v>
      </c>
      <c r="B11" s="8" t="s">
        <v>583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8" t="s">
        <v>7</v>
      </c>
      <c r="I11" s="8" t="s">
        <v>7</v>
      </c>
      <c r="J11" s="10">
        <v>1.57</v>
      </c>
      <c r="K11" s="8" t="s">
        <v>7</v>
      </c>
      <c r="L11" s="9">
        <v>4.2500000000000003E-2</v>
      </c>
      <c r="M11" s="9">
        <v>0.04</v>
      </c>
      <c r="N11" s="10">
        <v>27679820.969999999</v>
      </c>
      <c r="O11" s="8" t="s">
        <v>7</v>
      </c>
      <c r="P11" s="10">
        <v>26539.14</v>
      </c>
      <c r="Q11" s="8" t="s">
        <v>7</v>
      </c>
      <c r="R11" s="9">
        <v>1</v>
      </c>
      <c r="S11" s="9">
        <v>7.4999999999999997E-3</v>
      </c>
      <c r="T11" s="8" t="s">
        <v>7</v>
      </c>
    </row>
    <row r="12" spans="1:20" x14ac:dyDescent="0.2">
      <c r="A12" s="3" t="s">
        <v>7</v>
      </c>
      <c r="B12" s="3" t="s">
        <v>83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3" t="s">
        <v>7</v>
      </c>
      <c r="J12" s="12">
        <v>1.57</v>
      </c>
      <c r="K12" s="3" t="s">
        <v>7</v>
      </c>
      <c r="L12" s="11">
        <v>4.2500000000000003E-2</v>
      </c>
      <c r="M12" s="11">
        <v>0.04</v>
      </c>
      <c r="N12" s="12">
        <v>27679820.969999999</v>
      </c>
      <c r="O12" s="3" t="s">
        <v>7</v>
      </c>
      <c r="P12" s="12">
        <v>26539.14</v>
      </c>
      <c r="Q12" s="3" t="s">
        <v>7</v>
      </c>
      <c r="R12" s="11">
        <v>1</v>
      </c>
      <c r="S12" s="11">
        <v>7.4999999999999997E-3</v>
      </c>
      <c r="T12" s="3" t="s">
        <v>7</v>
      </c>
    </row>
    <row r="13" spans="1:20" x14ac:dyDescent="0.2">
      <c r="A13" s="3" t="s">
        <v>7</v>
      </c>
      <c r="B13" s="3" t="s">
        <v>647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3" t="s">
        <v>7</v>
      </c>
      <c r="J13" s="12">
        <v>1.46</v>
      </c>
      <c r="K13" s="3" t="s">
        <v>7</v>
      </c>
      <c r="L13" s="11">
        <v>5.67E-2</v>
      </c>
      <c r="M13" s="11">
        <v>5.1499999999999997E-2</v>
      </c>
      <c r="N13" s="12">
        <v>19061899.760000002</v>
      </c>
      <c r="O13" s="3" t="s">
        <v>7</v>
      </c>
      <c r="P13" s="12">
        <v>17690.68</v>
      </c>
      <c r="Q13" s="3" t="s">
        <v>7</v>
      </c>
      <c r="R13" s="11">
        <v>0.66659999999999997</v>
      </c>
      <c r="S13" s="11">
        <v>5.0000000000000001E-3</v>
      </c>
      <c r="T13" s="3" t="s">
        <v>7</v>
      </c>
    </row>
    <row r="14" spans="1:20" x14ac:dyDescent="0.2">
      <c r="A14" s="13" t="s">
        <v>7</v>
      </c>
      <c r="B14" s="13" t="s">
        <v>652</v>
      </c>
      <c r="C14" s="14">
        <v>6001044</v>
      </c>
      <c r="D14" s="13" t="s">
        <v>7</v>
      </c>
      <c r="E14" s="14">
        <v>520000472</v>
      </c>
      <c r="F14" s="13" t="s">
        <v>229</v>
      </c>
      <c r="G14" s="13" t="s">
        <v>90</v>
      </c>
      <c r="H14" s="13" t="s">
        <v>87</v>
      </c>
      <c r="I14" s="13" t="s">
        <v>653</v>
      </c>
      <c r="J14" s="16">
        <v>0.19</v>
      </c>
      <c r="K14" s="13" t="s">
        <v>88</v>
      </c>
      <c r="L14" s="15">
        <v>4.5999999999999999E-2</v>
      </c>
      <c r="M14" s="15">
        <v>8.9999999999999993E-3</v>
      </c>
      <c r="N14" s="16">
        <v>250000</v>
      </c>
      <c r="O14" s="16">
        <v>297.05</v>
      </c>
      <c r="P14" s="16">
        <v>742.62</v>
      </c>
      <c r="Q14" s="15">
        <v>2.5000000000000001E-3</v>
      </c>
      <c r="R14" s="15">
        <v>2.8000000000000001E-2</v>
      </c>
      <c r="S14" s="15">
        <v>2.0000000000000001E-4</v>
      </c>
      <c r="T14" s="13" t="s">
        <v>7</v>
      </c>
    </row>
    <row r="15" spans="1:20" x14ac:dyDescent="0.2">
      <c r="A15" s="13" t="s">
        <v>7</v>
      </c>
      <c r="B15" s="13" t="s">
        <v>654</v>
      </c>
      <c r="C15" s="14">
        <v>6401764</v>
      </c>
      <c r="D15" s="13" t="s">
        <v>7</v>
      </c>
      <c r="E15" s="14">
        <v>520018078</v>
      </c>
      <c r="F15" s="13" t="s">
        <v>167</v>
      </c>
      <c r="G15" s="13" t="s">
        <v>90</v>
      </c>
      <c r="H15" s="13" t="s">
        <v>87</v>
      </c>
      <c r="I15" s="13" t="s">
        <v>653</v>
      </c>
      <c r="J15" s="16">
        <v>3.1</v>
      </c>
      <c r="K15" s="13" t="s">
        <v>88</v>
      </c>
      <c r="L15" s="15">
        <v>6.6000000000000003E-2</v>
      </c>
      <c r="M15" s="15">
        <v>1.8E-3</v>
      </c>
      <c r="N15" s="16">
        <v>1050000</v>
      </c>
      <c r="O15" s="16">
        <v>153.79</v>
      </c>
      <c r="P15" s="16">
        <v>1614.79</v>
      </c>
      <c r="Q15" s="15">
        <v>3.09E-2</v>
      </c>
      <c r="R15" s="15">
        <v>6.08E-2</v>
      </c>
      <c r="S15" s="15">
        <v>5.0000000000000001E-4</v>
      </c>
      <c r="T15" s="13" t="s">
        <v>7</v>
      </c>
    </row>
    <row r="16" spans="1:20" x14ac:dyDescent="0.2">
      <c r="A16" s="13" t="s">
        <v>7</v>
      </c>
      <c r="B16" s="13" t="s">
        <v>655</v>
      </c>
      <c r="C16" s="14">
        <v>6000129</v>
      </c>
      <c r="D16" s="13" t="s">
        <v>7</v>
      </c>
      <c r="E16" s="14">
        <v>520000472</v>
      </c>
      <c r="F16" s="13" t="s">
        <v>225</v>
      </c>
      <c r="G16" s="13" t="s">
        <v>258</v>
      </c>
      <c r="H16" s="13" t="s">
        <v>171</v>
      </c>
      <c r="I16" s="13" t="s">
        <v>656</v>
      </c>
      <c r="J16" s="16">
        <v>1.27</v>
      </c>
      <c r="K16" s="13" t="s">
        <v>88</v>
      </c>
      <c r="L16" s="15">
        <v>0.06</v>
      </c>
      <c r="M16" s="15">
        <v>1.4200000000000001E-2</v>
      </c>
      <c r="N16" s="16">
        <v>5784167.1200000001</v>
      </c>
      <c r="O16" s="16">
        <v>112.96</v>
      </c>
      <c r="P16" s="16">
        <v>6533.79</v>
      </c>
      <c r="Q16" s="15">
        <v>1.9E-3</v>
      </c>
      <c r="R16" s="15">
        <v>0.2462</v>
      </c>
      <c r="S16" s="15">
        <v>1.8E-3</v>
      </c>
      <c r="T16" s="13" t="s">
        <v>7</v>
      </c>
    </row>
    <row r="17" spans="1:20" x14ac:dyDescent="0.2">
      <c r="A17" s="13" t="s">
        <v>7</v>
      </c>
      <c r="B17" s="13" t="s">
        <v>657</v>
      </c>
      <c r="C17" s="14">
        <v>1153071</v>
      </c>
      <c r="D17" s="13" t="s">
        <v>7</v>
      </c>
      <c r="E17" s="14">
        <v>513893123</v>
      </c>
      <c r="F17" s="13" t="s">
        <v>233</v>
      </c>
      <c r="G17" s="13" t="s">
        <v>190</v>
      </c>
      <c r="H17" s="13" t="s">
        <v>87</v>
      </c>
      <c r="I17" s="13" t="s">
        <v>658</v>
      </c>
      <c r="J17" s="16">
        <v>1.52</v>
      </c>
      <c r="K17" s="13" t="s">
        <v>88</v>
      </c>
      <c r="L17" s="15">
        <v>2.9499999999999998E-2</v>
      </c>
      <c r="M17" s="15">
        <v>2.93E-2</v>
      </c>
      <c r="N17" s="16">
        <v>1255026.05</v>
      </c>
      <c r="O17" s="16">
        <v>100.24</v>
      </c>
      <c r="P17" s="16">
        <v>1258.04</v>
      </c>
      <c r="Q17" s="15">
        <v>1.09E-2</v>
      </c>
      <c r="R17" s="15">
        <v>4.7399999999999998E-2</v>
      </c>
      <c r="S17" s="15">
        <v>2.9999999999999997E-4</v>
      </c>
      <c r="T17" s="13" t="s">
        <v>7</v>
      </c>
    </row>
    <row r="18" spans="1:20" x14ac:dyDescent="0.2">
      <c r="A18" s="13" t="s">
        <v>7</v>
      </c>
      <c r="B18" s="13" t="s">
        <v>659</v>
      </c>
      <c r="C18" s="14">
        <v>1097997</v>
      </c>
      <c r="D18" s="13" t="s">
        <v>7</v>
      </c>
      <c r="E18" s="14">
        <v>513102384</v>
      </c>
      <c r="F18" s="13" t="s">
        <v>233</v>
      </c>
      <c r="G18" s="13" t="s">
        <v>199</v>
      </c>
      <c r="H18" s="13" t="s">
        <v>87</v>
      </c>
      <c r="I18" s="13" t="s">
        <v>660</v>
      </c>
      <c r="J18" s="16">
        <v>2.41</v>
      </c>
      <c r="K18" s="13" t="s">
        <v>88</v>
      </c>
      <c r="L18" s="15">
        <v>7.7499999999999999E-2</v>
      </c>
      <c r="M18" s="15">
        <v>2.8999999999999998E-3</v>
      </c>
      <c r="N18" s="16">
        <v>957601.54</v>
      </c>
      <c r="O18" s="16">
        <v>148.84</v>
      </c>
      <c r="P18" s="16">
        <v>1425.29</v>
      </c>
      <c r="Q18" s="15">
        <v>4.3E-3</v>
      </c>
      <c r="R18" s="15">
        <v>5.3699999999999998E-2</v>
      </c>
      <c r="S18" s="15">
        <v>4.0000000000000002E-4</v>
      </c>
      <c r="T18" s="13" t="s">
        <v>7</v>
      </c>
    </row>
    <row r="19" spans="1:20" x14ac:dyDescent="0.2">
      <c r="A19" s="13" t="s">
        <v>7</v>
      </c>
      <c r="B19" s="13" t="s">
        <v>661</v>
      </c>
      <c r="C19" s="14">
        <v>1154798</v>
      </c>
      <c r="D19" s="13" t="s">
        <v>7</v>
      </c>
      <c r="E19" s="14">
        <v>513893123</v>
      </c>
      <c r="F19" s="13" t="s">
        <v>237</v>
      </c>
      <c r="G19" s="13" t="s">
        <v>196</v>
      </c>
      <c r="H19" s="13" t="s">
        <v>171</v>
      </c>
      <c r="I19" s="13" t="s">
        <v>662</v>
      </c>
      <c r="J19" s="16">
        <v>2.17</v>
      </c>
      <c r="K19" s="13" t="s">
        <v>88</v>
      </c>
      <c r="L19" s="15">
        <v>2.5000000000000001E-2</v>
      </c>
      <c r="M19" s="15">
        <v>2.6200000000000001E-2</v>
      </c>
      <c r="N19" s="16">
        <v>1529393.66</v>
      </c>
      <c r="O19" s="16">
        <v>99.94</v>
      </c>
      <c r="P19" s="16">
        <v>1528.48</v>
      </c>
      <c r="Q19" s="15">
        <v>6.3E-3</v>
      </c>
      <c r="R19" s="15">
        <v>5.7599999999999998E-2</v>
      </c>
      <c r="S19" s="15">
        <v>4.0000000000000002E-4</v>
      </c>
      <c r="T19" s="13" t="s">
        <v>7</v>
      </c>
    </row>
    <row r="20" spans="1:20" x14ac:dyDescent="0.2">
      <c r="A20" s="13" t="s">
        <v>7</v>
      </c>
      <c r="B20" s="13" t="s">
        <v>663</v>
      </c>
      <c r="C20" s="14">
        <v>100061712</v>
      </c>
      <c r="D20" s="13" t="s">
        <v>7</v>
      </c>
      <c r="E20" s="14">
        <v>512475203</v>
      </c>
      <c r="F20" s="13" t="s">
        <v>237</v>
      </c>
      <c r="G20" s="13" t="s">
        <v>238</v>
      </c>
      <c r="H20" s="13" t="s">
        <v>171</v>
      </c>
      <c r="I20" s="13" t="s">
        <v>653</v>
      </c>
      <c r="J20" s="16">
        <v>0.34</v>
      </c>
      <c r="K20" s="13" t="s">
        <v>88</v>
      </c>
      <c r="L20" s="15">
        <v>7.0900000000000005E-2</v>
      </c>
      <c r="M20" s="15">
        <v>8.3000000000000001E-3</v>
      </c>
      <c r="N20" s="16">
        <v>1208575.68</v>
      </c>
      <c r="O20" s="16">
        <v>124.41</v>
      </c>
      <c r="P20" s="16">
        <v>1503.59</v>
      </c>
      <c r="Q20" s="15">
        <v>3.2000000000000002E-3</v>
      </c>
      <c r="R20" s="15">
        <v>5.67E-2</v>
      </c>
      <c r="S20" s="15">
        <v>4.0000000000000002E-4</v>
      </c>
      <c r="T20" s="13" t="s">
        <v>7</v>
      </c>
    </row>
    <row r="21" spans="1:20" x14ac:dyDescent="0.2">
      <c r="A21" s="13" t="s">
        <v>7</v>
      </c>
      <c r="B21" s="13" t="s">
        <v>664</v>
      </c>
      <c r="C21" s="14">
        <v>1139740</v>
      </c>
      <c r="D21" s="13" t="s">
        <v>7</v>
      </c>
      <c r="E21" s="14">
        <v>513893123</v>
      </c>
      <c r="F21" s="13" t="s">
        <v>233</v>
      </c>
      <c r="G21" s="13" t="s">
        <v>238</v>
      </c>
      <c r="H21" s="13" t="s">
        <v>171</v>
      </c>
      <c r="I21" s="13" t="s">
        <v>665</v>
      </c>
      <c r="J21" s="16">
        <v>1.41</v>
      </c>
      <c r="K21" s="13" t="s">
        <v>88</v>
      </c>
      <c r="L21" s="15">
        <v>0.04</v>
      </c>
      <c r="M21" s="15">
        <v>9.4100000000000003E-2</v>
      </c>
      <c r="N21" s="16">
        <v>691500.25</v>
      </c>
      <c r="O21" s="16">
        <v>93.78</v>
      </c>
      <c r="P21" s="16">
        <v>648.49</v>
      </c>
      <c r="Q21" s="15">
        <v>2E-3</v>
      </c>
      <c r="R21" s="15">
        <v>2.4400000000000002E-2</v>
      </c>
      <c r="S21" s="15">
        <v>2.0000000000000001E-4</v>
      </c>
      <c r="T21" s="13" t="s">
        <v>7</v>
      </c>
    </row>
    <row r="22" spans="1:20" x14ac:dyDescent="0.2">
      <c r="A22" s="13" t="s">
        <v>7</v>
      </c>
      <c r="B22" s="13" t="s">
        <v>666</v>
      </c>
      <c r="C22" s="14">
        <v>1094747</v>
      </c>
      <c r="D22" s="13" t="s">
        <v>7</v>
      </c>
      <c r="E22" s="14">
        <v>99</v>
      </c>
      <c r="F22" s="13" t="s">
        <v>242</v>
      </c>
      <c r="G22" s="13" t="s">
        <v>247</v>
      </c>
      <c r="H22" s="13" t="s">
        <v>87</v>
      </c>
      <c r="I22" s="13" t="s">
        <v>656</v>
      </c>
      <c r="J22" s="16">
        <v>0.57999999999999996</v>
      </c>
      <c r="K22" s="13" t="s">
        <v>88</v>
      </c>
      <c r="L22" s="15">
        <v>6.7000000000000004E-2</v>
      </c>
      <c r="M22" s="15">
        <v>0.1401</v>
      </c>
      <c r="N22" s="16">
        <v>1090478.7</v>
      </c>
      <c r="O22" s="16">
        <v>118.67</v>
      </c>
      <c r="P22" s="16">
        <v>1294.07</v>
      </c>
      <c r="Q22" s="15">
        <v>0.1134</v>
      </c>
      <c r="R22" s="15">
        <v>4.8800000000000003E-2</v>
      </c>
      <c r="S22" s="15">
        <v>4.0000000000000002E-4</v>
      </c>
      <c r="T22" s="13" t="s">
        <v>7</v>
      </c>
    </row>
    <row r="23" spans="1:20" x14ac:dyDescent="0.2">
      <c r="A23" s="13" t="s">
        <v>7</v>
      </c>
      <c r="B23" s="13" t="s">
        <v>667</v>
      </c>
      <c r="C23" s="14">
        <v>1109180</v>
      </c>
      <c r="D23" s="13" t="s">
        <v>7</v>
      </c>
      <c r="E23" s="14">
        <v>510155625</v>
      </c>
      <c r="F23" s="13" t="s">
        <v>264</v>
      </c>
      <c r="G23" s="13" t="s">
        <v>668</v>
      </c>
      <c r="H23" s="13" t="s">
        <v>171</v>
      </c>
      <c r="I23" s="13" t="s">
        <v>669</v>
      </c>
      <c r="J23" s="16">
        <v>1.8</v>
      </c>
      <c r="K23" s="13" t="s">
        <v>88</v>
      </c>
      <c r="L23" s="15">
        <v>9.9000000000000005E-2</v>
      </c>
      <c r="M23" s="15">
        <v>0.11459999999999999</v>
      </c>
      <c r="N23" s="16">
        <v>692727.56</v>
      </c>
      <c r="O23" s="16">
        <v>0</v>
      </c>
      <c r="P23" s="16">
        <v>0</v>
      </c>
      <c r="Q23" s="15">
        <v>6.8999999999999999E-3</v>
      </c>
      <c r="R23" s="15">
        <v>0</v>
      </c>
      <c r="S23" s="15">
        <v>0</v>
      </c>
      <c r="T23" s="13" t="s">
        <v>7</v>
      </c>
    </row>
    <row r="24" spans="1:20" x14ac:dyDescent="0.2">
      <c r="A24" s="13" t="s">
        <v>7</v>
      </c>
      <c r="B24" s="13" t="s">
        <v>670</v>
      </c>
      <c r="C24" s="14">
        <v>7360217</v>
      </c>
      <c r="D24" s="13" t="s">
        <v>7</v>
      </c>
      <c r="E24" s="14">
        <v>520028283</v>
      </c>
      <c r="F24" s="13" t="s">
        <v>671</v>
      </c>
      <c r="G24" s="13" t="s">
        <v>148</v>
      </c>
      <c r="H24" s="13" t="s">
        <v>129</v>
      </c>
      <c r="I24" s="13" t="s">
        <v>672</v>
      </c>
      <c r="J24" s="16">
        <v>0</v>
      </c>
      <c r="K24" s="13" t="s">
        <v>88</v>
      </c>
      <c r="L24" s="15">
        <v>0</v>
      </c>
      <c r="M24" s="15">
        <v>0</v>
      </c>
      <c r="N24" s="16">
        <v>944445.53</v>
      </c>
      <c r="O24" s="16">
        <v>0</v>
      </c>
      <c r="P24" s="16">
        <v>0</v>
      </c>
      <c r="Q24" s="15">
        <v>0</v>
      </c>
      <c r="R24" s="15">
        <v>0</v>
      </c>
      <c r="S24" s="15">
        <v>0</v>
      </c>
      <c r="T24" s="13" t="s">
        <v>7</v>
      </c>
    </row>
    <row r="25" spans="1:20" x14ac:dyDescent="0.2">
      <c r="A25" s="13" t="s">
        <v>7</v>
      </c>
      <c r="B25" s="13" t="s">
        <v>673</v>
      </c>
      <c r="C25" s="14">
        <v>1101567</v>
      </c>
      <c r="D25" s="13" t="s">
        <v>7</v>
      </c>
      <c r="E25" s="14">
        <v>520041690</v>
      </c>
      <c r="F25" s="13" t="s">
        <v>249</v>
      </c>
      <c r="G25" s="13" t="s">
        <v>148</v>
      </c>
      <c r="H25" s="13" t="s">
        <v>129</v>
      </c>
      <c r="I25" s="13" t="s">
        <v>656</v>
      </c>
      <c r="J25" s="16">
        <v>1.06</v>
      </c>
      <c r="K25" s="13" t="s">
        <v>88</v>
      </c>
      <c r="L25" s="15">
        <v>5.6000000000000001E-2</v>
      </c>
      <c r="M25" s="15">
        <v>0.50329999999999997</v>
      </c>
      <c r="N25" s="16">
        <v>2715160.43</v>
      </c>
      <c r="O25" s="16">
        <v>34.549999999999997</v>
      </c>
      <c r="P25" s="16">
        <v>938.09</v>
      </c>
      <c r="Q25" s="15">
        <v>4.7000000000000002E-3</v>
      </c>
      <c r="R25" s="15">
        <v>3.5299999999999998E-2</v>
      </c>
      <c r="S25" s="15">
        <v>2.9999999999999997E-4</v>
      </c>
      <c r="T25" s="13" t="s">
        <v>7</v>
      </c>
    </row>
    <row r="26" spans="1:20" x14ac:dyDescent="0.2">
      <c r="A26" s="13" t="s">
        <v>7</v>
      </c>
      <c r="B26" s="13" t="s">
        <v>674</v>
      </c>
      <c r="C26" s="14">
        <v>1110378</v>
      </c>
      <c r="D26" s="13" t="s">
        <v>7</v>
      </c>
      <c r="E26" s="14">
        <v>2023</v>
      </c>
      <c r="F26" s="13" t="s">
        <v>249</v>
      </c>
      <c r="G26" s="13" t="s">
        <v>148</v>
      </c>
      <c r="H26" s="13" t="s">
        <v>129</v>
      </c>
      <c r="I26" s="13" t="s">
        <v>675</v>
      </c>
      <c r="J26" s="16">
        <v>2.37</v>
      </c>
      <c r="K26" s="13" t="s">
        <v>88</v>
      </c>
      <c r="L26" s="15">
        <v>6.6000000000000003E-2</v>
      </c>
      <c r="M26" s="15">
        <v>0</v>
      </c>
      <c r="N26" s="16">
        <v>456090.79</v>
      </c>
      <c r="O26" s="16">
        <v>44.6</v>
      </c>
      <c r="P26" s="16">
        <v>203.42</v>
      </c>
      <c r="Q26" s="15">
        <v>2.5000000000000001E-3</v>
      </c>
      <c r="R26" s="15">
        <v>7.7000000000000002E-3</v>
      </c>
      <c r="S26" s="15">
        <v>1E-4</v>
      </c>
      <c r="T26" s="13" t="s">
        <v>7</v>
      </c>
    </row>
    <row r="27" spans="1:20" x14ac:dyDescent="0.2">
      <c r="A27" s="13" t="s">
        <v>7</v>
      </c>
      <c r="B27" s="13" t="s">
        <v>676</v>
      </c>
      <c r="C27" s="14">
        <v>2299998</v>
      </c>
      <c r="D27" s="13" t="s">
        <v>7</v>
      </c>
      <c r="E27" s="14">
        <v>520036245</v>
      </c>
      <c r="F27" s="13" t="s">
        <v>264</v>
      </c>
      <c r="G27" s="13" t="s">
        <v>148</v>
      </c>
      <c r="H27" s="13" t="s">
        <v>129</v>
      </c>
      <c r="I27" s="13" t="s">
        <v>677</v>
      </c>
      <c r="J27" s="16">
        <v>0</v>
      </c>
      <c r="K27" s="13" t="s">
        <v>88</v>
      </c>
      <c r="L27" s="15">
        <v>0</v>
      </c>
      <c r="M27" s="15">
        <v>0</v>
      </c>
      <c r="N27" s="16">
        <v>436732.45</v>
      </c>
      <c r="O27" s="16">
        <v>0</v>
      </c>
      <c r="P27" s="16">
        <v>0</v>
      </c>
      <c r="Q27" s="15">
        <v>6.2799999999999995E-2</v>
      </c>
      <c r="R27" s="15">
        <v>0</v>
      </c>
      <c r="S27" s="15">
        <v>0</v>
      </c>
      <c r="T27" s="13" t="s">
        <v>7</v>
      </c>
    </row>
    <row r="28" spans="1:20" x14ac:dyDescent="0.2">
      <c r="A28" s="3" t="s">
        <v>7</v>
      </c>
      <c r="B28" s="3" t="s">
        <v>648</v>
      </c>
      <c r="C28" s="3" t="s">
        <v>7</v>
      </c>
      <c r="D28" s="3" t="s">
        <v>7</v>
      </c>
      <c r="E28" s="3" t="s">
        <v>7</v>
      </c>
      <c r="F28" s="3" t="s">
        <v>7</v>
      </c>
      <c r="G28" s="3" t="s">
        <v>7</v>
      </c>
      <c r="H28" s="3" t="s">
        <v>7</v>
      </c>
      <c r="I28" s="3" t="s">
        <v>7</v>
      </c>
      <c r="J28" s="12">
        <v>1.78</v>
      </c>
      <c r="K28" s="3" t="s">
        <v>7</v>
      </c>
      <c r="L28" s="11">
        <v>1.37E-2</v>
      </c>
      <c r="M28" s="11">
        <v>9.9000000000000008E-3</v>
      </c>
      <c r="N28" s="12">
        <v>8501946.2100000009</v>
      </c>
      <c r="O28" s="3" t="s">
        <v>7</v>
      </c>
      <c r="P28" s="12">
        <v>8635.9599999999991</v>
      </c>
      <c r="Q28" s="3" t="s">
        <v>7</v>
      </c>
      <c r="R28" s="11">
        <v>0.32540000000000002</v>
      </c>
      <c r="S28" s="11">
        <v>2.3999999999999998E-3</v>
      </c>
      <c r="T28" s="3" t="s">
        <v>7</v>
      </c>
    </row>
    <row r="29" spans="1:20" x14ac:dyDescent="0.2">
      <c r="A29" s="13" t="s">
        <v>7</v>
      </c>
      <c r="B29" s="13" t="s">
        <v>678</v>
      </c>
      <c r="C29" s="14">
        <v>1138999</v>
      </c>
      <c r="D29" s="13" t="s">
        <v>7</v>
      </c>
      <c r="E29" s="14">
        <v>1666</v>
      </c>
      <c r="F29" s="13" t="s">
        <v>185</v>
      </c>
      <c r="G29" s="13" t="s">
        <v>258</v>
      </c>
      <c r="H29" s="13" t="s">
        <v>171</v>
      </c>
      <c r="I29" s="13" t="s">
        <v>679</v>
      </c>
      <c r="J29" s="16">
        <v>4.55</v>
      </c>
      <c r="K29" s="13" t="s">
        <v>88</v>
      </c>
      <c r="L29" s="15">
        <v>3.1E-2</v>
      </c>
      <c r="M29" s="15">
        <v>1.7999999999999999E-2</v>
      </c>
      <c r="N29" s="16">
        <v>1778073.96</v>
      </c>
      <c r="O29" s="16">
        <v>106.1</v>
      </c>
      <c r="P29" s="16">
        <v>1886.54</v>
      </c>
      <c r="Q29" s="15">
        <v>2E-3</v>
      </c>
      <c r="R29" s="15">
        <v>7.1099999999999997E-2</v>
      </c>
      <c r="S29" s="15">
        <v>5.0000000000000001E-4</v>
      </c>
      <c r="T29" s="13" t="s">
        <v>7</v>
      </c>
    </row>
    <row r="30" spans="1:20" x14ac:dyDescent="0.2">
      <c r="A30" s="13" t="s">
        <v>7</v>
      </c>
      <c r="B30" s="13" t="s">
        <v>680</v>
      </c>
      <c r="C30" s="14">
        <v>1158799</v>
      </c>
      <c r="D30" s="13" t="s">
        <v>7</v>
      </c>
      <c r="E30" s="14">
        <v>96122</v>
      </c>
      <c r="F30" s="13" t="s">
        <v>237</v>
      </c>
      <c r="G30" s="13" t="s">
        <v>199</v>
      </c>
      <c r="H30" s="13" t="s">
        <v>87</v>
      </c>
      <c r="I30" s="13" t="s">
        <v>681</v>
      </c>
      <c r="J30" s="16">
        <v>1</v>
      </c>
      <c r="K30" s="13" t="s">
        <v>88</v>
      </c>
      <c r="L30" s="15">
        <v>8.8999999999999999E-3</v>
      </c>
      <c r="M30" s="15">
        <v>7.6E-3</v>
      </c>
      <c r="N30" s="16">
        <v>6723872.25</v>
      </c>
      <c r="O30" s="16">
        <v>100.38</v>
      </c>
      <c r="P30" s="16">
        <v>6749.42</v>
      </c>
      <c r="Q30" s="15">
        <v>1.6799999999999999E-2</v>
      </c>
      <c r="R30" s="15">
        <v>0.25430000000000003</v>
      </c>
      <c r="S30" s="15">
        <v>1.9E-3</v>
      </c>
      <c r="T30" s="13" t="s">
        <v>7</v>
      </c>
    </row>
    <row r="31" spans="1:20" x14ac:dyDescent="0.2">
      <c r="A31" s="3" t="s">
        <v>7</v>
      </c>
      <c r="B31" s="3" t="s">
        <v>158</v>
      </c>
      <c r="C31" s="3" t="s">
        <v>7</v>
      </c>
      <c r="D31" s="3" t="s">
        <v>7</v>
      </c>
      <c r="E31" s="3" t="s">
        <v>7</v>
      </c>
      <c r="F31" s="3" t="s">
        <v>7</v>
      </c>
      <c r="G31" s="3" t="s">
        <v>7</v>
      </c>
      <c r="H31" s="3" t="s">
        <v>7</v>
      </c>
      <c r="I31" s="3" t="s">
        <v>7</v>
      </c>
      <c r="J31" s="12">
        <v>2.57</v>
      </c>
      <c r="K31" s="3" t="s">
        <v>7</v>
      </c>
      <c r="L31" s="11">
        <v>0.03</v>
      </c>
      <c r="M31" s="11">
        <v>0.31369999999999998</v>
      </c>
      <c r="N31" s="12">
        <v>115975</v>
      </c>
      <c r="O31" s="3" t="s">
        <v>7</v>
      </c>
      <c r="P31" s="12">
        <v>212.5</v>
      </c>
      <c r="Q31" s="3" t="s">
        <v>7</v>
      </c>
      <c r="R31" s="11">
        <v>8.0000000000000002E-3</v>
      </c>
      <c r="S31" s="11">
        <v>1E-4</v>
      </c>
      <c r="T31" s="3" t="s">
        <v>7</v>
      </c>
    </row>
    <row r="32" spans="1:20" x14ac:dyDescent="0.2">
      <c r="A32" s="13" t="s">
        <v>7</v>
      </c>
      <c r="B32" s="13" t="s">
        <v>682</v>
      </c>
      <c r="C32" s="14">
        <v>6510044</v>
      </c>
      <c r="D32" s="13" t="s">
        <v>7</v>
      </c>
      <c r="E32" s="14">
        <v>520015041</v>
      </c>
      <c r="F32" s="13" t="s">
        <v>229</v>
      </c>
      <c r="G32" s="13" t="s">
        <v>148</v>
      </c>
      <c r="H32" s="13" t="s">
        <v>129</v>
      </c>
      <c r="I32" s="13" t="s">
        <v>683</v>
      </c>
      <c r="J32" s="16">
        <v>2.57</v>
      </c>
      <c r="K32" s="13" t="s">
        <v>48</v>
      </c>
      <c r="L32" s="15">
        <v>0.03</v>
      </c>
      <c r="M32" s="15">
        <v>0.31369999999999998</v>
      </c>
      <c r="N32" s="16">
        <v>115975</v>
      </c>
      <c r="O32" s="16">
        <v>53.25</v>
      </c>
      <c r="P32" s="16">
        <v>212.5</v>
      </c>
      <c r="Q32" s="15">
        <v>2.9999999999999997E-4</v>
      </c>
      <c r="R32" s="15">
        <v>8.0000000000000002E-3</v>
      </c>
      <c r="S32" s="15">
        <v>1E-4</v>
      </c>
      <c r="T32" s="13" t="s">
        <v>7</v>
      </c>
    </row>
    <row r="33" spans="1:20" x14ac:dyDescent="0.2">
      <c r="A33" s="3" t="s">
        <v>7</v>
      </c>
      <c r="B33" s="3" t="s">
        <v>471</v>
      </c>
      <c r="C33" s="3" t="s">
        <v>7</v>
      </c>
      <c r="D33" s="3" t="s">
        <v>7</v>
      </c>
      <c r="E33" s="3" t="s">
        <v>7</v>
      </c>
      <c r="F33" s="3" t="s">
        <v>7</v>
      </c>
      <c r="G33" s="3" t="s">
        <v>7</v>
      </c>
      <c r="H33" s="3" t="s">
        <v>7</v>
      </c>
      <c r="I33" s="3" t="s">
        <v>7</v>
      </c>
      <c r="J33" s="12">
        <v>0</v>
      </c>
      <c r="K33" s="3" t="s">
        <v>7</v>
      </c>
      <c r="L33" s="11">
        <v>0</v>
      </c>
      <c r="M33" s="11">
        <v>0</v>
      </c>
      <c r="N33" s="12">
        <v>0</v>
      </c>
      <c r="O33" s="3" t="s">
        <v>7</v>
      </c>
      <c r="P33" s="12">
        <v>0</v>
      </c>
      <c r="Q33" s="3" t="s">
        <v>7</v>
      </c>
      <c r="R33" s="11">
        <v>0</v>
      </c>
      <c r="S33" s="11">
        <v>0</v>
      </c>
      <c r="T33" s="3" t="s">
        <v>7</v>
      </c>
    </row>
    <row r="34" spans="1:20" x14ac:dyDescent="0.2">
      <c r="A34" s="3" t="s">
        <v>7</v>
      </c>
      <c r="B34" s="3" t="s">
        <v>102</v>
      </c>
      <c r="C34" s="3" t="s">
        <v>7</v>
      </c>
      <c r="D34" s="3" t="s">
        <v>7</v>
      </c>
      <c r="E34" s="3" t="s">
        <v>7</v>
      </c>
      <c r="F34" s="3" t="s">
        <v>7</v>
      </c>
      <c r="G34" s="3" t="s">
        <v>7</v>
      </c>
      <c r="H34" s="3" t="s">
        <v>7</v>
      </c>
      <c r="I34" s="3" t="s">
        <v>7</v>
      </c>
      <c r="J34" s="12">
        <v>0</v>
      </c>
      <c r="K34" s="3" t="s">
        <v>7</v>
      </c>
      <c r="L34" s="11">
        <v>0</v>
      </c>
      <c r="M34" s="11">
        <v>0</v>
      </c>
      <c r="N34" s="12">
        <v>0</v>
      </c>
      <c r="O34" s="3" t="s">
        <v>7</v>
      </c>
      <c r="P34" s="12">
        <v>0</v>
      </c>
      <c r="Q34" s="3" t="s">
        <v>7</v>
      </c>
      <c r="R34" s="11">
        <v>0</v>
      </c>
      <c r="S34" s="11">
        <v>0</v>
      </c>
      <c r="T34" s="3" t="s">
        <v>7</v>
      </c>
    </row>
    <row r="35" spans="1:20" x14ac:dyDescent="0.2">
      <c r="A35" s="3" t="s">
        <v>7</v>
      </c>
      <c r="B35" s="3" t="s">
        <v>684</v>
      </c>
      <c r="C35" s="3" t="s">
        <v>7</v>
      </c>
      <c r="D35" s="3" t="s">
        <v>7</v>
      </c>
      <c r="E35" s="3" t="s">
        <v>7</v>
      </c>
      <c r="F35" s="3" t="s">
        <v>7</v>
      </c>
      <c r="G35" s="3" t="s">
        <v>7</v>
      </c>
      <c r="H35" s="3" t="s">
        <v>7</v>
      </c>
      <c r="I35" s="3" t="s">
        <v>7</v>
      </c>
      <c r="J35" s="12">
        <v>0</v>
      </c>
      <c r="K35" s="3" t="s">
        <v>7</v>
      </c>
      <c r="L35" s="11">
        <v>0</v>
      </c>
      <c r="M35" s="11">
        <v>0</v>
      </c>
      <c r="N35" s="12">
        <v>0</v>
      </c>
      <c r="O35" s="3" t="s">
        <v>7</v>
      </c>
      <c r="P35" s="12">
        <v>0</v>
      </c>
      <c r="Q35" s="3" t="s">
        <v>7</v>
      </c>
      <c r="R35" s="11">
        <v>0</v>
      </c>
      <c r="S35" s="11">
        <v>0</v>
      </c>
      <c r="T35" s="3" t="s">
        <v>7</v>
      </c>
    </row>
    <row r="36" spans="1:20" x14ac:dyDescent="0.2">
      <c r="A36" s="3" t="s">
        <v>7</v>
      </c>
      <c r="B36" s="3" t="s">
        <v>685</v>
      </c>
      <c r="C36" s="3" t="s">
        <v>7</v>
      </c>
      <c r="D36" s="3" t="s">
        <v>7</v>
      </c>
      <c r="E36" s="3" t="s">
        <v>7</v>
      </c>
      <c r="F36" s="3" t="s">
        <v>7</v>
      </c>
      <c r="G36" s="3" t="s">
        <v>7</v>
      </c>
      <c r="H36" s="3" t="s">
        <v>7</v>
      </c>
      <c r="I36" s="3" t="s">
        <v>7</v>
      </c>
      <c r="J36" s="12">
        <v>0</v>
      </c>
      <c r="K36" s="3" t="s">
        <v>7</v>
      </c>
      <c r="L36" s="11">
        <v>0</v>
      </c>
      <c r="M36" s="11">
        <v>0</v>
      </c>
      <c r="N36" s="12">
        <v>0</v>
      </c>
      <c r="O36" s="3" t="s">
        <v>7</v>
      </c>
      <c r="P36" s="12">
        <v>0</v>
      </c>
      <c r="Q36" s="3" t="s">
        <v>7</v>
      </c>
      <c r="R36" s="11">
        <v>0</v>
      </c>
      <c r="S36" s="11">
        <v>0</v>
      </c>
      <c r="T36" s="3" t="s">
        <v>7</v>
      </c>
    </row>
    <row r="37" spans="1:20" x14ac:dyDescent="0.2">
      <c r="A37" s="8" t="s">
        <v>7</v>
      </c>
      <c r="B37" s="8" t="s">
        <v>104</v>
      </c>
      <c r="C37" s="8" t="s">
        <v>7</v>
      </c>
      <c r="D37" s="8" t="s">
        <v>7</v>
      </c>
      <c r="E37" s="8" t="s">
        <v>7</v>
      </c>
      <c r="F37" s="8" t="s">
        <v>7</v>
      </c>
      <c r="G37" s="8" t="s">
        <v>7</v>
      </c>
      <c r="H37" s="8" t="s">
        <v>7</v>
      </c>
      <c r="I37" s="8" t="s">
        <v>7</v>
      </c>
      <c r="J37" s="8" t="s">
        <v>7</v>
      </c>
      <c r="K37" s="8" t="s">
        <v>7</v>
      </c>
      <c r="L37" s="8" t="s">
        <v>7</v>
      </c>
      <c r="M37" s="8" t="s">
        <v>7</v>
      </c>
      <c r="N37" s="8" t="s">
        <v>7</v>
      </c>
      <c r="O37" s="8" t="s">
        <v>7</v>
      </c>
      <c r="P37" s="8" t="s">
        <v>7</v>
      </c>
      <c r="Q37" s="8" t="s">
        <v>7</v>
      </c>
      <c r="R37" s="8" t="s">
        <v>7</v>
      </c>
      <c r="S37" s="8" t="s">
        <v>7</v>
      </c>
      <c r="T37" s="8" t="s">
        <v>7</v>
      </c>
    </row>
    <row r="38" spans="1:20" x14ac:dyDescent="0.2">
      <c r="A38" s="8" t="s">
        <v>7</v>
      </c>
      <c r="B38" s="8" t="s">
        <v>149</v>
      </c>
      <c r="C38" s="8" t="s">
        <v>7</v>
      </c>
      <c r="D38" s="8" t="s">
        <v>7</v>
      </c>
      <c r="E38" s="8" t="s">
        <v>7</v>
      </c>
      <c r="F38" s="8" t="s">
        <v>7</v>
      </c>
      <c r="G38" s="8" t="s">
        <v>7</v>
      </c>
      <c r="H38" s="8" t="s">
        <v>7</v>
      </c>
      <c r="I38" s="8" t="s">
        <v>7</v>
      </c>
      <c r="J38" s="8" t="s">
        <v>7</v>
      </c>
      <c r="K38" s="8" t="s">
        <v>7</v>
      </c>
      <c r="L38" s="8" t="s">
        <v>7</v>
      </c>
      <c r="M38" s="8" t="s">
        <v>7</v>
      </c>
      <c r="N38" s="8" t="s">
        <v>7</v>
      </c>
      <c r="O38" s="8" t="s">
        <v>7</v>
      </c>
      <c r="P38" s="8" t="s">
        <v>7</v>
      </c>
      <c r="Q38" s="8" t="s">
        <v>7</v>
      </c>
      <c r="R38" s="8" t="s">
        <v>7</v>
      </c>
      <c r="S38" s="8" t="s">
        <v>7</v>
      </c>
      <c r="T38" s="8" t="s">
        <v>7</v>
      </c>
    </row>
    <row r="39" spans="1:20" x14ac:dyDescent="0.2">
      <c r="A39" s="7" t="s">
        <v>60</v>
      </c>
      <c r="B39" s="7" t="s">
        <v>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2" customWidth="1"/>
    <col min="4" max="4" width="11" customWidth="1"/>
    <col min="5" max="5" width="12" customWidth="1"/>
    <col min="6" max="6" width="10" customWidth="1"/>
    <col min="7" max="7" width="14" customWidth="1"/>
    <col min="8" max="8" width="12" customWidth="1"/>
    <col min="9" max="9" width="10" customWidth="1"/>
    <col min="10" max="10" width="11" customWidth="1"/>
    <col min="11" max="11" width="22" customWidth="1"/>
    <col min="12" max="12" width="24" customWidth="1"/>
    <col min="13" max="13" width="23" customWidth="1"/>
    <col min="14" max="14" width="2" customWidth="1"/>
  </cols>
  <sheetData>
    <row r="1" spans="1:14" x14ac:dyDescent="0.2">
      <c r="B1" s="7" t="s">
        <v>0</v>
      </c>
      <c r="C1" s="7" t="s">
        <v>1</v>
      </c>
    </row>
    <row r="2" spans="1:14" x14ac:dyDescent="0.2">
      <c r="B2" s="7" t="s">
        <v>2</v>
      </c>
      <c r="C2" s="7" t="s">
        <v>3</v>
      </c>
    </row>
    <row r="3" spans="1:14" x14ac:dyDescent="0.2">
      <c r="B3" s="7" t="s">
        <v>4</v>
      </c>
      <c r="C3" s="7" t="s">
        <v>5</v>
      </c>
    </row>
    <row r="4" spans="1:14" x14ac:dyDescent="0.2">
      <c r="B4" s="7" t="s">
        <v>6</v>
      </c>
      <c r="C4" s="7">
        <v>408</v>
      </c>
    </row>
    <row r="5" spans="1:14" x14ac:dyDescent="0.2">
      <c r="B5" s="7" t="s">
        <v>7</v>
      </c>
      <c r="C5" s="7" t="s">
        <v>7</v>
      </c>
    </row>
    <row r="6" spans="1:14" x14ac:dyDescent="0.2">
      <c r="A6" s="1" t="s">
        <v>7</v>
      </c>
      <c r="B6" s="1" t="s">
        <v>643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</row>
    <row r="7" spans="1:14" x14ac:dyDescent="0.2">
      <c r="A7" s="1" t="s">
        <v>7</v>
      </c>
      <c r="B7" s="1" t="s">
        <v>327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</row>
    <row r="8" spans="1:14" x14ac:dyDescent="0.2">
      <c r="A8" s="1" t="s">
        <v>7</v>
      </c>
      <c r="B8" s="1" t="s">
        <v>63</v>
      </c>
      <c r="C8" s="1" t="s">
        <v>64</v>
      </c>
      <c r="D8" s="1" t="s">
        <v>151</v>
      </c>
      <c r="E8" s="1" t="s">
        <v>65</v>
      </c>
      <c r="F8" s="1" t="s">
        <v>152</v>
      </c>
      <c r="G8" s="1" t="s">
        <v>68</v>
      </c>
      <c r="H8" s="1" t="s">
        <v>110</v>
      </c>
      <c r="I8" s="1" t="s">
        <v>111</v>
      </c>
      <c r="J8" s="1" t="s">
        <v>9</v>
      </c>
      <c r="K8" s="1" t="s">
        <v>113</v>
      </c>
      <c r="L8" s="1" t="s">
        <v>72</v>
      </c>
      <c r="M8" s="1" t="s">
        <v>114</v>
      </c>
      <c r="N8" s="1" t="s">
        <v>7</v>
      </c>
    </row>
    <row r="9" spans="1:14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116</v>
      </c>
      <c r="I9" s="1" t="s">
        <v>117</v>
      </c>
      <c r="J9" s="1" t="s">
        <v>11</v>
      </c>
      <c r="K9" s="1" t="s">
        <v>12</v>
      </c>
      <c r="L9" s="1" t="s">
        <v>12</v>
      </c>
      <c r="M9" s="1" t="s">
        <v>12</v>
      </c>
      <c r="N9" s="1" t="s">
        <v>7</v>
      </c>
    </row>
    <row r="10" spans="1:14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74</v>
      </c>
      <c r="F10" s="1" t="s">
        <v>75</v>
      </c>
      <c r="G10" s="1" t="s">
        <v>76</v>
      </c>
      <c r="H10" s="1" t="s">
        <v>77</v>
      </c>
      <c r="I10" s="1" t="s">
        <v>78</v>
      </c>
      <c r="J10" s="1" t="s">
        <v>79</v>
      </c>
      <c r="K10" s="1" t="s">
        <v>80</v>
      </c>
      <c r="L10" s="1" t="s">
        <v>81</v>
      </c>
      <c r="M10" s="1" t="s">
        <v>118</v>
      </c>
      <c r="N10" s="1" t="s">
        <v>7</v>
      </c>
    </row>
    <row r="11" spans="1:14" x14ac:dyDescent="0.2">
      <c r="A11" s="8" t="s">
        <v>7</v>
      </c>
      <c r="B11" s="8" t="s">
        <v>329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10">
        <v>152248.44</v>
      </c>
      <c r="I11" s="8" t="s">
        <v>7</v>
      </c>
      <c r="J11" s="10">
        <v>236.44</v>
      </c>
      <c r="K11" s="8" t="s">
        <v>7</v>
      </c>
      <c r="L11" s="9">
        <v>1</v>
      </c>
      <c r="M11" s="9">
        <v>1E-4</v>
      </c>
      <c r="N11" s="8" t="s">
        <v>7</v>
      </c>
    </row>
    <row r="12" spans="1:14" x14ac:dyDescent="0.2">
      <c r="A12" s="3" t="s">
        <v>7</v>
      </c>
      <c r="B12" s="3" t="s">
        <v>83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12">
        <v>152248.44</v>
      </c>
      <c r="I12" s="3" t="s">
        <v>7</v>
      </c>
      <c r="J12" s="12">
        <v>236.44</v>
      </c>
      <c r="K12" s="3" t="s">
        <v>7</v>
      </c>
      <c r="L12" s="11">
        <v>1</v>
      </c>
      <c r="M12" s="11">
        <v>1E-4</v>
      </c>
      <c r="N12" s="3" t="s">
        <v>7</v>
      </c>
    </row>
    <row r="13" spans="1:14" x14ac:dyDescent="0.2">
      <c r="A13" s="13" t="s">
        <v>7</v>
      </c>
      <c r="B13" s="13" t="s">
        <v>686</v>
      </c>
      <c r="C13" s="14">
        <v>100448679</v>
      </c>
      <c r="D13" s="13" t="s">
        <v>7</v>
      </c>
      <c r="E13" s="14">
        <v>520041690</v>
      </c>
      <c r="F13" s="13" t="s">
        <v>237</v>
      </c>
      <c r="G13" s="13" t="s">
        <v>88</v>
      </c>
      <c r="H13" s="16">
        <v>128955.44</v>
      </c>
      <c r="I13" s="16">
        <v>0</v>
      </c>
      <c r="J13" s="16">
        <v>0</v>
      </c>
      <c r="K13" s="15">
        <v>4.7000000000000002E-3</v>
      </c>
      <c r="L13" s="15">
        <v>0</v>
      </c>
      <c r="M13" s="15">
        <v>0</v>
      </c>
      <c r="N13" s="13" t="s">
        <v>7</v>
      </c>
    </row>
    <row r="14" spans="1:14" x14ac:dyDescent="0.2">
      <c r="A14" s="13" t="s">
        <v>7</v>
      </c>
      <c r="B14" s="13" t="s">
        <v>687</v>
      </c>
      <c r="C14" s="14">
        <v>100561844</v>
      </c>
      <c r="D14" s="13" t="s">
        <v>7</v>
      </c>
      <c r="E14" s="14">
        <v>96120</v>
      </c>
      <c r="F14" s="13" t="s">
        <v>237</v>
      </c>
      <c r="G14" s="13" t="s">
        <v>88</v>
      </c>
      <c r="H14" s="16">
        <v>21519</v>
      </c>
      <c r="I14" s="16">
        <v>738.49</v>
      </c>
      <c r="J14" s="16">
        <v>158.91999999999999</v>
      </c>
      <c r="K14" s="15">
        <v>1E-4</v>
      </c>
      <c r="L14" s="15">
        <v>0.67210000000000003</v>
      </c>
      <c r="M14" s="15">
        <v>0</v>
      </c>
      <c r="N14" s="13" t="s">
        <v>7</v>
      </c>
    </row>
    <row r="15" spans="1:14" x14ac:dyDescent="0.2">
      <c r="A15" s="13" t="s">
        <v>7</v>
      </c>
      <c r="B15" s="13" t="s">
        <v>688</v>
      </c>
      <c r="C15" s="14">
        <v>6510101</v>
      </c>
      <c r="D15" s="13" t="s">
        <v>7</v>
      </c>
      <c r="E15" s="14">
        <v>520015041</v>
      </c>
      <c r="F15" s="13" t="s">
        <v>237</v>
      </c>
      <c r="G15" s="13" t="s">
        <v>48</v>
      </c>
      <c r="H15" s="16">
        <v>1774</v>
      </c>
      <c r="I15" s="16">
        <v>1270</v>
      </c>
      <c r="J15" s="16">
        <v>77.52</v>
      </c>
      <c r="K15" s="15">
        <v>8.9999999999999998E-4</v>
      </c>
      <c r="L15" s="15">
        <v>0.32790000000000002</v>
      </c>
      <c r="M15" s="15">
        <v>0</v>
      </c>
      <c r="N15" s="13" t="s">
        <v>7</v>
      </c>
    </row>
    <row r="16" spans="1:14" x14ac:dyDescent="0.2">
      <c r="A16" s="3" t="s">
        <v>7</v>
      </c>
      <c r="B16" s="3" t="s">
        <v>102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12">
        <v>0</v>
      </c>
      <c r="I16" s="3" t="s">
        <v>7</v>
      </c>
      <c r="J16" s="12">
        <v>0</v>
      </c>
      <c r="K16" s="3" t="s">
        <v>7</v>
      </c>
      <c r="L16" s="11">
        <v>0</v>
      </c>
      <c r="M16" s="11">
        <v>0</v>
      </c>
      <c r="N16" s="3" t="s">
        <v>7</v>
      </c>
    </row>
    <row r="17" spans="1:14" x14ac:dyDescent="0.2">
      <c r="A17" s="3" t="s">
        <v>7</v>
      </c>
      <c r="B17" s="3" t="s">
        <v>160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12">
        <v>0</v>
      </c>
      <c r="I17" s="3" t="s">
        <v>7</v>
      </c>
      <c r="J17" s="12">
        <v>0</v>
      </c>
      <c r="K17" s="3" t="s">
        <v>7</v>
      </c>
      <c r="L17" s="11">
        <v>0</v>
      </c>
      <c r="M17" s="11">
        <v>0</v>
      </c>
      <c r="N17" s="3" t="s">
        <v>7</v>
      </c>
    </row>
    <row r="18" spans="1:14" x14ac:dyDescent="0.2">
      <c r="A18" s="3" t="s">
        <v>7</v>
      </c>
      <c r="B18" s="3" t="s">
        <v>159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12">
        <v>0</v>
      </c>
      <c r="I18" s="3" t="s">
        <v>7</v>
      </c>
      <c r="J18" s="12">
        <v>0</v>
      </c>
      <c r="K18" s="3" t="s">
        <v>7</v>
      </c>
      <c r="L18" s="11">
        <v>0</v>
      </c>
      <c r="M18" s="11">
        <v>0</v>
      </c>
      <c r="N18" s="3" t="s">
        <v>7</v>
      </c>
    </row>
    <row r="19" spans="1:14" x14ac:dyDescent="0.2">
      <c r="A19" s="8" t="s">
        <v>7</v>
      </c>
      <c r="B19" s="8" t="s">
        <v>104</v>
      </c>
      <c r="C19" s="8" t="s">
        <v>7</v>
      </c>
      <c r="D19" s="8" t="s">
        <v>7</v>
      </c>
      <c r="E19" s="8" t="s">
        <v>7</v>
      </c>
      <c r="F19" s="8" t="s">
        <v>7</v>
      </c>
      <c r="G19" s="8" t="s">
        <v>7</v>
      </c>
      <c r="H19" s="8" t="s">
        <v>7</v>
      </c>
      <c r="I19" s="8" t="s">
        <v>7</v>
      </c>
      <c r="J19" s="8" t="s">
        <v>7</v>
      </c>
      <c r="K19" s="8" t="s">
        <v>7</v>
      </c>
      <c r="L19" s="8" t="s">
        <v>7</v>
      </c>
      <c r="M19" s="8" t="s">
        <v>7</v>
      </c>
      <c r="N19" s="8" t="s">
        <v>7</v>
      </c>
    </row>
    <row r="20" spans="1:14" x14ac:dyDescent="0.2">
      <c r="A20" s="8" t="s">
        <v>7</v>
      </c>
      <c r="B20" s="8" t="s">
        <v>149</v>
      </c>
      <c r="C20" s="8" t="s">
        <v>7</v>
      </c>
      <c r="D20" s="8" t="s">
        <v>7</v>
      </c>
      <c r="E20" s="8" t="s">
        <v>7</v>
      </c>
      <c r="F20" s="8" t="s">
        <v>7</v>
      </c>
      <c r="G20" s="8" t="s">
        <v>7</v>
      </c>
      <c r="H20" s="8" t="s">
        <v>7</v>
      </c>
      <c r="I20" s="8" t="s">
        <v>7</v>
      </c>
      <c r="J20" s="8" t="s">
        <v>7</v>
      </c>
      <c r="K20" s="8" t="s">
        <v>7</v>
      </c>
      <c r="L20" s="8" t="s">
        <v>7</v>
      </c>
      <c r="M20" s="8" t="s">
        <v>7</v>
      </c>
      <c r="N20" s="8" t="s">
        <v>7</v>
      </c>
    </row>
    <row r="21" spans="1:14" x14ac:dyDescent="0.2">
      <c r="A21" s="7" t="s">
        <v>60</v>
      </c>
      <c r="B21" s="7" t="s">
        <v>61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7"/>
  <sheetViews>
    <sheetView rightToLeft="1" workbookViewId="0"/>
  </sheetViews>
  <sheetFormatPr defaultRowHeight="14.25" x14ac:dyDescent="0.2"/>
  <cols>
    <col min="1" max="1" width="2" customWidth="1"/>
    <col min="2" max="2" width="36" customWidth="1"/>
    <col min="3" max="3" width="15" customWidth="1"/>
    <col min="4" max="4" width="14" customWidth="1"/>
    <col min="5" max="5" width="13" customWidth="1"/>
    <col min="6" max="6" width="15" customWidth="1"/>
    <col min="7" max="8" width="12" customWidth="1"/>
    <col min="9" max="9" width="22" customWidth="1"/>
    <col min="10" max="10" width="24" customWidth="1"/>
    <col min="11" max="11" width="23" customWidth="1"/>
    <col min="12" max="12" width="11" customWidth="1"/>
  </cols>
  <sheetData>
    <row r="1" spans="1:12" x14ac:dyDescent="0.2">
      <c r="B1" s="7" t="s">
        <v>0</v>
      </c>
      <c r="C1" s="7" t="s">
        <v>1</v>
      </c>
    </row>
    <row r="2" spans="1:12" x14ac:dyDescent="0.2">
      <c r="B2" s="7" t="s">
        <v>2</v>
      </c>
      <c r="C2" s="7" t="s">
        <v>3</v>
      </c>
    </row>
    <row r="3" spans="1:12" x14ac:dyDescent="0.2">
      <c r="B3" s="7" t="s">
        <v>4</v>
      </c>
      <c r="C3" s="7" t="s">
        <v>5</v>
      </c>
    </row>
    <row r="4" spans="1:12" x14ac:dyDescent="0.2">
      <c r="B4" s="7" t="s">
        <v>6</v>
      </c>
      <c r="C4" s="7">
        <v>408</v>
      </c>
    </row>
    <row r="5" spans="1:12" x14ac:dyDescent="0.2">
      <c r="B5" s="7" t="s">
        <v>7</v>
      </c>
      <c r="C5" s="7" t="s">
        <v>7</v>
      </c>
    </row>
    <row r="6" spans="1:12" x14ac:dyDescent="0.2">
      <c r="A6" s="1" t="s">
        <v>7</v>
      </c>
      <c r="B6" s="1" t="s">
        <v>643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</row>
    <row r="7" spans="1:12" x14ac:dyDescent="0.2">
      <c r="A7" s="1" t="s">
        <v>7</v>
      </c>
      <c r="B7" s="1" t="s">
        <v>689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</row>
    <row r="8" spans="1:12" x14ac:dyDescent="0.2">
      <c r="A8" s="1" t="s">
        <v>7</v>
      </c>
      <c r="B8" s="1" t="s">
        <v>63</v>
      </c>
      <c r="C8" s="1" t="s">
        <v>64</v>
      </c>
      <c r="D8" s="1" t="s">
        <v>68</v>
      </c>
      <c r="E8" s="1" t="s">
        <v>108</v>
      </c>
      <c r="F8" s="1" t="s">
        <v>110</v>
      </c>
      <c r="G8" s="1" t="s">
        <v>111</v>
      </c>
      <c r="H8" s="1" t="s">
        <v>9</v>
      </c>
      <c r="I8" s="1" t="s">
        <v>113</v>
      </c>
      <c r="J8" s="1" t="s">
        <v>72</v>
      </c>
      <c r="K8" s="1" t="s">
        <v>114</v>
      </c>
      <c r="L8" s="1" t="s">
        <v>7</v>
      </c>
    </row>
    <row r="9" spans="1:12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163</v>
      </c>
      <c r="F9" s="1" t="s">
        <v>164</v>
      </c>
      <c r="G9" s="1" t="s">
        <v>7</v>
      </c>
      <c r="H9" s="1" t="s">
        <v>11</v>
      </c>
      <c r="I9" s="1" t="s">
        <v>12</v>
      </c>
      <c r="J9" s="1" t="s">
        <v>12</v>
      </c>
      <c r="K9" s="1" t="s">
        <v>12</v>
      </c>
      <c r="L9" s="1" t="s">
        <v>7</v>
      </c>
    </row>
    <row r="10" spans="1:12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74</v>
      </c>
      <c r="F10" s="1" t="s">
        <v>75</v>
      </c>
      <c r="G10" s="1" t="s">
        <v>76</v>
      </c>
      <c r="H10" s="1" t="s">
        <v>77</v>
      </c>
      <c r="I10" s="1" t="s">
        <v>78</v>
      </c>
      <c r="J10" s="1" t="s">
        <v>79</v>
      </c>
      <c r="K10" s="1" t="s">
        <v>80</v>
      </c>
      <c r="L10" s="1" t="s">
        <v>7</v>
      </c>
    </row>
    <row r="11" spans="1:12" x14ac:dyDescent="0.2">
      <c r="A11" s="8" t="s">
        <v>7</v>
      </c>
      <c r="B11" s="8" t="s">
        <v>690</v>
      </c>
      <c r="C11" s="8" t="s">
        <v>7</v>
      </c>
      <c r="D11" s="8" t="s">
        <v>7</v>
      </c>
      <c r="E11" s="8" t="s">
        <v>7</v>
      </c>
      <c r="F11" s="10">
        <v>81676383.359999999</v>
      </c>
      <c r="G11" s="8" t="s">
        <v>7</v>
      </c>
      <c r="H11" s="10">
        <v>221098.74</v>
      </c>
      <c r="I11" s="8" t="s">
        <v>7</v>
      </c>
      <c r="J11" s="9">
        <v>1</v>
      </c>
      <c r="K11" s="9">
        <v>6.2300000000000001E-2</v>
      </c>
      <c r="L11" s="8" t="s">
        <v>7</v>
      </c>
    </row>
    <row r="12" spans="1:12" x14ac:dyDescent="0.2">
      <c r="A12" s="3" t="s">
        <v>7</v>
      </c>
      <c r="B12" s="3" t="s">
        <v>691</v>
      </c>
      <c r="C12" s="3" t="s">
        <v>7</v>
      </c>
      <c r="D12" s="3" t="s">
        <v>7</v>
      </c>
      <c r="E12" s="3" t="s">
        <v>7</v>
      </c>
      <c r="F12" s="12">
        <v>23024666.600000001</v>
      </c>
      <c r="G12" s="3" t="s">
        <v>7</v>
      </c>
      <c r="H12" s="12">
        <v>39301.72</v>
      </c>
      <c r="I12" s="3" t="s">
        <v>7</v>
      </c>
      <c r="J12" s="11">
        <v>0.17780000000000001</v>
      </c>
      <c r="K12" s="11">
        <v>1.11E-2</v>
      </c>
      <c r="L12" s="3" t="s">
        <v>7</v>
      </c>
    </row>
    <row r="13" spans="1:12" x14ac:dyDescent="0.2">
      <c r="A13" s="3" t="s">
        <v>7</v>
      </c>
      <c r="B13" s="3" t="s">
        <v>692</v>
      </c>
      <c r="C13" s="3" t="s">
        <v>7</v>
      </c>
      <c r="D13" s="3" t="s">
        <v>7</v>
      </c>
      <c r="E13" s="3" t="s">
        <v>7</v>
      </c>
      <c r="F13" s="12">
        <v>0</v>
      </c>
      <c r="G13" s="3" t="s">
        <v>7</v>
      </c>
      <c r="H13" s="12">
        <v>0</v>
      </c>
      <c r="I13" s="3" t="s">
        <v>7</v>
      </c>
      <c r="J13" s="11">
        <v>0</v>
      </c>
      <c r="K13" s="11">
        <v>0</v>
      </c>
      <c r="L13" s="3" t="s">
        <v>7</v>
      </c>
    </row>
    <row r="14" spans="1:12" x14ac:dyDescent="0.2">
      <c r="A14" s="3" t="s">
        <v>7</v>
      </c>
      <c r="B14" s="3" t="s">
        <v>693</v>
      </c>
      <c r="C14" s="3" t="s">
        <v>7</v>
      </c>
      <c r="D14" s="3" t="s">
        <v>7</v>
      </c>
      <c r="E14" s="3" t="s">
        <v>7</v>
      </c>
      <c r="F14" s="12">
        <v>4997144.3600000003</v>
      </c>
      <c r="G14" s="3" t="s">
        <v>7</v>
      </c>
      <c r="H14" s="12">
        <v>22233.51</v>
      </c>
      <c r="I14" s="3" t="s">
        <v>7</v>
      </c>
      <c r="J14" s="11">
        <v>0.10059999999999999</v>
      </c>
      <c r="K14" s="11">
        <v>6.3E-3</v>
      </c>
      <c r="L14" s="3" t="s">
        <v>7</v>
      </c>
    </row>
    <row r="15" spans="1:12" x14ac:dyDescent="0.2">
      <c r="A15" s="13" t="s">
        <v>7</v>
      </c>
      <c r="B15" s="13" t="s">
        <v>694</v>
      </c>
      <c r="C15" s="14">
        <v>60400256</v>
      </c>
      <c r="D15" s="13" t="s">
        <v>48</v>
      </c>
      <c r="E15" s="13" t="s">
        <v>695</v>
      </c>
      <c r="F15" s="16">
        <v>1222.5999999999999</v>
      </c>
      <c r="G15" s="16">
        <v>137485.93</v>
      </c>
      <c r="H15" s="16">
        <v>5783.99</v>
      </c>
      <c r="I15" s="15">
        <v>4.0000000000000002E-4</v>
      </c>
      <c r="J15" s="15">
        <v>2.6200000000000001E-2</v>
      </c>
      <c r="K15" s="15">
        <v>1.6000000000000001E-3</v>
      </c>
      <c r="L15" s="13" t="s">
        <v>7</v>
      </c>
    </row>
    <row r="16" spans="1:12" x14ac:dyDescent="0.2">
      <c r="A16" s="13" t="s">
        <v>7</v>
      </c>
      <c r="B16" s="13" t="s">
        <v>696</v>
      </c>
      <c r="C16" s="14">
        <v>100351881</v>
      </c>
      <c r="D16" s="13" t="s">
        <v>88</v>
      </c>
      <c r="E16" s="13" t="s">
        <v>697</v>
      </c>
      <c r="F16" s="16">
        <v>4990000</v>
      </c>
      <c r="G16" s="16">
        <v>123.94</v>
      </c>
      <c r="H16" s="16">
        <v>6184.46</v>
      </c>
      <c r="I16" s="15">
        <v>0.998</v>
      </c>
      <c r="J16" s="15">
        <v>2.8000000000000001E-2</v>
      </c>
      <c r="K16" s="15">
        <v>1.6999999999999999E-3</v>
      </c>
      <c r="L16" s="13" t="s">
        <v>7</v>
      </c>
    </row>
    <row r="17" spans="1:12" x14ac:dyDescent="0.2">
      <c r="A17" s="13" t="s">
        <v>7</v>
      </c>
      <c r="B17" s="13" t="s">
        <v>698</v>
      </c>
      <c r="C17" s="14">
        <v>100987072</v>
      </c>
      <c r="D17" s="13" t="s">
        <v>88</v>
      </c>
      <c r="E17" s="13" t="s">
        <v>699</v>
      </c>
      <c r="F17" s="16">
        <v>5921.76</v>
      </c>
      <c r="G17" s="16">
        <v>173344.92</v>
      </c>
      <c r="H17" s="16">
        <v>10265.07</v>
      </c>
      <c r="I17" s="15">
        <v>1.5E-3</v>
      </c>
      <c r="J17" s="15">
        <v>4.6399999999999997E-2</v>
      </c>
      <c r="K17" s="15">
        <v>2.8999999999999998E-3</v>
      </c>
      <c r="L17" s="13" t="s">
        <v>7</v>
      </c>
    </row>
    <row r="18" spans="1:12" x14ac:dyDescent="0.2">
      <c r="A18" s="3" t="s">
        <v>7</v>
      </c>
      <c r="B18" s="3" t="s">
        <v>700</v>
      </c>
      <c r="C18" s="3" t="s">
        <v>7</v>
      </c>
      <c r="D18" s="3" t="s">
        <v>7</v>
      </c>
      <c r="E18" s="3" t="s">
        <v>7</v>
      </c>
      <c r="F18" s="12">
        <v>3884897</v>
      </c>
      <c r="G18" s="3" t="s">
        <v>7</v>
      </c>
      <c r="H18" s="12">
        <v>3709.93</v>
      </c>
      <c r="I18" s="3" t="s">
        <v>7</v>
      </c>
      <c r="J18" s="11">
        <v>1.6799999999999999E-2</v>
      </c>
      <c r="K18" s="11">
        <v>1E-3</v>
      </c>
      <c r="L18" s="3" t="s">
        <v>7</v>
      </c>
    </row>
    <row r="19" spans="1:12" x14ac:dyDescent="0.2">
      <c r="A19" s="13" t="s">
        <v>7</v>
      </c>
      <c r="B19" s="13" t="s">
        <v>701</v>
      </c>
      <c r="C19" s="14">
        <v>100789569</v>
      </c>
      <c r="D19" s="13" t="s">
        <v>88</v>
      </c>
      <c r="E19" s="13" t="s">
        <v>702</v>
      </c>
      <c r="F19" s="16">
        <v>2966446</v>
      </c>
      <c r="G19" s="16">
        <v>94.96</v>
      </c>
      <c r="H19" s="16">
        <v>2817.06</v>
      </c>
      <c r="I19" s="15">
        <v>1</v>
      </c>
      <c r="J19" s="15">
        <v>1.2699999999999999E-2</v>
      </c>
      <c r="K19" s="15">
        <v>8.0000000000000004E-4</v>
      </c>
      <c r="L19" s="13" t="s">
        <v>7</v>
      </c>
    </row>
    <row r="20" spans="1:12" x14ac:dyDescent="0.2">
      <c r="A20" s="13" t="s">
        <v>7</v>
      </c>
      <c r="B20" s="13" t="s">
        <v>703</v>
      </c>
      <c r="C20" s="14">
        <v>50000884</v>
      </c>
      <c r="D20" s="13" t="s">
        <v>88</v>
      </c>
      <c r="E20" s="13" t="s">
        <v>704</v>
      </c>
      <c r="F20" s="16">
        <v>918451</v>
      </c>
      <c r="G20" s="16">
        <v>97.21</v>
      </c>
      <c r="H20" s="16">
        <v>892.87</v>
      </c>
      <c r="I20" s="15">
        <v>5.0000000000000001E-4</v>
      </c>
      <c r="J20" s="15">
        <v>4.0000000000000001E-3</v>
      </c>
      <c r="K20" s="15">
        <v>2.0000000000000001E-4</v>
      </c>
      <c r="L20" s="13" t="s">
        <v>7</v>
      </c>
    </row>
    <row r="21" spans="1:12" x14ac:dyDescent="0.2">
      <c r="A21" s="3" t="s">
        <v>7</v>
      </c>
      <c r="B21" s="3" t="s">
        <v>705</v>
      </c>
      <c r="C21" s="3" t="s">
        <v>7</v>
      </c>
      <c r="D21" s="3" t="s">
        <v>7</v>
      </c>
      <c r="E21" s="3" t="s">
        <v>7</v>
      </c>
      <c r="F21" s="12">
        <v>14142625.24</v>
      </c>
      <c r="G21" s="3" t="s">
        <v>7</v>
      </c>
      <c r="H21" s="12">
        <v>13358.28</v>
      </c>
      <c r="I21" s="3" t="s">
        <v>7</v>
      </c>
      <c r="J21" s="11">
        <v>6.0400000000000002E-2</v>
      </c>
      <c r="K21" s="11">
        <v>3.8E-3</v>
      </c>
      <c r="L21" s="3" t="s">
        <v>7</v>
      </c>
    </row>
    <row r="22" spans="1:12" x14ac:dyDescent="0.2">
      <c r="A22" s="13" t="s">
        <v>7</v>
      </c>
      <c r="B22" s="13" t="s">
        <v>706</v>
      </c>
      <c r="C22" s="14">
        <v>62006846</v>
      </c>
      <c r="D22" s="13" t="s">
        <v>48</v>
      </c>
      <c r="E22" s="13" t="s">
        <v>707</v>
      </c>
      <c r="F22" s="16">
        <v>750000</v>
      </c>
      <c r="G22" s="16">
        <v>98.98</v>
      </c>
      <c r="H22" s="16">
        <v>2554.39</v>
      </c>
      <c r="I22" s="15">
        <v>1</v>
      </c>
      <c r="J22" s="15">
        <v>1.15E-2</v>
      </c>
      <c r="K22" s="15">
        <v>6.9999999999999999E-4</v>
      </c>
      <c r="L22" s="13" t="s">
        <v>7</v>
      </c>
    </row>
    <row r="23" spans="1:12" x14ac:dyDescent="0.2">
      <c r="A23" s="13" t="s">
        <v>7</v>
      </c>
      <c r="B23" s="13" t="s">
        <v>708</v>
      </c>
      <c r="C23" s="14">
        <v>9840906</v>
      </c>
      <c r="D23" s="13" t="s">
        <v>48</v>
      </c>
      <c r="E23" s="13" t="s">
        <v>653</v>
      </c>
      <c r="F23" s="16">
        <v>3546877</v>
      </c>
      <c r="G23" s="16">
        <v>11.67</v>
      </c>
      <c r="H23" s="16">
        <v>1424.8</v>
      </c>
      <c r="I23" s="15">
        <v>2.1000000000000001E-2</v>
      </c>
      <c r="J23" s="15">
        <v>6.4000000000000003E-3</v>
      </c>
      <c r="K23" s="15">
        <v>4.0000000000000002E-4</v>
      </c>
      <c r="L23" s="13" t="s">
        <v>7</v>
      </c>
    </row>
    <row r="24" spans="1:12" x14ac:dyDescent="0.2">
      <c r="A24" s="13" t="s">
        <v>7</v>
      </c>
      <c r="B24" s="13" t="s">
        <v>709</v>
      </c>
      <c r="C24" s="14">
        <v>9840909</v>
      </c>
      <c r="D24" s="13" t="s">
        <v>48</v>
      </c>
      <c r="E24" s="13" t="s">
        <v>653</v>
      </c>
      <c r="F24" s="16">
        <v>2479296</v>
      </c>
      <c r="G24" s="16">
        <v>26.61</v>
      </c>
      <c r="H24" s="16">
        <v>2269.79</v>
      </c>
      <c r="I24" s="15">
        <v>1.24E-2</v>
      </c>
      <c r="J24" s="15">
        <v>1.03E-2</v>
      </c>
      <c r="K24" s="15">
        <v>5.9999999999999995E-4</v>
      </c>
      <c r="L24" s="13" t="s">
        <v>7</v>
      </c>
    </row>
    <row r="25" spans="1:12" x14ac:dyDescent="0.2">
      <c r="A25" s="13" t="s">
        <v>7</v>
      </c>
      <c r="B25" s="13" t="s">
        <v>710</v>
      </c>
      <c r="C25" s="14">
        <v>9840880</v>
      </c>
      <c r="D25" s="13" t="s">
        <v>48</v>
      </c>
      <c r="E25" s="13" t="s">
        <v>653</v>
      </c>
      <c r="F25" s="16">
        <v>2912690</v>
      </c>
      <c r="G25" s="16">
        <v>0</v>
      </c>
      <c r="H25" s="16">
        <v>0.01</v>
      </c>
      <c r="I25" s="15">
        <v>0.104</v>
      </c>
      <c r="J25" s="15">
        <v>0</v>
      </c>
      <c r="K25" s="15">
        <v>0</v>
      </c>
      <c r="L25" s="13" t="s">
        <v>7</v>
      </c>
    </row>
    <row r="26" spans="1:12" x14ac:dyDescent="0.2">
      <c r="A26" s="13" t="s">
        <v>7</v>
      </c>
      <c r="B26" s="13" t="s">
        <v>711</v>
      </c>
      <c r="C26" s="14">
        <v>100560937</v>
      </c>
      <c r="D26" s="13" t="s">
        <v>88</v>
      </c>
      <c r="E26" s="13" t="s">
        <v>712</v>
      </c>
      <c r="F26" s="16">
        <v>667</v>
      </c>
      <c r="G26" s="16">
        <v>82033.25</v>
      </c>
      <c r="H26" s="16">
        <v>547.16</v>
      </c>
      <c r="I26" s="15">
        <v>0</v>
      </c>
      <c r="J26" s="15">
        <v>2.5000000000000001E-3</v>
      </c>
      <c r="K26" s="15">
        <v>1E-4</v>
      </c>
      <c r="L26" s="13" t="s">
        <v>7</v>
      </c>
    </row>
    <row r="27" spans="1:12" x14ac:dyDescent="0.2">
      <c r="A27" s="13" t="s">
        <v>7</v>
      </c>
      <c r="B27" s="13" t="s">
        <v>703</v>
      </c>
      <c r="C27" s="14">
        <v>50000868</v>
      </c>
      <c r="D27" s="13" t="s">
        <v>88</v>
      </c>
      <c r="E27" s="13" t="s">
        <v>713</v>
      </c>
      <c r="F27" s="16">
        <v>918449</v>
      </c>
      <c r="G27" s="16">
        <v>96.54</v>
      </c>
      <c r="H27" s="16">
        <v>886.68</v>
      </c>
      <c r="I27" s="15">
        <v>0.91839999999999999</v>
      </c>
      <c r="J27" s="15">
        <v>4.0000000000000001E-3</v>
      </c>
      <c r="K27" s="15">
        <v>2.0000000000000001E-4</v>
      </c>
      <c r="L27" s="13" t="s">
        <v>7</v>
      </c>
    </row>
    <row r="28" spans="1:12" x14ac:dyDescent="0.2">
      <c r="A28" s="13" t="s">
        <v>7</v>
      </c>
      <c r="B28" s="13" t="s">
        <v>714</v>
      </c>
      <c r="C28" s="14">
        <v>100364751</v>
      </c>
      <c r="D28" s="13" t="s">
        <v>88</v>
      </c>
      <c r="E28" s="13" t="s">
        <v>715</v>
      </c>
      <c r="F28" s="16">
        <v>125</v>
      </c>
      <c r="G28" s="16">
        <v>408985.59999999998</v>
      </c>
      <c r="H28" s="16">
        <v>511.23</v>
      </c>
      <c r="I28" s="15">
        <v>1E-4</v>
      </c>
      <c r="J28" s="15">
        <v>2.3E-3</v>
      </c>
      <c r="K28" s="15">
        <v>1E-4</v>
      </c>
      <c r="L28" s="13" t="s">
        <v>7</v>
      </c>
    </row>
    <row r="29" spans="1:12" x14ac:dyDescent="0.2">
      <c r="A29" s="13" t="s">
        <v>7</v>
      </c>
      <c r="B29" s="13" t="s">
        <v>716</v>
      </c>
      <c r="C29" s="14">
        <v>60372158</v>
      </c>
      <c r="D29" s="13" t="s">
        <v>48</v>
      </c>
      <c r="E29" s="13" t="s">
        <v>717</v>
      </c>
      <c r="F29" s="16">
        <v>1168750</v>
      </c>
      <c r="G29" s="16">
        <v>7.74</v>
      </c>
      <c r="H29" s="16">
        <v>311.24</v>
      </c>
      <c r="I29" s="15">
        <v>0.59179999999999999</v>
      </c>
      <c r="J29" s="15">
        <v>1.4E-3</v>
      </c>
      <c r="K29" s="15">
        <v>1E-4</v>
      </c>
      <c r="L29" s="13" t="s">
        <v>7</v>
      </c>
    </row>
    <row r="30" spans="1:12" x14ac:dyDescent="0.2">
      <c r="A30" s="13" t="s">
        <v>7</v>
      </c>
      <c r="B30" s="13" t="s">
        <v>718</v>
      </c>
      <c r="C30" s="14">
        <v>9840862</v>
      </c>
      <c r="D30" s="13" t="s">
        <v>48</v>
      </c>
      <c r="E30" s="13" t="s">
        <v>653</v>
      </c>
      <c r="F30" s="16">
        <v>1942920</v>
      </c>
      <c r="G30" s="16">
        <v>71.36</v>
      </c>
      <c r="H30" s="16">
        <v>4770.97</v>
      </c>
      <c r="I30" s="15">
        <v>3.8899999999999997E-2</v>
      </c>
      <c r="J30" s="15">
        <v>2.1600000000000001E-2</v>
      </c>
      <c r="K30" s="15">
        <v>1.2999999999999999E-3</v>
      </c>
      <c r="L30" s="13" t="s">
        <v>7</v>
      </c>
    </row>
    <row r="31" spans="1:12" x14ac:dyDescent="0.2">
      <c r="A31" s="13" t="s">
        <v>7</v>
      </c>
      <c r="B31" s="13" t="s">
        <v>719</v>
      </c>
      <c r="C31" s="14">
        <v>9840666</v>
      </c>
      <c r="D31" s="13" t="s">
        <v>48</v>
      </c>
      <c r="E31" s="13" t="s">
        <v>653</v>
      </c>
      <c r="F31" s="16">
        <v>422851.24</v>
      </c>
      <c r="G31" s="16">
        <v>5.64</v>
      </c>
      <c r="H31" s="16">
        <v>82.01</v>
      </c>
      <c r="I31" s="15">
        <v>8.5000000000000006E-3</v>
      </c>
      <c r="J31" s="15">
        <v>4.0000000000000002E-4</v>
      </c>
      <c r="K31" s="15">
        <v>0</v>
      </c>
      <c r="L31" s="13" t="s">
        <v>7</v>
      </c>
    </row>
    <row r="32" spans="1:12" x14ac:dyDescent="0.2">
      <c r="A32" s="3" t="s">
        <v>7</v>
      </c>
      <c r="B32" s="3" t="s">
        <v>720</v>
      </c>
      <c r="C32" s="3" t="s">
        <v>7</v>
      </c>
      <c r="D32" s="3" t="s">
        <v>7</v>
      </c>
      <c r="E32" s="3" t="s">
        <v>7</v>
      </c>
      <c r="F32" s="12">
        <v>58651716.759999998</v>
      </c>
      <c r="G32" s="3" t="s">
        <v>7</v>
      </c>
      <c r="H32" s="12">
        <v>181797.02</v>
      </c>
      <c r="I32" s="3" t="s">
        <v>7</v>
      </c>
      <c r="J32" s="11">
        <v>0.82220000000000004</v>
      </c>
      <c r="K32" s="11">
        <v>5.1200000000000002E-2</v>
      </c>
      <c r="L32" s="3" t="s">
        <v>7</v>
      </c>
    </row>
    <row r="33" spans="1:12" x14ac:dyDescent="0.2">
      <c r="A33" s="3" t="s">
        <v>7</v>
      </c>
      <c r="B33" s="3" t="s">
        <v>692</v>
      </c>
      <c r="C33" s="3" t="s">
        <v>7</v>
      </c>
      <c r="D33" s="3" t="s">
        <v>7</v>
      </c>
      <c r="E33" s="3" t="s">
        <v>7</v>
      </c>
      <c r="F33" s="12">
        <v>1548175</v>
      </c>
      <c r="G33" s="3" t="s">
        <v>7</v>
      </c>
      <c r="H33" s="12">
        <v>1473.95</v>
      </c>
      <c r="I33" s="3" t="s">
        <v>7</v>
      </c>
      <c r="J33" s="11">
        <v>6.7000000000000002E-3</v>
      </c>
      <c r="K33" s="11">
        <v>4.0000000000000002E-4</v>
      </c>
      <c r="L33" s="3" t="s">
        <v>7</v>
      </c>
    </row>
    <row r="34" spans="1:12" x14ac:dyDescent="0.2">
      <c r="A34" s="13" t="s">
        <v>7</v>
      </c>
      <c r="B34" s="13" t="s">
        <v>721</v>
      </c>
      <c r="C34" s="14">
        <v>60300050</v>
      </c>
      <c r="D34" s="13" t="s">
        <v>48</v>
      </c>
      <c r="E34" s="13" t="s">
        <v>653</v>
      </c>
      <c r="F34" s="16">
        <v>408175</v>
      </c>
      <c r="G34" s="16">
        <v>14.97</v>
      </c>
      <c r="H34" s="16">
        <v>210.2</v>
      </c>
      <c r="I34" s="15">
        <v>0</v>
      </c>
      <c r="J34" s="15">
        <v>8.9999999999999998E-4</v>
      </c>
      <c r="K34" s="15">
        <v>1E-4</v>
      </c>
      <c r="L34" s="13" t="s">
        <v>7</v>
      </c>
    </row>
    <row r="35" spans="1:12" x14ac:dyDescent="0.2">
      <c r="A35" s="13" t="s">
        <v>7</v>
      </c>
      <c r="B35" s="13" t="s">
        <v>722</v>
      </c>
      <c r="C35" s="14">
        <v>60200011</v>
      </c>
      <c r="D35" s="13" t="s">
        <v>48</v>
      </c>
      <c r="E35" s="13" t="s">
        <v>653</v>
      </c>
      <c r="F35" s="16">
        <v>1140000</v>
      </c>
      <c r="G35" s="16">
        <v>32.22</v>
      </c>
      <c r="H35" s="16">
        <v>1263.75</v>
      </c>
      <c r="I35" s="15">
        <v>0</v>
      </c>
      <c r="J35" s="15">
        <v>5.7000000000000002E-3</v>
      </c>
      <c r="K35" s="15">
        <v>4.0000000000000002E-4</v>
      </c>
      <c r="L35" s="13" t="s">
        <v>7</v>
      </c>
    </row>
    <row r="36" spans="1:12" x14ac:dyDescent="0.2">
      <c r="A36" s="3" t="s">
        <v>7</v>
      </c>
      <c r="B36" s="3" t="s">
        <v>693</v>
      </c>
      <c r="C36" s="3" t="s">
        <v>7</v>
      </c>
      <c r="D36" s="3" t="s">
        <v>7</v>
      </c>
      <c r="E36" s="3" t="s">
        <v>7</v>
      </c>
      <c r="F36" s="12">
        <v>8835578.1400000006</v>
      </c>
      <c r="G36" s="3" t="s">
        <v>7</v>
      </c>
      <c r="H36" s="12">
        <v>25379.64</v>
      </c>
      <c r="I36" s="3" t="s">
        <v>7</v>
      </c>
      <c r="J36" s="11">
        <v>0.1148</v>
      </c>
      <c r="K36" s="11">
        <v>7.1000000000000004E-3</v>
      </c>
      <c r="L36" s="3" t="s">
        <v>7</v>
      </c>
    </row>
    <row r="37" spans="1:12" x14ac:dyDescent="0.2">
      <c r="A37" s="13" t="s">
        <v>7</v>
      </c>
      <c r="B37" s="13" t="s">
        <v>723</v>
      </c>
      <c r="C37" s="14">
        <v>62013743</v>
      </c>
      <c r="D37" s="13" t="s">
        <v>48</v>
      </c>
      <c r="E37" s="13" t="s">
        <v>724</v>
      </c>
      <c r="F37" s="16">
        <v>1401.08</v>
      </c>
      <c r="G37" s="16">
        <v>123533.13</v>
      </c>
      <c r="H37" s="16">
        <v>5955.68</v>
      </c>
      <c r="I37" s="15">
        <v>0</v>
      </c>
      <c r="J37" s="15">
        <v>2.69E-2</v>
      </c>
      <c r="K37" s="15">
        <v>1.6999999999999999E-3</v>
      </c>
      <c r="L37" s="13" t="s">
        <v>7</v>
      </c>
    </row>
    <row r="38" spans="1:12" x14ac:dyDescent="0.2">
      <c r="A38" s="13" t="s">
        <v>7</v>
      </c>
      <c r="B38" s="13" t="s">
        <v>725</v>
      </c>
      <c r="C38" s="14">
        <v>62010699</v>
      </c>
      <c r="D38" s="13" t="s">
        <v>48</v>
      </c>
      <c r="E38" s="13" t="s">
        <v>726</v>
      </c>
      <c r="F38" s="16">
        <v>1756.47</v>
      </c>
      <c r="G38" s="16">
        <v>124088.14</v>
      </c>
      <c r="H38" s="16">
        <v>7499.9</v>
      </c>
      <c r="I38" s="15">
        <v>0</v>
      </c>
      <c r="J38" s="15">
        <v>3.39E-2</v>
      </c>
      <c r="K38" s="15">
        <v>2.0999999999999999E-3</v>
      </c>
      <c r="L38" s="13" t="s">
        <v>7</v>
      </c>
    </row>
    <row r="39" spans="1:12" x14ac:dyDescent="0.2">
      <c r="A39" s="13" t="s">
        <v>7</v>
      </c>
      <c r="B39" s="13" t="s">
        <v>727</v>
      </c>
      <c r="C39" s="14">
        <v>100448836</v>
      </c>
      <c r="D39" s="13" t="s">
        <v>88</v>
      </c>
      <c r="E39" s="13" t="s">
        <v>728</v>
      </c>
      <c r="F39" s="16">
        <v>8832420.5899999999</v>
      </c>
      <c r="G39" s="16">
        <v>135</v>
      </c>
      <c r="H39" s="16">
        <v>11924.06</v>
      </c>
      <c r="I39" s="15">
        <v>0.49070000000000003</v>
      </c>
      <c r="J39" s="15">
        <v>5.3900000000000003E-2</v>
      </c>
      <c r="K39" s="15">
        <v>3.3999999999999998E-3</v>
      </c>
      <c r="L39" s="13" t="s">
        <v>7</v>
      </c>
    </row>
    <row r="40" spans="1:12" x14ac:dyDescent="0.2">
      <c r="A40" s="3" t="s">
        <v>7</v>
      </c>
      <c r="B40" s="3" t="s">
        <v>700</v>
      </c>
      <c r="C40" s="3" t="s">
        <v>7</v>
      </c>
      <c r="D40" s="3" t="s">
        <v>7</v>
      </c>
      <c r="E40" s="3" t="s">
        <v>7</v>
      </c>
      <c r="F40" s="12">
        <v>13305512.77</v>
      </c>
      <c r="G40" s="3" t="s">
        <v>7</v>
      </c>
      <c r="H40" s="12">
        <v>45215.74</v>
      </c>
      <c r="I40" s="3" t="s">
        <v>7</v>
      </c>
      <c r="J40" s="11">
        <v>0.20449999999999999</v>
      </c>
      <c r="K40" s="11">
        <v>1.2699999999999999E-2</v>
      </c>
      <c r="L40" s="3" t="s">
        <v>7</v>
      </c>
    </row>
    <row r="41" spans="1:12" x14ac:dyDescent="0.2">
      <c r="A41" s="13" t="s">
        <v>7</v>
      </c>
      <c r="B41" s="13" t="s">
        <v>729</v>
      </c>
      <c r="C41" s="14">
        <v>62002044</v>
      </c>
      <c r="D41" s="13" t="s">
        <v>48</v>
      </c>
      <c r="E41" s="13" t="s">
        <v>730</v>
      </c>
      <c r="F41" s="16">
        <v>1499680</v>
      </c>
      <c r="G41" s="16">
        <v>102.07</v>
      </c>
      <c r="H41" s="16">
        <v>5267.08</v>
      </c>
      <c r="I41" s="15">
        <v>2.6800000000000001E-2</v>
      </c>
      <c r="J41" s="15">
        <v>2.3800000000000002E-2</v>
      </c>
      <c r="K41" s="15">
        <v>1.5E-3</v>
      </c>
      <c r="L41" s="13" t="s">
        <v>7</v>
      </c>
    </row>
    <row r="42" spans="1:12" x14ac:dyDescent="0.2">
      <c r="A42" s="13" t="s">
        <v>7</v>
      </c>
      <c r="B42" s="13" t="s">
        <v>731</v>
      </c>
      <c r="C42" s="13" t="s">
        <v>732</v>
      </c>
      <c r="D42" s="13" t="s">
        <v>48</v>
      </c>
      <c r="E42" s="13" t="s">
        <v>733</v>
      </c>
      <c r="F42" s="16">
        <v>1000003</v>
      </c>
      <c r="G42" s="16">
        <v>119.28</v>
      </c>
      <c r="H42" s="16">
        <v>4104.49</v>
      </c>
      <c r="I42" s="15">
        <v>1.3299999999999999E-2</v>
      </c>
      <c r="J42" s="15">
        <v>1.8599999999999998E-2</v>
      </c>
      <c r="K42" s="15">
        <v>1.1999999999999999E-3</v>
      </c>
      <c r="L42" s="14">
        <v>60408978</v>
      </c>
    </row>
    <row r="43" spans="1:12" x14ac:dyDescent="0.2">
      <c r="A43" s="13" t="s">
        <v>7</v>
      </c>
      <c r="B43" s="13" t="s">
        <v>734</v>
      </c>
      <c r="C43" s="14">
        <v>62002035</v>
      </c>
      <c r="D43" s="13" t="s">
        <v>54</v>
      </c>
      <c r="E43" s="13" t="s">
        <v>735</v>
      </c>
      <c r="F43" s="16">
        <v>1971458</v>
      </c>
      <c r="G43" s="16">
        <v>96.02</v>
      </c>
      <c r="H43" s="16">
        <v>7620.73</v>
      </c>
      <c r="I43" s="15">
        <v>0</v>
      </c>
      <c r="J43" s="15">
        <v>3.4500000000000003E-2</v>
      </c>
      <c r="K43" s="15">
        <v>2.0999999999999999E-3</v>
      </c>
      <c r="L43" s="13" t="s">
        <v>7</v>
      </c>
    </row>
    <row r="44" spans="1:12" x14ac:dyDescent="0.2">
      <c r="A44" s="13" t="s">
        <v>7</v>
      </c>
      <c r="B44" s="13" t="s">
        <v>736</v>
      </c>
      <c r="C44" s="14">
        <v>62000554</v>
      </c>
      <c r="D44" s="13" t="s">
        <v>54</v>
      </c>
      <c r="E44" s="13" t="s">
        <v>737</v>
      </c>
      <c r="F44" s="16">
        <v>1045769</v>
      </c>
      <c r="G44" s="16">
        <v>103.12</v>
      </c>
      <c r="H44" s="16">
        <v>4341.28</v>
      </c>
      <c r="I44" s="15">
        <v>0</v>
      </c>
      <c r="J44" s="15">
        <v>1.9599999999999999E-2</v>
      </c>
      <c r="K44" s="15">
        <v>1.1999999999999999E-3</v>
      </c>
      <c r="L44" s="13" t="s">
        <v>7</v>
      </c>
    </row>
    <row r="45" spans="1:12" x14ac:dyDescent="0.2">
      <c r="A45" s="13" t="s">
        <v>7</v>
      </c>
      <c r="B45" s="13" t="s">
        <v>738</v>
      </c>
      <c r="C45" s="13" t="s">
        <v>739</v>
      </c>
      <c r="D45" s="13" t="s">
        <v>48</v>
      </c>
      <c r="E45" s="13" t="s">
        <v>740</v>
      </c>
      <c r="F45" s="16">
        <v>2500000</v>
      </c>
      <c r="G45" s="16">
        <v>90.7</v>
      </c>
      <c r="H45" s="16">
        <v>7802.21</v>
      </c>
      <c r="I45" s="15">
        <v>1</v>
      </c>
      <c r="J45" s="15">
        <v>3.5299999999999998E-2</v>
      </c>
      <c r="K45" s="15">
        <v>2.2000000000000001E-3</v>
      </c>
      <c r="L45" s="14">
        <v>60388022</v>
      </c>
    </row>
    <row r="46" spans="1:12" x14ac:dyDescent="0.2">
      <c r="A46" s="13" t="s">
        <v>7</v>
      </c>
      <c r="B46" s="13" t="s">
        <v>741</v>
      </c>
      <c r="C46" s="14">
        <v>62000929</v>
      </c>
      <c r="D46" s="13" t="s">
        <v>48</v>
      </c>
      <c r="E46" s="13" t="s">
        <v>742</v>
      </c>
      <c r="F46" s="16">
        <v>1500000</v>
      </c>
      <c r="G46" s="16">
        <v>101.22</v>
      </c>
      <c r="H46" s="16">
        <v>5224.5200000000004</v>
      </c>
      <c r="I46" s="15">
        <v>0</v>
      </c>
      <c r="J46" s="15">
        <v>2.3599999999999999E-2</v>
      </c>
      <c r="K46" s="15">
        <v>1.5E-3</v>
      </c>
      <c r="L46" s="13" t="s">
        <v>7</v>
      </c>
    </row>
    <row r="47" spans="1:12" x14ac:dyDescent="0.2">
      <c r="A47" s="13" t="s">
        <v>7</v>
      </c>
      <c r="B47" s="13" t="s">
        <v>743</v>
      </c>
      <c r="C47" s="14">
        <v>62010566</v>
      </c>
      <c r="D47" s="13" t="s">
        <v>48</v>
      </c>
      <c r="E47" s="13" t="s">
        <v>744</v>
      </c>
      <c r="F47" s="16">
        <v>2800000</v>
      </c>
      <c r="G47" s="16">
        <v>105.51</v>
      </c>
      <c r="H47" s="16">
        <v>10165.41</v>
      </c>
      <c r="I47" s="15">
        <v>0</v>
      </c>
      <c r="J47" s="15">
        <v>4.5999999999999999E-2</v>
      </c>
      <c r="K47" s="15">
        <v>2.8999999999999998E-3</v>
      </c>
      <c r="L47" s="13" t="s">
        <v>7</v>
      </c>
    </row>
    <row r="48" spans="1:12" x14ac:dyDescent="0.2">
      <c r="A48" s="13" t="s">
        <v>7</v>
      </c>
      <c r="B48" s="13" t="s">
        <v>745</v>
      </c>
      <c r="C48" s="13" t="s">
        <v>746</v>
      </c>
      <c r="D48" s="13" t="s">
        <v>48</v>
      </c>
      <c r="E48" s="13" t="s">
        <v>747</v>
      </c>
      <c r="F48" s="16">
        <v>988602.77</v>
      </c>
      <c r="G48" s="16">
        <v>20.28</v>
      </c>
      <c r="H48" s="16">
        <v>690.02</v>
      </c>
      <c r="I48" s="15">
        <v>1.9800000000000002E-2</v>
      </c>
      <c r="J48" s="15">
        <v>3.0999999999999999E-3</v>
      </c>
      <c r="K48" s="15">
        <v>2.0000000000000001E-4</v>
      </c>
      <c r="L48" s="14">
        <v>60301363</v>
      </c>
    </row>
    <row r="49" spans="1:12" x14ac:dyDescent="0.2">
      <c r="A49" s="3" t="s">
        <v>7</v>
      </c>
      <c r="B49" s="3" t="s">
        <v>705</v>
      </c>
      <c r="C49" s="3" t="s">
        <v>7</v>
      </c>
      <c r="D49" s="3" t="s">
        <v>7</v>
      </c>
      <c r="E49" s="3" t="s">
        <v>7</v>
      </c>
      <c r="F49" s="12">
        <v>34962450.850000001</v>
      </c>
      <c r="G49" s="3" t="s">
        <v>7</v>
      </c>
      <c r="H49" s="12">
        <v>109727.69</v>
      </c>
      <c r="I49" s="3" t="s">
        <v>7</v>
      </c>
      <c r="J49" s="11">
        <v>0.49630000000000002</v>
      </c>
      <c r="K49" s="11">
        <v>3.09E-2</v>
      </c>
      <c r="L49" s="3" t="s">
        <v>7</v>
      </c>
    </row>
    <row r="50" spans="1:12" x14ac:dyDescent="0.2">
      <c r="A50" s="13" t="s">
        <v>7</v>
      </c>
      <c r="B50" s="13" t="s">
        <v>748</v>
      </c>
      <c r="C50" s="13" t="s">
        <v>749</v>
      </c>
      <c r="D50" s="13" t="s">
        <v>48</v>
      </c>
      <c r="E50" s="13" t="s">
        <v>750</v>
      </c>
      <c r="F50" s="16">
        <v>2050913.14</v>
      </c>
      <c r="G50" s="16">
        <v>124.38</v>
      </c>
      <c r="H50" s="16">
        <v>8778.09</v>
      </c>
      <c r="I50" s="15">
        <v>4.1000000000000003E-3</v>
      </c>
      <c r="J50" s="15">
        <v>3.9699999999999999E-2</v>
      </c>
      <c r="K50" s="15">
        <v>2.5000000000000001E-3</v>
      </c>
      <c r="L50" s="14">
        <v>60397874</v>
      </c>
    </row>
    <row r="51" spans="1:12" x14ac:dyDescent="0.2">
      <c r="A51" s="13" t="s">
        <v>7</v>
      </c>
      <c r="B51" s="13" t="s">
        <v>751</v>
      </c>
      <c r="C51" s="14">
        <v>62016845</v>
      </c>
      <c r="D51" s="13" t="s">
        <v>48</v>
      </c>
      <c r="E51" s="13" t="s">
        <v>752</v>
      </c>
      <c r="F51" s="16">
        <v>570000</v>
      </c>
      <c r="G51" s="16">
        <v>102.55</v>
      </c>
      <c r="H51" s="16">
        <v>2011.47</v>
      </c>
      <c r="I51" s="15">
        <v>0</v>
      </c>
      <c r="J51" s="15">
        <v>9.1000000000000004E-3</v>
      </c>
      <c r="K51" s="15">
        <v>5.9999999999999995E-4</v>
      </c>
      <c r="L51" s="13" t="s">
        <v>7</v>
      </c>
    </row>
    <row r="52" spans="1:12" x14ac:dyDescent="0.2">
      <c r="A52" s="13" t="s">
        <v>7</v>
      </c>
      <c r="B52" s="13" t="s">
        <v>751</v>
      </c>
      <c r="C52" s="14">
        <v>62016845</v>
      </c>
      <c r="D52" s="13" t="s">
        <v>48</v>
      </c>
      <c r="E52" s="13" t="s">
        <v>752</v>
      </c>
      <c r="F52" s="16">
        <v>570000</v>
      </c>
      <c r="G52" s="16">
        <v>102.55</v>
      </c>
      <c r="H52" s="16">
        <v>2011.46</v>
      </c>
      <c r="I52" s="15">
        <v>0</v>
      </c>
      <c r="J52" s="15">
        <v>9.1000000000000004E-3</v>
      </c>
      <c r="K52" s="15">
        <v>5.9999999999999995E-4</v>
      </c>
      <c r="L52" s="13" t="s">
        <v>7</v>
      </c>
    </row>
    <row r="53" spans="1:12" x14ac:dyDescent="0.2">
      <c r="A53" s="13" t="s">
        <v>7</v>
      </c>
      <c r="B53" s="13" t="s">
        <v>753</v>
      </c>
      <c r="C53" s="14">
        <v>62009568</v>
      </c>
      <c r="D53" s="13" t="s">
        <v>54</v>
      </c>
      <c r="E53" s="13" t="s">
        <v>754</v>
      </c>
      <c r="F53" s="16">
        <v>1066566.8899999999</v>
      </c>
      <c r="G53" s="16">
        <v>85.27</v>
      </c>
      <c r="H53" s="16">
        <v>3661.25</v>
      </c>
      <c r="I53" s="15">
        <v>1</v>
      </c>
      <c r="J53" s="15">
        <v>1.66E-2</v>
      </c>
      <c r="K53" s="15">
        <v>1E-3</v>
      </c>
      <c r="L53" s="13" t="s">
        <v>7</v>
      </c>
    </row>
    <row r="54" spans="1:12" x14ac:dyDescent="0.2">
      <c r="A54" s="13" t="s">
        <v>7</v>
      </c>
      <c r="B54" s="13" t="s">
        <v>755</v>
      </c>
      <c r="C54" s="14">
        <v>62010095</v>
      </c>
      <c r="D54" s="13" t="s">
        <v>48</v>
      </c>
      <c r="E54" s="13" t="s">
        <v>756</v>
      </c>
      <c r="F54" s="16">
        <v>474.58</v>
      </c>
      <c r="G54" s="16">
        <v>107446.15</v>
      </c>
      <c r="H54" s="16">
        <v>1754.63</v>
      </c>
      <c r="I54" s="15">
        <v>6.9999999999999999E-4</v>
      </c>
      <c r="J54" s="15">
        <v>7.9000000000000008E-3</v>
      </c>
      <c r="K54" s="15">
        <v>5.0000000000000001E-4</v>
      </c>
      <c r="L54" s="13" t="s">
        <v>7</v>
      </c>
    </row>
    <row r="55" spans="1:12" x14ac:dyDescent="0.2">
      <c r="A55" s="13" t="s">
        <v>7</v>
      </c>
      <c r="B55" s="13" t="s">
        <v>757</v>
      </c>
      <c r="C55" s="14">
        <v>62013818</v>
      </c>
      <c r="D55" s="13" t="s">
        <v>48</v>
      </c>
      <c r="E55" s="13" t="s">
        <v>758</v>
      </c>
      <c r="F55" s="16">
        <v>1206936.6000000001</v>
      </c>
      <c r="G55" s="16">
        <v>103.88</v>
      </c>
      <c r="H55" s="16">
        <v>4314.37</v>
      </c>
      <c r="I55" s="15">
        <v>0</v>
      </c>
      <c r="J55" s="15">
        <v>1.95E-2</v>
      </c>
      <c r="K55" s="15">
        <v>1.1999999999999999E-3</v>
      </c>
      <c r="L55" s="13" t="s">
        <v>7</v>
      </c>
    </row>
    <row r="56" spans="1:12" x14ac:dyDescent="0.2">
      <c r="A56" s="13" t="s">
        <v>7</v>
      </c>
      <c r="B56" s="13" t="s">
        <v>759</v>
      </c>
      <c r="C56" s="14">
        <v>62014170</v>
      </c>
      <c r="D56" s="13" t="s">
        <v>48</v>
      </c>
      <c r="E56" s="13" t="s">
        <v>760</v>
      </c>
      <c r="F56" s="16">
        <v>100000</v>
      </c>
      <c r="G56" s="16">
        <v>144.86000000000001</v>
      </c>
      <c r="H56" s="16">
        <v>498.47</v>
      </c>
      <c r="I56" s="15">
        <v>0</v>
      </c>
      <c r="J56" s="15">
        <v>2.2000000000000001E-3</v>
      </c>
      <c r="K56" s="15">
        <v>1E-4</v>
      </c>
      <c r="L56" s="13" t="s">
        <v>7</v>
      </c>
    </row>
    <row r="57" spans="1:12" x14ac:dyDescent="0.2">
      <c r="A57" s="13" t="s">
        <v>7</v>
      </c>
      <c r="B57" s="13" t="s">
        <v>761</v>
      </c>
      <c r="C57" s="14">
        <v>60305448</v>
      </c>
      <c r="D57" s="13" t="s">
        <v>48</v>
      </c>
      <c r="E57" s="13" t="s">
        <v>762</v>
      </c>
      <c r="F57" s="16">
        <v>1364575.5</v>
      </c>
      <c r="G57" s="16">
        <v>119.18</v>
      </c>
      <c r="H57" s="16">
        <v>5596.11</v>
      </c>
      <c r="I57" s="15">
        <v>2.4199999999999999E-2</v>
      </c>
      <c r="J57" s="15">
        <v>2.53E-2</v>
      </c>
      <c r="K57" s="15">
        <v>1.6000000000000001E-3</v>
      </c>
      <c r="L57" s="13" t="s">
        <v>7</v>
      </c>
    </row>
    <row r="58" spans="1:12" x14ac:dyDescent="0.2">
      <c r="A58" s="13" t="s">
        <v>7</v>
      </c>
      <c r="B58" s="13" t="s">
        <v>763</v>
      </c>
      <c r="C58" s="14">
        <v>62015243</v>
      </c>
      <c r="D58" s="13" t="s">
        <v>48</v>
      </c>
      <c r="E58" s="13" t="s">
        <v>760</v>
      </c>
      <c r="F58" s="16">
        <v>100000</v>
      </c>
      <c r="G58" s="16">
        <v>144.32</v>
      </c>
      <c r="H58" s="16">
        <v>496.61</v>
      </c>
      <c r="I58" s="15">
        <v>0</v>
      </c>
      <c r="J58" s="15">
        <v>2.2000000000000001E-3</v>
      </c>
      <c r="K58" s="15">
        <v>1E-4</v>
      </c>
      <c r="L58" s="13" t="s">
        <v>7</v>
      </c>
    </row>
    <row r="59" spans="1:12" x14ac:dyDescent="0.2">
      <c r="A59" s="13" t="s">
        <v>7</v>
      </c>
      <c r="B59" s="13" t="s">
        <v>764</v>
      </c>
      <c r="C59" s="14">
        <v>62007216</v>
      </c>
      <c r="D59" s="13" t="s">
        <v>48</v>
      </c>
      <c r="E59" s="13" t="s">
        <v>765</v>
      </c>
      <c r="F59" s="16">
        <v>23195.7</v>
      </c>
      <c r="G59" s="16">
        <v>120.28</v>
      </c>
      <c r="H59" s="16">
        <v>96</v>
      </c>
      <c r="I59" s="15">
        <v>0</v>
      </c>
      <c r="J59" s="15">
        <v>4.0000000000000002E-4</v>
      </c>
      <c r="K59" s="15">
        <v>0</v>
      </c>
      <c r="L59" s="13" t="s">
        <v>7</v>
      </c>
    </row>
    <row r="60" spans="1:12" x14ac:dyDescent="0.2">
      <c r="A60" s="13" t="s">
        <v>7</v>
      </c>
      <c r="B60" s="13" t="s">
        <v>764</v>
      </c>
      <c r="C60" s="14">
        <v>62007216</v>
      </c>
      <c r="D60" s="13" t="s">
        <v>48</v>
      </c>
      <c r="E60" s="13" t="s">
        <v>766</v>
      </c>
      <c r="F60" s="16">
        <v>164.81</v>
      </c>
      <c r="G60" s="16">
        <v>119744.86</v>
      </c>
      <c r="H60" s="16">
        <v>679.09</v>
      </c>
      <c r="I60" s="15">
        <v>0</v>
      </c>
      <c r="J60" s="15">
        <v>3.0999999999999999E-3</v>
      </c>
      <c r="K60" s="15">
        <v>2.0000000000000001E-4</v>
      </c>
      <c r="L60" s="13" t="s">
        <v>7</v>
      </c>
    </row>
    <row r="61" spans="1:12" x14ac:dyDescent="0.2">
      <c r="A61" s="13" t="s">
        <v>7</v>
      </c>
      <c r="B61" s="13" t="s">
        <v>767</v>
      </c>
      <c r="C61" s="14">
        <v>62015862</v>
      </c>
      <c r="D61" s="13" t="s">
        <v>48</v>
      </c>
      <c r="E61" s="13" t="s">
        <v>768</v>
      </c>
      <c r="F61" s="16">
        <v>541800</v>
      </c>
      <c r="G61" s="16">
        <v>105.72</v>
      </c>
      <c r="H61" s="16">
        <v>1971.04</v>
      </c>
      <c r="I61" s="15">
        <v>0</v>
      </c>
      <c r="J61" s="15">
        <v>8.8999999999999999E-3</v>
      </c>
      <c r="K61" s="15">
        <v>5.9999999999999995E-4</v>
      </c>
      <c r="L61" s="13" t="s">
        <v>7</v>
      </c>
    </row>
    <row r="62" spans="1:12" x14ac:dyDescent="0.2">
      <c r="A62" s="13" t="s">
        <v>7</v>
      </c>
      <c r="B62" s="13" t="s">
        <v>769</v>
      </c>
      <c r="C62" s="14">
        <v>62012059</v>
      </c>
      <c r="D62" s="13" t="s">
        <v>48</v>
      </c>
      <c r="E62" s="13" t="s">
        <v>770</v>
      </c>
      <c r="F62" s="16">
        <v>80000</v>
      </c>
      <c r="G62" s="16">
        <v>50.77</v>
      </c>
      <c r="H62" s="16">
        <v>139.76</v>
      </c>
      <c r="I62" s="15">
        <v>0</v>
      </c>
      <c r="J62" s="15">
        <v>5.9999999999999995E-4</v>
      </c>
      <c r="K62" s="15">
        <v>0</v>
      </c>
      <c r="L62" s="13" t="s">
        <v>7</v>
      </c>
    </row>
    <row r="63" spans="1:12" x14ac:dyDescent="0.2">
      <c r="A63" s="13" t="s">
        <v>7</v>
      </c>
      <c r="B63" s="13" t="s">
        <v>771</v>
      </c>
      <c r="C63" s="14">
        <v>50001015</v>
      </c>
      <c r="D63" s="13" t="s">
        <v>88</v>
      </c>
      <c r="E63" s="13" t="s">
        <v>772</v>
      </c>
      <c r="F63" s="16">
        <v>4800000</v>
      </c>
      <c r="G63" s="16">
        <v>86.5</v>
      </c>
      <c r="H63" s="16">
        <v>4151.9799999999996</v>
      </c>
      <c r="I63" s="15">
        <v>0.78959999999999997</v>
      </c>
      <c r="J63" s="15">
        <v>1.8800000000000001E-2</v>
      </c>
      <c r="K63" s="15">
        <v>1.1999999999999999E-3</v>
      </c>
      <c r="L63" s="13" t="s">
        <v>7</v>
      </c>
    </row>
    <row r="64" spans="1:12" x14ac:dyDescent="0.2">
      <c r="A64" s="13" t="s">
        <v>7</v>
      </c>
      <c r="B64" s="13" t="s">
        <v>773</v>
      </c>
      <c r="C64" s="14">
        <v>9840602</v>
      </c>
      <c r="D64" s="13" t="s">
        <v>48</v>
      </c>
      <c r="E64" s="13" t="s">
        <v>653</v>
      </c>
      <c r="F64" s="16">
        <v>565036</v>
      </c>
      <c r="G64" s="16">
        <v>13.67</v>
      </c>
      <c r="H64" s="16">
        <v>265.87</v>
      </c>
      <c r="I64" s="15">
        <v>0.35260000000000002</v>
      </c>
      <c r="J64" s="15">
        <v>1.1999999999999999E-3</v>
      </c>
      <c r="K64" s="15">
        <v>1E-4</v>
      </c>
      <c r="L64" s="13" t="s">
        <v>7</v>
      </c>
    </row>
    <row r="65" spans="1:12" x14ac:dyDescent="0.2">
      <c r="A65" s="13" t="s">
        <v>7</v>
      </c>
      <c r="B65" s="13" t="s">
        <v>774</v>
      </c>
      <c r="C65" s="14">
        <v>62007877</v>
      </c>
      <c r="D65" s="13" t="s">
        <v>48</v>
      </c>
      <c r="E65" s="13" t="s">
        <v>775</v>
      </c>
      <c r="F65" s="16">
        <v>1796419.57</v>
      </c>
      <c r="G65" s="16">
        <v>77.55</v>
      </c>
      <c r="H65" s="16">
        <v>4793.8599999999997</v>
      </c>
      <c r="I65" s="15">
        <v>1</v>
      </c>
      <c r="J65" s="15">
        <v>2.1700000000000001E-2</v>
      </c>
      <c r="K65" s="15">
        <v>1.2999999999999999E-3</v>
      </c>
      <c r="L65" s="13" t="s">
        <v>7</v>
      </c>
    </row>
    <row r="66" spans="1:12" x14ac:dyDescent="0.2">
      <c r="A66" s="13" t="s">
        <v>7</v>
      </c>
      <c r="B66" s="13" t="s">
        <v>776</v>
      </c>
      <c r="C66" s="14">
        <v>62010970</v>
      </c>
      <c r="D66" s="13" t="s">
        <v>48</v>
      </c>
      <c r="E66" s="13" t="s">
        <v>777</v>
      </c>
      <c r="F66" s="16">
        <v>2802445.02</v>
      </c>
      <c r="G66" s="16">
        <v>106.8</v>
      </c>
      <c r="H66" s="16">
        <v>10298.950000000001</v>
      </c>
      <c r="I66" s="15">
        <v>0</v>
      </c>
      <c r="J66" s="15">
        <v>4.6600000000000003E-2</v>
      </c>
      <c r="K66" s="15">
        <v>2.8999999999999998E-3</v>
      </c>
      <c r="L66" s="13" t="s">
        <v>7</v>
      </c>
    </row>
    <row r="67" spans="1:12" x14ac:dyDescent="0.2">
      <c r="A67" s="13" t="s">
        <v>7</v>
      </c>
      <c r="B67" s="13" t="s">
        <v>778</v>
      </c>
      <c r="C67" s="14">
        <v>62010434</v>
      </c>
      <c r="D67" s="13" t="s">
        <v>88</v>
      </c>
      <c r="E67" s="13" t="s">
        <v>779</v>
      </c>
      <c r="F67" s="16">
        <v>550000</v>
      </c>
      <c r="G67" s="16">
        <v>318.69</v>
      </c>
      <c r="H67" s="16">
        <v>1752.77</v>
      </c>
      <c r="I67" s="15">
        <v>0</v>
      </c>
      <c r="J67" s="15">
        <v>7.9000000000000008E-3</v>
      </c>
      <c r="K67" s="15">
        <v>5.0000000000000001E-4</v>
      </c>
      <c r="L67" s="13" t="s">
        <v>7</v>
      </c>
    </row>
    <row r="68" spans="1:12" x14ac:dyDescent="0.2">
      <c r="A68" s="13" t="s">
        <v>7</v>
      </c>
      <c r="B68" s="13" t="s">
        <v>780</v>
      </c>
      <c r="C68" s="14">
        <v>62010707</v>
      </c>
      <c r="D68" s="13" t="s">
        <v>48</v>
      </c>
      <c r="E68" s="13" t="s">
        <v>781</v>
      </c>
      <c r="F68" s="16">
        <v>550000</v>
      </c>
      <c r="G68" s="16">
        <v>92.61</v>
      </c>
      <c r="H68" s="16">
        <v>1752.77</v>
      </c>
      <c r="I68" s="15">
        <v>0</v>
      </c>
      <c r="J68" s="15">
        <v>7.9000000000000008E-3</v>
      </c>
      <c r="K68" s="15">
        <v>5.0000000000000001E-4</v>
      </c>
      <c r="L68" s="13" t="s">
        <v>7</v>
      </c>
    </row>
    <row r="69" spans="1:12" x14ac:dyDescent="0.2">
      <c r="A69" s="13" t="s">
        <v>7</v>
      </c>
      <c r="B69" s="13" t="s">
        <v>782</v>
      </c>
      <c r="C69" s="14">
        <v>62017140</v>
      </c>
      <c r="D69" s="13" t="s">
        <v>54</v>
      </c>
      <c r="E69" s="13" t="s">
        <v>783</v>
      </c>
      <c r="F69" s="16">
        <v>713872.11</v>
      </c>
      <c r="G69" s="16">
        <v>96.71</v>
      </c>
      <c r="H69" s="16">
        <v>2779.37</v>
      </c>
      <c r="I69" s="15">
        <v>0</v>
      </c>
      <c r="J69" s="15">
        <v>1.26E-2</v>
      </c>
      <c r="K69" s="15">
        <v>8.0000000000000004E-4</v>
      </c>
      <c r="L69" s="13" t="s">
        <v>7</v>
      </c>
    </row>
    <row r="70" spans="1:12" x14ac:dyDescent="0.2">
      <c r="A70" s="13" t="s">
        <v>7</v>
      </c>
      <c r="B70" s="13" t="s">
        <v>784</v>
      </c>
      <c r="C70" s="14">
        <v>62014030</v>
      </c>
      <c r="D70" s="13" t="s">
        <v>48</v>
      </c>
      <c r="E70" s="13" t="s">
        <v>785</v>
      </c>
      <c r="F70" s="16">
        <v>635424.1</v>
      </c>
      <c r="G70" s="16">
        <v>125.35</v>
      </c>
      <c r="H70" s="16">
        <v>2740.79</v>
      </c>
      <c r="I70" s="15">
        <v>0</v>
      </c>
      <c r="J70" s="15">
        <v>1.24E-2</v>
      </c>
      <c r="K70" s="15">
        <v>8.0000000000000004E-4</v>
      </c>
      <c r="L70" s="13" t="s">
        <v>7</v>
      </c>
    </row>
    <row r="71" spans="1:12" x14ac:dyDescent="0.2">
      <c r="A71" s="13" t="s">
        <v>7</v>
      </c>
      <c r="B71" s="13" t="s">
        <v>786</v>
      </c>
      <c r="C71" s="14">
        <v>62008404</v>
      </c>
      <c r="D71" s="13" t="s">
        <v>48</v>
      </c>
      <c r="E71" s="13" t="s">
        <v>766</v>
      </c>
      <c r="F71" s="16">
        <v>1409591.3</v>
      </c>
      <c r="G71" s="16">
        <v>125.48</v>
      </c>
      <c r="H71" s="16">
        <v>6086.43</v>
      </c>
      <c r="I71" s="15">
        <v>1</v>
      </c>
      <c r="J71" s="15">
        <v>2.75E-2</v>
      </c>
      <c r="K71" s="15">
        <v>1.6999999999999999E-3</v>
      </c>
      <c r="L71" s="13" t="s">
        <v>7</v>
      </c>
    </row>
    <row r="72" spans="1:12" x14ac:dyDescent="0.2">
      <c r="A72" s="13" t="s">
        <v>7</v>
      </c>
      <c r="B72" s="13" t="s">
        <v>786</v>
      </c>
      <c r="C72" s="14">
        <v>62008404</v>
      </c>
      <c r="D72" s="13" t="s">
        <v>48</v>
      </c>
      <c r="E72" s="13" t="s">
        <v>766</v>
      </c>
      <c r="F72" s="16">
        <v>1239.53</v>
      </c>
      <c r="G72" s="16">
        <v>125415.52</v>
      </c>
      <c r="H72" s="16">
        <v>5349.25</v>
      </c>
      <c r="I72" s="15">
        <v>1.24E-2</v>
      </c>
      <c r="J72" s="15">
        <v>2.4199999999999999E-2</v>
      </c>
      <c r="K72" s="15">
        <v>1.5E-3</v>
      </c>
      <c r="L72" s="13" t="s">
        <v>7</v>
      </c>
    </row>
    <row r="73" spans="1:12" x14ac:dyDescent="0.2">
      <c r="A73" s="13" t="s">
        <v>7</v>
      </c>
      <c r="B73" s="13" t="s">
        <v>787</v>
      </c>
      <c r="C73" s="14">
        <v>62014584</v>
      </c>
      <c r="D73" s="13" t="s">
        <v>48</v>
      </c>
      <c r="E73" s="13" t="s">
        <v>788</v>
      </c>
      <c r="F73" s="16">
        <v>1340620</v>
      </c>
      <c r="G73" s="16">
        <v>102.72</v>
      </c>
      <c r="H73" s="16">
        <v>4738.8</v>
      </c>
      <c r="I73" s="15">
        <v>1</v>
      </c>
      <c r="J73" s="15">
        <v>2.1399999999999999E-2</v>
      </c>
      <c r="K73" s="15">
        <v>1.2999999999999999E-3</v>
      </c>
      <c r="L73" s="13" t="s">
        <v>7</v>
      </c>
    </row>
    <row r="74" spans="1:12" x14ac:dyDescent="0.2">
      <c r="A74" s="13" t="s">
        <v>7</v>
      </c>
      <c r="B74" s="13" t="s">
        <v>789</v>
      </c>
      <c r="C74" s="14">
        <v>62014592</v>
      </c>
      <c r="D74" s="13" t="s">
        <v>48</v>
      </c>
      <c r="E74" s="13" t="s">
        <v>788</v>
      </c>
      <c r="F74" s="16">
        <v>1340620</v>
      </c>
      <c r="G74" s="16">
        <v>102.72</v>
      </c>
      <c r="H74" s="16">
        <v>4738.78</v>
      </c>
      <c r="I74" s="15">
        <v>0</v>
      </c>
      <c r="J74" s="15">
        <v>2.1399999999999999E-2</v>
      </c>
      <c r="K74" s="15">
        <v>1.2999999999999999E-3</v>
      </c>
      <c r="L74" s="13" t="s">
        <v>7</v>
      </c>
    </row>
    <row r="75" spans="1:12" x14ac:dyDescent="0.2">
      <c r="A75" s="13" t="s">
        <v>7</v>
      </c>
      <c r="B75" s="13" t="s">
        <v>790</v>
      </c>
      <c r="C75" s="14">
        <v>62006168</v>
      </c>
      <c r="D75" s="13" t="s">
        <v>88</v>
      </c>
      <c r="E75" s="13" t="s">
        <v>791</v>
      </c>
      <c r="F75" s="16">
        <v>600000</v>
      </c>
      <c r="G75" s="16">
        <v>281.86</v>
      </c>
      <c r="H75" s="16">
        <v>1691.15</v>
      </c>
      <c r="I75" s="15">
        <v>0</v>
      </c>
      <c r="J75" s="15">
        <v>7.6E-3</v>
      </c>
      <c r="K75" s="15">
        <v>5.0000000000000001E-4</v>
      </c>
      <c r="L75" s="13" t="s">
        <v>7</v>
      </c>
    </row>
    <row r="76" spans="1:12" x14ac:dyDescent="0.2">
      <c r="A76" s="13" t="s">
        <v>7</v>
      </c>
      <c r="B76" s="13" t="s">
        <v>792</v>
      </c>
      <c r="C76" s="14">
        <v>62009766</v>
      </c>
      <c r="D76" s="13" t="s">
        <v>48</v>
      </c>
      <c r="E76" s="13" t="s">
        <v>793</v>
      </c>
      <c r="F76" s="16">
        <v>993527</v>
      </c>
      <c r="G76" s="16">
        <v>105.79</v>
      </c>
      <c r="H76" s="16">
        <v>3616.67</v>
      </c>
      <c r="I76" s="15">
        <v>0</v>
      </c>
      <c r="J76" s="15">
        <v>1.6400000000000001E-2</v>
      </c>
      <c r="K76" s="15">
        <v>1E-3</v>
      </c>
      <c r="L76" s="13" t="s">
        <v>7</v>
      </c>
    </row>
    <row r="77" spans="1:12" x14ac:dyDescent="0.2">
      <c r="A77" s="13" t="s">
        <v>7</v>
      </c>
      <c r="B77" s="13" t="s">
        <v>794</v>
      </c>
      <c r="C77" s="14">
        <v>60200078</v>
      </c>
      <c r="D77" s="13" t="s">
        <v>48</v>
      </c>
      <c r="E77" s="13" t="s">
        <v>653</v>
      </c>
      <c r="F77" s="16">
        <v>683100</v>
      </c>
      <c r="G77" s="16">
        <v>4.88</v>
      </c>
      <c r="H77" s="16">
        <v>114.77</v>
      </c>
      <c r="I77" s="15">
        <v>0</v>
      </c>
      <c r="J77" s="15">
        <v>5.0000000000000001E-4</v>
      </c>
      <c r="K77" s="15">
        <v>0</v>
      </c>
      <c r="L77" s="13" t="s">
        <v>7</v>
      </c>
    </row>
    <row r="78" spans="1:12" x14ac:dyDescent="0.2">
      <c r="A78" s="13" t="s">
        <v>7</v>
      </c>
      <c r="B78" s="13" t="s">
        <v>795</v>
      </c>
      <c r="C78" s="13" t="s">
        <v>796</v>
      </c>
      <c r="D78" s="13" t="s">
        <v>48</v>
      </c>
      <c r="E78" s="13" t="s">
        <v>797</v>
      </c>
      <c r="F78" s="16">
        <v>2329232</v>
      </c>
      <c r="G78" s="16">
        <v>86.61</v>
      </c>
      <c r="H78" s="16">
        <v>6942.01</v>
      </c>
      <c r="I78" s="15">
        <v>1</v>
      </c>
      <c r="J78" s="15">
        <v>3.1399999999999997E-2</v>
      </c>
      <c r="K78" s="15">
        <v>2E-3</v>
      </c>
      <c r="L78" s="14">
        <v>60369469</v>
      </c>
    </row>
    <row r="79" spans="1:12" x14ac:dyDescent="0.2">
      <c r="A79" s="13" t="s">
        <v>7</v>
      </c>
      <c r="B79" s="13" t="s">
        <v>798</v>
      </c>
      <c r="C79" s="14">
        <v>62012778</v>
      </c>
      <c r="D79" s="13" t="s">
        <v>48</v>
      </c>
      <c r="E79" s="13" t="s">
        <v>799</v>
      </c>
      <c r="F79" s="16">
        <v>1808462</v>
      </c>
      <c r="G79" s="16">
        <v>107.17</v>
      </c>
      <c r="H79" s="16">
        <v>6669.04</v>
      </c>
      <c r="I79" s="15">
        <v>0</v>
      </c>
      <c r="J79" s="15">
        <v>3.0200000000000001E-2</v>
      </c>
      <c r="K79" s="15">
        <v>1.9E-3</v>
      </c>
      <c r="L79" s="13" t="s">
        <v>7</v>
      </c>
    </row>
    <row r="80" spans="1:12" x14ac:dyDescent="0.2">
      <c r="A80" s="13" t="s">
        <v>7</v>
      </c>
      <c r="B80" s="13" t="s">
        <v>800</v>
      </c>
      <c r="C80" s="14">
        <v>9840622</v>
      </c>
      <c r="D80" s="13" t="s">
        <v>54</v>
      </c>
      <c r="E80" s="13" t="s">
        <v>653</v>
      </c>
      <c r="F80" s="16">
        <v>992500</v>
      </c>
      <c r="G80" s="16">
        <v>0.75</v>
      </c>
      <c r="H80" s="16">
        <v>30.13</v>
      </c>
      <c r="I80" s="15">
        <v>1</v>
      </c>
      <c r="J80" s="15">
        <v>1E-4</v>
      </c>
      <c r="K80" s="15">
        <v>0</v>
      </c>
      <c r="L80" s="13" t="s">
        <v>7</v>
      </c>
    </row>
    <row r="81" spans="1:12" x14ac:dyDescent="0.2">
      <c r="A81" s="13" t="s">
        <v>7</v>
      </c>
      <c r="B81" s="13" t="s">
        <v>801</v>
      </c>
      <c r="C81" s="14">
        <v>60289790</v>
      </c>
      <c r="D81" s="13" t="s">
        <v>48</v>
      </c>
      <c r="E81" s="13" t="s">
        <v>802</v>
      </c>
      <c r="F81" s="16">
        <v>1365683</v>
      </c>
      <c r="G81" s="16">
        <v>104.52</v>
      </c>
      <c r="H81" s="16">
        <v>4911.7</v>
      </c>
      <c r="I81" s="15">
        <v>0</v>
      </c>
      <c r="J81" s="15">
        <v>2.2200000000000001E-2</v>
      </c>
      <c r="K81" s="15">
        <v>1.4E-3</v>
      </c>
      <c r="L81" s="13" t="s">
        <v>7</v>
      </c>
    </row>
    <row r="82" spans="1:12" x14ac:dyDescent="0.2">
      <c r="A82" s="13" t="s">
        <v>7</v>
      </c>
      <c r="B82" s="13" t="s">
        <v>803</v>
      </c>
      <c r="C82" s="14">
        <v>62016084</v>
      </c>
      <c r="D82" s="13" t="s">
        <v>88</v>
      </c>
      <c r="E82" s="13" t="s">
        <v>804</v>
      </c>
      <c r="F82" s="16">
        <v>600000</v>
      </c>
      <c r="G82" s="16">
        <v>344.1</v>
      </c>
      <c r="H82" s="16">
        <v>2064.6</v>
      </c>
      <c r="I82" s="15">
        <v>0</v>
      </c>
      <c r="J82" s="15">
        <v>9.2999999999999992E-3</v>
      </c>
      <c r="K82" s="15">
        <v>5.9999999999999995E-4</v>
      </c>
      <c r="L82" s="13" t="s">
        <v>7</v>
      </c>
    </row>
    <row r="83" spans="1:12" x14ac:dyDescent="0.2">
      <c r="A83" s="13" t="s">
        <v>7</v>
      </c>
      <c r="B83" s="13" t="s">
        <v>805</v>
      </c>
      <c r="C83" s="14">
        <v>9840773</v>
      </c>
      <c r="D83" s="13" t="s">
        <v>48</v>
      </c>
      <c r="E83" s="13" t="s">
        <v>653</v>
      </c>
      <c r="F83" s="16">
        <v>1159960</v>
      </c>
      <c r="G83" s="16">
        <v>52.57</v>
      </c>
      <c r="H83" s="16">
        <v>2098.2399999999998</v>
      </c>
      <c r="I83" s="15">
        <v>2.3199999999999998E-2</v>
      </c>
      <c r="J83" s="15">
        <v>9.4999999999999998E-3</v>
      </c>
      <c r="K83" s="15">
        <v>5.9999999999999995E-4</v>
      </c>
      <c r="L83" s="13" t="s">
        <v>7</v>
      </c>
    </row>
    <row r="84" spans="1:12" x14ac:dyDescent="0.2">
      <c r="A84" s="13" t="s">
        <v>7</v>
      </c>
      <c r="B84" s="13" t="s">
        <v>806</v>
      </c>
      <c r="C84" s="14">
        <v>9840875</v>
      </c>
      <c r="D84" s="13" t="s">
        <v>48</v>
      </c>
      <c r="E84" s="13" t="s">
        <v>653</v>
      </c>
      <c r="F84" s="16">
        <v>250092</v>
      </c>
      <c r="G84" s="16">
        <v>15.27</v>
      </c>
      <c r="H84" s="16">
        <v>131.41</v>
      </c>
      <c r="I84" s="15">
        <v>0.25009999999999999</v>
      </c>
      <c r="J84" s="15">
        <v>5.9999999999999995E-4</v>
      </c>
      <c r="K84" s="15">
        <v>0</v>
      </c>
      <c r="L84" s="13" t="s">
        <v>7</v>
      </c>
    </row>
    <row r="85" spans="1:12" x14ac:dyDescent="0.2">
      <c r="A85" s="8" t="s">
        <v>7</v>
      </c>
      <c r="B85" s="8" t="s">
        <v>104</v>
      </c>
      <c r="C85" s="8" t="s">
        <v>7</v>
      </c>
      <c r="D85" s="8" t="s">
        <v>7</v>
      </c>
      <c r="E85" s="8" t="s">
        <v>7</v>
      </c>
      <c r="F85" s="8" t="s">
        <v>7</v>
      </c>
      <c r="G85" s="8" t="s">
        <v>7</v>
      </c>
      <c r="H85" s="8" t="s">
        <v>7</v>
      </c>
      <c r="I85" s="8" t="s">
        <v>7</v>
      </c>
      <c r="J85" s="8" t="s">
        <v>7</v>
      </c>
      <c r="K85" s="8" t="s">
        <v>7</v>
      </c>
      <c r="L85" s="8" t="s">
        <v>7</v>
      </c>
    </row>
    <row r="86" spans="1:12" x14ac:dyDescent="0.2">
      <c r="A86" s="8" t="s">
        <v>7</v>
      </c>
      <c r="B86" s="8" t="s">
        <v>149</v>
      </c>
      <c r="C86" s="8" t="s">
        <v>7</v>
      </c>
      <c r="D86" s="8" t="s">
        <v>7</v>
      </c>
      <c r="E86" s="8" t="s">
        <v>7</v>
      </c>
      <c r="F86" s="8" t="s">
        <v>7</v>
      </c>
      <c r="G86" s="8" t="s">
        <v>7</v>
      </c>
      <c r="H86" s="8" t="s">
        <v>7</v>
      </c>
      <c r="I86" s="8" t="s">
        <v>7</v>
      </c>
      <c r="J86" s="8" t="s">
        <v>7</v>
      </c>
      <c r="K86" s="8" t="s">
        <v>7</v>
      </c>
      <c r="L86" s="8" t="s">
        <v>7</v>
      </c>
    </row>
    <row r="87" spans="1:12" x14ac:dyDescent="0.2">
      <c r="A87" s="7" t="s">
        <v>60</v>
      </c>
      <c r="B87" s="7" t="s">
        <v>61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5" width="10" customWidth="1"/>
    <col min="6" max="6" width="13" customWidth="1"/>
    <col min="7" max="7" width="10" customWidth="1"/>
    <col min="8" max="8" width="8" customWidth="1"/>
    <col min="9" max="9" width="11" customWidth="1"/>
    <col min="10" max="10" width="22" customWidth="1"/>
    <col min="11" max="11" width="24" customWidth="1"/>
    <col min="12" max="12" width="23" customWidth="1"/>
    <col min="13" max="13" width="2" customWidth="1"/>
  </cols>
  <sheetData>
    <row r="1" spans="1:13" x14ac:dyDescent="0.2">
      <c r="B1" s="7" t="s">
        <v>0</v>
      </c>
      <c r="C1" s="7" t="s">
        <v>1</v>
      </c>
    </row>
    <row r="2" spans="1:13" x14ac:dyDescent="0.2">
      <c r="B2" s="7" t="s">
        <v>2</v>
      </c>
      <c r="C2" s="7" t="s">
        <v>3</v>
      </c>
    </row>
    <row r="3" spans="1:13" x14ac:dyDescent="0.2">
      <c r="B3" s="7" t="s">
        <v>4</v>
      </c>
      <c r="C3" s="7" t="s">
        <v>5</v>
      </c>
    </row>
    <row r="4" spans="1:13" x14ac:dyDescent="0.2">
      <c r="B4" s="7" t="s">
        <v>6</v>
      </c>
      <c r="C4" s="7">
        <v>408</v>
      </c>
    </row>
    <row r="5" spans="1:13" x14ac:dyDescent="0.2">
      <c r="B5" s="7" t="s">
        <v>7</v>
      </c>
      <c r="C5" s="7" t="s">
        <v>7</v>
      </c>
    </row>
    <row r="6" spans="1:13" x14ac:dyDescent="0.2">
      <c r="A6" s="1" t="s">
        <v>7</v>
      </c>
      <c r="B6" s="1" t="s">
        <v>643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</row>
    <row r="7" spans="1:13" x14ac:dyDescent="0.2">
      <c r="A7" s="1" t="s">
        <v>7</v>
      </c>
      <c r="B7" s="1" t="s">
        <v>807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</row>
    <row r="8" spans="1:13" x14ac:dyDescent="0.2">
      <c r="A8" s="1" t="s">
        <v>7</v>
      </c>
      <c r="B8" s="1" t="s">
        <v>63</v>
      </c>
      <c r="C8" s="1" t="s">
        <v>64</v>
      </c>
      <c r="D8" s="1" t="s">
        <v>152</v>
      </c>
      <c r="E8" s="1" t="s">
        <v>68</v>
      </c>
      <c r="F8" s="1" t="s">
        <v>108</v>
      </c>
      <c r="G8" s="1" t="s">
        <v>110</v>
      </c>
      <c r="H8" s="1" t="s">
        <v>111</v>
      </c>
      <c r="I8" s="1" t="s">
        <v>9</v>
      </c>
      <c r="J8" s="1" t="s">
        <v>113</v>
      </c>
      <c r="K8" s="1" t="s">
        <v>72</v>
      </c>
      <c r="L8" s="1" t="s">
        <v>114</v>
      </c>
      <c r="M8" s="1" t="s">
        <v>7</v>
      </c>
    </row>
    <row r="9" spans="1:13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116</v>
      </c>
      <c r="H9" s="1" t="s">
        <v>117</v>
      </c>
      <c r="I9" s="1" t="s">
        <v>11</v>
      </c>
      <c r="J9" s="1" t="s">
        <v>12</v>
      </c>
      <c r="K9" s="1" t="s">
        <v>12</v>
      </c>
      <c r="L9" s="1" t="s">
        <v>12</v>
      </c>
      <c r="M9" s="1" t="s">
        <v>7</v>
      </c>
    </row>
    <row r="10" spans="1:13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74</v>
      </c>
      <c r="F10" s="1" t="s">
        <v>75</v>
      </c>
      <c r="G10" s="1" t="s">
        <v>76</v>
      </c>
      <c r="H10" s="1" t="s">
        <v>77</v>
      </c>
      <c r="I10" s="1" t="s">
        <v>78</v>
      </c>
      <c r="J10" s="1" t="s">
        <v>79</v>
      </c>
      <c r="K10" s="1" t="s">
        <v>80</v>
      </c>
      <c r="L10" s="1" t="s">
        <v>81</v>
      </c>
      <c r="M10" s="1" t="s">
        <v>7</v>
      </c>
    </row>
    <row r="11" spans="1:13" x14ac:dyDescent="0.2">
      <c r="A11" s="8" t="s">
        <v>7</v>
      </c>
      <c r="B11" s="8" t="s">
        <v>603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8" t="s">
        <v>7</v>
      </c>
      <c r="I11" s="10">
        <v>0</v>
      </c>
      <c r="J11" s="9">
        <v>0</v>
      </c>
      <c r="K11" s="9">
        <v>0</v>
      </c>
      <c r="L11" s="9">
        <v>0</v>
      </c>
      <c r="M11" s="8" t="s">
        <v>7</v>
      </c>
    </row>
    <row r="12" spans="1:13" x14ac:dyDescent="0.2">
      <c r="A12" s="3" t="s">
        <v>7</v>
      </c>
      <c r="B12" s="3" t="s">
        <v>808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12">
        <v>0</v>
      </c>
      <c r="J12" s="11">
        <v>0</v>
      </c>
      <c r="K12" s="11">
        <v>0</v>
      </c>
      <c r="L12" s="11">
        <v>0</v>
      </c>
      <c r="M12" s="3" t="s">
        <v>7</v>
      </c>
    </row>
    <row r="13" spans="1:13" x14ac:dyDescent="0.2">
      <c r="A13" s="3" t="s">
        <v>7</v>
      </c>
      <c r="B13" s="3" t="s">
        <v>809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12">
        <v>0</v>
      </c>
      <c r="J13" s="11">
        <v>0</v>
      </c>
      <c r="K13" s="11">
        <v>0</v>
      </c>
      <c r="L13" s="11">
        <v>0</v>
      </c>
      <c r="M13" s="3" t="s">
        <v>7</v>
      </c>
    </row>
    <row r="14" spans="1:13" x14ac:dyDescent="0.2">
      <c r="A14" s="8" t="s">
        <v>7</v>
      </c>
      <c r="B14" s="8" t="s">
        <v>104</v>
      </c>
      <c r="C14" s="8" t="s">
        <v>7</v>
      </c>
      <c r="D14" s="8" t="s">
        <v>7</v>
      </c>
      <c r="E14" s="8" t="s">
        <v>7</v>
      </c>
      <c r="F14" s="8" t="s">
        <v>7</v>
      </c>
      <c r="G14" s="8" t="s">
        <v>7</v>
      </c>
      <c r="H14" s="8" t="s">
        <v>7</v>
      </c>
      <c r="I14" s="8" t="s">
        <v>7</v>
      </c>
      <c r="J14" s="8" t="s">
        <v>7</v>
      </c>
      <c r="K14" s="8" t="s">
        <v>7</v>
      </c>
      <c r="L14" s="8" t="s">
        <v>7</v>
      </c>
      <c r="M14" s="8" t="s">
        <v>7</v>
      </c>
    </row>
    <row r="15" spans="1:13" x14ac:dyDescent="0.2">
      <c r="A15" s="8" t="s">
        <v>7</v>
      </c>
      <c r="B15" s="8" t="s">
        <v>149</v>
      </c>
      <c r="C15" s="8" t="s">
        <v>7</v>
      </c>
      <c r="D15" s="8" t="s">
        <v>7</v>
      </c>
      <c r="E15" s="8" t="s">
        <v>7</v>
      </c>
      <c r="F15" s="8" t="s">
        <v>7</v>
      </c>
      <c r="G15" s="8" t="s">
        <v>7</v>
      </c>
      <c r="H15" s="8" t="s">
        <v>7</v>
      </c>
      <c r="I15" s="8" t="s">
        <v>7</v>
      </c>
      <c r="J15" s="8" t="s">
        <v>7</v>
      </c>
      <c r="K15" s="8" t="s">
        <v>7</v>
      </c>
      <c r="L15" s="8" t="s">
        <v>7</v>
      </c>
      <c r="M15" s="8" t="s">
        <v>7</v>
      </c>
    </row>
    <row r="16" spans="1:13" x14ac:dyDescent="0.2">
      <c r="A16" s="7" t="s">
        <v>60</v>
      </c>
      <c r="B16" s="7" t="s">
        <v>61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5" width="10" customWidth="1"/>
    <col min="6" max="6" width="13" customWidth="1"/>
    <col min="7" max="7" width="10" customWidth="1"/>
    <col min="8" max="8" width="5" customWidth="1"/>
    <col min="9" max="9" width="11" customWidth="1"/>
    <col min="10" max="10" width="22" customWidth="1"/>
    <col min="11" max="11" width="24" customWidth="1"/>
    <col min="12" max="12" width="23" customWidth="1"/>
    <col min="13" max="13" width="2" customWidth="1"/>
  </cols>
  <sheetData>
    <row r="1" spans="1:13" x14ac:dyDescent="0.2">
      <c r="B1" s="7" t="s">
        <v>0</v>
      </c>
      <c r="C1" s="7" t="s">
        <v>1</v>
      </c>
    </row>
    <row r="2" spans="1:13" x14ac:dyDescent="0.2">
      <c r="B2" s="7" t="s">
        <v>2</v>
      </c>
      <c r="C2" s="7" t="s">
        <v>3</v>
      </c>
    </row>
    <row r="3" spans="1:13" x14ac:dyDescent="0.2">
      <c r="B3" s="7" t="s">
        <v>4</v>
      </c>
      <c r="C3" s="7" t="s">
        <v>5</v>
      </c>
    </row>
    <row r="4" spans="1:13" x14ac:dyDescent="0.2">
      <c r="B4" s="7" t="s">
        <v>6</v>
      </c>
      <c r="C4" s="7">
        <v>408</v>
      </c>
    </row>
    <row r="5" spans="1:13" x14ac:dyDescent="0.2">
      <c r="B5" s="7" t="s">
        <v>7</v>
      </c>
      <c r="C5" s="7" t="s">
        <v>7</v>
      </c>
    </row>
    <row r="6" spans="1:13" x14ac:dyDescent="0.2">
      <c r="A6" s="1" t="s">
        <v>7</v>
      </c>
      <c r="B6" s="1" t="s">
        <v>643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</row>
    <row r="7" spans="1:13" x14ac:dyDescent="0.2">
      <c r="A7" s="1" t="s">
        <v>7</v>
      </c>
      <c r="B7" s="1" t="s">
        <v>810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</row>
    <row r="8" spans="1:13" x14ac:dyDescent="0.2">
      <c r="A8" s="1" t="s">
        <v>7</v>
      </c>
      <c r="B8" s="1" t="s">
        <v>63</v>
      </c>
      <c r="C8" s="1" t="s">
        <v>64</v>
      </c>
      <c r="D8" s="1" t="s">
        <v>152</v>
      </c>
      <c r="E8" s="1" t="s">
        <v>68</v>
      </c>
      <c r="F8" s="1" t="s">
        <v>108</v>
      </c>
      <c r="G8" s="1" t="s">
        <v>110</v>
      </c>
      <c r="H8" s="1" t="s">
        <v>111</v>
      </c>
      <c r="I8" s="1" t="s">
        <v>9</v>
      </c>
      <c r="J8" s="1" t="s">
        <v>113</v>
      </c>
      <c r="K8" s="1" t="s">
        <v>72</v>
      </c>
      <c r="L8" s="1" t="s">
        <v>114</v>
      </c>
      <c r="M8" s="1" t="s">
        <v>7</v>
      </c>
    </row>
    <row r="9" spans="1:13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163</v>
      </c>
      <c r="G9" s="1" t="s">
        <v>164</v>
      </c>
      <c r="H9" s="1" t="s">
        <v>7</v>
      </c>
      <c r="I9" s="1" t="s">
        <v>11</v>
      </c>
      <c r="J9" s="1" t="s">
        <v>12</v>
      </c>
      <c r="K9" s="1" t="s">
        <v>12</v>
      </c>
      <c r="L9" s="1" t="s">
        <v>12</v>
      </c>
      <c r="M9" s="1" t="s">
        <v>7</v>
      </c>
    </row>
    <row r="10" spans="1:13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74</v>
      </c>
      <c r="F10" s="1" t="s">
        <v>75</v>
      </c>
      <c r="G10" s="1" t="s">
        <v>76</v>
      </c>
      <c r="H10" s="1" t="s">
        <v>77</v>
      </c>
      <c r="I10" s="1" t="s">
        <v>78</v>
      </c>
      <c r="J10" s="1" t="s">
        <v>79</v>
      </c>
      <c r="K10" s="1" t="s">
        <v>80</v>
      </c>
      <c r="L10" s="1" t="s">
        <v>81</v>
      </c>
      <c r="M10" s="1" t="s">
        <v>7</v>
      </c>
    </row>
    <row r="11" spans="1:13" x14ac:dyDescent="0.2">
      <c r="A11" s="8" t="s">
        <v>7</v>
      </c>
      <c r="B11" s="8" t="s">
        <v>610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8" t="s">
        <v>7</v>
      </c>
      <c r="I11" s="10">
        <v>0</v>
      </c>
      <c r="J11" s="9">
        <v>0</v>
      </c>
      <c r="K11" s="9">
        <v>0</v>
      </c>
      <c r="L11" s="9">
        <v>0</v>
      </c>
      <c r="M11" s="8" t="s">
        <v>7</v>
      </c>
    </row>
    <row r="12" spans="1:13" x14ac:dyDescent="0.2">
      <c r="A12" s="3" t="s">
        <v>7</v>
      </c>
      <c r="B12" s="3" t="s">
        <v>811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12">
        <v>0</v>
      </c>
      <c r="J12" s="11">
        <v>0</v>
      </c>
      <c r="K12" s="11">
        <v>0</v>
      </c>
      <c r="L12" s="11">
        <v>0</v>
      </c>
      <c r="M12" s="3" t="s">
        <v>7</v>
      </c>
    </row>
    <row r="13" spans="1:13" x14ac:dyDescent="0.2">
      <c r="A13" s="3" t="s">
        <v>7</v>
      </c>
      <c r="B13" s="3" t="s">
        <v>611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12">
        <v>0</v>
      </c>
      <c r="J13" s="11">
        <v>0</v>
      </c>
      <c r="K13" s="11">
        <v>0</v>
      </c>
      <c r="L13" s="11">
        <v>0</v>
      </c>
      <c r="M13" s="3" t="s">
        <v>7</v>
      </c>
    </row>
    <row r="14" spans="1:13" x14ac:dyDescent="0.2">
      <c r="A14" s="3" t="s">
        <v>7</v>
      </c>
      <c r="B14" s="3" t="s">
        <v>812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3" t="s">
        <v>7</v>
      </c>
      <c r="I14" s="12">
        <v>0</v>
      </c>
      <c r="J14" s="11">
        <v>0</v>
      </c>
      <c r="K14" s="11">
        <v>0</v>
      </c>
      <c r="L14" s="11">
        <v>0</v>
      </c>
      <c r="M14" s="3" t="s">
        <v>7</v>
      </c>
    </row>
    <row r="15" spans="1:13" x14ac:dyDescent="0.2">
      <c r="A15" s="3" t="s">
        <v>7</v>
      </c>
      <c r="B15" s="3" t="s">
        <v>813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3" t="s">
        <v>7</v>
      </c>
      <c r="I15" s="12">
        <v>0</v>
      </c>
      <c r="J15" s="11">
        <v>0</v>
      </c>
      <c r="K15" s="11">
        <v>0</v>
      </c>
      <c r="L15" s="11">
        <v>0</v>
      </c>
      <c r="M15" s="3" t="s">
        <v>7</v>
      </c>
    </row>
    <row r="16" spans="1:13" x14ac:dyDescent="0.2">
      <c r="A16" s="3" t="s">
        <v>7</v>
      </c>
      <c r="B16" s="3" t="s">
        <v>617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3" t="s">
        <v>7</v>
      </c>
      <c r="I16" s="12">
        <v>0</v>
      </c>
      <c r="J16" s="11">
        <v>0</v>
      </c>
      <c r="K16" s="11">
        <v>0</v>
      </c>
      <c r="L16" s="11">
        <v>0</v>
      </c>
      <c r="M16" s="3" t="s">
        <v>7</v>
      </c>
    </row>
    <row r="17" spans="1:13" x14ac:dyDescent="0.2">
      <c r="A17" s="3" t="s">
        <v>7</v>
      </c>
      <c r="B17" s="3" t="s">
        <v>471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12">
        <v>0</v>
      </c>
      <c r="J17" s="11">
        <v>0</v>
      </c>
      <c r="K17" s="11">
        <v>0</v>
      </c>
      <c r="L17" s="11">
        <v>0</v>
      </c>
      <c r="M17" s="3" t="s">
        <v>7</v>
      </c>
    </row>
    <row r="18" spans="1:13" x14ac:dyDescent="0.2">
      <c r="A18" s="3" t="s">
        <v>7</v>
      </c>
      <c r="B18" s="3" t="s">
        <v>814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12">
        <v>0</v>
      </c>
      <c r="J18" s="11">
        <v>0</v>
      </c>
      <c r="K18" s="11">
        <v>0</v>
      </c>
      <c r="L18" s="11">
        <v>0</v>
      </c>
      <c r="M18" s="3" t="s">
        <v>7</v>
      </c>
    </row>
    <row r="19" spans="1:13" x14ac:dyDescent="0.2">
      <c r="A19" s="3" t="s">
        <v>7</v>
      </c>
      <c r="B19" s="3" t="s">
        <v>611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7</v>
      </c>
      <c r="H19" s="3" t="s">
        <v>7</v>
      </c>
      <c r="I19" s="12">
        <v>0</v>
      </c>
      <c r="J19" s="11">
        <v>0</v>
      </c>
      <c r="K19" s="11">
        <v>0</v>
      </c>
      <c r="L19" s="11">
        <v>0</v>
      </c>
      <c r="M19" s="3" t="s">
        <v>7</v>
      </c>
    </row>
    <row r="20" spans="1:13" x14ac:dyDescent="0.2">
      <c r="A20" s="3" t="s">
        <v>7</v>
      </c>
      <c r="B20" s="3" t="s">
        <v>621</v>
      </c>
      <c r="C20" s="3" t="s">
        <v>7</v>
      </c>
      <c r="D20" s="3" t="s">
        <v>7</v>
      </c>
      <c r="E20" s="3" t="s">
        <v>7</v>
      </c>
      <c r="F20" s="3" t="s">
        <v>7</v>
      </c>
      <c r="G20" s="3" t="s">
        <v>7</v>
      </c>
      <c r="H20" s="3" t="s">
        <v>7</v>
      </c>
      <c r="I20" s="12">
        <v>0</v>
      </c>
      <c r="J20" s="11">
        <v>0</v>
      </c>
      <c r="K20" s="11">
        <v>0</v>
      </c>
      <c r="L20" s="11">
        <v>0</v>
      </c>
      <c r="M20" s="3" t="s">
        <v>7</v>
      </c>
    </row>
    <row r="21" spans="1:13" x14ac:dyDescent="0.2">
      <c r="A21" s="3" t="s">
        <v>7</v>
      </c>
      <c r="B21" s="3" t="s">
        <v>617</v>
      </c>
      <c r="C21" s="3" t="s">
        <v>7</v>
      </c>
      <c r="D21" s="3" t="s">
        <v>7</v>
      </c>
      <c r="E21" s="3" t="s">
        <v>7</v>
      </c>
      <c r="F21" s="3" t="s">
        <v>7</v>
      </c>
      <c r="G21" s="3" t="s">
        <v>7</v>
      </c>
      <c r="H21" s="3" t="s">
        <v>7</v>
      </c>
      <c r="I21" s="12">
        <v>0</v>
      </c>
      <c r="J21" s="11">
        <v>0</v>
      </c>
      <c r="K21" s="11">
        <v>0</v>
      </c>
      <c r="L21" s="11">
        <v>0</v>
      </c>
      <c r="M21" s="3" t="s">
        <v>7</v>
      </c>
    </row>
    <row r="22" spans="1:13" x14ac:dyDescent="0.2">
      <c r="A22" s="3" t="s">
        <v>7</v>
      </c>
      <c r="B22" s="3" t="s">
        <v>622</v>
      </c>
      <c r="C22" s="3" t="s">
        <v>7</v>
      </c>
      <c r="D22" s="3" t="s">
        <v>7</v>
      </c>
      <c r="E22" s="3" t="s">
        <v>7</v>
      </c>
      <c r="F22" s="3" t="s">
        <v>7</v>
      </c>
      <c r="G22" s="3" t="s">
        <v>7</v>
      </c>
      <c r="H22" s="3" t="s">
        <v>7</v>
      </c>
      <c r="I22" s="12">
        <v>0</v>
      </c>
      <c r="J22" s="11">
        <v>0</v>
      </c>
      <c r="K22" s="11">
        <v>0</v>
      </c>
      <c r="L22" s="11">
        <v>0</v>
      </c>
      <c r="M22" s="3" t="s">
        <v>7</v>
      </c>
    </row>
    <row r="23" spans="1:13" x14ac:dyDescent="0.2">
      <c r="A23" s="3" t="s">
        <v>7</v>
      </c>
      <c r="B23" s="3" t="s">
        <v>471</v>
      </c>
      <c r="C23" s="3" t="s">
        <v>7</v>
      </c>
      <c r="D23" s="3" t="s">
        <v>7</v>
      </c>
      <c r="E23" s="3" t="s">
        <v>7</v>
      </c>
      <c r="F23" s="3" t="s">
        <v>7</v>
      </c>
      <c r="G23" s="3" t="s">
        <v>7</v>
      </c>
      <c r="H23" s="3" t="s">
        <v>7</v>
      </c>
      <c r="I23" s="12">
        <v>0</v>
      </c>
      <c r="J23" s="11">
        <v>0</v>
      </c>
      <c r="K23" s="11">
        <v>0</v>
      </c>
      <c r="L23" s="11">
        <v>0</v>
      </c>
      <c r="M23" s="3" t="s">
        <v>7</v>
      </c>
    </row>
    <row r="24" spans="1:13" x14ac:dyDescent="0.2">
      <c r="A24" s="8" t="s">
        <v>7</v>
      </c>
      <c r="B24" s="8" t="s">
        <v>104</v>
      </c>
      <c r="C24" s="8" t="s">
        <v>7</v>
      </c>
      <c r="D24" s="8" t="s">
        <v>7</v>
      </c>
      <c r="E24" s="8" t="s">
        <v>7</v>
      </c>
      <c r="F24" s="8" t="s">
        <v>7</v>
      </c>
      <c r="G24" s="8" t="s">
        <v>7</v>
      </c>
      <c r="H24" s="8" t="s">
        <v>7</v>
      </c>
      <c r="I24" s="8" t="s">
        <v>7</v>
      </c>
      <c r="J24" s="8" t="s">
        <v>7</v>
      </c>
      <c r="K24" s="8" t="s">
        <v>7</v>
      </c>
      <c r="L24" s="8" t="s">
        <v>7</v>
      </c>
      <c r="M24" s="8" t="s">
        <v>7</v>
      </c>
    </row>
    <row r="25" spans="1:13" x14ac:dyDescent="0.2">
      <c r="A25" s="8" t="s">
        <v>7</v>
      </c>
      <c r="B25" s="8" t="s">
        <v>149</v>
      </c>
      <c r="C25" s="8" t="s">
        <v>7</v>
      </c>
      <c r="D25" s="8" t="s">
        <v>7</v>
      </c>
      <c r="E25" s="8" t="s">
        <v>7</v>
      </c>
      <c r="F25" s="8" t="s">
        <v>7</v>
      </c>
      <c r="G25" s="8" t="s">
        <v>7</v>
      </c>
      <c r="H25" s="8" t="s">
        <v>7</v>
      </c>
      <c r="I25" s="8" t="s">
        <v>7</v>
      </c>
      <c r="J25" s="8" t="s">
        <v>7</v>
      </c>
      <c r="K25" s="8" t="s">
        <v>7</v>
      </c>
      <c r="L25" s="8" t="s">
        <v>7</v>
      </c>
      <c r="M25" s="8" t="s">
        <v>7</v>
      </c>
    </row>
    <row r="26" spans="1:13" x14ac:dyDescent="0.2">
      <c r="A26" s="7" t="s">
        <v>60</v>
      </c>
      <c r="B26" s="7" t="s">
        <v>61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3" customWidth="1"/>
    <col min="4" max="4" width="10" customWidth="1"/>
    <col min="5" max="5" width="14" customWidth="1"/>
    <col min="6" max="6" width="13" customWidth="1"/>
    <col min="7" max="7" width="16" customWidth="1"/>
    <col min="8" max="8" width="8" customWidth="1"/>
    <col min="9" max="9" width="11" customWidth="1"/>
    <col min="10" max="10" width="24" customWidth="1"/>
    <col min="11" max="11" width="23" customWidth="1"/>
    <col min="12" max="12" width="2" customWidth="1"/>
  </cols>
  <sheetData>
    <row r="1" spans="1:12" x14ac:dyDescent="0.2">
      <c r="B1" s="7" t="s">
        <v>0</v>
      </c>
      <c r="C1" s="7" t="s">
        <v>1</v>
      </c>
    </row>
    <row r="2" spans="1:12" x14ac:dyDescent="0.2">
      <c r="B2" s="7" t="s">
        <v>2</v>
      </c>
      <c r="C2" s="7" t="s">
        <v>3</v>
      </c>
    </row>
    <row r="3" spans="1:12" x14ac:dyDescent="0.2">
      <c r="B3" s="7" t="s">
        <v>4</v>
      </c>
      <c r="C3" s="7" t="s">
        <v>5</v>
      </c>
    </row>
    <row r="4" spans="1:12" x14ac:dyDescent="0.2">
      <c r="B4" s="7" t="s">
        <v>6</v>
      </c>
      <c r="C4" s="7">
        <v>408</v>
      </c>
    </row>
    <row r="5" spans="1:12" x14ac:dyDescent="0.2">
      <c r="B5" s="7" t="s">
        <v>7</v>
      </c>
      <c r="C5" s="7" t="s">
        <v>7</v>
      </c>
    </row>
    <row r="6" spans="1:12" x14ac:dyDescent="0.2">
      <c r="A6" s="1" t="s">
        <v>7</v>
      </c>
      <c r="B6" s="1" t="s">
        <v>643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</row>
    <row r="7" spans="1:12" x14ac:dyDescent="0.2">
      <c r="A7" s="1" t="s">
        <v>7</v>
      </c>
      <c r="B7" s="1" t="s">
        <v>815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</row>
    <row r="8" spans="1:12" x14ac:dyDescent="0.2">
      <c r="A8" s="1" t="s">
        <v>7</v>
      </c>
      <c r="B8" s="1" t="s">
        <v>63</v>
      </c>
      <c r="C8" s="1" t="s">
        <v>64</v>
      </c>
      <c r="D8" s="1" t="s">
        <v>152</v>
      </c>
      <c r="E8" s="1" t="s">
        <v>68</v>
      </c>
      <c r="F8" s="1" t="s">
        <v>108</v>
      </c>
      <c r="G8" s="1" t="s">
        <v>110</v>
      </c>
      <c r="H8" s="1" t="s">
        <v>111</v>
      </c>
      <c r="I8" s="1" t="s">
        <v>9</v>
      </c>
      <c r="J8" s="1" t="s">
        <v>72</v>
      </c>
      <c r="K8" s="1" t="s">
        <v>114</v>
      </c>
      <c r="L8" s="1" t="s">
        <v>7</v>
      </c>
    </row>
    <row r="9" spans="1:12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116</v>
      </c>
      <c r="H9" s="1" t="s">
        <v>117</v>
      </c>
      <c r="I9" s="1" t="s">
        <v>11</v>
      </c>
      <c r="J9" s="1" t="s">
        <v>12</v>
      </c>
      <c r="K9" s="1" t="s">
        <v>12</v>
      </c>
      <c r="L9" s="1" t="s">
        <v>7</v>
      </c>
    </row>
    <row r="10" spans="1:12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74</v>
      </c>
      <c r="F10" s="1" t="s">
        <v>75</v>
      </c>
      <c r="G10" s="1" t="s">
        <v>76</v>
      </c>
      <c r="H10" s="1" t="s">
        <v>77</v>
      </c>
      <c r="I10" s="1" t="s">
        <v>78</v>
      </c>
      <c r="J10" s="1" t="s">
        <v>79</v>
      </c>
      <c r="K10" s="1" t="s">
        <v>80</v>
      </c>
      <c r="L10" s="1" t="s">
        <v>7</v>
      </c>
    </row>
    <row r="11" spans="1:12" x14ac:dyDescent="0.2">
      <c r="A11" s="8" t="s">
        <v>7</v>
      </c>
      <c r="B11" s="8" t="s">
        <v>624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8" t="s">
        <v>7</v>
      </c>
      <c r="I11" s="10">
        <v>-8676.4599999999991</v>
      </c>
      <c r="J11" s="9">
        <v>1</v>
      </c>
      <c r="K11" s="9">
        <v>-2.3999999999999998E-3</v>
      </c>
      <c r="L11" s="8" t="s">
        <v>7</v>
      </c>
    </row>
    <row r="12" spans="1:12" x14ac:dyDescent="0.2">
      <c r="A12" s="3" t="s">
        <v>7</v>
      </c>
      <c r="B12" s="3" t="s">
        <v>816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12">
        <v>-8676.4599999999991</v>
      </c>
      <c r="J12" s="11">
        <v>1</v>
      </c>
      <c r="K12" s="11">
        <v>-2.3999999999999998E-3</v>
      </c>
      <c r="L12" s="3" t="s">
        <v>7</v>
      </c>
    </row>
    <row r="13" spans="1:12" x14ac:dyDescent="0.2">
      <c r="A13" s="3" t="s">
        <v>7</v>
      </c>
      <c r="B13" s="3" t="s">
        <v>611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12">
        <v>0</v>
      </c>
      <c r="J13" s="11">
        <v>0</v>
      </c>
      <c r="K13" s="11">
        <v>0</v>
      </c>
      <c r="L13" s="3" t="s">
        <v>7</v>
      </c>
    </row>
    <row r="14" spans="1:12" x14ac:dyDescent="0.2">
      <c r="A14" s="3" t="s">
        <v>7</v>
      </c>
      <c r="B14" s="3" t="s">
        <v>812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3" t="s">
        <v>7</v>
      </c>
      <c r="I14" s="12">
        <v>-8676.4599999999991</v>
      </c>
      <c r="J14" s="11">
        <v>1</v>
      </c>
      <c r="K14" s="11">
        <v>-2.3999999999999998E-3</v>
      </c>
      <c r="L14" s="3" t="s">
        <v>7</v>
      </c>
    </row>
    <row r="15" spans="1:12" x14ac:dyDescent="0.2">
      <c r="A15" s="13" t="s">
        <v>7</v>
      </c>
      <c r="B15" s="13" t="s">
        <v>817</v>
      </c>
      <c r="C15" s="14">
        <v>9127551588</v>
      </c>
      <c r="D15" s="13" t="s">
        <v>628</v>
      </c>
      <c r="E15" s="13" t="s">
        <v>88</v>
      </c>
      <c r="F15" s="13" t="s">
        <v>818</v>
      </c>
      <c r="G15" s="16">
        <v>-5750000</v>
      </c>
      <c r="H15" s="16">
        <v>0.52</v>
      </c>
      <c r="I15" s="16">
        <v>-30.07</v>
      </c>
      <c r="J15" s="15">
        <v>3.5000000000000001E-3</v>
      </c>
      <c r="K15" s="15">
        <v>0</v>
      </c>
      <c r="L15" s="13" t="s">
        <v>7</v>
      </c>
    </row>
    <row r="16" spans="1:12" x14ac:dyDescent="0.2">
      <c r="A16" s="13" t="s">
        <v>7</v>
      </c>
      <c r="B16" s="13" t="s">
        <v>819</v>
      </c>
      <c r="C16" s="14">
        <v>9905730</v>
      </c>
      <c r="D16" s="13" t="s">
        <v>628</v>
      </c>
      <c r="E16" s="13" t="s">
        <v>48</v>
      </c>
      <c r="F16" s="13" t="s">
        <v>820</v>
      </c>
      <c r="G16" s="16">
        <v>-45000000</v>
      </c>
      <c r="H16" s="16">
        <v>1.27</v>
      </c>
      <c r="I16" s="16">
        <v>-1960.24</v>
      </c>
      <c r="J16" s="15">
        <v>0.22589999999999999</v>
      </c>
      <c r="K16" s="15">
        <v>-5.0000000000000001E-4</v>
      </c>
      <c r="L16" s="13" t="s">
        <v>7</v>
      </c>
    </row>
    <row r="17" spans="1:12" x14ac:dyDescent="0.2">
      <c r="A17" s="13" t="s">
        <v>7</v>
      </c>
      <c r="B17" s="13" t="s">
        <v>821</v>
      </c>
      <c r="C17" s="14">
        <v>9905709</v>
      </c>
      <c r="D17" s="13" t="s">
        <v>628</v>
      </c>
      <c r="E17" s="13" t="s">
        <v>54</v>
      </c>
      <c r="F17" s="13" t="s">
        <v>822</v>
      </c>
      <c r="G17" s="16">
        <v>-13789356</v>
      </c>
      <c r="H17" s="16">
        <v>0.26</v>
      </c>
      <c r="I17" s="16">
        <v>-143.31</v>
      </c>
      <c r="J17" s="15">
        <v>1.6500000000000001E-2</v>
      </c>
      <c r="K17" s="15">
        <v>0</v>
      </c>
      <c r="L17" s="13" t="s">
        <v>7</v>
      </c>
    </row>
    <row r="18" spans="1:12" x14ac:dyDescent="0.2">
      <c r="A18" s="13" t="s">
        <v>7</v>
      </c>
      <c r="B18" s="13" t="s">
        <v>823</v>
      </c>
      <c r="C18" s="14">
        <v>9905694</v>
      </c>
      <c r="D18" s="13" t="s">
        <v>628</v>
      </c>
      <c r="E18" s="13" t="s">
        <v>50</v>
      </c>
      <c r="F18" s="13" t="s">
        <v>818</v>
      </c>
      <c r="G18" s="16">
        <v>-1967000</v>
      </c>
      <c r="H18" s="16">
        <v>-1.25</v>
      </c>
      <c r="I18" s="16">
        <v>108.83</v>
      </c>
      <c r="J18" s="15">
        <v>-1.2500000000000001E-2</v>
      </c>
      <c r="K18" s="15">
        <v>0</v>
      </c>
      <c r="L18" s="13" t="s">
        <v>7</v>
      </c>
    </row>
    <row r="19" spans="1:12" x14ac:dyDescent="0.2">
      <c r="A19" s="13" t="s">
        <v>7</v>
      </c>
      <c r="B19" s="13" t="s">
        <v>824</v>
      </c>
      <c r="C19" s="14">
        <v>9905691</v>
      </c>
      <c r="D19" s="13" t="s">
        <v>628</v>
      </c>
      <c r="E19" s="13" t="s">
        <v>54</v>
      </c>
      <c r="F19" s="13" t="s">
        <v>818</v>
      </c>
      <c r="G19" s="16">
        <v>-5750000</v>
      </c>
      <c r="H19" s="16">
        <v>0.13</v>
      </c>
      <c r="I19" s="16">
        <v>-30.1</v>
      </c>
      <c r="J19" s="15">
        <v>3.5000000000000001E-3</v>
      </c>
      <c r="K19" s="15">
        <v>0</v>
      </c>
      <c r="L19" s="13" t="s">
        <v>7</v>
      </c>
    </row>
    <row r="20" spans="1:12" x14ac:dyDescent="0.2">
      <c r="A20" s="13" t="s">
        <v>7</v>
      </c>
      <c r="B20" s="13" t="s">
        <v>825</v>
      </c>
      <c r="C20" s="14">
        <v>9905708</v>
      </c>
      <c r="D20" s="13" t="s">
        <v>628</v>
      </c>
      <c r="E20" s="13" t="s">
        <v>48</v>
      </c>
      <c r="F20" s="13" t="s">
        <v>822</v>
      </c>
      <c r="G20" s="16">
        <v>-74100300</v>
      </c>
      <c r="H20" s="16">
        <v>2.3199999999999998</v>
      </c>
      <c r="I20" s="16">
        <v>-5922.47</v>
      </c>
      <c r="J20" s="15">
        <v>0.68259999999999998</v>
      </c>
      <c r="K20" s="15">
        <v>-1.6999999999999999E-3</v>
      </c>
      <c r="L20" s="13" t="s">
        <v>7</v>
      </c>
    </row>
    <row r="21" spans="1:12" x14ac:dyDescent="0.2">
      <c r="A21" s="13" t="s">
        <v>7</v>
      </c>
      <c r="B21" s="13" t="s">
        <v>826</v>
      </c>
      <c r="C21" s="14">
        <v>9905707</v>
      </c>
      <c r="D21" s="13" t="s">
        <v>628</v>
      </c>
      <c r="E21" s="13" t="s">
        <v>48</v>
      </c>
      <c r="F21" s="13" t="s">
        <v>822</v>
      </c>
      <c r="G21" s="16">
        <v>-8400000</v>
      </c>
      <c r="H21" s="16">
        <v>2.42</v>
      </c>
      <c r="I21" s="16">
        <v>-699.09</v>
      </c>
      <c r="J21" s="15">
        <v>8.0600000000000005E-2</v>
      </c>
      <c r="K21" s="15">
        <v>-2.0000000000000001E-4</v>
      </c>
      <c r="L21" s="13" t="s">
        <v>7</v>
      </c>
    </row>
    <row r="22" spans="1:12" x14ac:dyDescent="0.2">
      <c r="A22" s="3" t="s">
        <v>7</v>
      </c>
      <c r="B22" s="3" t="s">
        <v>813</v>
      </c>
      <c r="C22" s="3" t="s">
        <v>7</v>
      </c>
      <c r="D22" s="3" t="s">
        <v>7</v>
      </c>
      <c r="E22" s="3" t="s">
        <v>7</v>
      </c>
      <c r="F22" s="3" t="s">
        <v>7</v>
      </c>
      <c r="G22" s="3" t="s">
        <v>7</v>
      </c>
      <c r="H22" s="3" t="s">
        <v>7</v>
      </c>
      <c r="I22" s="12">
        <v>0</v>
      </c>
      <c r="J22" s="11">
        <v>0</v>
      </c>
      <c r="K22" s="11">
        <v>0</v>
      </c>
      <c r="L22" s="3" t="s">
        <v>7</v>
      </c>
    </row>
    <row r="23" spans="1:12" x14ac:dyDescent="0.2">
      <c r="A23" s="3" t="s">
        <v>7</v>
      </c>
      <c r="B23" s="3" t="s">
        <v>617</v>
      </c>
      <c r="C23" s="3" t="s">
        <v>7</v>
      </c>
      <c r="D23" s="3" t="s">
        <v>7</v>
      </c>
      <c r="E23" s="3" t="s">
        <v>7</v>
      </c>
      <c r="F23" s="3" t="s">
        <v>7</v>
      </c>
      <c r="G23" s="3" t="s">
        <v>7</v>
      </c>
      <c r="H23" s="3" t="s">
        <v>7</v>
      </c>
      <c r="I23" s="12">
        <v>0</v>
      </c>
      <c r="J23" s="11">
        <v>0</v>
      </c>
      <c r="K23" s="11">
        <v>0</v>
      </c>
      <c r="L23" s="3" t="s">
        <v>7</v>
      </c>
    </row>
    <row r="24" spans="1:12" x14ac:dyDescent="0.2">
      <c r="A24" s="3" t="s">
        <v>7</v>
      </c>
      <c r="B24" s="3" t="s">
        <v>471</v>
      </c>
      <c r="C24" s="3" t="s">
        <v>7</v>
      </c>
      <c r="D24" s="3" t="s">
        <v>7</v>
      </c>
      <c r="E24" s="3" t="s">
        <v>7</v>
      </c>
      <c r="F24" s="3" t="s">
        <v>7</v>
      </c>
      <c r="G24" s="3" t="s">
        <v>7</v>
      </c>
      <c r="H24" s="3" t="s">
        <v>7</v>
      </c>
      <c r="I24" s="12">
        <v>0</v>
      </c>
      <c r="J24" s="11">
        <v>0</v>
      </c>
      <c r="K24" s="11">
        <v>0</v>
      </c>
      <c r="L24" s="3" t="s">
        <v>7</v>
      </c>
    </row>
    <row r="25" spans="1:12" x14ac:dyDescent="0.2">
      <c r="A25" s="3" t="s">
        <v>7</v>
      </c>
      <c r="B25" s="3" t="s">
        <v>827</v>
      </c>
      <c r="C25" s="3" t="s">
        <v>7</v>
      </c>
      <c r="D25" s="3" t="s">
        <v>7</v>
      </c>
      <c r="E25" s="3" t="s">
        <v>7</v>
      </c>
      <c r="F25" s="3" t="s">
        <v>7</v>
      </c>
      <c r="G25" s="3" t="s">
        <v>7</v>
      </c>
      <c r="H25" s="3" t="s">
        <v>7</v>
      </c>
      <c r="I25" s="12">
        <v>0</v>
      </c>
      <c r="J25" s="11">
        <v>0</v>
      </c>
      <c r="K25" s="11">
        <v>0</v>
      </c>
      <c r="L25" s="3" t="s">
        <v>7</v>
      </c>
    </row>
    <row r="26" spans="1:12" x14ac:dyDescent="0.2">
      <c r="A26" s="3" t="s">
        <v>7</v>
      </c>
      <c r="B26" s="3" t="s">
        <v>611</v>
      </c>
      <c r="C26" s="3" t="s">
        <v>7</v>
      </c>
      <c r="D26" s="3" t="s">
        <v>7</v>
      </c>
      <c r="E26" s="3" t="s">
        <v>7</v>
      </c>
      <c r="F26" s="3" t="s">
        <v>7</v>
      </c>
      <c r="G26" s="3" t="s">
        <v>7</v>
      </c>
      <c r="H26" s="3" t="s">
        <v>7</v>
      </c>
      <c r="I26" s="12">
        <v>0</v>
      </c>
      <c r="J26" s="11">
        <v>0</v>
      </c>
      <c r="K26" s="11">
        <v>0</v>
      </c>
      <c r="L26" s="3" t="s">
        <v>7</v>
      </c>
    </row>
    <row r="27" spans="1:12" x14ac:dyDescent="0.2">
      <c r="A27" s="3" t="s">
        <v>7</v>
      </c>
      <c r="B27" s="3" t="s">
        <v>621</v>
      </c>
      <c r="C27" s="3" t="s">
        <v>7</v>
      </c>
      <c r="D27" s="3" t="s">
        <v>7</v>
      </c>
      <c r="E27" s="3" t="s">
        <v>7</v>
      </c>
      <c r="F27" s="3" t="s">
        <v>7</v>
      </c>
      <c r="G27" s="3" t="s">
        <v>7</v>
      </c>
      <c r="H27" s="3" t="s">
        <v>7</v>
      </c>
      <c r="I27" s="12">
        <v>0</v>
      </c>
      <c r="J27" s="11">
        <v>0</v>
      </c>
      <c r="K27" s="11">
        <v>0</v>
      </c>
      <c r="L27" s="3" t="s">
        <v>7</v>
      </c>
    </row>
    <row r="28" spans="1:12" x14ac:dyDescent="0.2">
      <c r="A28" s="3" t="s">
        <v>7</v>
      </c>
      <c r="B28" s="3" t="s">
        <v>617</v>
      </c>
      <c r="C28" s="3" t="s">
        <v>7</v>
      </c>
      <c r="D28" s="3" t="s">
        <v>7</v>
      </c>
      <c r="E28" s="3" t="s">
        <v>7</v>
      </c>
      <c r="F28" s="3" t="s">
        <v>7</v>
      </c>
      <c r="G28" s="3" t="s">
        <v>7</v>
      </c>
      <c r="H28" s="3" t="s">
        <v>7</v>
      </c>
      <c r="I28" s="12">
        <v>0</v>
      </c>
      <c r="J28" s="11">
        <v>0</v>
      </c>
      <c r="K28" s="11">
        <v>0</v>
      </c>
      <c r="L28" s="3" t="s">
        <v>7</v>
      </c>
    </row>
    <row r="29" spans="1:12" x14ac:dyDescent="0.2">
      <c r="A29" s="3" t="s">
        <v>7</v>
      </c>
      <c r="B29" s="3" t="s">
        <v>471</v>
      </c>
      <c r="C29" s="3" t="s">
        <v>7</v>
      </c>
      <c r="D29" s="3" t="s">
        <v>7</v>
      </c>
      <c r="E29" s="3" t="s">
        <v>7</v>
      </c>
      <c r="F29" s="3" t="s">
        <v>7</v>
      </c>
      <c r="G29" s="3" t="s">
        <v>7</v>
      </c>
      <c r="H29" s="3" t="s">
        <v>7</v>
      </c>
      <c r="I29" s="12">
        <v>0</v>
      </c>
      <c r="J29" s="11">
        <v>0</v>
      </c>
      <c r="K29" s="11">
        <v>0</v>
      </c>
      <c r="L29" s="3" t="s">
        <v>7</v>
      </c>
    </row>
    <row r="30" spans="1:12" x14ac:dyDescent="0.2">
      <c r="A30" s="8" t="s">
        <v>7</v>
      </c>
      <c r="B30" s="8" t="s">
        <v>104</v>
      </c>
      <c r="C30" s="8" t="s">
        <v>7</v>
      </c>
      <c r="D30" s="8" t="s">
        <v>7</v>
      </c>
      <c r="E30" s="8" t="s">
        <v>7</v>
      </c>
      <c r="F30" s="8" t="s">
        <v>7</v>
      </c>
      <c r="G30" s="8" t="s">
        <v>7</v>
      </c>
      <c r="H30" s="8" t="s">
        <v>7</v>
      </c>
      <c r="I30" s="8" t="s">
        <v>7</v>
      </c>
      <c r="J30" s="8" t="s">
        <v>7</v>
      </c>
      <c r="K30" s="8" t="s">
        <v>7</v>
      </c>
      <c r="L30" s="8" t="s">
        <v>7</v>
      </c>
    </row>
    <row r="31" spans="1:12" x14ac:dyDescent="0.2">
      <c r="A31" s="8" t="s">
        <v>7</v>
      </c>
      <c r="B31" s="8" t="s">
        <v>149</v>
      </c>
      <c r="C31" s="8" t="s">
        <v>7</v>
      </c>
      <c r="D31" s="8" t="s">
        <v>7</v>
      </c>
      <c r="E31" s="8" t="s">
        <v>7</v>
      </c>
      <c r="F31" s="8" t="s">
        <v>7</v>
      </c>
      <c r="G31" s="8" t="s">
        <v>7</v>
      </c>
      <c r="H31" s="8" t="s">
        <v>7</v>
      </c>
      <c r="I31" s="8" t="s">
        <v>7</v>
      </c>
      <c r="J31" s="8" t="s">
        <v>7</v>
      </c>
      <c r="K31" s="8" t="s">
        <v>7</v>
      </c>
      <c r="L31" s="8" t="s">
        <v>7</v>
      </c>
    </row>
    <row r="32" spans="1:12" x14ac:dyDescent="0.2">
      <c r="A32" s="7" t="s">
        <v>60</v>
      </c>
      <c r="B32" s="7" t="s">
        <v>61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3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2" customWidth="1"/>
    <col min="4" max="4" width="11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5" customWidth="1"/>
    <col min="12" max="12" width="12" customWidth="1"/>
    <col min="13" max="13" width="8" customWidth="1"/>
    <col min="14" max="14" width="11" customWidth="1"/>
    <col min="15" max="15" width="22" customWidth="1"/>
    <col min="16" max="16" width="24" customWidth="1"/>
    <col min="17" max="17" width="23" customWidth="1"/>
    <col min="18" max="18" width="2" customWidth="1"/>
  </cols>
  <sheetData>
    <row r="1" spans="1:18" x14ac:dyDescent="0.2">
      <c r="B1" s="7" t="s">
        <v>0</v>
      </c>
      <c r="C1" s="7" t="s">
        <v>1</v>
      </c>
    </row>
    <row r="2" spans="1:18" x14ac:dyDescent="0.2">
      <c r="B2" s="7" t="s">
        <v>2</v>
      </c>
      <c r="C2" s="7" t="s">
        <v>3</v>
      </c>
    </row>
    <row r="3" spans="1:18" x14ac:dyDescent="0.2">
      <c r="B3" s="7" t="s">
        <v>4</v>
      </c>
      <c r="C3" s="7" t="s">
        <v>5</v>
      </c>
    </row>
    <row r="4" spans="1:18" x14ac:dyDescent="0.2">
      <c r="B4" s="7" t="s">
        <v>6</v>
      </c>
      <c r="C4" s="7">
        <v>408</v>
      </c>
    </row>
    <row r="5" spans="1:18" x14ac:dyDescent="0.2">
      <c r="B5" s="7" t="s">
        <v>7</v>
      </c>
      <c r="C5" s="7" t="s">
        <v>7</v>
      </c>
    </row>
    <row r="6" spans="1:18" x14ac:dyDescent="0.2">
      <c r="A6" s="1" t="s">
        <v>7</v>
      </c>
      <c r="B6" s="1" t="s">
        <v>643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</row>
    <row r="7" spans="1:18" x14ac:dyDescent="0.2">
      <c r="A7" s="1" t="s">
        <v>7</v>
      </c>
      <c r="B7" s="1" t="s">
        <v>828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</row>
    <row r="8" spans="1:18" x14ac:dyDescent="0.2">
      <c r="A8" s="1" t="s">
        <v>7</v>
      </c>
      <c r="B8" s="1" t="s">
        <v>63</v>
      </c>
      <c r="C8" s="1" t="s">
        <v>64</v>
      </c>
      <c r="D8" s="1" t="s">
        <v>632</v>
      </c>
      <c r="E8" s="1" t="s">
        <v>66</v>
      </c>
      <c r="F8" s="1" t="s">
        <v>67</v>
      </c>
      <c r="G8" s="1" t="s">
        <v>108</v>
      </c>
      <c r="H8" s="1" t="s">
        <v>109</v>
      </c>
      <c r="I8" s="1" t="s">
        <v>68</v>
      </c>
      <c r="J8" s="1" t="s">
        <v>69</v>
      </c>
      <c r="K8" s="1" t="s">
        <v>70</v>
      </c>
      <c r="L8" s="1" t="s">
        <v>110</v>
      </c>
      <c r="M8" s="1" t="s">
        <v>111</v>
      </c>
      <c r="N8" s="1" t="s">
        <v>9</v>
      </c>
      <c r="O8" s="1" t="s">
        <v>113</v>
      </c>
      <c r="P8" s="1" t="s">
        <v>72</v>
      </c>
      <c r="Q8" s="1" t="s">
        <v>114</v>
      </c>
      <c r="R8" s="1" t="s">
        <v>7</v>
      </c>
    </row>
    <row r="9" spans="1:18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163</v>
      </c>
      <c r="H9" s="1" t="s">
        <v>115</v>
      </c>
      <c r="I9" s="1" t="s">
        <v>7</v>
      </c>
      <c r="J9" s="1" t="s">
        <v>12</v>
      </c>
      <c r="K9" s="1" t="s">
        <v>12</v>
      </c>
      <c r="L9" s="1" t="s">
        <v>116</v>
      </c>
      <c r="M9" s="1" t="s">
        <v>117</v>
      </c>
      <c r="N9" s="1" t="s">
        <v>11</v>
      </c>
      <c r="O9" s="1" t="s">
        <v>12</v>
      </c>
      <c r="P9" s="1" t="s">
        <v>12</v>
      </c>
      <c r="Q9" s="1" t="s">
        <v>12</v>
      </c>
      <c r="R9" s="1" t="s">
        <v>7</v>
      </c>
    </row>
    <row r="10" spans="1:18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74</v>
      </c>
      <c r="F10" s="1" t="s">
        <v>75</v>
      </c>
      <c r="G10" s="1" t="s">
        <v>76</v>
      </c>
      <c r="H10" s="1" t="s">
        <v>77</v>
      </c>
      <c r="I10" s="1" t="s">
        <v>78</v>
      </c>
      <c r="J10" s="1" t="s">
        <v>79</v>
      </c>
      <c r="K10" s="1" t="s">
        <v>80</v>
      </c>
      <c r="L10" s="1" t="s">
        <v>81</v>
      </c>
      <c r="M10" s="1" t="s">
        <v>118</v>
      </c>
      <c r="N10" s="1" t="s">
        <v>119</v>
      </c>
      <c r="O10" s="1" t="s">
        <v>120</v>
      </c>
      <c r="P10" s="1" t="s">
        <v>121</v>
      </c>
      <c r="Q10" s="1" t="s">
        <v>122</v>
      </c>
      <c r="R10" s="1" t="s">
        <v>7</v>
      </c>
    </row>
    <row r="11" spans="1:18" x14ac:dyDescent="0.2">
      <c r="A11" s="8" t="s">
        <v>7</v>
      </c>
      <c r="B11" s="8" t="s">
        <v>829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10">
        <v>0.3</v>
      </c>
      <c r="I11" s="8" t="s">
        <v>7</v>
      </c>
      <c r="J11" s="9">
        <v>8.7800000000000003E-2</v>
      </c>
      <c r="K11" s="9">
        <v>9.5999999999999992E-3</v>
      </c>
      <c r="L11" s="8" t="s">
        <v>7</v>
      </c>
      <c r="M11" s="8" t="s">
        <v>7</v>
      </c>
      <c r="N11" s="10">
        <v>0</v>
      </c>
      <c r="O11" s="8" t="s">
        <v>7</v>
      </c>
      <c r="P11" s="9">
        <v>1</v>
      </c>
      <c r="Q11" s="9">
        <v>0</v>
      </c>
      <c r="R11" s="8" t="s">
        <v>7</v>
      </c>
    </row>
    <row r="12" spans="1:18" x14ac:dyDescent="0.2">
      <c r="A12" s="3" t="s">
        <v>7</v>
      </c>
      <c r="B12" s="3" t="s">
        <v>83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12">
        <v>0.3</v>
      </c>
      <c r="I12" s="3" t="s">
        <v>7</v>
      </c>
      <c r="J12" s="11">
        <v>8.7800000000000003E-2</v>
      </c>
      <c r="K12" s="11">
        <v>9.5999999999999992E-3</v>
      </c>
      <c r="L12" s="3" t="s">
        <v>7</v>
      </c>
      <c r="M12" s="3" t="s">
        <v>7</v>
      </c>
      <c r="N12" s="12">
        <v>0</v>
      </c>
      <c r="O12" s="3" t="s">
        <v>7</v>
      </c>
      <c r="P12" s="11">
        <v>1</v>
      </c>
      <c r="Q12" s="11">
        <v>0</v>
      </c>
      <c r="R12" s="3" t="s">
        <v>7</v>
      </c>
    </row>
    <row r="13" spans="1:18" x14ac:dyDescent="0.2">
      <c r="A13" s="3" t="s">
        <v>7</v>
      </c>
      <c r="B13" s="3" t="s">
        <v>634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12">
        <v>0</v>
      </c>
      <c r="I13" s="3" t="s">
        <v>7</v>
      </c>
      <c r="J13" s="11">
        <v>0</v>
      </c>
      <c r="K13" s="11">
        <v>0</v>
      </c>
      <c r="L13" s="3" t="s">
        <v>7</v>
      </c>
      <c r="M13" s="3" t="s">
        <v>7</v>
      </c>
      <c r="N13" s="12">
        <v>0</v>
      </c>
      <c r="O13" s="3" t="s">
        <v>7</v>
      </c>
      <c r="P13" s="11">
        <v>0</v>
      </c>
      <c r="Q13" s="11">
        <v>0</v>
      </c>
      <c r="R13" s="3" t="s">
        <v>7</v>
      </c>
    </row>
    <row r="14" spans="1:18" x14ac:dyDescent="0.2">
      <c r="A14" s="3" t="s">
        <v>7</v>
      </c>
      <c r="B14" s="3" t="s">
        <v>635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12">
        <v>0</v>
      </c>
      <c r="I14" s="3" t="s">
        <v>7</v>
      </c>
      <c r="J14" s="11">
        <v>0</v>
      </c>
      <c r="K14" s="11">
        <v>0</v>
      </c>
      <c r="L14" s="3" t="s">
        <v>7</v>
      </c>
      <c r="M14" s="3" t="s">
        <v>7</v>
      </c>
      <c r="N14" s="12">
        <v>0</v>
      </c>
      <c r="O14" s="3" t="s">
        <v>7</v>
      </c>
      <c r="P14" s="11">
        <v>0</v>
      </c>
      <c r="Q14" s="11">
        <v>0</v>
      </c>
      <c r="R14" s="3" t="s">
        <v>7</v>
      </c>
    </row>
    <row r="15" spans="1:18" x14ac:dyDescent="0.2">
      <c r="A15" s="3" t="s">
        <v>7</v>
      </c>
      <c r="B15" s="3" t="s">
        <v>641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12">
        <v>0.3</v>
      </c>
      <c r="I15" s="3" t="s">
        <v>7</v>
      </c>
      <c r="J15" s="11">
        <v>8.7800000000000003E-2</v>
      </c>
      <c r="K15" s="11">
        <v>9.5999999999999992E-3</v>
      </c>
      <c r="L15" s="3" t="s">
        <v>7</v>
      </c>
      <c r="M15" s="3" t="s">
        <v>7</v>
      </c>
      <c r="N15" s="12">
        <v>0</v>
      </c>
      <c r="O15" s="3" t="s">
        <v>7</v>
      </c>
      <c r="P15" s="11">
        <v>1</v>
      </c>
      <c r="Q15" s="11">
        <v>0</v>
      </c>
      <c r="R15" s="3" t="s">
        <v>7</v>
      </c>
    </row>
    <row r="16" spans="1:18" x14ac:dyDescent="0.2">
      <c r="A16" s="13" t="s">
        <v>7</v>
      </c>
      <c r="B16" s="13" t="s">
        <v>830</v>
      </c>
      <c r="C16" s="14">
        <v>100320035</v>
      </c>
      <c r="D16" s="13" t="s">
        <v>831</v>
      </c>
      <c r="E16" s="13" t="s">
        <v>832</v>
      </c>
      <c r="F16" s="13" t="s">
        <v>590</v>
      </c>
      <c r="G16" s="13" t="s">
        <v>833</v>
      </c>
      <c r="H16" s="16">
        <v>0.31</v>
      </c>
      <c r="I16" s="13" t="s">
        <v>88</v>
      </c>
      <c r="J16" s="15">
        <v>8.7999999999999995E-2</v>
      </c>
      <c r="K16" s="15">
        <v>9.7000000000000003E-3</v>
      </c>
      <c r="L16" s="16">
        <v>275808.2</v>
      </c>
      <c r="M16" s="16">
        <v>0</v>
      </c>
      <c r="N16" s="16">
        <v>0</v>
      </c>
      <c r="O16" s="15">
        <v>2.76E-2</v>
      </c>
      <c r="P16" s="15">
        <v>1</v>
      </c>
      <c r="Q16" s="15">
        <v>0</v>
      </c>
      <c r="R16" s="13" t="s">
        <v>7</v>
      </c>
    </row>
    <row r="17" spans="1:18" x14ac:dyDescent="0.2">
      <c r="A17" s="3" t="s">
        <v>7</v>
      </c>
      <c r="B17" s="3" t="s">
        <v>102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12">
        <v>0</v>
      </c>
      <c r="I17" s="3" t="s">
        <v>7</v>
      </c>
      <c r="J17" s="11">
        <v>0</v>
      </c>
      <c r="K17" s="11">
        <v>0</v>
      </c>
      <c r="L17" s="3" t="s">
        <v>7</v>
      </c>
      <c r="M17" s="3" t="s">
        <v>7</v>
      </c>
      <c r="N17" s="12">
        <v>0</v>
      </c>
      <c r="O17" s="3" t="s">
        <v>7</v>
      </c>
      <c r="P17" s="11">
        <v>0</v>
      </c>
      <c r="Q17" s="11">
        <v>0</v>
      </c>
      <c r="R17" s="3" t="s">
        <v>7</v>
      </c>
    </row>
    <row r="18" spans="1:18" x14ac:dyDescent="0.2">
      <c r="A18" s="3" t="s">
        <v>7</v>
      </c>
      <c r="B18" s="3" t="s">
        <v>634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12">
        <v>0</v>
      </c>
      <c r="I18" s="3" t="s">
        <v>7</v>
      </c>
      <c r="J18" s="11">
        <v>0</v>
      </c>
      <c r="K18" s="11">
        <v>0</v>
      </c>
      <c r="L18" s="3" t="s">
        <v>7</v>
      </c>
      <c r="M18" s="3" t="s">
        <v>7</v>
      </c>
      <c r="N18" s="12">
        <v>0</v>
      </c>
      <c r="O18" s="3" t="s">
        <v>7</v>
      </c>
      <c r="P18" s="11">
        <v>0</v>
      </c>
      <c r="Q18" s="11">
        <v>0</v>
      </c>
      <c r="R18" s="3" t="s">
        <v>7</v>
      </c>
    </row>
    <row r="19" spans="1:18" x14ac:dyDescent="0.2">
      <c r="A19" s="3" t="s">
        <v>7</v>
      </c>
      <c r="B19" s="3" t="s">
        <v>635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7</v>
      </c>
      <c r="H19" s="12">
        <v>0</v>
      </c>
      <c r="I19" s="3" t="s">
        <v>7</v>
      </c>
      <c r="J19" s="11">
        <v>0</v>
      </c>
      <c r="K19" s="11">
        <v>0</v>
      </c>
      <c r="L19" s="3" t="s">
        <v>7</v>
      </c>
      <c r="M19" s="3" t="s">
        <v>7</v>
      </c>
      <c r="N19" s="12">
        <v>0</v>
      </c>
      <c r="O19" s="3" t="s">
        <v>7</v>
      </c>
      <c r="P19" s="11">
        <v>0</v>
      </c>
      <c r="Q19" s="11">
        <v>0</v>
      </c>
      <c r="R19" s="3" t="s">
        <v>7</v>
      </c>
    </row>
    <row r="20" spans="1:18" x14ac:dyDescent="0.2">
      <c r="A20" s="3" t="s">
        <v>7</v>
      </c>
      <c r="B20" s="3" t="s">
        <v>641</v>
      </c>
      <c r="C20" s="3" t="s">
        <v>7</v>
      </c>
      <c r="D20" s="3" t="s">
        <v>7</v>
      </c>
      <c r="E20" s="3" t="s">
        <v>7</v>
      </c>
      <c r="F20" s="3" t="s">
        <v>7</v>
      </c>
      <c r="G20" s="3" t="s">
        <v>7</v>
      </c>
      <c r="H20" s="12">
        <v>0</v>
      </c>
      <c r="I20" s="3" t="s">
        <v>7</v>
      </c>
      <c r="J20" s="11">
        <v>0</v>
      </c>
      <c r="K20" s="11">
        <v>0</v>
      </c>
      <c r="L20" s="3" t="s">
        <v>7</v>
      </c>
      <c r="M20" s="3" t="s">
        <v>7</v>
      </c>
      <c r="N20" s="12">
        <v>0</v>
      </c>
      <c r="O20" s="3" t="s">
        <v>7</v>
      </c>
      <c r="P20" s="11">
        <v>0</v>
      </c>
      <c r="Q20" s="11">
        <v>0</v>
      </c>
      <c r="R20" s="3" t="s">
        <v>7</v>
      </c>
    </row>
    <row r="21" spans="1:18" x14ac:dyDescent="0.2">
      <c r="A21" s="8" t="s">
        <v>7</v>
      </c>
      <c r="B21" s="8" t="s">
        <v>104</v>
      </c>
      <c r="C21" s="8" t="s">
        <v>7</v>
      </c>
      <c r="D21" s="8" t="s">
        <v>7</v>
      </c>
      <c r="E21" s="8" t="s">
        <v>7</v>
      </c>
      <c r="F21" s="8" t="s">
        <v>7</v>
      </c>
      <c r="G21" s="8" t="s">
        <v>7</v>
      </c>
      <c r="H21" s="8" t="s">
        <v>7</v>
      </c>
      <c r="I21" s="8" t="s">
        <v>7</v>
      </c>
      <c r="J21" s="8" t="s">
        <v>7</v>
      </c>
      <c r="K21" s="8" t="s">
        <v>7</v>
      </c>
      <c r="L21" s="8" t="s">
        <v>7</v>
      </c>
      <c r="M21" s="8" t="s">
        <v>7</v>
      </c>
      <c r="N21" s="8" t="s">
        <v>7</v>
      </c>
      <c r="O21" s="8" t="s">
        <v>7</v>
      </c>
      <c r="P21" s="8" t="s">
        <v>7</v>
      </c>
      <c r="Q21" s="8" t="s">
        <v>7</v>
      </c>
      <c r="R21" s="8" t="s">
        <v>7</v>
      </c>
    </row>
    <row r="22" spans="1:18" x14ac:dyDescent="0.2">
      <c r="A22" s="8" t="s">
        <v>7</v>
      </c>
      <c r="B22" s="8" t="s">
        <v>149</v>
      </c>
      <c r="C22" s="8" t="s">
        <v>7</v>
      </c>
      <c r="D22" s="8" t="s">
        <v>7</v>
      </c>
      <c r="E22" s="8" t="s">
        <v>7</v>
      </c>
      <c r="F22" s="8" t="s">
        <v>7</v>
      </c>
      <c r="G22" s="8" t="s">
        <v>7</v>
      </c>
      <c r="H22" s="8" t="s">
        <v>7</v>
      </c>
      <c r="I22" s="8" t="s">
        <v>7</v>
      </c>
      <c r="J22" s="8" t="s">
        <v>7</v>
      </c>
      <c r="K22" s="8" t="s">
        <v>7</v>
      </c>
      <c r="L22" s="8" t="s">
        <v>7</v>
      </c>
      <c r="M22" s="8" t="s">
        <v>7</v>
      </c>
      <c r="N22" s="8" t="s">
        <v>7</v>
      </c>
      <c r="O22" s="8" t="s">
        <v>7</v>
      </c>
      <c r="P22" s="8" t="s">
        <v>7</v>
      </c>
      <c r="Q22" s="8" t="s">
        <v>7</v>
      </c>
      <c r="R22" s="8" t="s">
        <v>7</v>
      </c>
    </row>
    <row r="23" spans="1:18" x14ac:dyDescent="0.2">
      <c r="A23" s="7" t="s">
        <v>60</v>
      </c>
      <c r="B23" s="7" t="s">
        <v>61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6"/>
  <sheetViews>
    <sheetView rightToLeft="1" topLeftCell="A28" workbookViewId="0">
      <selection activeCell="C35" sqref="C35"/>
    </sheetView>
  </sheetViews>
  <sheetFormatPr defaultRowHeight="14.25" x14ac:dyDescent="0.2"/>
  <cols>
    <col min="1" max="1" width="2" customWidth="1"/>
    <col min="2" max="2" width="39" customWidth="1"/>
    <col min="3" max="3" width="18" customWidth="1"/>
    <col min="4" max="5" width="12" customWidth="1"/>
    <col min="6" max="6" width="8" customWidth="1"/>
    <col min="7" max="7" width="13" customWidth="1"/>
    <col min="8" max="8" width="11" customWidth="1"/>
    <col min="9" max="9" width="6" customWidth="1"/>
    <col min="10" max="10" width="16" customWidth="1"/>
    <col min="11" max="11" width="14" customWidth="1"/>
    <col min="12" max="12" width="19" customWidth="1"/>
    <col min="13" max="14" width="15" customWidth="1"/>
    <col min="15" max="15" width="8" customWidth="1"/>
    <col min="16" max="16" width="12" customWidth="1"/>
    <col min="17" max="17" width="24" customWidth="1"/>
    <col min="18" max="18" width="23" customWidth="1"/>
    <col min="19" max="19" width="2" customWidth="1"/>
  </cols>
  <sheetData>
    <row r="1" spans="1:19" x14ac:dyDescent="0.2">
      <c r="B1" s="7" t="s">
        <v>0</v>
      </c>
      <c r="C1" s="7" t="s">
        <v>1</v>
      </c>
    </row>
    <row r="2" spans="1:19" x14ac:dyDescent="0.2">
      <c r="B2" s="7" t="s">
        <v>2</v>
      </c>
      <c r="C2" s="7" t="s">
        <v>3</v>
      </c>
    </row>
    <row r="3" spans="1:19" x14ac:dyDescent="0.2">
      <c r="B3" s="7" t="s">
        <v>4</v>
      </c>
      <c r="C3" s="7" t="s">
        <v>5</v>
      </c>
    </row>
    <row r="4" spans="1:19" x14ac:dyDescent="0.2">
      <c r="B4" s="7" t="s">
        <v>6</v>
      </c>
      <c r="C4" s="7">
        <v>408</v>
      </c>
    </row>
    <row r="5" spans="1:19" x14ac:dyDescent="0.2">
      <c r="B5" s="7" t="s">
        <v>7</v>
      </c>
      <c r="C5" s="7" t="s">
        <v>7</v>
      </c>
    </row>
    <row r="6" spans="1:19" x14ac:dyDescent="0.2">
      <c r="A6" s="1" t="s">
        <v>7</v>
      </c>
      <c r="B6" s="1" t="s">
        <v>834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  <c r="S6" s="1" t="s">
        <v>7</v>
      </c>
    </row>
    <row r="7" spans="1:19" x14ac:dyDescent="0.2">
      <c r="A7" s="1" t="s">
        <v>7</v>
      </c>
      <c r="B7" s="1" t="s">
        <v>63</v>
      </c>
      <c r="C7" s="1" t="s">
        <v>835</v>
      </c>
      <c r="D7" s="1" t="s">
        <v>64</v>
      </c>
      <c r="E7" s="1" t="s">
        <v>65</v>
      </c>
      <c r="F7" s="1" t="s">
        <v>66</v>
      </c>
      <c r="G7" s="1" t="s">
        <v>108</v>
      </c>
      <c r="H7" s="1" t="s">
        <v>67</v>
      </c>
      <c r="I7" s="1" t="s">
        <v>109</v>
      </c>
      <c r="J7" s="1" t="s">
        <v>152</v>
      </c>
      <c r="K7" s="1" t="s">
        <v>68</v>
      </c>
      <c r="L7" s="1" t="s">
        <v>836</v>
      </c>
      <c r="M7" s="1" t="s">
        <v>70</v>
      </c>
      <c r="N7" s="1" t="s">
        <v>110</v>
      </c>
      <c r="O7" s="1" t="s">
        <v>111</v>
      </c>
      <c r="P7" s="1" t="s">
        <v>9</v>
      </c>
      <c r="Q7" s="1" t="s">
        <v>72</v>
      </c>
      <c r="R7" s="1" t="s">
        <v>114</v>
      </c>
      <c r="S7" s="1" t="s">
        <v>7</v>
      </c>
    </row>
    <row r="8" spans="1:19" x14ac:dyDescent="0.2">
      <c r="A8" s="1" t="s">
        <v>7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163</v>
      </c>
      <c r="H8" s="1" t="s">
        <v>7</v>
      </c>
      <c r="I8" s="1" t="s">
        <v>115</v>
      </c>
      <c r="J8" s="1" t="s">
        <v>7</v>
      </c>
      <c r="K8" s="1" t="s">
        <v>7</v>
      </c>
      <c r="L8" s="1" t="s">
        <v>12</v>
      </c>
      <c r="M8" s="1" t="s">
        <v>12</v>
      </c>
      <c r="N8" s="1" t="s">
        <v>164</v>
      </c>
      <c r="O8" s="1" t="s">
        <v>7</v>
      </c>
      <c r="P8" s="1" t="s">
        <v>11</v>
      </c>
      <c r="Q8" s="1" t="s">
        <v>12</v>
      </c>
      <c r="R8" s="1" t="s">
        <v>12</v>
      </c>
      <c r="S8" s="1" t="s">
        <v>7</v>
      </c>
    </row>
    <row r="9" spans="1:19" x14ac:dyDescent="0.2">
      <c r="A9" s="1" t="s">
        <v>7</v>
      </c>
      <c r="B9" s="1" t="s">
        <v>7</v>
      </c>
      <c r="C9" s="1" t="s">
        <v>13</v>
      </c>
      <c r="D9" s="1" t="s">
        <v>14</v>
      </c>
      <c r="E9" s="1" t="s">
        <v>74</v>
      </c>
      <c r="F9" s="1" t="s">
        <v>75</v>
      </c>
      <c r="G9" s="1" t="s">
        <v>76</v>
      </c>
      <c r="H9" s="1" t="s">
        <v>77</v>
      </c>
      <c r="I9" s="1" t="s">
        <v>78</v>
      </c>
      <c r="J9" s="1" t="s">
        <v>79</v>
      </c>
      <c r="K9" s="1" t="s">
        <v>80</v>
      </c>
      <c r="L9" s="1" t="s">
        <v>81</v>
      </c>
      <c r="M9" s="1" t="s">
        <v>118</v>
      </c>
      <c r="N9" s="1" t="s">
        <v>119</v>
      </c>
      <c r="O9" s="1" t="s">
        <v>120</v>
      </c>
      <c r="P9" s="1" t="s">
        <v>121</v>
      </c>
      <c r="Q9" s="1" t="s">
        <v>122</v>
      </c>
      <c r="R9" s="1" t="s">
        <v>123</v>
      </c>
      <c r="S9" s="1" t="s">
        <v>7</v>
      </c>
    </row>
    <row r="10" spans="1:19" x14ac:dyDescent="0.2">
      <c r="A10" s="8" t="s">
        <v>7</v>
      </c>
      <c r="B10" s="8" t="s">
        <v>837</v>
      </c>
      <c r="C10" s="8" t="s">
        <v>7</v>
      </c>
      <c r="D10" s="8" t="s">
        <v>7</v>
      </c>
      <c r="E10" s="8" t="s">
        <v>7</v>
      </c>
      <c r="F10" s="8" t="s">
        <v>7</v>
      </c>
      <c r="G10" s="8" t="s">
        <v>7</v>
      </c>
      <c r="H10" s="8" t="s">
        <v>7</v>
      </c>
      <c r="I10" s="10">
        <v>2.08</v>
      </c>
      <c r="J10" s="8" t="s">
        <v>7</v>
      </c>
      <c r="K10" s="8" t="s">
        <v>7</v>
      </c>
      <c r="L10" s="9">
        <v>8.9999999999999993E-3</v>
      </c>
      <c r="M10" s="9">
        <v>1.34E-2</v>
      </c>
      <c r="N10" s="8" t="s">
        <v>7</v>
      </c>
      <c r="O10" s="8" t="s">
        <v>7</v>
      </c>
      <c r="P10" s="10">
        <v>111949.66</v>
      </c>
      <c r="Q10" s="9">
        <v>1</v>
      </c>
      <c r="R10" s="9">
        <v>3.15E-2</v>
      </c>
      <c r="S10" s="8" t="s">
        <v>7</v>
      </c>
    </row>
    <row r="11" spans="1:19" x14ac:dyDescent="0.2">
      <c r="A11" s="3" t="s">
        <v>7</v>
      </c>
      <c r="B11" s="3" t="s">
        <v>838</v>
      </c>
      <c r="C11" s="3" t="s">
        <v>7</v>
      </c>
      <c r="D11" s="3" t="s">
        <v>7</v>
      </c>
      <c r="E11" s="3" t="s">
        <v>7</v>
      </c>
      <c r="F11" s="3" t="s">
        <v>7</v>
      </c>
      <c r="G11" s="3" t="s">
        <v>7</v>
      </c>
      <c r="H11" s="3" t="s">
        <v>7</v>
      </c>
      <c r="I11" s="12">
        <v>2.08</v>
      </c>
      <c r="J11" s="3" t="s">
        <v>7</v>
      </c>
      <c r="K11" s="3" t="s">
        <v>7</v>
      </c>
      <c r="L11" s="11">
        <v>8.9999999999999993E-3</v>
      </c>
      <c r="M11" s="11">
        <v>1.34E-2</v>
      </c>
      <c r="N11" s="3" t="s">
        <v>7</v>
      </c>
      <c r="O11" s="3" t="s">
        <v>7</v>
      </c>
      <c r="P11" s="12">
        <v>111949.66</v>
      </c>
      <c r="Q11" s="11">
        <v>1</v>
      </c>
      <c r="R11" s="11">
        <v>3.15E-2</v>
      </c>
      <c r="S11" s="3" t="s">
        <v>7</v>
      </c>
    </row>
    <row r="12" spans="1:19" x14ac:dyDescent="0.2">
      <c r="A12" s="3" t="s">
        <v>7</v>
      </c>
      <c r="B12" s="3" t="s">
        <v>839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12">
        <v>1.88</v>
      </c>
      <c r="J12" s="3" t="s">
        <v>7</v>
      </c>
      <c r="K12" s="3" t="s">
        <v>7</v>
      </c>
      <c r="L12" s="11">
        <v>0</v>
      </c>
      <c r="M12" s="11">
        <v>1.4999999999999999E-2</v>
      </c>
      <c r="N12" s="3" t="s">
        <v>7</v>
      </c>
      <c r="O12" s="3" t="s">
        <v>7</v>
      </c>
      <c r="P12" s="12">
        <v>96862.42</v>
      </c>
      <c r="Q12" s="11">
        <v>0.86519999999999997</v>
      </c>
      <c r="R12" s="11">
        <v>2.7300000000000001E-2</v>
      </c>
      <c r="S12" s="3" t="s">
        <v>7</v>
      </c>
    </row>
    <row r="13" spans="1:19" x14ac:dyDescent="0.2">
      <c r="A13" s="13" t="s">
        <v>7</v>
      </c>
      <c r="B13" s="13" t="s">
        <v>840</v>
      </c>
      <c r="C13" s="13" t="s">
        <v>7</v>
      </c>
      <c r="D13" s="14">
        <v>124</v>
      </c>
      <c r="E13" s="13" t="s">
        <v>7</v>
      </c>
      <c r="F13" s="13" t="s">
        <v>843</v>
      </c>
      <c r="G13" s="13" t="s">
        <v>7</v>
      </c>
      <c r="H13" s="13" t="s">
        <v>590</v>
      </c>
      <c r="I13" s="16">
        <v>0</v>
      </c>
      <c r="J13" s="13" t="s">
        <v>237</v>
      </c>
      <c r="K13" s="13" t="s">
        <v>88</v>
      </c>
      <c r="L13" s="15">
        <v>0</v>
      </c>
      <c r="M13" s="15">
        <v>0</v>
      </c>
      <c r="N13" s="16">
        <v>0</v>
      </c>
      <c r="O13" s="16">
        <v>0</v>
      </c>
      <c r="P13" s="16">
        <v>38.11</v>
      </c>
      <c r="Q13" s="15">
        <v>2.9999999999999997E-4</v>
      </c>
      <c r="R13" s="15">
        <v>0</v>
      </c>
      <c r="S13" s="13" t="s">
        <v>7</v>
      </c>
    </row>
    <row r="14" spans="1:19" x14ac:dyDescent="0.2">
      <c r="A14" s="13" t="s">
        <v>7</v>
      </c>
      <c r="B14" s="13" t="s">
        <v>841</v>
      </c>
      <c r="C14" s="13" t="s">
        <v>842</v>
      </c>
      <c r="D14" s="14">
        <v>893000109</v>
      </c>
      <c r="E14" s="14">
        <v>99608</v>
      </c>
      <c r="F14" s="13" t="s">
        <v>843</v>
      </c>
      <c r="G14" s="13" t="s">
        <v>844</v>
      </c>
      <c r="H14" s="13" t="s">
        <v>590</v>
      </c>
      <c r="I14" s="16">
        <v>1.88</v>
      </c>
      <c r="J14" s="13" t="s">
        <v>237</v>
      </c>
      <c r="K14" s="13" t="s">
        <v>88</v>
      </c>
      <c r="L14" s="15">
        <v>0</v>
      </c>
      <c r="M14" s="15">
        <v>1.4999999999999999E-2</v>
      </c>
      <c r="N14" s="16">
        <v>94552864.109999999</v>
      </c>
      <c r="O14" s="16">
        <v>102.38</v>
      </c>
      <c r="P14" s="16">
        <v>96803.22</v>
      </c>
      <c r="Q14" s="15">
        <v>0.86470000000000002</v>
      </c>
      <c r="R14" s="15">
        <v>2.7300000000000001E-2</v>
      </c>
      <c r="S14" s="13" t="s">
        <v>7</v>
      </c>
    </row>
    <row r="15" spans="1:19" x14ac:dyDescent="0.2">
      <c r="A15" s="13" t="s">
        <v>7</v>
      </c>
      <c r="B15" s="13" t="s">
        <v>845</v>
      </c>
      <c r="C15" s="13" t="s">
        <v>842</v>
      </c>
      <c r="D15" s="14">
        <v>800069338</v>
      </c>
      <c r="E15" s="14">
        <v>99608</v>
      </c>
      <c r="F15" s="13" t="s">
        <v>843</v>
      </c>
      <c r="G15" s="13" t="s">
        <v>846</v>
      </c>
      <c r="H15" s="13" t="s">
        <v>590</v>
      </c>
      <c r="I15" s="16">
        <v>1.1100000000000001</v>
      </c>
      <c r="J15" s="13" t="s">
        <v>237</v>
      </c>
      <c r="K15" s="13" t="s">
        <v>88</v>
      </c>
      <c r="L15" s="15">
        <v>0</v>
      </c>
      <c r="M15" s="15">
        <v>1.54E-2</v>
      </c>
      <c r="N15" s="16">
        <v>21091.56</v>
      </c>
      <c r="O15" s="16">
        <v>100</v>
      </c>
      <c r="P15" s="16">
        <v>21.09</v>
      </c>
      <c r="Q15" s="15">
        <v>2.0000000000000001E-4</v>
      </c>
      <c r="R15" s="15">
        <v>0</v>
      </c>
      <c r="S15" s="13" t="s">
        <v>7</v>
      </c>
    </row>
    <row r="16" spans="1:19" x14ac:dyDescent="0.2">
      <c r="A16" s="3" t="s">
        <v>7</v>
      </c>
      <c r="B16" s="3" t="s">
        <v>847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3" t="s">
        <v>7</v>
      </c>
      <c r="I16" s="12">
        <v>0</v>
      </c>
      <c r="J16" s="3" t="s">
        <v>7</v>
      </c>
      <c r="K16" s="3" t="s">
        <v>7</v>
      </c>
      <c r="L16" s="11">
        <v>0</v>
      </c>
      <c r="M16" s="11">
        <v>0</v>
      </c>
      <c r="N16" s="3" t="s">
        <v>7</v>
      </c>
      <c r="O16" s="3" t="s">
        <v>7</v>
      </c>
      <c r="P16" s="12">
        <v>0</v>
      </c>
      <c r="Q16" s="11">
        <v>0</v>
      </c>
      <c r="R16" s="11">
        <v>0</v>
      </c>
      <c r="S16" s="3" t="s">
        <v>7</v>
      </c>
    </row>
    <row r="17" spans="1:19" x14ac:dyDescent="0.2">
      <c r="A17" s="3" t="s">
        <v>7</v>
      </c>
      <c r="B17" s="3" t="s">
        <v>848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12">
        <v>0</v>
      </c>
      <c r="J17" s="3" t="s">
        <v>7</v>
      </c>
      <c r="K17" s="3" t="s">
        <v>7</v>
      </c>
      <c r="L17" s="11">
        <v>0</v>
      </c>
      <c r="M17" s="11">
        <v>0</v>
      </c>
      <c r="N17" s="3" t="s">
        <v>7</v>
      </c>
      <c r="O17" s="3" t="s">
        <v>7</v>
      </c>
      <c r="P17" s="12">
        <v>0</v>
      </c>
      <c r="Q17" s="11">
        <v>0</v>
      </c>
      <c r="R17" s="11">
        <v>0</v>
      </c>
      <c r="S17" s="3" t="s">
        <v>7</v>
      </c>
    </row>
    <row r="18" spans="1:19" x14ac:dyDescent="0.2">
      <c r="A18" s="3" t="s">
        <v>7</v>
      </c>
      <c r="B18" s="3" t="s">
        <v>849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12">
        <v>3.35</v>
      </c>
      <c r="J18" s="3" t="s">
        <v>7</v>
      </c>
      <c r="K18" s="3" t="s">
        <v>7</v>
      </c>
      <c r="L18" s="11">
        <v>6.7100000000000007E-2</v>
      </c>
      <c r="M18" s="11">
        <v>3.3999999999999998E-3</v>
      </c>
      <c r="N18" s="3" t="s">
        <v>7</v>
      </c>
      <c r="O18" s="3" t="s">
        <v>7</v>
      </c>
      <c r="P18" s="12">
        <v>15085.58</v>
      </c>
      <c r="Q18" s="11">
        <v>0.13469999999999999</v>
      </c>
      <c r="R18" s="11">
        <v>4.1999999999999997E-3</v>
      </c>
      <c r="S18" s="3" t="s">
        <v>7</v>
      </c>
    </row>
    <row r="19" spans="1:19" x14ac:dyDescent="0.2">
      <c r="A19" s="13" t="s">
        <v>7</v>
      </c>
      <c r="B19" s="13" t="s">
        <v>850</v>
      </c>
      <c r="C19" s="13" t="s">
        <v>842</v>
      </c>
      <c r="D19" s="14">
        <v>100070390</v>
      </c>
      <c r="E19" s="14">
        <v>513927285</v>
      </c>
      <c r="F19" s="13" t="s">
        <v>258</v>
      </c>
      <c r="G19" s="13" t="s">
        <v>653</v>
      </c>
      <c r="H19" s="13" t="s">
        <v>171</v>
      </c>
      <c r="I19" s="16">
        <v>3.35</v>
      </c>
      <c r="J19" s="13" t="s">
        <v>237</v>
      </c>
      <c r="K19" s="13" t="s">
        <v>88</v>
      </c>
      <c r="L19" s="15">
        <v>6.7100000000000007E-2</v>
      </c>
      <c r="M19" s="15">
        <v>3.3999999999999998E-3</v>
      </c>
      <c r="N19" s="16">
        <v>351595.77</v>
      </c>
      <c r="O19" s="16">
        <v>151.31</v>
      </c>
      <c r="P19" s="16">
        <v>532</v>
      </c>
      <c r="Q19" s="15">
        <v>4.7000000000000002E-3</v>
      </c>
      <c r="R19" s="15">
        <v>1E-4</v>
      </c>
      <c r="S19" s="13" t="s">
        <v>7</v>
      </c>
    </row>
    <row r="20" spans="1:19" x14ac:dyDescent="0.2">
      <c r="A20" s="13" t="s">
        <v>7</v>
      </c>
      <c r="B20" s="13" t="s">
        <v>851</v>
      </c>
      <c r="C20" s="13" t="s">
        <v>842</v>
      </c>
      <c r="D20" s="14">
        <v>100073691</v>
      </c>
      <c r="E20" s="14">
        <v>513927285</v>
      </c>
      <c r="F20" s="13" t="s">
        <v>258</v>
      </c>
      <c r="G20" s="13" t="s">
        <v>852</v>
      </c>
      <c r="H20" s="13" t="s">
        <v>171</v>
      </c>
      <c r="I20" s="16">
        <v>3.35</v>
      </c>
      <c r="J20" s="13" t="s">
        <v>237</v>
      </c>
      <c r="K20" s="13" t="s">
        <v>88</v>
      </c>
      <c r="L20" s="15">
        <v>6.7100000000000007E-2</v>
      </c>
      <c r="M20" s="15">
        <v>3.3999999999999998E-3</v>
      </c>
      <c r="N20" s="16">
        <v>438399.14</v>
      </c>
      <c r="O20" s="16">
        <v>140.19</v>
      </c>
      <c r="P20" s="16">
        <v>614.59</v>
      </c>
      <c r="Q20" s="15">
        <v>5.4999999999999997E-3</v>
      </c>
      <c r="R20" s="15">
        <v>2.0000000000000001E-4</v>
      </c>
      <c r="S20" s="13" t="s">
        <v>7</v>
      </c>
    </row>
    <row r="21" spans="1:19" x14ac:dyDescent="0.2">
      <c r="A21" s="13" t="s">
        <v>7</v>
      </c>
      <c r="B21" s="13" t="s">
        <v>850</v>
      </c>
      <c r="C21" s="13" t="s">
        <v>842</v>
      </c>
      <c r="D21" s="14">
        <v>100070887</v>
      </c>
      <c r="E21" s="14">
        <v>513927285</v>
      </c>
      <c r="F21" s="13" t="s">
        <v>258</v>
      </c>
      <c r="G21" s="13" t="s">
        <v>653</v>
      </c>
      <c r="H21" s="13" t="s">
        <v>171</v>
      </c>
      <c r="I21" s="16">
        <v>3.35</v>
      </c>
      <c r="J21" s="13" t="s">
        <v>237</v>
      </c>
      <c r="K21" s="13" t="s">
        <v>88</v>
      </c>
      <c r="L21" s="15">
        <v>6.7100000000000007E-2</v>
      </c>
      <c r="M21" s="15">
        <v>3.5000000000000001E-3</v>
      </c>
      <c r="N21" s="16">
        <v>113713.34</v>
      </c>
      <c r="O21" s="16">
        <v>148.68</v>
      </c>
      <c r="P21" s="16">
        <v>169.07</v>
      </c>
      <c r="Q21" s="15">
        <v>1.5E-3</v>
      </c>
      <c r="R21" s="15">
        <v>0</v>
      </c>
      <c r="S21" s="13" t="s">
        <v>7</v>
      </c>
    </row>
    <row r="22" spans="1:19" x14ac:dyDescent="0.2">
      <c r="A22" s="13" t="s">
        <v>7</v>
      </c>
      <c r="B22" s="13" t="s">
        <v>851</v>
      </c>
      <c r="C22" s="13" t="s">
        <v>842</v>
      </c>
      <c r="D22" s="14">
        <v>100072941</v>
      </c>
      <c r="E22" s="14">
        <v>513927285</v>
      </c>
      <c r="F22" s="13" t="s">
        <v>258</v>
      </c>
      <c r="G22" s="13" t="s">
        <v>852</v>
      </c>
      <c r="H22" s="13" t="s">
        <v>171</v>
      </c>
      <c r="I22" s="16">
        <v>3.35</v>
      </c>
      <c r="J22" s="13" t="s">
        <v>237</v>
      </c>
      <c r="K22" s="13" t="s">
        <v>88</v>
      </c>
      <c r="L22" s="15">
        <v>6.7100000000000007E-2</v>
      </c>
      <c r="M22" s="15">
        <v>3.3999999999999998E-3</v>
      </c>
      <c r="N22" s="16">
        <v>812112.38</v>
      </c>
      <c r="O22" s="16">
        <v>150.6</v>
      </c>
      <c r="P22" s="16">
        <v>1223.04</v>
      </c>
      <c r="Q22" s="15">
        <v>1.09E-2</v>
      </c>
      <c r="R22" s="15">
        <v>2.9999999999999997E-4</v>
      </c>
      <c r="S22" s="13" t="s">
        <v>7</v>
      </c>
    </row>
    <row r="23" spans="1:19" x14ac:dyDescent="0.2">
      <c r="A23" s="13" t="s">
        <v>7</v>
      </c>
      <c r="B23" s="13" t="s">
        <v>851</v>
      </c>
      <c r="C23" s="13" t="s">
        <v>842</v>
      </c>
      <c r="D23" s="14">
        <v>100073022</v>
      </c>
      <c r="E23" s="14">
        <v>513927285</v>
      </c>
      <c r="F23" s="13" t="s">
        <v>258</v>
      </c>
      <c r="G23" s="13" t="s">
        <v>852</v>
      </c>
      <c r="H23" s="13" t="s">
        <v>171</v>
      </c>
      <c r="I23" s="16">
        <v>3.35</v>
      </c>
      <c r="J23" s="13" t="s">
        <v>237</v>
      </c>
      <c r="K23" s="13" t="s">
        <v>88</v>
      </c>
      <c r="L23" s="15">
        <v>6.7100000000000007E-2</v>
      </c>
      <c r="M23" s="15">
        <v>3.3999999999999998E-3</v>
      </c>
      <c r="N23" s="16">
        <v>402921.57</v>
      </c>
      <c r="O23" s="16">
        <v>149.75</v>
      </c>
      <c r="P23" s="16">
        <v>603.37</v>
      </c>
      <c r="Q23" s="15">
        <v>5.4000000000000003E-3</v>
      </c>
      <c r="R23" s="15">
        <v>2.0000000000000001E-4</v>
      </c>
      <c r="S23" s="13" t="s">
        <v>7</v>
      </c>
    </row>
    <row r="24" spans="1:19" x14ac:dyDescent="0.2">
      <c r="A24" s="13" t="s">
        <v>7</v>
      </c>
      <c r="B24" s="13" t="s">
        <v>850</v>
      </c>
      <c r="C24" s="13" t="s">
        <v>842</v>
      </c>
      <c r="D24" s="14">
        <v>100070622</v>
      </c>
      <c r="E24" s="14">
        <v>513927285</v>
      </c>
      <c r="F24" s="13" t="s">
        <v>258</v>
      </c>
      <c r="G24" s="13" t="s">
        <v>653</v>
      </c>
      <c r="H24" s="13" t="s">
        <v>171</v>
      </c>
      <c r="I24" s="16">
        <v>3.35</v>
      </c>
      <c r="J24" s="13" t="s">
        <v>237</v>
      </c>
      <c r="K24" s="13" t="s">
        <v>88</v>
      </c>
      <c r="L24" s="15">
        <v>6.7100000000000007E-2</v>
      </c>
      <c r="M24" s="15">
        <v>3.3999999999999998E-3</v>
      </c>
      <c r="N24" s="16">
        <v>476696.01</v>
      </c>
      <c r="O24" s="16">
        <v>149.75</v>
      </c>
      <c r="P24" s="16">
        <v>713.85</v>
      </c>
      <c r="Q24" s="15">
        <v>6.4000000000000003E-3</v>
      </c>
      <c r="R24" s="15">
        <v>2.0000000000000001E-4</v>
      </c>
      <c r="S24" s="13" t="s">
        <v>7</v>
      </c>
    </row>
    <row r="25" spans="1:19" x14ac:dyDescent="0.2">
      <c r="A25" s="13" t="s">
        <v>7</v>
      </c>
      <c r="B25" s="13" t="s">
        <v>850</v>
      </c>
      <c r="C25" s="13" t="s">
        <v>842</v>
      </c>
      <c r="D25" s="14">
        <v>100070705</v>
      </c>
      <c r="E25" s="14">
        <v>513927285</v>
      </c>
      <c r="F25" s="13" t="s">
        <v>258</v>
      </c>
      <c r="G25" s="13" t="s">
        <v>653</v>
      </c>
      <c r="H25" s="13" t="s">
        <v>171</v>
      </c>
      <c r="I25" s="16">
        <v>3.35</v>
      </c>
      <c r="J25" s="13" t="s">
        <v>237</v>
      </c>
      <c r="K25" s="13" t="s">
        <v>88</v>
      </c>
      <c r="L25" s="15">
        <v>6.7100000000000007E-2</v>
      </c>
      <c r="M25" s="15">
        <v>3.5000000000000001E-3</v>
      </c>
      <c r="N25" s="16">
        <v>447727.06</v>
      </c>
      <c r="O25" s="16">
        <v>150.91999999999999</v>
      </c>
      <c r="P25" s="16">
        <v>675.71</v>
      </c>
      <c r="Q25" s="15">
        <v>6.0000000000000001E-3</v>
      </c>
      <c r="R25" s="15">
        <v>2.0000000000000001E-4</v>
      </c>
      <c r="S25" s="13" t="s">
        <v>7</v>
      </c>
    </row>
    <row r="26" spans="1:19" x14ac:dyDescent="0.2">
      <c r="A26" s="13" t="s">
        <v>7</v>
      </c>
      <c r="B26" s="13" t="s">
        <v>850</v>
      </c>
      <c r="C26" s="13" t="s">
        <v>842</v>
      </c>
      <c r="D26" s="14">
        <v>100071208</v>
      </c>
      <c r="E26" s="14">
        <v>513927285</v>
      </c>
      <c r="F26" s="13" t="s">
        <v>258</v>
      </c>
      <c r="G26" s="13" t="s">
        <v>653</v>
      </c>
      <c r="H26" s="13" t="s">
        <v>171</v>
      </c>
      <c r="I26" s="16">
        <v>3.35</v>
      </c>
      <c r="J26" s="13" t="s">
        <v>237</v>
      </c>
      <c r="K26" s="13" t="s">
        <v>88</v>
      </c>
      <c r="L26" s="15">
        <v>6.7100000000000007E-2</v>
      </c>
      <c r="M26" s="15">
        <v>3.5000000000000001E-3</v>
      </c>
      <c r="N26" s="16">
        <v>564724.81000000006</v>
      </c>
      <c r="O26" s="16">
        <v>140.87</v>
      </c>
      <c r="P26" s="16">
        <v>795.53</v>
      </c>
      <c r="Q26" s="15">
        <v>7.1000000000000004E-3</v>
      </c>
      <c r="R26" s="15">
        <v>2.0000000000000001E-4</v>
      </c>
      <c r="S26" s="13" t="s">
        <v>7</v>
      </c>
    </row>
    <row r="27" spans="1:19" x14ac:dyDescent="0.2">
      <c r="A27" s="13" t="s">
        <v>7</v>
      </c>
      <c r="B27" s="13" t="s">
        <v>851</v>
      </c>
      <c r="C27" s="13" t="s">
        <v>842</v>
      </c>
      <c r="D27" s="14">
        <v>100073360</v>
      </c>
      <c r="E27" s="14">
        <v>513927285</v>
      </c>
      <c r="F27" s="13" t="s">
        <v>258</v>
      </c>
      <c r="G27" s="13" t="s">
        <v>852</v>
      </c>
      <c r="H27" s="13" t="s">
        <v>171</v>
      </c>
      <c r="I27" s="16">
        <v>3.35</v>
      </c>
      <c r="J27" s="13" t="s">
        <v>237</v>
      </c>
      <c r="K27" s="13" t="s">
        <v>88</v>
      </c>
      <c r="L27" s="15">
        <v>6.7100000000000007E-2</v>
      </c>
      <c r="M27" s="15">
        <v>3.5000000000000001E-3</v>
      </c>
      <c r="N27" s="16">
        <v>676571.71</v>
      </c>
      <c r="O27" s="16">
        <v>138.4</v>
      </c>
      <c r="P27" s="16">
        <v>936.37</v>
      </c>
      <c r="Q27" s="15">
        <v>8.3999999999999995E-3</v>
      </c>
      <c r="R27" s="15">
        <v>2.9999999999999997E-4</v>
      </c>
      <c r="S27" s="13" t="s">
        <v>7</v>
      </c>
    </row>
    <row r="28" spans="1:19" x14ac:dyDescent="0.2">
      <c r="A28" s="13" t="s">
        <v>7</v>
      </c>
      <c r="B28" s="13" t="s">
        <v>851</v>
      </c>
      <c r="C28" s="13" t="s">
        <v>842</v>
      </c>
      <c r="D28" s="14">
        <v>100073774</v>
      </c>
      <c r="E28" s="14">
        <v>513927285</v>
      </c>
      <c r="F28" s="13" t="s">
        <v>258</v>
      </c>
      <c r="G28" s="13" t="s">
        <v>852</v>
      </c>
      <c r="H28" s="13" t="s">
        <v>171</v>
      </c>
      <c r="I28" s="16">
        <v>3.35</v>
      </c>
      <c r="J28" s="13" t="s">
        <v>237</v>
      </c>
      <c r="K28" s="13" t="s">
        <v>88</v>
      </c>
      <c r="L28" s="15">
        <v>6.7100000000000007E-2</v>
      </c>
      <c r="M28" s="15">
        <v>3.5000000000000001E-3</v>
      </c>
      <c r="N28" s="16">
        <v>264211.68</v>
      </c>
      <c r="O28" s="16">
        <v>141.16999999999999</v>
      </c>
      <c r="P28" s="16">
        <v>372.99</v>
      </c>
      <c r="Q28" s="15">
        <v>3.3E-3</v>
      </c>
      <c r="R28" s="15">
        <v>1E-4</v>
      </c>
      <c r="S28" s="13" t="s">
        <v>7</v>
      </c>
    </row>
    <row r="29" spans="1:19" x14ac:dyDescent="0.2">
      <c r="A29" s="13" t="s">
        <v>7</v>
      </c>
      <c r="B29" s="13" t="s">
        <v>850</v>
      </c>
      <c r="C29" s="13" t="s">
        <v>842</v>
      </c>
      <c r="D29" s="14">
        <v>100071042</v>
      </c>
      <c r="E29" s="14">
        <v>513927285</v>
      </c>
      <c r="F29" s="13" t="s">
        <v>258</v>
      </c>
      <c r="G29" s="13" t="s">
        <v>653</v>
      </c>
      <c r="H29" s="13" t="s">
        <v>171</v>
      </c>
      <c r="I29" s="16">
        <v>3.35</v>
      </c>
      <c r="J29" s="13" t="s">
        <v>237</v>
      </c>
      <c r="K29" s="13" t="s">
        <v>88</v>
      </c>
      <c r="L29" s="15">
        <v>6.7100000000000007E-2</v>
      </c>
      <c r="M29" s="15">
        <v>3.3999999999999998E-3</v>
      </c>
      <c r="N29" s="16">
        <v>978832.33</v>
      </c>
      <c r="O29" s="16">
        <v>147.66</v>
      </c>
      <c r="P29" s="16">
        <v>1445.34</v>
      </c>
      <c r="Q29" s="15">
        <v>1.29E-2</v>
      </c>
      <c r="R29" s="15">
        <v>4.0000000000000002E-4</v>
      </c>
      <c r="S29" s="13" t="s">
        <v>7</v>
      </c>
    </row>
    <row r="30" spans="1:19" x14ac:dyDescent="0.2">
      <c r="A30" s="13" t="s">
        <v>7</v>
      </c>
      <c r="B30" s="13" t="s">
        <v>850</v>
      </c>
      <c r="C30" s="13" t="s">
        <v>842</v>
      </c>
      <c r="D30" s="14">
        <v>100071125</v>
      </c>
      <c r="E30" s="14">
        <v>513927285</v>
      </c>
      <c r="F30" s="13" t="s">
        <v>258</v>
      </c>
      <c r="G30" s="13" t="s">
        <v>653</v>
      </c>
      <c r="H30" s="13" t="s">
        <v>171</v>
      </c>
      <c r="I30" s="16">
        <v>3.35</v>
      </c>
      <c r="J30" s="13" t="s">
        <v>237</v>
      </c>
      <c r="K30" s="13" t="s">
        <v>88</v>
      </c>
      <c r="L30" s="15">
        <v>6.7100000000000007E-2</v>
      </c>
      <c r="M30" s="15">
        <v>3.3999999999999998E-3</v>
      </c>
      <c r="N30" s="16">
        <v>725735.93</v>
      </c>
      <c r="O30" s="16">
        <v>145.09</v>
      </c>
      <c r="P30" s="16">
        <v>1052.97</v>
      </c>
      <c r="Q30" s="15">
        <v>9.4000000000000004E-3</v>
      </c>
      <c r="R30" s="15">
        <v>2.9999999999999997E-4</v>
      </c>
      <c r="S30" s="13" t="s">
        <v>7</v>
      </c>
    </row>
    <row r="31" spans="1:19" x14ac:dyDescent="0.2">
      <c r="A31" s="13" t="s">
        <v>7</v>
      </c>
      <c r="B31" s="13" t="s">
        <v>851</v>
      </c>
      <c r="C31" s="13" t="s">
        <v>842</v>
      </c>
      <c r="D31" s="14">
        <v>100073287</v>
      </c>
      <c r="E31" s="14">
        <v>513927285</v>
      </c>
      <c r="F31" s="13" t="s">
        <v>258</v>
      </c>
      <c r="G31" s="13" t="s">
        <v>852</v>
      </c>
      <c r="H31" s="13" t="s">
        <v>171</v>
      </c>
      <c r="I31" s="16">
        <v>3.35</v>
      </c>
      <c r="J31" s="13" t="s">
        <v>237</v>
      </c>
      <c r="K31" s="13" t="s">
        <v>88</v>
      </c>
      <c r="L31" s="15">
        <v>6.7100000000000007E-2</v>
      </c>
      <c r="M31" s="15">
        <v>3.3999999999999998E-3</v>
      </c>
      <c r="N31" s="16">
        <v>702583.43</v>
      </c>
      <c r="O31" s="16">
        <v>138.66</v>
      </c>
      <c r="P31" s="16">
        <v>974.2</v>
      </c>
      <c r="Q31" s="15">
        <v>8.6999999999999994E-3</v>
      </c>
      <c r="R31" s="15">
        <v>2.9999999999999997E-4</v>
      </c>
      <c r="S31" s="13" t="s">
        <v>7</v>
      </c>
    </row>
    <row r="32" spans="1:19" x14ac:dyDescent="0.2">
      <c r="A32" s="13" t="s">
        <v>7</v>
      </c>
      <c r="B32" s="13" t="s">
        <v>851</v>
      </c>
      <c r="C32" s="13" t="s">
        <v>842</v>
      </c>
      <c r="D32" s="14">
        <v>100073857</v>
      </c>
      <c r="E32" s="14">
        <v>513927285</v>
      </c>
      <c r="F32" s="13" t="s">
        <v>258</v>
      </c>
      <c r="G32" s="13" t="s">
        <v>852</v>
      </c>
      <c r="H32" s="13" t="s">
        <v>171</v>
      </c>
      <c r="I32" s="16">
        <v>3.35</v>
      </c>
      <c r="J32" s="13" t="s">
        <v>237</v>
      </c>
      <c r="K32" s="13" t="s">
        <v>88</v>
      </c>
      <c r="L32" s="15">
        <v>6.7100000000000007E-2</v>
      </c>
      <c r="M32" s="15">
        <v>3.3999999999999998E-3</v>
      </c>
      <c r="N32" s="16">
        <v>265675.03999999998</v>
      </c>
      <c r="O32" s="16">
        <v>141.6</v>
      </c>
      <c r="P32" s="16">
        <v>376.2</v>
      </c>
      <c r="Q32" s="15">
        <v>3.3999999999999998E-3</v>
      </c>
      <c r="R32" s="15">
        <v>1E-4</v>
      </c>
      <c r="S32" s="13" t="s">
        <v>7</v>
      </c>
    </row>
    <row r="33" spans="1:19" x14ac:dyDescent="0.2">
      <c r="A33" s="13" t="s">
        <v>7</v>
      </c>
      <c r="B33" s="13" t="s">
        <v>850</v>
      </c>
      <c r="C33" s="13" t="s">
        <v>842</v>
      </c>
      <c r="D33" s="14">
        <v>100070960</v>
      </c>
      <c r="E33" s="14">
        <v>513927285</v>
      </c>
      <c r="F33" s="13" t="s">
        <v>258</v>
      </c>
      <c r="G33" s="13" t="s">
        <v>653</v>
      </c>
      <c r="H33" s="13" t="s">
        <v>171</v>
      </c>
      <c r="I33" s="16">
        <v>3.35</v>
      </c>
      <c r="J33" s="13" t="s">
        <v>237</v>
      </c>
      <c r="K33" s="13" t="s">
        <v>88</v>
      </c>
      <c r="L33" s="15">
        <v>6.7100000000000007E-2</v>
      </c>
      <c r="M33" s="15">
        <v>3.3999999999999998E-3</v>
      </c>
      <c r="N33" s="16">
        <v>1473737.9</v>
      </c>
      <c r="O33" s="16">
        <v>147.22999999999999</v>
      </c>
      <c r="P33" s="16">
        <v>2169.7800000000002</v>
      </c>
      <c r="Q33" s="15">
        <v>1.9400000000000001E-2</v>
      </c>
      <c r="R33" s="15">
        <v>5.9999999999999995E-4</v>
      </c>
      <c r="S33" s="13" t="s">
        <v>7</v>
      </c>
    </row>
    <row r="34" spans="1:19" x14ac:dyDescent="0.2">
      <c r="A34" s="13" t="s">
        <v>7</v>
      </c>
      <c r="B34" s="13" t="s">
        <v>851</v>
      </c>
      <c r="C34" s="13" t="s">
        <v>842</v>
      </c>
      <c r="D34" s="14">
        <v>100073519</v>
      </c>
      <c r="E34" s="14">
        <v>513927285</v>
      </c>
      <c r="F34" s="13" t="s">
        <v>258</v>
      </c>
      <c r="G34" s="13" t="s">
        <v>852</v>
      </c>
      <c r="H34" s="13" t="s">
        <v>171</v>
      </c>
      <c r="I34" s="16">
        <v>3.35</v>
      </c>
      <c r="J34" s="13" t="s">
        <v>237</v>
      </c>
      <c r="K34" s="13" t="s">
        <v>88</v>
      </c>
      <c r="L34" s="15">
        <v>6.7100000000000007E-2</v>
      </c>
      <c r="M34" s="15">
        <v>3.5000000000000001E-3</v>
      </c>
      <c r="N34" s="16">
        <v>618018.39</v>
      </c>
      <c r="O34" s="16">
        <v>138.66999999999999</v>
      </c>
      <c r="P34" s="16">
        <v>857.01</v>
      </c>
      <c r="Q34" s="15">
        <v>7.7000000000000002E-3</v>
      </c>
      <c r="R34" s="15">
        <v>2.0000000000000001E-4</v>
      </c>
      <c r="S34" s="13" t="s">
        <v>7</v>
      </c>
    </row>
    <row r="35" spans="1:19" x14ac:dyDescent="0.2">
      <c r="A35" s="13" t="s">
        <v>7</v>
      </c>
      <c r="B35" s="13" t="s">
        <v>851</v>
      </c>
      <c r="C35" s="13" t="s">
        <v>842</v>
      </c>
      <c r="D35" s="14">
        <v>100072867</v>
      </c>
      <c r="E35" s="14">
        <v>513927285</v>
      </c>
      <c r="F35" s="13" t="s">
        <v>258</v>
      </c>
      <c r="G35" s="13" t="s">
        <v>852</v>
      </c>
      <c r="H35" s="13" t="s">
        <v>171</v>
      </c>
      <c r="I35" s="16">
        <v>3.35</v>
      </c>
      <c r="J35" s="13" t="s">
        <v>237</v>
      </c>
      <c r="K35" s="13" t="s">
        <v>88</v>
      </c>
      <c r="L35" s="15">
        <v>6.7100000000000007E-2</v>
      </c>
      <c r="M35" s="15">
        <v>3.3999999999999998E-3</v>
      </c>
      <c r="N35" s="16">
        <v>31249.75</v>
      </c>
      <c r="O35" s="16">
        <v>149.88999999999999</v>
      </c>
      <c r="P35" s="16">
        <v>46.84</v>
      </c>
      <c r="Q35" s="15">
        <v>4.0000000000000002E-4</v>
      </c>
      <c r="R35" s="15">
        <v>0</v>
      </c>
      <c r="S35" s="13" t="s">
        <v>7</v>
      </c>
    </row>
    <row r="36" spans="1:19" x14ac:dyDescent="0.2">
      <c r="A36" s="13" t="s">
        <v>7</v>
      </c>
      <c r="B36" s="13" t="s">
        <v>851</v>
      </c>
      <c r="C36" s="13" t="s">
        <v>842</v>
      </c>
      <c r="D36" s="14">
        <v>100073444</v>
      </c>
      <c r="E36" s="14">
        <v>513927285</v>
      </c>
      <c r="F36" s="13" t="s">
        <v>258</v>
      </c>
      <c r="G36" s="13" t="s">
        <v>852</v>
      </c>
      <c r="H36" s="13" t="s">
        <v>171</v>
      </c>
      <c r="I36" s="16">
        <v>3.35</v>
      </c>
      <c r="J36" s="13" t="s">
        <v>237</v>
      </c>
      <c r="K36" s="13" t="s">
        <v>88</v>
      </c>
      <c r="L36" s="15">
        <v>6.7100000000000007E-2</v>
      </c>
      <c r="M36" s="15">
        <v>3.3999999999999998E-3</v>
      </c>
      <c r="N36" s="16">
        <v>596110.04</v>
      </c>
      <c r="O36" s="16">
        <v>137.99</v>
      </c>
      <c r="P36" s="16">
        <v>822.57</v>
      </c>
      <c r="Q36" s="15">
        <v>7.3000000000000001E-3</v>
      </c>
      <c r="R36" s="15">
        <v>2.0000000000000001E-4</v>
      </c>
      <c r="S36" s="13" t="s">
        <v>7</v>
      </c>
    </row>
    <row r="37" spans="1:19" x14ac:dyDescent="0.2">
      <c r="A37" s="13" t="s">
        <v>7</v>
      </c>
      <c r="B37" s="13" t="s">
        <v>851</v>
      </c>
      <c r="C37" s="13" t="s">
        <v>842</v>
      </c>
      <c r="D37" s="14">
        <v>100073105</v>
      </c>
      <c r="E37" s="14">
        <v>513927285</v>
      </c>
      <c r="F37" s="13" t="s">
        <v>258</v>
      </c>
      <c r="G37" s="13" t="s">
        <v>852</v>
      </c>
      <c r="H37" s="13" t="s">
        <v>171</v>
      </c>
      <c r="I37" s="16">
        <v>3.35</v>
      </c>
      <c r="J37" s="13" t="s">
        <v>237</v>
      </c>
      <c r="K37" s="13" t="s">
        <v>88</v>
      </c>
      <c r="L37" s="15">
        <v>6.7100000000000007E-2</v>
      </c>
      <c r="M37" s="15">
        <v>3.3999999999999998E-3</v>
      </c>
      <c r="N37" s="16">
        <v>470204.06</v>
      </c>
      <c r="O37" s="16">
        <v>149.75</v>
      </c>
      <c r="P37" s="16">
        <v>704.13</v>
      </c>
      <c r="Q37" s="15">
        <v>6.3E-3</v>
      </c>
      <c r="R37" s="15">
        <v>2.0000000000000001E-4</v>
      </c>
      <c r="S37" s="13" t="s">
        <v>7</v>
      </c>
    </row>
    <row r="38" spans="1:19" x14ac:dyDescent="0.2">
      <c r="A38" s="13" t="s">
        <v>7</v>
      </c>
      <c r="B38" s="13" t="s">
        <v>853</v>
      </c>
      <c r="C38" s="13" t="s">
        <v>842</v>
      </c>
      <c r="D38" s="14">
        <v>62008149</v>
      </c>
      <c r="E38" s="22">
        <v>520044322</v>
      </c>
      <c r="F38" s="13" t="s">
        <v>854</v>
      </c>
      <c r="G38" s="13" t="s">
        <v>855</v>
      </c>
      <c r="H38" s="13" t="s">
        <v>590</v>
      </c>
      <c r="I38" s="16">
        <v>0.3</v>
      </c>
      <c r="J38" s="13" t="s">
        <v>237</v>
      </c>
      <c r="K38" s="13" t="s">
        <v>48</v>
      </c>
      <c r="L38" s="15">
        <v>6.0999999999999999E-2</v>
      </c>
      <c r="M38" s="15">
        <v>6.0999999999999999E-2</v>
      </c>
      <c r="N38" s="16">
        <v>0.01</v>
      </c>
      <c r="O38" s="16">
        <v>101.22</v>
      </c>
      <c r="P38" s="16">
        <v>0</v>
      </c>
      <c r="Q38" s="15">
        <v>0</v>
      </c>
      <c r="R38" s="15">
        <v>0</v>
      </c>
      <c r="S38" s="13" t="s">
        <v>7</v>
      </c>
    </row>
    <row r="39" spans="1:19" x14ac:dyDescent="0.2">
      <c r="A39" s="13" t="s">
        <v>7</v>
      </c>
      <c r="B39" s="13" t="s">
        <v>856</v>
      </c>
      <c r="C39" s="13" t="s">
        <v>842</v>
      </c>
      <c r="D39" s="14">
        <v>62010731</v>
      </c>
      <c r="E39" s="22">
        <v>550013098</v>
      </c>
      <c r="F39" s="13" t="s">
        <v>854</v>
      </c>
      <c r="G39" s="13" t="s">
        <v>781</v>
      </c>
      <c r="H39" s="13" t="s">
        <v>590</v>
      </c>
      <c r="I39" s="16">
        <v>0.31</v>
      </c>
      <c r="J39" s="13" t="s">
        <v>237</v>
      </c>
      <c r="K39" s="13" t="s">
        <v>48</v>
      </c>
      <c r="L39" s="15">
        <v>6.5299999999999997E-2</v>
      </c>
      <c r="M39" s="15">
        <v>6.5299999999999997E-2</v>
      </c>
      <c r="N39" s="16">
        <v>0.44</v>
      </c>
      <c r="O39" s="16">
        <v>101.25</v>
      </c>
      <c r="P39" s="16">
        <v>0</v>
      </c>
      <c r="Q39" s="15">
        <v>0</v>
      </c>
      <c r="R39" s="15">
        <v>0</v>
      </c>
      <c r="S39" s="13" t="s">
        <v>7</v>
      </c>
    </row>
    <row r="40" spans="1:19" x14ac:dyDescent="0.2">
      <c r="A40" s="13" t="s">
        <v>7</v>
      </c>
      <c r="B40" s="13" t="s">
        <v>857</v>
      </c>
      <c r="C40" s="13" t="s">
        <v>842</v>
      </c>
      <c r="D40" s="14">
        <v>62013719</v>
      </c>
      <c r="E40" s="22">
        <v>550013098</v>
      </c>
      <c r="F40" s="13" t="s">
        <v>854</v>
      </c>
      <c r="G40" s="13" t="s">
        <v>858</v>
      </c>
      <c r="H40" s="13" t="s">
        <v>590</v>
      </c>
      <c r="I40" s="16">
        <v>1.04</v>
      </c>
      <c r="J40" s="13" t="s">
        <v>237</v>
      </c>
      <c r="K40" s="13" t="s">
        <v>48</v>
      </c>
      <c r="L40" s="15">
        <v>6.5299999999999997E-2</v>
      </c>
      <c r="M40" s="15">
        <v>6.5299999999999997E-2</v>
      </c>
      <c r="N40" s="16">
        <v>0.11</v>
      </c>
      <c r="O40" s="16">
        <v>100.16</v>
      </c>
      <c r="P40" s="16">
        <v>0</v>
      </c>
      <c r="Q40" s="15">
        <v>0</v>
      </c>
      <c r="R40" s="15">
        <v>0</v>
      </c>
      <c r="S40" s="13" t="s">
        <v>7</v>
      </c>
    </row>
    <row r="41" spans="1:19" x14ac:dyDescent="0.2">
      <c r="A41" s="13" t="s">
        <v>7</v>
      </c>
      <c r="B41" s="13" t="s">
        <v>859</v>
      </c>
      <c r="C41" s="13" t="s">
        <v>842</v>
      </c>
      <c r="D41" s="14">
        <v>62016175</v>
      </c>
      <c r="E41" s="14">
        <v>513009043</v>
      </c>
      <c r="F41" s="13" t="s">
        <v>860</v>
      </c>
      <c r="G41" s="13" t="s">
        <v>861</v>
      </c>
      <c r="H41" s="13" t="s">
        <v>87</v>
      </c>
      <c r="I41" s="16">
        <v>0.46</v>
      </c>
      <c r="J41" s="13" t="s">
        <v>237</v>
      </c>
      <c r="K41" s="13" t="s">
        <v>48</v>
      </c>
      <c r="L41" s="15">
        <v>4.4999999999999998E-2</v>
      </c>
      <c r="M41" s="15">
        <v>4.4999999999999998E-2</v>
      </c>
      <c r="N41" s="16">
        <v>0.01</v>
      </c>
      <c r="O41" s="16">
        <v>100.85</v>
      </c>
      <c r="P41" s="16">
        <v>0</v>
      </c>
      <c r="Q41" s="15">
        <v>0</v>
      </c>
      <c r="R41" s="15">
        <v>0</v>
      </c>
      <c r="S41" s="13" t="s">
        <v>7</v>
      </c>
    </row>
    <row r="42" spans="1:19" x14ac:dyDescent="0.2">
      <c r="A42" s="3" t="s">
        <v>7</v>
      </c>
      <c r="B42" s="3" t="s">
        <v>862</v>
      </c>
      <c r="C42" s="3" t="s">
        <v>7</v>
      </c>
      <c r="D42" s="3" t="s">
        <v>7</v>
      </c>
      <c r="E42" s="3" t="s">
        <v>7</v>
      </c>
      <c r="F42" s="3" t="s">
        <v>7</v>
      </c>
      <c r="G42" s="3" t="s">
        <v>7</v>
      </c>
      <c r="H42" s="3" t="s">
        <v>7</v>
      </c>
      <c r="I42" s="12">
        <v>0</v>
      </c>
      <c r="J42" s="3" t="s">
        <v>7</v>
      </c>
      <c r="K42" s="3" t="s">
        <v>7</v>
      </c>
      <c r="L42" s="11">
        <v>0</v>
      </c>
      <c r="M42" s="11">
        <v>0</v>
      </c>
      <c r="N42" s="3" t="s">
        <v>7</v>
      </c>
      <c r="O42" s="3" t="s">
        <v>7</v>
      </c>
      <c r="P42" s="12">
        <v>0</v>
      </c>
      <c r="Q42" s="11">
        <v>0</v>
      </c>
      <c r="R42" s="11">
        <v>0</v>
      </c>
      <c r="S42" s="3" t="s">
        <v>7</v>
      </c>
    </row>
    <row r="43" spans="1:19" x14ac:dyDescent="0.2">
      <c r="A43" s="3" t="s">
        <v>7</v>
      </c>
      <c r="B43" s="3" t="s">
        <v>863</v>
      </c>
      <c r="C43" s="3" t="s">
        <v>7</v>
      </c>
      <c r="D43" s="3" t="s">
        <v>7</v>
      </c>
      <c r="E43" s="3" t="s">
        <v>7</v>
      </c>
      <c r="F43" s="3" t="s">
        <v>7</v>
      </c>
      <c r="G43" s="3" t="s">
        <v>7</v>
      </c>
      <c r="H43" s="3" t="s">
        <v>7</v>
      </c>
      <c r="I43" s="12">
        <v>0</v>
      </c>
      <c r="J43" s="3" t="s">
        <v>7</v>
      </c>
      <c r="K43" s="3" t="s">
        <v>7</v>
      </c>
      <c r="L43" s="11">
        <v>0</v>
      </c>
      <c r="M43" s="11">
        <v>0</v>
      </c>
      <c r="N43" s="3" t="s">
        <v>7</v>
      </c>
      <c r="O43" s="3" t="s">
        <v>7</v>
      </c>
      <c r="P43" s="12">
        <v>0</v>
      </c>
      <c r="Q43" s="11">
        <v>0</v>
      </c>
      <c r="R43" s="11">
        <v>0</v>
      </c>
      <c r="S43" s="3" t="s">
        <v>7</v>
      </c>
    </row>
    <row r="44" spans="1:19" x14ac:dyDescent="0.2">
      <c r="A44" s="3" t="s">
        <v>7</v>
      </c>
      <c r="B44" s="3" t="s">
        <v>864</v>
      </c>
      <c r="C44" s="3" t="s">
        <v>7</v>
      </c>
      <c r="D44" s="3" t="s">
        <v>7</v>
      </c>
      <c r="E44" s="3" t="s">
        <v>7</v>
      </c>
      <c r="F44" s="3" t="s">
        <v>7</v>
      </c>
      <c r="G44" s="3" t="s">
        <v>7</v>
      </c>
      <c r="H44" s="3" t="s">
        <v>7</v>
      </c>
      <c r="I44" s="3" t="s">
        <v>7</v>
      </c>
      <c r="J44" s="3" t="s">
        <v>7</v>
      </c>
      <c r="K44" s="3" t="s">
        <v>7</v>
      </c>
      <c r="L44" s="3" t="s">
        <v>7</v>
      </c>
      <c r="M44" s="3" t="s">
        <v>7</v>
      </c>
      <c r="N44" s="3" t="s">
        <v>7</v>
      </c>
      <c r="O44" s="3" t="s">
        <v>7</v>
      </c>
      <c r="P44" s="3" t="s">
        <v>7</v>
      </c>
      <c r="Q44" s="3" t="s">
        <v>7</v>
      </c>
      <c r="R44" s="3" t="s">
        <v>7</v>
      </c>
      <c r="S44" s="3" t="s">
        <v>7</v>
      </c>
    </row>
    <row r="45" spans="1:19" x14ac:dyDescent="0.2">
      <c r="A45" s="3" t="s">
        <v>7</v>
      </c>
      <c r="B45" s="3" t="s">
        <v>865</v>
      </c>
      <c r="C45" s="3" t="s">
        <v>7</v>
      </c>
      <c r="D45" s="3" t="s">
        <v>7</v>
      </c>
      <c r="E45" s="3" t="s">
        <v>7</v>
      </c>
      <c r="F45" s="3" t="s">
        <v>7</v>
      </c>
      <c r="G45" s="3" t="s">
        <v>7</v>
      </c>
      <c r="H45" s="3" t="s">
        <v>7</v>
      </c>
      <c r="I45" s="3" t="s">
        <v>7</v>
      </c>
      <c r="J45" s="3" t="s">
        <v>7</v>
      </c>
      <c r="K45" s="3" t="s">
        <v>7</v>
      </c>
      <c r="L45" s="3" t="s">
        <v>7</v>
      </c>
      <c r="M45" s="3" t="s">
        <v>7</v>
      </c>
      <c r="N45" s="3" t="s">
        <v>7</v>
      </c>
      <c r="O45" s="3" t="s">
        <v>7</v>
      </c>
      <c r="P45" s="3" t="s">
        <v>7</v>
      </c>
      <c r="Q45" s="3" t="s">
        <v>7</v>
      </c>
      <c r="R45" s="3" t="s">
        <v>7</v>
      </c>
      <c r="S45" s="3" t="s">
        <v>7</v>
      </c>
    </row>
    <row r="46" spans="1:19" x14ac:dyDescent="0.2">
      <c r="A46" s="3" t="s">
        <v>7</v>
      </c>
      <c r="B46" s="3" t="s">
        <v>866</v>
      </c>
      <c r="C46" s="3" t="s">
        <v>7</v>
      </c>
      <c r="D46" s="3" t="s">
        <v>7</v>
      </c>
      <c r="E46" s="3" t="s">
        <v>7</v>
      </c>
      <c r="F46" s="3" t="s">
        <v>7</v>
      </c>
      <c r="G46" s="3" t="s">
        <v>7</v>
      </c>
      <c r="H46" s="3" t="s">
        <v>7</v>
      </c>
      <c r="I46" s="12">
        <v>0</v>
      </c>
      <c r="J46" s="3" t="s">
        <v>7</v>
      </c>
      <c r="K46" s="3" t="s">
        <v>7</v>
      </c>
      <c r="L46" s="11">
        <v>0</v>
      </c>
      <c r="M46" s="11">
        <v>0</v>
      </c>
      <c r="N46" s="3" t="s">
        <v>7</v>
      </c>
      <c r="O46" s="3" t="s">
        <v>7</v>
      </c>
      <c r="P46" s="12">
        <v>0</v>
      </c>
      <c r="Q46" s="11">
        <v>0</v>
      </c>
      <c r="R46" s="11">
        <v>0</v>
      </c>
      <c r="S46" s="3" t="s">
        <v>7</v>
      </c>
    </row>
    <row r="47" spans="1:19" x14ac:dyDescent="0.2">
      <c r="A47" s="3" t="s">
        <v>7</v>
      </c>
      <c r="B47" s="3" t="s">
        <v>867</v>
      </c>
      <c r="C47" s="3" t="s">
        <v>7</v>
      </c>
      <c r="D47" s="3" t="s">
        <v>7</v>
      </c>
      <c r="E47" s="3" t="s">
        <v>7</v>
      </c>
      <c r="F47" s="3" t="s">
        <v>7</v>
      </c>
      <c r="G47" s="3" t="s">
        <v>7</v>
      </c>
      <c r="H47" s="3" t="s">
        <v>7</v>
      </c>
      <c r="I47" s="12">
        <v>0</v>
      </c>
      <c r="J47" s="3" t="s">
        <v>7</v>
      </c>
      <c r="K47" s="3" t="s">
        <v>7</v>
      </c>
      <c r="L47" s="11">
        <v>0</v>
      </c>
      <c r="M47" s="11">
        <v>0</v>
      </c>
      <c r="N47" s="3" t="s">
        <v>7</v>
      </c>
      <c r="O47" s="3" t="s">
        <v>7</v>
      </c>
      <c r="P47" s="12">
        <v>1.66</v>
      </c>
      <c r="Q47" s="11">
        <v>0</v>
      </c>
      <c r="R47" s="11">
        <v>0</v>
      </c>
      <c r="S47" s="3" t="s">
        <v>7</v>
      </c>
    </row>
    <row r="48" spans="1:19" x14ac:dyDescent="0.2">
      <c r="A48" s="13" t="s">
        <v>7</v>
      </c>
      <c r="B48" s="13" t="s">
        <v>868</v>
      </c>
      <c r="C48" s="13" t="s">
        <v>842</v>
      </c>
      <c r="D48" s="14">
        <v>100081363</v>
      </c>
      <c r="E48" s="14">
        <v>520018136</v>
      </c>
      <c r="F48" s="13" t="s">
        <v>148</v>
      </c>
      <c r="G48" s="13" t="s">
        <v>653</v>
      </c>
      <c r="H48" s="13" t="s">
        <v>129</v>
      </c>
      <c r="I48" s="16">
        <v>0</v>
      </c>
      <c r="J48" s="13" t="s">
        <v>671</v>
      </c>
      <c r="K48" s="13" t="s">
        <v>88</v>
      </c>
      <c r="L48" s="15">
        <v>0</v>
      </c>
      <c r="M48" s="15">
        <v>0</v>
      </c>
      <c r="N48" s="16">
        <v>518463</v>
      </c>
      <c r="O48" s="16">
        <v>0.32</v>
      </c>
      <c r="P48" s="16">
        <v>1.66</v>
      </c>
      <c r="Q48" s="15">
        <v>0</v>
      </c>
      <c r="R48" s="15">
        <v>0</v>
      </c>
      <c r="S48" s="13" t="s">
        <v>7</v>
      </c>
    </row>
    <row r="49" spans="1:19" x14ac:dyDescent="0.2">
      <c r="A49" s="3" t="s">
        <v>7</v>
      </c>
      <c r="B49" s="3" t="s">
        <v>869</v>
      </c>
      <c r="C49" s="3" t="s">
        <v>7</v>
      </c>
      <c r="D49" s="3" t="s">
        <v>7</v>
      </c>
      <c r="E49" s="3" t="s">
        <v>7</v>
      </c>
      <c r="F49" s="3" t="s">
        <v>7</v>
      </c>
      <c r="G49" s="3" t="s">
        <v>7</v>
      </c>
      <c r="H49" s="3" t="s">
        <v>7</v>
      </c>
      <c r="I49" s="12">
        <v>0</v>
      </c>
      <c r="J49" s="3" t="s">
        <v>7</v>
      </c>
      <c r="K49" s="3" t="s">
        <v>7</v>
      </c>
      <c r="L49" s="11">
        <v>0</v>
      </c>
      <c r="M49" s="11">
        <v>0</v>
      </c>
      <c r="N49" s="3" t="s">
        <v>7</v>
      </c>
      <c r="O49" s="3" t="s">
        <v>7</v>
      </c>
      <c r="P49" s="12">
        <v>0</v>
      </c>
      <c r="Q49" s="11">
        <v>0</v>
      </c>
      <c r="R49" s="11">
        <v>0</v>
      </c>
      <c r="S49" s="3" t="s">
        <v>7</v>
      </c>
    </row>
    <row r="50" spans="1:19" x14ac:dyDescent="0.2">
      <c r="A50" s="3" t="s">
        <v>7</v>
      </c>
      <c r="B50" s="3" t="s">
        <v>847</v>
      </c>
      <c r="C50" s="3" t="s">
        <v>7</v>
      </c>
      <c r="D50" s="3" t="s">
        <v>7</v>
      </c>
      <c r="E50" s="3" t="s">
        <v>7</v>
      </c>
      <c r="F50" s="3" t="s">
        <v>7</v>
      </c>
      <c r="G50" s="3" t="s">
        <v>7</v>
      </c>
      <c r="H50" s="3" t="s">
        <v>7</v>
      </c>
      <c r="I50" s="12">
        <v>0</v>
      </c>
      <c r="J50" s="3" t="s">
        <v>7</v>
      </c>
      <c r="K50" s="3" t="s">
        <v>7</v>
      </c>
      <c r="L50" s="11">
        <v>0</v>
      </c>
      <c r="M50" s="11">
        <v>0</v>
      </c>
      <c r="N50" s="3" t="s">
        <v>7</v>
      </c>
      <c r="O50" s="3" t="s">
        <v>7</v>
      </c>
      <c r="P50" s="12">
        <v>0</v>
      </c>
      <c r="Q50" s="11">
        <v>0</v>
      </c>
      <c r="R50" s="11">
        <v>0</v>
      </c>
      <c r="S50" s="3" t="s">
        <v>7</v>
      </c>
    </row>
    <row r="51" spans="1:19" x14ac:dyDescent="0.2">
      <c r="A51" s="3" t="s">
        <v>7</v>
      </c>
      <c r="B51" s="3" t="s">
        <v>848</v>
      </c>
      <c r="C51" s="3" t="s">
        <v>7</v>
      </c>
      <c r="D51" s="3" t="s">
        <v>7</v>
      </c>
      <c r="E51" s="3" t="s">
        <v>7</v>
      </c>
      <c r="F51" s="3" t="s">
        <v>7</v>
      </c>
      <c r="G51" s="3" t="s">
        <v>7</v>
      </c>
      <c r="H51" s="3" t="s">
        <v>7</v>
      </c>
      <c r="I51" s="12">
        <v>0</v>
      </c>
      <c r="J51" s="3" t="s">
        <v>7</v>
      </c>
      <c r="K51" s="3" t="s">
        <v>7</v>
      </c>
      <c r="L51" s="11">
        <v>0</v>
      </c>
      <c r="M51" s="11">
        <v>0</v>
      </c>
      <c r="N51" s="3" t="s">
        <v>7</v>
      </c>
      <c r="O51" s="3" t="s">
        <v>7</v>
      </c>
      <c r="P51" s="12">
        <v>0</v>
      </c>
      <c r="Q51" s="11">
        <v>0</v>
      </c>
      <c r="R51" s="11">
        <v>0</v>
      </c>
      <c r="S51" s="3" t="s">
        <v>7</v>
      </c>
    </row>
    <row r="52" spans="1:19" x14ac:dyDescent="0.2">
      <c r="A52" s="3" t="s">
        <v>7</v>
      </c>
      <c r="B52" s="3" t="s">
        <v>849</v>
      </c>
      <c r="C52" s="3" t="s">
        <v>7</v>
      </c>
      <c r="D52" s="3" t="s">
        <v>7</v>
      </c>
      <c r="E52" s="3" t="s">
        <v>7</v>
      </c>
      <c r="F52" s="3" t="s">
        <v>7</v>
      </c>
      <c r="G52" s="3" t="s">
        <v>7</v>
      </c>
      <c r="H52" s="3" t="s">
        <v>7</v>
      </c>
      <c r="I52" s="12">
        <v>0</v>
      </c>
      <c r="J52" s="3" t="s">
        <v>7</v>
      </c>
      <c r="K52" s="3" t="s">
        <v>7</v>
      </c>
      <c r="L52" s="11">
        <v>0</v>
      </c>
      <c r="M52" s="11">
        <v>0</v>
      </c>
      <c r="N52" s="3" t="s">
        <v>7</v>
      </c>
      <c r="O52" s="3" t="s">
        <v>7</v>
      </c>
      <c r="P52" s="12">
        <v>0</v>
      </c>
      <c r="Q52" s="11">
        <v>0</v>
      </c>
      <c r="R52" s="11">
        <v>0</v>
      </c>
      <c r="S52" s="3" t="s">
        <v>7</v>
      </c>
    </row>
    <row r="53" spans="1:19" x14ac:dyDescent="0.2">
      <c r="A53" s="3" t="s">
        <v>7</v>
      </c>
      <c r="B53" s="3" t="s">
        <v>867</v>
      </c>
      <c r="C53" s="3" t="s">
        <v>7</v>
      </c>
      <c r="D53" s="3" t="s">
        <v>7</v>
      </c>
      <c r="E53" s="3" t="s">
        <v>7</v>
      </c>
      <c r="F53" s="3" t="s">
        <v>7</v>
      </c>
      <c r="G53" s="3" t="s">
        <v>7</v>
      </c>
      <c r="H53" s="3" t="s">
        <v>7</v>
      </c>
      <c r="I53" s="12">
        <v>0</v>
      </c>
      <c r="J53" s="3" t="s">
        <v>7</v>
      </c>
      <c r="K53" s="3" t="s">
        <v>7</v>
      </c>
      <c r="L53" s="11">
        <v>0</v>
      </c>
      <c r="M53" s="11">
        <v>0</v>
      </c>
      <c r="N53" s="3" t="s">
        <v>7</v>
      </c>
      <c r="O53" s="3" t="s">
        <v>7</v>
      </c>
      <c r="P53" s="12">
        <v>0</v>
      </c>
      <c r="Q53" s="11">
        <v>0</v>
      </c>
      <c r="R53" s="11">
        <v>0</v>
      </c>
      <c r="S53" s="3" t="s">
        <v>7</v>
      </c>
    </row>
    <row r="54" spans="1:19" x14ac:dyDescent="0.2">
      <c r="A54" s="8" t="s">
        <v>7</v>
      </c>
      <c r="B54" s="8" t="s">
        <v>104</v>
      </c>
      <c r="C54" s="8" t="s">
        <v>7</v>
      </c>
      <c r="D54" s="8" t="s">
        <v>7</v>
      </c>
      <c r="E54" s="8" t="s">
        <v>7</v>
      </c>
      <c r="F54" s="8" t="s">
        <v>7</v>
      </c>
      <c r="G54" s="8" t="s">
        <v>7</v>
      </c>
      <c r="H54" s="8" t="s">
        <v>7</v>
      </c>
      <c r="I54" s="8" t="s">
        <v>7</v>
      </c>
      <c r="J54" s="8" t="s">
        <v>7</v>
      </c>
      <c r="K54" s="8" t="s">
        <v>7</v>
      </c>
      <c r="L54" s="8" t="s">
        <v>7</v>
      </c>
      <c r="M54" s="8" t="s">
        <v>7</v>
      </c>
      <c r="N54" s="8" t="s">
        <v>7</v>
      </c>
      <c r="O54" s="8" t="s">
        <v>7</v>
      </c>
      <c r="P54" s="8" t="s">
        <v>7</v>
      </c>
      <c r="Q54" s="8" t="s">
        <v>7</v>
      </c>
      <c r="R54" s="8" t="s">
        <v>7</v>
      </c>
      <c r="S54" s="8" t="s">
        <v>7</v>
      </c>
    </row>
    <row r="55" spans="1:19" x14ac:dyDescent="0.2">
      <c r="A55" s="8" t="s">
        <v>7</v>
      </c>
      <c r="B55" s="8" t="s">
        <v>149</v>
      </c>
      <c r="C55" s="8" t="s">
        <v>7</v>
      </c>
      <c r="D55" s="8" t="s">
        <v>7</v>
      </c>
      <c r="E55" s="8" t="s">
        <v>7</v>
      </c>
      <c r="F55" s="8" t="s">
        <v>7</v>
      </c>
      <c r="G55" s="8" t="s">
        <v>7</v>
      </c>
      <c r="H55" s="8" t="s">
        <v>7</v>
      </c>
      <c r="I55" s="8" t="s">
        <v>7</v>
      </c>
      <c r="J55" s="8" t="s">
        <v>7</v>
      </c>
      <c r="K55" s="8" t="s">
        <v>7</v>
      </c>
      <c r="L55" s="8" t="s">
        <v>7</v>
      </c>
      <c r="M55" s="8" t="s">
        <v>7</v>
      </c>
      <c r="N55" s="8" t="s">
        <v>7</v>
      </c>
      <c r="O55" s="8" t="s">
        <v>7</v>
      </c>
      <c r="P55" s="8" t="s">
        <v>7</v>
      </c>
      <c r="Q55" s="8" t="s">
        <v>7</v>
      </c>
      <c r="R55" s="8" t="s">
        <v>7</v>
      </c>
      <c r="S55" s="8" t="s">
        <v>7</v>
      </c>
    </row>
    <row r="56" spans="1:19" x14ac:dyDescent="0.2">
      <c r="A56" s="7" t="s">
        <v>60</v>
      </c>
      <c r="B56" s="7" t="s">
        <v>61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4" width="12" customWidth="1"/>
    <col min="5" max="5" width="7" customWidth="1"/>
    <col min="6" max="6" width="11" customWidth="1"/>
    <col min="7" max="7" width="6" customWidth="1"/>
    <col min="8" max="8" width="10" customWidth="1"/>
    <col min="9" max="9" width="19" customWidth="1"/>
    <col min="10" max="10" width="15" customWidth="1"/>
    <col min="11" max="11" width="11" customWidth="1"/>
    <col min="12" max="12" width="8" customWidth="1"/>
    <col min="13" max="13" width="11" customWidth="1"/>
    <col min="14" max="14" width="24" customWidth="1"/>
    <col min="15" max="15" width="23" customWidth="1"/>
    <col min="16" max="16" width="10" customWidth="1"/>
  </cols>
  <sheetData>
    <row r="1" spans="1:16" x14ac:dyDescent="0.2">
      <c r="B1" s="7" t="s">
        <v>0</v>
      </c>
      <c r="C1" s="7" t="s">
        <v>1</v>
      </c>
    </row>
    <row r="2" spans="1:16" x14ac:dyDescent="0.2">
      <c r="B2" s="7" t="s">
        <v>2</v>
      </c>
      <c r="C2" s="7" t="s">
        <v>3</v>
      </c>
    </row>
    <row r="3" spans="1:16" x14ac:dyDescent="0.2">
      <c r="B3" s="7" t="s">
        <v>4</v>
      </c>
      <c r="C3" s="7" t="s">
        <v>5</v>
      </c>
    </row>
    <row r="4" spans="1:16" x14ac:dyDescent="0.2">
      <c r="B4" s="7" t="s">
        <v>6</v>
      </c>
      <c r="C4" s="7">
        <v>408</v>
      </c>
    </row>
    <row r="5" spans="1:16" x14ac:dyDescent="0.2">
      <c r="B5" s="7" t="s">
        <v>7</v>
      </c>
      <c r="C5" s="7" t="s">
        <v>7</v>
      </c>
    </row>
    <row r="6" spans="1:16" x14ac:dyDescent="0.2">
      <c r="A6" s="1" t="s">
        <v>7</v>
      </c>
      <c r="B6" s="18" t="s">
        <v>870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</row>
    <row r="7" spans="1:16" x14ac:dyDescent="0.2">
      <c r="A7" s="1" t="s">
        <v>7</v>
      </c>
      <c r="B7" s="1" t="s">
        <v>63</v>
      </c>
      <c r="C7" s="1" t="s">
        <v>64</v>
      </c>
      <c r="D7" s="1" t="s">
        <v>65</v>
      </c>
      <c r="E7" s="1" t="s">
        <v>66</v>
      </c>
      <c r="F7" s="1" t="s">
        <v>67</v>
      </c>
      <c r="G7" s="1" t="s">
        <v>109</v>
      </c>
      <c r="H7" s="1" t="s">
        <v>68</v>
      </c>
      <c r="I7" s="1" t="s">
        <v>871</v>
      </c>
      <c r="J7" s="1" t="s">
        <v>70</v>
      </c>
      <c r="K7" s="1" t="s">
        <v>110</v>
      </c>
      <c r="L7" s="1" t="s">
        <v>111</v>
      </c>
      <c r="M7" s="1" t="s">
        <v>9</v>
      </c>
      <c r="N7" s="1" t="s">
        <v>72</v>
      </c>
      <c r="O7" s="1" t="s">
        <v>114</v>
      </c>
      <c r="P7" s="1" t="s">
        <v>7</v>
      </c>
    </row>
    <row r="8" spans="1:16" x14ac:dyDescent="0.2">
      <c r="A8" s="1" t="s">
        <v>7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115</v>
      </c>
      <c r="H8" s="1" t="s">
        <v>7</v>
      </c>
      <c r="I8" s="1" t="s">
        <v>12</v>
      </c>
      <c r="J8" s="1" t="s">
        <v>12</v>
      </c>
      <c r="K8" s="1" t="s">
        <v>116</v>
      </c>
      <c r="L8" s="1" t="s">
        <v>117</v>
      </c>
      <c r="M8" s="1" t="s">
        <v>11</v>
      </c>
      <c r="N8" s="1" t="s">
        <v>12</v>
      </c>
      <c r="O8" s="1" t="s">
        <v>12</v>
      </c>
      <c r="P8" s="1" t="s">
        <v>7</v>
      </c>
    </row>
    <row r="9" spans="1:16" x14ac:dyDescent="0.2">
      <c r="A9" s="1" t="s">
        <v>7</v>
      </c>
      <c r="B9" s="1" t="s">
        <v>7</v>
      </c>
      <c r="C9" s="1" t="s">
        <v>13</v>
      </c>
      <c r="D9" s="1" t="s">
        <v>14</v>
      </c>
      <c r="E9" s="1" t="s">
        <v>74</v>
      </c>
      <c r="F9" s="1" t="s">
        <v>75</v>
      </c>
      <c r="G9" s="1" t="s">
        <v>76</v>
      </c>
      <c r="H9" s="1" t="s">
        <v>77</v>
      </c>
      <c r="I9" s="1" t="s">
        <v>78</v>
      </c>
      <c r="J9" s="1" t="s">
        <v>79</v>
      </c>
      <c r="K9" s="1" t="s">
        <v>80</v>
      </c>
      <c r="L9" s="1" t="s">
        <v>81</v>
      </c>
      <c r="M9" s="1" t="s">
        <v>118</v>
      </c>
      <c r="N9" s="1" t="s">
        <v>119</v>
      </c>
      <c r="O9" s="1" t="s">
        <v>120</v>
      </c>
      <c r="P9" s="1" t="s">
        <v>7</v>
      </c>
    </row>
    <row r="10" spans="1:16" x14ac:dyDescent="0.2">
      <c r="A10" s="8" t="s">
        <v>7</v>
      </c>
      <c r="B10" s="8" t="s">
        <v>872</v>
      </c>
      <c r="C10" s="8" t="s">
        <v>7</v>
      </c>
      <c r="D10" s="8" t="s">
        <v>7</v>
      </c>
      <c r="E10" s="8" t="s">
        <v>7</v>
      </c>
      <c r="F10" s="8" t="s">
        <v>7</v>
      </c>
      <c r="G10" s="10">
        <v>0.15</v>
      </c>
      <c r="H10" s="8" t="s">
        <v>7</v>
      </c>
      <c r="I10" s="9">
        <v>6.5500000000000003E-2</v>
      </c>
      <c r="J10" s="9">
        <v>5.1000000000000004E-3</v>
      </c>
      <c r="K10" s="8" t="s">
        <v>7</v>
      </c>
      <c r="L10" s="8" t="s">
        <v>7</v>
      </c>
      <c r="M10" s="10">
        <v>29.78</v>
      </c>
      <c r="N10" s="9">
        <v>1</v>
      </c>
      <c r="O10" s="9">
        <v>0</v>
      </c>
      <c r="P10" s="8" t="s">
        <v>7</v>
      </c>
    </row>
    <row r="11" spans="1:16" x14ac:dyDescent="0.2">
      <c r="A11" s="3" t="s">
        <v>7</v>
      </c>
      <c r="B11" s="3" t="s">
        <v>83</v>
      </c>
      <c r="C11" s="3" t="s">
        <v>7</v>
      </c>
      <c r="D11" s="3" t="s">
        <v>7</v>
      </c>
      <c r="E11" s="3" t="s">
        <v>7</v>
      </c>
      <c r="F11" s="3" t="s">
        <v>7</v>
      </c>
      <c r="G11" s="12">
        <v>0.15</v>
      </c>
      <c r="H11" s="3" t="s">
        <v>7</v>
      </c>
      <c r="I11" s="11">
        <v>6.5500000000000003E-2</v>
      </c>
      <c r="J11" s="11">
        <v>5.1000000000000004E-3</v>
      </c>
      <c r="K11" s="3" t="s">
        <v>7</v>
      </c>
      <c r="L11" s="3" t="s">
        <v>7</v>
      </c>
      <c r="M11" s="12">
        <v>29.78</v>
      </c>
      <c r="N11" s="11">
        <v>1</v>
      </c>
      <c r="O11" s="11">
        <v>0</v>
      </c>
      <c r="P11" s="3" t="s">
        <v>7</v>
      </c>
    </row>
    <row r="12" spans="1:16" x14ac:dyDescent="0.2">
      <c r="A12" s="3" t="s">
        <v>7</v>
      </c>
      <c r="B12" s="3" t="s">
        <v>873</v>
      </c>
      <c r="C12" s="3" t="s">
        <v>7</v>
      </c>
      <c r="D12" s="3" t="s">
        <v>7</v>
      </c>
      <c r="E12" s="3" t="s">
        <v>7</v>
      </c>
      <c r="F12" s="3" t="s">
        <v>7</v>
      </c>
      <c r="G12" s="12">
        <v>0.15</v>
      </c>
      <c r="H12" s="3" t="s">
        <v>7</v>
      </c>
      <c r="I12" s="11">
        <v>6.5500000000000003E-2</v>
      </c>
      <c r="J12" s="11">
        <v>5.1000000000000004E-3</v>
      </c>
      <c r="K12" s="3" t="s">
        <v>7</v>
      </c>
      <c r="L12" s="3" t="s">
        <v>7</v>
      </c>
      <c r="M12" s="12">
        <v>29.78</v>
      </c>
      <c r="N12" s="11">
        <v>1</v>
      </c>
      <c r="O12" s="11">
        <v>0</v>
      </c>
      <c r="P12" s="3" t="s">
        <v>7</v>
      </c>
    </row>
    <row r="13" spans="1:16" x14ac:dyDescent="0.2">
      <c r="A13" s="13" t="s">
        <v>7</v>
      </c>
      <c r="B13" s="13" t="s">
        <v>874</v>
      </c>
      <c r="C13" s="14">
        <v>6685044</v>
      </c>
      <c r="D13" s="14">
        <v>520000522</v>
      </c>
      <c r="E13" s="13" t="s">
        <v>168</v>
      </c>
      <c r="F13" s="13" t="s">
        <v>87</v>
      </c>
      <c r="G13" s="16">
        <v>0.15</v>
      </c>
      <c r="H13" s="13" t="s">
        <v>88</v>
      </c>
      <c r="I13" s="15">
        <v>6.5500000000000003E-2</v>
      </c>
      <c r="J13" s="15">
        <v>5.1000000000000004E-3</v>
      </c>
      <c r="K13" s="16">
        <v>21973.57</v>
      </c>
      <c r="L13" s="16">
        <v>135.55000000000001</v>
      </c>
      <c r="M13" s="16">
        <v>29.78</v>
      </c>
      <c r="N13" s="15">
        <v>1</v>
      </c>
      <c r="O13" s="15">
        <v>0</v>
      </c>
      <c r="P13" s="14">
        <v>6685044</v>
      </c>
    </row>
    <row r="14" spans="1:16" x14ac:dyDescent="0.2">
      <c r="A14" s="13" t="s">
        <v>7</v>
      </c>
      <c r="B14" s="13" t="s">
        <v>875</v>
      </c>
      <c r="C14" s="14">
        <v>7341852</v>
      </c>
      <c r="D14" s="14">
        <v>520029083</v>
      </c>
      <c r="E14" s="13" t="s">
        <v>90</v>
      </c>
      <c r="F14" s="13" t="s">
        <v>87</v>
      </c>
      <c r="G14" s="16">
        <v>0</v>
      </c>
      <c r="H14" s="13" t="s">
        <v>88</v>
      </c>
      <c r="I14" s="15">
        <v>6.2E-2</v>
      </c>
      <c r="J14" s="15">
        <v>6.2E-2</v>
      </c>
      <c r="K14" s="16">
        <v>0.12</v>
      </c>
      <c r="L14" s="16">
        <v>135.44999999999999</v>
      </c>
      <c r="M14" s="16">
        <v>0</v>
      </c>
      <c r="N14" s="15">
        <v>0</v>
      </c>
      <c r="O14" s="15">
        <v>0</v>
      </c>
      <c r="P14" s="14">
        <v>7341852</v>
      </c>
    </row>
    <row r="15" spans="1:16" x14ac:dyDescent="0.2">
      <c r="A15" s="3" t="s">
        <v>7</v>
      </c>
      <c r="B15" s="3" t="s">
        <v>648</v>
      </c>
      <c r="C15" s="3" t="s">
        <v>7</v>
      </c>
      <c r="D15" s="3" t="s">
        <v>7</v>
      </c>
      <c r="E15" s="3" t="s">
        <v>7</v>
      </c>
      <c r="F15" s="3" t="s">
        <v>7</v>
      </c>
      <c r="G15" s="12">
        <v>0</v>
      </c>
      <c r="H15" s="3" t="s">
        <v>7</v>
      </c>
      <c r="I15" s="11">
        <v>0</v>
      </c>
      <c r="J15" s="11">
        <v>0</v>
      </c>
      <c r="K15" s="3" t="s">
        <v>7</v>
      </c>
      <c r="L15" s="3" t="s">
        <v>7</v>
      </c>
      <c r="M15" s="12">
        <v>0</v>
      </c>
      <c r="N15" s="11">
        <v>0</v>
      </c>
      <c r="O15" s="11">
        <v>0</v>
      </c>
      <c r="P15" s="3" t="s">
        <v>7</v>
      </c>
    </row>
    <row r="16" spans="1:16" x14ac:dyDescent="0.2">
      <c r="A16" s="3" t="s">
        <v>7</v>
      </c>
      <c r="B16" s="3" t="s">
        <v>876</v>
      </c>
      <c r="C16" s="3" t="s">
        <v>7</v>
      </c>
      <c r="D16" s="3" t="s">
        <v>7</v>
      </c>
      <c r="E16" s="3" t="s">
        <v>7</v>
      </c>
      <c r="F16" s="3" t="s">
        <v>7</v>
      </c>
      <c r="G16" s="12">
        <v>0</v>
      </c>
      <c r="H16" s="3" t="s">
        <v>7</v>
      </c>
      <c r="I16" s="11">
        <v>0</v>
      </c>
      <c r="J16" s="11">
        <v>0</v>
      </c>
      <c r="K16" s="3" t="s">
        <v>7</v>
      </c>
      <c r="L16" s="3" t="s">
        <v>7</v>
      </c>
      <c r="M16" s="12">
        <v>0</v>
      </c>
      <c r="N16" s="11">
        <v>0</v>
      </c>
      <c r="O16" s="11">
        <v>0</v>
      </c>
      <c r="P16" s="3" t="s">
        <v>7</v>
      </c>
    </row>
    <row r="17" spans="1:16" x14ac:dyDescent="0.2">
      <c r="A17" s="3" t="s">
        <v>7</v>
      </c>
      <c r="B17" s="3" t="s">
        <v>877</v>
      </c>
      <c r="C17" s="3" t="s">
        <v>7</v>
      </c>
      <c r="D17" s="3" t="s">
        <v>7</v>
      </c>
      <c r="E17" s="3" t="s">
        <v>7</v>
      </c>
      <c r="F17" s="3" t="s">
        <v>7</v>
      </c>
      <c r="G17" s="12">
        <v>0</v>
      </c>
      <c r="H17" s="3" t="s">
        <v>7</v>
      </c>
      <c r="I17" s="11">
        <v>0</v>
      </c>
      <c r="J17" s="11">
        <v>0</v>
      </c>
      <c r="K17" s="3" t="s">
        <v>7</v>
      </c>
      <c r="L17" s="3" t="s">
        <v>7</v>
      </c>
      <c r="M17" s="12">
        <v>0</v>
      </c>
      <c r="N17" s="11">
        <v>0</v>
      </c>
      <c r="O17" s="11">
        <v>0</v>
      </c>
      <c r="P17" s="3" t="s">
        <v>7</v>
      </c>
    </row>
    <row r="18" spans="1:16" x14ac:dyDescent="0.2">
      <c r="A18" s="3" t="s">
        <v>7</v>
      </c>
      <c r="B18" s="3" t="s">
        <v>471</v>
      </c>
      <c r="C18" s="3" t="s">
        <v>7</v>
      </c>
      <c r="D18" s="3" t="s">
        <v>7</v>
      </c>
      <c r="E18" s="3" t="s">
        <v>7</v>
      </c>
      <c r="F18" s="3" t="s">
        <v>7</v>
      </c>
      <c r="G18" s="12">
        <v>0</v>
      </c>
      <c r="H18" s="3" t="s">
        <v>7</v>
      </c>
      <c r="I18" s="11">
        <v>0</v>
      </c>
      <c r="J18" s="11">
        <v>0</v>
      </c>
      <c r="K18" s="3" t="s">
        <v>7</v>
      </c>
      <c r="L18" s="3" t="s">
        <v>7</v>
      </c>
      <c r="M18" s="12">
        <v>0</v>
      </c>
      <c r="N18" s="11">
        <v>0</v>
      </c>
      <c r="O18" s="11">
        <v>0</v>
      </c>
      <c r="P18" s="3" t="s">
        <v>7</v>
      </c>
    </row>
    <row r="19" spans="1:16" x14ac:dyDescent="0.2">
      <c r="A19" s="3" t="s">
        <v>7</v>
      </c>
      <c r="B19" s="3" t="s">
        <v>161</v>
      </c>
      <c r="C19" s="3" t="s">
        <v>7</v>
      </c>
      <c r="D19" s="3" t="s">
        <v>7</v>
      </c>
      <c r="E19" s="3" t="s">
        <v>7</v>
      </c>
      <c r="F19" s="3" t="s">
        <v>7</v>
      </c>
      <c r="G19" s="12">
        <v>0</v>
      </c>
      <c r="H19" s="3" t="s">
        <v>7</v>
      </c>
      <c r="I19" s="11">
        <v>0</v>
      </c>
      <c r="J19" s="11">
        <v>0</v>
      </c>
      <c r="K19" s="3" t="s">
        <v>7</v>
      </c>
      <c r="L19" s="3" t="s">
        <v>7</v>
      </c>
      <c r="M19" s="12">
        <v>0</v>
      </c>
      <c r="N19" s="11">
        <v>0</v>
      </c>
      <c r="O19" s="11">
        <v>0</v>
      </c>
      <c r="P19" s="3" t="s">
        <v>7</v>
      </c>
    </row>
    <row r="20" spans="1:16" x14ac:dyDescent="0.2">
      <c r="A20" s="8" t="s">
        <v>7</v>
      </c>
      <c r="B20" s="8" t="s">
        <v>104</v>
      </c>
      <c r="C20" s="8" t="s">
        <v>7</v>
      </c>
      <c r="D20" s="8" t="s">
        <v>7</v>
      </c>
      <c r="E20" s="8" t="s">
        <v>7</v>
      </c>
      <c r="F20" s="8" t="s">
        <v>7</v>
      </c>
      <c r="G20" s="8" t="s">
        <v>7</v>
      </c>
      <c r="H20" s="8" t="s">
        <v>7</v>
      </c>
      <c r="I20" s="8" t="s">
        <v>7</v>
      </c>
      <c r="J20" s="8" t="s">
        <v>7</v>
      </c>
      <c r="K20" s="8" t="s">
        <v>7</v>
      </c>
      <c r="L20" s="8" t="s">
        <v>7</v>
      </c>
      <c r="M20" s="8" t="s">
        <v>7</v>
      </c>
      <c r="N20" s="8" t="s">
        <v>7</v>
      </c>
      <c r="O20" s="8" t="s">
        <v>7</v>
      </c>
      <c r="P20" s="8" t="s">
        <v>7</v>
      </c>
    </row>
    <row r="21" spans="1:16" x14ac:dyDescent="0.2">
      <c r="A21" s="8" t="s">
        <v>7</v>
      </c>
      <c r="B21" s="8" t="s">
        <v>149</v>
      </c>
      <c r="C21" s="8" t="s">
        <v>7</v>
      </c>
      <c r="D21" s="8" t="s">
        <v>7</v>
      </c>
      <c r="E21" s="8" t="s">
        <v>7</v>
      </c>
      <c r="F21" s="8" t="s">
        <v>7</v>
      </c>
      <c r="G21" s="8" t="s">
        <v>7</v>
      </c>
      <c r="H21" s="8" t="s">
        <v>7</v>
      </c>
      <c r="I21" s="8" t="s">
        <v>7</v>
      </c>
      <c r="J21" s="8" t="s">
        <v>7</v>
      </c>
      <c r="K21" s="8" t="s">
        <v>7</v>
      </c>
      <c r="L21" s="8" t="s">
        <v>7</v>
      </c>
      <c r="M21" s="8" t="s">
        <v>7</v>
      </c>
      <c r="N21" s="8" t="s">
        <v>7</v>
      </c>
      <c r="O21" s="8" t="s">
        <v>7</v>
      </c>
      <c r="P21" s="8" t="s">
        <v>7</v>
      </c>
    </row>
    <row r="22" spans="1:16" x14ac:dyDescent="0.2">
      <c r="A22" s="7" t="s">
        <v>60</v>
      </c>
      <c r="B22" s="7" t="s">
        <v>61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9" customWidth="1"/>
    <col min="4" max="4" width="11" customWidth="1"/>
    <col min="5" max="5" width="25" customWidth="1"/>
    <col min="6" max="6" width="10" customWidth="1"/>
    <col min="7" max="7" width="13" customWidth="1"/>
    <col min="8" max="8" width="24" customWidth="1"/>
    <col min="9" max="9" width="23" customWidth="1"/>
    <col min="10" max="10" width="12" customWidth="1"/>
    <col min="11" max="12" width="2" customWidth="1"/>
  </cols>
  <sheetData>
    <row r="1" spans="1:12" x14ac:dyDescent="0.2">
      <c r="B1" s="7" t="s">
        <v>0</v>
      </c>
      <c r="C1" s="7" t="s">
        <v>1</v>
      </c>
    </row>
    <row r="2" spans="1:12" x14ac:dyDescent="0.2">
      <c r="B2" s="7" t="s">
        <v>2</v>
      </c>
      <c r="C2" s="7" t="s">
        <v>3</v>
      </c>
    </row>
    <row r="3" spans="1:12" x14ac:dyDescent="0.2">
      <c r="B3" s="7" t="s">
        <v>4</v>
      </c>
      <c r="C3" s="7" t="s">
        <v>5</v>
      </c>
    </row>
    <row r="4" spans="1:12" x14ac:dyDescent="0.2">
      <c r="B4" s="7" t="s">
        <v>6</v>
      </c>
      <c r="C4" s="7">
        <v>408</v>
      </c>
    </row>
    <row r="5" spans="1:12" x14ac:dyDescent="0.2">
      <c r="B5" s="7" t="s">
        <v>7</v>
      </c>
      <c r="C5" s="7" t="s">
        <v>7</v>
      </c>
    </row>
    <row r="6" spans="1:12" x14ac:dyDescent="0.2">
      <c r="A6" s="1" t="s">
        <v>7</v>
      </c>
      <c r="B6" s="1" t="s">
        <v>878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</row>
    <row r="7" spans="1:12" x14ac:dyDescent="0.2">
      <c r="A7" s="1" t="s">
        <v>7</v>
      </c>
      <c r="B7" s="1" t="s">
        <v>63</v>
      </c>
      <c r="C7" s="1" t="s">
        <v>879</v>
      </c>
      <c r="D7" s="1" t="s">
        <v>880</v>
      </c>
      <c r="E7" s="1" t="s">
        <v>881</v>
      </c>
      <c r="F7" s="1" t="s">
        <v>68</v>
      </c>
      <c r="G7" s="1" t="s">
        <v>882</v>
      </c>
      <c r="H7" s="1" t="s">
        <v>72</v>
      </c>
      <c r="I7" s="1" t="s">
        <v>114</v>
      </c>
      <c r="J7" s="1" t="s">
        <v>883</v>
      </c>
      <c r="K7" s="1" t="s">
        <v>7</v>
      </c>
      <c r="L7" s="1" t="s">
        <v>7</v>
      </c>
    </row>
    <row r="8" spans="1:12" x14ac:dyDescent="0.2">
      <c r="A8" s="1" t="s">
        <v>7</v>
      </c>
      <c r="B8" s="1" t="s">
        <v>7</v>
      </c>
      <c r="C8" s="1" t="s">
        <v>163</v>
      </c>
      <c r="D8" s="1" t="s">
        <v>7</v>
      </c>
      <c r="E8" s="1" t="s">
        <v>12</v>
      </c>
      <c r="F8" s="1" t="s">
        <v>7</v>
      </c>
      <c r="G8" s="1" t="s">
        <v>11</v>
      </c>
      <c r="H8" s="1" t="s">
        <v>12</v>
      </c>
      <c r="I8" s="1" t="s">
        <v>12</v>
      </c>
      <c r="J8" s="1" t="s">
        <v>7</v>
      </c>
      <c r="K8" s="1" t="s">
        <v>7</v>
      </c>
      <c r="L8" s="1" t="s">
        <v>7</v>
      </c>
    </row>
    <row r="9" spans="1:12" x14ac:dyDescent="0.2">
      <c r="A9" s="1" t="s">
        <v>7</v>
      </c>
      <c r="B9" s="1" t="s">
        <v>7</v>
      </c>
      <c r="C9" s="1" t="s">
        <v>13</v>
      </c>
      <c r="D9" s="1" t="s">
        <v>14</v>
      </c>
      <c r="E9" s="1" t="s">
        <v>74</v>
      </c>
      <c r="F9" s="1" t="s">
        <v>75</v>
      </c>
      <c r="G9" s="1" t="s">
        <v>76</v>
      </c>
      <c r="H9" s="1" t="s">
        <v>77</v>
      </c>
      <c r="I9" s="1" t="s">
        <v>78</v>
      </c>
      <c r="J9" s="1" t="s">
        <v>79</v>
      </c>
      <c r="K9" s="1" t="s">
        <v>7</v>
      </c>
      <c r="L9" s="1" t="s">
        <v>7</v>
      </c>
    </row>
    <row r="10" spans="1:12" x14ac:dyDescent="0.2">
      <c r="A10" s="8" t="s">
        <v>7</v>
      </c>
      <c r="B10" s="8" t="s">
        <v>884</v>
      </c>
      <c r="C10" s="8" t="s">
        <v>7</v>
      </c>
      <c r="D10" s="8" t="s">
        <v>7</v>
      </c>
      <c r="E10" s="9">
        <v>0</v>
      </c>
      <c r="F10" s="8" t="s">
        <v>7</v>
      </c>
      <c r="G10" s="10">
        <v>0</v>
      </c>
      <c r="H10" s="9">
        <v>0</v>
      </c>
      <c r="I10" s="9">
        <v>0</v>
      </c>
      <c r="J10" s="8" t="s">
        <v>7</v>
      </c>
      <c r="K10" s="8" t="s">
        <v>7</v>
      </c>
      <c r="L10" s="8" t="s">
        <v>7</v>
      </c>
    </row>
    <row r="11" spans="1:12" x14ac:dyDescent="0.2">
      <c r="A11" s="3" t="s">
        <v>7</v>
      </c>
      <c r="B11" s="3" t="s">
        <v>885</v>
      </c>
      <c r="C11" s="3" t="s">
        <v>7</v>
      </c>
      <c r="D11" s="3" t="s">
        <v>7</v>
      </c>
      <c r="E11" s="11">
        <v>0</v>
      </c>
      <c r="F11" s="3" t="s">
        <v>7</v>
      </c>
      <c r="G11" s="12">
        <v>0</v>
      </c>
      <c r="H11" s="11">
        <v>0</v>
      </c>
      <c r="I11" s="11">
        <v>0</v>
      </c>
      <c r="J11" s="3" t="s">
        <v>7</v>
      </c>
      <c r="K11" s="3" t="s">
        <v>7</v>
      </c>
      <c r="L11" s="3" t="s">
        <v>7</v>
      </c>
    </row>
    <row r="12" spans="1:12" x14ac:dyDescent="0.2">
      <c r="A12" s="3" t="s">
        <v>7</v>
      </c>
      <c r="B12" s="3" t="s">
        <v>886</v>
      </c>
      <c r="C12" s="3" t="s">
        <v>7</v>
      </c>
      <c r="D12" s="3" t="s">
        <v>7</v>
      </c>
      <c r="E12" s="11">
        <v>0</v>
      </c>
      <c r="F12" s="3" t="s">
        <v>7</v>
      </c>
      <c r="G12" s="12">
        <v>0</v>
      </c>
      <c r="H12" s="11">
        <v>0</v>
      </c>
      <c r="I12" s="11">
        <v>0</v>
      </c>
      <c r="J12" s="3" t="s">
        <v>7</v>
      </c>
      <c r="K12" s="3" t="s">
        <v>7</v>
      </c>
      <c r="L12" s="3" t="s">
        <v>7</v>
      </c>
    </row>
    <row r="13" spans="1:12" x14ac:dyDescent="0.2">
      <c r="A13" s="3" t="s">
        <v>7</v>
      </c>
      <c r="B13" s="3" t="s">
        <v>887</v>
      </c>
      <c r="C13" s="3" t="s">
        <v>7</v>
      </c>
      <c r="D13" s="3" t="s">
        <v>7</v>
      </c>
      <c r="E13" s="11">
        <v>0</v>
      </c>
      <c r="F13" s="3" t="s">
        <v>7</v>
      </c>
      <c r="G13" s="12">
        <v>0</v>
      </c>
      <c r="H13" s="11">
        <v>0</v>
      </c>
      <c r="I13" s="11">
        <v>0</v>
      </c>
      <c r="J13" s="3" t="s">
        <v>7</v>
      </c>
      <c r="K13" s="3" t="s">
        <v>7</v>
      </c>
      <c r="L13" s="3" t="s">
        <v>7</v>
      </c>
    </row>
    <row r="14" spans="1:12" x14ac:dyDescent="0.2">
      <c r="A14" s="3" t="s">
        <v>7</v>
      </c>
      <c r="B14" s="3" t="s">
        <v>888</v>
      </c>
      <c r="C14" s="3" t="s">
        <v>7</v>
      </c>
      <c r="D14" s="3" t="s">
        <v>7</v>
      </c>
      <c r="E14" s="11">
        <v>0</v>
      </c>
      <c r="F14" s="3" t="s">
        <v>7</v>
      </c>
      <c r="G14" s="12">
        <v>0</v>
      </c>
      <c r="H14" s="11">
        <v>0</v>
      </c>
      <c r="I14" s="11">
        <v>0</v>
      </c>
      <c r="J14" s="3" t="s">
        <v>7</v>
      </c>
      <c r="K14" s="3" t="s">
        <v>7</v>
      </c>
      <c r="L14" s="3" t="s">
        <v>7</v>
      </c>
    </row>
    <row r="15" spans="1:12" x14ac:dyDescent="0.2">
      <c r="A15" s="3" t="s">
        <v>7</v>
      </c>
      <c r="B15" s="3" t="s">
        <v>886</v>
      </c>
      <c r="C15" s="3" t="s">
        <v>7</v>
      </c>
      <c r="D15" s="3" t="s">
        <v>7</v>
      </c>
      <c r="E15" s="11">
        <v>0</v>
      </c>
      <c r="F15" s="3" t="s">
        <v>7</v>
      </c>
      <c r="G15" s="12">
        <v>0</v>
      </c>
      <c r="H15" s="11">
        <v>0</v>
      </c>
      <c r="I15" s="11">
        <v>0</v>
      </c>
      <c r="J15" s="3" t="s">
        <v>7</v>
      </c>
      <c r="K15" s="3" t="s">
        <v>7</v>
      </c>
      <c r="L15" s="3" t="s">
        <v>7</v>
      </c>
    </row>
    <row r="16" spans="1:12" x14ac:dyDescent="0.2">
      <c r="A16" s="3" t="s">
        <v>7</v>
      </c>
      <c r="B16" s="3" t="s">
        <v>887</v>
      </c>
      <c r="C16" s="3" t="s">
        <v>7</v>
      </c>
      <c r="D16" s="3" t="s">
        <v>7</v>
      </c>
      <c r="E16" s="11">
        <v>0</v>
      </c>
      <c r="F16" s="3" t="s">
        <v>7</v>
      </c>
      <c r="G16" s="12">
        <v>0</v>
      </c>
      <c r="H16" s="11">
        <v>0</v>
      </c>
      <c r="I16" s="11">
        <v>0</v>
      </c>
      <c r="J16" s="3" t="s">
        <v>7</v>
      </c>
      <c r="K16" s="3" t="s">
        <v>7</v>
      </c>
      <c r="L16" s="3" t="s">
        <v>7</v>
      </c>
    </row>
    <row r="17" spans="1:12" x14ac:dyDescent="0.2">
      <c r="A17" s="8" t="s">
        <v>7</v>
      </c>
      <c r="B17" s="8" t="s">
        <v>104</v>
      </c>
      <c r="C17" s="8" t="s">
        <v>7</v>
      </c>
      <c r="D17" s="8" t="s">
        <v>7</v>
      </c>
      <c r="E17" s="8" t="s">
        <v>7</v>
      </c>
      <c r="F17" s="8" t="s">
        <v>7</v>
      </c>
      <c r="G17" s="8" t="s">
        <v>7</v>
      </c>
      <c r="H17" s="8" t="s">
        <v>7</v>
      </c>
      <c r="I17" s="8" t="s">
        <v>7</v>
      </c>
      <c r="J17" s="8" t="s">
        <v>7</v>
      </c>
      <c r="K17" s="8" t="s">
        <v>7</v>
      </c>
      <c r="L17" s="8" t="s">
        <v>7</v>
      </c>
    </row>
    <row r="18" spans="1:12" x14ac:dyDescent="0.2">
      <c r="A18" s="8" t="s">
        <v>7</v>
      </c>
      <c r="B18" s="8" t="s">
        <v>149</v>
      </c>
      <c r="C18" s="8" t="s">
        <v>7</v>
      </c>
      <c r="D18" s="8" t="s">
        <v>7</v>
      </c>
      <c r="E18" s="8" t="s">
        <v>7</v>
      </c>
      <c r="F18" s="8" t="s">
        <v>7</v>
      </c>
      <c r="G18" s="8" t="s">
        <v>7</v>
      </c>
      <c r="H18" s="8" t="s">
        <v>7</v>
      </c>
      <c r="I18" s="8" t="s">
        <v>7</v>
      </c>
      <c r="J18" s="8" t="s">
        <v>7</v>
      </c>
      <c r="K18" s="8" t="s">
        <v>7</v>
      </c>
      <c r="L18" s="8" t="s">
        <v>7</v>
      </c>
    </row>
    <row r="19" spans="1:12" x14ac:dyDescent="0.2">
      <c r="A19" s="7" t="s">
        <v>889</v>
      </c>
      <c r="B19" s="7" t="s">
        <v>61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2" customWidth="1"/>
    <col min="4" max="4" width="7" customWidth="1"/>
    <col min="5" max="5" width="10" customWidth="1"/>
    <col min="6" max="6" width="14" customWidth="1"/>
    <col min="7" max="7" width="10" customWidth="1"/>
    <col min="8" max="8" width="14" customWidth="1"/>
    <col min="9" max="9" width="11" customWidth="1"/>
    <col min="10" max="10" width="24" customWidth="1"/>
    <col min="11" max="11" width="23" customWidth="1"/>
  </cols>
  <sheetData>
    <row r="1" spans="1:11" x14ac:dyDescent="0.2">
      <c r="B1" s="7" t="s">
        <v>0</v>
      </c>
      <c r="C1" s="7" t="s">
        <v>1</v>
      </c>
    </row>
    <row r="2" spans="1:11" x14ac:dyDescent="0.2">
      <c r="B2" s="7" t="s">
        <v>2</v>
      </c>
      <c r="C2" s="7" t="s">
        <v>3</v>
      </c>
    </row>
    <row r="3" spans="1:11" x14ac:dyDescent="0.2">
      <c r="B3" s="7" t="s">
        <v>4</v>
      </c>
      <c r="C3" s="7" t="s">
        <v>5</v>
      </c>
    </row>
    <row r="4" spans="1:11" x14ac:dyDescent="0.2">
      <c r="B4" s="7" t="s">
        <v>6</v>
      </c>
      <c r="C4" s="7">
        <v>408</v>
      </c>
    </row>
    <row r="5" spans="1:11" x14ac:dyDescent="0.2">
      <c r="B5" s="7" t="s">
        <v>7</v>
      </c>
      <c r="C5" s="7" t="s">
        <v>7</v>
      </c>
    </row>
    <row r="6" spans="1:11" x14ac:dyDescent="0.2">
      <c r="A6" s="1" t="s">
        <v>7</v>
      </c>
      <c r="B6" s="1" t="s">
        <v>890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</row>
    <row r="7" spans="1:11" x14ac:dyDescent="0.2">
      <c r="A7" s="1" t="s">
        <v>7</v>
      </c>
      <c r="B7" s="1" t="s">
        <v>63</v>
      </c>
      <c r="C7" s="1" t="s">
        <v>65</v>
      </c>
      <c r="D7" s="1" t="s">
        <v>66</v>
      </c>
      <c r="E7" s="1" t="s">
        <v>891</v>
      </c>
      <c r="F7" s="1" t="s">
        <v>892</v>
      </c>
      <c r="G7" s="1" t="s">
        <v>68</v>
      </c>
      <c r="H7" s="1" t="s">
        <v>893</v>
      </c>
      <c r="I7" s="1" t="s">
        <v>9</v>
      </c>
      <c r="J7" s="1" t="s">
        <v>72</v>
      </c>
      <c r="K7" s="1" t="s">
        <v>114</v>
      </c>
    </row>
    <row r="8" spans="1:11" x14ac:dyDescent="0.2">
      <c r="A8" s="1" t="s">
        <v>7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12</v>
      </c>
      <c r="G8" s="1" t="s">
        <v>7</v>
      </c>
      <c r="H8" s="1" t="s">
        <v>12</v>
      </c>
      <c r="I8" s="1" t="s">
        <v>11</v>
      </c>
      <c r="J8" s="1" t="s">
        <v>12</v>
      </c>
      <c r="K8" s="1" t="s">
        <v>12</v>
      </c>
    </row>
    <row r="9" spans="1:11" x14ac:dyDescent="0.2">
      <c r="A9" s="1" t="s">
        <v>7</v>
      </c>
      <c r="B9" s="1" t="s">
        <v>7</v>
      </c>
      <c r="C9" s="1" t="s">
        <v>13</v>
      </c>
      <c r="D9" s="1" t="s">
        <v>14</v>
      </c>
      <c r="E9" s="1" t="s">
        <v>74</v>
      </c>
      <c r="F9" s="1" t="s">
        <v>75</v>
      </c>
      <c r="G9" s="1" t="s">
        <v>76</v>
      </c>
      <c r="H9" s="1" t="s">
        <v>77</v>
      </c>
      <c r="I9" s="1" t="s">
        <v>78</v>
      </c>
      <c r="J9" s="1" t="s">
        <v>79</v>
      </c>
      <c r="K9" s="1" t="s">
        <v>80</v>
      </c>
    </row>
    <row r="10" spans="1:11" x14ac:dyDescent="0.2">
      <c r="A10" s="8" t="s">
        <v>7</v>
      </c>
      <c r="B10" s="8" t="s">
        <v>894</v>
      </c>
      <c r="C10" s="8" t="s">
        <v>7</v>
      </c>
      <c r="D10" s="8" t="s">
        <v>7</v>
      </c>
      <c r="E10" s="8" t="s">
        <v>7</v>
      </c>
      <c r="F10" s="9">
        <v>0</v>
      </c>
      <c r="G10" s="8" t="s">
        <v>7</v>
      </c>
      <c r="H10" s="9">
        <v>0</v>
      </c>
      <c r="I10" s="10">
        <v>0</v>
      </c>
      <c r="J10" s="9">
        <v>0</v>
      </c>
      <c r="K10" s="9">
        <v>0</v>
      </c>
    </row>
    <row r="11" spans="1:11" x14ac:dyDescent="0.2">
      <c r="A11" s="3" t="s">
        <v>7</v>
      </c>
      <c r="B11" s="3" t="s">
        <v>83</v>
      </c>
      <c r="C11" s="3" t="s">
        <v>7</v>
      </c>
      <c r="D11" s="3" t="s">
        <v>7</v>
      </c>
      <c r="E11" s="3" t="s">
        <v>7</v>
      </c>
      <c r="F11" s="11">
        <v>0</v>
      </c>
      <c r="G11" s="3" t="s">
        <v>7</v>
      </c>
      <c r="H11" s="11">
        <v>0</v>
      </c>
      <c r="I11" s="12">
        <v>0</v>
      </c>
      <c r="J11" s="11">
        <v>0</v>
      </c>
      <c r="K11" s="11">
        <v>0</v>
      </c>
    </row>
    <row r="12" spans="1:11" x14ac:dyDescent="0.2">
      <c r="A12" s="3" t="s">
        <v>7</v>
      </c>
      <c r="B12" s="3" t="s">
        <v>102</v>
      </c>
      <c r="C12" s="3" t="s">
        <v>7</v>
      </c>
      <c r="D12" s="3" t="s">
        <v>7</v>
      </c>
      <c r="E12" s="3" t="s">
        <v>7</v>
      </c>
      <c r="F12" s="11">
        <v>0</v>
      </c>
      <c r="G12" s="3" t="s">
        <v>7</v>
      </c>
      <c r="H12" s="11">
        <v>0</v>
      </c>
      <c r="I12" s="12">
        <v>0</v>
      </c>
      <c r="J12" s="11">
        <v>0</v>
      </c>
      <c r="K12" s="11">
        <v>0</v>
      </c>
    </row>
    <row r="13" spans="1:11" x14ac:dyDescent="0.2">
      <c r="A13" s="8" t="s">
        <v>7</v>
      </c>
      <c r="B13" s="8" t="s">
        <v>104</v>
      </c>
      <c r="C13" s="8" t="s">
        <v>7</v>
      </c>
      <c r="D13" s="8" t="s">
        <v>7</v>
      </c>
      <c r="E13" s="8" t="s">
        <v>7</v>
      </c>
      <c r="F13" s="8" t="s">
        <v>7</v>
      </c>
      <c r="G13" s="8" t="s">
        <v>7</v>
      </c>
      <c r="H13" s="8" t="s">
        <v>7</v>
      </c>
      <c r="I13" s="8" t="s">
        <v>7</v>
      </c>
      <c r="J13" s="8" t="s">
        <v>7</v>
      </c>
      <c r="K13" s="8" t="s">
        <v>7</v>
      </c>
    </row>
    <row r="14" spans="1:11" x14ac:dyDescent="0.2">
      <c r="A14" s="8" t="s">
        <v>7</v>
      </c>
      <c r="B14" s="8" t="s">
        <v>149</v>
      </c>
      <c r="C14" s="8" t="s">
        <v>7</v>
      </c>
      <c r="D14" s="8" t="s">
        <v>7</v>
      </c>
      <c r="E14" s="8" t="s">
        <v>7</v>
      </c>
      <c r="F14" s="8" t="s">
        <v>7</v>
      </c>
      <c r="G14" s="8" t="s">
        <v>7</v>
      </c>
      <c r="H14" s="8" t="s">
        <v>7</v>
      </c>
      <c r="I14" s="8" t="s">
        <v>7</v>
      </c>
      <c r="J14" s="8" t="s">
        <v>7</v>
      </c>
      <c r="K14" s="8" t="s">
        <v>7</v>
      </c>
    </row>
    <row r="15" spans="1:11" x14ac:dyDescent="0.2">
      <c r="A15" s="7" t="s">
        <v>889</v>
      </c>
      <c r="B15" s="7" t="s">
        <v>61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4" width="7" customWidth="1"/>
    <col min="5" max="5" width="10" customWidth="1"/>
    <col min="6" max="6" width="14" customWidth="1"/>
    <col min="7" max="7" width="10" customWidth="1"/>
    <col min="8" max="8" width="14" customWidth="1"/>
    <col min="9" max="9" width="11" customWidth="1"/>
    <col min="10" max="10" width="24" customWidth="1"/>
    <col min="11" max="11" width="23" customWidth="1"/>
  </cols>
  <sheetData>
    <row r="1" spans="1:11" x14ac:dyDescent="0.2">
      <c r="B1" s="7" t="s">
        <v>0</v>
      </c>
      <c r="C1" s="7" t="s">
        <v>1</v>
      </c>
    </row>
    <row r="2" spans="1:11" x14ac:dyDescent="0.2">
      <c r="B2" s="7" t="s">
        <v>2</v>
      </c>
      <c r="C2" s="7" t="s">
        <v>3</v>
      </c>
    </row>
    <row r="3" spans="1:11" x14ac:dyDescent="0.2">
      <c r="B3" s="7" t="s">
        <v>4</v>
      </c>
      <c r="C3" s="7" t="s">
        <v>5</v>
      </c>
    </row>
    <row r="4" spans="1:11" x14ac:dyDescent="0.2">
      <c r="B4" s="7" t="s">
        <v>6</v>
      </c>
      <c r="C4" s="7">
        <v>408</v>
      </c>
    </row>
    <row r="5" spans="1:11" x14ac:dyDescent="0.2">
      <c r="B5" s="7" t="s">
        <v>7</v>
      </c>
      <c r="C5" s="7" t="s">
        <v>7</v>
      </c>
    </row>
    <row r="6" spans="1:11" x14ac:dyDescent="0.2">
      <c r="A6" s="1" t="s">
        <v>7</v>
      </c>
      <c r="B6" s="1" t="s">
        <v>7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</row>
    <row r="7" spans="1:11" x14ac:dyDescent="0.2">
      <c r="A7" s="1" t="s">
        <v>7</v>
      </c>
      <c r="B7" s="1" t="s">
        <v>63</v>
      </c>
      <c r="C7" s="1" t="s">
        <v>64</v>
      </c>
      <c r="D7" s="1" t="s">
        <v>66</v>
      </c>
      <c r="E7" s="1" t="s">
        <v>891</v>
      </c>
      <c r="F7" s="1" t="s">
        <v>892</v>
      </c>
      <c r="G7" s="1" t="s">
        <v>68</v>
      </c>
      <c r="H7" s="1" t="s">
        <v>893</v>
      </c>
      <c r="I7" s="1" t="s">
        <v>9</v>
      </c>
      <c r="J7" s="1" t="s">
        <v>72</v>
      </c>
      <c r="K7" s="1" t="s">
        <v>114</v>
      </c>
    </row>
    <row r="8" spans="1:11" x14ac:dyDescent="0.2">
      <c r="A8" s="1" t="s">
        <v>7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12</v>
      </c>
      <c r="G8" s="1" t="s">
        <v>7</v>
      </c>
      <c r="H8" s="1" t="s">
        <v>12</v>
      </c>
      <c r="I8" s="1" t="s">
        <v>11</v>
      </c>
      <c r="J8" s="1" t="s">
        <v>12</v>
      </c>
      <c r="K8" s="1" t="s">
        <v>12</v>
      </c>
    </row>
    <row r="9" spans="1:11" x14ac:dyDescent="0.2">
      <c r="A9" s="1" t="s">
        <v>7</v>
      </c>
      <c r="B9" s="1" t="s">
        <v>7</v>
      </c>
      <c r="C9" s="1" t="s">
        <v>13</v>
      </c>
      <c r="D9" s="1" t="s">
        <v>14</v>
      </c>
      <c r="E9" s="1" t="s">
        <v>74</v>
      </c>
      <c r="F9" s="1" t="s">
        <v>75</v>
      </c>
      <c r="G9" s="1" t="s">
        <v>76</v>
      </c>
      <c r="H9" s="1" t="s">
        <v>77</v>
      </c>
      <c r="I9" s="1" t="s">
        <v>78</v>
      </c>
      <c r="J9" s="1" t="s">
        <v>79</v>
      </c>
      <c r="K9" s="1" t="s">
        <v>80</v>
      </c>
    </row>
    <row r="10" spans="1:11" x14ac:dyDescent="0.2">
      <c r="A10" s="8" t="s">
        <v>7</v>
      </c>
      <c r="B10" s="8" t="s">
        <v>895</v>
      </c>
      <c r="C10" s="8" t="s">
        <v>7</v>
      </c>
      <c r="D10" s="8" t="s">
        <v>7</v>
      </c>
      <c r="E10" s="8" t="s">
        <v>7</v>
      </c>
      <c r="F10" s="8" t="s">
        <v>7</v>
      </c>
      <c r="G10" s="8" t="s">
        <v>7</v>
      </c>
      <c r="H10" s="8" t="s">
        <v>7</v>
      </c>
      <c r="I10" s="10">
        <v>813.67</v>
      </c>
      <c r="J10" s="9">
        <v>1</v>
      </c>
      <c r="K10" s="9">
        <v>2.0000000000000001E-4</v>
      </c>
    </row>
    <row r="11" spans="1:11" x14ac:dyDescent="0.2">
      <c r="A11" s="3" t="s">
        <v>7</v>
      </c>
      <c r="B11" s="3" t="s">
        <v>83</v>
      </c>
      <c r="C11" s="3" t="s">
        <v>7</v>
      </c>
      <c r="D11" s="3" t="s">
        <v>7</v>
      </c>
      <c r="E11" s="3" t="s">
        <v>7</v>
      </c>
      <c r="F11" s="3" t="s">
        <v>7</v>
      </c>
      <c r="G11" s="3" t="s">
        <v>7</v>
      </c>
      <c r="H11" s="3" t="s">
        <v>7</v>
      </c>
      <c r="I11" s="12">
        <v>813.67</v>
      </c>
      <c r="J11" s="11">
        <v>1</v>
      </c>
      <c r="K11" s="11">
        <v>2.0000000000000001E-4</v>
      </c>
    </row>
    <row r="12" spans="1:11" x14ac:dyDescent="0.2">
      <c r="A12" s="13" t="s">
        <v>7</v>
      </c>
      <c r="B12" s="13" t="s">
        <v>896</v>
      </c>
      <c r="C12" s="14">
        <v>1126770</v>
      </c>
      <c r="D12" s="13" t="s">
        <v>668</v>
      </c>
      <c r="E12" s="13" t="s">
        <v>171</v>
      </c>
      <c r="F12" s="15">
        <v>0</v>
      </c>
      <c r="G12" s="13" t="s">
        <v>88</v>
      </c>
      <c r="H12" s="15">
        <v>0</v>
      </c>
      <c r="I12" s="16">
        <v>0</v>
      </c>
      <c r="J12" s="15">
        <v>0</v>
      </c>
      <c r="K12" s="15">
        <v>0</v>
      </c>
    </row>
    <row r="13" spans="1:11" x14ac:dyDescent="0.2">
      <c r="A13" s="13" t="s">
        <v>7</v>
      </c>
      <c r="B13" s="13" t="s">
        <v>897</v>
      </c>
      <c r="C13" s="14">
        <v>1131184</v>
      </c>
      <c r="D13" s="13" t="s">
        <v>668</v>
      </c>
      <c r="E13" s="13" t="s">
        <v>171</v>
      </c>
      <c r="F13" s="15">
        <v>6.6000000000000003E-2</v>
      </c>
      <c r="G13" s="13" t="s">
        <v>88</v>
      </c>
      <c r="H13" s="15">
        <v>6.6000000000000003E-2</v>
      </c>
      <c r="I13" s="16">
        <v>203.42</v>
      </c>
      <c r="J13" s="15">
        <v>0.25</v>
      </c>
      <c r="K13" s="15">
        <v>1E-4</v>
      </c>
    </row>
    <row r="14" spans="1:11" x14ac:dyDescent="0.2">
      <c r="A14" s="13" t="s">
        <v>7</v>
      </c>
      <c r="B14" s="13" t="s">
        <v>898</v>
      </c>
      <c r="C14" s="14">
        <v>1134394</v>
      </c>
      <c r="D14" s="13" t="s">
        <v>668</v>
      </c>
      <c r="E14" s="13" t="s">
        <v>171</v>
      </c>
      <c r="F14" s="15">
        <v>6.6000000000000003E-2</v>
      </c>
      <c r="G14" s="13" t="s">
        <v>88</v>
      </c>
      <c r="H14" s="15">
        <v>6.6000000000000003E-2</v>
      </c>
      <c r="I14" s="16">
        <v>203.42</v>
      </c>
      <c r="J14" s="15">
        <v>0.25</v>
      </c>
      <c r="K14" s="15">
        <v>1E-4</v>
      </c>
    </row>
    <row r="15" spans="1:11" x14ac:dyDescent="0.2">
      <c r="A15" s="13" t="s">
        <v>7</v>
      </c>
      <c r="B15" s="13" t="s">
        <v>899</v>
      </c>
      <c r="C15" s="14">
        <v>1125624</v>
      </c>
      <c r="D15" s="13" t="s">
        <v>668</v>
      </c>
      <c r="E15" s="13" t="s">
        <v>171</v>
      </c>
      <c r="F15" s="15">
        <v>6.6000000000000003E-2</v>
      </c>
      <c r="G15" s="13" t="s">
        <v>88</v>
      </c>
      <c r="H15" s="15">
        <v>6.6000000000000003E-2</v>
      </c>
      <c r="I15" s="16">
        <v>203.42</v>
      </c>
      <c r="J15" s="15">
        <v>0.25</v>
      </c>
      <c r="K15" s="15">
        <v>1E-4</v>
      </c>
    </row>
    <row r="16" spans="1:11" x14ac:dyDescent="0.2">
      <c r="A16" s="13" t="s">
        <v>7</v>
      </c>
      <c r="B16" s="13" t="s">
        <v>900</v>
      </c>
      <c r="C16" s="14">
        <v>1127679</v>
      </c>
      <c r="D16" s="13" t="s">
        <v>668</v>
      </c>
      <c r="E16" s="13" t="s">
        <v>171</v>
      </c>
      <c r="F16" s="15">
        <v>6.6000000000000003E-2</v>
      </c>
      <c r="G16" s="13" t="s">
        <v>88</v>
      </c>
      <c r="H16" s="15">
        <v>6.6000000000000003E-2</v>
      </c>
      <c r="I16" s="16">
        <v>203.42</v>
      </c>
      <c r="J16" s="15">
        <v>0.25</v>
      </c>
      <c r="K16" s="15">
        <v>1E-4</v>
      </c>
    </row>
    <row r="17" spans="1:11" x14ac:dyDescent="0.2">
      <c r="A17" s="3" t="s">
        <v>7</v>
      </c>
      <c r="B17" s="3" t="s">
        <v>102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12">
        <v>0</v>
      </c>
      <c r="J17" s="11">
        <v>0</v>
      </c>
      <c r="K17" s="11">
        <v>0</v>
      </c>
    </row>
    <row r="18" spans="1:11" x14ac:dyDescent="0.2">
      <c r="A18" s="8" t="s">
        <v>7</v>
      </c>
      <c r="B18" s="8" t="s">
        <v>104</v>
      </c>
      <c r="C18" s="8" t="s">
        <v>7</v>
      </c>
      <c r="D18" s="8" t="s">
        <v>7</v>
      </c>
      <c r="E18" s="8" t="s">
        <v>7</v>
      </c>
      <c r="F18" s="8" t="s">
        <v>7</v>
      </c>
      <c r="G18" s="8" t="s">
        <v>7</v>
      </c>
      <c r="H18" s="8" t="s">
        <v>7</v>
      </c>
      <c r="I18" s="8" t="s">
        <v>7</v>
      </c>
      <c r="J18" s="8" t="s">
        <v>7</v>
      </c>
      <c r="K18" s="8" t="s">
        <v>7</v>
      </c>
    </row>
    <row r="19" spans="1:11" x14ac:dyDescent="0.2">
      <c r="A19" s="8" t="s">
        <v>7</v>
      </c>
      <c r="B19" s="8" t="s">
        <v>149</v>
      </c>
      <c r="C19" s="8" t="s">
        <v>7</v>
      </c>
      <c r="D19" s="8" t="s">
        <v>7</v>
      </c>
      <c r="E19" s="8" t="s">
        <v>7</v>
      </c>
      <c r="F19" s="8" t="s">
        <v>7</v>
      </c>
      <c r="G19" s="8" t="s">
        <v>7</v>
      </c>
      <c r="H19" s="8" t="s">
        <v>7</v>
      </c>
      <c r="I19" s="8" t="s">
        <v>7</v>
      </c>
      <c r="J19" s="8" t="s">
        <v>7</v>
      </c>
      <c r="K19" s="8" t="s">
        <v>7</v>
      </c>
    </row>
    <row r="20" spans="1:11" x14ac:dyDescent="0.2">
      <c r="A20" s="7" t="s">
        <v>889</v>
      </c>
      <c r="B20" s="7" t="s">
        <v>61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4"/>
  <sheetViews>
    <sheetView rightToLeft="1" workbookViewId="0">
      <selection activeCell="J27" sqref="J27"/>
    </sheetView>
  </sheetViews>
  <sheetFormatPr defaultRowHeight="14.25" x14ac:dyDescent="0.2"/>
  <cols>
    <col min="1" max="1" width="2" customWidth="1"/>
    <col min="2" max="2" width="29" customWidth="1"/>
    <col min="3" max="3" width="16" customWidth="1"/>
    <col min="4" max="4" width="22" customWidth="1"/>
  </cols>
  <sheetData>
    <row r="1" spans="1:4" x14ac:dyDescent="0.2">
      <c r="B1" s="7" t="s">
        <v>0</v>
      </c>
      <c r="C1" s="7" t="s">
        <v>1</v>
      </c>
    </row>
    <row r="2" spans="1:4" x14ac:dyDescent="0.2">
      <c r="B2" s="7" t="s">
        <v>2</v>
      </c>
      <c r="C2" s="7" t="s">
        <v>3</v>
      </c>
    </row>
    <row r="3" spans="1:4" x14ac:dyDescent="0.2">
      <c r="B3" s="7" t="s">
        <v>4</v>
      </c>
      <c r="C3" s="7" t="s">
        <v>5</v>
      </c>
    </row>
    <row r="4" spans="1:4" x14ac:dyDescent="0.2">
      <c r="B4" s="7" t="s">
        <v>6</v>
      </c>
      <c r="C4" s="7">
        <v>408</v>
      </c>
    </row>
    <row r="5" spans="1:4" x14ac:dyDescent="0.2">
      <c r="B5" s="7" t="s">
        <v>7</v>
      </c>
      <c r="C5" s="7" t="s">
        <v>7</v>
      </c>
    </row>
    <row r="6" spans="1:4" x14ac:dyDescent="0.2">
      <c r="A6" s="1" t="s">
        <v>7</v>
      </c>
      <c r="B6" s="1" t="s">
        <v>901</v>
      </c>
      <c r="C6" s="1" t="s">
        <v>7</v>
      </c>
      <c r="D6" s="1" t="s">
        <v>7</v>
      </c>
    </row>
    <row r="7" spans="1:4" x14ac:dyDescent="0.2">
      <c r="A7" s="1" t="s">
        <v>7</v>
      </c>
      <c r="B7" s="1" t="s">
        <v>63</v>
      </c>
      <c r="C7" s="1" t="s">
        <v>902</v>
      </c>
      <c r="D7" s="1" t="s">
        <v>903</v>
      </c>
    </row>
    <row r="8" spans="1:4" x14ac:dyDescent="0.2">
      <c r="A8" s="1" t="s">
        <v>7</v>
      </c>
      <c r="B8" s="1" t="s">
        <v>7</v>
      </c>
      <c r="C8" s="1" t="s">
        <v>11</v>
      </c>
      <c r="D8" s="1" t="s">
        <v>163</v>
      </c>
    </row>
    <row r="9" spans="1:4" x14ac:dyDescent="0.2">
      <c r="A9" s="1" t="s">
        <v>7</v>
      </c>
      <c r="B9" s="1" t="s">
        <v>7</v>
      </c>
      <c r="C9" s="1" t="s">
        <v>13</v>
      </c>
      <c r="D9" s="1" t="s">
        <v>14</v>
      </c>
    </row>
    <row r="10" spans="1:4" x14ac:dyDescent="0.2">
      <c r="A10" s="8" t="s">
        <v>7</v>
      </c>
      <c r="B10" s="8" t="s">
        <v>904</v>
      </c>
      <c r="C10" s="10">
        <f>C37+C11</f>
        <v>103903.43767426998</v>
      </c>
      <c r="D10" s="8" t="s">
        <v>7</v>
      </c>
    </row>
    <row r="11" spans="1:4" x14ac:dyDescent="0.2">
      <c r="A11" s="3" t="s">
        <v>7</v>
      </c>
      <c r="B11" s="3" t="s">
        <v>83</v>
      </c>
      <c r="C11" s="12">
        <f>SUM(C13:C20)</f>
        <v>12060.175704159999</v>
      </c>
      <c r="D11" s="3" t="s">
        <v>7</v>
      </c>
    </row>
    <row r="12" spans="1:4" x14ac:dyDescent="0.2">
      <c r="A12" s="3"/>
      <c r="B12" s="3"/>
      <c r="C12" s="12"/>
      <c r="D12" s="3"/>
    </row>
    <row r="13" spans="1:4" x14ac:dyDescent="0.2">
      <c r="A13" s="3">
        <v>50000884</v>
      </c>
      <c r="B13" s="3" t="s">
        <v>947</v>
      </c>
      <c r="C13" s="12">
        <v>4081.549</v>
      </c>
      <c r="D13" s="20">
        <v>46721</v>
      </c>
    </row>
    <row r="14" spans="1:4" x14ac:dyDescent="0.2">
      <c r="A14" s="3">
        <v>62006846</v>
      </c>
      <c r="B14" s="3" t="s">
        <v>948</v>
      </c>
      <c r="C14" s="12">
        <v>2580.75</v>
      </c>
      <c r="D14" s="20">
        <v>46842</v>
      </c>
    </row>
    <row r="15" spans="1:4" x14ac:dyDescent="0.2">
      <c r="A15" s="3">
        <v>9840909</v>
      </c>
      <c r="B15" s="3" t="s">
        <v>709</v>
      </c>
      <c r="C15" s="12">
        <v>1791.7424639999999</v>
      </c>
      <c r="D15" s="20">
        <v>44561</v>
      </c>
    </row>
    <row r="16" spans="1:4" x14ac:dyDescent="0.2">
      <c r="A16" s="3">
        <v>9840906</v>
      </c>
      <c r="B16" s="3" t="s">
        <v>949</v>
      </c>
      <c r="C16" s="12">
        <v>1559.1962430000001</v>
      </c>
      <c r="D16" s="20">
        <v>44561</v>
      </c>
    </row>
    <row r="17" spans="1:4" x14ac:dyDescent="0.2">
      <c r="A17" s="3">
        <v>78956</v>
      </c>
      <c r="B17" s="3" t="s">
        <v>950</v>
      </c>
      <c r="C17" s="12">
        <v>1033.5540000000001</v>
      </c>
      <c r="D17" s="20">
        <v>44793</v>
      </c>
    </row>
    <row r="18" spans="1:4" x14ac:dyDescent="0.2">
      <c r="A18" s="3">
        <v>9840666</v>
      </c>
      <c r="B18" s="3" t="s">
        <v>951</v>
      </c>
      <c r="C18" s="12">
        <v>537.39046715999996</v>
      </c>
      <c r="D18" s="20">
        <v>44561</v>
      </c>
    </row>
    <row r="19" spans="1:4" x14ac:dyDescent="0.2">
      <c r="A19" s="3">
        <v>60372158</v>
      </c>
      <c r="B19" s="3" t="s">
        <v>952</v>
      </c>
      <c r="C19" s="12">
        <v>279.58125000000001</v>
      </c>
      <c r="D19" s="20">
        <v>44075</v>
      </c>
    </row>
    <row r="20" spans="1:4" x14ac:dyDescent="0.2">
      <c r="A20" s="3">
        <v>9840862</v>
      </c>
      <c r="B20" s="3" t="s">
        <v>953</v>
      </c>
      <c r="C20" s="12">
        <v>196.41228000000001</v>
      </c>
      <c r="D20" s="20">
        <v>44439</v>
      </c>
    </row>
    <row r="21" spans="1:4" x14ac:dyDescent="0.2">
      <c r="A21" s="3"/>
      <c r="B21" s="3"/>
      <c r="C21" s="12"/>
      <c r="D21" s="3"/>
    </row>
    <row r="22" spans="1:4" x14ac:dyDescent="0.2">
      <c r="A22" s="3"/>
      <c r="B22" s="3"/>
      <c r="C22" s="12"/>
      <c r="D22" s="3"/>
    </row>
    <row r="23" spans="1:4" x14ac:dyDescent="0.2">
      <c r="A23" s="3"/>
      <c r="B23" s="3"/>
      <c r="C23" s="12"/>
      <c r="D23" s="3"/>
    </row>
    <row r="24" spans="1:4" x14ac:dyDescent="0.2">
      <c r="A24" s="3"/>
      <c r="B24" s="3"/>
      <c r="C24" s="12"/>
      <c r="D24" s="3"/>
    </row>
    <row r="25" spans="1:4" x14ac:dyDescent="0.2">
      <c r="A25" s="3"/>
      <c r="B25" s="3"/>
      <c r="C25" s="12"/>
      <c r="D25" s="3"/>
    </row>
    <row r="26" spans="1:4" x14ac:dyDescent="0.2">
      <c r="A26" s="3"/>
      <c r="B26" s="3"/>
      <c r="C26" s="12"/>
      <c r="D26" s="3"/>
    </row>
    <row r="27" spans="1:4" x14ac:dyDescent="0.2">
      <c r="A27" s="3"/>
      <c r="B27" s="3"/>
      <c r="C27" s="12"/>
      <c r="D27" s="3"/>
    </row>
    <row r="28" spans="1:4" x14ac:dyDescent="0.2">
      <c r="A28" s="3"/>
      <c r="B28" s="3"/>
      <c r="C28" s="12"/>
      <c r="D28" s="3"/>
    </row>
    <row r="29" spans="1:4" x14ac:dyDescent="0.2">
      <c r="A29" s="3"/>
      <c r="B29" s="3"/>
      <c r="C29" s="12"/>
      <c r="D29" s="3"/>
    </row>
    <row r="30" spans="1:4" x14ac:dyDescent="0.2">
      <c r="A30" s="3"/>
      <c r="B30" s="3"/>
      <c r="C30" s="12"/>
      <c r="D30" s="3"/>
    </row>
    <row r="31" spans="1:4" x14ac:dyDescent="0.2">
      <c r="A31" s="3"/>
      <c r="B31" s="3"/>
      <c r="C31" s="12"/>
      <c r="D31" s="3"/>
    </row>
    <row r="32" spans="1:4" x14ac:dyDescent="0.2">
      <c r="A32" s="3"/>
      <c r="B32" s="3"/>
      <c r="C32" s="12"/>
      <c r="D32" s="3"/>
    </row>
    <row r="33" spans="1:4" x14ac:dyDescent="0.2">
      <c r="A33" s="3"/>
      <c r="B33" s="3"/>
      <c r="C33" s="12"/>
      <c r="D33" s="3"/>
    </row>
    <row r="34" spans="1:4" x14ac:dyDescent="0.2">
      <c r="A34" s="3"/>
      <c r="B34" s="3"/>
      <c r="C34" s="12"/>
      <c r="D34" s="3"/>
    </row>
    <row r="35" spans="1:4" x14ac:dyDescent="0.2">
      <c r="A35" s="3"/>
      <c r="B35" s="3"/>
      <c r="C35" s="12"/>
      <c r="D35" s="3"/>
    </row>
    <row r="36" spans="1:4" x14ac:dyDescent="0.2">
      <c r="A36" s="3"/>
      <c r="B36" s="3"/>
      <c r="C36" s="12"/>
      <c r="D36" s="3"/>
    </row>
    <row r="37" spans="1:4" x14ac:dyDescent="0.2">
      <c r="A37" s="3" t="s">
        <v>7</v>
      </c>
      <c r="B37" s="3" t="s">
        <v>102</v>
      </c>
      <c r="C37" s="12">
        <f>SUM(C38:C67)</f>
        <v>91843.261970109976</v>
      </c>
      <c r="D37" s="3" t="s">
        <v>7</v>
      </c>
    </row>
    <row r="38" spans="1:4" x14ac:dyDescent="0.2">
      <c r="A38" s="3">
        <v>62017140</v>
      </c>
      <c r="B38" s="3" t="s">
        <v>932</v>
      </c>
      <c r="C38" s="12">
        <v>8893.9498975620008</v>
      </c>
      <c r="D38" s="20">
        <v>47483</v>
      </c>
    </row>
    <row r="39" spans="1:4" x14ac:dyDescent="0.2">
      <c r="A39" s="3">
        <v>62012463</v>
      </c>
      <c r="B39" s="3" t="s">
        <v>925</v>
      </c>
      <c r="C39" s="12">
        <v>7783.6150142380011</v>
      </c>
      <c r="D39" s="20">
        <v>45961</v>
      </c>
    </row>
    <row r="40" spans="1:4" x14ac:dyDescent="0.2">
      <c r="A40" s="3">
        <v>50001015</v>
      </c>
      <c r="B40" s="3" t="s">
        <v>920</v>
      </c>
      <c r="C40" s="12">
        <v>7200</v>
      </c>
      <c r="D40" s="20">
        <v>46691</v>
      </c>
    </row>
    <row r="41" spans="1:4" x14ac:dyDescent="0.2">
      <c r="A41" s="3">
        <v>62012059</v>
      </c>
      <c r="B41" s="3" t="s">
        <v>943</v>
      </c>
      <c r="C41" s="12">
        <v>6606.72</v>
      </c>
      <c r="D41" s="20">
        <v>47178</v>
      </c>
    </row>
    <row r="42" spans="1:4" x14ac:dyDescent="0.2">
      <c r="A42" s="3">
        <v>62009766</v>
      </c>
      <c r="B42" s="3" t="s">
        <v>923</v>
      </c>
      <c r="C42" s="12">
        <v>6388.1235929999993</v>
      </c>
      <c r="D42" s="20">
        <v>48060</v>
      </c>
    </row>
    <row r="43" spans="1:4" x14ac:dyDescent="0.2">
      <c r="A43" s="3">
        <v>62016084</v>
      </c>
      <c r="B43" s="3" t="s">
        <v>930</v>
      </c>
      <c r="C43" s="12">
        <v>5849.7</v>
      </c>
      <c r="D43" s="20">
        <v>47573</v>
      </c>
    </row>
    <row r="44" spans="1:4" x14ac:dyDescent="0.2">
      <c r="A44" s="3">
        <v>62016084</v>
      </c>
      <c r="B44" s="3" t="s">
        <v>946</v>
      </c>
      <c r="C44" s="12">
        <v>5849.7</v>
      </c>
      <c r="D44" s="20">
        <v>47573</v>
      </c>
    </row>
    <row r="45" spans="1:4" x14ac:dyDescent="0.2">
      <c r="A45" s="3">
        <v>62015862</v>
      </c>
      <c r="B45" s="3" t="s">
        <v>929</v>
      </c>
      <c r="C45" s="12">
        <v>4794.0012000000006</v>
      </c>
      <c r="D45" s="20">
        <v>47542</v>
      </c>
    </row>
    <row r="46" spans="1:4" x14ac:dyDescent="0.2">
      <c r="A46" s="3">
        <v>62014592</v>
      </c>
      <c r="B46" s="3" t="s">
        <v>944</v>
      </c>
      <c r="C46" s="12">
        <v>3989.4265800000003</v>
      </c>
      <c r="D46" s="20">
        <v>47423</v>
      </c>
    </row>
    <row r="47" spans="1:4" x14ac:dyDescent="0.2">
      <c r="A47" s="3">
        <v>62014584</v>
      </c>
      <c r="B47" s="3" t="s">
        <v>928</v>
      </c>
      <c r="C47" s="12">
        <v>3989.4265799999998</v>
      </c>
      <c r="D47" s="20">
        <v>47422</v>
      </c>
    </row>
    <row r="48" spans="1:4" x14ac:dyDescent="0.2">
      <c r="A48" s="3">
        <v>62007877</v>
      </c>
      <c r="B48" s="3" t="s">
        <v>941</v>
      </c>
      <c r="C48" s="12">
        <v>3453.3202596300002</v>
      </c>
      <c r="D48" s="20">
        <v>46174</v>
      </c>
    </row>
    <row r="49" spans="1:4" x14ac:dyDescent="0.2">
      <c r="A49" s="3">
        <v>60397874</v>
      </c>
      <c r="B49" s="3" t="s">
        <v>937</v>
      </c>
      <c r="C49" s="12">
        <v>3265.8083670000001</v>
      </c>
      <c r="D49" s="20">
        <v>45622</v>
      </c>
    </row>
    <row r="50" spans="1:4" ht="21.75" x14ac:dyDescent="0.2">
      <c r="A50" s="3">
        <v>62016845</v>
      </c>
      <c r="B50" s="3" t="s">
        <v>931</v>
      </c>
      <c r="C50" s="12">
        <v>3200.13</v>
      </c>
      <c r="D50" s="20">
        <v>46904</v>
      </c>
    </row>
    <row r="51" spans="1:4" x14ac:dyDescent="0.2">
      <c r="A51" s="3">
        <v>62014170</v>
      </c>
      <c r="B51" s="3" t="s">
        <v>927</v>
      </c>
      <c r="C51" s="12">
        <v>3096.9</v>
      </c>
      <c r="D51" s="20">
        <v>47483</v>
      </c>
    </row>
    <row r="52" spans="1:4" x14ac:dyDescent="0.2">
      <c r="A52" s="3">
        <v>62006168</v>
      </c>
      <c r="B52" s="3" t="s">
        <v>940</v>
      </c>
      <c r="C52" s="12">
        <v>3096.9</v>
      </c>
      <c r="D52" s="20">
        <v>44958</v>
      </c>
    </row>
    <row r="53" spans="1:4" x14ac:dyDescent="0.2">
      <c r="A53" s="3">
        <v>62015243</v>
      </c>
      <c r="B53" s="3" t="s">
        <v>945</v>
      </c>
      <c r="C53" s="12">
        <v>3096.9</v>
      </c>
      <c r="D53" s="20">
        <v>47483</v>
      </c>
    </row>
    <row r="54" spans="1:4" x14ac:dyDescent="0.2">
      <c r="A54" s="3">
        <v>62012778</v>
      </c>
      <c r="B54" s="3" t="s">
        <v>926</v>
      </c>
      <c r="C54" s="12">
        <v>2379.5822579999999</v>
      </c>
      <c r="D54" s="20">
        <v>47238</v>
      </c>
    </row>
    <row r="55" spans="1:4" x14ac:dyDescent="0.2">
      <c r="A55" s="3">
        <v>60369469</v>
      </c>
      <c r="B55" s="3" t="s">
        <v>936</v>
      </c>
      <c r="C55" s="12">
        <v>2146.478595</v>
      </c>
      <c r="D55" s="20">
        <v>45827</v>
      </c>
    </row>
    <row r="56" spans="1:4" x14ac:dyDescent="0.2">
      <c r="A56" s="3">
        <v>62010434</v>
      </c>
      <c r="B56" s="3" t="s">
        <v>924</v>
      </c>
      <c r="C56" s="12">
        <v>1548.45</v>
      </c>
      <c r="D56" s="20">
        <v>45291</v>
      </c>
    </row>
    <row r="57" spans="1:4" x14ac:dyDescent="0.2">
      <c r="A57" s="3">
        <v>62010707</v>
      </c>
      <c r="B57" s="3" t="s">
        <v>924</v>
      </c>
      <c r="C57" s="12">
        <v>1548.45</v>
      </c>
      <c r="D57" s="20">
        <v>45292</v>
      </c>
    </row>
    <row r="58" spans="1:4" x14ac:dyDescent="0.2">
      <c r="A58" s="3">
        <v>60300050</v>
      </c>
      <c r="B58" s="3" t="s">
        <v>934</v>
      </c>
      <c r="C58" s="12">
        <v>1534.0838249999999</v>
      </c>
      <c r="D58" s="20">
        <v>43861</v>
      </c>
    </row>
    <row r="59" spans="1:4" x14ac:dyDescent="0.2">
      <c r="A59" s="3">
        <v>62010970</v>
      </c>
      <c r="B59" s="3" t="s">
        <v>942</v>
      </c>
      <c r="C59" s="12">
        <v>679.78668617999995</v>
      </c>
      <c r="D59" s="20">
        <v>47119</v>
      </c>
    </row>
    <row r="60" spans="1:4" x14ac:dyDescent="0.2">
      <c r="A60" s="3">
        <v>60305448</v>
      </c>
      <c r="B60" s="3" t="s">
        <v>921</v>
      </c>
      <c r="C60" s="12">
        <v>465.99570449999999</v>
      </c>
      <c r="D60" s="20">
        <v>44058</v>
      </c>
    </row>
    <row r="61" spans="1:4" x14ac:dyDescent="0.2">
      <c r="A61" s="3">
        <v>9840602</v>
      </c>
      <c r="B61" s="3" t="s">
        <v>918</v>
      </c>
      <c r="C61" s="12">
        <v>326.77112399999999</v>
      </c>
      <c r="D61" s="20">
        <v>44561</v>
      </c>
    </row>
    <row r="62" spans="1:4" x14ac:dyDescent="0.2">
      <c r="A62" s="3">
        <v>9840773</v>
      </c>
      <c r="B62" s="3" t="s">
        <v>919</v>
      </c>
      <c r="C62" s="12">
        <v>254.77163999999999</v>
      </c>
      <c r="D62" s="20">
        <v>44500</v>
      </c>
    </row>
    <row r="63" spans="1:4" x14ac:dyDescent="0.2">
      <c r="A63" s="3">
        <v>62000554</v>
      </c>
      <c r="B63" s="3" t="s">
        <v>938</v>
      </c>
      <c r="C63" s="12">
        <v>218.85456539999998</v>
      </c>
      <c r="D63" s="20">
        <v>45689</v>
      </c>
    </row>
    <row r="64" spans="1:4" x14ac:dyDescent="0.2">
      <c r="A64" s="3">
        <v>62002035</v>
      </c>
      <c r="B64" s="3" t="s">
        <v>939</v>
      </c>
      <c r="C64" s="12">
        <v>114.9043836</v>
      </c>
      <c r="D64" s="20">
        <v>45814</v>
      </c>
    </row>
    <row r="65" spans="1:4" x14ac:dyDescent="0.2">
      <c r="A65" s="3">
        <v>60301363</v>
      </c>
      <c r="B65" s="3" t="s">
        <v>935</v>
      </c>
      <c r="C65" s="12">
        <v>39.217076999999996</v>
      </c>
      <c r="D65" s="20">
        <v>44561</v>
      </c>
    </row>
    <row r="66" spans="1:4" x14ac:dyDescent="0.2">
      <c r="A66" s="3">
        <v>9840622</v>
      </c>
      <c r="B66" s="3" t="s">
        <v>933</v>
      </c>
      <c r="C66" s="12">
        <v>30.1935</v>
      </c>
      <c r="D66" s="20">
        <v>44561</v>
      </c>
    </row>
    <row r="67" spans="1:4" x14ac:dyDescent="0.2">
      <c r="A67" s="3">
        <v>62002044</v>
      </c>
      <c r="B67" s="3" t="s">
        <v>922</v>
      </c>
      <c r="C67" s="12">
        <v>1.1011199999999999</v>
      </c>
      <c r="D67" s="20">
        <v>45808</v>
      </c>
    </row>
    <row r="68" spans="1:4" x14ac:dyDescent="0.2">
      <c r="A68" s="3"/>
      <c r="B68" s="3"/>
      <c r="C68" s="12"/>
      <c r="D68" s="3"/>
    </row>
    <row r="69" spans="1:4" x14ac:dyDescent="0.2">
      <c r="A69" s="3"/>
      <c r="B69" s="3"/>
      <c r="C69" s="12"/>
      <c r="D69" s="3"/>
    </row>
    <row r="70" spans="1:4" x14ac:dyDescent="0.2">
      <c r="A70" s="3"/>
      <c r="B70" s="3"/>
      <c r="C70" s="12"/>
      <c r="D70" s="3"/>
    </row>
    <row r="71" spans="1:4" x14ac:dyDescent="0.2">
      <c r="A71" s="3"/>
      <c r="B71" s="3"/>
      <c r="C71" s="12"/>
      <c r="D71" s="3"/>
    </row>
    <row r="72" spans="1:4" x14ac:dyDescent="0.2">
      <c r="A72" s="3"/>
      <c r="B72" s="3"/>
      <c r="C72" s="12"/>
      <c r="D72" s="3"/>
    </row>
    <row r="73" spans="1:4" x14ac:dyDescent="0.2">
      <c r="A73" s="8" t="s">
        <v>7</v>
      </c>
      <c r="B73" s="8" t="s">
        <v>905</v>
      </c>
      <c r="C73" s="8" t="s">
        <v>7</v>
      </c>
      <c r="D73" s="8" t="s">
        <v>7</v>
      </c>
    </row>
    <row r="74" spans="1:4" x14ac:dyDescent="0.2">
      <c r="A74" s="7" t="s">
        <v>889</v>
      </c>
      <c r="B74" s="7" t="s">
        <v>61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rightToLeft="1" workbookViewId="0"/>
  </sheetViews>
  <sheetFormatPr defaultRowHeight="14.25" x14ac:dyDescent="0.2"/>
  <cols>
    <col min="1" max="1" width="2" customWidth="1"/>
    <col min="2" max="2" width="27" customWidth="1"/>
    <col min="3" max="3" width="11" customWidth="1"/>
    <col min="4" max="4" width="10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6" customWidth="1"/>
    <col min="12" max="12" width="10" customWidth="1"/>
    <col min="13" max="13" width="13" customWidth="1"/>
    <col min="14" max="14" width="22" customWidth="1"/>
    <col min="15" max="15" width="24" customWidth="1"/>
    <col min="16" max="16" width="23" customWidth="1"/>
    <col min="17" max="17" width="2" customWidth="1"/>
  </cols>
  <sheetData>
    <row r="1" spans="1:17" x14ac:dyDescent="0.2">
      <c r="B1" s="7" t="s">
        <v>0</v>
      </c>
      <c r="C1" s="7" t="s">
        <v>1</v>
      </c>
    </row>
    <row r="2" spans="1:17" x14ac:dyDescent="0.2">
      <c r="B2" s="7" t="s">
        <v>2</v>
      </c>
      <c r="C2" s="7" t="s">
        <v>3</v>
      </c>
    </row>
    <row r="3" spans="1:17" x14ac:dyDescent="0.2">
      <c r="B3" s="7" t="s">
        <v>4</v>
      </c>
      <c r="C3" s="7" t="s">
        <v>5</v>
      </c>
    </row>
    <row r="4" spans="1:17" x14ac:dyDescent="0.2">
      <c r="B4" s="7" t="s">
        <v>6</v>
      </c>
      <c r="C4" s="7">
        <v>408</v>
      </c>
    </row>
    <row r="5" spans="1:17" x14ac:dyDescent="0.2">
      <c r="B5" s="7" t="s">
        <v>7</v>
      </c>
      <c r="C5" s="7" t="s">
        <v>7</v>
      </c>
    </row>
    <row r="6" spans="1:17" x14ac:dyDescent="0.2">
      <c r="A6" s="1" t="s">
        <v>7</v>
      </c>
      <c r="B6" s="1" t="s">
        <v>906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</row>
    <row r="7" spans="1:17" x14ac:dyDescent="0.2">
      <c r="A7" s="1" t="s">
        <v>7</v>
      </c>
      <c r="B7" s="1" t="s">
        <v>63</v>
      </c>
      <c r="C7" s="1" t="s">
        <v>64</v>
      </c>
      <c r="D7" s="1" t="s">
        <v>152</v>
      </c>
      <c r="E7" s="1" t="s">
        <v>66</v>
      </c>
      <c r="F7" s="1" t="s">
        <v>67</v>
      </c>
      <c r="G7" s="1" t="s">
        <v>108</v>
      </c>
      <c r="H7" s="1" t="s">
        <v>109</v>
      </c>
      <c r="I7" s="1" t="s">
        <v>68</v>
      </c>
      <c r="J7" s="1" t="s">
        <v>69</v>
      </c>
      <c r="K7" s="1" t="s">
        <v>907</v>
      </c>
      <c r="L7" s="1" t="s">
        <v>110</v>
      </c>
      <c r="M7" s="1" t="s">
        <v>908</v>
      </c>
      <c r="N7" s="1" t="s">
        <v>113</v>
      </c>
      <c r="O7" s="1" t="s">
        <v>72</v>
      </c>
      <c r="P7" s="1" t="s">
        <v>114</v>
      </c>
      <c r="Q7" s="1" t="s">
        <v>7</v>
      </c>
    </row>
    <row r="8" spans="1:17" x14ac:dyDescent="0.2">
      <c r="A8" s="1" t="s">
        <v>7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163</v>
      </c>
      <c r="H8" s="1" t="s">
        <v>115</v>
      </c>
      <c r="I8" s="1" t="s">
        <v>7</v>
      </c>
      <c r="J8" s="1" t="s">
        <v>12</v>
      </c>
      <c r="K8" s="1" t="s">
        <v>909</v>
      </c>
      <c r="L8" s="1" t="s">
        <v>164</v>
      </c>
      <c r="M8" s="1" t="s">
        <v>11</v>
      </c>
      <c r="N8" s="1" t="s">
        <v>12</v>
      </c>
      <c r="O8" s="1" t="s">
        <v>12</v>
      </c>
      <c r="P8" s="1" t="s">
        <v>12</v>
      </c>
      <c r="Q8" s="1" t="s">
        <v>7</v>
      </c>
    </row>
    <row r="9" spans="1:17" x14ac:dyDescent="0.2">
      <c r="A9" s="1" t="s">
        <v>7</v>
      </c>
      <c r="B9" s="1" t="s">
        <v>7</v>
      </c>
      <c r="C9" s="1" t="s">
        <v>13</v>
      </c>
      <c r="D9" s="1" t="s">
        <v>14</v>
      </c>
      <c r="E9" s="1" t="s">
        <v>74</v>
      </c>
      <c r="F9" s="1" t="s">
        <v>75</v>
      </c>
      <c r="G9" s="1" t="s">
        <v>76</v>
      </c>
      <c r="H9" s="1" t="s">
        <v>77</v>
      </c>
      <c r="I9" s="1" t="s">
        <v>78</v>
      </c>
      <c r="J9" s="1" t="s">
        <v>79</v>
      </c>
      <c r="K9" s="1" t="s">
        <v>80</v>
      </c>
      <c r="L9" s="1" t="s">
        <v>81</v>
      </c>
      <c r="M9" s="1" t="s">
        <v>118</v>
      </c>
      <c r="N9" s="1" t="s">
        <v>119</v>
      </c>
      <c r="O9" s="1" t="s">
        <v>120</v>
      </c>
      <c r="P9" s="1" t="s">
        <v>121</v>
      </c>
      <c r="Q9" s="1" t="s">
        <v>7</v>
      </c>
    </row>
    <row r="10" spans="1:17" x14ac:dyDescent="0.2">
      <c r="A10" s="8" t="s">
        <v>7</v>
      </c>
      <c r="B10" s="8" t="s">
        <v>910</v>
      </c>
      <c r="C10" s="8" t="s">
        <v>7</v>
      </c>
      <c r="D10" s="8" t="s">
        <v>7</v>
      </c>
      <c r="E10" s="8" t="s">
        <v>7</v>
      </c>
      <c r="F10" s="8" t="s">
        <v>7</v>
      </c>
      <c r="G10" s="8" t="s">
        <v>7</v>
      </c>
      <c r="H10" s="10">
        <v>0</v>
      </c>
      <c r="I10" s="8" t="s">
        <v>7</v>
      </c>
      <c r="J10" s="9">
        <v>0</v>
      </c>
      <c r="K10" s="9">
        <v>0</v>
      </c>
      <c r="L10" s="8" t="s">
        <v>7</v>
      </c>
      <c r="M10" s="10">
        <v>0</v>
      </c>
      <c r="N10" s="8" t="s">
        <v>7</v>
      </c>
      <c r="O10" s="9">
        <v>0</v>
      </c>
      <c r="P10" s="9">
        <v>0</v>
      </c>
      <c r="Q10" s="8" t="s">
        <v>7</v>
      </c>
    </row>
    <row r="11" spans="1:17" x14ac:dyDescent="0.2">
      <c r="A11" s="8" t="s">
        <v>7</v>
      </c>
      <c r="B11" s="8" t="s">
        <v>83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10">
        <v>0</v>
      </c>
      <c r="I11" s="8" t="s">
        <v>7</v>
      </c>
      <c r="J11" s="9">
        <v>0</v>
      </c>
      <c r="K11" s="9">
        <v>0</v>
      </c>
      <c r="L11" s="8" t="s">
        <v>7</v>
      </c>
      <c r="M11" s="10">
        <v>0</v>
      </c>
      <c r="N11" s="8" t="s">
        <v>7</v>
      </c>
      <c r="O11" s="9">
        <v>0</v>
      </c>
      <c r="P11" s="9">
        <v>0</v>
      </c>
      <c r="Q11" s="8" t="s">
        <v>7</v>
      </c>
    </row>
    <row r="12" spans="1:17" x14ac:dyDescent="0.2">
      <c r="A12" s="3" t="s">
        <v>7</v>
      </c>
      <c r="B12" s="3" t="s">
        <v>157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12">
        <v>0</v>
      </c>
      <c r="I12" s="3" t="s">
        <v>7</v>
      </c>
      <c r="J12" s="11">
        <v>0</v>
      </c>
      <c r="K12" s="11">
        <v>0</v>
      </c>
      <c r="L12" s="3" t="s">
        <v>7</v>
      </c>
      <c r="M12" s="12">
        <v>0</v>
      </c>
      <c r="N12" s="3" t="s">
        <v>7</v>
      </c>
      <c r="O12" s="11">
        <v>0</v>
      </c>
      <c r="P12" s="11">
        <v>0</v>
      </c>
      <c r="Q12" s="3" t="s">
        <v>7</v>
      </c>
    </row>
    <row r="13" spans="1:17" x14ac:dyDescent="0.2">
      <c r="A13" s="3" t="s">
        <v>7</v>
      </c>
      <c r="B13" s="3" t="s">
        <v>134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12">
        <v>0</v>
      </c>
      <c r="I13" s="3" t="s">
        <v>7</v>
      </c>
      <c r="J13" s="11">
        <v>0</v>
      </c>
      <c r="K13" s="11">
        <v>0</v>
      </c>
      <c r="L13" s="3" t="s">
        <v>7</v>
      </c>
      <c r="M13" s="12">
        <v>0</v>
      </c>
      <c r="N13" s="3" t="s">
        <v>7</v>
      </c>
      <c r="O13" s="11">
        <v>0</v>
      </c>
      <c r="P13" s="11">
        <v>0</v>
      </c>
      <c r="Q13" s="3" t="s">
        <v>7</v>
      </c>
    </row>
    <row r="14" spans="1:17" x14ac:dyDescent="0.2">
      <c r="A14" s="3" t="s">
        <v>7</v>
      </c>
      <c r="B14" s="3" t="s">
        <v>158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12">
        <v>0</v>
      </c>
      <c r="I14" s="3" t="s">
        <v>7</v>
      </c>
      <c r="J14" s="11">
        <v>0</v>
      </c>
      <c r="K14" s="11">
        <v>0</v>
      </c>
      <c r="L14" s="3" t="s">
        <v>7</v>
      </c>
      <c r="M14" s="12">
        <v>0</v>
      </c>
      <c r="N14" s="3" t="s">
        <v>7</v>
      </c>
      <c r="O14" s="11">
        <v>0</v>
      </c>
      <c r="P14" s="11">
        <v>0</v>
      </c>
      <c r="Q14" s="3" t="s">
        <v>7</v>
      </c>
    </row>
    <row r="15" spans="1:17" x14ac:dyDescent="0.2">
      <c r="A15" s="3" t="s">
        <v>7</v>
      </c>
      <c r="B15" s="3" t="s">
        <v>471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12">
        <v>0</v>
      </c>
      <c r="I15" s="3" t="s">
        <v>7</v>
      </c>
      <c r="J15" s="11">
        <v>0</v>
      </c>
      <c r="K15" s="11">
        <v>0</v>
      </c>
      <c r="L15" s="3" t="s">
        <v>7</v>
      </c>
      <c r="M15" s="12">
        <v>0</v>
      </c>
      <c r="N15" s="3" t="s">
        <v>7</v>
      </c>
      <c r="O15" s="11">
        <v>0</v>
      </c>
      <c r="P15" s="11">
        <v>0</v>
      </c>
      <c r="Q15" s="3" t="s">
        <v>7</v>
      </c>
    </row>
    <row r="16" spans="1:17" x14ac:dyDescent="0.2">
      <c r="A16" s="8" t="s">
        <v>7</v>
      </c>
      <c r="B16" s="8" t="s">
        <v>911</v>
      </c>
      <c r="C16" s="8" t="s">
        <v>7</v>
      </c>
      <c r="D16" s="8" t="s">
        <v>7</v>
      </c>
      <c r="E16" s="8" t="s">
        <v>7</v>
      </c>
      <c r="F16" s="8" t="s">
        <v>7</v>
      </c>
      <c r="G16" s="8" t="s">
        <v>7</v>
      </c>
      <c r="H16" s="8" t="s">
        <v>7</v>
      </c>
      <c r="I16" s="8" t="s">
        <v>7</v>
      </c>
      <c r="J16" s="8" t="s">
        <v>7</v>
      </c>
      <c r="K16" s="8" t="s">
        <v>7</v>
      </c>
      <c r="L16" s="8" t="s">
        <v>7</v>
      </c>
      <c r="M16" s="8" t="s">
        <v>7</v>
      </c>
      <c r="N16" s="8" t="s">
        <v>7</v>
      </c>
      <c r="O16" s="8" t="s">
        <v>7</v>
      </c>
      <c r="P16" s="8" t="s">
        <v>7</v>
      </c>
      <c r="Q16" s="8" t="s">
        <v>7</v>
      </c>
    </row>
    <row r="17" spans="1:17" x14ac:dyDescent="0.2">
      <c r="A17" s="3" t="s">
        <v>7</v>
      </c>
      <c r="B17" s="3" t="s">
        <v>160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3" t="s">
        <v>7</v>
      </c>
      <c r="J17" s="3" t="s">
        <v>7</v>
      </c>
      <c r="K17" s="3" t="s">
        <v>7</v>
      </c>
      <c r="L17" s="3" t="s">
        <v>7</v>
      </c>
      <c r="M17" s="3" t="s">
        <v>7</v>
      </c>
      <c r="N17" s="3" t="s">
        <v>7</v>
      </c>
      <c r="O17" s="3" t="s">
        <v>7</v>
      </c>
      <c r="P17" s="3" t="s">
        <v>7</v>
      </c>
      <c r="Q17" s="3" t="s">
        <v>7</v>
      </c>
    </row>
    <row r="18" spans="1:17" x14ac:dyDescent="0.2">
      <c r="A18" s="3" t="s">
        <v>7</v>
      </c>
      <c r="B18" s="3" t="s">
        <v>159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3" t="s">
        <v>7</v>
      </c>
      <c r="J18" s="3" t="s">
        <v>7</v>
      </c>
      <c r="K18" s="3" t="s">
        <v>7</v>
      </c>
      <c r="L18" s="3" t="s">
        <v>7</v>
      </c>
      <c r="M18" s="3" t="s">
        <v>7</v>
      </c>
      <c r="N18" s="3" t="s">
        <v>7</v>
      </c>
      <c r="O18" s="3" t="s">
        <v>7</v>
      </c>
      <c r="P18" s="3" t="s">
        <v>7</v>
      </c>
      <c r="Q18" s="3" t="s">
        <v>7</v>
      </c>
    </row>
    <row r="19" spans="1:17" x14ac:dyDescent="0.2">
      <c r="A19" s="7" t="s">
        <v>889</v>
      </c>
      <c r="B19" s="7" t="s">
        <v>61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rightToLeft="1" workbookViewId="0"/>
  </sheetViews>
  <sheetFormatPr defaultRowHeight="14.25" x14ac:dyDescent="0.2"/>
  <cols>
    <col min="1" max="1" width="2" customWidth="1"/>
    <col min="2" max="2" width="28" customWidth="1"/>
    <col min="3" max="3" width="11" customWidth="1"/>
    <col min="4" max="4" width="10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6" customWidth="1"/>
    <col min="12" max="12" width="10" customWidth="1"/>
    <col min="13" max="13" width="13" customWidth="1"/>
    <col min="14" max="14" width="22" customWidth="1"/>
    <col min="15" max="15" width="24" customWidth="1"/>
    <col min="16" max="16" width="23" customWidth="1"/>
    <col min="17" max="17" width="2" customWidth="1"/>
  </cols>
  <sheetData>
    <row r="1" spans="1:17" x14ac:dyDescent="0.2">
      <c r="B1" s="7" t="s">
        <v>0</v>
      </c>
      <c r="C1" s="7" t="s">
        <v>1</v>
      </c>
    </row>
    <row r="2" spans="1:17" x14ac:dyDescent="0.2">
      <c r="B2" s="7" t="s">
        <v>2</v>
      </c>
      <c r="C2" s="7" t="s">
        <v>3</v>
      </c>
    </row>
    <row r="3" spans="1:17" x14ac:dyDescent="0.2">
      <c r="B3" s="7" t="s">
        <v>4</v>
      </c>
      <c r="C3" s="7" t="s">
        <v>5</v>
      </c>
    </row>
    <row r="4" spans="1:17" x14ac:dyDescent="0.2">
      <c r="B4" s="7" t="s">
        <v>6</v>
      </c>
      <c r="C4" s="7">
        <v>408</v>
      </c>
    </row>
    <row r="5" spans="1:17" x14ac:dyDescent="0.2">
      <c r="B5" s="7" t="s">
        <v>7</v>
      </c>
      <c r="C5" s="7" t="s">
        <v>7</v>
      </c>
    </row>
    <row r="6" spans="1:17" x14ac:dyDescent="0.2">
      <c r="A6" s="1" t="s">
        <v>7</v>
      </c>
      <c r="B6" s="1" t="s">
        <v>912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</row>
    <row r="7" spans="1:17" x14ac:dyDescent="0.2">
      <c r="A7" s="1" t="s">
        <v>7</v>
      </c>
      <c r="B7" s="1" t="s">
        <v>63</v>
      </c>
      <c r="C7" s="1" t="s">
        <v>64</v>
      </c>
      <c r="D7" s="1" t="s">
        <v>152</v>
      </c>
      <c r="E7" s="1" t="s">
        <v>66</v>
      </c>
      <c r="F7" s="1" t="s">
        <v>67</v>
      </c>
      <c r="G7" s="1" t="s">
        <v>108</v>
      </c>
      <c r="H7" s="1" t="s">
        <v>109</v>
      </c>
      <c r="I7" s="1" t="s">
        <v>68</v>
      </c>
      <c r="J7" s="1" t="s">
        <v>69</v>
      </c>
      <c r="K7" s="1" t="s">
        <v>907</v>
      </c>
      <c r="L7" s="1" t="s">
        <v>110</v>
      </c>
      <c r="M7" s="1" t="s">
        <v>908</v>
      </c>
      <c r="N7" s="1" t="s">
        <v>113</v>
      </c>
      <c r="O7" s="1" t="s">
        <v>72</v>
      </c>
      <c r="P7" s="1" t="s">
        <v>114</v>
      </c>
      <c r="Q7" s="1" t="s">
        <v>7</v>
      </c>
    </row>
    <row r="8" spans="1:17" x14ac:dyDescent="0.2">
      <c r="A8" s="1" t="s">
        <v>7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163</v>
      </c>
      <c r="H8" s="1" t="s">
        <v>115</v>
      </c>
      <c r="I8" s="1" t="s">
        <v>7</v>
      </c>
      <c r="J8" s="1" t="s">
        <v>12</v>
      </c>
      <c r="K8" s="1" t="s">
        <v>12</v>
      </c>
      <c r="L8" s="1" t="s">
        <v>164</v>
      </c>
      <c r="M8" s="1" t="s">
        <v>11</v>
      </c>
      <c r="N8" s="1" t="s">
        <v>12</v>
      </c>
      <c r="O8" s="1" t="s">
        <v>12</v>
      </c>
      <c r="P8" s="1" t="s">
        <v>12</v>
      </c>
      <c r="Q8" s="1" t="s">
        <v>7</v>
      </c>
    </row>
    <row r="9" spans="1:17" x14ac:dyDescent="0.2">
      <c r="A9" s="1" t="s">
        <v>7</v>
      </c>
      <c r="B9" s="1" t="s">
        <v>7</v>
      </c>
      <c r="C9" s="1" t="s">
        <v>13</v>
      </c>
      <c r="D9" s="1" t="s">
        <v>14</v>
      </c>
      <c r="E9" s="1" t="s">
        <v>74</v>
      </c>
      <c r="F9" s="1" t="s">
        <v>75</v>
      </c>
      <c r="G9" s="1" t="s">
        <v>76</v>
      </c>
      <c r="H9" s="1" t="s">
        <v>77</v>
      </c>
      <c r="I9" s="1" t="s">
        <v>78</v>
      </c>
      <c r="J9" s="1" t="s">
        <v>79</v>
      </c>
      <c r="K9" s="1" t="s">
        <v>80</v>
      </c>
      <c r="L9" s="1" t="s">
        <v>81</v>
      </c>
      <c r="M9" s="1" t="s">
        <v>118</v>
      </c>
      <c r="N9" s="1" t="s">
        <v>119</v>
      </c>
      <c r="O9" s="1" t="s">
        <v>120</v>
      </c>
      <c r="P9" s="1" t="s">
        <v>121</v>
      </c>
      <c r="Q9" s="1" t="s">
        <v>7</v>
      </c>
    </row>
    <row r="10" spans="1:17" x14ac:dyDescent="0.2">
      <c r="A10" s="8" t="s">
        <v>7</v>
      </c>
      <c r="B10" s="8" t="s">
        <v>913</v>
      </c>
      <c r="C10" s="8" t="s">
        <v>7</v>
      </c>
      <c r="D10" s="8" t="s">
        <v>7</v>
      </c>
      <c r="E10" s="8" t="s">
        <v>7</v>
      </c>
      <c r="F10" s="8" t="s">
        <v>7</v>
      </c>
      <c r="G10" s="8" t="s">
        <v>7</v>
      </c>
      <c r="H10" s="10">
        <v>0</v>
      </c>
      <c r="I10" s="8" t="s">
        <v>7</v>
      </c>
      <c r="J10" s="9">
        <v>0</v>
      </c>
      <c r="K10" s="9">
        <v>0</v>
      </c>
      <c r="L10" s="8" t="s">
        <v>7</v>
      </c>
      <c r="M10" s="10">
        <v>0</v>
      </c>
      <c r="N10" s="9">
        <v>0</v>
      </c>
      <c r="O10" s="9">
        <v>0</v>
      </c>
      <c r="P10" s="9">
        <v>0</v>
      </c>
      <c r="Q10" s="8" t="s">
        <v>7</v>
      </c>
    </row>
    <row r="11" spans="1:17" x14ac:dyDescent="0.2">
      <c r="A11" s="8" t="s">
        <v>7</v>
      </c>
      <c r="B11" s="8" t="s">
        <v>914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10">
        <v>0</v>
      </c>
      <c r="I11" s="8" t="s">
        <v>7</v>
      </c>
      <c r="J11" s="9">
        <v>0</v>
      </c>
      <c r="K11" s="9">
        <v>0</v>
      </c>
      <c r="L11" s="8" t="s">
        <v>7</v>
      </c>
      <c r="M11" s="10">
        <v>0</v>
      </c>
      <c r="N11" s="9">
        <v>0</v>
      </c>
      <c r="O11" s="9">
        <v>0</v>
      </c>
      <c r="P11" s="9">
        <v>0</v>
      </c>
      <c r="Q11" s="8" t="s">
        <v>7</v>
      </c>
    </row>
    <row r="12" spans="1:17" x14ac:dyDescent="0.2">
      <c r="A12" s="3" t="s">
        <v>7</v>
      </c>
      <c r="B12" s="3" t="s">
        <v>157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12">
        <v>0</v>
      </c>
      <c r="I12" s="3" t="s">
        <v>7</v>
      </c>
      <c r="J12" s="11">
        <v>0</v>
      </c>
      <c r="K12" s="11">
        <v>0</v>
      </c>
      <c r="L12" s="3" t="s">
        <v>7</v>
      </c>
      <c r="M12" s="12">
        <v>0</v>
      </c>
      <c r="N12" s="11">
        <v>0</v>
      </c>
      <c r="O12" s="11">
        <v>0</v>
      </c>
      <c r="P12" s="11">
        <v>0</v>
      </c>
      <c r="Q12" s="3" t="s">
        <v>7</v>
      </c>
    </row>
    <row r="13" spans="1:17" x14ac:dyDescent="0.2">
      <c r="A13" s="3" t="s">
        <v>7</v>
      </c>
      <c r="B13" s="3" t="s">
        <v>134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12">
        <v>0</v>
      </c>
      <c r="I13" s="3" t="s">
        <v>7</v>
      </c>
      <c r="J13" s="11">
        <v>0</v>
      </c>
      <c r="K13" s="11">
        <v>0</v>
      </c>
      <c r="L13" s="3" t="s">
        <v>7</v>
      </c>
      <c r="M13" s="12">
        <v>0</v>
      </c>
      <c r="N13" s="11">
        <v>0</v>
      </c>
      <c r="O13" s="11">
        <v>0</v>
      </c>
      <c r="P13" s="11">
        <v>0</v>
      </c>
      <c r="Q13" s="3" t="s">
        <v>7</v>
      </c>
    </row>
    <row r="14" spans="1:17" x14ac:dyDescent="0.2">
      <c r="A14" s="3" t="s">
        <v>7</v>
      </c>
      <c r="B14" s="3" t="s">
        <v>158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12">
        <v>0</v>
      </c>
      <c r="I14" s="3" t="s">
        <v>7</v>
      </c>
      <c r="J14" s="11">
        <v>0</v>
      </c>
      <c r="K14" s="11">
        <v>0</v>
      </c>
      <c r="L14" s="3" t="s">
        <v>7</v>
      </c>
      <c r="M14" s="12">
        <v>0</v>
      </c>
      <c r="N14" s="11">
        <v>0</v>
      </c>
      <c r="O14" s="11">
        <v>0</v>
      </c>
      <c r="P14" s="11">
        <v>0</v>
      </c>
      <c r="Q14" s="3" t="s">
        <v>7</v>
      </c>
    </row>
    <row r="15" spans="1:17" x14ac:dyDescent="0.2">
      <c r="A15" s="3" t="s">
        <v>7</v>
      </c>
      <c r="B15" s="3" t="s">
        <v>471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12">
        <v>0</v>
      </c>
      <c r="I15" s="3" t="s">
        <v>7</v>
      </c>
      <c r="J15" s="11">
        <v>0</v>
      </c>
      <c r="K15" s="11">
        <v>0</v>
      </c>
      <c r="L15" s="3" t="s">
        <v>7</v>
      </c>
      <c r="M15" s="12">
        <v>0</v>
      </c>
      <c r="N15" s="11">
        <v>0</v>
      </c>
      <c r="O15" s="11">
        <v>0</v>
      </c>
      <c r="P15" s="11">
        <v>0</v>
      </c>
      <c r="Q15" s="3" t="s">
        <v>7</v>
      </c>
    </row>
    <row r="16" spans="1:17" x14ac:dyDescent="0.2">
      <c r="A16" s="8" t="s">
        <v>7</v>
      </c>
      <c r="B16" s="8" t="s">
        <v>911</v>
      </c>
      <c r="C16" s="8" t="s">
        <v>7</v>
      </c>
      <c r="D16" s="8" t="s">
        <v>7</v>
      </c>
      <c r="E16" s="8" t="s">
        <v>7</v>
      </c>
      <c r="F16" s="8" t="s">
        <v>7</v>
      </c>
      <c r="G16" s="8" t="s">
        <v>7</v>
      </c>
      <c r="H16" s="8" t="s">
        <v>7</v>
      </c>
      <c r="I16" s="8" t="s">
        <v>7</v>
      </c>
      <c r="J16" s="8" t="s">
        <v>7</v>
      </c>
      <c r="K16" s="8" t="s">
        <v>7</v>
      </c>
      <c r="L16" s="8" t="s">
        <v>7</v>
      </c>
      <c r="M16" s="8" t="s">
        <v>7</v>
      </c>
      <c r="N16" s="8" t="s">
        <v>7</v>
      </c>
      <c r="O16" s="8" t="s">
        <v>7</v>
      </c>
      <c r="P16" s="8" t="s">
        <v>7</v>
      </c>
      <c r="Q16" s="8" t="s">
        <v>7</v>
      </c>
    </row>
    <row r="17" spans="1:17" x14ac:dyDescent="0.2">
      <c r="A17" s="3" t="s">
        <v>7</v>
      </c>
      <c r="B17" s="3" t="s">
        <v>160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3" t="s">
        <v>7</v>
      </c>
      <c r="J17" s="3" t="s">
        <v>7</v>
      </c>
      <c r="K17" s="3" t="s">
        <v>7</v>
      </c>
      <c r="L17" s="3" t="s">
        <v>7</v>
      </c>
      <c r="M17" s="3" t="s">
        <v>7</v>
      </c>
      <c r="N17" s="3" t="s">
        <v>7</v>
      </c>
      <c r="O17" s="3" t="s">
        <v>7</v>
      </c>
      <c r="P17" s="3" t="s">
        <v>7</v>
      </c>
      <c r="Q17" s="3" t="s">
        <v>7</v>
      </c>
    </row>
    <row r="18" spans="1:17" x14ac:dyDescent="0.2">
      <c r="A18" s="3" t="s">
        <v>7</v>
      </c>
      <c r="B18" s="3" t="s">
        <v>159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3" t="s">
        <v>7</v>
      </c>
      <c r="J18" s="3" t="s">
        <v>7</v>
      </c>
      <c r="K18" s="3" t="s">
        <v>7</v>
      </c>
      <c r="L18" s="3" t="s">
        <v>7</v>
      </c>
      <c r="M18" s="3" t="s">
        <v>7</v>
      </c>
      <c r="N18" s="3" t="s">
        <v>7</v>
      </c>
      <c r="O18" s="3" t="s">
        <v>7</v>
      </c>
      <c r="P18" s="3" t="s">
        <v>7</v>
      </c>
      <c r="Q18" s="3" t="s">
        <v>7</v>
      </c>
    </row>
    <row r="19" spans="1:17" x14ac:dyDescent="0.2">
      <c r="A19" s="7" t="s">
        <v>889</v>
      </c>
      <c r="B19" s="7" t="s">
        <v>61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"/>
  <sheetViews>
    <sheetView rightToLeft="1" workbookViewId="0"/>
  </sheetViews>
  <sheetFormatPr defaultRowHeight="14.25" x14ac:dyDescent="0.2"/>
  <cols>
    <col min="1" max="1" width="2" customWidth="1"/>
    <col min="2" max="2" width="35" customWidth="1"/>
    <col min="3" max="3" width="11" customWidth="1"/>
    <col min="4" max="4" width="10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6" customWidth="1"/>
    <col min="12" max="12" width="10" customWidth="1"/>
    <col min="13" max="13" width="13" customWidth="1"/>
    <col min="14" max="14" width="22" customWidth="1"/>
    <col min="15" max="15" width="24" customWidth="1"/>
    <col min="16" max="16" width="23" customWidth="1"/>
  </cols>
  <sheetData>
    <row r="1" spans="1:16" x14ac:dyDescent="0.2">
      <c r="B1" s="7" t="s">
        <v>0</v>
      </c>
      <c r="C1" s="7" t="s">
        <v>1</v>
      </c>
    </row>
    <row r="2" spans="1:16" x14ac:dyDescent="0.2">
      <c r="B2" s="7" t="s">
        <v>2</v>
      </c>
      <c r="C2" s="7" t="s">
        <v>3</v>
      </c>
    </row>
    <row r="3" spans="1:16" x14ac:dyDescent="0.2">
      <c r="B3" s="7" t="s">
        <v>4</v>
      </c>
      <c r="C3" s="7" t="s">
        <v>5</v>
      </c>
    </row>
    <row r="4" spans="1:16" x14ac:dyDescent="0.2">
      <c r="B4" s="7" t="s">
        <v>6</v>
      </c>
      <c r="C4" s="7">
        <v>408</v>
      </c>
    </row>
    <row r="5" spans="1:16" x14ac:dyDescent="0.2">
      <c r="B5" s="7" t="s">
        <v>7</v>
      </c>
      <c r="C5" s="7" t="s">
        <v>7</v>
      </c>
    </row>
    <row r="6" spans="1:16" x14ac:dyDescent="0.2">
      <c r="A6" s="1" t="s">
        <v>7</v>
      </c>
      <c r="B6" s="1" t="s">
        <v>915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</row>
    <row r="7" spans="1:16" x14ac:dyDescent="0.2">
      <c r="A7" s="1" t="s">
        <v>7</v>
      </c>
      <c r="B7" s="1" t="s">
        <v>63</v>
      </c>
      <c r="C7" s="1" t="s">
        <v>64</v>
      </c>
      <c r="D7" s="1" t="s">
        <v>152</v>
      </c>
      <c r="E7" s="1" t="s">
        <v>66</v>
      </c>
      <c r="F7" s="1" t="s">
        <v>67</v>
      </c>
      <c r="G7" s="1" t="s">
        <v>108</v>
      </c>
      <c r="H7" s="1" t="s">
        <v>109</v>
      </c>
      <c r="I7" s="1" t="s">
        <v>68</v>
      </c>
      <c r="J7" s="1" t="s">
        <v>69</v>
      </c>
      <c r="K7" s="1" t="s">
        <v>907</v>
      </c>
      <c r="L7" s="1" t="s">
        <v>110</v>
      </c>
      <c r="M7" s="1" t="s">
        <v>908</v>
      </c>
      <c r="N7" s="1" t="s">
        <v>113</v>
      </c>
      <c r="O7" s="1" t="s">
        <v>72</v>
      </c>
      <c r="P7" s="1" t="s">
        <v>114</v>
      </c>
    </row>
    <row r="8" spans="1:16" x14ac:dyDescent="0.2">
      <c r="A8" s="1" t="s">
        <v>7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163</v>
      </c>
      <c r="H8" s="1" t="s">
        <v>115</v>
      </c>
      <c r="I8" s="1" t="s">
        <v>7</v>
      </c>
      <c r="J8" s="1" t="s">
        <v>12</v>
      </c>
      <c r="K8" s="1" t="s">
        <v>12</v>
      </c>
      <c r="L8" s="1" t="s">
        <v>164</v>
      </c>
      <c r="M8" s="1" t="s">
        <v>11</v>
      </c>
      <c r="N8" s="1" t="s">
        <v>12</v>
      </c>
      <c r="O8" s="1" t="s">
        <v>12</v>
      </c>
      <c r="P8" s="1" t="s">
        <v>12</v>
      </c>
    </row>
    <row r="9" spans="1:16" x14ac:dyDescent="0.2">
      <c r="A9" s="1" t="s">
        <v>7</v>
      </c>
      <c r="B9" s="1" t="s">
        <v>7</v>
      </c>
      <c r="C9" s="1" t="s">
        <v>13</v>
      </c>
      <c r="D9" s="1" t="s">
        <v>14</v>
      </c>
      <c r="E9" s="1" t="s">
        <v>74</v>
      </c>
      <c r="F9" s="1" t="s">
        <v>75</v>
      </c>
      <c r="G9" s="1" t="s">
        <v>76</v>
      </c>
      <c r="H9" s="1" t="s">
        <v>77</v>
      </c>
      <c r="I9" s="1" t="s">
        <v>78</v>
      </c>
      <c r="J9" s="1" t="s">
        <v>79</v>
      </c>
      <c r="K9" s="1" t="s">
        <v>80</v>
      </c>
      <c r="L9" s="1" t="s">
        <v>81</v>
      </c>
      <c r="M9" s="1" t="s">
        <v>118</v>
      </c>
      <c r="N9" s="1" t="s">
        <v>119</v>
      </c>
      <c r="O9" s="1" t="s">
        <v>120</v>
      </c>
      <c r="P9" s="1" t="s">
        <v>121</v>
      </c>
    </row>
    <row r="10" spans="1:16" x14ac:dyDescent="0.2">
      <c r="A10" s="8" t="s">
        <v>7</v>
      </c>
      <c r="B10" s="8" t="s">
        <v>916</v>
      </c>
      <c r="C10" s="8" t="s">
        <v>7</v>
      </c>
      <c r="D10" s="8" t="s">
        <v>7</v>
      </c>
      <c r="E10" s="8" t="s">
        <v>7</v>
      </c>
      <c r="F10" s="8" t="s">
        <v>7</v>
      </c>
      <c r="G10" s="8" t="s">
        <v>7</v>
      </c>
      <c r="H10" s="8" t="s">
        <v>7</v>
      </c>
      <c r="I10" s="8" t="s">
        <v>7</v>
      </c>
      <c r="J10" s="8" t="s">
        <v>7</v>
      </c>
      <c r="K10" s="8" t="s">
        <v>7</v>
      </c>
      <c r="L10" s="8" t="s">
        <v>7</v>
      </c>
      <c r="M10" s="8" t="s">
        <v>7</v>
      </c>
      <c r="N10" s="8" t="s">
        <v>7</v>
      </c>
      <c r="O10" s="8" t="s">
        <v>7</v>
      </c>
      <c r="P10" s="8" t="s">
        <v>7</v>
      </c>
    </row>
    <row r="11" spans="1:16" x14ac:dyDescent="0.2">
      <c r="A11" s="3" t="s">
        <v>7</v>
      </c>
      <c r="B11" s="3" t="s">
        <v>914</v>
      </c>
      <c r="C11" s="3" t="s">
        <v>7</v>
      </c>
      <c r="D11" s="3" t="s">
        <v>7</v>
      </c>
      <c r="E11" s="3" t="s">
        <v>7</v>
      </c>
      <c r="F11" s="3" t="s">
        <v>7</v>
      </c>
      <c r="G11" s="3" t="s">
        <v>7</v>
      </c>
      <c r="H11" s="3" t="s">
        <v>7</v>
      </c>
      <c r="I11" s="3" t="s">
        <v>7</v>
      </c>
      <c r="J11" s="3" t="s">
        <v>7</v>
      </c>
      <c r="K11" s="3" t="s">
        <v>7</v>
      </c>
      <c r="L11" s="3" t="s">
        <v>7</v>
      </c>
      <c r="M11" s="3" t="s">
        <v>7</v>
      </c>
      <c r="N11" s="3" t="s">
        <v>7</v>
      </c>
      <c r="O11" s="3" t="s">
        <v>7</v>
      </c>
      <c r="P11" s="3" t="s">
        <v>7</v>
      </c>
    </row>
    <row r="12" spans="1:16" x14ac:dyDescent="0.2">
      <c r="A12" s="3" t="s">
        <v>7</v>
      </c>
      <c r="B12" s="3" t="s">
        <v>157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3" t="s">
        <v>7</v>
      </c>
      <c r="J12" s="3" t="s">
        <v>7</v>
      </c>
      <c r="K12" s="3" t="s">
        <v>7</v>
      </c>
      <c r="L12" s="3" t="s">
        <v>7</v>
      </c>
      <c r="M12" s="3" t="s">
        <v>7</v>
      </c>
      <c r="N12" s="3" t="s">
        <v>7</v>
      </c>
      <c r="O12" s="3" t="s">
        <v>7</v>
      </c>
      <c r="P12" s="3" t="s">
        <v>7</v>
      </c>
    </row>
    <row r="13" spans="1:16" x14ac:dyDescent="0.2">
      <c r="A13" s="3" t="s">
        <v>7</v>
      </c>
      <c r="B13" s="3" t="s">
        <v>134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3" t="s">
        <v>7</v>
      </c>
      <c r="J13" s="3" t="s">
        <v>7</v>
      </c>
      <c r="K13" s="3" t="s">
        <v>7</v>
      </c>
      <c r="L13" s="3" t="s">
        <v>7</v>
      </c>
      <c r="M13" s="3" t="s">
        <v>7</v>
      </c>
      <c r="N13" s="3" t="s">
        <v>7</v>
      </c>
      <c r="O13" s="3" t="s">
        <v>7</v>
      </c>
      <c r="P13" s="3" t="s">
        <v>7</v>
      </c>
    </row>
    <row r="14" spans="1:16" x14ac:dyDescent="0.2">
      <c r="A14" s="3" t="s">
        <v>7</v>
      </c>
      <c r="B14" s="3" t="s">
        <v>877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3" t="s">
        <v>7</v>
      </c>
      <c r="I14" s="3" t="s">
        <v>7</v>
      </c>
      <c r="J14" s="3" t="s">
        <v>7</v>
      </c>
      <c r="K14" s="3" t="s">
        <v>7</v>
      </c>
      <c r="L14" s="3" t="s">
        <v>7</v>
      </c>
      <c r="M14" s="3" t="s">
        <v>7</v>
      </c>
      <c r="N14" s="3" t="s">
        <v>7</v>
      </c>
      <c r="O14" s="3" t="s">
        <v>7</v>
      </c>
      <c r="P14" s="3" t="s">
        <v>7</v>
      </c>
    </row>
    <row r="15" spans="1:16" x14ac:dyDescent="0.2">
      <c r="A15" s="3" t="s">
        <v>7</v>
      </c>
      <c r="B15" s="3" t="s">
        <v>471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3" t="s">
        <v>7</v>
      </c>
      <c r="I15" s="3" t="s">
        <v>7</v>
      </c>
      <c r="J15" s="3" t="s">
        <v>7</v>
      </c>
      <c r="K15" s="3" t="s">
        <v>7</v>
      </c>
      <c r="L15" s="3" t="s">
        <v>7</v>
      </c>
      <c r="M15" s="3" t="s">
        <v>7</v>
      </c>
      <c r="N15" s="3" t="s">
        <v>7</v>
      </c>
      <c r="O15" s="3" t="s">
        <v>7</v>
      </c>
      <c r="P15" s="3" t="s">
        <v>7</v>
      </c>
    </row>
    <row r="16" spans="1:16" x14ac:dyDescent="0.2">
      <c r="A16" s="3" t="s">
        <v>7</v>
      </c>
      <c r="B16" s="3" t="s">
        <v>911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3" t="s">
        <v>7</v>
      </c>
      <c r="I16" s="3" t="s">
        <v>7</v>
      </c>
      <c r="J16" s="3" t="s">
        <v>7</v>
      </c>
      <c r="K16" s="3" t="s">
        <v>7</v>
      </c>
      <c r="L16" s="3" t="s">
        <v>7</v>
      </c>
      <c r="M16" s="3" t="s">
        <v>7</v>
      </c>
      <c r="N16" s="3" t="s">
        <v>7</v>
      </c>
      <c r="O16" s="3" t="s">
        <v>7</v>
      </c>
      <c r="P16" s="3" t="s">
        <v>7</v>
      </c>
    </row>
    <row r="17" spans="1:16" x14ac:dyDescent="0.2">
      <c r="A17" s="3" t="s">
        <v>7</v>
      </c>
      <c r="B17" s="3" t="s">
        <v>160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3" t="s">
        <v>7</v>
      </c>
      <c r="J17" s="3" t="s">
        <v>7</v>
      </c>
      <c r="K17" s="3" t="s">
        <v>7</v>
      </c>
      <c r="L17" s="3" t="s">
        <v>7</v>
      </c>
      <c r="M17" s="3" t="s">
        <v>7</v>
      </c>
      <c r="N17" s="3" t="s">
        <v>7</v>
      </c>
      <c r="O17" s="3" t="s">
        <v>7</v>
      </c>
      <c r="P17" s="3" t="s">
        <v>7</v>
      </c>
    </row>
    <row r="18" spans="1:16" x14ac:dyDescent="0.2">
      <c r="A18" s="3" t="s">
        <v>7</v>
      </c>
      <c r="B18" s="3" t="s">
        <v>917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3" t="s">
        <v>7</v>
      </c>
      <c r="J18" s="3" t="s">
        <v>7</v>
      </c>
      <c r="K18" s="3" t="s">
        <v>7</v>
      </c>
      <c r="L18" s="3" t="s">
        <v>7</v>
      </c>
      <c r="M18" s="3" t="s">
        <v>7</v>
      </c>
      <c r="N18" s="3" t="s">
        <v>7</v>
      </c>
      <c r="O18" s="3" t="s">
        <v>7</v>
      </c>
      <c r="P18" s="3" t="s">
        <v>7</v>
      </c>
    </row>
    <row r="19" spans="1:16" x14ac:dyDescent="0.2">
      <c r="A19" s="7" t="s">
        <v>889</v>
      </c>
      <c r="B19" s="7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30</vt:i4>
      </vt:variant>
    </vt:vector>
  </HeadingPairs>
  <TitlesOfParts>
    <vt:vector size="30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- תעודות התחייבות ממשלת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Orit Simhi</cp:lastModifiedBy>
  <dcterms:created xsi:type="dcterms:W3CDTF">2020-10-27T11:46:03Z</dcterms:created>
  <dcterms:modified xsi:type="dcterms:W3CDTF">2020-11-26T08:29:51Z</dcterms:modified>
</cp:coreProperties>
</file>